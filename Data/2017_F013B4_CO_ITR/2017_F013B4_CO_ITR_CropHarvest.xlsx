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1_{002D536F-2060-401E-A98D-4CF83C3FE733}" xr6:coauthVersionLast="47" xr6:coauthVersionMax="47" xr10:uidLastSave="{00000000-0000-0000-0000-000000000000}"/>
  <bookViews>
    <workbookView xWindow="16575" yWindow="-23460" windowWidth="17715" windowHeight="17625" xr2:uid="{5485CBB2-C13A-4C0B-BAC8-38661C175E52}"/>
  </bookViews>
  <sheets>
    <sheet name="Raw Scale" sheetId="1" r:id="rId1"/>
    <sheet name="Plot Scale" sheetId="2" r:id="rId2"/>
    <sheet name="Compare" sheetId="3" r:id="rId3"/>
    <sheet name="Harvest" sheetId="4" r:id="rId4"/>
    <sheet name="Ginning" sheetId="5" r:id="rId5"/>
    <sheet name="Moisture content" sheetId="6" r:id="rId6"/>
    <sheet name="OrigReduce" sheetId="7" r:id="rId7"/>
    <sheet name="HVI" sheetId="8" r:id="rId8"/>
  </sheets>
  <definedNames>
    <definedName name="_xlnm.Print_Area" localSheetId="4">Ginning!$A$1:$K$207</definedName>
    <definedName name="_xlnm.Print_Area" localSheetId="3">Harvest!$A$1:$F$202</definedName>
    <definedName name="_xlnm.Print_Area" localSheetId="5">'Moisture content'!$A$1:$I$206</definedName>
    <definedName name="_xlnm.Print_Titles" localSheetId="4">Ginning!$15:$15</definedName>
    <definedName name="_xlnm.Print_Titles" localSheetId="3">Harvest!$10:$10</definedName>
    <definedName name="_xlnm.Print_Titles" localSheetId="5">'Moisture content'!$14:$14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8" l="1"/>
  <c r="C79" i="8"/>
  <c r="D79" i="8"/>
  <c r="E79" i="8"/>
  <c r="F79" i="8"/>
  <c r="G79" i="8"/>
  <c r="H79" i="8"/>
  <c r="J79" i="8"/>
  <c r="K79" i="8"/>
  <c r="L79" i="8"/>
  <c r="B80" i="8"/>
  <c r="C80" i="8"/>
  <c r="D80" i="8"/>
  <c r="E80" i="8"/>
  <c r="F80" i="8"/>
  <c r="G80" i="8"/>
  <c r="H80" i="8"/>
  <c r="J80" i="8"/>
  <c r="K80" i="8"/>
  <c r="L80" i="8"/>
  <c r="B81" i="8"/>
  <c r="C81" i="8"/>
  <c r="D81" i="8"/>
  <c r="E81" i="8"/>
  <c r="F81" i="8"/>
  <c r="G81" i="8"/>
  <c r="H81" i="8"/>
  <c r="J81" i="8"/>
  <c r="K81" i="8"/>
  <c r="L81" i="8"/>
  <c r="O3" i="7"/>
  <c r="P3" i="7"/>
  <c r="Q3" i="7"/>
  <c r="R3" i="7"/>
  <c r="S3" i="7"/>
  <c r="T3" i="7"/>
  <c r="AM3" i="7"/>
  <c r="AN3" i="7"/>
  <c r="AO3" i="7"/>
  <c r="AZ3" i="7"/>
  <c r="BB3" i="7"/>
  <c r="BE3" i="7"/>
  <c r="BF3" i="7"/>
  <c r="BH3" i="7"/>
  <c r="BI3" i="7"/>
  <c r="BI23" i="7" s="1"/>
  <c r="BJ3" i="7"/>
  <c r="BJ23" i="7" s="1"/>
  <c r="BK3" i="7"/>
  <c r="O4" i="7"/>
  <c r="P4" i="7"/>
  <c r="Q4" i="7"/>
  <c r="R4" i="7"/>
  <c r="S4" i="7"/>
  <c r="AB4" i="7"/>
  <c r="AF4" i="7"/>
  <c r="AZ4" i="7"/>
  <c r="BB4" i="7"/>
  <c r="BE4" i="7"/>
  <c r="BF4" i="7"/>
  <c r="BH4" i="7"/>
  <c r="BI4" i="7"/>
  <c r="BJ4" i="7"/>
  <c r="BK4" i="7"/>
  <c r="O5" i="7"/>
  <c r="P5" i="7"/>
  <c r="AM5" i="7" s="1"/>
  <c r="AN5" i="7" s="1"/>
  <c r="AO5" i="7" s="1"/>
  <c r="Q5" i="7"/>
  <c r="R5" i="7"/>
  <c r="S5" i="7"/>
  <c r="T5" i="7"/>
  <c r="AZ5" i="7"/>
  <c r="BB5" i="7"/>
  <c r="BC5" i="7"/>
  <c r="BE5" i="7"/>
  <c r="BF5" i="7"/>
  <c r="BH5" i="7"/>
  <c r="BI5" i="7"/>
  <c r="BJ5" i="7"/>
  <c r="BK5" i="7"/>
  <c r="O6" i="7"/>
  <c r="P6" i="7"/>
  <c r="Q6" i="7"/>
  <c r="R6" i="7"/>
  <c r="V7" i="7" s="1"/>
  <c r="AM6" i="7"/>
  <c r="AZ6" i="7"/>
  <c r="BB6" i="7"/>
  <c r="BE6" i="7"/>
  <c r="BF6" i="7"/>
  <c r="BH6" i="7"/>
  <c r="BI6" i="7"/>
  <c r="BJ6" i="7"/>
  <c r="BK6" i="7"/>
  <c r="O7" i="7"/>
  <c r="P7" i="7"/>
  <c r="Q7" i="7"/>
  <c r="R7" i="7"/>
  <c r="AB7" i="7"/>
  <c r="AF7" i="7"/>
  <c r="O8" i="7"/>
  <c r="P8" i="7"/>
  <c r="Q8" i="7"/>
  <c r="R8" i="7"/>
  <c r="S8" i="7"/>
  <c r="T8" i="7"/>
  <c r="AM8" i="7"/>
  <c r="AN8" i="7"/>
  <c r="AO8" i="7" s="1"/>
  <c r="AZ8" i="7"/>
  <c r="BB8" i="7"/>
  <c r="BE8" i="7"/>
  <c r="BF8" i="7"/>
  <c r="BH8" i="7"/>
  <c r="BI8" i="7"/>
  <c r="BJ8" i="7"/>
  <c r="BK8" i="7"/>
  <c r="O9" i="7"/>
  <c r="AM9" i="7" s="1"/>
  <c r="P9" i="7"/>
  <c r="Q9" i="7"/>
  <c r="R9" i="7"/>
  <c r="S9" i="7"/>
  <c r="T9" i="7"/>
  <c r="AZ9" i="7"/>
  <c r="BB9" i="7"/>
  <c r="BE9" i="7"/>
  <c r="BF9" i="7"/>
  <c r="BH9" i="7"/>
  <c r="BI9" i="7"/>
  <c r="BJ9" i="7"/>
  <c r="BK9" i="7"/>
  <c r="O10" i="7"/>
  <c r="P10" i="7"/>
  <c r="AM10" i="7" s="1"/>
  <c r="AN10" i="7" s="1"/>
  <c r="AO10" i="7" s="1"/>
  <c r="Q10" i="7"/>
  <c r="R10" i="7"/>
  <c r="S10" i="7"/>
  <c r="T10" i="7"/>
  <c r="U10" i="7"/>
  <c r="AB10" i="7"/>
  <c r="AF10" i="7"/>
  <c r="AZ10" i="7"/>
  <c r="BB10" i="7"/>
  <c r="BE10" i="7"/>
  <c r="BF10" i="7"/>
  <c r="BH10" i="7"/>
  <c r="BI10" i="7"/>
  <c r="BJ10" i="7"/>
  <c r="BK10" i="7"/>
  <c r="O11" i="7"/>
  <c r="P11" i="7"/>
  <c r="Q11" i="7"/>
  <c r="R11" i="7"/>
  <c r="S11" i="7"/>
  <c r="T11" i="7"/>
  <c r="AM11" i="7"/>
  <c r="AN11" i="7"/>
  <c r="AO11" i="7"/>
  <c r="AZ11" i="7"/>
  <c r="BB11" i="7"/>
  <c r="BC11" i="7"/>
  <c r="BE11" i="7"/>
  <c r="BF11" i="7"/>
  <c r="BH11" i="7"/>
  <c r="BI11" i="7"/>
  <c r="BJ11" i="7"/>
  <c r="BK11" i="7"/>
  <c r="O12" i="7"/>
  <c r="P12" i="7"/>
  <c r="Q12" i="7"/>
  <c r="R12" i="7"/>
  <c r="S12" i="7"/>
  <c r="T12" i="7"/>
  <c r="AM12" i="7"/>
  <c r="AN12" i="7"/>
  <c r="AO12" i="7"/>
  <c r="O13" i="7"/>
  <c r="P13" i="7"/>
  <c r="Q13" i="7"/>
  <c r="R13" i="7"/>
  <c r="S13" i="7"/>
  <c r="T13" i="7"/>
  <c r="U13" i="7"/>
  <c r="V13" i="7"/>
  <c r="W13" i="7"/>
  <c r="X13" i="7"/>
  <c r="Z13" i="7"/>
  <c r="AB13" i="7"/>
  <c r="AF13" i="7"/>
  <c r="AM13" i="7"/>
  <c r="AN13" i="7"/>
  <c r="AO13" i="7" s="1"/>
  <c r="AZ13" i="7"/>
  <c r="BB13" i="7"/>
  <c r="BE13" i="7"/>
  <c r="BF13" i="7"/>
  <c r="BH13" i="7"/>
  <c r="BI13" i="7"/>
  <c r="BJ13" i="7"/>
  <c r="BK13" i="7"/>
  <c r="O14" i="7"/>
  <c r="P14" i="7"/>
  <c r="Q14" i="7"/>
  <c r="R14" i="7"/>
  <c r="S14" i="7"/>
  <c r="T14" i="7"/>
  <c r="AM14" i="7"/>
  <c r="AN14" i="7"/>
  <c r="AO14" i="7"/>
  <c r="AZ14" i="7"/>
  <c r="BB14" i="7"/>
  <c r="BE14" i="7"/>
  <c r="BF14" i="7"/>
  <c r="BH14" i="7"/>
  <c r="BI14" i="7"/>
  <c r="BJ14" i="7"/>
  <c r="BK14" i="7"/>
  <c r="O15" i="7"/>
  <c r="P15" i="7"/>
  <c r="Q15" i="7"/>
  <c r="R15" i="7"/>
  <c r="S15" i="7"/>
  <c r="T15" i="7"/>
  <c r="AM15" i="7"/>
  <c r="AP16" i="7" s="1"/>
  <c r="AN15" i="7"/>
  <c r="AO15" i="7" s="1"/>
  <c r="AZ15" i="7"/>
  <c r="BB15" i="7"/>
  <c r="BE15" i="7"/>
  <c r="BF15" i="7"/>
  <c r="BH15" i="7"/>
  <c r="BI15" i="7"/>
  <c r="BJ15" i="7"/>
  <c r="BK15" i="7"/>
  <c r="O16" i="7"/>
  <c r="P16" i="7"/>
  <c r="Q16" i="7"/>
  <c r="R16" i="7"/>
  <c r="S16" i="7"/>
  <c r="T16" i="7"/>
  <c r="U16" i="7"/>
  <c r="Z16" i="7" s="1"/>
  <c r="V16" i="7"/>
  <c r="AB16" i="7"/>
  <c r="AC16" i="7"/>
  <c r="AF16" i="7"/>
  <c r="AM16" i="7"/>
  <c r="AN16" i="7"/>
  <c r="AO16" i="7"/>
  <c r="AZ16" i="7"/>
  <c r="BB16" i="7"/>
  <c r="BC16" i="7"/>
  <c r="BE16" i="7"/>
  <c r="BF16" i="7"/>
  <c r="BH16" i="7"/>
  <c r="BI16" i="7"/>
  <c r="BJ16" i="7"/>
  <c r="BK16" i="7"/>
  <c r="O17" i="7"/>
  <c r="AM17" i="7" s="1"/>
  <c r="AN17" i="7" s="1"/>
  <c r="AO17" i="7" s="1"/>
  <c r="P17" i="7"/>
  <c r="Q17" i="7"/>
  <c r="R17" i="7"/>
  <c r="O18" i="7"/>
  <c r="P18" i="7"/>
  <c r="Q18" i="7"/>
  <c r="U19" i="7" s="1"/>
  <c r="R18" i="7"/>
  <c r="V19" i="7" s="1"/>
  <c r="AW6" i="7" s="1"/>
  <c r="S18" i="7"/>
  <c r="W19" i="7" s="1"/>
  <c r="AX6" i="7" s="1"/>
  <c r="T18" i="7"/>
  <c r="X19" i="7" s="1"/>
  <c r="AM18" i="7"/>
  <c r="AN18" i="7"/>
  <c r="AO18" i="7"/>
  <c r="AZ18" i="7"/>
  <c r="BB18" i="7"/>
  <c r="BE18" i="7"/>
  <c r="BF18" i="7"/>
  <c r="BH18" i="7"/>
  <c r="BI18" i="7"/>
  <c r="BJ18" i="7"/>
  <c r="BK18" i="7"/>
  <c r="O19" i="7"/>
  <c r="AM19" i="7" s="1"/>
  <c r="AN19" i="7" s="1"/>
  <c r="AO19" i="7" s="1"/>
  <c r="P19" i="7"/>
  <c r="Q19" i="7"/>
  <c r="R19" i="7"/>
  <c r="S19" i="7"/>
  <c r="T19" i="7"/>
  <c r="AB19" i="7"/>
  <c r="AF19" i="7"/>
  <c r="AR19" i="7"/>
  <c r="AZ19" i="7"/>
  <c r="BB19" i="7"/>
  <c r="BE19" i="7"/>
  <c r="BF19" i="7"/>
  <c r="BH19" i="7"/>
  <c r="BI19" i="7"/>
  <c r="BJ19" i="7"/>
  <c r="BK19" i="7"/>
  <c r="O20" i="7"/>
  <c r="P20" i="7"/>
  <c r="AM20" i="7" s="1"/>
  <c r="AN20" i="7" s="1"/>
  <c r="AO20" i="7" s="1"/>
  <c r="Q20" i="7"/>
  <c r="R20" i="7"/>
  <c r="S20" i="7"/>
  <c r="T20" i="7"/>
  <c r="AZ20" i="7"/>
  <c r="BB20" i="7"/>
  <c r="BE20" i="7"/>
  <c r="BF20" i="7"/>
  <c r="BH20" i="7"/>
  <c r="BI20" i="7"/>
  <c r="BJ20" i="7"/>
  <c r="BK20" i="7"/>
  <c r="O21" i="7"/>
  <c r="P21" i="7"/>
  <c r="Q21" i="7"/>
  <c r="R21" i="7"/>
  <c r="AZ21" i="7"/>
  <c r="BB21" i="7"/>
  <c r="BC21" i="7"/>
  <c r="BE21" i="7"/>
  <c r="BF21" i="7"/>
  <c r="BH21" i="7"/>
  <c r="BI21" i="7"/>
  <c r="BJ21" i="7"/>
  <c r="BK21" i="7"/>
  <c r="O22" i="7"/>
  <c r="P22" i="7"/>
  <c r="Q22" i="7"/>
  <c r="R22" i="7"/>
  <c r="S22" i="7"/>
  <c r="T22" i="7"/>
  <c r="AB22" i="7"/>
  <c r="AF22" i="7"/>
  <c r="O23" i="7"/>
  <c r="P23" i="7"/>
  <c r="Q23" i="7"/>
  <c r="U22" i="7" s="1"/>
  <c r="R23" i="7"/>
  <c r="V22" i="7" s="1"/>
  <c r="S23" i="7"/>
  <c r="T23" i="7"/>
  <c r="AM23" i="7"/>
  <c r="AN23" i="7"/>
  <c r="AO23" i="7"/>
  <c r="AZ23" i="7"/>
  <c r="O24" i="7"/>
  <c r="P24" i="7"/>
  <c r="Q24" i="7"/>
  <c r="R24" i="7"/>
  <c r="S24" i="7"/>
  <c r="T24" i="7"/>
  <c r="O25" i="7"/>
  <c r="P25" i="7"/>
  <c r="Q25" i="7"/>
  <c r="R25" i="7"/>
  <c r="S25" i="7"/>
  <c r="T25" i="7"/>
  <c r="U25" i="7"/>
  <c r="V25" i="7"/>
  <c r="Z25" i="7"/>
  <c r="AB25" i="7"/>
  <c r="AC25" i="7"/>
  <c r="AF25" i="7"/>
  <c r="BG21" i="7" s="1"/>
  <c r="AM25" i="7"/>
  <c r="AN25" i="7"/>
  <c r="AO25" i="7"/>
  <c r="O26" i="7"/>
  <c r="P26" i="7"/>
  <c r="Q26" i="7"/>
  <c r="R26" i="7"/>
  <c r="O27" i="7"/>
  <c r="P27" i="7"/>
  <c r="Q27" i="7"/>
  <c r="R27" i="7"/>
  <c r="S27" i="7"/>
  <c r="T27" i="7"/>
  <c r="AM27" i="7"/>
  <c r="AP28" i="7" s="1"/>
  <c r="AN27" i="7"/>
  <c r="AQ28" i="7" s="1"/>
  <c r="O28" i="7"/>
  <c r="P28" i="7"/>
  <c r="Q28" i="7"/>
  <c r="R28" i="7"/>
  <c r="S28" i="7"/>
  <c r="T28" i="7"/>
  <c r="U28" i="7"/>
  <c r="V28" i="7"/>
  <c r="W28" i="7"/>
  <c r="X28" i="7"/>
  <c r="Z28" i="7"/>
  <c r="AB28" i="7"/>
  <c r="BC20" i="7" s="1"/>
  <c r="AC28" i="7"/>
  <c r="AF28" i="7"/>
  <c r="BG20" i="7" s="1"/>
  <c r="AM28" i="7"/>
  <c r="AN28" i="7" s="1"/>
  <c r="AO28" i="7" s="1"/>
  <c r="O29" i="7"/>
  <c r="P29" i="7"/>
  <c r="AM29" i="7" s="1"/>
  <c r="AN29" i="7" s="1"/>
  <c r="AO29" i="7" s="1"/>
  <c r="Q29" i="7"/>
  <c r="S29" i="7" s="1"/>
  <c r="R29" i="7"/>
  <c r="T29" i="7"/>
  <c r="O30" i="7"/>
  <c r="P30" i="7"/>
  <c r="Q30" i="7"/>
  <c r="R30" i="7"/>
  <c r="S30" i="7"/>
  <c r="T30" i="7"/>
  <c r="AM30" i="7"/>
  <c r="AN30" i="7"/>
  <c r="AO30" i="7"/>
  <c r="O31" i="7"/>
  <c r="P31" i="7"/>
  <c r="Q31" i="7"/>
  <c r="R31" i="7"/>
  <c r="V31" i="7"/>
  <c r="AB31" i="7"/>
  <c r="AF31" i="7"/>
  <c r="O32" i="7"/>
  <c r="AM32" i="7" s="1"/>
  <c r="AN32" i="7" s="1"/>
  <c r="AO32" i="7" s="1"/>
  <c r="P32" i="7"/>
  <c r="Q32" i="7"/>
  <c r="R32" i="7"/>
  <c r="S32" i="7"/>
  <c r="O33" i="7"/>
  <c r="P33" i="7"/>
  <c r="Q33" i="7"/>
  <c r="R33" i="7"/>
  <c r="S33" i="7"/>
  <c r="T33" i="7"/>
  <c r="AM33" i="7"/>
  <c r="AN33" i="7"/>
  <c r="AO33" i="7"/>
  <c r="O34" i="7"/>
  <c r="P34" i="7"/>
  <c r="Q34" i="7"/>
  <c r="R34" i="7"/>
  <c r="V34" i="7" s="1"/>
  <c r="AW5" i="7" s="1"/>
  <c r="S34" i="7"/>
  <c r="T34" i="7"/>
  <c r="AB34" i="7"/>
  <c r="AF34" i="7"/>
  <c r="O35" i="7"/>
  <c r="P35" i="7"/>
  <c r="Q35" i="7"/>
  <c r="R35" i="7"/>
  <c r="O36" i="7"/>
  <c r="P36" i="7"/>
  <c r="Q36" i="7"/>
  <c r="R36" i="7"/>
  <c r="V37" i="7" s="1"/>
  <c r="S36" i="7"/>
  <c r="T36" i="7"/>
  <c r="AM36" i="7"/>
  <c r="AN36" i="7"/>
  <c r="AO36" i="7"/>
  <c r="O37" i="7"/>
  <c r="P37" i="7"/>
  <c r="Q37" i="7"/>
  <c r="R37" i="7"/>
  <c r="AB37" i="7"/>
  <c r="BC18" i="7" s="1"/>
  <c r="AF37" i="7"/>
  <c r="BG18" i="7" s="1"/>
  <c r="AM37" i="7"/>
  <c r="AN37" i="7"/>
  <c r="AO37" i="7"/>
  <c r="O38" i="7"/>
  <c r="P38" i="7"/>
  <c r="Q38" i="7"/>
  <c r="R38" i="7"/>
  <c r="S38" i="7"/>
  <c r="T38" i="7"/>
  <c r="O39" i="7"/>
  <c r="AM39" i="7" s="1"/>
  <c r="P39" i="7"/>
  <c r="Q39" i="7"/>
  <c r="R39" i="7"/>
  <c r="S39" i="7"/>
  <c r="T39" i="7"/>
  <c r="O40" i="7"/>
  <c r="P40" i="7"/>
  <c r="Q40" i="7"/>
  <c r="R40" i="7"/>
  <c r="S40" i="7"/>
  <c r="T40" i="7"/>
  <c r="U40" i="7"/>
  <c r="V40" i="7"/>
  <c r="W40" i="7"/>
  <c r="X40" i="7"/>
  <c r="Z40" i="7"/>
  <c r="AB40" i="7"/>
  <c r="AC40" i="7"/>
  <c r="AF40" i="7"/>
  <c r="BG9" i="7" s="1"/>
  <c r="AM40" i="7"/>
  <c r="AN40" i="7"/>
  <c r="AO40" i="7"/>
  <c r="O41" i="7"/>
  <c r="P41" i="7"/>
  <c r="Q41" i="7"/>
  <c r="R41" i="7"/>
  <c r="S41" i="7"/>
  <c r="T41" i="7"/>
  <c r="AM41" i="7"/>
  <c r="AN41" i="7"/>
  <c r="AO41" i="7" s="1"/>
  <c r="O42" i="7"/>
  <c r="P42" i="7"/>
  <c r="Q42" i="7"/>
  <c r="R42" i="7"/>
  <c r="S42" i="7"/>
  <c r="T42" i="7"/>
  <c r="O43" i="7"/>
  <c r="P43" i="7"/>
  <c r="Q43" i="7"/>
  <c r="R43" i="7"/>
  <c r="S43" i="7"/>
  <c r="T43" i="7"/>
  <c r="U43" i="7"/>
  <c r="V43" i="7"/>
  <c r="W43" i="7"/>
  <c r="Z43" i="7"/>
  <c r="AB43" i="7"/>
  <c r="AF43" i="7"/>
  <c r="O44" i="7"/>
  <c r="AM44" i="7" s="1"/>
  <c r="AN44" i="7" s="1"/>
  <c r="AO44" i="7" s="1"/>
  <c r="P44" i="7"/>
  <c r="Q44" i="7"/>
  <c r="R44" i="7"/>
  <c r="S44" i="7"/>
  <c r="O45" i="7"/>
  <c r="P45" i="7"/>
  <c r="Q45" i="7"/>
  <c r="R45" i="7"/>
  <c r="S45" i="7"/>
  <c r="T45" i="7"/>
  <c r="AM45" i="7"/>
  <c r="AN45" i="7"/>
  <c r="AO45" i="7"/>
  <c r="O46" i="7"/>
  <c r="P46" i="7"/>
  <c r="Q46" i="7"/>
  <c r="R46" i="7"/>
  <c r="S46" i="7"/>
  <c r="T46" i="7"/>
  <c r="V46" i="7"/>
  <c r="AB46" i="7"/>
  <c r="AF46" i="7"/>
  <c r="BG16" i="7" s="1"/>
  <c r="O47" i="7"/>
  <c r="P47" i="7"/>
  <c r="AM47" i="7" s="1"/>
  <c r="AN47" i="7" s="1"/>
  <c r="AO47" i="7" s="1"/>
  <c r="Q47" i="7"/>
  <c r="U46" i="7" s="1"/>
  <c r="R47" i="7"/>
  <c r="O48" i="7"/>
  <c r="P48" i="7"/>
  <c r="Q48" i="7"/>
  <c r="R48" i="7"/>
  <c r="S48" i="7"/>
  <c r="T48" i="7"/>
  <c r="O49" i="7"/>
  <c r="P49" i="7"/>
  <c r="Q49" i="7"/>
  <c r="R49" i="7"/>
  <c r="S49" i="7"/>
  <c r="T49" i="7"/>
  <c r="AB49" i="7"/>
  <c r="AF49" i="7"/>
  <c r="O50" i="7"/>
  <c r="P50" i="7"/>
  <c r="Q50" i="7"/>
  <c r="R50" i="7"/>
  <c r="S50" i="7"/>
  <c r="T50" i="7"/>
  <c r="AM50" i="7"/>
  <c r="AN50" i="7"/>
  <c r="AO50" i="7"/>
  <c r="O51" i="7"/>
  <c r="P51" i="7"/>
  <c r="Q51" i="7"/>
  <c r="R51" i="7"/>
  <c r="O52" i="7"/>
  <c r="P52" i="7"/>
  <c r="Q52" i="7"/>
  <c r="R52" i="7"/>
  <c r="AB52" i="7"/>
  <c r="AF52" i="7"/>
  <c r="O53" i="7"/>
  <c r="P53" i="7"/>
  <c r="Q53" i="7"/>
  <c r="R53" i="7"/>
  <c r="S53" i="7"/>
  <c r="T53" i="7"/>
  <c r="AM53" i="7"/>
  <c r="AN53" i="7"/>
  <c r="AO53" i="7"/>
  <c r="O54" i="7"/>
  <c r="AM54" i="7" s="1"/>
  <c r="P54" i="7"/>
  <c r="Q54" i="7"/>
  <c r="U55" i="7" s="1"/>
  <c r="R54" i="7"/>
  <c r="V55" i="7" s="1"/>
  <c r="O55" i="7"/>
  <c r="AM55" i="7" s="1"/>
  <c r="AN55" i="7" s="1"/>
  <c r="AO55" i="7" s="1"/>
  <c r="P55" i="7"/>
  <c r="Q55" i="7"/>
  <c r="R55" i="7"/>
  <c r="S55" i="7" s="1"/>
  <c r="T55" i="7" s="1"/>
  <c r="AB55" i="7"/>
  <c r="AF55" i="7"/>
  <c r="O56" i="7"/>
  <c r="P56" i="7"/>
  <c r="Q56" i="7"/>
  <c r="R56" i="7"/>
  <c r="S56" i="7"/>
  <c r="T56" i="7"/>
  <c r="AM56" i="7"/>
  <c r="AN56" i="7"/>
  <c r="AO56" i="7"/>
  <c r="O57" i="7"/>
  <c r="P57" i="7"/>
  <c r="Q57" i="7"/>
  <c r="R57" i="7"/>
  <c r="V58" i="7" s="1"/>
  <c r="AM57" i="7"/>
  <c r="AN57" i="7"/>
  <c r="AO57" i="7"/>
  <c r="O58" i="7"/>
  <c r="AM58" i="7" s="1"/>
  <c r="AN58" i="7" s="1"/>
  <c r="AO58" i="7" s="1"/>
  <c r="P58" i="7"/>
  <c r="Q58" i="7"/>
  <c r="R58" i="7"/>
  <c r="AB58" i="7"/>
  <c r="AF58" i="7"/>
  <c r="O59" i="7"/>
  <c r="P59" i="7"/>
  <c r="Q59" i="7"/>
  <c r="R59" i="7"/>
  <c r="S59" i="7"/>
  <c r="T59" i="7"/>
  <c r="AM59" i="7"/>
  <c r="AN59" i="7" s="1"/>
  <c r="AO59" i="7" s="1"/>
  <c r="O60" i="7"/>
  <c r="P60" i="7"/>
  <c r="Q60" i="7"/>
  <c r="U61" i="7" s="1"/>
  <c r="R60" i="7"/>
  <c r="V61" i="7" s="1"/>
  <c r="S60" i="7"/>
  <c r="W61" i="7" s="1"/>
  <c r="T60" i="7"/>
  <c r="X61" i="7" s="1"/>
  <c r="AM60" i="7"/>
  <c r="AN60" i="7"/>
  <c r="AO60" i="7"/>
  <c r="O61" i="7"/>
  <c r="P61" i="7"/>
  <c r="Q61" i="7"/>
  <c r="R61" i="7"/>
  <c r="S61" i="7"/>
  <c r="T61" i="7"/>
  <c r="Z61" i="7"/>
  <c r="AB61" i="7"/>
  <c r="AC61" i="7"/>
  <c r="AF61" i="7"/>
  <c r="BG4" i="7" s="1"/>
  <c r="AM61" i="7"/>
  <c r="AN61" i="7"/>
  <c r="AO61" i="7" s="1"/>
  <c r="O62" i="7"/>
  <c r="P62" i="7"/>
  <c r="Q62" i="7"/>
  <c r="R62" i="7"/>
  <c r="S62" i="7"/>
  <c r="T62" i="7"/>
  <c r="AM62" i="7"/>
  <c r="AN62" i="7"/>
  <c r="AO62" i="7"/>
  <c r="O63" i="7"/>
  <c r="P63" i="7"/>
  <c r="Q63" i="7"/>
  <c r="R63" i="7"/>
  <c r="O64" i="7"/>
  <c r="P64" i="7"/>
  <c r="Q64" i="7"/>
  <c r="R64" i="7"/>
  <c r="S64" i="7"/>
  <c r="T64" i="7"/>
  <c r="V64" i="7"/>
  <c r="AB64" i="7"/>
  <c r="AF64" i="7"/>
  <c r="AM64" i="7"/>
  <c r="AN64" i="7" s="1"/>
  <c r="AO64" i="7" s="1"/>
  <c r="O65" i="7"/>
  <c r="P65" i="7"/>
  <c r="Q65" i="7"/>
  <c r="R65" i="7"/>
  <c r="S65" i="7"/>
  <c r="T65" i="7"/>
  <c r="AM65" i="7"/>
  <c r="AN65" i="7"/>
  <c r="AO65" i="7" s="1"/>
  <c r="O66" i="7"/>
  <c r="P66" i="7"/>
  <c r="Q66" i="7"/>
  <c r="R66" i="7"/>
  <c r="S66" i="7"/>
  <c r="T66" i="7"/>
  <c r="AM66" i="7"/>
  <c r="AN66" i="7"/>
  <c r="AO66" i="7"/>
  <c r="O67" i="7"/>
  <c r="P67" i="7"/>
  <c r="Q67" i="7"/>
  <c r="R67" i="7"/>
  <c r="S67" i="7"/>
  <c r="T67" i="7"/>
  <c r="U67" i="7"/>
  <c r="Z67" i="7" s="1"/>
  <c r="V67" i="7"/>
  <c r="AB67" i="7"/>
  <c r="BC3" i="7" s="1"/>
  <c r="AC67" i="7"/>
  <c r="AF67" i="7"/>
  <c r="BG3" i="7" s="1"/>
  <c r="AM67" i="7"/>
  <c r="AN67" i="7"/>
  <c r="AO67" i="7"/>
  <c r="O68" i="7"/>
  <c r="P68" i="7"/>
  <c r="Q68" i="7"/>
  <c r="R68" i="7"/>
  <c r="O69" i="7"/>
  <c r="P69" i="7"/>
  <c r="Q69" i="7"/>
  <c r="U70" i="7" s="1"/>
  <c r="Z70" i="7" s="1"/>
  <c r="R69" i="7"/>
  <c r="V70" i="7" s="1"/>
  <c r="S69" i="7"/>
  <c r="W70" i="7" s="1"/>
  <c r="T69" i="7"/>
  <c r="X70" i="7" s="1"/>
  <c r="O70" i="7"/>
  <c r="P70" i="7"/>
  <c r="Q70" i="7"/>
  <c r="S70" i="7" s="1"/>
  <c r="R70" i="7"/>
  <c r="T70" i="7"/>
  <c r="AB70" i="7"/>
  <c r="BC6" i="7" s="1"/>
  <c r="AC70" i="7"/>
  <c r="AF70" i="7"/>
  <c r="AM70" i="7"/>
  <c r="AN70" i="7"/>
  <c r="AO70" i="7" s="1"/>
  <c r="O71" i="7"/>
  <c r="P71" i="7"/>
  <c r="Q71" i="7"/>
  <c r="R71" i="7"/>
  <c r="S71" i="7"/>
  <c r="T71" i="7"/>
  <c r="AM71" i="7"/>
  <c r="AN71" i="7"/>
  <c r="AO71" i="7"/>
  <c r="O72" i="7"/>
  <c r="P72" i="7"/>
  <c r="Q72" i="7"/>
  <c r="R72" i="7"/>
  <c r="S72" i="7"/>
  <c r="T72" i="7"/>
  <c r="O73" i="7"/>
  <c r="P73" i="7"/>
  <c r="Q73" i="7"/>
  <c r="R73" i="7"/>
  <c r="V73" i="7"/>
  <c r="AB73" i="7"/>
  <c r="AF73" i="7"/>
  <c r="AM73" i="7"/>
  <c r="AN73" i="7" s="1"/>
  <c r="AO73" i="7" s="1"/>
  <c r="O74" i="7"/>
  <c r="P74" i="7"/>
  <c r="Q74" i="7"/>
  <c r="R74" i="7"/>
  <c r="S74" i="7"/>
  <c r="T74" i="7"/>
  <c r="AM74" i="7"/>
  <c r="AN74" i="7"/>
  <c r="AO74" i="7"/>
  <c r="O75" i="7"/>
  <c r="P75" i="7"/>
  <c r="Q75" i="7"/>
  <c r="R75" i="7"/>
  <c r="S75" i="7"/>
  <c r="T75" i="7"/>
  <c r="AM75" i="7"/>
  <c r="AN75" i="7"/>
  <c r="AO75" i="7"/>
  <c r="O76" i="7"/>
  <c r="P76" i="7"/>
  <c r="Q76" i="7"/>
  <c r="R76" i="7"/>
  <c r="S76" i="7"/>
  <c r="T76" i="7"/>
  <c r="U76" i="7"/>
  <c r="Z76" i="7" s="1"/>
  <c r="V76" i="7"/>
  <c r="W76" i="7"/>
  <c r="AB76" i="7"/>
  <c r="AC76" i="7"/>
  <c r="AF76" i="7"/>
  <c r="O77" i="7"/>
  <c r="P77" i="7"/>
  <c r="Q77" i="7"/>
  <c r="S77" i="7" s="1"/>
  <c r="R77" i="7"/>
  <c r="T77" i="7"/>
  <c r="AM77" i="7"/>
  <c r="AN77" i="7"/>
  <c r="AO77" i="7" s="1"/>
  <c r="O78" i="7"/>
  <c r="P78" i="7"/>
  <c r="Q78" i="7"/>
  <c r="R78" i="7"/>
  <c r="S78" i="7"/>
  <c r="T78" i="7"/>
  <c r="AM78" i="7"/>
  <c r="AN78" i="7"/>
  <c r="AO78" i="7"/>
  <c r="O79" i="7"/>
  <c r="P79" i="7"/>
  <c r="Q79" i="7"/>
  <c r="R79" i="7"/>
  <c r="V79" i="7"/>
  <c r="AB79" i="7"/>
  <c r="AF79" i="7"/>
  <c r="O80" i="7"/>
  <c r="P80" i="7"/>
  <c r="Q80" i="7"/>
  <c r="R80" i="7"/>
  <c r="S80" i="7"/>
  <c r="T80" i="7"/>
  <c r="AM80" i="7"/>
  <c r="AN80" i="7" s="1"/>
  <c r="AO80" i="7" s="1"/>
  <c r="O81" i="7"/>
  <c r="P81" i="7"/>
  <c r="Q81" i="7"/>
  <c r="R81" i="7"/>
  <c r="S81" i="7"/>
  <c r="T81" i="7"/>
  <c r="AM81" i="7"/>
  <c r="AN81" i="7"/>
  <c r="AO81" i="7"/>
  <c r="O82" i="7"/>
  <c r="P82" i="7"/>
  <c r="Q82" i="7"/>
  <c r="R82" i="7"/>
  <c r="S82" i="7"/>
  <c r="T82" i="7"/>
  <c r="U82" i="7"/>
  <c r="AC82" i="7" s="1"/>
  <c r="V82" i="7"/>
  <c r="W82" i="7"/>
  <c r="X82" i="7"/>
  <c r="Z82" i="7"/>
  <c r="AB82" i="7"/>
  <c r="AF82" i="7"/>
  <c r="AM82" i="7"/>
  <c r="AN82" i="7"/>
  <c r="AO82" i="7"/>
  <c r="O83" i="7"/>
  <c r="P83" i="7"/>
  <c r="Q83" i="7"/>
  <c r="R83" i="7"/>
  <c r="S83" i="7"/>
  <c r="T83" i="7"/>
  <c r="O84" i="7"/>
  <c r="P84" i="7"/>
  <c r="Q84" i="7"/>
  <c r="R84" i="7"/>
  <c r="O85" i="7"/>
  <c r="P85" i="7"/>
  <c r="Q85" i="7"/>
  <c r="R85" i="7"/>
  <c r="S85" i="7"/>
  <c r="V85" i="7"/>
  <c r="AB85" i="7"/>
  <c r="AF85" i="7"/>
  <c r="O86" i="7"/>
  <c r="AM86" i="7" s="1"/>
  <c r="AN86" i="7" s="1"/>
  <c r="P86" i="7"/>
  <c r="Q86" i="7"/>
  <c r="R86" i="7"/>
  <c r="S86" i="7"/>
  <c r="T86" i="7"/>
  <c r="AO86" i="7"/>
  <c r="O87" i="7"/>
  <c r="P87" i="7"/>
  <c r="Q87" i="7"/>
  <c r="R87" i="7"/>
  <c r="S87" i="7"/>
  <c r="T87" i="7"/>
  <c r="AM87" i="7"/>
  <c r="AN87" i="7"/>
  <c r="O88" i="7"/>
  <c r="P88" i="7"/>
  <c r="AM88" i="7" s="1"/>
  <c r="AN88" i="7" s="1"/>
  <c r="AO88" i="7" s="1"/>
  <c r="Q88" i="7"/>
  <c r="R88" i="7"/>
  <c r="S88" i="7"/>
  <c r="T88" i="7"/>
  <c r="U88" i="7"/>
  <c r="AC88" i="7" s="1"/>
  <c r="V88" i="7"/>
  <c r="Z88" i="7"/>
  <c r="AB88" i="7"/>
  <c r="AF88" i="7"/>
  <c r="BG11" i="7" s="1"/>
  <c r="O89" i="7"/>
  <c r="P89" i="7"/>
  <c r="Q89" i="7"/>
  <c r="R89" i="7"/>
  <c r="O90" i="7"/>
  <c r="P90" i="7"/>
  <c r="AM90" i="7" s="1"/>
  <c r="Q90" i="7"/>
  <c r="R90" i="7"/>
  <c r="S90" i="7"/>
  <c r="T90" i="7"/>
  <c r="O91" i="7"/>
  <c r="P91" i="7"/>
  <c r="Q91" i="7"/>
  <c r="R91" i="7"/>
  <c r="S91" i="7"/>
  <c r="T91" i="7" s="1"/>
  <c r="U91" i="7"/>
  <c r="V91" i="7"/>
  <c r="Z91" i="7"/>
  <c r="AB91" i="7"/>
  <c r="AF91" i="7"/>
  <c r="O92" i="7"/>
  <c r="P92" i="7"/>
  <c r="Q92" i="7"/>
  <c r="R92" i="7"/>
  <c r="S92" i="7"/>
  <c r="O93" i="7"/>
  <c r="P93" i="7"/>
  <c r="Q93" i="7"/>
  <c r="R93" i="7"/>
  <c r="V94" i="7" s="1"/>
  <c r="S93" i="7"/>
  <c r="W94" i="7" s="1"/>
  <c r="T93" i="7"/>
  <c r="AM93" i="7"/>
  <c r="AN93" i="7"/>
  <c r="O94" i="7"/>
  <c r="P94" i="7"/>
  <c r="Q94" i="7"/>
  <c r="R94" i="7"/>
  <c r="S94" i="7"/>
  <c r="T94" i="7"/>
  <c r="U94" i="7"/>
  <c r="AC94" i="7" s="1"/>
  <c r="X94" i="7"/>
  <c r="Z94" i="7"/>
  <c r="AB94" i="7"/>
  <c r="AF94" i="7"/>
  <c r="O95" i="7"/>
  <c r="P95" i="7"/>
  <c r="Q95" i="7"/>
  <c r="R95" i="7"/>
  <c r="S95" i="7"/>
  <c r="T95" i="7"/>
  <c r="AM95" i="7"/>
  <c r="AN95" i="7"/>
  <c r="AO95" i="7"/>
  <c r="O96" i="7"/>
  <c r="P96" i="7"/>
  <c r="Q96" i="7"/>
  <c r="R96" i="7"/>
  <c r="S96" i="7"/>
  <c r="T96" i="7"/>
  <c r="AM96" i="7"/>
  <c r="AN96" i="7"/>
  <c r="AO96" i="7"/>
  <c r="O97" i="7"/>
  <c r="P97" i="7"/>
  <c r="Q97" i="7"/>
  <c r="R97" i="7"/>
  <c r="S97" i="7"/>
  <c r="T97" i="7"/>
  <c r="V97" i="7"/>
  <c r="AB97" i="7"/>
  <c r="AF97" i="7"/>
  <c r="O98" i="7"/>
  <c r="P98" i="7"/>
  <c r="Q98" i="7"/>
  <c r="R98" i="7"/>
  <c r="O99" i="7"/>
  <c r="P99" i="7"/>
  <c r="Q99" i="7"/>
  <c r="R99" i="7"/>
  <c r="S99" i="7"/>
  <c r="T99" i="7"/>
  <c r="AM99" i="7"/>
  <c r="AN99" i="7"/>
  <c r="AO99" i="7"/>
  <c r="O100" i="7"/>
  <c r="P100" i="7"/>
  <c r="Q100" i="7"/>
  <c r="R100" i="7"/>
  <c r="AB100" i="7"/>
  <c r="AF100" i="7"/>
  <c r="O101" i="7"/>
  <c r="P101" i="7"/>
  <c r="Q101" i="7"/>
  <c r="R101" i="7"/>
  <c r="S101" i="7"/>
  <c r="T101" i="7"/>
  <c r="AM101" i="7"/>
  <c r="AN101" i="7" s="1"/>
  <c r="AO101" i="7" s="1"/>
  <c r="O102" i="7"/>
  <c r="P102" i="7"/>
  <c r="Q102" i="7"/>
  <c r="R102" i="7"/>
  <c r="S102" i="7"/>
  <c r="T102" i="7"/>
  <c r="AM102" i="7"/>
  <c r="AN102" i="7"/>
  <c r="AO102" i="7"/>
  <c r="O103" i="7"/>
  <c r="P103" i="7"/>
  <c r="Q103" i="7"/>
  <c r="R103" i="7"/>
  <c r="S103" i="7"/>
  <c r="T103" i="7" s="1"/>
  <c r="AB103" i="7"/>
  <c r="BC19" i="7" s="1"/>
  <c r="AF103" i="7"/>
  <c r="AM103" i="7"/>
  <c r="AN103" i="7"/>
  <c r="AO103" i="7"/>
  <c r="AR103" i="7" s="1"/>
  <c r="AP103" i="7"/>
  <c r="AQ103" i="7"/>
  <c r="O104" i="7"/>
  <c r="P104" i="7"/>
  <c r="Q104" i="7"/>
  <c r="R104" i="7"/>
  <c r="S104" i="7"/>
  <c r="T104" i="7"/>
  <c r="AM104" i="7"/>
  <c r="AN104" i="7" s="1"/>
  <c r="AO104" i="7" s="1"/>
  <c r="O105" i="7"/>
  <c r="P105" i="7"/>
  <c r="Q105" i="7"/>
  <c r="R105" i="7"/>
  <c r="O106" i="7"/>
  <c r="P106" i="7"/>
  <c r="Q106" i="7"/>
  <c r="R106" i="7"/>
  <c r="AB106" i="7"/>
  <c r="BC8" i="7" s="1"/>
  <c r="AF106" i="7"/>
  <c r="BG8" i="7" s="1"/>
  <c r="AM106" i="7"/>
  <c r="AN106" i="7" s="1"/>
  <c r="AO106" i="7" s="1"/>
  <c r="O107" i="7"/>
  <c r="P107" i="7"/>
  <c r="Q107" i="7"/>
  <c r="R107" i="7"/>
  <c r="V106" i="7" s="1"/>
  <c r="S107" i="7"/>
  <c r="T107" i="7"/>
  <c r="AM107" i="7"/>
  <c r="AN107" i="7" s="1"/>
  <c r="AO107" i="7" s="1"/>
  <c r="O108" i="7"/>
  <c r="P108" i="7"/>
  <c r="Q108" i="7"/>
  <c r="R108" i="7"/>
  <c r="S108" i="7"/>
  <c r="T108" i="7"/>
  <c r="AM108" i="7"/>
  <c r="AN108" i="7" s="1"/>
  <c r="AO108" i="7" s="1"/>
  <c r="O109" i="7"/>
  <c r="P109" i="7"/>
  <c r="Q109" i="7"/>
  <c r="R109" i="7"/>
  <c r="S109" i="7"/>
  <c r="T109" i="7"/>
  <c r="V109" i="7"/>
  <c r="AB109" i="7"/>
  <c r="BC13" i="7" s="1"/>
  <c r="AF109" i="7"/>
  <c r="BG13" i="7" s="1"/>
  <c r="AM109" i="7"/>
  <c r="AN109" i="7"/>
  <c r="AO109" i="7"/>
  <c r="O110" i="7"/>
  <c r="P110" i="7"/>
  <c r="Q110" i="7"/>
  <c r="R110" i="7"/>
  <c r="AM110" i="7"/>
  <c r="AN110" i="7" s="1"/>
  <c r="AO110" i="7" s="1"/>
  <c r="AR109" i="7" s="1"/>
  <c r="O111" i="7"/>
  <c r="AM111" i="7" s="1"/>
  <c r="AN111" i="7" s="1"/>
  <c r="P111" i="7"/>
  <c r="Q111" i="7"/>
  <c r="R111" i="7"/>
  <c r="O112" i="7"/>
  <c r="P112" i="7"/>
  <c r="Q112" i="7"/>
  <c r="R112" i="7"/>
  <c r="S112" i="7"/>
  <c r="T112" i="7"/>
  <c r="Z112" i="7"/>
  <c r="AB112" i="7"/>
  <c r="BC15" i="7" s="1"/>
  <c r="AC112" i="7"/>
  <c r="AF112" i="7"/>
  <c r="AM112" i="7"/>
  <c r="AN112" i="7" s="1"/>
  <c r="AO112" i="7"/>
  <c r="O113" i="7"/>
  <c r="P113" i="7"/>
  <c r="AM113" i="7" s="1"/>
  <c r="Q113" i="7"/>
  <c r="U112" i="7" s="1"/>
  <c r="R113" i="7"/>
  <c r="V112" i="7" s="1"/>
  <c r="O114" i="7"/>
  <c r="P114" i="7"/>
  <c r="Q114" i="7"/>
  <c r="R114" i="7"/>
  <c r="S114" i="7"/>
  <c r="T114" i="7"/>
  <c r="AM114" i="7"/>
  <c r="AN114" i="7"/>
  <c r="AO114" i="7"/>
  <c r="O115" i="7"/>
  <c r="P115" i="7"/>
  <c r="Q115" i="7"/>
  <c r="R115" i="7"/>
  <c r="S115" i="7"/>
  <c r="T115" i="7"/>
  <c r="U115" i="7"/>
  <c r="V115" i="7"/>
  <c r="W115" i="7"/>
  <c r="Z115" i="7"/>
  <c r="AB115" i="7"/>
  <c r="AC115" i="7"/>
  <c r="AF115" i="7"/>
  <c r="O116" i="7"/>
  <c r="P116" i="7"/>
  <c r="Q116" i="7"/>
  <c r="R116" i="7"/>
  <c r="S116" i="7"/>
  <c r="T116" i="7"/>
  <c r="O117" i="7"/>
  <c r="P117" i="7"/>
  <c r="Q117" i="7"/>
  <c r="R117" i="7"/>
  <c r="V118" i="7" s="1"/>
  <c r="S117" i="7"/>
  <c r="T117" i="7"/>
  <c r="AM117" i="7"/>
  <c r="AN117" i="7"/>
  <c r="AO117" i="7"/>
  <c r="O118" i="7"/>
  <c r="P118" i="7"/>
  <c r="Q118" i="7"/>
  <c r="R118" i="7"/>
  <c r="S118" i="7"/>
  <c r="T118" i="7"/>
  <c r="U118" i="7"/>
  <c r="Z118" i="7"/>
  <c r="AB118" i="7"/>
  <c r="AC118" i="7"/>
  <c r="AF118" i="7"/>
  <c r="AM118" i="7"/>
  <c r="AN118" i="7"/>
  <c r="AO118" i="7"/>
  <c r="O119" i="7"/>
  <c r="P119" i="7"/>
  <c r="Q119" i="7"/>
  <c r="R119" i="7"/>
  <c r="O120" i="7"/>
  <c r="P120" i="7"/>
  <c r="Q120" i="7"/>
  <c r="R120" i="7"/>
  <c r="V121" i="7" s="1"/>
  <c r="S120" i="7"/>
  <c r="W121" i="7" s="1"/>
  <c r="O121" i="7"/>
  <c r="P121" i="7"/>
  <c r="Q121" i="7"/>
  <c r="R121" i="7"/>
  <c r="S121" i="7"/>
  <c r="T121" i="7"/>
  <c r="AB121" i="7"/>
  <c r="AF121" i="7"/>
  <c r="AM121" i="7"/>
  <c r="AN121" i="7"/>
  <c r="AO121" i="7"/>
  <c r="O122" i="7"/>
  <c r="P122" i="7"/>
  <c r="Q122" i="7"/>
  <c r="R122" i="7"/>
  <c r="S122" i="7"/>
  <c r="T122" i="7"/>
  <c r="AM122" i="7"/>
  <c r="AN122" i="7"/>
  <c r="AO122" i="7"/>
  <c r="O123" i="7"/>
  <c r="P123" i="7"/>
  <c r="AM123" i="7" s="1"/>
  <c r="Q123" i="7"/>
  <c r="R123" i="7"/>
  <c r="S123" i="7"/>
  <c r="O124" i="7"/>
  <c r="P124" i="7"/>
  <c r="Q124" i="7"/>
  <c r="R124" i="7"/>
  <c r="S124" i="7"/>
  <c r="T124" i="7"/>
  <c r="V124" i="7"/>
  <c r="AB124" i="7"/>
  <c r="AF124" i="7"/>
  <c r="AM124" i="7"/>
  <c r="AN124" i="7" s="1"/>
  <c r="AO124" i="7" s="1"/>
  <c r="O125" i="7"/>
  <c r="P125" i="7"/>
  <c r="Q125" i="7"/>
  <c r="U124" i="7" s="1"/>
  <c r="R125" i="7"/>
  <c r="S125" i="7"/>
  <c r="W124" i="7" s="1"/>
  <c r="T125" i="7"/>
  <c r="AM125" i="7"/>
  <c r="AN125" i="7"/>
  <c r="AO125" i="7" s="1"/>
  <c r="O126" i="7"/>
  <c r="P126" i="7"/>
  <c r="Q126" i="7"/>
  <c r="R126" i="7"/>
  <c r="V127" i="7" s="1"/>
  <c r="S126" i="7"/>
  <c r="AM126" i="7"/>
  <c r="AN126" i="7"/>
  <c r="AO126" i="7"/>
  <c r="O127" i="7"/>
  <c r="P127" i="7"/>
  <c r="Q127" i="7"/>
  <c r="R127" i="7"/>
  <c r="S127" i="7"/>
  <c r="T127" i="7"/>
  <c r="AB127" i="7"/>
  <c r="AF127" i="7"/>
  <c r="O128" i="7"/>
  <c r="P128" i="7"/>
  <c r="Q128" i="7"/>
  <c r="R128" i="7"/>
  <c r="AM128" i="7"/>
  <c r="AN128" i="7"/>
  <c r="AO128" i="7"/>
  <c r="O129" i="7"/>
  <c r="P129" i="7"/>
  <c r="Q129" i="7"/>
  <c r="U130" i="7" s="1"/>
  <c r="R129" i="7"/>
  <c r="V130" i="7" s="1"/>
  <c r="S129" i="7"/>
  <c r="W130" i="7" s="1"/>
  <c r="T129" i="7"/>
  <c r="X130" i="7" s="1"/>
  <c r="AM129" i="7"/>
  <c r="O130" i="7"/>
  <c r="P130" i="7"/>
  <c r="Q130" i="7"/>
  <c r="R130" i="7"/>
  <c r="S130" i="7"/>
  <c r="T130" i="7"/>
  <c r="AB130" i="7"/>
  <c r="AF130" i="7"/>
  <c r="AM130" i="7"/>
  <c r="AN130" i="7"/>
  <c r="AO130" i="7"/>
  <c r="O131" i="7"/>
  <c r="P131" i="7"/>
  <c r="Q131" i="7"/>
  <c r="R131" i="7"/>
  <c r="S131" i="7"/>
  <c r="T131" i="7"/>
  <c r="AM131" i="7"/>
  <c r="AN131" i="7"/>
  <c r="AO131" i="7"/>
  <c r="O132" i="7"/>
  <c r="P132" i="7"/>
  <c r="Q132" i="7"/>
  <c r="R132" i="7"/>
  <c r="S132" i="7"/>
  <c r="T132" i="7"/>
  <c r="AM132" i="7"/>
  <c r="AN132" i="7"/>
  <c r="AO132" i="7"/>
  <c r="O133" i="7"/>
  <c r="P133" i="7"/>
  <c r="Q133" i="7"/>
  <c r="R133" i="7"/>
  <c r="AB133" i="7"/>
  <c r="AF133" i="7"/>
  <c r="O134" i="7"/>
  <c r="P134" i="7"/>
  <c r="Q134" i="7"/>
  <c r="R134" i="7"/>
  <c r="S134" i="7"/>
  <c r="T134" i="7"/>
  <c r="AM134" i="7"/>
  <c r="AN134" i="7"/>
  <c r="AO134" i="7" s="1"/>
  <c r="O135" i="7"/>
  <c r="P135" i="7"/>
  <c r="Q135" i="7"/>
  <c r="R135" i="7"/>
  <c r="S135" i="7"/>
  <c r="T135" i="7"/>
  <c r="AM135" i="7"/>
  <c r="AN135" i="7"/>
  <c r="O136" i="7"/>
  <c r="P136" i="7"/>
  <c r="Q136" i="7"/>
  <c r="R136" i="7"/>
  <c r="S136" i="7"/>
  <c r="T136" i="7"/>
  <c r="AB136" i="7"/>
  <c r="AF136" i="7"/>
  <c r="O137" i="7"/>
  <c r="P137" i="7"/>
  <c r="Q137" i="7"/>
  <c r="R137" i="7"/>
  <c r="S137" i="7"/>
  <c r="T137" i="7"/>
  <c r="AM137" i="7"/>
  <c r="AN137" i="7"/>
  <c r="AO137" i="7"/>
  <c r="O138" i="7"/>
  <c r="P138" i="7"/>
  <c r="Q138" i="7"/>
  <c r="R138" i="7"/>
  <c r="V139" i="7" s="1"/>
  <c r="S138" i="7"/>
  <c r="W139" i="7" s="1"/>
  <c r="T138" i="7"/>
  <c r="O139" i="7"/>
  <c r="P139" i="7"/>
  <c r="Q139" i="7"/>
  <c r="R139" i="7"/>
  <c r="S139" i="7"/>
  <c r="T139" i="7"/>
  <c r="AB139" i="7"/>
  <c r="AF139" i="7"/>
  <c r="AM139" i="7"/>
  <c r="AN139" i="7"/>
  <c r="AO139" i="7"/>
  <c r="O140" i="7"/>
  <c r="P140" i="7"/>
  <c r="Q140" i="7"/>
  <c r="R140" i="7"/>
  <c r="S140" i="7"/>
  <c r="AM140" i="7"/>
  <c r="AN140" i="7"/>
  <c r="AO140" i="7"/>
  <c r="O141" i="7"/>
  <c r="P141" i="7"/>
  <c r="Q141" i="7"/>
  <c r="R141" i="7"/>
  <c r="O142" i="7"/>
  <c r="P142" i="7"/>
  <c r="Q142" i="7"/>
  <c r="R142" i="7"/>
  <c r="S142" i="7"/>
  <c r="T142" i="7"/>
  <c r="AB142" i="7"/>
  <c r="AF142" i="7"/>
  <c r="AM142" i="7"/>
  <c r="AN142" i="7"/>
  <c r="AO142" i="7"/>
  <c r="O143" i="7"/>
  <c r="P143" i="7"/>
  <c r="Q143" i="7"/>
  <c r="R143" i="7"/>
  <c r="V142" i="7" s="1"/>
  <c r="S143" i="7"/>
  <c r="T143" i="7"/>
  <c r="AM143" i="7"/>
  <c r="AN143" i="7"/>
  <c r="AO143" i="7"/>
  <c r="O144" i="7"/>
  <c r="P144" i="7"/>
  <c r="Q144" i="7"/>
  <c r="R144" i="7"/>
  <c r="S144" i="7"/>
  <c r="T144" i="7"/>
  <c r="AM144" i="7"/>
  <c r="AN144" i="7"/>
  <c r="AO144" i="7"/>
  <c r="O145" i="7"/>
  <c r="P145" i="7"/>
  <c r="Q145" i="7"/>
  <c r="R145" i="7"/>
  <c r="S145" i="7"/>
  <c r="T145" i="7"/>
  <c r="V145" i="7"/>
  <c r="AB145" i="7"/>
  <c r="AF145" i="7"/>
  <c r="AM145" i="7"/>
  <c r="AN145" i="7"/>
  <c r="AO145" i="7"/>
  <c r="O146" i="7"/>
  <c r="P146" i="7"/>
  <c r="Q146" i="7"/>
  <c r="R146" i="7"/>
  <c r="O147" i="7"/>
  <c r="P147" i="7"/>
  <c r="Q147" i="7"/>
  <c r="R147" i="7"/>
  <c r="S147" i="7"/>
  <c r="T147" i="7"/>
  <c r="AM147" i="7"/>
  <c r="O148" i="7"/>
  <c r="P148" i="7"/>
  <c r="Q148" i="7"/>
  <c r="R148" i="7"/>
  <c r="S148" i="7"/>
  <c r="T148" i="7"/>
  <c r="AB148" i="7"/>
  <c r="AF148" i="7"/>
  <c r="AM148" i="7"/>
  <c r="AN148" i="7" s="1"/>
  <c r="AO148" i="7" s="1"/>
  <c r="O149" i="7"/>
  <c r="P149" i="7"/>
  <c r="AM149" i="7" s="1"/>
  <c r="AN149" i="7" s="1"/>
  <c r="AO149" i="7" s="1"/>
  <c r="Q149" i="7"/>
  <c r="R149" i="7"/>
  <c r="O150" i="7"/>
  <c r="P150" i="7"/>
  <c r="Q150" i="7"/>
  <c r="U151" i="7" s="1"/>
  <c r="R150" i="7"/>
  <c r="V151" i="7" s="1"/>
  <c r="AM150" i="7"/>
  <c r="AN150" i="7"/>
  <c r="AO150" i="7"/>
  <c r="O151" i="7"/>
  <c r="AM151" i="7" s="1"/>
  <c r="P151" i="7"/>
  <c r="Q151" i="7"/>
  <c r="R151" i="7"/>
  <c r="S151" i="7"/>
  <c r="T151" i="7"/>
  <c r="AB151" i="7"/>
  <c r="AF151" i="7"/>
  <c r="AN151" i="7"/>
  <c r="AO151" i="7"/>
  <c r="AP151" i="7"/>
  <c r="AQ151" i="7"/>
  <c r="O152" i="7"/>
  <c r="P152" i="7"/>
  <c r="Q152" i="7"/>
  <c r="R152" i="7"/>
  <c r="S152" i="7"/>
  <c r="T152" i="7"/>
  <c r="AM152" i="7"/>
  <c r="AN152" i="7"/>
  <c r="AO152" i="7"/>
  <c r="O153" i="7"/>
  <c r="P153" i="7"/>
  <c r="Q153" i="7"/>
  <c r="R153" i="7"/>
  <c r="V154" i="7" s="1"/>
  <c r="AM153" i="7"/>
  <c r="O154" i="7"/>
  <c r="P154" i="7"/>
  <c r="Q154" i="7"/>
  <c r="R154" i="7"/>
  <c r="S154" i="7"/>
  <c r="T154" i="7"/>
  <c r="AB154" i="7"/>
  <c r="AF154" i="7"/>
  <c r="AM154" i="7"/>
  <c r="AN154" i="7"/>
  <c r="AO154" i="7"/>
  <c r="O155" i="7"/>
  <c r="P155" i="7"/>
  <c r="Q155" i="7"/>
  <c r="R155" i="7"/>
  <c r="S155" i="7"/>
  <c r="T155" i="7"/>
  <c r="AM155" i="7"/>
  <c r="AN155" i="7" s="1"/>
  <c r="AO155" i="7"/>
  <c r="O156" i="7"/>
  <c r="AM156" i="7" s="1"/>
  <c r="P156" i="7"/>
  <c r="Q156" i="7"/>
  <c r="R156" i="7"/>
  <c r="S156" i="7"/>
  <c r="T156" i="7"/>
  <c r="O157" i="7"/>
  <c r="P157" i="7"/>
  <c r="Q157" i="7"/>
  <c r="R157" i="7"/>
  <c r="S157" i="7"/>
  <c r="T157" i="7"/>
  <c r="AB157" i="7"/>
  <c r="AF157" i="7"/>
  <c r="O158" i="7"/>
  <c r="P158" i="7"/>
  <c r="Q158" i="7"/>
  <c r="R158" i="7"/>
  <c r="S158" i="7"/>
  <c r="T158" i="7"/>
  <c r="AM158" i="7"/>
  <c r="AN158" i="7"/>
  <c r="AO158" i="7"/>
  <c r="O159" i="7"/>
  <c r="P159" i="7"/>
  <c r="Q159" i="7"/>
  <c r="R159" i="7"/>
  <c r="S159" i="7"/>
  <c r="O160" i="7"/>
  <c r="P160" i="7"/>
  <c r="Q160" i="7"/>
  <c r="R160" i="7"/>
  <c r="S160" i="7"/>
  <c r="T160" i="7"/>
  <c r="AB160" i="7"/>
  <c r="AF160" i="7"/>
  <c r="O161" i="7"/>
  <c r="AM161" i="7" s="1"/>
  <c r="AN161" i="7" s="1"/>
  <c r="AO161" i="7" s="1"/>
  <c r="P161" i="7"/>
  <c r="Q161" i="7"/>
  <c r="T161" i="7" s="1"/>
  <c r="R161" i="7"/>
  <c r="S161" i="7"/>
  <c r="O162" i="7"/>
  <c r="P162" i="7"/>
  <c r="Q162" i="7"/>
  <c r="R162" i="7"/>
  <c r="V163" i="7" s="1"/>
  <c r="S162" i="7"/>
  <c r="T162" i="7"/>
  <c r="AM162" i="7"/>
  <c r="AN162" i="7"/>
  <c r="AO162" i="7"/>
  <c r="O163" i="7"/>
  <c r="P163" i="7"/>
  <c r="Q163" i="7"/>
  <c r="R163" i="7"/>
  <c r="AB163" i="7"/>
  <c r="AF163" i="7"/>
  <c r="O164" i="7"/>
  <c r="P164" i="7"/>
  <c r="Q164" i="7"/>
  <c r="R164" i="7"/>
  <c r="O165" i="7"/>
  <c r="P165" i="7"/>
  <c r="Q165" i="7"/>
  <c r="U166" i="7" s="1"/>
  <c r="R165" i="7"/>
  <c r="V166" i="7" s="1"/>
  <c r="S165" i="7"/>
  <c r="W166" i="7" s="1"/>
  <c r="T165" i="7"/>
  <c r="X166" i="7" s="1"/>
  <c r="AM165" i="7"/>
  <c r="AP166" i="7" s="1"/>
  <c r="AN165" i="7"/>
  <c r="AQ166" i="7" s="1"/>
  <c r="AO165" i="7"/>
  <c r="AR166" i="7" s="1"/>
  <c r="O166" i="7"/>
  <c r="AM166" i="7" s="1"/>
  <c r="AN166" i="7" s="1"/>
  <c r="AO166" i="7" s="1"/>
  <c r="P166" i="7"/>
  <c r="Q166" i="7"/>
  <c r="R166" i="7"/>
  <c r="S166" i="7"/>
  <c r="T166" i="7"/>
  <c r="AB166" i="7"/>
  <c r="AF166" i="7"/>
  <c r="O167" i="7"/>
  <c r="P167" i="7"/>
  <c r="Q167" i="7"/>
  <c r="R167" i="7"/>
  <c r="S167" i="7"/>
  <c r="T167" i="7"/>
  <c r="AM167" i="7"/>
  <c r="AN167" i="7"/>
  <c r="AO167" i="7" s="1"/>
  <c r="O168" i="7"/>
  <c r="P168" i="7"/>
  <c r="Q168" i="7"/>
  <c r="R168" i="7"/>
  <c r="S168" i="7"/>
  <c r="T168" i="7"/>
  <c r="O169" i="7"/>
  <c r="P169" i="7"/>
  <c r="Q169" i="7"/>
  <c r="R169" i="7"/>
  <c r="S169" i="7"/>
  <c r="T169" i="7"/>
  <c r="U169" i="7"/>
  <c r="AB169" i="7"/>
  <c r="AF169" i="7"/>
  <c r="O170" i="7"/>
  <c r="AM170" i="7" s="1"/>
  <c r="AN170" i="7" s="1"/>
  <c r="AO170" i="7" s="1"/>
  <c r="P170" i="7"/>
  <c r="Q170" i="7"/>
  <c r="R170" i="7"/>
  <c r="S170" i="7"/>
  <c r="T170" i="7"/>
  <c r="O171" i="7"/>
  <c r="P171" i="7"/>
  <c r="AM171" i="7" s="1"/>
  <c r="Q171" i="7"/>
  <c r="R171" i="7"/>
  <c r="V172" i="7" s="1"/>
  <c r="O172" i="7"/>
  <c r="P172" i="7"/>
  <c r="Q172" i="7"/>
  <c r="R172" i="7"/>
  <c r="S172" i="7"/>
  <c r="T172" i="7"/>
  <c r="AB172" i="7"/>
  <c r="AF172" i="7"/>
  <c r="AM172" i="7"/>
  <c r="AN172" i="7"/>
  <c r="AO172" i="7"/>
  <c r="O173" i="7"/>
  <c r="P173" i="7"/>
  <c r="Q173" i="7"/>
  <c r="R173" i="7"/>
  <c r="S173" i="7"/>
  <c r="T173" i="7"/>
  <c r="AM173" i="7"/>
  <c r="AN173" i="7"/>
  <c r="AO173" i="7"/>
  <c r="O174" i="7"/>
  <c r="AM174" i="7" s="1"/>
  <c r="P174" i="7"/>
  <c r="Q174" i="7"/>
  <c r="R174" i="7"/>
  <c r="S174" i="7"/>
  <c r="T174" i="7"/>
  <c r="O175" i="7"/>
  <c r="AM175" i="7" s="1"/>
  <c r="AN175" i="7" s="1"/>
  <c r="AO175" i="7" s="1"/>
  <c r="P175" i="7"/>
  <c r="Q175" i="7"/>
  <c r="R175" i="7"/>
  <c r="S175" i="7"/>
  <c r="AB175" i="7"/>
  <c r="AF175" i="7"/>
  <c r="O176" i="7"/>
  <c r="P176" i="7"/>
  <c r="Q176" i="7"/>
  <c r="R176" i="7"/>
  <c r="V175" i="7" s="1"/>
  <c r="S176" i="7"/>
  <c r="O177" i="7"/>
  <c r="P177" i="7"/>
  <c r="Q177" i="7"/>
  <c r="R177" i="7"/>
  <c r="V178" i="7" s="1"/>
  <c r="S177" i="7"/>
  <c r="W178" i="7" s="1"/>
  <c r="O178" i="7"/>
  <c r="P178" i="7"/>
  <c r="Q178" i="7"/>
  <c r="R178" i="7"/>
  <c r="S178" i="7"/>
  <c r="T178" i="7"/>
  <c r="U178" i="7"/>
  <c r="AB178" i="7"/>
  <c r="AF178" i="7"/>
  <c r="O179" i="7"/>
  <c r="P179" i="7"/>
  <c r="Q179" i="7"/>
  <c r="R179" i="7"/>
  <c r="S179" i="7"/>
  <c r="T179" i="7"/>
  <c r="O180" i="7"/>
  <c r="P180" i="7"/>
  <c r="Q180" i="7"/>
  <c r="R180" i="7"/>
  <c r="S180" i="7"/>
  <c r="T180" i="7"/>
  <c r="AM180" i="7"/>
  <c r="AN180" i="7"/>
  <c r="AO180" i="7"/>
  <c r="O181" i="7"/>
  <c r="P181" i="7"/>
  <c r="Q181" i="7"/>
  <c r="R181" i="7"/>
  <c r="S181" i="7"/>
  <c r="U181" i="7"/>
  <c r="AB181" i="7"/>
  <c r="AF181" i="7"/>
  <c r="O182" i="7"/>
  <c r="P182" i="7"/>
  <c r="Q182" i="7"/>
  <c r="R182" i="7"/>
  <c r="AM182" i="7"/>
  <c r="AN182" i="7"/>
  <c r="AO182" i="7" s="1"/>
  <c r="O183" i="7"/>
  <c r="P183" i="7"/>
  <c r="Q183" i="7"/>
  <c r="U184" i="7" s="1"/>
  <c r="R183" i="7"/>
  <c r="V184" i="7" s="1"/>
  <c r="S183" i="7"/>
  <c r="T183" i="7"/>
  <c r="AM183" i="7"/>
  <c r="O184" i="7"/>
  <c r="P184" i="7"/>
  <c r="Q184" i="7"/>
  <c r="R184" i="7"/>
  <c r="S184" i="7"/>
  <c r="T184" i="7"/>
  <c r="AB184" i="7"/>
  <c r="AF184" i="7"/>
  <c r="O185" i="7"/>
  <c r="P185" i="7"/>
  <c r="Q185" i="7"/>
  <c r="R185" i="7"/>
  <c r="S185" i="7"/>
  <c r="T185" i="7"/>
  <c r="AM185" i="7"/>
  <c r="AN185" i="7"/>
  <c r="AO185" i="7"/>
  <c r="O186" i="7"/>
  <c r="AM186" i="7" s="1"/>
  <c r="P186" i="7"/>
  <c r="Q186" i="7"/>
  <c r="R186" i="7"/>
  <c r="V187" i="7" s="1"/>
  <c r="S186" i="7"/>
  <c r="W187" i="7" s="1"/>
  <c r="T186" i="7"/>
  <c r="O187" i="7"/>
  <c r="P187" i="7"/>
  <c r="Q187" i="7"/>
  <c r="R187" i="7"/>
  <c r="S187" i="7"/>
  <c r="AB187" i="7"/>
  <c r="AF187" i="7"/>
  <c r="O188" i="7"/>
  <c r="P188" i="7"/>
  <c r="Q188" i="7"/>
  <c r="R188" i="7"/>
  <c r="S188" i="7"/>
  <c r="AM188" i="7"/>
  <c r="AN188" i="7"/>
  <c r="AO188" i="7"/>
  <c r="O189" i="7"/>
  <c r="P189" i="7"/>
  <c r="Q189" i="7"/>
  <c r="R189" i="7"/>
  <c r="S189" i="7"/>
  <c r="T189" i="7"/>
  <c r="AM189" i="7"/>
  <c r="AN189" i="7"/>
  <c r="AO189" i="7"/>
  <c r="O190" i="7"/>
  <c r="P190" i="7"/>
  <c r="Q190" i="7"/>
  <c r="T190" i="7" s="1"/>
  <c r="R190" i="7"/>
  <c r="S190" i="7"/>
  <c r="AB190" i="7"/>
  <c r="AF190" i="7"/>
  <c r="O191" i="7"/>
  <c r="P191" i="7"/>
  <c r="Q191" i="7"/>
  <c r="R191" i="7"/>
  <c r="S191" i="7"/>
  <c r="T191" i="7"/>
  <c r="AM191" i="7"/>
  <c r="AN191" i="7"/>
  <c r="AO191" i="7"/>
  <c r="O192" i="7"/>
  <c r="P192" i="7"/>
  <c r="Q192" i="7"/>
  <c r="U193" i="7" s="1"/>
  <c r="R192" i="7"/>
  <c r="V193" i="7" s="1"/>
  <c r="S192" i="7"/>
  <c r="W193" i="7" s="1"/>
  <c r="T192" i="7"/>
  <c r="AM192" i="7"/>
  <c r="AN192" i="7"/>
  <c r="AO192" i="7"/>
  <c r="O193" i="7"/>
  <c r="P193" i="7"/>
  <c r="Q193" i="7"/>
  <c r="R193" i="7"/>
  <c r="S193" i="7"/>
  <c r="T193" i="7"/>
  <c r="AB193" i="7"/>
  <c r="AF193" i="7"/>
  <c r="AM193" i="7"/>
  <c r="AN193" i="7" s="1"/>
  <c r="AO193" i="7" s="1"/>
  <c r="O194" i="7"/>
  <c r="P194" i="7"/>
  <c r="Q194" i="7"/>
  <c r="R194" i="7"/>
  <c r="S194" i="7"/>
  <c r="T194" i="7"/>
  <c r="AM194" i="7"/>
  <c r="AN194" i="7"/>
  <c r="AO194" i="7"/>
  <c r="L196" i="7"/>
  <c r="N196" i="7" s="1"/>
  <c r="M196" i="7"/>
  <c r="H15" i="6"/>
  <c r="J15" i="6"/>
  <c r="H16" i="6"/>
  <c r="J16" i="6"/>
  <c r="H17" i="6"/>
  <c r="J17" i="6"/>
  <c r="H18" i="6"/>
  <c r="J18" i="6"/>
  <c r="H19" i="6"/>
  <c r="J19" i="6"/>
  <c r="H20" i="6"/>
  <c r="J20" i="6"/>
  <c r="H21" i="6"/>
  <c r="J21" i="6"/>
  <c r="H22" i="6"/>
  <c r="J22" i="6"/>
  <c r="H23" i="6"/>
  <c r="J23" i="6"/>
  <c r="H24" i="6"/>
  <c r="J24" i="6"/>
  <c r="H25" i="6"/>
  <c r="J25" i="6"/>
  <c r="H26" i="6"/>
  <c r="J26" i="6"/>
  <c r="H27" i="6"/>
  <c r="J27" i="6"/>
  <c r="H28" i="6"/>
  <c r="J28" i="6"/>
  <c r="H29" i="6"/>
  <c r="J29" i="6"/>
  <c r="H30" i="6"/>
  <c r="J30" i="6"/>
  <c r="H31" i="6"/>
  <c r="J31" i="6"/>
  <c r="H32" i="6"/>
  <c r="J32" i="6"/>
  <c r="H33" i="6"/>
  <c r="J33" i="6"/>
  <c r="H34" i="6"/>
  <c r="J34" i="6"/>
  <c r="H35" i="6"/>
  <c r="J35" i="6"/>
  <c r="H36" i="6"/>
  <c r="J36" i="6"/>
  <c r="H37" i="6"/>
  <c r="J37" i="6"/>
  <c r="H38" i="6"/>
  <c r="J38" i="6"/>
  <c r="H39" i="6"/>
  <c r="J39" i="6"/>
  <c r="H40" i="6"/>
  <c r="J40" i="6"/>
  <c r="H41" i="6"/>
  <c r="J41" i="6"/>
  <c r="H42" i="6"/>
  <c r="J42" i="6"/>
  <c r="H43" i="6"/>
  <c r="J43" i="6"/>
  <c r="H44" i="6"/>
  <c r="J44" i="6"/>
  <c r="H45" i="6"/>
  <c r="J45" i="6"/>
  <c r="H46" i="6"/>
  <c r="J46" i="6"/>
  <c r="H47" i="6"/>
  <c r="J47" i="6"/>
  <c r="H48" i="6"/>
  <c r="J48" i="6"/>
  <c r="H49" i="6"/>
  <c r="J49" i="6"/>
  <c r="H50" i="6"/>
  <c r="J50" i="6"/>
  <c r="H51" i="6"/>
  <c r="J51" i="6"/>
  <c r="H52" i="6"/>
  <c r="J52" i="6"/>
  <c r="H53" i="6"/>
  <c r="J53" i="6"/>
  <c r="H54" i="6"/>
  <c r="J54" i="6"/>
  <c r="H55" i="6"/>
  <c r="J55" i="6"/>
  <c r="H56" i="6"/>
  <c r="J56" i="6"/>
  <c r="H57" i="6"/>
  <c r="J57" i="6"/>
  <c r="H58" i="6"/>
  <c r="J58" i="6"/>
  <c r="H59" i="6"/>
  <c r="J59" i="6"/>
  <c r="H60" i="6"/>
  <c r="J60" i="6"/>
  <c r="H61" i="6"/>
  <c r="J61" i="6"/>
  <c r="H62" i="6"/>
  <c r="J62" i="6"/>
  <c r="H63" i="6"/>
  <c r="J63" i="6"/>
  <c r="H64" i="6"/>
  <c r="J64" i="6"/>
  <c r="H65" i="6"/>
  <c r="J65" i="6"/>
  <c r="H66" i="6"/>
  <c r="J66" i="6"/>
  <c r="H67" i="6"/>
  <c r="J67" i="6"/>
  <c r="H68" i="6"/>
  <c r="J68" i="6"/>
  <c r="H69" i="6"/>
  <c r="J69" i="6"/>
  <c r="H70" i="6"/>
  <c r="J70" i="6"/>
  <c r="H71" i="6"/>
  <c r="J71" i="6"/>
  <c r="H72" i="6"/>
  <c r="J72" i="6"/>
  <c r="H73" i="6"/>
  <c r="J73" i="6"/>
  <c r="H74" i="6"/>
  <c r="J74" i="6"/>
  <c r="H75" i="6"/>
  <c r="J75" i="6"/>
  <c r="H76" i="6"/>
  <c r="J76" i="6"/>
  <c r="H77" i="6"/>
  <c r="J77" i="6"/>
  <c r="H78" i="6"/>
  <c r="J78" i="6"/>
  <c r="H79" i="6"/>
  <c r="J79" i="6"/>
  <c r="H80" i="6"/>
  <c r="J80" i="6"/>
  <c r="H81" i="6"/>
  <c r="J81" i="6"/>
  <c r="H82" i="6"/>
  <c r="J82" i="6"/>
  <c r="H83" i="6"/>
  <c r="J83" i="6"/>
  <c r="H84" i="6"/>
  <c r="J84" i="6"/>
  <c r="H85" i="6"/>
  <c r="J85" i="6"/>
  <c r="H86" i="6"/>
  <c r="J86" i="6"/>
  <c r="H87" i="6"/>
  <c r="J87" i="6"/>
  <c r="H88" i="6"/>
  <c r="J88" i="6"/>
  <c r="H89" i="6"/>
  <c r="J89" i="6"/>
  <c r="H90" i="6"/>
  <c r="J90" i="6"/>
  <c r="H91" i="6"/>
  <c r="J91" i="6"/>
  <c r="H92" i="6"/>
  <c r="J92" i="6"/>
  <c r="H93" i="6"/>
  <c r="J93" i="6"/>
  <c r="H94" i="6"/>
  <c r="J94" i="6"/>
  <c r="H95" i="6"/>
  <c r="J95" i="6"/>
  <c r="H96" i="6"/>
  <c r="J96" i="6"/>
  <c r="H97" i="6"/>
  <c r="J97" i="6"/>
  <c r="H98" i="6"/>
  <c r="J98" i="6"/>
  <c r="H99" i="6"/>
  <c r="J99" i="6"/>
  <c r="H100" i="6"/>
  <c r="J100" i="6"/>
  <c r="H101" i="6"/>
  <c r="J101" i="6"/>
  <c r="H102" i="6"/>
  <c r="J102" i="6"/>
  <c r="H103" i="6"/>
  <c r="J103" i="6"/>
  <c r="H104" i="6"/>
  <c r="J104" i="6"/>
  <c r="H105" i="6"/>
  <c r="J105" i="6"/>
  <c r="H106" i="6"/>
  <c r="J106" i="6"/>
  <c r="H107" i="6"/>
  <c r="J107" i="6"/>
  <c r="H108" i="6"/>
  <c r="J108" i="6"/>
  <c r="H109" i="6"/>
  <c r="J109" i="6"/>
  <c r="H110" i="6"/>
  <c r="J110" i="6"/>
  <c r="H111" i="6"/>
  <c r="J111" i="6"/>
  <c r="H112" i="6"/>
  <c r="J112" i="6"/>
  <c r="H113" i="6"/>
  <c r="J113" i="6"/>
  <c r="H114" i="6"/>
  <c r="J114" i="6"/>
  <c r="H115" i="6"/>
  <c r="J115" i="6"/>
  <c r="H116" i="6"/>
  <c r="J116" i="6"/>
  <c r="H117" i="6"/>
  <c r="J117" i="6"/>
  <c r="H118" i="6"/>
  <c r="J118" i="6"/>
  <c r="H119" i="6"/>
  <c r="J119" i="6"/>
  <c r="H120" i="6"/>
  <c r="J120" i="6"/>
  <c r="H121" i="6"/>
  <c r="J121" i="6"/>
  <c r="H122" i="6"/>
  <c r="J122" i="6"/>
  <c r="H123" i="6"/>
  <c r="J123" i="6"/>
  <c r="H124" i="6"/>
  <c r="J124" i="6"/>
  <c r="H125" i="6"/>
  <c r="J125" i="6"/>
  <c r="H126" i="6"/>
  <c r="J126" i="6"/>
  <c r="H127" i="6"/>
  <c r="J127" i="6"/>
  <c r="H128" i="6"/>
  <c r="J128" i="6"/>
  <c r="H129" i="6"/>
  <c r="J129" i="6"/>
  <c r="H130" i="6"/>
  <c r="J130" i="6"/>
  <c r="H131" i="6"/>
  <c r="J131" i="6"/>
  <c r="H132" i="6"/>
  <c r="J132" i="6"/>
  <c r="H133" i="6"/>
  <c r="J133" i="6"/>
  <c r="H134" i="6"/>
  <c r="J134" i="6"/>
  <c r="H135" i="6"/>
  <c r="J135" i="6"/>
  <c r="H136" i="6"/>
  <c r="J136" i="6"/>
  <c r="H137" i="6"/>
  <c r="J137" i="6"/>
  <c r="H138" i="6"/>
  <c r="J138" i="6"/>
  <c r="H139" i="6"/>
  <c r="J139" i="6"/>
  <c r="H140" i="6"/>
  <c r="J140" i="6"/>
  <c r="H141" i="6"/>
  <c r="J141" i="6"/>
  <c r="H142" i="6"/>
  <c r="J142" i="6"/>
  <c r="H143" i="6"/>
  <c r="J143" i="6"/>
  <c r="H144" i="6"/>
  <c r="J144" i="6"/>
  <c r="H145" i="6"/>
  <c r="J145" i="6"/>
  <c r="H146" i="6"/>
  <c r="J146" i="6"/>
  <c r="H147" i="6"/>
  <c r="J147" i="6"/>
  <c r="H148" i="6"/>
  <c r="J148" i="6"/>
  <c r="H149" i="6"/>
  <c r="J149" i="6"/>
  <c r="H150" i="6"/>
  <c r="J150" i="6"/>
  <c r="H151" i="6"/>
  <c r="J151" i="6"/>
  <c r="H152" i="6"/>
  <c r="J152" i="6"/>
  <c r="H153" i="6"/>
  <c r="J153" i="6"/>
  <c r="H154" i="6"/>
  <c r="J154" i="6"/>
  <c r="H155" i="6"/>
  <c r="J155" i="6"/>
  <c r="H156" i="6"/>
  <c r="J156" i="6"/>
  <c r="H157" i="6"/>
  <c r="J157" i="6"/>
  <c r="H158" i="6"/>
  <c r="J158" i="6"/>
  <c r="H159" i="6"/>
  <c r="J159" i="6"/>
  <c r="H160" i="6"/>
  <c r="J160" i="6"/>
  <c r="H161" i="6"/>
  <c r="J161" i="6"/>
  <c r="H162" i="6"/>
  <c r="J162" i="6"/>
  <c r="H163" i="6"/>
  <c r="J163" i="6"/>
  <c r="H164" i="6"/>
  <c r="J164" i="6"/>
  <c r="H165" i="6"/>
  <c r="J165" i="6"/>
  <c r="H166" i="6"/>
  <c r="J166" i="6"/>
  <c r="H167" i="6"/>
  <c r="J167" i="6"/>
  <c r="H168" i="6"/>
  <c r="J168" i="6"/>
  <c r="H169" i="6"/>
  <c r="J169" i="6"/>
  <c r="H170" i="6"/>
  <c r="J170" i="6"/>
  <c r="H171" i="6"/>
  <c r="J171" i="6"/>
  <c r="H172" i="6"/>
  <c r="J172" i="6"/>
  <c r="H173" i="6"/>
  <c r="J173" i="6"/>
  <c r="H174" i="6"/>
  <c r="J174" i="6"/>
  <c r="H175" i="6"/>
  <c r="J175" i="6"/>
  <c r="H176" i="6"/>
  <c r="J176" i="6"/>
  <c r="H177" i="6"/>
  <c r="J177" i="6"/>
  <c r="H178" i="6"/>
  <c r="J178" i="6"/>
  <c r="H179" i="6"/>
  <c r="J179" i="6"/>
  <c r="H180" i="6"/>
  <c r="J180" i="6"/>
  <c r="H181" i="6"/>
  <c r="J181" i="6"/>
  <c r="H182" i="6"/>
  <c r="J182" i="6"/>
  <c r="H183" i="6"/>
  <c r="J183" i="6"/>
  <c r="H184" i="6"/>
  <c r="J184" i="6"/>
  <c r="H185" i="6"/>
  <c r="J185" i="6"/>
  <c r="H186" i="6"/>
  <c r="J186" i="6"/>
  <c r="H187" i="6"/>
  <c r="J187" i="6"/>
  <c r="H188" i="6"/>
  <c r="J188" i="6"/>
  <c r="H189" i="6"/>
  <c r="J189" i="6"/>
  <c r="H190" i="6"/>
  <c r="J190" i="6"/>
  <c r="H191" i="6"/>
  <c r="J191" i="6"/>
  <c r="H192" i="6"/>
  <c r="J192" i="6"/>
  <c r="H193" i="6"/>
  <c r="J193" i="6"/>
  <c r="H194" i="6"/>
  <c r="J194" i="6"/>
  <c r="H195" i="6"/>
  <c r="J195" i="6"/>
  <c r="H196" i="6"/>
  <c r="J196" i="6"/>
  <c r="H197" i="6"/>
  <c r="J197" i="6"/>
  <c r="H198" i="6"/>
  <c r="J198" i="6"/>
  <c r="H199" i="6"/>
  <c r="J199" i="6"/>
  <c r="H200" i="6"/>
  <c r="J200" i="6"/>
  <c r="H201" i="6"/>
  <c r="J201" i="6"/>
  <c r="H202" i="6"/>
  <c r="J202" i="6"/>
  <c r="H203" i="6"/>
  <c r="J203" i="6"/>
  <c r="H204" i="6"/>
  <c r="J204" i="6"/>
  <c r="H205" i="6"/>
  <c r="J205" i="6"/>
  <c r="H206" i="6"/>
  <c r="J206" i="6"/>
  <c r="J16" i="5"/>
  <c r="K16" i="5"/>
  <c r="L16" i="5"/>
  <c r="J17" i="5"/>
  <c r="K17" i="5"/>
  <c r="L17" i="5"/>
  <c r="J18" i="5"/>
  <c r="K18" i="5"/>
  <c r="L18" i="5"/>
  <c r="L209" i="5" s="1"/>
  <c r="J19" i="5"/>
  <c r="K19" i="5"/>
  <c r="L19" i="5"/>
  <c r="J20" i="5"/>
  <c r="K20" i="5"/>
  <c r="L20" i="5"/>
  <c r="J21" i="5"/>
  <c r="K21" i="5"/>
  <c r="L21" i="5"/>
  <c r="J22" i="5"/>
  <c r="K22" i="5"/>
  <c r="L22" i="5"/>
  <c r="J23" i="5"/>
  <c r="K23" i="5"/>
  <c r="L23" i="5"/>
  <c r="J24" i="5"/>
  <c r="K24" i="5"/>
  <c r="L24" i="5"/>
  <c r="J25" i="5"/>
  <c r="K25" i="5"/>
  <c r="L25" i="5"/>
  <c r="J26" i="5"/>
  <c r="K26" i="5"/>
  <c r="L26" i="5"/>
  <c r="J27" i="5"/>
  <c r="K27" i="5"/>
  <c r="L27" i="5"/>
  <c r="J28" i="5"/>
  <c r="K28" i="5"/>
  <c r="L28" i="5"/>
  <c r="J29" i="5"/>
  <c r="K29" i="5"/>
  <c r="L29" i="5"/>
  <c r="J30" i="5"/>
  <c r="K30" i="5"/>
  <c r="L30" i="5"/>
  <c r="J31" i="5"/>
  <c r="K31" i="5"/>
  <c r="L31" i="5"/>
  <c r="J32" i="5"/>
  <c r="K32" i="5"/>
  <c r="L32" i="5"/>
  <c r="J33" i="5"/>
  <c r="K33" i="5"/>
  <c r="L33" i="5"/>
  <c r="J34" i="5"/>
  <c r="K34" i="5"/>
  <c r="L34" i="5"/>
  <c r="J35" i="5"/>
  <c r="K35" i="5"/>
  <c r="L35" i="5"/>
  <c r="J36" i="5"/>
  <c r="K36" i="5"/>
  <c r="L36" i="5"/>
  <c r="J37" i="5"/>
  <c r="J209" i="5" s="1"/>
  <c r="K37" i="5"/>
  <c r="L37" i="5"/>
  <c r="J38" i="5"/>
  <c r="K38" i="5"/>
  <c r="L38" i="5"/>
  <c r="J39" i="5"/>
  <c r="K39" i="5"/>
  <c r="L39" i="5"/>
  <c r="J40" i="5"/>
  <c r="K40" i="5"/>
  <c r="L40" i="5"/>
  <c r="J41" i="5"/>
  <c r="K41" i="5"/>
  <c r="L41" i="5"/>
  <c r="J42" i="5"/>
  <c r="K42" i="5"/>
  <c r="L42" i="5"/>
  <c r="J43" i="5"/>
  <c r="K43" i="5"/>
  <c r="L43" i="5"/>
  <c r="J44" i="5"/>
  <c r="K44" i="5"/>
  <c r="L44" i="5"/>
  <c r="J45" i="5"/>
  <c r="K45" i="5"/>
  <c r="L45" i="5"/>
  <c r="J46" i="5"/>
  <c r="K46" i="5"/>
  <c r="L46" i="5"/>
  <c r="J47" i="5"/>
  <c r="K47" i="5"/>
  <c r="L47" i="5"/>
  <c r="J48" i="5"/>
  <c r="K48" i="5"/>
  <c r="L48" i="5"/>
  <c r="J49" i="5"/>
  <c r="K49" i="5"/>
  <c r="L49" i="5"/>
  <c r="J50" i="5"/>
  <c r="K50" i="5"/>
  <c r="L50" i="5"/>
  <c r="J51" i="5"/>
  <c r="K51" i="5"/>
  <c r="L51" i="5"/>
  <c r="J52" i="5"/>
  <c r="K52" i="5"/>
  <c r="L52" i="5"/>
  <c r="J53" i="5"/>
  <c r="K53" i="5"/>
  <c r="L53" i="5"/>
  <c r="J54" i="5"/>
  <c r="K54" i="5"/>
  <c r="L54" i="5"/>
  <c r="J55" i="5"/>
  <c r="K55" i="5"/>
  <c r="L55" i="5"/>
  <c r="J56" i="5"/>
  <c r="K56" i="5"/>
  <c r="L56" i="5"/>
  <c r="J57" i="5"/>
  <c r="K57" i="5"/>
  <c r="L57" i="5"/>
  <c r="J58" i="5"/>
  <c r="K58" i="5"/>
  <c r="L58" i="5"/>
  <c r="J59" i="5"/>
  <c r="K59" i="5"/>
  <c r="L59" i="5"/>
  <c r="J60" i="5"/>
  <c r="K60" i="5"/>
  <c r="L60" i="5"/>
  <c r="K61" i="5"/>
  <c r="J62" i="5"/>
  <c r="K62" i="5"/>
  <c r="L62" i="5"/>
  <c r="J63" i="5"/>
  <c r="K63" i="5"/>
  <c r="L63" i="5"/>
  <c r="J64" i="5"/>
  <c r="K64" i="5"/>
  <c r="L64" i="5"/>
  <c r="J65" i="5"/>
  <c r="K65" i="5"/>
  <c r="L65" i="5"/>
  <c r="J66" i="5"/>
  <c r="K66" i="5"/>
  <c r="L66" i="5"/>
  <c r="J67" i="5"/>
  <c r="K67" i="5"/>
  <c r="L67" i="5"/>
  <c r="J68" i="5"/>
  <c r="K68" i="5"/>
  <c r="L68" i="5"/>
  <c r="J69" i="5"/>
  <c r="K69" i="5"/>
  <c r="L69" i="5"/>
  <c r="J70" i="5"/>
  <c r="K70" i="5"/>
  <c r="L70" i="5"/>
  <c r="J71" i="5"/>
  <c r="K71" i="5"/>
  <c r="L71" i="5"/>
  <c r="J72" i="5"/>
  <c r="K72" i="5"/>
  <c r="L72" i="5"/>
  <c r="J73" i="5"/>
  <c r="K73" i="5"/>
  <c r="L73" i="5"/>
  <c r="J74" i="5"/>
  <c r="K74" i="5"/>
  <c r="L74" i="5"/>
  <c r="J75" i="5"/>
  <c r="K75" i="5"/>
  <c r="L75" i="5"/>
  <c r="J76" i="5"/>
  <c r="K76" i="5"/>
  <c r="L76" i="5"/>
  <c r="J77" i="5"/>
  <c r="K77" i="5"/>
  <c r="L77" i="5"/>
  <c r="J78" i="5"/>
  <c r="K78" i="5"/>
  <c r="L78" i="5"/>
  <c r="J79" i="5"/>
  <c r="K79" i="5"/>
  <c r="L79" i="5"/>
  <c r="J80" i="5"/>
  <c r="K80" i="5"/>
  <c r="L80" i="5"/>
  <c r="J81" i="5"/>
  <c r="K81" i="5"/>
  <c r="L81" i="5"/>
  <c r="J82" i="5"/>
  <c r="K82" i="5"/>
  <c r="L82" i="5"/>
  <c r="J83" i="5"/>
  <c r="K83" i="5"/>
  <c r="L83" i="5"/>
  <c r="J84" i="5"/>
  <c r="K84" i="5"/>
  <c r="L84" i="5"/>
  <c r="J85" i="5"/>
  <c r="K85" i="5"/>
  <c r="L85" i="5"/>
  <c r="J86" i="5"/>
  <c r="K86" i="5"/>
  <c r="L86" i="5"/>
  <c r="J87" i="5"/>
  <c r="K87" i="5"/>
  <c r="L87" i="5"/>
  <c r="J88" i="5"/>
  <c r="K88" i="5"/>
  <c r="L88" i="5"/>
  <c r="J89" i="5"/>
  <c r="K89" i="5"/>
  <c r="L89" i="5"/>
  <c r="J90" i="5"/>
  <c r="K90" i="5"/>
  <c r="L90" i="5"/>
  <c r="J91" i="5"/>
  <c r="K91" i="5"/>
  <c r="L91" i="5"/>
  <c r="J92" i="5"/>
  <c r="K92" i="5"/>
  <c r="L92" i="5"/>
  <c r="J93" i="5"/>
  <c r="K93" i="5"/>
  <c r="L93" i="5"/>
  <c r="J94" i="5"/>
  <c r="K94" i="5"/>
  <c r="L94" i="5"/>
  <c r="J95" i="5"/>
  <c r="K95" i="5"/>
  <c r="L95" i="5"/>
  <c r="J96" i="5"/>
  <c r="K96" i="5"/>
  <c r="L96" i="5"/>
  <c r="J97" i="5"/>
  <c r="K97" i="5"/>
  <c r="L97" i="5"/>
  <c r="J98" i="5"/>
  <c r="K98" i="5"/>
  <c r="L98" i="5"/>
  <c r="J99" i="5"/>
  <c r="K99" i="5"/>
  <c r="L99" i="5"/>
  <c r="J100" i="5"/>
  <c r="K100" i="5"/>
  <c r="L100" i="5"/>
  <c r="J101" i="5"/>
  <c r="K101" i="5"/>
  <c r="L101" i="5"/>
  <c r="J102" i="5"/>
  <c r="K102" i="5"/>
  <c r="L102" i="5"/>
  <c r="J103" i="5"/>
  <c r="K103" i="5"/>
  <c r="L103" i="5"/>
  <c r="J104" i="5"/>
  <c r="K104" i="5"/>
  <c r="L104" i="5"/>
  <c r="J105" i="5"/>
  <c r="K105" i="5"/>
  <c r="L105" i="5"/>
  <c r="J106" i="5"/>
  <c r="K106" i="5"/>
  <c r="L106" i="5"/>
  <c r="J107" i="5"/>
  <c r="K107" i="5"/>
  <c r="L107" i="5"/>
  <c r="J108" i="5"/>
  <c r="K108" i="5"/>
  <c r="L108" i="5"/>
  <c r="J109" i="5"/>
  <c r="K109" i="5"/>
  <c r="L109" i="5"/>
  <c r="J110" i="5"/>
  <c r="K110" i="5"/>
  <c r="L110" i="5"/>
  <c r="J111" i="5"/>
  <c r="K111" i="5"/>
  <c r="L111" i="5"/>
  <c r="J112" i="5"/>
  <c r="K112" i="5"/>
  <c r="L112" i="5"/>
  <c r="J113" i="5"/>
  <c r="K113" i="5"/>
  <c r="L113" i="5"/>
  <c r="J114" i="5"/>
  <c r="K114" i="5"/>
  <c r="L114" i="5"/>
  <c r="J115" i="5"/>
  <c r="K115" i="5"/>
  <c r="L115" i="5"/>
  <c r="J116" i="5"/>
  <c r="K116" i="5"/>
  <c r="L116" i="5"/>
  <c r="J117" i="5"/>
  <c r="K117" i="5"/>
  <c r="L117" i="5"/>
  <c r="J118" i="5"/>
  <c r="K118" i="5"/>
  <c r="L118" i="5"/>
  <c r="J119" i="5"/>
  <c r="K119" i="5"/>
  <c r="L119" i="5"/>
  <c r="J120" i="5"/>
  <c r="K120" i="5"/>
  <c r="L120" i="5"/>
  <c r="J121" i="5"/>
  <c r="K121" i="5"/>
  <c r="L121" i="5"/>
  <c r="J122" i="5"/>
  <c r="K122" i="5"/>
  <c r="L122" i="5"/>
  <c r="J123" i="5"/>
  <c r="K123" i="5"/>
  <c r="L123" i="5"/>
  <c r="J124" i="5"/>
  <c r="K124" i="5"/>
  <c r="L124" i="5"/>
  <c r="J125" i="5"/>
  <c r="K125" i="5"/>
  <c r="L125" i="5"/>
  <c r="J126" i="5"/>
  <c r="K126" i="5"/>
  <c r="L126" i="5"/>
  <c r="J127" i="5"/>
  <c r="K127" i="5"/>
  <c r="L127" i="5"/>
  <c r="J128" i="5"/>
  <c r="K128" i="5"/>
  <c r="L128" i="5"/>
  <c r="J129" i="5"/>
  <c r="K129" i="5"/>
  <c r="L129" i="5"/>
  <c r="J130" i="5"/>
  <c r="K130" i="5"/>
  <c r="L130" i="5"/>
  <c r="J131" i="5"/>
  <c r="K131" i="5"/>
  <c r="L131" i="5"/>
  <c r="J132" i="5"/>
  <c r="K132" i="5"/>
  <c r="L132" i="5"/>
  <c r="J133" i="5"/>
  <c r="K133" i="5"/>
  <c r="L133" i="5"/>
  <c r="J134" i="5"/>
  <c r="K134" i="5"/>
  <c r="L134" i="5"/>
  <c r="J135" i="5"/>
  <c r="K135" i="5"/>
  <c r="L135" i="5"/>
  <c r="J136" i="5"/>
  <c r="K136" i="5"/>
  <c r="L136" i="5"/>
  <c r="J137" i="5"/>
  <c r="K137" i="5"/>
  <c r="L137" i="5"/>
  <c r="J138" i="5"/>
  <c r="K138" i="5"/>
  <c r="L138" i="5"/>
  <c r="J139" i="5"/>
  <c r="K139" i="5"/>
  <c r="L139" i="5"/>
  <c r="J140" i="5"/>
  <c r="K140" i="5"/>
  <c r="L140" i="5"/>
  <c r="J141" i="5"/>
  <c r="K141" i="5"/>
  <c r="L141" i="5"/>
  <c r="J142" i="5"/>
  <c r="K142" i="5"/>
  <c r="L142" i="5"/>
  <c r="J143" i="5"/>
  <c r="K143" i="5"/>
  <c r="L143" i="5"/>
  <c r="J144" i="5"/>
  <c r="K144" i="5"/>
  <c r="L144" i="5"/>
  <c r="J145" i="5"/>
  <c r="K145" i="5"/>
  <c r="L145" i="5"/>
  <c r="J146" i="5"/>
  <c r="K146" i="5"/>
  <c r="L146" i="5"/>
  <c r="J147" i="5"/>
  <c r="K147" i="5"/>
  <c r="L147" i="5"/>
  <c r="J148" i="5"/>
  <c r="K148" i="5"/>
  <c r="L148" i="5"/>
  <c r="J149" i="5"/>
  <c r="K149" i="5"/>
  <c r="L149" i="5"/>
  <c r="J150" i="5"/>
  <c r="K150" i="5"/>
  <c r="L150" i="5"/>
  <c r="J151" i="5"/>
  <c r="K151" i="5"/>
  <c r="L151" i="5"/>
  <c r="J152" i="5"/>
  <c r="K152" i="5"/>
  <c r="L152" i="5"/>
  <c r="J153" i="5"/>
  <c r="K153" i="5"/>
  <c r="L153" i="5"/>
  <c r="J154" i="5"/>
  <c r="K154" i="5"/>
  <c r="L154" i="5"/>
  <c r="J155" i="5"/>
  <c r="K155" i="5"/>
  <c r="L155" i="5"/>
  <c r="J156" i="5"/>
  <c r="K156" i="5"/>
  <c r="L156" i="5"/>
  <c r="J157" i="5"/>
  <c r="K157" i="5"/>
  <c r="L157" i="5"/>
  <c r="J158" i="5"/>
  <c r="K158" i="5"/>
  <c r="L158" i="5"/>
  <c r="J159" i="5"/>
  <c r="K159" i="5"/>
  <c r="L159" i="5"/>
  <c r="J160" i="5"/>
  <c r="K160" i="5"/>
  <c r="L160" i="5"/>
  <c r="J161" i="5"/>
  <c r="K161" i="5"/>
  <c r="L161" i="5"/>
  <c r="J162" i="5"/>
  <c r="K162" i="5"/>
  <c r="L162" i="5"/>
  <c r="J163" i="5"/>
  <c r="K163" i="5"/>
  <c r="L163" i="5"/>
  <c r="J164" i="5"/>
  <c r="K164" i="5"/>
  <c r="L164" i="5"/>
  <c r="J165" i="5"/>
  <c r="K165" i="5"/>
  <c r="L165" i="5"/>
  <c r="J166" i="5"/>
  <c r="K166" i="5"/>
  <c r="L166" i="5"/>
  <c r="J167" i="5"/>
  <c r="K167" i="5"/>
  <c r="L167" i="5"/>
  <c r="J168" i="5"/>
  <c r="K168" i="5"/>
  <c r="L168" i="5"/>
  <c r="J169" i="5"/>
  <c r="K169" i="5"/>
  <c r="L169" i="5"/>
  <c r="J170" i="5"/>
  <c r="K170" i="5"/>
  <c r="L170" i="5"/>
  <c r="J171" i="5"/>
  <c r="K171" i="5"/>
  <c r="L171" i="5"/>
  <c r="J172" i="5"/>
  <c r="K172" i="5"/>
  <c r="L172" i="5"/>
  <c r="J173" i="5"/>
  <c r="K173" i="5"/>
  <c r="L173" i="5"/>
  <c r="J174" i="5"/>
  <c r="K174" i="5"/>
  <c r="L174" i="5"/>
  <c r="J175" i="5"/>
  <c r="K175" i="5"/>
  <c r="L175" i="5"/>
  <c r="J176" i="5"/>
  <c r="K176" i="5"/>
  <c r="L176" i="5"/>
  <c r="J177" i="5"/>
  <c r="K177" i="5"/>
  <c r="L177" i="5"/>
  <c r="J178" i="5"/>
  <c r="K178" i="5"/>
  <c r="L178" i="5"/>
  <c r="J179" i="5"/>
  <c r="K179" i="5"/>
  <c r="L179" i="5"/>
  <c r="J180" i="5"/>
  <c r="K180" i="5"/>
  <c r="L180" i="5"/>
  <c r="J181" i="5"/>
  <c r="K181" i="5"/>
  <c r="L181" i="5"/>
  <c r="J182" i="5"/>
  <c r="K182" i="5"/>
  <c r="L182" i="5"/>
  <c r="J183" i="5"/>
  <c r="K183" i="5"/>
  <c r="L183" i="5"/>
  <c r="J184" i="5"/>
  <c r="K184" i="5"/>
  <c r="L184" i="5"/>
  <c r="J185" i="5"/>
  <c r="K185" i="5"/>
  <c r="L185" i="5"/>
  <c r="J186" i="5"/>
  <c r="K186" i="5"/>
  <c r="L186" i="5"/>
  <c r="J187" i="5"/>
  <c r="K187" i="5"/>
  <c r="L187" i="5"/>
  <c r="J188" i="5"/>
  <c r="K188" i="5"/>
  <c r="L188" i="5"/>
  <c r="J189" i="5"/>
  <c r="K189" i="5"/>
  <c r="L189" i="5"/>
  <c r="J190" i="5"/>
  <c r="K190" i="5"/>
  <c r="L190" i="5"/>
  <c r="J191" i="5"/>
  <c r="K191" i="5"/>
  <c r="L191" i="5"/>
  <c r="J192" i="5"/>
  <c r="K192" i="5"/>
  <c r="L192" i="5"/>
  <c r="J193" i="5"/>
  <c r="K193" i="5"/>
  <c r="L193" i="5"/>
  <c r="J194" i="5"/>
  <c r="K194" i="5"/>
  <c r="L194" i="5"/>
  <c r="J195" i="5"/>
  <c r="K195" i="5"/>
  <c r="L195" i="5"/>
  <c r="J196" i="5"/>
  <c r="K196" i="5"/>
  <c r="L196" i="5"/>
  <c r="J197" i="5"/>
  <c r="K197" i="5"/>
  <c r="L197" i="5"/>
  <c r="J198" i="5"/>
  <c r="K198" i="5"/>
  <c r="L198" i="5"/>
  <c r="J199" i="5"/>
  <c r="K199" i="5"/>
  <c r="L199" i="5"/>
  <c r="J200" i="5"/>
  <c r="K200" i="5"/>
  <c r="L200" i="5"/>
  <c r="J201" i="5"/>
  <c r="K201" i="5"/>
  <c r="L201" i="5"/>
  <c r="J202" i="5"/>
  <c r="K202" i="5"/>
  <c r="L202" i="5"/>
  <c r="J203" i="5"/>
  <c r="K203" i="5"/>
  <c r="L203" i="5"/>
  <c r="J204" i="5"/>
  <c r="K204" i="5"/>
  <c r="L204" i="5"/>
  <c r="J205" i="5"/>
  <c r="K205" i="5"/>
  <c r="L205" i="5"/>
  <c r="J206" i="5"/>
  <c r="K206" i="5"/>
  <c r="L206" i="5"/>
  <c r="J207" i="5"/>
  <c r="K207" i="5"/>
  <c r="L207" i="5"/>
  <c r="K209" i="5"/>
  <c r="K11" i="4"/>
  <c r="K12" i="4"/>
  <c r="K13" i="4"/>
  <c r="K14" i="4"/>
  <c r="K16" i="4"/>
  <c r="K17" i="4"/>
  <c r="K18" i="4"/>
  <c r="K19" i="4"/>
  <c r="K21" i="4"/>
  <c r="K22" i="4"/>
  <c r="K23" i="4"/>
  <c r="K24" i="4"/>
  <c r="K26" i="4"/>
  <c r="K27" i="4"/>
  <c r="K28" i="4"/>
  <c r="K29" i="4"/>
  <c r="AP55" i="7" l="1"/>
  <c r="AN54" i="7"/>
  <c r="AN113" i="7"/>
  <c r="AO113" i="7" s="1"/>
  <c r="AP112" i="7"/>
  <c r="Z46" i="7"/>
  <c r="AC46" i="7"/>
  <c r="AN186" i="7"/>
  <c r="AR13" i="7"/>
  <c r="AC151" i="7"/>
  <c r="Z151" i="7"/>
  <c r="S58" i="7"/>
  <c r="T58" i="7"/>
  <c r="AM35" i="7"/>
  <c r="AN35" i="7" s="1"/>
  <c r="AO35" i="7" s="1"/>
  <c r="AM98" i="7"/>
  <c r="AN98" i="7" s="1"/>
  <c r="AO98" i="7" s="1"/>
  <c r="AP40" i="7"/>
  <c r="AN39" i="7"/>
  <c r="AQ31" i="7"/>
  <c r="AV6" i="7"/>
  <c r="BN6" i="7" s="1"/>
  <c r="BO6" i="7" s="1"/>
  <c r="Z19" i="7"/>
  <c r="AC19" i="7"/>
  <c r="AM190" i="7"/>
  <c r="AN190" i="7" s="1"/>
  <c r="AO190" i="7" s="1"/>
  <c r="AR190" i="7" s="1"/>
  <c r="AP31" i="7"/>
  <c r="AR58" i="7"/>
  <c r="R196" i="7"/>
  <c r="R197" i="7"/>
  <c r="R199" i="7" s="1"/>
  <c r="AM76" i="7"/>
  <c r="AM72" i="7"/>
  <c r="T126" i="7"/>
  <c r="U127" i="7"/>
  <c r="AR193" i="7"/>
  <c r="U190" i="7"/>
  <c r="AP157" i="7"/>
  <c r="AN156" i="7"/>
  <c r="AM141" i="7"/>
  <c r="AQ94" i="7"/>
  <c r="AO93" i="7"/>
  <c r="AR94" i="7" s="1"/>
  <c r="Z10" i="7"/>
  <c r="AV10" i="7"/>
  <c r="BN10" i="7" s="1"/>
  <c r="BO10" i="7" s="1"/>
  <c r="AC10" i="7"/>
  <c r="AQ193" i="7"/>
  <c r="AP130" i="7"/>
  <c r="AN129" i="7"/>
  <c r="AR61" i="7"/>
  <c r="AP79" i="7"/>
  <c r="AW13" i="7"/>
  <c r="BH23" i="7"/>
  <c r="V160" i="7"/>
  <c r="AW4" i="7" s="1"/>
  <c r="AR133" i="7"/>
  <c r="AC124" i="7"/>
  <c r="Z124" i="7"/>
  <c r="BF23" i="7"/>
  <c r="T140" i="7"/>
  <c r="U139" i="7"/>
  <c r="BE23" i="7"/>
  <c r="AM163" i="7"/>
  <c r="AN163" i="7" s="1"/>
  <c r="AO163" i="7" s="1"/>
  <c r="AM159" i="7"/>
  <c r="AN147" i="7"/>
  <c r="AP148" i="7"/>
  <c r="BC9" i="7"/>
  <c r="V52" i="7"/>
  <c r="S37" i="7"/>
  <c r="W37" i="7" s="1"/>
  <c r="AX18" i="7" s="1"/>
  <c r="U52" i="7"/>
  <c r="S51" i="7"/>
  <c r="T51" i="7"/>
  <c r="BB23" i="7"/>
  <c r="AP163" i="7"/>
  <c r="U133" i="7"/>
  <c r="AN171" i="7"/>
  <c r="AP172" i="7"/>
  <c r="X163" i="7"/>
  <c r="AM100" i="7"/>
  <c r="AN100" i="7" s="1"/>
  <c r="AO100" i="7" s="1"/>
  <c r="AR100" i="7"/>
  <c r="AC43" i="7"/>
  <c r="AW3" i="7"/>
  <c r="W184" i="7"/>
  <c r="AQ109" i="7"/>
  <c r="U85" i="7"/>
  <c r="S84" i="7"/>
  <c r="W85" i="7" s="1"/>
  <c r="AX9" i="7" s="1"/>
  <c r="T84" i="7"/>
  <c r="Z184" i="7"/>
  <c r="AC184" i="7"/>
  <c r="AM179" i="7"/>
  <c r="AN179" i="7" s="1"/>
  <c r="AO179" i="7" s="1"/>
  <c r="AR151" i="7"/>
  <c r="AP109" i="7"/>
  <c r="AW16" i="7"/>
  <c r="AM187" i="7"/>
  <c r="AN187" i="7" s="1"/>
  <c r="AO187" i="7" s="1"/>
  <c r="AM146" i="7"/>
  <c r="S119" i="7"/>
  <c r="W118" i="7" s="1"/>
  <c r="T119" i="7"/>
  <c r="X118" i="7" s="1"/>
  <c r="W91" i="7"/>
  <c r="AO87" i="7"/>
  <c r="AQ88" i="7"/>
  <c r="AM84" i="7"/>
  <c r="S113" i="7"/>
  <c r="T113" i="7" s="1"/>
  <c r="AP88" i="7"/>
  <c r="T150" i="7"/>
  <c r="X151" i="7" s="1"/>
  <c r="AM119" i="7"/>
  <c r="AM116" i="7"/>
  <c r="AN116" i="7" s="1"/>
  <c r="AO116" i="7" s="1"/>
  <c r="AC91" i="7"/>
  <c r="U73" i="7"/>
  <c r="S73" i="7"/>
  <c r="W73" i="7" s="1"/>
  <c r="T73" i="7"/>
  <c r="X73" i="7" s="1"/>
  <c r="AQ19" i="7"/>
  <c r="Z178" i="7"/>
  <c r="AC178" i="7"/>
  <c r="AP154" i="7"/>
  <c r="AN153" i="7"/>
  <c r="S35" i="7"/>
  <c r="W34" i="7" s="1"/>
  <c r="T35" i="7"/>
  <c r="S98" i="7"/>
  <c r="W97" i="7" s="1"/>
  <c r="T98" i="7"/>
  <c r="X97" i="7" s="1"/>
  <c r="U97" i="7"/>
  <c r="Z55" i="7"/>
  <c r="AC55" i="7"/>
  <c r="AM31" i="7"/>
  <c r="AN31" i="7" s="1"/>
  <c r="AO31" i="7" s="1"/>
  <c r="AR31" i="7" s="1"/>
  <c r="AQ13" i="7"/>
  <c r="X139" i="7"/>
  <c r="Z169" i="7"/>
  <c r="AC169" i="7"/>
  <c r="AN6" i="7"/>
  <c r="AW15" i="7"/>
  <c r="AM178" i="7"/>
  <c r="AN178" i="7" s="1"/>
  <c r="AO178" i="7" s="1"/>
  <c r="Z166" i="7"/>
  <c r="AC166" i="7"/>
  <c r="AQ58" i="7"/>
  <c r="T4" i="7"/>
  <c r="Q197" i="7"/>
  <c r="Q199" i="7" s="1"/>
  <c r="Q200" i="7" s="1"/>
  <c r="Q196" i="7"/>
  <c r="Z181" i="7"/>
  <c r="AC181" i="7"/>
  <c r="AM138" i="7"/>
  <c r="AP58" i="7"/>
  <c r="X190" i="7"/>
  <c r="S79" i="7"/>
  <c r="W79" i="7" s="1"/>
  <c r="T79" i="7"/>
  <c r="X79" i="7" s="1"/>
  <c r="U34" i="7"/>
  <c r="AM4" i="7"/>
  <c r="W190" i="7"/>
  <c r="S141" i="7"/>
  <c r="W142" i="7" s="1"/>
  <c r="U142" i="7"/>
  <c r="AN90" i="7"/>
  <c r="S57" i="7"/>
  <c r="W58" i="7" s="1"/>
  <c r="AX20" i="7" s="1"/>
  <c r="T57" i="7"/>
  <c r="X58" i="7" s="1"/>
  <c r="AY20" i="7" s="1"/>
  <c r="U58" i="7"/>
  <c r="V190" i="7"/>
  <c r="T181" i="7"/>
  <c r="AM79" i="7"/>
  <c r="AN79" i="7" s="1"/>
  <c r="AO79" i="7" s="1"/>
  <c r="AR79" i="7" s="1"/>
  <c r="AM34" i="7"/>
  <c r="BK23" i="7"/>
  <c r="AM181" i="7"/>
  <c r="AN181" i="7" s="1"/>
  <c r="AO181" i="7" s="1"/>
  <c r="AR181" i="7" s="1"/>
  <c r="AP94" i="7"/>
  <c r="AQ79" i="7"/>
  <c r="AR16" i="7"/>
  <c r="AP193" i="7"/>
  <c r="X193" i="7"/>
  <c r="W160" i="7"/>
  <c r="Z22" i="7"/>
  <c r="AC22" i="7"/>
  <c r="T159" i="7"/>
  <c r="X160" i="7" s="1"/>
  <c r="U160" i="7"/>
  <c r="AC130" i="7"/>
  <c r="Z130" i="7"/>
  <c r="S47" i="7"/>
  <c r="W46" i="7" s="1"/>
  <c r="T47" i="7"/>
  <c r="X46" i="7" s="1"/>
  <c r="AR163" i="7"/>
  <c r="W175" i="7"/>
  <c r="T175" i="7"/>
  <c r="X175" i="7" s="1"/>
  <c r="AQ163" i="7"/>
  <c r="V133" i="7"/>
  <c r="AW18" i="7" s="1"/>
  <c r="S100" i="7"/>
  <c r="W100" i="7" s="1"/>
  <c r="T100" i="7"/>
  <c r="X100" i="7" s="1"/>
  <c r="T85" i="7"/>
  <c r="AQ16" i="7"/>
  <c r="S171" i="7"/>
  <c r="W172" i="7" s="1"/>
  <c r="T171" i="7"/>
  <c r="X172" i="7" s="1"/>
  <c r="U172" i="7"/>
  <c r="S110" i="7"/>
  <c r="W109" i="7" s="1"/>
  <c r="T110" i="7"/>
  <c r="X109" i="7" s="1"/>
  <c r="U109" i="7"/>
  <c r="AM85" i="7"/>
  <c r="AN85" i="7" s="1"/>
  <c r="AO85" i="7" s="1"/>
  <c r="AM51" i="7"/>
  <c r="AP184" i="7"/>
  <c r="AN183" i="7"/>
  <c r="S128" i="7"/>
  <c r="W127" i="7" s="1"/>
  <c r="T128" i="7"/>
  <c r="AW8" i="7"/>
  <c r="S7" i="7"/>
  <c r="T7" i="7"/>
  <c r="X184" i="7"/>
  <c r="AM136" i="7"/>
  <c r="AN136" i="7" s="1"/>
  <c r="AO136" i="7" s="1"/>
  <c r="T120" i="7"/>
  <c r="X121" i="7" s="1"/>
  <c r="U121" i="7"/>
  <c r="AQ100" i="7"/>
  <c r="AP100" i="7"/>
  <c r="AC13" i="7"/>
  <c r="AV3" i="7"/>
  <c r="AM7" i="7"/>
  <c r="AN7" i="7" s="1"/>
  <c r="AO7" i="7" s="1"/>
  <c r="T187" i="7"/>
  <c r="X187" i="7" s="1"/>
  <c r="U187" i="7"/>
  <c r="S146" i="7"/>
  <c r="W145" i="7" s="1"/>
  <c r="T146" i="7"/>
  <c r="X145" i="7" s="1"/>
  <c r="U145" i="7"/>
  <c r="AP175" i="7"/>
  <c r="AN174" i="7"/>
  <c r="S150" i="7"/>
  <c r="W151" i="7" s="1"/>
  <c r="AN123" i="7"/>
  <c r="AP124" i="7"/>
  <c r="S54" i="7"/>
  <c r="W55" i="7" s="1"/>
  <c r="U31" i="7"/>
  <c r="S31" i="7"/>
  <c r="W31" i="7" s="1"/>
  <c r="AX4" i="7" s="1"/>
  <c r="T31" i="7"/>
  <c r="X31" i="7" s="1"/>
  <c r="AY4" i="7" s="1"/>
  <c r="AO27" i="7"/>
  <c r="AR28" i="7" s="1"/>
  <c r="AP19" i="7"/>
  <c r="AQ61" i="7"/>
  <c r="AP13" i="7"/>
  <c r="AO135" i="7"/>
  <c r="AP61" i="7"/>
  <c r="T176" i="7"/>
  <c r="S153" i="7"/>
  <c r="U154" i="7"/>
  <c r="AP136" i="7"/>
  <c r="AW20" i="7"/>
  <c r="Z193" i="7"/>
  <c r="AC193" i="7"/>
  <c r="X181" i="7"/>
  <c r="X169" i="7"/>
  <c r="AM91" i="7"/>
  <c r="AN91" i="7" s="1"/>
  <c r="AO91" i="7" s="1"/>
  <c r="W49" i="7"/>
  <c r="AM176" i="7"/>
  <c r="AN176" i="7" s="1"/>
  <c r="AO176" i="7" s="1"/>
  <c r="W136" i="7"/>
  <c r="V136" i="7"/>
  <c r="AW21" i="7" s="1"/>
  <c r="U49" i="7"/>
  <c r="V157" i="7"/>
  <c r="AQ112" i="7"/>
  <c r="AO111" i="7"/>
  <c r="AR112" i="7" s="1"/>
  <c r="BG10" i="7"/>
  <c r="AM184" i="7"/>
  <c r="AN184" i="7" s="1"/>
  <c r="AO184" i="7" s="1"/>
  <c r="AM168" i="7"/>
  <c r="AM164" i="7"/>
  <c r="AN164" i="7" s="1"/>
  <c r="AO164" i="7" s="1"/>
  <c r="U157" i="7"/>
  <c r="AM94" i="7"/>
  <c r="AN94" i="7" s="1"/>
  <c r="AO94" i="7" s="1"/>
  <c r="AM63" i="7"/>
  <c r="T44" i="7"/>
  <c r="X43" i="7" s="1"/>
  <c r="AP10" i="7"/>
  <c r="AN9" i="7"/>
  <c r="BC4" i="7"/>
  <c r="BC23" i="7" s="1"/>
  <c r="X49" i="7"/>
  <c r="X136" i="7"/>
  <c r="AM38" i="7"/>
  <c r="AV20" i="7"/>
  <c r="BN20" i="7" s="1"/>
  <c r="BO20" i="7" s="1"/>
  <c r="W181" i="7"/>
  <c r="W169" i="7"/>
  <c r="S149" i="7"/>
  <c r="W148" i="7" s="1"/>
  <c r="T149" i="7"/>
  <c r="X148" i="7" s="1"/>
  <c r="U148" i="7"/>
  <c r="V49" i="7"/>
  <c r="AW14" i="7" s="1"/>
  <c r="T188" i="7"/>
  <c r="V181" i="7"/>
  <c r="V169" i="7"/>
  <c r="X157" i="7"/>
  <c r="S164" i="7"/>
  <c r="T164" i="7"/>
  <c r="W157" i="7"/>
  <c r="U136" i="7"/>
  <c r="S63" i="7"/>
  <c r="W64" i="7" s="1"/>
  <c r="T63" i="7"/>
  <c r="X64" i="7" s="1"/>
  <c r="U64" i="7"/>
  <c r="BG5" i="7"/>
  <c r="BG23" i="7" s="1"/>
  <c r="AM48" i="7"/>
  <c r="U175" i="7"/>
  <c r="AM160" i="7"/>
  <c r="AN160" i="7" s="1"/>
  <c r="AO160" i="7" s="1"/>
  <c r="AM97" i="7"/>
  <c r="AN97" i="7" s="1"/>
  <c r="AO97" i="7" s="1"/>
  <c r="BC10" i="7"/>
  <c r="W16" i="7"/>
  <c r="AX19" i="7" s="1"/>
  <c r="S6" i="7"/>
  <c r="W7" i="7" s="1"/>
  <c r="T6" i="7"/>
  <c r="X7" i="7" s="1"/>
  <c r="AM69" i="7"/>
  <c r="BG14" i="7"/>
  <c r="S106" i="7"/>
  <c r="T106" i="7"/>
  <c r="V100" i="7"/>
  <c r="AW9" i="7" s="1"/>
  <c r="AM43" i="7"/>
  <c r="AN43" i="7" s="1"/>
  <c r="AO43" i="7" s="1"/>
  <c r="X34" i="7"/>
  <c r="BG19" i="7"/>
  <c r="U100" i="7"/>
  <c r="AM83" i="7"/>
  <c r="AN83" i="7" s="1"/>
  <c r="AO83" i="7" s="1"/>
  <c r="AR82" i="7" s="1"/>
  <c r="S68" i="7"/>
  <c r="W67" i="7" s="1"/>
  <c r="AX3" i="7" s="1"/>
  <c r="BG6" i="7"/>
  <c r="X103" i="7"/>
  <c r="BG15" i="7"/>
  <c r="AM115" i="7"/>
  <c r="W103" i="7"/>
  <c r="AM68" i="7"/>
  <c r="AM46" i="7"/>
  <c r="AM22" i="7"/>
  <c r="AN22" i="7" s="1"/>
  <c r="AO22" i="7" s="1"/>
  <c r="V103" i="7"/>
  <c r="AW19" i="7" s="1"/>
  <c r="S26" i="7"/>
  <c r="W25" i="7" s="1"/>
  <c r="T26" i="7"/>
  <c r="X25" i="7" s="1"/>
  <c r="AM127" i="7"/>
  <c r="AN127" i="7" s="1"/>
  <c r="S105" i="7"/>
  <c r="T105" i="7"/>
  <c r="U106" i="7"/>
  <c r="U103" i="7"/>
  <c r="T92" i="7"/>
  <c r="X91" i="7" s="1"/>
  <c r="X10" i="7"/>
  <c r="S52" i="7"/>
  <c r="T52" i="7"/>
  <c r="AM49" i="7"/>
  <c r="AN49" i="7" s="1"/>
  <c r="AO49" i="7" s="1"/>
  <c r="U37" i="7"/>
  <c r="AM26" i="7"/>
  <c r="AN26" i="7" s="1"/>
  <c r="AO26" i="7" s="1"/>
  <c r="W10" i="7"/>
  <c r="AX10" i="7" s="1"/>
  <c r="S133" i="7"/>
  <c r="W133" i="7" s="1"/>
  <c r="AM105" i="7"/>
  <c r="V10" i="7"/>
  <c r="U7" i="7"/>
  <c r="AM157" i="7"/>
  <c r="AN157" i="7" s="1"/>
  <c r="AO157" i="7" s="1"/>
  <c r="S111" i="7"/>
  <c r="T111" i="7"/>
  <c r="AM52" i="7"/>
  <c r="AN52" i="7" s="1"/>
  <c r="AO52" i="7" s="1"/>
  <c r="AM42" i="7"/>
  <c r="T32" i="7"/>
  <c r="S17" i="7"/>
  <c r="T17" i="7"/>
  <c r="X16" i="7" s="1"/>
  <c r="AY19" i="7" s="1"/>
  <c r="S163" i="7"/>
  <c r="W163" i="7" s="1"/>
  <c r="T163" i="7"/>
  <c r="U163" i="7"/>
  <c r="AM133" i="7"/>
  <c r="AN133" i="7" s="1"/>
  <c r="AO133" i="7" s="1"/>
  <c r="T123" i="7"/>
  <c r="X124" i="7" s="1"/>
  <c r="AY6" i="7" s="1"/>
  <c r="T177" i="7"/>
  <c r="X178" i="7" s="1"/>
  <c r="V148" i="7"/>
  <c r="AM120" i="7"/>
  <c r="S89" i="7"/>
  <c r="W88" i="7" s="1"/>
  <c r="T89" i="7"/>
  <c r="X88" i="7" s="1"/>
  <c r="X4" i="7"/>
  <c r="AM89" i="7"/>
  <c r="AN89" i="7" s="1"/>
  <c r="AO89" i="7" s="1"/>
  <c r="BC14" i="7"/>
  <c r="S21" i="7"/>
  <c r="W22" i="7" s="1"/>
  <c r="AX13" i="7" s="1"/>
  <c r="T21" i="7"/>
  <c r="X22" i="7" s="1"/>
  <c r="W4" i="7"/>
  <c r="X76" i="7"/>
  <c r="X115" i="7"/>
  <c r="S182" i="7"/>
  <c r="T182" i="7"/>
  <c r="AM177" i="7"/>
  <c r="U79" i="7"/>
  <c r="V4" i="7"/>
  <c r="AM21" i="7"/>
  <c r="AM169" i="7"/>
  <c r="AN169" i="7" s="1"/>
  <c r="AO169" i="7" s="1"/>
  <c r="AM92" i="7"/>
  <c r="AN92" i="7" s="1"/>
  <c r="AO92" i="7" s="1"/>
  <c r="AM24" i="7"/>
  <c r="U4" i="7"/>
  <c r="AK189" i="1"/>
  <c r="AV189" i="1"/>
  <c r="AU189" i="1"/>
  <c r="AT189" i="1"/>
  <c r="AX189" i="1"/>
  <c r="AW189" i="1"/>
  <c r="AL189" i="1"/>
  <c r="AT93" i="1"/>
  <c r="AW93" i="1" s="1"/>
  <c r="AK93" i="1"/>
  <c r="Q239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AV93" i="1"/>
  <c r="AU93" i="1"/>
  <c r="BL237" i="1"/>
  <c r="BK237" i="1"/>
  <c r="BJ237" i="1"/>
  <c r="BI237" i="1"/>
  <c r="BH237" i="1"/>
  <c r="BG237" i="1"/>
  <c r="BF237" i="1"/>
  <c r="AV237" i="1"/>
  <c r="AU237" i="1"/>
  <c r="AT237" i="1"/>
  <c r="AX237" i="1" s="1"/>
  <c r="AS237" i="1"/>
  <c r="AP237" i="1"/>
  <c r="AN237" i="1"/>
  <c r="AO237" i="1" s="1"/>
  <c r="AM237" i="1"/>
  <c r="AK237" i="1"/>
  <c r="AJ237" i="1"/>
  <c r="BL234" i="1"/>
  <c r="BK234" i="1"/>
  <c r="BJ234" i="1"/>
  <c r="BI234" i="1"/>
  <c r="BH234" i="1"/>
  <c r="BG234" i="1"/>
  <c r="BF234" i="1"/>
  <c r="AV234" i="1"/>
  <c r="AU234" i="1"/>
  <c r="AT234" i="1"/>
  <c r="AS234" i="1"/>
  <c r="AP234" i="1"/>
  <c r="AN234" i="1"/>
  <c r="AM234" i="1"/>
  <c r="AK234" i="1"/>
  <c r="AJ234" i="1"/>
  <c r="BL231" i="1"/>
  <c r="BK231" i="1"/>
  <c r="BJ231" i="1"/>
  <c r="BI231" i="1"/>
  <c r="BH231" i="1"/>
  <c r="BG231" i="1"/>
  <c r="BF231" i="1"/>
  <c r="AV231" i="1"/>
  <c r="AU231" i="1"/>
  <c r="AT231" i="1"/>
  <c r="AS231" i="1"/>
  <c r="AP231" i="1"/>
  <c r="AN231" i="1"/>
  <c r="AO231" i="1" s="1"/>
  <c r="AM231" i="1"/>
  <c r="AK231" i="1"/>
  <c r="AJ231" i="1"/>
  <c r="BL228" i="1"/>
  <c r="BK228" i="1"/>
  <c r="BJ228" i="1"/>
  <c r="BI228" i="1"/>
  <c r="BH228" i="1"/>
  <c r="BG228" i="1"/>
  <c r="BF228" i="1"/>
  <c r="AV228" i="1"/>
  <c r="AU228" i="1"/>
  <c r="AT228" i="1"/>
  <c r="AS228" i="1"/>
  <c r="AP228" i="1"/>
  <c r="AN228" i="1"/>
  <c r="AM228" i="1"/>
  <c r="AK228" i="1"/>
  <c r="AJ228" i="1"/>
  <c r="BL225" i="1"/>
  <c r="BK225" i="1"/>
  <c r="BJ225" i="1"/>
  <c r="BI225" i="1"/>
  <c r="BH225" i="1"/>
  <c r="BG225" i="1"/>
  <c r="BF225" i="1"/>
  <c r="AV225" i="1"/>
  <c r="AU225" i="1"/>
  <c r="AT225" i="1"/>
  <c r="AS225" i="1"/>
  <c r="AP225" i="1"/>
  <c r="AN225" i="1"/>
  <c r="AM225" i="1"/>
  <c r="AK225" i="1"/>
  <c r="AJ225" i="1"/>
  <c r="BL222" i="1"/>
  <c r="BK222" i="1"/>
  <c r="BJ222" i="1"/>
  <c r="BI222" i="1"/>
  <c r="BH222" i="1"/>
  <c r="BG222" i="1"/>
  <c r="BF222" i="1"/>
  <c r="AV222" i="1"/>
  <c r="AU222" i="1"/>
  <c r="AT222" i="1"/>
  <c r="AW222" i="1" s="1"/>
  <c r="AS222" i="1"/>
  <c r="AP222" i="1"/>
  <c r="AN222" i="1"/>
  <c r="AO222" i="1" s="1"/>
  <c r="AQ222" i="1" s="1"/>
  <c r="AM222" i="1"/>
  <c r="AK222" i="1"/>
  <c r="AJ222" i="1"/>
  <c r="BL219" i="1"/>
  <c r="BK219" i="1"/>
  <c r="BJ219" i="1"/>
  <c r="BI219" i="1"/>
  <c r="BH219" i="1"/>
  <c r="BG219" i="1"/>
  <c r="BF219" i="1"/>
  <c r="AV219" i="1"/>
  <c r="AU219" i="1"/>
  <c r="AT219" i="1"/>
  <c r="AS219" i="1"/>
  <c r="AP219" i="1"/>
  <c r="AN219" i="1"/>
  <c r="AO219" i="1" s="1"/>
  <c r="AM219" i="1"/>
  <c r="AK219" i="1"/>
  <c r="AJ219" i="1"/>
  <c r="BL216" i="1"/>
  <c r="BK216" i="1"/>
  <c r="BJ216" i="1"/>
  <c r="BI216" i="1"/>
  <c r="BH216" i="1"/>
  <c r="BG216" i="1"/>
  <c r="BF216" i="1"/>
  <c r="AV216" i="1"/>
  <c r="AU216" i="1"/>
  <c r="AT216" i="1"/>
  <c r="AS216" i="1"/>
  <c r="AP216" i="1"/>
  <c r="AN216" i="1"/>
  <c r="AO216" i="1" s="1"/>
  <c r="AM216" i="1"/>
  <c r="AK216" i="1"/>
  <c r="AJ216" i="1"/>
  <c r="BL213" i="1"/>
  <c r="BK213" i="1"/>
  <c r="BJ213" i="1"/>
  <c r="BI213" i="1"/>
  <c r="BH213" i="1"/>
  <c r="BG213" i="1"/>
  <c r="BF213" i="1"/>
  <c r="AV213" i="1"/>
  <c r="AU213" i="1"/>
  <c r="AT213" i="1"/>
  <c r="AS213" i="1"/>
  <c r="AP213" i="1"/>
  <c r="AN213" i="1"/>
  <c r="AO213" i="1" s="1"/>
  <c r="AQ213" i="1" s="1"/>
  <c r="AM213" i="1"/>
  <c r="AK213" i="1"/>
  <c r="AJ213" i="1"/>
  <c r="BL210" i="1"/>
  <c r="BK210" i="1"/>
  <c r="BJ210" i="1"/>
  <c r="BI210" i="1"/>
  <c r="BH210" i="1"/>
  <c r="BG210" i="1"/>
  <c r="BF210" i="1"/>
  <c r="AV210" i="1"/>
  <c r="AU210" i="1"/>
  <c r="AT210" i="1"/>
  <c r="AS210" i="1"/>
  <c r="AP210" i="1"/>
  <c r="AN210" i="1"/>
  <c r="AM210" i="1"/>
  <c r="AK210" i="1"/>
  <c r="AJ210" i="1"/>
  <c r="BL207" i="1"/>
  <c r="BK207" i="1"/>
  <c r="BJ207" i="1"/>
  <c r="BI207" i="1"/>
  <c r="BH207" i="1"/>
  <c r="BG207" i="1"/>
  <c r="BF207" i="1"/>
  <c r="AV207" i="1"/>
  <c r="AU207" i="1"/>
  <c r="AT207" i="1"/>
  <c r="AS207" i="1"/>
  <c r="AP207" i="1"/>
  <c r="AN207" i="1"/>
  <c r="AO207" i="1" s="1"/>
  <c r="AQ207" i="1" s="1"/>
  <c r="AM207" i="1"/>
  <c r="AK207" i="1"/>
  <c r="AJ207" i="1"/>
  <c r="BL204" i="1"/>
  <c r="BK204" i="1"/>
  <c r="BJ204" i="1"/>
  <c r="BI204" i="1"/>
  <c r="BH204" i="1"/>
  <c r="BG204" i="1"/>
  <c r="BF204" i="1"/>
  <c r="AV204" i="1"/>
  <c r="AU204" i="1"/>
  <c r="AT204" i="1"/>
  <c r="AS204" i="1"/>
  <c r="AP204" i="1"/>
  <c r="AN204" i="1"/>
  <c r="AO204" i="1" s="1"/>
  <c r="AQ204" i="1" s="1"/>
  <c r="AM204" i="1"/>
  <c r="AK204" i="1"/>
  <c r="AJ204" i="1"/>
  <c r="BL201" i="1"/>
  <c r="BK201" i="1"/>
  <c r="BJ201" i="1"/>
  <c r="BI201" i="1"/>
  <c r="BH201" i="1"/>
  <c r="BG201" i="1"/>
  <c r="BF201" i="1"/>
  <c r="AV201" i="1"/>
  <c r="AU201" i="1"/>
  <c r="AT201" i="1"/>
  <c r="AS201" i="1"/>
  <c r="AP201" i="1"/>
  <c r="AN201" i="1"/>
  <c r="AO201" i="1" s="1"/>
  <c r="AM201" i="1"/>
  <c r="AK201" i="1"/>
  <c r="AJ201" i="1"/>
  <c r="BL198" i="1"/>
  <c r="BK198" i="1"/>
  <c r="BJ198" i="1"/>
  <c r="BI198" i="1"/>
  <c r="BH198" i="1"/>
  <c r="BG198" i="1"/>
  <c r="BF198" i="1"/>
  <c r="AV198" i="1"/>
  <c r="AU198" i="1"/>
  <c r="AT198" i="1"/>
  <c r="AS198" i="1"/>
  <c r="AP198" i="1"/>
  <c r="AN198" i="1"/>
  <c r="AO198" i="1" s="1"/>
  <c r="AQ198" i="1" s="1"/>
  <c r="AM198" i="1"/>
  <c r="AK198" i="1"/>
  <c r="AJ198" i="1"/>
  <c r="BL195" i="1"/>
  <c r="BK195" i="1"/>
  <c r="BJ195" i="1"/>
  <c r="BI195" i="1"/>
  <c r="BH195" i="1"/>
  <c r="BG195" i="1"/>
  <c r="BF195" i="1"/>
  <c r="AV195" i="1"/>
  <c r="AU195" i="1"/>
  <c r="AT195" i="1"/>
  <c r="AS195" i="1"/>
  <c r="AP195" i="1"/>
  <c r="AN195" i="1"/>
  <c r="AO195" i="1" s="1"/>
  <c r="AQ195" i="1" s="1"/>
  <c r="AM195" i="1"/>
  <c r="AK195" i="1"/>
  <c r="AJ195" i="1"/>
  <c r="BL192" i="1"/>
  <c r="BK192" i="1"/>
  <c r="BJ192" i="1"/>
  <c r="BI192" i="1"/>
  <c r="BH192" i="1"/>
  <c r="BG192" i="1"/>
  <c r="BF192" i="1"/>
  <c r="AV192" i="1"/>
  <c r="AU192" i="1"/>
  <c r="AT192" i="1"/>
  <c r="AS192" i="1"/>
  <c r="AP192" i="1"/>
  <c r="AN192" i="1"/>
  <c r="AO192" i="1" s="1"/>
  <c r="AQ192" i="1" s="1"/>
  <c r="AM192" i="1"/>
  <c r="AK192" i="1"/>
  <c r="AJ192" i="1"/>
  <c r="BL189" i="1"/>
  <c r="BK189" i="1"/>
  <c r="BJ189" i="1"/>
  <c r="BI189" i="1"/>
  <c r="BH189" i="1"/>
  <c r="BG189" i="1"/>
  <c r="BF189" i="1"/>
  <c r="AS189" i="1"/>
  <c r="AP189" i="1"/>
  <c r="AN189" i="1"/>
  <c r="AO189" i="1" s="1"/>
  <c r="AQ189" i="1" s="1"/>
  <c r="AM189" i="1"/>
  <c r="AJ189" i="1"/>
  <c r="BL186" i="1"/>
  <c r="BK186" i="1"/>
  <c r="BJ186" i="1"/>
  <c r="BI186" i="1"/>
  <c r="BH186" i="1"/>
  <c r="BG186" i="1"/>
  <c r="BF186" i="1"/>
  <c r="AV186" i="1"/>
  <c r="AU186" i="1"/>
  <c r="AT186" i="1"/>
  <c r="AS186" i="1"/>
  <c r="AP186" i="1"/>
  <c r="AN186" i="1"/>
  <c r="AM186" i="1"/>
  <c r="AK186" i="1"/>
  <c r="AJ186" i="1"/>
  <c r="BL183" i="1"/>
  <c r="BK183" i="1"/>
  <c r="BJ183" i="1"/>
  <c r="BI183" i="1"/>
  <c r="BH183" i="1"/>
  <c r="BG183" i="1"/>
  <c r="BF183" i="1"/>
  <c r="AV183" i="1"/>
  <c r="AU183" i="1"/>
  <c r="AT183" i="1"/>
  <c r="AS183" i="1"/>
  <c r="AP183" i="1"/>
  <c r="AN183" i="1"/>
  <c r="AO183" i="1" s="1"/>
  <c r="AM183" i="1"/>
  <c r="AK183" i="1"/>
  <c r="AJ183" i="1"/>
  <c r="BL180" i="1"/>
  <c r="BK180" i="1"/>
  <c r="BJ180" i="1"/>
  <c r="BI180" i="1"/>
  <c r="BH180" i="1"/>
  <c r="BG180" i="1"/>
  <c r="BF180" i="1"/>
  <c r="AV180" i="1"/>
  <c r="AU180" i="1"/>
  <c r="AT180" i="1"/>
  <c r="AS180" i="1"/>
  <c r="AP180" i="1"/>
  <c r="AN180" i="1"/>
  <c r="AO180" i="1" s="1"/>
  <c r="AM180" i="1"/>
  <c r="AK180" i="1"/>
  <c r="AJ180" i="1"/>
  <c r="BL177" i="1"/>
  <c r="BK177" i="1"/>
  <c r="BJ177" i="1"/>
  <c r="BI177" i="1"/>
  <c r="BH177" i="1"/>
  <c r="BG177" i="1"/>
  <c r="BF177" i="1"/>
  <c r="AV177" i="1"/>
  <c r="AU177" i="1"/>
  <c r="AT177" i="1"/>
  <c r="AS177" i="1"/>
  <c r="AP177" i="1"/>
  <c r="AN177" i="1"/>
  <c r="AO177" i="1" s="1"/>
  <c r="AQ177" i="1" s="1"/>
  <c r="AM177" i="1"/>
  <c r="AK177" i="1"/>
  <c r="AJ177" i="1"/>
  <c r="BL174" i="1"/>
  <c r="BK174" i="1"/>
  <c r="BJ174" i="1"/>
  <c r="BI174" i="1"/>
  <c r="BH174" i="1"/>
  <c r="BG174" i="1"/>
  <c r="BF174" i="1"/>
  <c r="AV174" i="1"/>
  <c r="AU174" i="1"/>
  <c r="AT174" i="1"/>
  <c r="AS174" i="1"/>
  <c r="AP174" i="1"/>
  <c r="AN174" i="1"/>
  <c r="AO174" i="1" s="1"/>
  <c r="AQ174" i="1" s="1"/>
  <c r="AM174" i="1"/>
  <c r="AK174" i="1"/>
  <c r="AJ174" i="1"/>
  <c r="BL171" i="1"/>
  <c r="BK171" i="1"/>
  <c r="BJ171" i="1"/>
  <c r="BI171" i="1"/>
  <c r="BH171" i="1"/>
  <c r="BG171" i="1"/>
  <c r="BF171" i="1"/>
  <c r="AV171" i="1"/>
  <c r="AU171" i="1"/>
  <c r="AT171" i="1"/>
  <c r="AS171" i="1"/>
  <c r="AP171" i="1"/>
  <c r="AN171" i="1"/>
  <c r="AO171" i="1" s="1"/>
  <c r="AQ171" i="1" s="1"/>
  <c r="AM171" i="1"/>
  <c r="AK171" i="1"/>
  <c r="AJ171" i="1"/>
  <c r="BL168" i="1"/>
  <c r="BK168" i="1"/>
  <c r="BJ168" i="1"/>
  <c r="BI168" i="1"/>
  <c r="BH168" i="1"/>
  <c r="BG168" i="1"/>
  <c r="BF168" i="1"/>
  <c r="AV168" i="1"/>
  <c r="AU168" i="1"/>
  <c r="AT168" i="1"/>
  <c r="AS168" i="1"/>
  <c r="AP168" i="1"/>
  <c r="AN168" i="1"/>
  <c r="AM168" i="1"/>
  <c r="AK168" i="1"/>
  <c r="AJ168" i="1"/>
  <c r="BL165" i="1"/>
  <c r="BK165" i="1"/>
  <c r="BJ165" i="1"/>
  <c r="BI165" i="1"/>
  <c r="BH165" i="1"/>
  <c r="BG165" i="1"/>
  <c r="BF165" i="1"/>
  <c r="AV165" i="1"/>
  <c r="AU165" i="1"/>
  <c r="AT165" i="1"/>
  <c r="AS165" i="1"/>
  <c r="AP165" i="1"/>
  <c r="AN165" i="1"/>
  <c r="AO165" i="1" s="1"/>
  <c r="AM165" i="1"/>
  <c r="AK165" i="1"/>
  <c r="AJ165" i="1"/>
  <c r="BL162" i="1"/>
  <c r="BK162" i="1"/>
  <c r="BJ162" i="1"/>
  <c r="BI162" i="1"/>
  <c r="BH162" i="1"/>
  <c r="BG162" i="1"/>
  <c r="BF162" i="1"/>
  <c r="AV162" i="1"/>
  <c r="AU162" i="1"/>
  <c r="AT162" i="1"/>
  <c r="AS162" i="1"/>
  <c r="AP162" i="1"/>
  <c r="AN162" i="1"/>
  <c r="AO162" i="1" s="1"/>
  <c r="AM162" i="1"/>
  <c r="AK162" i="1"/>
  <c r="AJ162" i="1"/>
  <c r="BL159" i="1"/>
  <c r="BK159" i="1"/>
  <c r="BJ159" i="1"/>
  <c r="BI159" i="1"/>
  <c r="BH159" i="1"/>
  <c r="BG159" i="1"/>
  <c r="BF159" i="1"/>
  <c r="AV159" i="1"/>
  <c r="AU159" i="1"/>
  <c r="AT159" i="1"/>
  <c r="AS159" i="1"/>
  <c r="AP159" i="1"/>
  <c r="AN159" i="1"/>
  <c r="AO159" i="1" s="1"/>
  <c r="AM159" i="1"/>
  <c r="AK159" i="1"/>
  <c r="AJ159" i="1"/>
  <c r="BL156" i="1"/>
  <c r="BK156" i="1"/>
  <c r="BJ156" i="1"/>
  <c r="BI156" i="1"/>
  <c r="BH156" i="1"/>
  <c r="BG156" i="1"/>
  <c r="BF156" i="1"/>
  <c r="AV156" i="1"/>
  <c r="AU156" i="1"/>
  <c r="AT156" i="1"/>
  <c r="AS156" i="1"/>
  <c r="AP156" i="1"/>
  <c r="AN156" i="1"/>
  <c r="AO156" i="1" s="1"/>
  <c r="AM156" i="1"/>
  <c r="AK156" i="1"/>
  <c r="AJ156" i="1"/>
  <c r="BL153" i="1"/>
  <c r="BK153" i="1"/>
  <c r="BJ153" i="1"/>
  <c r="BI153" i="1"/>
  <c r="BH153" i="1"/>
  <c r="BG153" i="1"/>
  <c r="BF153" i="1"/>
  <c r="AV153" i="1"/>
  <c r="AU153" i="1"/>
  <c r="AT153" i="1"/>
  <c r="AS153" i="1"/>
  <c r="AP153" i="1"/>
  <c r="AN153" i="1"/>
  <c r="AM153" i="1"/>
  <c r="AK153" i="1"/>
  <c r="AJ153" i="1"/>
  <c r="BL150" i="1"/>
  <c r="BK150" i="1"/>
  <c r="BJ150" i="1"/>
  <c r="BI150" i="1"/>
  <c r="BH150" i="1"/>
  <c r="BG150" i="1"/>
  <c r="BF150" i="1"/>
  <c r="AV150" i="1"/>
  <c r="AU150" i="1"/>
  <c r="AT150" i="1"/>
  <c r="AS150" i="1"/>
  <c r="AP150" i="1"/>
  <c r="AN150" i="1"/>
  <c r="AO150" i="1" s="1"/>
  <c r="AM150" i="1"/>
  <c r="AK150" i="1"/>
  <c r="AJ150" i="1"/>
  <c r="BL147" i="1"/>
  <c r="BK147" i="1"/>
  <c r="BJ147" i="1"/>
  <c r="BI147" i="1"/>
  <c r="BH147" i="1"/>
  <c r="BG147" i="1"/>
  <c r="BF147" i="1"/>
  <c r="AV147" i="1"/>
  <c r="AU147" i="1"/>
  <c r="AW147" i="1" s="1"/>
  <c r="AT147" i="1"/>
  <c r="AS147" i="1"/>
  <c r="AP147" i="1"/>
  <c r="AN147" i="1"/>
  <c r="AM147" i="1"/>
  <c r="AK147" i="1"/>
  <c r="AJ147" i="1"/>
  <c r="BL144" i="1"/>
  <c r="BK144" i="1"/>
  <c r="BJ144" i="1"/>
  <c r="BI144" i="1"/>
  <c r="BH144" i="1"/>
  <c r="BG144" i="1"/>
  <c r="BF144" i="1"/>
  <c r="AV144" i="1"/>
  <c r="AU144" i="1"/>
  <c r="AT144" i="1"/>
  <c r="AS144" i="1"/>
  <c r="AP144" i="1"/>
  <c r="AN144" i="1"/>
  <c r="AM144" i="1"/>
  <c r="AK144" i="1"/>
  <c r="AJ144" i="1"/>
  <c r="BL141" i="1"/>
  <c r="BK141" i="1"/>
  <c r="BJ141" i="1"/>
  <c r="BI141" i="1"/>
  <c r="BH141" i="1"/>
  <c r="BG141" i="1"/>
  <c r="BF141" i="1"/>
  <c r="AV141" i="1"/>
  <c r="AU141" i="1"/>
  <c r="AT141" i="1"/>
  <c r="AS141" i="1"/>
  <c r="AP141" i="1"/>
  <c r="AN141" i="1"/>
  <c r="AM141" i="1"/>
  <c r="AK141" i="1"/>
  <c r="AJ141" i="1"/>
  <c r="BL138" i="1"/>
  <c r="BK138" i="1"/>
  <c r="BJ138" i="1"/>
  <c r="BI138" i="1"/>
  <c r="BH138" i="1"/>
  <c r="BG138" i="1"/>
  <c r="BF138" i="1"/>
  <c r="AV138" i="1"/>
  <c r="AU138" i="1"/>
  <c r="AT138" i="1"/>
  <c r="AX138" i="1" s="1"/>
  <c r="AS138" i="1"/>
  <c r="AP138" i="1"/>
  <c r="AN138" i="1"/>
  <c r="AM138" i="1"/>
  <c r="AK138" i="1"/>
  <c r="AJ138" i="1"/>
  <c r="BL135" i="1"/>
  <c r="BK135" i="1"/>
  <c r="BJ135" i="1"/>
  <c r="BI135" i="1"/>
  <c r="BH135" i="1"/>
  <c r="BG135" i="1"/>
  <c r="BF135" i="1"/>
  <c r="AV135" i="1"/>
  <c r="AU135" i="1"/>
  <c r="AT135" i="1"/>
  <c r="AS135" i="1"/>
  <c r="AP135" i="1"/>
  <c r="AN135" i="1"/>
  <c r="AM135" i="1"/>
  <c r="AK135" i="1"/>
  <c r="AJ135" i="1"/>
  <c r="BL132" i="1"/>
  <c r="BK132" i="1"/>
  <c r="BJ132" i="1"/>
  <c r="BI132" i="1"/>
  <c r="BH132" i="1"/>
  <c r="BG132" i="1"/>
  <c r="BF132" i="1"/>
  <c r="AV132" i="1"/>
  <c r="AU132" i="1"/>
  <c r="AT132" i="1"/>
  <c r="AS132" i="1"/>
  <c r="AP132" i="1"/>
  <c r="AN132" i="1"/>
  <c r="AM132" i="1"/>
  <c r="AK132" i="1"/>
  <c r="AJ132" i="1"/>
  <c r="BL129" i="1"/>
  <c r="BK129" i="1"/>
  <c r="BJ129" i="1"/>
  <c r="BI129" i="1"/>
  <c r="BH129" i="1"/>
  <c r="BG129" i="1"/>
  <c r="BF129" i="1"/>
  <c r="AV129" i="1"/>
  <c r="AU129" i="1"/>
  <c r="AW129" i="1" s="1"/>
  <c r="AT129" i="1"/>
  <c r="AS129" i="1"/>
  <c r="AP129" i="1"/>
  <c r="AN129" i="1"/>
  <c r="AO129" i="1" s="1"/>
  <c r="AQ129" i="1" s="1"/>
  <c r="AM129" i="1"/>
  <c r="AK129" i="1"/>
  <c r="AJ129" i="1"/>
  <c r="BL126" i="1"/>
  <c r="BK126" i="1"/>
  <c r="BJ126" i="1"/>
  <c r="BI126" i="1"/>
  <c r="BH126" i="1"/>
  <c r="BG126" i="1"/>
  <c r="BF126" i="1"/>
  <c r="AV126" i="1"/>
  <c r="AU126" i="1"/>
  <c r="AT126" i="1"/>
  <c r="AX126" i="1" s="1"/>
  <c r="AS126" i="1"/>
  <c r="AP126" i="1"/>
  <c r="AN126" i="1"/>
  <c r="AM126" i="1"/>
  <c r="AK126" i="1"/>
  <c r="AJ126" i="1"/>
  <c r="BL123" i="1"/>
  <c r="BK123" i="1"/>
  <c r="BJ123" i="1"/>
  <c r="BI123" i="1"/>
  <c r="BH123" i="1"/>
  <c r="BG123" i="1"/>
  <c r="BF123" i="1"/>
  <c r="AV123" i="1"/>
  <c r="AU123" i="1"/>
  <c r="AT123" i="1"/>
  <c r="AS123" i="1"/>
  <c r="AP123" i="1"/>
  <c r="AN123" i="1"/>
  <c r="AO123" i="1" s="1"/>
  <c r="AQ123" i="1" s="1"/>
  <c r="AM123" i="1"/>
  <c r="AK123" i="1"/>
  <c r="AJ123" i="1"/>
  <c r="BL120" i="1"/>
  <c r="BK120" i="1"/>
  <c r="BJ120" i="1"/>
  <c r="BI120" i="1"/>
  <c r="BH120" i="1"/>
  <c r="BG120" i="1"/>
  <c r="BF120" i="1"/>
  <c r="AV120" i="1"/>
  <c r="AU120" i="1"/>
  <c r="AT120" i="1"/>
  <c r="AS120" i="1"/>
  <c r="AP120" i="1"/>
  <c r="AN120" i="1"/>
  <c r="AM120" i="1"/>
  <c r="AK120" i="1"/>
  <c r="AJ120" i="1"/>
  <c r="BL117" i="1"/>
  <c r="BK117" i="1"/>
  <c r="BJ117" i="1"/>
  <c r="BI117" i="1"/>
  <c r="BH117" i="1"/>
  <c r="BG117" i="1"/>
  <c r="BF117" i="1"/>
  <c r="AV117" i="1"/>
  <c r="AU117" i="1"/>
  <c r="AT117" i="1"/>
  <c r="AS117" i="1"/>
  <c r="AP117" i="1"/>
  <c r="AN117" i="1"/>
  <c r="AO117" i="1" s="1"/>
  <c r="AM117" i="1"/>
  <c r="AK117" i="1"/>
  <c r="AJ117" i="1"/>
  <c r="BL114" i="1"/>
  <c r="BK114" i="1"/>
  <c r="BJ114" i="1"/>
  <c r="BI114" i="1"/>
  <c r="BH114" i="1"/>
  <c r="BG114" i="1"/>
  <c r="BF114" i="1"/>
  <c r="AV114" i="1"/>
  <c r="AU114" i="1"/>
  <c r="AT114" i="1"/>
  <c r="AS114" i="1"/>
  <c r="AP114" i="1"/>
  <c r="AN114" i="1"/>
  <c r="AO114" i="1" s="1"/>
  <c r="AM114" i="1"/>
  <c r="AK114" i="1"/>
  <c r="AJ114" i="1"/>
  <c r="BL111" i="1"/>
  <c r="BK111" i="1"/>
  <c r="BJ111" i="1"/>
  <c r="BI111" i="1"/>
  <c r="BH111" i="1"/>
  <c r="BG111" i="1"/>
  <c r="BF111" i="1"/>
  <c r="AV111" i="1"/>
  <c r="AU111" i="1"/>
  <c r="AT111" i="1"/>
  <c r="AS111" i="1"/>
  <c r="AP111" i="1"/>
  <c r="AN111" i="1"/>
  <c r="AM111" i="1"/>
  <c r="AK111" i="1"/>
  <c r="AJ111" i="1"/>
  <c r="BL108" i="1"/>
  <c r="BK108" i="1"/>
  <c r="BJ108" i="1"/>
  <c r="BI108" i="1"/>
  <c r="BH108" i="1"/>
  <c r="BG108" i="1"/>
  <c r="BF108" i="1"/>
  <c r="AV108" i="1"/>
  <c r="AU108" i="1"/>
  <c r="AT108" i="1"/>
  <c r="AS108" i="1"/>
  <c r="AP108" i="1"/>
  <c r="AN108" i="1"/>
  <c r="AO108" i="1" s="1"/>
  <c r="AM108" i="1"/>
  <c r="AK108" i="1"/>
  <c r="AJ108" i="1"/>
  <c r="BL105" i="1"/>
  <c r="BK105" i="1"/>
  <c r="BJ105" i="1"/>
  <c r="BI105" i="1"/>
  <c r="BH105" i="1"/>
  <c r="BG105" i="1"/>
  <c r="BF105" i="1"/>
  <c r="AV105" i="1"/>
  <c r="AU105" i="1"/>
  <c r="AT105" i="1"/>
  <c r="AS105" i="1"/>
  <c r="AP105" i="1"/>
  <c r="AN105" i="1"/>
  <c r="AO105" i="1" s="1"/>
  <c r="AM105" i="1"/>
  <c r="AK105" i="1"/>
  <c r="AJ105" i="1"/>
  <c r="BL102" i="1"/>
  <c r="BK102" i="1"/>
  <c r="BJ102" i="1"/>
  <c r="BI102" i="1"/>
  <c r="BH102" i="1"/>
  <c r="BG102" i="1"/>
  <c r="BF102" i="1"/>
  <c r="AV102" i="1"/>
  <c r="AU102" i="1"/>
  <c r="AT102" i="1"/>
  <c r="AS102" i="1"/>
  <c r="AP102" i="1"/>
  <c r="AN102" i="1"/>
  <c r="AM102" i="1"/>
  <c r="AK102" i="1"/>
  <c r="AJ102" i="1"/>
  <c r="BL99" i="1"/>
  <c r="BK99" i="1"/>
  <c r="BJ99" i="1"/>
  <c r="BI99" i="1"/>
  <c r="BH99" i="1"/>
  <c r="BG99" i="1"/>
  <c r="BF99" i="1"/>
  <c r="AV99" i="1"/>
  <c r="AU99" i="1"/>
  <c r="AT99" i="1"/>
  <c r="AS99" i="1"/>
  <c r="AP99" i="1"/>
  <c r="AN99" i="1"/>
  <c r="AO99" i="1" s="1"/>
  <c r="AQ99" i="1" s="1"/>
  <c r="AM99" i="1"/>
  <c r="AK99" i="1"/>
  <c r="AJ99" i="1"/>
  <c r="BL96" i="1"/>
  <c r="BK96" i="1"/>
  <c r="BJ96" i="1"/>
  <c r="BI96" i="1"/>
  <c r="BH96" i="1"/>
  <c r="BG96" i="1"/>
  <c r="BF96" i="1"/>
  <c r="AV96" i="1"/>
  <c r="AU96" i="1"/>
  <c r="AT96" i="1"/>
  <c r="AS96" i="1"/>
  <c r="AP96" i="1"/>
  <c r="AN96" i="1"/>
  <c r="AM96" i="1"/>
  <c r="AK96" i="1"/>
  <c r="AJ96" i="1"/>
  <c r="BL93" i="1"/>
  <c r="BK93" i="1"/>
  <c r="BJ93" i="1"/>
  <c r="BI93" i="1"/>
  <c r="BH93" i="1"/>
  <c r="BG93" i="1"/>
  <c r="BF93" i="1"/>
  <c r="AS93" i="1"/>
  <c r="AP93" i="1"/>
  <c r="AN93" i="1"/>
  <c r="AM93" i="1"/>
  <c r="AO93" i="1" s="1"/>
  <c r="AQ93" i="1" s="1"/>
  <c r="AJ93" i="1"/>
  <c r="BL90" i="1"/>
  <c r="BK90" i="1"/>
  <c r="BJ90" i="1"/>
  <c r="BI90" i="1"/>
  <c r="BH90" i="1"/>
  <c r="BG90" i="1"/>
  <c r="BF90" i="1"/>
  <c r="AV90" i="1"/>
  <c r="AU90" i="1"/>
  <c r="AT90" i="1"/>
  <c r="AS90" i="1"/>
  <c r="AP90" i="1"/>
  <c r="AN90" i="1"/>
  <c r="AM90" i="1"/>
  <c r="AK90" i="1"/>
  <c r="AJ90" i="1"/>
  <c r="BL87" i="1"/>
  <c r="BK87" i="1"/>
  <c r="BJ87" i="1"/>
  <c r="BI87" i="1"/>
  <c r="BH87" i="1"/>
  <c r="BG87" i="1"/>
  <c r="BF87" i="1"/>
  <c r="AV87" i="1"/>
  <c r="AU87" i="1"/>
  <c r="AT87" i="1"/>
  <c r="AS87" i="1"/>
  <c r="AP87" i="1"/>
  <c r="AN87" i="1"/>
  <c r="AM87" i="1"/>
  <c r="AK87" i="1"/>
  <c r="AJ87" i="1"/>
  <c r="BL84" i="1"/>
  <c r="BK84" i="1"/>
  <c r="BJ84" i="1"/>
  <c r="BI84" i="1"/>
  <c r="BH84" i="1"/>
  <c r="BG84" i="1"/>
  <c r="BF84" i="1"/>
  <c r="AV84" i="1"/>
  <c r="AU84" i="1"/>
  <c r="AT84" i="1"/>
  <c r="AS84" i="1"/>
  <c r="AP84" i="1"/>
  <c r="AN84" i="1"/>
  <c r="AM84" i="1"/>
  <c r="AK84" i="1"/>
  <c r="AJ84" i="1"/>
  <c r="BL81" i="1"/>
  <c r="BK81" i="1"/>
  <c r="BJ81" i="1"/>
  <c r="BI81" i="1"/>
  <c r="BH81" i="1"/>
  <c r="BG81" i="1"/>
  <c r="BF81" i="1"/>
  <c r="AV81" i="1"/>
  <c r="AU81" i="1"/>
  <c r="AT81" i="1"/>
  <c r="AX81" i="1" s="1"/>
  <c r="AS81" i="1"/>
  <c r="AP81" i="1"/>
  <c r="AN81" i="1"/>
  <c r="AM81" i="1"/>
  <c r="AK81" i="1"/>
  <c r="AJ81" i="1"/>
  <c r="BL78" i="1"/>
  <c r="BK78" i="1"/>
  <c r="BJ78" i="1"/>
  <c r="BI78" i="1"/>
  <c r="BH78" i="1"/>
  <c r="BG78" i="1"/>
  <c r="BF78" i="1"/>
  <c r="AV78" i="1"/>
  <c r="AU78" i="1"/>
  <c r="AT78" i="1"/>
  <c r="AS78" i="1"/>
  <c r="AP78" i="1"/>
  <c r="AN78" i="1"/>
  <c r="AM78" i="1"/>
  <c r="AK78" i="1"/>
  <c r="AJ78" i="1"/>
  <c r="BL75" i="1"/>
  <c r="BK75" i="1"/>
  <c r="BJ75" i="1"/>
  <c r="BI75" i="1"/>
  <c r="BH75" i="1"/>
  <c r="BG75" i="1"/>
  <c r="BF75" i="1"/>
  <c r="AV75" i="1"/>
  <c r="AU75" i="1"/>
  <c r="AT75" i="1"/>
  <c r="AS75" i="1"/>
  <c r="AP75" i="1"/>
  <c r="AN75" i="1"/>
  <c r="AM75" i="1"/>
  <c r="AK75" i="1"/>
  <c r="AJ75" i="1"/>
  <c r="BL72" i="1"/>
  <c r="BK72" i="1"/>
  <c r="BJ72" i="1"/>
  <c r="BI72" i="1"/>
  <c r="BH72" i="1"/>
  <c r="BG72" i="1"/>
  <c r="BF72" i="1"/>
  <c r="AV72" i="1"/>
  <c r="AU72" i="1"/>
  <c r="AT72" i="1"/>
  <c r="AS72" i="1"/>
  <c r="AP72" i="1"/>
  <c r="AN72" i="1"/>
  <c r="AM72" i="1"/>
  <c r="AK72" i="1"/>
  <c r="AJ72" i="1"/>
  <c r="BL69" i="1"/>
  <c r="BK69" i="1"/>
  <c r="BJ69" i="1"/>
  <c r="BI69" i="1"/>
  <c r="BH69" i="1"/>
  <c r="BG69" i="1"/>
  <c r="BF69" i="1"/>
  <c r="AV69" i="1"/>
  <c r="AU69" i="1"/>
  <c r="AT69" i="1"/>
  <c r="AS69" i="1"/>
  <c r="AP69" i="1"/>
  <c r="AN69" i="1"/>
  <c r="AM69" i="1"/>
  <c r="AK69" i="1"/>
  <c r="AJ69" i="1"/>
  <c r="BL66" i="1"/>
  <c r="BK66" i="1"/>
  <c r="BJ66" i="1"/>
  <c r="BI66" i="1"/>
  <c r="BH66" i="1"/>
  <c r="BG66" i="1"/>
  <c r="BF66" i="1"/>
  <c r="AV66" i="1"/>
  <c r="AU66" i="1"/>
  <c r="AT66" i="1"/>
  <c r="AS66" i="1"/>
  <c r="AP66" i="1"/>
  <c r="AN66" i="1"/>
  <c r="AM66" i="1"/>
  <c r="AK66" i="1"/>
  <c r="AJ66" i="1"/>
  <c r="BL63" i="1"/>
  <c r="BK63" i="1"/>
  <c r="BJ63" i="1"/>
  <c r="BI63" i="1"/>
  <c r="BH63" i="1"/>
  <c r="BG63" i="1"/>
  <c r="BF63" i="1"/>
  <c r="AV63" i="1"/>
  <c r="AU63" i="1"/>
  <c r="AT63" i="1"/>
  <c r="AS63" i="1"/>
  <c r="AP63" i="1"/>
  <c r="AN63" i="1"/>
  <c r="AM63" i="1"/>
  <c r="AK63" i="1"/>
  <c r="AJ63" i="1"/>
  <c r="BL60" i="1"/>
  <c r="BK60" i="1"/>
  <c r="BJ60" i="1"/>
  <c r="BI60" i="1"/>
  <c r="BH60" i="1"/>
  <c r="BG60" i="1"/>
  <c r="BF60" i="1"/>
  <c r="AV60" i="1"/>
  <c r="AU60" i="1"/>
  <c r="AT60" i="1"/>
  <c r="AS60" i="1"/>
  <c r="AP60" i="1"/>
  <c r="AN60" i="1"/>
  <c r="AM60" i="1"/>
  <c r="AK60" i="1"/>
  <c r="AJ60" i="1"/>
  <c r="BL57" i="1"/>
  <c r="BK57" i="1"/>
  <c r="BJ57" i="1"/>
  <c r="BI57" i="1"/>
  <c r="BH57" i="1"/>
  <c r="BG57" i="1"/>
  <c r="BF57" i="1"/>
  <c r="AV57" i="1"/>
  <c r="AU57" i="1"/>
  <c r="AT57" i="1"/>
  <c r="AS57" i="1"/>
  <c r="AP57" i="1"/>
  <c r="AN57" i="1"/>
  <c r="AM57" i="1"/>
  <c r="AK57" i="1"/>
  <c r="AJ57" i="1"/>
  <c r="BL54" i="1"/>
  <c r="BK54" i="1"/>
  <c r="BJ54" i="1"/>
  <c r="BI54" i="1"/>
  <c r="BH54" i="1"/>
  <c r="BG54" i="1"/>
  <c r="BF54" i="1"/>
  <c r="AV54" i="1"/>
  <c r="AU54" i="1"/>
  <c r="AT54" i="1"/>
  <c r="AX54" i="1" s="1"/>
  <c r="AS54" i="1"/>
  <c r="AP54" i="1"/>
  <c r="AN54" i="1"/>
  <c r="AM54" i="1"/>
  <c r="AK54" i="1"/>
  <c r="AJ54" i="1"/>
  <c r="BL51" i="1"/>
  <c r="BK51" i="1"/>
  <c r="BJ51" i="1"/>
  <c r="BI51" i="1"/>
  <c r="BH51" i="1"/>
  <c r="BG51" i="1"/>
  <c r="BF51" i="1"/>
  <c r="AV51" i="1"/>
  <c r="AU51" i="1"/>
  <c r="AT51" i="1"/>
  <c r="AW51" i="1" s="1"/>
  <c r="AS51" i="1"/>
  <c r="AP51" i="1"/>
  <c r="AN51" i="1"/>
  <c r="AM51" i="1"/>
  <c r="AO51" i="1" s="1"/>
  <c r="AQ51" i="1" s="1"/>
  <c r="AK51" i="1"/>
  <c r="AJ51" i="1"/>
  <c r="BH48" i="1"/>
  <c r="BI48" i="1"/>
  <c r="BJ48" i="1"/>
  <c r="BK48" i="1"/>
  <c r="BL48" i="1"/>
  <c r="BG48" i="1"/>
  <c r="AV48" i="1"/>
  <c r="AU48" i="1"/>
  <c r="AT48" i="1"/>
  <c r="AS48" i="1"/>
  <c r="AP48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49" i="1"/>
  <c r="I48" i="1"/>
  <c r="AN48" i="1"/>
  <c r="AM48" i="1"/>
  <c r="AK48" i="1"/>
  <c r="AJ48" i="1"/>
  <c r="AX11" i="7" l="1"/>
  <c r="AX14" i="7"/>
  <c r="AC100" i="7"/>
  <c r="Z100" i="7"/>
  <c r="AC187" i="7"/>
  <c r="Z187" i="7"/>
  <c r="AO171" i="7"/>
  <c r="AR172" i="7" s="1"/>
  <c r="AQ172" i="7"/>
  <c r="AQ82" i="7"/>
  <c r="AQ190" i="7"/>
  <c r="AP85" i="7"/>
  <c r="AN84" i="7"/>
  <c r="AC133" i="7"/>
  <c r="Z133" i="7"/>
  <c r="BD6" i="7"/>
  <c r="AY5" i="7"/>
  <c r="BA6" i="7"/>
  <c r="BN3" i="7"/>
  <c r="BO3" i="7" s="1"/>
  <c r="AQ7" i="7"/>
  <c r="AO6" i="7"/>
  <c r="AR7" i="7" s="1"/>
  <c r="AR88" i="7"/>
  <c r="AY11" i="7"/>
  <c r="AY15" i="7"/>
  <c r="T37" i="7"/>
  <c r="X37" i="7" s="1"/>
  <c r="AY18" i="7" s="1"/>
  <c r="AX15" i="7"/>
  <c r="Z97" i="7"/>
  <c r="AC97" i="7"/>
  <c r="AO127" i="7"/>
  <c r="AR127" i="7" s="1"/>
  <c r="AQ127" i="7"/>
  <c r="AY8" i="7"/>
  <c r="AY21" i="7"/>
  <c r="AR97" i="7"/>
  <c r="AP64" i="7"/>
  <c r="AN63" i="7"/>
  <c r="AQ136" i="7"/>
  <c r="AR136" i="7"/>
  <c r="AP133" i="7"/>
  <c r="Z175" i="7"/>
  <c r="BA3" i="7" s="1"/>
  <c r="AC175" i="7"/>
  <c r="AC157" i="7"/>
  <c r="Z157" i="7"/>
  <c r="AP97" i="7"/>
  <c r="AN4" i="7"/>
  <c r="AP4" i="7"/>
  <c r="X85" i="7"/>
  <c r="AY9" i="7" s="1"/>
  <c r="AQ187" i="7"/>
  <c r="AO186" i="7"/>
  <c r="AR187" i="7" s="1"/>
  <c r="AC34" i="7"/>
  <c r="BD5" i="7" s="1"/>
  <c r="Z34" i="7"/>
  <c r="BA5" i="7" s="1"/>
  <c r="AV5" i="7"/>
  <c r="BN5" i="7" s="1"/>
  <c r="BO5" i="7" s="1"/>
  <c r="AN24" i="7"/>
  <c r="AP25" i="7"/>
  <c r="AP169" i="7"/>
  <c r="AN168" i="7"/>
  <c r="AC190" i="7"/>
  <c r="Z190" i="7"/>
  <c r="AQ133" i="7"/>
  <c r="X112" i="7"/>
  <c r="AN46" i="7"/>
  <c r="AP46" i="7"/>
  <c r="AP52" i="7"/>
  <c r="AN51" i="7"/>
  <c r="Z160" i="7"/>
  <c r="AC160" i="7"/>
  <c r="AQ148" i="7"/>
  <c r="AO147" i="7"/>
  <c r="AR148" i="7" s="1"/>
  <c r="Z127" i="7"/>
  <c r="AC127" i="7"/>
  <c r="X127" i="7"/>
  <c r="AW11" i="7"/>
  <c r="AW23" i="7" s="1"/>
  <c r="AC31" i="7"/>
  <c r="BD4" i="7" s="1"/>
  <c r="AV4" i="7"/>
  <c r="BN4" i="7" s="1"/>
  <c r="BO4" i="7" s="1"/>
  <c r="Z31" i="7"/>
  <c r="BA4" i="7" s="1"/>
  <c r="AC109" i="7"/>
  <c r="Z109" i="7"/>
  <c r="AQ97" i="7"/>
  <c r="AN138" i="7"/>
  <c r="AP139" i="7"/>
  <c r="BA16" i="7"/>
  <c r="AC79" i="7"/>
  <c r="BD8" i="7" s="1"/>
  <c r="Z79" i="7"/>
  <c r="AP127" i="7"/>
  <c r="T54" i="7"/>
  <c r="X55" i="7" s="1"/>
  <c r="AY13" i="7" s="1"/>
  <c r="AN76" i="7"/>
  <c r="AP76" i="7"/>
  <c r="AQ124" i="7"/>
  <c r="AO123" i="7"/>
  <c r="AR124" i="7" s="1"/>
  <c r="BD13" i="7"/>
  <c r="AP190" i="7"/>
  <c r="Z139" i="7"/>
  <c r="AC139" i="7"/>
  <c r="AW10" i="7"/>
  <c r="AC49" i="7"/>
  <c r="Z49" i="7"/>
  <c r="AV14" i="7"/>
  <c r="BN14" i="7" s="1"/>
  <c r="BO14" i="7" s="1"/>
  <c r="AP82" i="7"/>
  <c r="Z73" i="7"/>
  <c r="AC73" i="7"/>
  <c r="AQ55" i="7"/>
  <c r="AO54" i="7"/>
  <c r="AR55" i="7" s="1"/>
  <c r="BD21" i="7"/>
  <c r="AM196" i="7"/>
  <c r="AN105" i="7"/>
  <c r="AP106" i="7"/>
  <c r="S197" i="7"/>
  <c r="S199" i="7" s="1"/>
  <c r="S196" i="7"/>
  <c r="T133" i="7"/>
  <c r="X133" i="7" s="1"/>
  <c r="Z148" i="7"/>
  <c r="AC148" i="7"/>
  <c r="Z37" i="7"/>
  <c r="BA18" i="7" s="1"/>
  <c r="AC37" i="7"/>
  <c r="BD18" i="7" s="1"/>
  <c r="AV18" i="7"/>
  <c r="BN18" i="7" s="1"/>
  <c r="BO18" i="7" s="1"/>
  <c r="AN34" i="7"/>
  <c r="AP34" i="7"/>
  <c r="BD3" i="7"/>
  <c r="AP7" i="7"/>
  <c r="AN38" i="7"/>
  <c r="AP37" i="7"/>
  <c r="X52" i="7"/>
  <c r="AY16" i="7" s="1"/>
  <c r="AQ130" i="7"/>
  <c r="AO129" i="7"/>
  <c r="AR130" i="7" s="1"/>
  <c r="AO39" i="7"/>
  <c r="AR40" i="7" s="1"/>
  <c r="AQ40" i="7"/>
  <c r="W52" i="7"/>
  <c r="AX16" i="7" s="1"/>
  <c r="AN120" i="7"/>
  <c r="AP121" i="7"/>
  <c r="AY14" i="7"/>
  <c r="Z154" i="7"/>
  <c r="AC154" i="7"/>
  <c r="AC121" i="7"/>
  <c r="Z121" i="7"/>
  <c r="AC58" i="7"/>
  <c r="BD20" i="7" s="1"/>
  <c r="Z58" i="7"/>
  <c r="Z52" i="7"/>
  <c r="AC52" i="7"/>
  <c r="BD16" i="7" s="1"/>
  <c r="W154" i="7"/>
  <c r="AX5" i="7" s="1"/>
  <c r="T153" i="7"/>
  <c r="X154" i="7" s="1"/>
  <c r="AN146" i="7"/>
  <c r="AP145" i="7"/>
  <c r="Z103" i="7"/>
  <c r="BA19" i="7" s="1"/>
  <c r="AC103" i="7"/>
  <c r="BD19" i="7" s="1"/>
  <c r="AV19" i="7"/>
  <c r="BN19" i="7" s="1"/>
  <c r="BO19" i="7" s="1"/>
  <c r="AN69" i="7"/>
  <c r="AP70" i="7"/>
  <c r="AQ181" i="7"/>
  <c r="Z106" i="7"/>
  <c r="AC106" i="7"/>
  <c r="AQ10" i="7"/>
  <c r="AO9" i="7"/>
  <c r="AR10" i="7" s="1"/>
  <c r="AP181" i="7"/>
  <c r="AQ91" i="7"/>
  <c r="AO90" i="7"/>
  <c r="AR91" i="7" s="1"/>
  <c r="X106" i="7"/>
  <c r="AP91" i="7"/>
  <c r="Z163" i="7"/>
  <c r="AC163" i="7"/>
  <c r="W106" i="7"/>
  <c r="AX8" i="7" s="1"/>
  <c r="Z142" i="7"/>
  <c r="AC142" i="7"/>
  <c r="T141" i="7"/>
  <c r="X142" i="7" s="1"/>
  <c r="AY10" i="7" s="1"/>
  <c r="AX21" i="7"/>
  <c r="AN141" i="7"/>
  <c r="AP142" i="7"/>
  <c r="AQ157" i="7"/>
  <c r="AO156" i="7"/>
  <c r="AR157" i="7" s="1"/>
  <c r="Z4" i="7"/>
  <c r="AC4" i="7"/>
  <c r="AV11" i="7"/>
  <c r="BN11" i="7" s="1"/>
  <c r="BO11" i="7" s="1"/>
  <c r="AN48" i="7"/>
  <c r="AP49" i="7"/>
  <c r="AO183" i="7"/>
  <c r="AR184" i="7" s="1"/>
  <c r="AQ184" i="7"/>
  <c r="AQ154" i="7"/>
  <c r="AO153" i="7"/>
  <c r="AR154" i="7" s="1"/>
  <c r="AP187" i="7"/>
  <c r="AP43" i="7"/>
  <c r="AN42" i="7"/>
  <c r="Z85" i="7"/>
  <c r="BA9" i="7" s="1"/>
  <c r="AC85" i="7"/>
  <c r="BD9" i="7" s="1"/>
  <c r="Z64" i="7"/>
  <c r="BA10" i="7" s="1"/>
  <c r="AC64" i="7"/>
  <c r="BD10" i="7" s="1"/>
  <c r="AV16" i="7"/>
  <c r="BN16" i="7" s="1"/>
  <c r="BO16" i="7" s="1"/>
  <c r="AN21" i="7"/>
  <c r="AP22" i="7"/>
  <c r="W112" i="7"/>
  <c r="AN68" i="7"/>
  <c r="AP67" i="7"/>
  <c r="AN159" i="7"/>
  <c r="AP160" i="7"/>
  <c r="Z136" i="7"/>
  <c r="BA21" i="7" s="1"/>
  <c r="AC136" i="7"/>
  <c r="AV21" i="7"/>
  <c r="BN21" i="7" s="1"/>
  <c r="BO21" i="7" s="1"/>
  <c r="AV8" i="7"/>
  <c r="BN8" i="7" s="1"/>
  <c r="BO8" i="7" s="1"/>
  <c r="AN72" i="7"/>
  <c r="AP73" i="7"/>
  <c r="AN115" i="7"/>
  <c r="AP115" i="7"/>
  <c r="AN177" i="7"/>
  <c r="AP178" i="7"/>
  <c r="AV13" i="7"/>
  <c r="BN13" i="7" s="1"/>
  <c r="BO13" i="7" s="1"/>
  <c r="AV9" i="7"/>
  <c r="BN9" i="7" s="1"/>
  <c r="BO9" i="7" s="1"/>
  <c r="Z7" i="7"/>
  <c r="BA15" i="7" s="1"/>
  <c r="AC7" i="7"/>
  <c r="BD15" i="7" s="1"/>
  <c r="AV15" i="7"/>
  <c r="BN15" i="7" s="1"/>
  <c r="BO15" i="7" s="1"/>
  <c r="AQ175" i="7"/>
  <c r="AO174" i="7"/>
  <c r="AR175" i="7" s="1"/>
  <c r="AC172" i="7"/>
  <c r="Z172" i="7"/>
  <c r="BA13" i="7" s="1"/>
  <c r="T68" i="7"/>
  <c r="X67" i="7" s="1"/>
  <c r="AY3" i="7" s="1"/>
  <c r="Z145" i="7"/>
  <c r="AC145" i="7"/>
  <c r="AN119" i="7"/>
  <c r="AP118" i="7"/>
  <c r="AO69" i="1"/>
  <c r="AQ69" i="1" s="1"/>
  <c r="AW126" i="1"/>
  <c r="AY126" i="1" s="1"/>
  <c r="AX129" i="1"/>
  <c r="AW141" i="1"/>
  <c r="AO66" i="1"/>
  <c r="AQ66" i="1" s="1"/>
  <c r="AO48" i="1"/>
  <c r="AQ48" i="1" s="1"/>
  <c r="AW123" i="1"/>
  <c r="AY123" i="1" s="1"/>
  <c r="AW132" i="1"/>
  <c r="AW144" i="1"/>
  <c r="AX147" i="1"/>
  <c r="AY147" i="1" s="1"/>
  <c r="AW156" i="1"/>
  <c r="AW168" i="1"/>
  <c r="AW177" i="1"/>
  <c r="AW201" i="1"/>
  <c r="AW57" i="1"/>
  <c r="AY57" i="1" s="1"/>
  <c r="AW60" i="1"/>
  <c r="AW63" i="1"/>
  <c r="AW66" i="1"/>
  <c r="AW69" i="1"/>
  <c r="AW72" i="1"/>
  <c r="AW75" i="1"/>
  <c r="AW81" i="1"/>
  <c r="AY81" i="1" s="1"/>
  <c r="AW84" i="1"/>
  <c r="AY84" i="1" s="1"/>
  <c r="AW90" i="1"/>
  <c r="AX150" i="1"/>
  <c r="AX156" i="1"/>
  <c r="AX165" i="1"/>
  <c r="AX168" i="1"/>
  <c r="AX177" i="1"/>
  <c r="AX180" i="1"/>
  <c r="AX183" i="1"/>
  <c r="AO54" i="1"/>
  <c r="AO60" i="1"/>
  <c r="AQ60" i="1" s="1"/>
  <c r="AX117" i="1"/>
  <c r="AX141" i="1"/>
  <c r="AW159" i="1"/>
  <c r="AW165" i="1"/>
  <c r="AY165" i="1" s="1"/>
  <c r="AW171" i="1"/>
  <c r="AY171" i="1" s="1"/>
  <c r="AW180" i="1"/>
  <c r="AY180" i="1" s="1"/>
  <c r="AW228" i="1"/>
  <c r="AX57" i="1"/>
  <c r="AX60" i="1"/>
  <c r="AX63" i="1"/>
  <c r="AX66" i="1"/>
  <c r="AX69" i="1"/>
  <c r="AY69" i="1" s="1"/>
  <c r="AX72" i="1"/>
  <c r="AO102" i="1"/>
  <c r="AQ102" i="1" s="1"/>
  <c r="AO57" i="1"/>
  <c r="AQ57" i="1" s="1"/>
  <c r="AO72" i="1"/>
  <c r="AQ72" i="1" s="1"/>
  <c r="AW108" i="1"/>
  <c r="AW135" i="1"/>
  <c r="AW150" i="1"/>
  <c r="AY150" i="1" s="1"/>
  <c r="AW162" i="1"/>
  <c r="AY162" i="1" s="1"/>
  <c r="AW183" i="1"/>
  <c r="AY183" i="1" s="1"/>
  <c r="AX93" i="1"/>
  <c r="AY93" i="1" s="1"/>
  <c r="AO132" i="1"/>
  <c r="AQ132" i="1" s="1"/>
  <c r="AO135" i="1"/>
  <c r="AO138" i="1"/>
  <c r="AQ138" i="1" s="1"/>
  <c r="AO141" i="1"/>
  <c r="AQ141" i="1" s="1"/>
  <c r="AO144" i="1"/>
  <c r="AQ144" i="1" s="1"/>
  <c r="AO147" i="1"/>
  <c r="AQ147" i="1" s="1"/>
  <c r="AO153" i="1"/>
  <c r="AQ153" i="1" s="1"/>
  <c r="AX195" i="1"/>
  <c r="AX198" i="1"/>
  <c r="AX201" i="1"/>
  <c r="AW204" i="1"/>
  <c r="AW207" i="1"/>
  <c r="AY207" i="1" s="1"/>
  <c r="AW210" i="1"/>
  <c r="AY210" i="1" s="1"/>
  <c r="AW213" i="1"/>
  <c r="AY213" i="1" s="1"/>
  <c r="AW216" i="1"/>
  <c r="AW219" i="1"/>
  <c r="AW225" i="1"/>
  <c r="AO78" i="1"/>
  <c r="AQ78" i="1" s="1"/>
  <c r="AO84" i="1"/>
  <c r="AQ84" i="1" s="1"/>
  <c r="AW99" i="1"/>
  <c r="AY99" i="1" s="1"/>
  <c r="AW105" i="1"/>
  <c r="AY105" i="1" s="1"/>
  <c r="AW48" i="1"/>
  <c r="AY48" i="1" s="1"/>
  <c r="AW54" i="1"/>
  <c r="AY54" i="1" s="1"/>
  <c r="AX96" i="1"/>
  <c r="AX99" i="1"/>
  <c r="AX102" i="1"/>
  <c r="AX105" i="1"/>
  <c r="AX108" i="1"/>
  <c r="AY108" i="1" s="1"/>
  <c r="AW111" i="1"/>
  <c r="AY111" i="1" s="1"/>
  <c r="AW114" i="1"/>
  <c r="AW117" i="1"/>
  <c r="AY117" i="1" s="1"/>
  <c r="AW120" i="1"/>
  <c r="AQ150" i="1"/>
  <c r="AQ156" i="1"/>
  <c r="AQ162" i="1"/>
  <c r="AQ165" i="1"/>
  <c r="AX204" i="1"/>
  <c r="AY204" i="1" s="1"/>
  <c r="AX207" i="1"/>
  <c r="AX213" i="1"/>
  <c r="AX216" i="1"/>
  <c r="AX225" i="1"/>
  <c r="AX228" i="1"/>
  <c r="AW231" i="1"/>
  <c r="AW234" i="1"/>
  <c r="AY234" i="1" s="1"/>
  <c r="AO75" i="1"/>
  <c r="AQ75" i="1" s="1"/>
  <c r="AW102" i="1"/>
  <c r="AX48" i="1"/>
  <c r="AX51" i="1"/>
  <c r="AX111" i="1"/>
  <c r="AQ180" i="1"/>
  <c r="AQ183" i="1"/>
  <c r="AX231" i="1"/>
  <c r="AX234" i="1"/>
  <c r="AO81" i="1"/>
  <c r="AQ81" i="1" s="1"/>
  <c r="AY51" i="1"/>
  <c r="AW78" i="1"/>
  <c r="AW87" i="1"/>
  <c r="AY87" i="1" s="1"/>
  <c r="AX120" i="1"/>
  <c r="AX123" i="1"/>
  <c r="AQ201" i="1"/>
  <c r="AO87" i="1"/>
  <c r="AQ87" i="1" s="1"/>
  <c r="AW195" i="1"/>
  <c r="AY195" i="1" s="1"/>
  <c r="AW96" i="1"/>
  <c r="AY96" i="1" s="1"/>
  <c r="AX75" i="1"/>
  <c r="AY75" i="1" s="1"/>
  <c r="AX84" i="1"/>
  <c r="AX87" i="1"/>
  <c r="AQ105" i="1"/>
  <c r="AQ108" i="1"/>
  <c r="AO111" i="1"/>
  <c r="AQ111" i="1" s="1"/>
  <c r="AY129" i="1"/>
  <c r="AW153" i="1"/>
  <c r="AX162" i="1"/>
  <c r="AO225" i="1"/>
  <c r="AQ225" i="1" s="1"/>
  <c r="AW186" i="1"/>
  <c r="AW198" i="1"/>
  <c r="AY198" i="1" s="1"/>
  <c r="AQ54" i="1"/>
  <c r="AQ114" i="1"/>
  <c r="AQ117" i="1"/>
  <c r="AX132" i="1"/>
  <c r="AY132" i="1" s="1"/>
  <c r="AX135" i="1"/>
  <c r="AQ231" i="1"/>
  <c r="AQ237" i="1"/>
  <c r="AX78" i="1"/>
  <c r="AO96" i="1"/>
  <c r="AQ96" i="1" s="1"/>
  <c r="AO126" i="1"/>
  <c r="AQ126" i="1" s="1"/>
  <c r="AW138" i="1"/>
  <c r="AY138" i="1" s="1"/>
  <c r="AX171" i="1"/>
  <c r="AW174" i="1"/>
  <c r="AW192" i="1"/>
  <c r="AY192" i="1" s="1"/>
  <c r="AX210" i="1"/>
  <c r="AX153" i="1"/>
  <c r="AX174" i="1"/>
  <c r="AO186" i="1"/>
  <c r="AQ186" i="1" s="1"/>
  <c r="AX192" i="1"/>
  <c r="AO228" i="1"/>
  <c r="AQ228" i="1" s="1"/>
  <c r="AY135" i="1"/>
  <c r="AO90" i="1"/>
  <c r="AQ90" i="1" s="1"/>
  <c r="AO168" i="1"/>
  <c r="AQ168" i="1" s="1"/>
  <c r="AW237" i="1"/>
  <c r="AY237" i="1" s="1"/>
  <c r="AQ135" i="1"/>
  <c r="AX159" i="1"/>
  <c r="AY159" i="1" s="1"/>
  <c r="AO210" i="1"/>
  <c r="AQ210" i="1" s="1"/>
  <c r="AX219" i="1"/>
  <c r="AY219" i="1" s="1"/>
  <c r="AO234" i="1"/>
  <c r="AQ234" i="1" s="1"/>
  <c r="AX144" i="1"/>
  <c r="AY144" i="1" s="1"/>
  <c r="AX222" i="1"/>
  <c r="AY222" i="1" s="1"/>
  <c r="AO63" i="1"/>
  <c r="AQ63" i="1" s="1"/>
  <c r="AX90" i="1"/>
  <c r="AY90" i="1" s="1"/>
  <c r="AX114" i="1"/>
  <c r="AO120" i="1"/>
  <c r="AQ120" i="1" s="1"/>
  <c r="AY102" i="1"/>
  <c r="AQ159" i="1"/>
  <c r="AX186" i="1"/>
  <c r="AY186" i="1" s="1"/>
  <c r="AQ216" i="1"/>
  <c r="AQ219" i="1"/>
  <c r="AY231" i="1"/>
  <c r="AY228" i="1"/>
  <c r="AY168" i="1"/>
  <c r="AY174" i="1"/>
  <c r="AY156" i="1"/>
  <c r="AY120" i="1"/>
  <c r="AY72" i="1"/>
  <c r="AY60" i="1"/>
  <c r="AY63" i="1"/>
  <c r="AY66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R239" i="1"/>
  <c r="R48" i="1"/>
  <c r="Q48" i="1"/>
  <c r="AX23" i="7" l="1"/>
  <c r="AO38" i="7"/>
  <c r="AR37" i="7" s="1"/>
  <c r="AQ37" i="7"/>
  <c r="AO168" i="7"/>
  <c r="AR169" i="7" s="1"/>
  <c r="AQ169" i="7"/>
  <c r="AQ43" i="7"/>
  <c r="AO42" i="7"/>
  <c r="AR43" i="7" s="1"/>
  <c r="AO24" i="7"/>
  <c r="AR25" i="7" s="1"/>
  <c r="AQ25" i="7"/>
  <c r="AO69" i="7"/>
  <c r="AR70" i="7" s="1"/>
  <c r="AQ70" i="7"/>
  <c r="BA8" i="7"/>
  <c r="AV23" i="7"/>
  <c r="AQ178" i="7"/>
  <c r="AO177" i="7"/>
  <c r="AR178" i="7" s="1"/>
  <c r="AO146" i="7"/>
  <c r="AR145" i="7" s="1"/>
  <c r="AQ145" i="7"/>
  <c r="AO4" i="7"/>
  <c r="AR4" i="7" s="1"/>
  <c r="AQ4" i="7"/>
  <c r="BA11" i="7"/>
  <c r="AQ85" i="7"/>
  <c r="AO84" i="7"/>
  <c r="AR85" i="7" s="1"/>
  <c r="AY23" i="7"/>
  <c r="AQ34" i="7"/>
  <c r="AO34" i="7"/>
  <c r="AR34" i="7" s="1"/>
  <c r="AO138" i="7"/>
  <c r="AR139" i="7" s="1"/>
  <c r="AQ139" i="7"/>
  <c r="AQ49" i="7"/>
  <c r="AO48" i="7"/>
  <c r="AR49" i="7" s="1"/>
  <c r="BD11" i="7"/>
  <c r="BD23" i="7" s="1"/>
  <c r="AQ73" i="7"/>
  <c r="AO72" i="7"/>
  <c r="AR73" i="7" s="1"/>
  <c r="AO141" i="7"/>
  <c r="AR142" i="7" s="1"/>
  <c r="AQ142" i="7"/>
  <c r="AQ160" i="7"/>
  <c r="AO159" i="7"/>
  <c r="AR160" i="7" s="1"/>
  <c r="AQ121" i="7"/>
  <c r="AO120" i="7"/>
  <c r="AR121" i="7" s="1"/>
  <c r="AQ67" i="7"/>
  <c r="AO68" i="7"/>
  <c r="AR67" i="7" s="1"/>
  <c r="BD14" i="7"/>
  <c r="AO119" i="7"/>
  <c r="AR118" i="7" s="1"/>
  <c r="AQ118" i="7"/>
  <c r="AQ46" i="7"/>
  <c r="AO46" i="7"/>
  <c r="AR46" i="7" s="1"/>
  <c r="AO76" i="7"/>
  <c r="AR76" i="7" s="1"/>
  <c r="AQ76" i="7"/>
  <c r="AQ115" i="7"/>
  <c r="AO115" i="7"/>
  <c r="AR115" i="7" s="1"/>
  <c r="BA20" i="7"/>
  <c r="AO105" i="7"/>
  <c r="AR106" i="7" s="1"/>
  <c r="AQ106" i="7"/>
  <c r="AQ64" i="7"/>
  <c r="AO63" i="7"/>
  <c r="AR64" i="7" s="1"/>
  <c r="BA14" i="7"/>
  <c r="BA23" i="7" s="1"/>
  <c r="AO51" i="7"/>
  <c r="AR52" i="7" s="1"/>
  <c r="AQ52" i="7"/>
  <c r="AO21" i="7"/>
  <c r="AR22" i="7" s="1"/>
  <c r="AQ22" i="7"/>
  <c r="AY189" i="1"/>
  <c r="AY177" i="1"/>
  <c r="AY141" i="1"/>
  <c r="AY201" i="1"/>
  <c r="S166" i="1"/>
  <c r="S146" i="1"/>
  <c r="S138" i="1"/>
  <c r="S134" i="1"/>
  <c r="S102" i="1"/>
  <c r="AY114" i="1"/>
  <c r="AY78" i="1"/>
  <c r="AY225" i="1"/>
  <c r="AY153" i="1"/>
  <c r="AY216" i="1"/>
  <c r="S49" i="1"/>
  <c r="S61" i="1"/>
  <c r="S174" i="1"/>
  <c r="S219" i="1"/>
  <c r="S203" i="1"/>
  <c r="S187" i="1"/>
  <c r="S183" i="1"/>
  <c r="S86" i="1"/>
  <c r="S70" i="1"/>
  <c r="S62" i="1"/>
  <c r="S201" i="1"/>
  <c r="S193" i="1"/>
  <c r="S132" i="1"/>
  <c r="S124" i="1"/>
  <c r="S58" i="1"/>
  <c r="S182" i="1"/>
  <c r="S184" i="1"/>
  <c r="S196" i="1"/>
  <c r="S133" i="1"/>
  <c r="S192" i="1"/>
  <c r="S153" i="1"/>
  <c r="S113" i="1"/>
  <c r="S121" i="1"/>
  <c r="S204" i="1"/>
  <c r="S188" i="1"/>
  <c r="S125" i="1"/>
  <c r="S185" i="1"/>
  <c r="S215" i="1"/>
  <c r="S168" i="1"/>
  <c r="S226" i="1"/>
  <c r="S218" i="1"/>
  <c r="S214" i="1"/>
  <c r="S210" i="1"/>
  <c r="S206" i="1"/>
  <c r="S48" i="1"/>
  <c r="S50" i="1"/>
  <c r="S85" i="1"/>
  <c r="S81" i="1"/>
  <c r="S198" i="1"/>
  <c r="S159" i="1"/>
  <c r="S237" i="1"/>
  <c r="S233" i="1"/>
  <c r="S229" i="1"/>
  <c r="S225" i="1"/>
  <c r="S221" i="1"/>
  <c r="S178" i="1"/>
  <c r="S170" i="1"/>
  <c r="S202" i="1"/>
  <c r="S228" i="1"/>
  <c r="S220" i="1"/>
  <c r="S212" i="1"/>
  <c r="S208" i="1"/>
  <c r="S130" i="1"/>
  <c r="S126" i="1"/>
  <c r="S114" i="1"/>
  <c r="S82" i="1"/>
  <c r="S223" i="1"/>
  <c r="S145" i="1"/>
  <c r="S129" i="1"/>
  <c r="S186" i="1"/>
  <c r="S191" i="1"/>
  <c r="S151" i="1"/>
  <c r="S230" i="1"/>
  <c r="S160" i="1"/>
  <c r="S140" i="1"/>
  <c r="S69" i="1"/>
  <c r="S194" i="1"/>
  <c r="S142" i="1"/>
  <c r="S127" i="1"/>
  <c r="S110" i="1"/>
  <c r="S158" i="1"/>
  <c r="S78" i="1"/>
  <c r="S235" i="1"/>
  <c r="S150" i="1"/>
  <c r="S238" i="1"/>
  <c r="S222" i="1"/>
  <c r="S216" i="1"/>
  <c r="S141" i="1"/>
  <c r="S106" i="1"/>
  <c r="S94" i="1"/>
  <c r="S209" i="1"/>
  <c r="S118" i="1"/>
  <c r="S211" i="1"/>
  <c r="S167" i="1"/>
  <c r="S161" i="1"/>
  <c r="S97" i="1"/>
  <c r="S90" i="1"/>
  <c r="S176" i="1"/>
  <c r="S154" i="1"/>
  <c r="S119" i="1"/>
  <c r="S92" i="1"/>
  <c r="S74" i="1"/>
  <c r="S66" i="1"/>
  <c r="S236" i="1"/>
  <c r="S234" i="1"/>
  <c r="S227" i="1"/>
  <c r="S200" i="1"/>
  <c r="S195" i="1"/>
  <c r="S175" i="1"/>
  <c r="S169" i="1"/>
  <c r="S162" i="1"/>
  <c r="S152" i="1"/>
  <c r="S105" i="1"/>
  <c r="S89" i="1"/>
  <c r="S68" i="1"/>
  <c r="S60" i="1"/>
  <c r="S207" i="1"/>
  <c r="S117" i="1"/>
  <c r="S109" i="1"/>
  <c r="S98" i="1"/>
  <c r="S84" i="1"/>
  <c r="S79" i="1"/>
  <c r="S73" i="1"/>
  <c r="S65" i="1"/>
  <c r="S217" i="1"/>
  <c r="S199" i="1"/>
  <c r="S179" i="1"/>
  <c r="S177" i="1"/>
  <c r="S137" i="1"/>
  <c r="S122" i="1"/>
  <c r="S57" i="1"/>
  <c r="S54" i="1"/>
  <c r="S52" i="1"/>
  <c r="S51" i="1"/>
  <c r="S239" i="1"/>
  <c r="S224" i="1"/>
  <c r="S231" i="1"/>
  <c r="S232" i="1"/>
  <c r="S213" i="1"/>
  <c r="S205" i="1"/>
  <c r="S197" i="1"/>
  <c r="S189" i="1"/>
  <c r="S181" i="1"/>
  <c r="S173" i="1"/>
  <c r="S165" i="1"/>
  <c r="S157" i="1"/>
  <c r="S135" i="1"/>
  <c r="S88" i="1"/>
  <c r="S71" i="1"/>
  <c r="S56" i="1"/>
  <c r="S180" i="1"/>
  <c r="S172" i="1"/>
  <c r="S164" i="1"/>
  <c r="S156" i="1"/>
  <c r="S149" i="1"/>
  <c r="S144" i="1"/>
  <c r="S111" i="1"/>
  <c r="S104" i="1"/>
  <c r="S63" i="1"/>
  <c r="S171" i="1"/>
  <c r="S163" i="1"/>
  <c r="S155" i="1"/>
  <c r="S95" i="1"/>
  <c r="S120" i="1"/>
  <c r="S103" i="1"/>
  <c r="S55" i="1"/>
  <c r="S128" i="1"/>
  <c r="S143" i="1"/>
  <c r="S136" i="1"/>
  <c r="S87" i="1"/>
  <c r="S80" i="1"/>
  <c r="S72" i="1"/>
  <c r="S64" i="1"/>
  <c r="S148" i="1"/>
  <c r="S112" i="1"/>
  <c r="S96" i="1"/>
  <c r="S101" i="1"/>
  <c r="S77" i="1"/>
  <c r="S53" i="1"/>
  <c r="S116" i="1"/>
  <c r="S108" i="1"/>
  <c r="S100" i="1"/>
  <c r="S76" i="1"/>
  <c r="S147" i="1"/>
  <c r="S139" i="1"/>
  <c r="S131" i="1"/>
  <c r="S123" i="1"/>
  <c r="S115" i="1"/>
  <c r="S107" i="1"/>
  <c r="S99" i="1"/>
  <c r="S91" i="1"/>
  <c r="S83" i="1"/>
  <c r="S75" i="1"/>
  <c r="S67" i="1"/>
  <c r="S59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48" i="1"/>
  <c r="BF48" i="1" l="1"/>
  <c r="AI228" i="1" l="1"/>
  <c r="AI216" i="1"/>
  <c r="AI204" i="1"/>
  <c r="AI192" i="1"/>
  <c r="AI180" i="1"/>
  <c r="AI168" i="1"/>
  <c r="AI156" i="1"/>
  <c r="AI144" i="1"/>
  <c r="AI132" i="1"/>
  <c r="AI120" i="1"/>
  <c r="AI108" i="1"/>
  <c r="AI96" i="1"/>
  <c r="AI84" i="1"/>
  <c r="AI72" i="1"/>
  <c r="AI60" i="1"/>
  <c r="A37" i="1" l="1"/>
  <c r="AL147" i="1" l="1"/>
  <c r="AL108" i="1"/>
  <c r="AL84" i="1"/>
  <c r="AL69" i="1"/>
  <c r="AL51" i="1"/>
  <c r="AL213" i="1"/>
  <c r="AL186" i="1"/>
  <c r="AL111" i="1"/>
  <c r="AL105" i="1"/>
  <c r="AL198" i="1"/>
  <c r="AL234" i="1"/>
  <c r="AL138" i="1"/>
  <c r="AL72" i="1"/>
  <c r="AL156" i="1"/>
  <c r="AL216" i="1"/>
  <c r="AL174" i="1"/>
  <c r="AL201" i="1"/>
  <c r="AL126" i="1"/>
  <c r="AL231" i="1"/>
  <c r="AL99" i="1"/>
  <c r="AL219" i="1"/>
  <c r="AL96" i="1"/>
  <c r="AL141" i="1"/>
  <c r="AL144" i="1"/>
  <c r="AL57" i="1"/>
  <c r="AL168" i="1"/>
  <c r="AL60" i="1"/>
  <c r="AL204" i="1"/>
  <c r="AL195" i="1"/>
  <c r="AL171" i="1"/>
  <c r="AL159" i="1"/>
  <c r="AL150" i="1"/>
  <c r="AL102" i="1"/>
  <c r="AL66" i="1"/>
  <c r="AL75" i="1"/>
  <c r="AL81" i="1"/>
  <c r="AL177" i="1"/>
  <c r="AL63" i="1"/>
  <c r="AL228" i="1"/>
  <c r="AL165" i="1"/>
  <c r="AL129" i="1"/>
  <c r="AL90" i="1"/>
  <c r="AL93" i="1"/>
  <c r="AL162" i="1"/>
  <c r="AL210" i="1"/>
  <c r="AL123" i="1"/>
  <c r="AL132" i="1"/>
  <c r="AL192" i="1"/>
  <c r="AL120" i="1"/>
  <c r="AL54" i="1"/>
  <c r="AL180" i="1"/>
  <c r="AL87" i="1"/>
  <c r="AL114" i="1"/>
  <c r="AL117" i="1"/>
  <c r="AL207" i="1"/>
  <c r="AL225" i="1"/>
  <c r="AL222" i="1"/>
  <c r="AL78" i="1"/>
  <c r="AL135" i="1"/>
  <c r="AL237" i="1"/>
  <c r="AL183" i="1"/>
  <c r="AL153" i="1"/>
  <c r="F48" i="1"/>
  <c r="U48" i="1" s="1"/>
  <c r="AL48" i="1"/>
  <c r="L93" i="1"/>
  <c r="AZ192" i="1" l="1"/>
  <c r="BA192" i="1"/>
  <c r="AR192" i="1"/>
  <c r="BA144" i="1"/>
  <c r="AZ144" i="1"/>
  <c r="AR144" i="1"/>
  <c r="BA153" i="1"/>
  <c r="AR153" i="1"/>
  <c r="AZ153" i="1"/>
  <c r="AR207" i="1"/>
  <c r="BA207" i="1"/>
  <c r="AZ207" i="1"/>
  <c r="BA132" i="1"/>
  <c r="AZ132" i="1"/>
  <c r="AR132" i="1"/>
  <c r="BA228" i="1"/>
  <c r="AZ228" i="1"/>
  <c r="AR228" i="1"/>
  <c r="AZ159" i="1"/>
  <c r="AR159" i="1"/>
  <c r="BA159" i="1"/>
  <c r="BA141" i="1"/>
  <c r="AR141" i="1"/>
  <c r="AZ141" i="1"/>
  <c r="BB141" i="1" s="1"/>
  <c r="AZ216" i="1"/>
  <c r="AR216" i="1"/>
  <c r="BA216" i="1"/>
  <c r="AR186" i="1"/>
  <c r="AZ186" i="1"/>
  <c r="BA186" i="1"/>
  <c r="AR225" i="1"/>
  <c r="AZ225" i="1"/>
  <c r="BB225" i="1" s="1"/>
  <c r="BA225" i="1"/>
  <c r="BA174" i="1"/>
  <c r="AR174" i="1"/>
  <c r="AZ174" i="1"/>
  <c r="BA189" i="1"/>
  <c r="AZ189" i="1"/>
  <c r="AR189" i="1"/>
  <c r="BA117" i="1"/>
  <c r="AZ117" i="1"/>
  <c r="AR117" i="1"/>
  <c r="AR123" i="1"/>
  <c r="AZ123" i="1"/>
  <c r="BA123" i="1"/>
  <c r="BA63" i="1"/>
  <c r="AZ63" i="1"/>
  <c r="AR63" i="1"/>
  <c r="AZ171" i="1"/>
  <c r="AR171" i="1"/>
  <c r="BA171" i="1"/>
  <c r="BA96" i="1"/>
  <c r="AZ96" i="1"/>
  <c r="AR96" i="1"/>
  <c r="AZ156" i="1"/>
  <c r="BA156" i="1"/>
  <c r="AR156" i="1"/>
  <c r="BA213" i="1"/>
  <c r="AR213" i="1"/>
  <c r="AZ213" i="1"/>
  <c r="AR111" i="1"/>
  <c r="AZ111" i="1"/>
  <c r="BA111" i="1"/>
  <c r="BA183" i="1"/>
  <c r="AZ183" i="1"/>
  <c r="AR183" i="1"/>
  <c r="AR114" i="1"/>
  <c r="AZ114" i="1"/>
  <c r="BA114" i="1"/>
  <c r="BA210" i="1"/>
  <c r="AR210" i="1"/>
  <c r="AZ210" i="1"/>
  <c r="BB210" i="1" s="1"/>
  <c r="BA177" i="1"/>
  <c r="AZ177" i="1"/>
  <c r="AR177" i="1"/>
  <c r="BA195" i="1"/>
  <c r="AR195" i="1"/>
  <c r="AZ195" i="1"/>
  <c r="BB195" i="1" s="1"/>
  <c r="BA219" i="1"/>
  <c r="AZ219" i="1"/>
  <c r="BB219" i="1" s="1"/>
  <c r="AR219" i="1"/>
  <c r="BA72" i="1"/>
  <c r="AZ72" i="1"/>
  <c r="BB72" i="1" s="1"/>
  <c r="AR72" i="1"/>
  <c r="BA51" i="1"/>
  <c r="AR51" i="1"/>
  <c r="AZ51" i="1"/>
  <c r="BA150" i="1"/>
  <c r="AZ150" i="1"/>
  <c r="AR150" i="1"/>
  <c r="BA237" i="1"/>
  <c r="AZ237" i="1"/>
  <c r="AR237" i="1"/>
  <c r="BA87" i="1"/>
  <c r="AZ87" i="1"/>
  <c r="BB87" i="1" s="1"/>
  <c r="AR87" i="1"/>
  <c r="BA162" i="1"/>
  <c r="AR162" i="1"/>
  <c r="AZ162" i="1"/>
  <c r="BB162" i="1" s="1"/>
  <c r="BA81" i="1"/>
  <c r="AZ81" i="1"/>
  <c r="AR81" i="1"/>
  <c r="BA204" i="1"/>
  <c r="AZ204" i="1"/>
  <c r="BB204" i="1" s="1"/>
  <c r="AR204" i="1"/>
  <c r="AR99" i="1"/>
  <c r="BA99" i="1"/>
  <c r="AZ99" i="1"/>
  <c r="AZ138" i="1"/>
  <c r="AR138" i="1"/>
  <c r="BA138" i="1"/>
  <c r="BA69" i="1"/>
  <c r="AR69" i="1"/>
  <c r="AZ69" i="1"/>
  <c r="BA165" i="1"/>
  <c r="AZ165" i="1"/>
  <c r="AR165" i="1"/>
  <c r="L48" i="1"/>
  <c r="X48" i="1" s="1"/>
  <c r="T48" i="1"/>
  <c r="V48" i="1" s="1"/>
  <c r="AZ135" i="1"/>
  <c r="BB135" i="1" s="1"/>
  <c r="AR135" i="1"/>
  <c r="BA135" i="1"/>
  <c r="AZ180" i="1"/>
  <c r="AR180" i="1"/>
  <c r="BA180" i="1"/>
  <c r="BA93" i="1"/>
  <c r="AZ93" i="1"/>
  <c r="AR93" i="1"/>
  <c r="AR75" i="1"/>
  <c r="BA75" i="1"/>
  <c r="AZ75" i="1"/>
  <c r="AR60" i="1"/>
  <c r="AZ60" i="1"/>
  <c r="BA60" i="1"/>
  <c r="AZ231" i="1"/>
  <c r="AR231" i="1"/>
  <c r="BA231" i="1"/>
  <c r="BA234" i="1"/>
  <c r="AZ234" i="1"/>
  <c r="AR234" i="1"/>
  <c r="BA84" i="1"/>
  <c r="AZ84" i="1"/>
  <c r="AR84" i="1"/>
  <c r="BA78" i="1"/>
  <c r="AR78" i="1"/>
  <c r="AZ78" i="1"/>
  <c r="AZ54" i="1"/>
  <c r="AR54" i="1"/>
  <c r="BA54" i="1"/>
  <c r="BA90" i="1"/>
  <c r="AZ90" i="1"/>
  <c r="BB90" i="1" s="1"/>
  <c r="AR90" i="1"/>
  <c r="AR66" i="1"/>
  <c r="AZ66" i="1"/>
  <c r="BA66" i="1"/>
  <c r="BA168" i="1"/>
  <c r="AZ168" i="1"/>
  <c r="AR168" i="1"/>
  <c r="AR126" i="1"/>
  <c r="AZ126" i="1"/>
  <c r="BB126" i="1" s="1"/>
  <c r="BA126" i="1"/>
  <c r="BA198" i="1"/>
  <c r="AZ198" i="1"/>
  <c r="AR198" i="1"/>
  <c r="BA108" i="1"/>
  <c r="AR108" i="1"/>
  <c r="AZ108" i="1"/>
  <c r="AZ48" i="1"/>
  <c r="BB48" i="1" s="1"/>
  <c r="AR48" i="1"/>
  <c r="BA48" i="1"/>
  <c r="BA222" i="1"/>
  <c r="AR222" i="1"/>
  <c r="AZ222" i="1"/>
  <c r="AZ120" i="1"/>
  <c r="AR120" i="1"/>
  <c r="BA120" i="1"/>
  <c r="AZ129" i="1"/>
  <c r="AR129" i="1"/>
  <c r="BA129" i="1"/>
  <c r="BA102" i="1"/>
  <c r="AR102" i="1"/>
  <c r="AZ102" i="1"/>
  <c r="BB102" i="1" s="1"/>
  <c r="AR57" i="1"/>
  <c r="BA57" i="1"/>
  <c r="AZ57" i="1"/>
  <c r="BA201" i="1"/>
  <c r="AR201" i="1"/>
  <c r="AZ201" i="1"/>
  <c r="BA105" i="1"/>
  <c r="AR105" i="1"/>
  <c r="AZ105" i="1"/>
  <c r="BA147" i="1"/>
  <c r="AR147" i="1"/>
  <c r="AZ147" i="1"/>
  <c r="L160" i="1"/>
  <c r="U160" i="1"/>
  <c r="T160" i="1"/>
  <c r="L207" i="1"/>
  <c r="T207" i="1"/>
  <c r="U207" i="1"/>
  <c r="L185" i="1"/>
  <c r="U185" i="1"/>
  <c r="T185" i="1"/>
  <c r="L156" i="1"/>
  <c r="U156" i="1"/>
  <c r="T156" i="1"/>
  <c r="L152" i="1"/>
  <c r="U152" i="1"/>
  <c r="T152" i="1"/>
  <c r="L145" i="1"/>
  <c r="T145" i="1"/>
  <c r="U145" i="1"/>
  <c r="U150" i="1"/>
  <c r="T150" i="1"/>
  <c r="L141" i="1"/>
  <c r="T141" i="1"/>
  <c r="U141" i="1"/>
  <c r="L83" i="1"/>
  <c r="U83" i="1"/>
  <c r="T83" i="1"/>
  <c r="L75" i="1"/>
  <c r="T75" i="1"/>
  <c r="U75" i="1"/>
  <c r="L201" i="1"/>
  <c r="U201" i="1"/>
  <c r="T201" i="1"/>
  <c r="L208" i="1"/>
  <c r="T208" i="1"/>
  <c r="U208" i="1"/>
  <c r="L144" i="1"/>
  <c r="U144" i="1"/>
  <c r="T144" i="1"/>
  <c r="L80" i="1"/>
  <c r="U80" i="1"/>
  <c r="T80" i="1"/>
  <c r="L131" i="1"/>
  <c r="U131" i="1"/>
  <c r="T131" i="1"/>
  <c r="T146" i="1"/>
  <c r="U146" i="1"/>
  <c r="L113" i="1"/>
  <c r="T113" i="1"/>
  <c r="U113" i="1"/>
  <c r="L191" i="1"/>
  <c r="T191" i="1"/>
  <c r="U191" i="1"/>
  <c r="L127" i="1"/>
  <c r="T127" i="1"/>
  <c r="U127" i="1"/>
  <c r="L63" i="1"/>
  <c r="T63" i="1"/>
  <c r="U63" i="1"/>
  <c r="L206" i="1"/>
  <c r="T206" i="1"/>
  <c r="U206" i="1"/>
  <c r="L142" i="1"/>
  <c r="U142" i="1"/>
  <c r="T142" i="1"/>
  <c r="L78" i="1"/>
  <c r="U78" i="1"/>
  <c r="T78" i="1"/>
  <c r="L67" i="1"/>
  <c r="T67" i="1"/>
  <c r="U67" i="1"/>
  <c r="L121" i="1"/>
  <c r="T121" i="1"/>
  <c r="U121" i="1"/>
  <c r="L197" i="1"/>
  <c r="T197" i="1"/>
  <c r="U197" i="1"/>
  <c r="L133" i="1"/>
  <c r="T133" i="1"/>
  <c r="U133" i="1"/>
  <c r="L69" i="1"/>
  <c r="T69" i="1"/>
  <c r="U69" i="1"/>
  <c r="L51" i="1"/>
  <c r="T51" i="1"/>
  <c r="U51" i="1"/>
  <c r="L169" i="1"/>
  <c r="U169" i="1"/>
  <c r="T169" i="1"/>
  <c r="L204" i="1"/>
  <c r="U204" i="1"/>
  <c r="T204" i="1"/>
  <c r="L140" i="1"/>
  <c r="U140" i="1"/>
  <c r="T140" i="1"/>
  <c r="L76" i="1"/>
  <c r="U76" i="1"/>
  <c r="T76" i="1"/>
  <c r="L224" i="1"/>
  <c r="T224" i="1"/>
  <c r="U224" i="1"/>
  <c r="L143" i="1"/>
  <c r="T143" i="1"/>
  <c r="U143" i="1"/>
  <c r="L163" i="1"/>
  <c r="U163" i="1"/>
  <c r="T163" i="1"/>
  <c r="L220" i="1"/>
  <c r="U220" i="1"/>
  <c r="T220" i="1"/>
  <c r="L88" i="1"/>
  <c r="U88" i="1"/>
  <c r="T88" i="1"/>
  <c r="L135" i="1"/>
  <c r="T135" i="1"/>
  <c r="U135" i="1"/>
  <c r="L86" i="1"/>
  <c r="U86" i="1"/>
  <c r="T86" i="1"/>
  <c r="L77" i="1"/>
  <c r="T77" i="1"/>
  <c r="U77" i="1"/>
  <c r="L212" i="1"/>
  <c r="U212" i="1"/>
  <c r="T212" i="1"/>
  <c r="L210" i="1"/>
  <c r="U210" i="1"/>
  <c r="T210" i="1"/>
  <c r="L161" i="1"/>
  <c r="U161" i="1"/>
  <c r="T161" i="1"/>
  <c r="L200" i="1"/>
  <c r="T200" i="1"/>
  <c r="U200" i="1"/>
  <c r="L136" i="1"/>
  <c r="U136" i="1"/>
  <c r="T136" i="1"/>
  <c r="L72" i="1"/>
  <c r="U72" i="1"/>
  <c r="T72" i="1"/>
  <c r="L99" i="1"/>
  <c r="T99" i="1"/>
  <c r="U99" i="1"/>
  <c r="L122" i="1"/>
  <c r="T122" i="1"/>
  <c r="U122" i="1"/>
  <c r="L81" i="1"/>
  <c r="T81" i="1"/>
  <c r="U81" i="1"/>
  <c r="L183" i="1"/>
  <c r="T183" i="1"/>
  <c r="U183" i="1"/>
  <c r="L119" i="1"/>
  <c r="T119" i="1"/>
  <c r="U119" i="1"/>
  <c r="L55" i="1"/>
  <c r="T55" i="1"/>
  <c r="U55" i="1"/>
  <c r="L198" i="1"/>
  <c r="U198" i="1"/>
  <c r="T198" i="1"/>
  <c r="L134" i="1"/>
  <c r="U134" i="1"/>
  <c r="T134" i="1"/>
  <c r="L70" i="1"/>
  <c r="U70" i="1"/>
  <c r="T70" i="1"/>
  <c r="L202" i="1"/>
  <c r="T202" i="1"/>
  <c r="U202" i="1"/>
  <c r="L89" i="1"/>
  <c r="U89" i="1"/>
  <c r="T89" i="1"/>
  <c r="L189" i="1"/>
  <c r="U189" i="1"/>
  <c r="T189" i="1"/>
  <c r="L125" i="1"/>
  <c r="T125" i="1"/>
  <c r="U125" i="1"/>
  <c r="L61" i="1"/>
  <c r="T61" i="1"/>
  <c r="U61" i="1"/>
  <c r="L226" i="1"/>
  <c r="U226" i="1"/>
  <c r="T226" i="1"/>
  <c r="L137" i="1"/>
  <c r="T137" i="1"/>
  <c r="U137" i="1"/>
  <c r="L196" i="1"/>
  <c r="U196" i="1"/>
  <c r="T196" i="1"/>
  <c r="L132" i="1"/>
  <c r="U132" i="1"/>
  <c r="T132" i="1"/>
  <c r="L68" i="1"/>
  <c r="U68" i="1"/>
  <c r="T68" i="1"/>
  <c r="L96" i="1"/>
  <c r="U96" i="1"/>
  <c r="T96" i="1"/>
  <c r="L222" i="1"/>
  <c r="T222" i="1"/>
  <c r="U222" i="1"/>
  <c r="L115" i="1"/>
  <c r="U115" i="1"/>
  <c r="T115" i="1"/>
  <c r="L107" i="1"/>
  <c r="U107" i="1"/>
  <c r="T107" i="1"/>
  <c r="L162" i="1"/>
  <c r="U162" i="1"/>
  <c r="T162" i="1"/>
  <c r="L214" i="1"/>
  <c r="U214" i="1"/>
  <c r="T214" i="1"/>
  <c r="L84" i="1"/>
  <c r="U84" i="1"/>
  <c r="T84" i="1"/>
  <c r="L178" i="1"/>
  <c r="U178" i="1"/>
  <c r="T178" i="1"/>
  <c r="L129" i="1"/>
  <c r="T129" i="1"/>
  <c r="U129" i="1"/>
  <c r="L192" i="1"/>
  <c r="U192" i="1"/>
  <c r="T192" i="1"/>
  <c r="U128" i="1"/>
  <c r="T128" i="1"/>
  <c r="L64" i="1"/>
  <c r="T64" i="1"/>
  <c r="U64" i="1"/>
  <c r="L91" i="1"/>
  <c r="U91" i="1"/>
  <c r="T91" i="1"/>
  <c r="L106" i="1"/>
  <c r="U106" i="1"/>
  <c r="T106" i="1"/>
  <c r="L239" i="1"/>
  <c r="T239" i="1"/>
  <c r="U239" i="1"/>
  <c r="L175" i="1"/>
  <c r="T175" i="1"/>
  <c r="U175" i="1"/>
  <c r="L111" i="1"/>
  <c r="U111" i="1"/>
  <c r="T111" i="1"/>
  <c r="L97" i="1"/>
  <c r="U97" i="1"/>
  <c r="T97" i="1"/>
  <c r="L190" i="1"/>
  <c r="L126" i="1"/>
  <c r="U126" i="1"/>
  <c r="T126" i="1"/>
  <c r="L62" i="1"/>
  <c r="U62" i="1"/>
  <c r="T62" i="1"/>
  <c r="L130" i="1"/>
  <c r="U130" i="1"/>
  <c r="T130" i="1"/>
  <c r="L57" i="1"/>
  <c r="U57" i="1"/>
  <c r="T57" i="1"/>
  <c r="L181" i="1"/>
  <c r="T181" i="1"/>
  <c r="U181" i="1"/>
  <c r="L117" i="1"/>
  <c r="T117" i="1"/>
  <c r="U117" i="1"/>
  <c r="L53" i="1"/>
  <c r="T53" i="1"/>
  <c r="U53" i="1"/>
  <c r="L194" i="1"/>
  <c r="T194" i="1"/>
  <c r="U194" i="1"/>
  <c r="L105" i="1"/>
  <c r="U105" i="1"/>
  <c r="T105" i="1"/>
  <c r="L188" i="1"/>
  <c r="U188" i="1"/>
  <c r="T188" i="1"/>
  <c r="U124" i="1"/>
  <c r="T124" i="1"/>
  <c r="L60" i="1"/>
  <c r="U60" i="1"/>
  <c r="T60" i="1"/>
  <c r="L147" i="1"/>
  <c r="U147" i="1"/>
  <c r="T147" i="1"/>
  <c r="L186" i="1"/>
  <c r="U186" i="1"/>
  <c r="T186" i="1"/>
  <c r="L158" i="1"/>
  <c r="T158" i="1"/>
  <c r="U158" i="1"/>
  <c r="L213" i="1"/>
  <c r="T213" i="1"/>
  <c r="U213" i="1"/>
  <c r="L92" i="1"/>
  <c r="U92" i="1"/>
  <c r="T92" i="1"/>
  <c r="L216" i="1"/>
  <c r="U216" i="1"/>
  <c r="T216" i="1"/>
  <c r="L199" i="1"/>
  <c r="T199" i="1"/>
  <c r="U199" i="1"/>
  <c r="L123" i="1"/>
  <c r="T123" i="1"/>
  <c r="U123" i="1"/>
  <c r="L148" i="1"/>
  <c r="U148" i="1"/>
  <c r="T148" i="1"/>
  <c r="L138" i="1"/>
  <c r="U138" i="1"/>
  <c r="T138" i="1"/>
  <c r="L73" i="1"/>
  <c r="T73" i="1"/>
  <c r="U73" i="1"/>
  <c r="L184" i="1"/>
  <c r="U184" i="1"/>
  <c r="T184" i="1"/>
  <c r="U120" i="1"/>
  <c r="T120" i="1"/>
  <c r="L56" i="1"/>
  <c r="T56" i="1"/>
  <c r="U56" i="1"/>
  <c r="L59" i="1"/>
  <c r="U59" i="1"/>
  <c r="T59" i="1"/>
  <c r="L66" i="1"/>
  <c r="U66" i="1"/>
  <c r="T66" i="1"/>
  <c r="L231" i="1"/>
  <c r="T231" i="1"/>
  <c r="U231" i="1"/>
  <c r="L167" i="1"/>
  <c r="U167" i="1"/>
  <c r="T167" i="1"/>
  <c r="L103" i="1"/>
  <c r="U103" i="1"/>
  <c r="T103" i="1"/>
  <c r="L49" i="1"/>
  <c r="U49" i="1"/>
  <c r="T49" i="1"/>
  <c r="L182" i="1"/>
  <c r="U182" i="1"/>
  <c r="T182" i="1"/>
  <c r="U118" i="1"/>
  <c r="T118" i="1"/>
  <c r="L54" i="1"/>
  <c r="U54" i="1"/>
  <c r="T54" i="1"/>
  <c r="L50" i="1"/>
  <c r="U50" i="1"/>
  <c r="T50" i="1"/>
  <c r="L237" i="1"/>
  <c r="T237" i="1"/>
  <c r="U237" i="1"/>
  <c r="L173" i="1"/>
  <c r="T173" i="1"/>
  <c r="U173" i="1"/>
  <c r="L109" i="1"/>
  <c r="T109" i="1"/>
  <c r="U109" i="1"/>
  <c r="L203" i="1"/>
  <c r="U203" i="1"/>
  <c r="T203" i="1"/>
  <c r="L170" i="1"/>
  <c r="T170" i="1"/>
  <c r="U170" i="1"/>
  <c r="L65" i="1"/>
  <c r="U65" i="1"/>
  <c r="T65" i="1"/>
  <c r="L180" i="1"/>
  <c r="U180" i="1"/>
  <c r="T180" i="1"/>
  <c r="L116" i="1"/>
  <c r="U116" i="1"/>
  <c r="T116" i="1"/>
  <c r="L52" i="1"/>
  <c r="U52" i="1"/>
  <c r="T52" i="1"/>
  <c r="L82" i="1"/>
  <c r="T82" i="1"/>
  <c r="U82" i="1"/>
  <c r="L179" i="1"/>
  <c r="U179" i="1"/>
  <c r="T179" i="1"/>
  <c r="L79" i="1"/>
  <c r="U79" i="1"/>
  <c r="T79" i="1"/>
  <c r="L149" i="1"/>
  <c r="T149" i="1"/>
  <c r="U149" i="1"/>
  <c r="L58" i="1"/>
  <c r="T58" i="1"/>
  <c r="U58" i="1"/>
  <c r="L155" i="1"/>
  <c r="T155" i="1"/>
  <c r="U155" i="1"/>
  <c r="L71" i="1"/>
  <c r="T71" i="1"/>
  <c r="U71" i="1"/>
  <c r="L153" i="1"/>
  <c r="U153" i="1"/>
  <c r="T153" i="1"/>
  <c r="L217" i="1"/>
  <c r="U217" i="1"/>
  <c r="T217" i="1"/>
  <c r="L219" i="1"/>
  <c r="T219" i="1"/>
  <c r="U219" i="1"/>
  <c r="L114" i="1"/>
  <c r="T114" i="1"/>
  <c r="U114" i="1"/>
  <c r="W48" i="1"/>
  <c r="L176" i="1"/>
  <c r="U176" i="1"/>
  <c r="T176" i="1"/>
  <c r="L112" i="1"/>
  <c r="U112" i="1"/>
  <c r="T112" i="1"/>
  <c r="L235" i="1"/>
  <c r="U235" i="1"/>
  <c r="T235" i="1"/>
  <c r="L234" i="1"/>
  <c r="U234" i="1"/>
  <c r="T234" i="1"/>
  <c r="L233" i="1"/>
  <c r="T233" i="1"/>
  <c r="U233" i="1"/>
  <c r="L223" i="1"/>
  <c r="T223" i="1"/>
  <c r="U223" i="1"/>
  <c r="L159" i="1"/>
  <c r="U159" i="1"/>
  <c r="T159" i="1"/>
  <c r="L95" i="1"/>
  <c r="T95" i="1"/>
  <c r="U95" i="1"/>
  <c r="L238" i="1"/>
  <c r="T238" i="1"/>
  <c r="U238" i="1"/>
  <c r="L174" i="1"/>
  <c r="T174" i="1"/>
  <c r="U174" i="1"/>
  <c r="L110" i="1"/>
  <c r="U110" i="1"/>
  <c r="T110" i="1"/>
  <c r="L227" i="1"/>
  <c r="T227" i="1"/>
  <c r="U227" i="1"/>
  <c r="L225" i="1"/>
  <c r="T225" i="1"/>
  <c r="U225" i="1"/>
  <c r="L229" i="1"/>
  <c r="T229" i="1"/>
  <c r="U229" i="1"/>
  <c r="L165" i="1"/>
  <c r="T165" i="1"/>
  <c r="U165" i="1"/>
  <c r="L101" i="1"/>
  <c r="T101" i="1"/>
  <c r="U101" i="1"/>
  <c r="L171" i="1"/>
  <c r="U171" i="1"/>
  <c r="T171" i="1"/>
  <c r="L154" i="1"/>
  <c r="T154" i="1"/>
  <c r="U154" i="1"/>
  <c r="L236" i="1"/>
  <c r="U236" i="1"/>
  <c r="T236" i="1"/>
  <c r="U172" i="1"/>
  <c r="T172" i="1"/>
  <c r="L108" i="1"/>
  <c r="U108" i="1"/>
  <c r="T108" i="1"/>
  <c r="L177" i="1"/>
  <c r="U177" i="1"/>
  <c r="T177" i="1"/>
  <c r="L94" i="1"/>
  <c r="U94" i="1"/>
  <c r="T94" i="1"/>
  <c r="L85" i="1"/>
  <c r="T85" i="1"/>
  <c r="U85" i="1"/>
  <c r="L74" i="1"/>
  <c r="U74" i="1"/>
  <c r="T74" i="1"/>
  <c r="L205" i="1"/>
  <c r="T205" i="1"/>
  <c r="U205" i="1"/>
  <c r="L187" i="1"/>
  <c r="T187" i="1"/>
  <c r="U187" i="1"/>
  <c r="L98" i="1"/>
  <c r="T98" i="1"/>
  <c r="U98" i="1"/>
  <c r="L232" i="1"/>
  <c r="T232" i="1"/>
  <c r="U232" i="1"/>
  <c r="L168" i="1"/>
  <c r="T168" i="1"/>
  <c r="U168" i="1"/>
  <c r="L104" i="1"/>
  <c r="U104" i="1"/>
  <c r="T104" i="1"/>
  <c r="L211" i="1"/>
  <c r="T211" i="1"/>
  <c r="U211" i="1"/>
  <c r="L218" i="1"/>
  <c r="T218" i="1"/>
  <c r="U218" i="1"/>
  <c r="L209" i="1"/>
  <c r="U209" i="1"/>
  <c r="T209" i="1"/>
  <c r="L215" i="1"/>
  <c r="T215" i="1"/>
  <c r="U215" i="1"/>
  <c r="L151" i="1"/>
  <c r="U151" i="1"/>
  <c r="T151" i="1"/>
  <c r="L87" i="1"/>
  <c r="T87" i="1"/>
  <c r="U87" i="1"/>
  <c r="L230" i="1"/>
  <c r="T230" i="1"/>
  <c r="U230" i="1"/>
  <c r="L166" i="1"/>
  <c r="T166" i="1"/>
  <c r="U166" i="1"/>
  <c r="L102" i="1"/>
  <c r="U102" i="1"/>
  <c r="T102" i="1"/>
  <c r="L195" i="1"/>
  <c r="U195" i="1"/>
  <c r="T195" i="1"/>
  <c r="L193" i="1"/>
  <c r="U193" i="1"/>
  <c r="T193" i="1"/>
  <c r="L221" i="1"/>
  <c r="T221" i="1"/>
  <c r="U221" i="1"/>
  <c r="L157" i="1"/>
  <c r="T157" i="1"/>
  <c r="U157" i="1"/>
  <c r="L139" i="1"/>
  <c r="T139" i="1"/>
  <c r="U139" i="1"/>
  <c r="L90" i="1"/>
  <c r="U90" i="1"/>
  <c r="T90" i="1"/>
  <c r="U228" i="1"/>
  <c r="T228" i="1"/>
  <c r="L164" i="1"/>
  <c r="U164" i="1"/>
  <c r="T164" i="1"/>
  <c r="L100" i="1"/>
  <c r="U100" i="1"/>
  <c r="T100" i="1"/>
  <c r="L172" i="1"/>
  <c r="L228" i="1"/>
  <c r="L150" i="1"/>
  <c r="L146" i="1"/>
  <c r="L128" i="1"/>
  <c r="L124" i="1"/>
  <c r="L120" i="1"/>
  <c r="L118" i="1"/>
  <c r="BB168" i="1" l="1"/>
  <c r="BB81" i="1"/>
  <c r="BB96" i="1"/>
  <c r="BB144" i="1"/>
  <c r="BB54" i="1"/>
  <c r="BB153" i="1"/>
  <c r="BB186" i="1"/>
  <c r="BB180" i="1"/>
  <c r="BB159" i="1"/>
  <c r="BB138" i="1"/>
  <c r="BB60" i="1"/>
  <c r="BB93" i="1"/>
  <c r="BB63" i="1"/>
  <c r="BB66" i="1"/>
  <c r="BB177" i="1"/>
  <c r="BC90" i="1"/>
  <c r="BD90" i="1"/>
  <c r="BD63" i="1"/>
  <c r="BC63" i="1"/>
  <c r="BB105" i="1"/>
  <c r="BD57" i="1"/>
  <c r="BC57" i="1"/>
  <c r="BE57" i="1" s="1"/>
  <c r="BC120" i="1"/>
  <c r="BD120" i="1"/>
  <c r="BB108" i="1"/>
  <c r="BD126" i="1"/>
  <c r="BC126" i="1"/>
  <c r="BE126" i="1" s="1"/>
  <c r="BC84" i="1"/>
  <c r="BD84" i="1"/>
  <c r="BB231" i="1"/>
  <c r="BB51" i="1"/>
  <c r="BD210" i="1"/>
  <c r="BC210" i="1"/>
  <c r="BB156" i="1"/>
  <c r="BD189" i="1"/>
  <c r="BC189" i="1"/>
  <c r="BD225" i="1"/>
  <c r="BC225" i="1"/>
  <c r="BC141" i="1"/>
  <c r="BD141" i="1"/>
  <c r="BD132" i="1"/>
  <c r="BC132" i="1"/>
  <c r="BD87" i="1"/>
  <c r="BC87" i="1"/>
  <c r="BD153" i="1"/>
  <c r="BC153" i="1"/>
  <c r="V149" i="1"/>
  <c r="V170" i="1"/>
  <c r="V224" i="1"/>
  <c r="BC105" i="1"/>
  <c r="BD105" i="1"/>
  <c r="BB120" i="1"/>
  <c r="BC108" i="1"/>
  <c r="BD108" i="1"/>
  <c r="BC168" i="1"/>
  <c r="BD168" i="1"/>
  <c r="BB84" i="1"/>
  <c r="BD138" i="1"/>
  <c r="BC138" i="1"/>
  <c r="BE138" i="1" s="1"/>
  <c r="BD81" i="1"/>
  <c r="BC81" i="1"/>
  <c r="BC51" i="1"/>
  <c r="BD51" i="1"/>
  <c r="BB111" i="1"/>
  <c r="BC96" i="1"/>
  <c r="BD96" i="1"/>
  <c r="BB189" i="1"/>
  <c r="BB132" i="1"/>
  <c r="BC144" i="1"/>
  <c r="BD144" i="1"/>
  <c r="BD102" i="1"/>
  <c r="BC102" i="1"/>
  <c r="BB222" i="1"/>
  <c r="BD165" i="1"/>
  <c r="BC165" i="1"/>
  <c r="BE165" i="1" s="1"/>
  <c r="BD237" i="1"/>
  <c r="BC237" i="1"/>
  <c r="BC195" i="1"/>
  <c r="BD195" i="1"/>
  <c r="BD111" i="1"/>
  <c r="BC111" i="1"/>
  <c r="BD93" i="1"/>
  <c r="BC93" i="1"/>
  <c r="BB201" i="1"/>
  <c r="BC222" i="1"/>
  <c r="BD222" i="1"/>
  <c r="BD198" i="1"/>
  <c r="BC198" i="1"/>
  <c r="BD54" i="1"/>
  <c r="BC54" i="1"/>
  <c r="BD234" i="1"/>
  <c r="BC234" i="1"/>
  <c r="BC60" i="1"/>
  <c r="BD60" i="1"/>
  <c r="BD180" i="1"/>
  <c r="BC180" i="1"/>
  <c r="BB165" i="1"/>
  <c r="BB99" i="1"/>
  <c r="BB237" i="1"/>
  <c r="BC72" i="1"/>
  <c r="BD72" i="1"/>
  <c r="BB114" i="1"/>
  <c r="BB213" i="1"/>
  <c r="BB123" i="1"/>
  <c r="BB174" i="1"/>
  <c r="BD186" i="1"/>
  <c r="BC186" i="1"/>
  <c r="BE186" i="1" s="1"/>
  <c r="BC159" i="1"/>
  <c r="BD159" i="1"/>
  <c r="BB207" i="1"/>
  <c r="BD201" i="1"/>
  <c r="BC201" i="1"/>
  <c r="BB198" i="1"/>
  <c r="BB234" i="1"/>
  <c r="BB75" i="1"/>
  <c r="BD177" i="1"/>
  <c r="BC177" i="1"/>
  <c r="BD114" i="1"/>
  <c r="BC114" i="1"/>
  <c r="BE114" i="1" s="1"/>
  <c r="BD213" i="1"/>
  <c r="BC213" i="1"/>
  <c r="BD123" i="1"/>
  <c r="BC123" i="1"/>
  <c r="BE123" i="1" s="1"/>
  <c r="BD174" i="1"/>
  <c r="BC174" i="1"/>
  <c r="BC192" i="1"/>
  <c r="BD192" i="1"/>
  <c r="BB147" i="1"/>
  <c r="BD129" i="1"/>
  <c r="BC129" i="1"/>
  <c r="BB78" i="1"/>
  <c r="BB69" i="1"/>
  <c r="BD99" i="1"/>
  <c r="BC99" i="1"/>
  <c r="BC162" i="1"/>
  <c r="BD162" i="1"/>
  <c r="BC150" i="1"/>
  <c r="BD150" i="1"/>
  <c r="BD183" i="1"/>
  <c r="BC183" i="1"/>
  <c r="BD171" i="1"/>
  <c r="BC171" i="1"/>
  <c r="BD117" i="1"/>
  <c r="BC117" i="1"/>
  <c r="BC216" i="1"/>
  <c r="BD216" i="1"/>
  <c r="BD228" i="1"/>
  <c r="BC228" i="1"/>
  <c r="BD207" i="1"/>
  <c r="BC207" i="1"/>
  <c r="BD231" i="1"/>
  <c r="BC231" i="1"/>
  <c r="BD147" i="1"/>
  <c r="BC147" i="1"/>
  <c r="BB57" i="1"/>
  <c r="BB129" i="1"/>
  <c r="BD48" i="1"/>
  <c r="BC48" i="1"/>
  <c r="BD66" i="1"/>
  <c r="BC66" i="1"/>
  <c r="BD78" i="1"/>
  <c r="BC78" i="1"/>
  <c r="BC75" i="1"/>
  <c r="BD75" i="1"/>
  <c r="BC135" i="1"/>
  <c r="BD135" i="1"/>
  <c r="BD69" i="1"/>
  <c r="BC69" i="1"/>
  <c r="BD204" i="1"/>
  <c r="BC204" i="1"/>
  <c r="BB150" i="1"/>
  <c r="BD219" i="1"/>
  <c r="BC219" i="1"/>
  <c r="BB183" i="1"/>
  <c r="BC156" i="1"/>
  <c r="BD156" i="1"/>
  <c r="BB171" i="1"/>
  <c r="BB117" i="1"/>
  <c r="BB216" i="1"/>
  <c r="BB228" i="1"/>
  <c r="BB192" i="1"/>
  <c r="V217" i="1"/>
  <c r="V59" i="1"/>
  <c r="V184" i="1"/>
  <c r="V162" i="1"/>
  <c r="V137" i="1"/>
  <c r="V134" i="1"/>
  <c r="V72" i="1"/>
  <c r="V204" i="1"/>
  <c r="V160" i="1"/>
  <c r="V197" i="1"/>
  <c r="V63" i="1"/>
  <c r="V83" i="1"/>
  <c r="V139" i="1"/>
  <c r="V232" i="1"/>
  <c r="V154" i="1"/>
  <c r="V215" i="1"/>
  <c r="V95" i="1"/>
  <c r="Y48" i="1"/>
  <c r="V174" i="1"/>
  <c r="V114" i="1"/>
  <c r="V231" i="1"/>
  <c r="V53" i="1"/>
  <c r="V202" i="1"/>
  <c r="V122" i="1"/>
  <c r="V77" i="1"/>
  <c r="V121" i="1"/>
  <c r="V113" i="1"/>
  <c r="V228" i="1"/>
  <c r="V166" i="1"/>
  <c r="V151" i="1"/>
  <c r="V172" i="1"/>
  <c r="V171" i="1"/>
  <c r="V227" i="1"/>
  <c r="V176" i="1"/>
  <c r="V58" i="1"/>
  <c r="V179" i="1"/>
  <c r="V66" i="1"/>
  <c r="V123" i="1"/>
  <c r="V92" i="1"/>
  <c r="V111" i="1"/>
  <c r="V64" i="1"/>
  <c r="V214" i="1"/>
  <c r="V196" i="1"/>
  <c r="V70" i="1"/>
  <c r="V86" i="1"/>
  <c r="V140" i="1"/>
  <c r="V133" i="1"/>
  <c r="V144" i="1"/>
  <c r="V141" i="1"/>
  <c r="V207" i="1"/>
  <c r="V100" i="1"/>
  <c r="V90" i="1"/>
  <c r="V218" i="1"/>
  <c r="V177" i="1"/>
  <c r="V236" i="1"/>
  <c r="V229" i="1"/>
  <c r="V110" i="1"/>
  <c r="V71" i="1"/>
  <c r="V167" i="1"/>
  <c r="V199" i="1"/>
  <c r="V124" i="1"/>
  <c r="V128" i="1"/>
  <c r="V178" i="1"/>
  <c r="V68" i="1"/>
  <c r="V61" i="1"/>
  <c r="V89" i="1"/>
  <c r="V55" i="1"/>
  <c r="V200" i="1"/>
  <c r="V51" i="1"/>
  <c r="V206" i="1"/>
  <c r="V191" i="1"/>
  <c r="V131" i="1"/>
  <c r="V75" i="1"/>
  <c r="V150" i="1"/>
  <c r="V156" i="1"/>
  <c r="V221" i="1"/>
  <c r="V102" i="1"/>
  <c r="V187" i="1"/>
  <c r="V82" i="1"/>
  <c r="V180" i="1"/>
  <c r="V173" i="1"/>
  <c r="V54" i="1"/>
  <c r="V49" i="1"/>
  <c r="V148" i="1"/>
  <c r="V213" i="1"/>
  <c r="V147" i="1"/>
  <c r="V188" i="1"/>
  <c r="V181" i="1"/>
  <c r="V62" i="1"/>
  <c r="V175" i="1"/>
  <c r="V91" i="1"/>
  <c r="V192" i="1"/>
  <c r="V119" i="1"/>
  <c r="V161" i="1"/>
  <c r="V208" i="1"/>
  <c r="V69" i="1"/>
  <c r="V193" i="1"/>
  <c r="V209" i="1"/>
  <c r="V159" i="1"/>
  <c r="V153" i="1"/>
  <c r="V52" i="1"/>
  <c r="V57" i="1"/>
  <c r="V239" i="1"/>
  <c r="V107" i="1"/>
  <c r="V226" i="1"/>
  <c r="V198" i="1"/>
  <c r="V136" i="1"/>
  <c r="V88" i="1"/>
  <c r="V169" i="1"/>
  <c r="V142" i="1"/>
  <c r="V201" i="1"/>
  <c r="X188" i="1"/>
  <c r="W188" i="1"/>
  <c r="W62" i="1"/>
  <c r="X62" i="1"/>
  <c r="W125" i="1"/>
  <c r="X125" i="1"/>
  <c r="W119" i="1"/>
  <c r="X119" i="1"/>
  <c r="W161" i="1"/>
  <c r="X161" i="1"/>
  <c r="X163" i="1"/>
  <c r="W163" i="1"/>
  <c r="W69" i="1"/>
  <c r="X69" i="1"/>
  <c r="W63" i="1"/>
  <c r="X63" i="1"/>
  <c r="X83" i="1"/>
  <c r="W83" i="1"/>
  <c r="X145" i="1"/>
  <c r="W145" i="1"/>
  <c r="X150" i="1"/>
  <c r="W150" i="1"/>
  <c r="X164" i="1"/>
  <c r="W164" i="1"/>
  <c r="X139" i="1"/>
  <c r="W139" i="1"/>
  <c r="W87" i="1"/>
  <c r="X87" i="1"/>
  <c r="V104" i="1"/>
  <c r="X232" i="1"/>
  <c r="W232" i="1"/>
  <c r="V205" i="1"/>
  <c r="V94" i="1"/>
  <c r="X108" i="1"/>
  <c r="W108" i="1"/>
  <c r="X154" i="1"/>
  <c r="W154" i="1"/>
  <c r="V165" i="1"/>
  <c r="W174" i="1"/>
  <c r="X174" i="1"/>
  <c r="V234" i="1"/>
  <c r="X112" i="1"/>
  <c r="W112" i="1"/>
  <c r="W114" i="1"/>
  <c r="X114" i="1"/>
  <c r="X79" i="1"/>
  <c r="W79" i="1"/>
  <c r="V65" i="1"/>
  <c r="W203" i="1"/>
  <c r="X203" i="1"/>
  <c r="V237" i="1"/>
  <c r="V118" i="1"/>
  <c r="V103" i="1"/>
  <c r="W231" i="1"/>
  <c r="X231" i="1"/>
  <c r="V56" i="1"/>
  <c r="V73" i="1"/>
  <c r="X216" i="1"/>
  <c r="W216" i="1"/>
  <c r="V158" i="1"/>
  <c r="V60" i="1"/>
  <c r="V105" i="1"/>
  <c r="W53" i="1"/>
  <c r="X53" i="1"/>
  <c r="V126" i="1"/>
  <c r="X97" i="1"/>
  <c r="W97" i="1"/>
  <c r="V129" i="1"/>
  <c r="W84" i="1"/>
  <c r="X84" i="1"/>
  <c r="V96" i="1"/>
  <c r="W132" i="1"/>
  <c r="X132" i="1"/>
  <c r="V189" i="1"/>
  <c r="W202" i="1"/>
  <c r="X202" i="1"/>
  <c r="V183" i="1"/>
  <c r="W122" i="1"/>
  <c r="X122" i="1"/>
  <c r="V210" i="1"/>
  <c r="X77" i="1"/>
  <c r="W77" i="1"/>
  <c r="V143" i="1"/>
  <c r="X76" i="1"/>
  <c r="W76" i="1"/>
  <c r="X121" i="1"/>
  <c r="W121" i="1"/>
  <c r="V127" i="1"/>
  <c r="X113" i="1"/>
  <c r="W113" i="1"/>
  <c r="X80" i="1"/>
  <c r="W80" i="1"/>
  <c r="V152" i="1"/>
  <c r="X185" i="1"/>
  <c r="W185" i="1"/>
  <c r="X155" i="1"/>
  <c r="W155" i="1"/>
  <c r="X49" i="1"/>
  <c r="W49" i="1"/>
  <c r="W192" i="1"/>
  <c r="X192" i="1"/>
  <c r="W228" i="1"/>
  <c r="X228" i="1"/>
  <c r="X57" i="1"/>
  <c r="W57" i="1"/>
  <c r="W239" i="1"/>
  <c r="X239" i="1"/>
  <c r="X172" i="1"/>
  <c r="W172" i="1"/>
  <c r="V157" i="1"/>
  <c r="V195" i="1"/>
  <c r="X166" i="1"/>
  <c r="W166" i="1"/>
  <c r="X104" i="1"/>
  <c r="W104" i="1"/>
  <c r="V98" i="1"/>
  <c r="V74" i="1"/>
  <c r="X94" i="1"/>
  <c r="W94" i="1"/>
  <c r="W227" i="1"/>
  <c r="X227" i="1"/>
  <c r="V238" i="1"/>
  <c r="V223" i="1"/>
  <c r="W234" i="1"/>
  <c r="X234" i="1"/>
  <c r="V219" i="1"/>
  <c r="X58" i="1"/>
  <c r="W58" i="1"/>
  <c r="V116" i="1"/>
  <c r="X65" i="1"/>
  <c r="W65" i="1"/>
  <c r="V109" i="1"/>
  <c r="V50" i="1"/>
  <c r="V182" i="1"/>
  <c r="X103" i="1"/>
  <c r="W103" i="1"/>
  <c r="V120" i="1"/>
  <c r="V138" i="1"/>
  <c r="X123" i="1"/>
  <c r="W123" i="1"/>
  <c r="V186" i="1"/>
  <c r="X60" i="1"/>
  <c r="W60" i="1"/>
  <c r="W105" i="1"/>
  <c r="X105" i="1"/>
  <c r="V117" i="1"/>
  <c r="V130" i="1"/>
  <c r="W126" i="1"/>
  <c r="X126" i="1"/>
  <c r="V106" i="1"/>
  <c r="W64" i="1"/>
  <c r="X64" i="1"/>
  <c r="X129" i="1"/>
  <c r="W129" i="1"/>
  <c r="V115" i="1"/>
  <c r="X96" i="1"/>
  <c r="W96" i="1"/>
  <c r="X189" i="1"/>
  <c r="W189" i="1"/>
  <c r="W183" i="1"/>
  <c r="X183" i="1"/>
  <c r="V99" i="1"/>
  <c r="X210" i="1"/>
  <c r="W210" i="1"/>
  <c r="V220" i="1"/>
  <c r="X143" i="1"/>
  <c r="W143" i="1"/>
  <c r="X133" i="1"/>
  <c r="W133" i="1"/>
  <c r="V67" i="1"/>
  <c r="W127" i="1"/>
  <c r="X127" i="1"/>
  <c r="V146" i="1"/>
  <c r="W141" i="1"/>
  <c r="X141" i="1"/>
  <c r="X152" i="1"/>
  <c r="W152" i="1"/>
  <c r="W85" i="1"/>
  <c r="X85" i="1"/>
  <c r="X180" i="1"/>
  <c r="W180" i="1"/>
  <c r="X205" i="1"/>
  <c r="W205" i="1"/>
  <c r="W153" i="1"/>
  <c r="X153" i="1"/>
  <c r="W198" i="1"/>
  <c r="X198" i="1"/>
  <c r="X88" i="1"/>
  <c r="W88" i="1"/>
  <c r="W118" i="1"/>
  <c r="X118" i="1"/>
  <c r="X157" i="1"/>
  <c r="W157" i="1"/>
  <c r="X151" i="1"/>
  <c r="W151" i="1"/>
  <c r="W98" i="1"/>
  <c r="X98" i="1"/>
  <c r="X171" i="1"/>
  <c r="W171" i="1"/>
  <c r="X238" i="1"/>
  <c r="W238" i="1"/>
  <c r="V235" i="1"/>
  <c r="X176" i="1"/>
  <c r="W176" i="1"/>
  <c r="W219" i="1"/>
  <c r="X219" i="1"/>
  <c r="W179" i="1"/>
  <c r="X179" i="1"/>
  <c r="W109" i="1"/>
  <c r="X109" i="1"/>
  <c r="W66" i="1"/>
  <c r="X66" i="1"/>
  <c r="X92" i="1"/>
  <c r="W92" i="1"/>
  <c r="W117" i="1"/>
  <c r="X117" i="1"/>
  <c r="W111" i="1"/>
  <c r="X111" i="1"/>
  <c r="W214" i="1"/>
  <c r="X214" i="1"/>
  <c r="W196" i="1"/>
  <c r="X196" i="1"/>
  <c r="W70" i="1"/>
  <c r="X70" i="1"/>
  <c r="X99" i="1"/>
  <c r="W99" i="1"/>
  <c r="V212" i="1"/>
  <c r="W86" i="1"/>
  <c r="X86" i="1"/>
  <c r="W140" i="1"/>
  <c r="X140" i="1"/>
  <c r="X67" i="1"/>
  <c r="W67" i="1"/>
  <c r="X144" i="1"/>
  <c r="W144" i="1"/>
  <c r="W207" i="1"/>
  <c r="X207" i="1"/>
  <c r="W146" i="1"/>
  <c r="X146" i="1"/>
  <c r="X54" i="1"/>
  <c r="W54" i="1"/>
  <c r="X147" i="1"/>
  <c r="W147" i="1"/>
  <c r="X91" i="1"/>
  <c r="W91" i="1"/>
  <c r="X193" i="1"/>
  <c r="W193" i="1"/>
  <c r="X165" i="1"/>
  <c r="W165" i="1"/>
  <c r="W52" i="1"/>
  <c r="X52" i="1"/>
  <c r="W56" i="1"/>
  <c r="X56" i="1"/>
  <c r="X107" i="1"/>
  <c r="W107" i="1"/>
  <c r="X136" i="1"/>
  <c r="W136" i="1"/>
  <c r="X120" i="1"/>
  <c r="W120" i="1"/>
  <c r="W195" i="1"/>
  <c r="X195" i="1"/>
  <c r="V230" i="1"/>
  <c r="W218" i="1"/>
  <c r="X218" i="1"/>
  <c r="V168" i="1"/>
  <c r="W74" i="1"/>
  <c r="X74" i="1"/>
  <c r="X229" i="1"/>
  <c r="W229" i="1"/>
  <c r="W223" i="1"/>
  <c r="X223" i="1"/>
  <c r="W71" i="1"/>
  <c r="X71" i="1"/>
  <c r="X116" i="1"/>
  <c r="W116" i="1"/>
  <c r="W50" i="1"/>
  <c r="X50" i="1"/>
  <c r="W182" i="1"/>
  <c r="X182" i="1"/>
  <c r="W138" i="1"/>
  <c r="X138" i="1"/>
  <c r="X186" i="1"/>
  <c r="W186" i="1"/>
  <c r="V194" i="1"/>
  <c r="W130" i="1"/>
  <c r="X130" i="1"/>
  <c r="W106" i="1"/>
  <c r="X106" i="1"/>
  <c r="X115" i="1"/>
  <c r="W115" i="1"/>
  <c r="W61" i="1"/>
  <c r="X61" i="1"/>
  <c r="W55" i="1"/>
  <c r="X55" i="1"/>
  <c r="V81" i="1"/>
  <c r="X200" i="1"/>
  <c r="W200" i="1"/>
  <c r="W220" i="1"/>
  <c r="X220" i="1"/>
  <c r="W51" i="1"/>
  <c r="X51" i="1"/>
  <c r="V78" i="1"/>
  <c r="X206" i="1"/>
  <c r="W206" i="1"/>
  <c r="X75" i="1"/>
  <c r="W75" i="1"/>
  <c r="X211" i="1"/>
  <c r="W211" i="1"/>
  <c r="X233" i="1"/>
  <c r="W233" i="1"/>
  <c r="X209" i="1"/>
  <c r="W209" i="1"/>
  <c r="X159" i="1"/>
  <c r="W159" i="1"/>
  <c r="X158" i="1"/>
  <c r="W158" i="1"/>
  <c r="W169" i="1"/>
  <c r="X169" i="1"/>
  <c r="X142" i="1"/>
  <c r="W142" i="1"/>
  <c r="W124" i="1"/>
  <c r="X124" i="1"/>
  <c r="X100" i="1"/>
  <c r="W100" i="1"/>
  <c r="X90" i="1"/>
  <c r="W90" i="1"/>
  <c r="X230" i="1"/>
  <c r="W230" i="1"/>
  <c r="X168" i="1"/>
  <c r="W168" i="1"/>
  <c r="X177" i="1"/>
  <c r="W177" i="1"/>
  <c r="W236" i="1"/>
  <c r="X236" i="1"/>
  <c r="V101" i="1"/>
  <c r="W110" i="1"/>
  <c r="X110" i="1"/>
  <c r="W235" i="1"/>
  <c r="X235" i="1"/>
  <c r="W149" i="1"/>
  <c r="X149" i="1"/>
  <c r="W170" i="1"/>
  <c r="X170" i="1"/>
  <c r="X167" i="1"/>
  <c r="W167" i="1"/>
  <c r="W199" i="1"/>
  <c r="X199" i="1"/>
  <c r="W194" i="1"/>
  <c r="X194" i="1"/>
  <c r="W178" i="1"/>
  <c r="X178" i="1"/>
  <c r="W68" i="1"/>
  <c r="X68" i="1"/>
  <c r="X89" i="1"/>
  <c r="W89" i="1"/>
  <c r="W81" i="1"/>
  <c r="X81" i="1"/>
  <c r="W212" i="1"/>
  <c r="X212" i="1"/>
  <c r="V135" i="1"/>
  <c r="V163" i="1"/>
  <c r="X224" i="1"/>
  <c r="W224" i="1"/>
  <c r="X197" i="1"/>
  <c r="W197" i="1"/>
  <c r="W191" i="1"/>
  <c r="X191" i="1"/>
  <c r="X131" i="1"/>
  <c r="W131" i="1"/>
  <c r="X156" i="1"/>
  <c r="W156" i="1"/>
  <c r="W102" i="1"/>
  <c r="X102" i="1"/>
  <c r="X225" i="1"/>
  <c r="W225" i="1"/>
  <c r="X148" i="1"/>
  <c r="W148" i="1"/>
  <c r="X222" i="1"/>
  <c r="W222" i="1"/>
  <c r="X237" i="1"/>
  <c r="W237" i="1"/>
  <c r="X73" i="1"/>
  <c r="W73" i="1"/>
  <c r="W226" i="1"/>
  <c r="X226" i="1"/>
  <c r="X201" i="1"/>
  <c r="W201" i="1"/>
  <c r="X128" i="1"/>
  <c r="W128" i="1"/>
  <c r="V164" i="1"/>
  <c r="W221" i="1"/>
  <c r="X221" i="1"/>
  <c r="V87" i="1"/>
  <c r="W215" i="1"/>
  <c r="X215" i="1"/>
  <c r="V211" i="1"/>
  <c r="W187" i="1"/>
  <c r="X187" i="1"/>
  <c r="V85" i="1"/>
  <c r="V108" i="1"/>
  <c r="X101" i="1"/>
  <c r="W101" i="1"/>
  <c r="V225" i="1"/>
  <c r="W95" i="1"/>
  <c r="X95" i="1"/>
  <c r="V233" i="1"/>
  <c r="V112" i="1"/>
  <c r="X217" i="1"/>
  <c r="W217" i="1"/>
  <c r="V155" i="1"/>
  <c r="V79" i="1"/>
  <c r="W82" i="1"/>
  <c r="X82" i="1"/>
  <c r="V203" i="1"/>
  <c r="X173" i="1"/>
  <c r="W173" i="1"/>
  <c r="X59" i="1"/>
  <c r="W59" i="1"/>
  <c r="X184" i="1"/>
  <c r="W184" i="1"/>
  <c r="V216" i="1"/>
  <c r="X213" i="1"/>
  <c r="W213" i="1"/>
  <c r="X181" i="1"/>
  <c r="W181" i="1"/>
  <c r="V97" i="1"/>
  <c r="X175" i="1"/>
  <c r="W175" i="1"/>
  <c r="V84" i="1"/>
  <c r="W162" i="1"/>
  <c r="X162" i="1"/>
  <c r="V222" i="1"/>
  <c r="V132" i="1"/>
  <c r="X137" i="1"/>
  <c r="W137" i="1"/>
  <c r="V125" i="1"/>
  <c r="W134" i="1"/>
  <c r="X134" i="1"/>
  <c r="X72" i="1"/>
  <c r="W72" i="1"/>
  <c r="W135" i="1"/>
  <c r="X135" i="1"/>
  <c r="V76" i="1"/>
  <c r="W204" i="1"/>
  <c r="X204" i="1"/>
  <c r="X78" i="1"/>
  <c r="W78" i="1"/>
  <c r="V80" i="1"/>
  <c r="W208" i="1"/>
  <c r="X208" i="1"/>
  <c r="V145" i="1"/>
  <c r="V185" i="1"/>
  <c r="X160" i="1"/>
  <c r="W160" i="1"/>
  <c r="BE222" i="1" l="1"/>
  <c r="BE144" i="1"/>
  <c r="BE81" i="1"/>
  <c r="BE237" i="1"/>
  <c r="BE135" i="1"/>
  <c r="BE90" i="1"/>
  <c r="BE93" i="1"/>
  <c r="BE60" i="1"/>
  <c r="BE63" i="1"/>
  <c r="BE216" i="1"/>
  <c r="BE150" i="1"/>
  <c r="BE96" i="1"/>
  <c r="BE210" i="1"/>
  <c r="BE156" i="1"/>
  <c r="BE162" i="1"/>
  <c r="BE168" i="1"/>
  <c r="BE141" i="1"/>
  <c r="BE120" i="1"/>
  <c r="BE153" i="1"/>
  <c r="BE228" i="1"/>
  <c r="BE183" i="1"/>
  <c r="BE159" i="1"/>
  <c r="BE234" i="1"/>
  <c r="BE87" i="1"/>
  <c r="BE189" i="1"/>
  <c r="BE84" i="1"/>
  <c r="BE48" i="1"/>
  <c r="BE207" i="1"/>
  <c r="BE171" i="1"/>
  <c r="BE99" i="1"/>
  <c r="BE192" i="1"/>
  <c r="BE195" i="1"/>
  <c r="BE51" i="1"/>
  <c r="BE225" i="1"/>
  <c r="BE219" i="1"/>
  <c r="BE174" i="1"/>
  <c r="BE177" i="1"/>
  <c r="BE108" i="1"/>
  <c r="BE72" i="1"/>
  <c r="BE75" i="1"/>
  <c r="BE204" i="1"/>
  <c r="BE78" i="1"/>
  <c r="BE147" i="1"/>
  <c r="BE129" i="1"/>
  <c r="BE54" i="1"/>
  <c r="BE105" i="1"/>
  <c r="BE132" i="1"/>
  <c r="BE213" i="1"/>
  <c r="BE111" i="1"/>
  <c r="BE69" i="1"/>
  <c r="BE66" i="1"/>
  <c r="BE231" i="1"/>
  <c r="BE117" i="1"/>
  <c r="BE201" i="1"/>
  <c r="BE180" i="1"/>
  <c r="BE198" i="1"/>
  <c r="BE102" i="1"/>
  <c r="Y128" i="1"/>
  <c r="Y237" i="1"/>
  <c r="Y102" i="1"/>
  <c r="Y197" i="1"/>
  <c r="Y103" i="1"/>
  <c r="Y58" i="1"/>
  <c r="Y53" i="1"/>
  <c r="Y164" i="1"/>
  <c r="Y119" i="1"/>
  <c r="Y50" i="1"/>
  <c r="Y234" i="1"/>
  <c r="Y208" i="1"/>
  <c r="Y187" i="1"/>
  <c r="Y106" i="1"/>
  <c r="Y138" i="1"/>
  <c r="Y71" i="1"/>
  <c r="Y165" i="1"/>
  <c r="Y153" i="1"/>
  <c r="Y105" i="1"/>
  <c r="Y227" i="1"/>
  <c r="Y132" i="1"/>
  <c r="Y61" i="1"/>
  <c r="Y56" i="1"/>
  <c r="Y192" i="1"/>
  <c r="Y135" i="1"/>
  <c r="Y195" i="1"/>
  <c r="Y126" i="1"/>
  <c r="Y114" i="1"/>
  <c r="Y134" i="1"/>
  <c r="Y137" i="1"/>
  <c r="Y215" i="1"/>
  <c r="Y201" i="1"/>
  <c r="Y222" i="1"/>
  <c r="Y156" i="1"/>
  <c r="Y224" i="1"/>
  <c r="Y89" i="1"/>
  <c r="Y92" i="1"/>
  <c r="Y150" i="1"/>
  <c r="Y236" i="1"/>
  <c r="Y169" i="1"/>
  <c r="Y182" i="1"/>
  <c r="Y72" i="1"/>
  <c r="Y173" i="1"/>
  <c r="Y168" i="1"/>
  <c r="Y159" i="1"/>
  <c r="Y75" i="1"/>
  <c r="Y115" i="1"/>
  <c r="Y186" i="1"/>
  <c r="Y116" i="1"/>
  <c r="Y120" i="1"/>
  <c r="Y147" i="1"/>
  <c r="Y144" i="1"/>
  <c r="Y151" i="1"/>
  <c r="Y65" i="1"/>
  <c r="Y104" i="1"/>
  <c r="Y239" i="1"/>
  <c r="Y49" i="1"/>
  <c r="Y97" i="1"/>
  <c r="Y216" i="1"/>
  <c r="Y112" i="1"/>
  <c r="Y108" i="1"/>
  <c r="Y162" i="1"/>
  <c r="Y212" i="1"/>
  <c r="Y178" i="1"/>
  <c r="Y110" i="1"/>
  <c r="Y111" i="1"/>
  <c r="Y109" i="1"/>
  <c r="Y203" i="1"/>
  <c r="Y68" i="1"/>
  <c r="Y235" i="1"/>
  <c r="Y66" i="1"/>
  <c r="Y202" i="1"/>
  <c r="Y226" i="1"/>
  <c r="Y220" i="1"/>
  <c r="Y214" i="1"/>
  <c r="Y127" i="1"/>
  <c r="Y62" i="1"/>
  <c r="Y161" i="1"/>
  <c r="Y146" i="1"/>
  <c r="Y140" i="1"/>
  <c r="Y118" i="1"/>
  <c r="Y141" i="1"/>
  <c r="Y228" i="1"/>
  <c r="Y122" i="1"/>
  <c r="Y59" i="1"/>
  <c r="Y101" i="1"/>
  <c r="Y177" i="1"/>
  <c r="Y100" i="1"/>
  <c r="Y158" i="1"/>
  <c r="Y211" i="1"/>
  <c r="Y229" i="1"/>
  <c r="Y91" i="1"/>
  <c r="Y207" i="1"/>
  <c r="Y88" i="1"/>
  <c r="Y180" i="1"/>
  <c r="Y76" i="1"/>
  <c r="Y204" i="1"/>
  <c r="Y175" i="1"/>
  <c r="Y184" i="1"/>
  <c r="Y82" i="1"/>
  <c r="Y95" i="1"/>
  <c r="Y81" i="1"/>
  <c r="Y170" i="1"/>
  <c r="Y90" i="1"/>
  <c r="Y233" i="1"/>
  <c r="Y55" i="1"/>
  <c r="Y223" i="1"/>
  <c r="Y218" i="1"/>
  <c r="Y107" i="1"/>
  <c r="Y193" i="1"/>
  <c r="Y70" i="1"/>
  <c r="Y117" i="1"/>
  <c r="Y179" i="1"/>
  <c r="Y171" i="1"/>
  <c r="Y205" i="1"/>
  <c r="Y143" i="1"/>
  <c r="Y189" i="1"/>
  <c r="Y64" i="1"/>
  <c r="Y60" i="1"/>
  <c r="Y94" i="1"/>
  <c r="Y185" i="1"/>
  <c r="Y121" i="1"/>
  <c r="Y231" i="1"/>
  <c r="Y79" i="1"/>
  <c r="Y174" i="1"/>
  <c r="Y232" i="1"/>
  <c r="Y63" i="1"/>
  <c r="Y194" i="1"/>
  <c r="Y149" i="1"/>
  <c r="Y51" i="1"/>
  <c r="Y130" i="1"/>
  <c r="Y196" i="1"/>
  <c r="Y219" i="1"/>
  <c r="Y96" i="1"/>
  <c r="Y172" i="1"/>
  <c r="Y84" i="1"/>
  <c r="Y154" i="1"/>
  <c r="Y69" i="1"/>
  <c r="Y125" i="1"/>
  <c r="Y181" i="1"/>
  <c r="Y217" i="1"/>
  <c r="Y148" i="1"/>
  <c r="Y131" i="1"/>
  <c r="Y199" i="1"/>
  <c r="Y86" i="1"/>
  <c r="Y176" i="1"/>
  <c r="Y98" i="1"/>
  <c r="Y210" i="1"/>
  <c r="Y123" i="1"/>
  <c r="Y80" i="1"/>
  <c r="Y87" i="1"/>
  <c r="Y145" i="1"/>
  <c r="Y163" i="1"/>
  <c r="Y78" i="1"/>
  <c r="Y213" i="1"/>
  <c r="Y221" i="1"/>
  <c r="Y73" i="1"/>
  <c r="Y225" i="1"/>
  <c r="Y191" i="1"/>
  <c r="Y167" i="1"/>
  <c r="Y124" i="1"/>
  <c r="Y200" i="1"/>
  <c r="Y74" i="1"/>
  <c r="Y52" i="1"/>
  <c r="Y99" i="1"/>
  <c r="Y198" i="1"/>
  <c r="Y85" i="1"/>
  <c r="Y129" i="1"/>
  <c r="Y113" i="1"/>
  <c r="Y77" i="1"/>
  <c r="Y139" i="1"/>
  <c r="Y83" i="1"/>
  <c r="Y188" i="1"/>
  <c r="Y160" i="1"/>
  <c r="Y230" i="1"/>
  <c r="Y142" i="1"/>
  <c r="Y209" i="1"/>
  <c r="Y206" i="1"/>
  <c r="Y136" i="1"/>
  <c r="Y54" i="1"/>
  <c r="Y67" i="1"/>
  <c r="Y238" i="1"/>
  <c r="Y157" i="1"/>
  <c r="Y152" i="1"/>
  <c r="Y133" i="1"/>
  <c r="Y183" i="1"/>
  <c r="Y166" i="1"/>
  <c r="Y57" i="1"/>
  <c r="Y155" i="1"/>
  <c r="AI48" i="1"/>
</calcChain>
</file>

<file path=xl/sharedStrings.xml><?xml version="1.0" encoding="utf-8"?>
<sst xmlns="http://schemas.openxmlformats.org/spreadsheetml/2006/main" count="4054" uniqueCount="605">
  <si>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</si>
  <si>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</si>
  <si>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</si>
  <si>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</si>
  <si>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</si>
  <si>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</si>
  <si>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</si>
  <si>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</si>
  <si>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</si>
  <si>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</si>
  <si>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</si>
  <si>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</si>
  <si>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</si>
  <si>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</si>
  <si>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</si>
  <si>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</si>
  <si>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</si>
  <si>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</si>
  <si>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</si>
  <si>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</si>
  <si>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</si>
  <si>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</si>
  <si>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</si>
  <si>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</si>
  <si>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</si>
  <si>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</si>
  <si>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</si>
  <si>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</si>
  <si>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ID</t>
  </si>
  <si>
    <t>Column A - ID (ID)</t>
  </si>
  <si>
    <t>Column B - Harvest Area ID (HID)</t>
  </si>
  <si>
    <t>(kg)</t>
  </si>
  <si>
    <t>Machine</t>
  </si>
  <si>
    <t>(lbs)</t>
  </si>
  <si>
    <t>in bag</t>
  </si>
  <si>
    <t>kg per lb</t>
  </si>
  <si>
    <t>wt in bag</t>
  </si>
  <si>
    <t>Weight</t>
  </si>
  <si>
    <t>Moisture</t>
  </si>
  <si>
    <t>Bag</t>
  </si>
  <si>
    <t>weight</t>
  </si>
  <si>
    <t>Sample wt</t>
  </si>
  <si>
    <t>Wet</t>
  </si>
  <si>
    <t>Dry</t>
  </si>
  <si>
    <t>BWCAH</t>
  </si>
  <si>
    <t>DBWAH</t>
  </si>
  <si>
    <t>(%)</t>
  </si>
  <si>
    <t>DFWAH</t>
  </si>
  <si>
    <t>DSWAH</t>
  </si>
  <si>
    <t>DSCWAH</t>
  </si>
  <si>
    <t>Column K - Bulk water content at harvest (BWCAH, %)</t>
  </si>
  <si>
    <t>Column L - Dry bulk weight at harvest (fiber + seed + trash) (0% water content) (DBWAH, kg/ha)</t>
  </si>
  <si>
    <t>Weight of a single bag holding fiber at MAC gin (kg)</t>
  </si>
  <si>
    <t>01-1A</t>
  </si>
  <si>
    <t>01-1B</t>
  </si>
  <si>
    <t>01-1C</t>
  </si>
  <si>
    <t>01-2A</t>
  </si>
  <si>
    <t>01-2B</t>
  </si>
  <si>
    <t>01-2C</t>
  </si>
  <si>
    <t>01-3A</t>
  </si>
  <si>
    <t>01-3B</t>
  </si>
  <si>
    <t>01-3C</t>
  </si>
  <si>
    <t>01-4A</t>
  </si>
  <si>
    <t>01-4B</t>
  </si>
  <si>
    <t>01-4C</t>
  </si>
  <si>
    <t>02-1A</t>
  </si>
  <si>
    <t>02-1B</t>
  </si>
  <si>
    <t>02-1C</t>
  </si>
  <si>
    <t>02-2A</t>
  </si>
  <si>
    <t>02-2B</t>
  </si>
  <si>
    <t>02-2C</t>
  </si>
  <si>
    <t>02-3A</t>
  </si>
  <si>
    <t>02-3B</t>
  </si>
  <si>
    <t>02-3C</t>
  </si>
  <si>
    <t>02-4A</t>
  </si>
  <si>
    <t>02-4B</t>
  </si>
  <si>
    <t>02-4C</t>
  </si>
  <si>
    <t>03-1A</t>
  </si>
  <si>
    <t>03-1B</t>
  </si>
  <si>
    <t>03-1C</t>
  </si>
  <si>
    <t>03-2A</t>
  </si>
  <si>
    <t>03-2B</t>
  </si>
  <si>
    <t>03-2C</t>
  </si>
  <si>
    <t>03-3A</t>
  </si>
  <si>
    <t>03-3B</t>
  </si>
  <si>
    <t>03-3C</t>
  </si>
  <si>
    <t>03-4A</t>
  </si>
  <si>
    <t>03-4B</t>
  </si>
  <si>
    <t>03-4C</t>
  </si>
  <si>
    <t>04-1A</t>
  </si>
  <si>
    <t>04-1B</t>
  </si>
  <si>
    <t>04-1C</t>
  </si>
  <si>
    <t>04-2A</t>
  </si>
  <si>
    <t>04-2B</t>
  </si>
  <si>
    <t>04-2C</t>
  </si>
  <si>
    <t>04-3A</t>
  </si>
  <si>
    <t>04-3B</t>
  </si>
  <si>
    <t>04-3C</t>
  </si>
  <si>
    <t>04-4A</t>
  </si>
  <si>
    <t>04-4B</t>
  </si>
  <si>
    <t>04-4C</t>
  </si>
  <si>
    <t>05-1A</t>
  </si>
  <si>
    <t>05-1B</t>
  </si>
  <si>
    <t>05-1C</t>
  </si>
  <si>
    <t>05-2A</t>
  </si>
  <si>
    <t>05-2B</t>
  </si>
  <si>
    <t>05-2C</t>
  </si>
  <si>
    <t>05-3A</t>
  </si>
  <si>
    <t>05-3B</t>
  </si>
  <si>
    <t>05-3C</t>
  </si>
  <si>
    <t>05-4A</t>
  </si>
  <si>
    <t>05-4B</t>
  </si>
  <si>
    <t>05-4C</t>
  </si>
  <si>
    <t>06-1A</t>
  </si>
  <si>
    <t>06-1B</t>
  </si>
  <si>
    <t>06-1C</t>
  </si>
  <si>
    <t>06-2A</t>
  </si>
  <si>
    <t>06-2B</t>
  </si>
  <si>
    <t>06-2C</t>
  </si>
  <si>
    <t>06-3A</t>
  </si>
  <si>
    <t>06-3B</t>
  </si>
  <si>
    <t>06-3C</t>
  </si>
  <si>
    <t>06-4A</t>
  </si>
  <si>
    <t>06-4B</t>
  </si>
  <si>
    <t>06-4C</t>
  </si>
  <si>
    <t>07-1A</t>
  </si>
  <si>
    <t>07-1B</t>
  </si>
  <si>
    <t>07-1C</t>
  </si>
  <si>
    <t>07-2A</t>
  </si>
  <si>
    <t>07-2B</t>
  </si>
  <si>
    <t>07-2C</t>
  </si>
  <si>
    <t>07-3A</t>
  </si>
  <si>
    <t>07-3B</t>
  </si>
  <si>
    <t>07-3C</t>
  </si>
  <si>
    <t>07-4A</t>
  </si>
  <si>
    <t>07-4B</t>
  </si>
  <si>
    <t>07-4C</t>
  </si>
  <si>
    <t>08-1A</t>
  </si>
  <si>
    <t>08-1B</t>
  </si>
  <si>
    <t>08-1C</t>
  </si>
  <si>
    <t>08-2A</t>
  </si>
  <si>
    <t>08-2B</t>
  </si>
  <si>
    <t>08-2C</t>
  </si>
  <si>
    <t>08-3A</t>
  </si>
  <si>
    <t>08-3B</t>
  </si>
  <si>
    <t>08-3C</t>
  </si>
  <si>
    <t>08-4A</t>
  </si>
  <si>
    <t>08-4B</t>
  </si>
  <si>
    <t>08-4C</t>
  </si>
  <si>
    <t>09-1A</t>
  </si>
  <si>
    <t>09-1B</t>
  </si>
  <si>
    <t>09-1C</t>
  </si>
  <si>
    <t>09-2A</t>
  </si>
  <si>
    <t>09-2B</t>
  </si>
  <si>
    <t>09-2C</t>
  </si>
  <si>
    <t>09-3A</t>
  </si>
  <si>
    <t>09-3B</t>
  </si>
  <si>
    <t>09-3C</t>
  </si>
  <si>
    <t>09-4A</t>
  </si>
  <si>
    <t>09-4B</t>
  </si>
  <si>
    <t>09-4C</t>
  </si>
  <si>
    <t>10-1A</t>
  </si>
  <si>
    <t>10-1B</t>
  </si>
  <si>
    <t>10-1C</t>
  </si>
  <si>
    <t>10-2A</t>
  </si>
  <si>
    <t>10-2B</t>
  </si>
  <si>
    <t>10-2C</t>
  </si>
  <si>
    <t>10-3A</t>
  </si>
  <si>
    <t>10-3B</t>
  </si>
  <si>
    <t>10-3C</t>
  </si>
  <si>
    <t>10-4A</t>
  </si>
  <si>
    <t>10-4B</t>
  </si>
  <si>
    <t>10-4C</t>
  </si>
  <si>
    <t>11-1A</t>
  </si>
  <si>
    <t>11-1B</t>
  </si>
  <si>
    <t>11-1C</t>
  </si>
  <si>
    <t>11-2A</t>
  </si>
  <si>
    <t>11-2B</t>
  </si>
  <si>
    <t>11-2C</t>
  </si>
  <si>
    <t>11-3A</t>
  </si>
  <si>
    <t>11-3B</t>
  </si>
  <si>
    <t>11-3C</t>
  </si>
  <si>
    <t>11-4A</t>
  </si>
  <si>
    <t>11-4B</t>
  </si>
  <si>
    <t>11-4C</t>
  </si>
  <si>
    <t>12-1A</t>
  </si>
  <si>
    <t>12-1B</t>
  </si>
  <si>
    <t>12-1C</t>
  </si>
  <si>
    <t>12-2A</t>
  </si>
  <si>
    <t>12-2B</t>
  </si>
  <si>
    <t>12-2C</t>
  </si>
  <si>
    <t>12-3A</t>
  </si>
  <si>
    <t>12-3B</t>
  </si>
  <si>
    <t>12-3C</t>
  </si>
  <si>
    <t>12-4A</t>
  </si>
  <si>
    <t>12-4B</t>
  </si>
  <si>
    <t>12-4C</t>
  </si>
  <si>
    <t>13-1A</t>
  </si>
  <si>
    <t>13-1B</t>
  </si>
  <si>
    <t>13-1C</t>
  </si>
  <si>
    <t>13-2A</t>
  </si>
  <si>
    <t>13-2B</t>
  </si>
  <si>
    <t>13-2C</t>
  </si>
  <si>
    <t>13-3A</t>
  </si>
  <si>
    <t>13-3B</t>
  </si>
  <si>
    <t>13-3C</t>
  </si>
  <si>
    <t>13-4A</t>
  </si>
  <si>
    <t>13-4B</t>
  </si>
  <si>
    <t>13-4C</t>
  </si>
  <si>
    <t>14-1A</t>
  </si>
  <si>
    <t>14-1B</t>
  </si>
  <si>
    <t>14-1C</t>
  </si>
  <si>
    <t>14-2A</t>
  </si>
  <si>
    <t>14-2B</t>
  </si>
  <si>
    <t>14-2C</t>
  </si>
  <si>
    <t>14-3A</t>
  </si>
  <si>
    <t>14-3B</t>
  </si>
  <si>
    <t>14-3C</t>
  </si>
  <si>
    <t>14-4A</t>
  </si>
  <si>
    <t>14-4B</t>
  </si>
  <si>
    <t>14-4C</t>
  </si>
  <si>
    <t>15-1A</t>
  </si>
  <si>
    <t>15-1B</t>
  </si>
  <si>
    <t>15-1C</t>
  </si>
  <si>
    <t>15-2A</t>
  </si>
  <si>
    <t>15-2B</t>
  </si>
  <si>
    <t>15-2C</t>
  </si>
  <si>
    <t>15-3A</t>
  </si>
  <si>
    <t>15-3B</t>
  </si>
  <si>
    <t>15-3C</t>
  </si>
  <si>
    <t>15-4A</t>
  </si>
  <si>
    <t>15-4B</t>
  </si>
  <si>
    <t>15-4C</t>
  </si>
  <si>
    <t>16-1A</t>
  </si>
  <si>
    <t>16-1B</t>
  </si>
  <si>
    <t>16-1C</t>
  </si>
  <si>
    <t>16-2A</t>
  </si>
  <si>
    <t>16-2B</t>
  </si>
  <si>
    <t>16-2C</t>
  </si>
  <si>
    <t>16-3A</t>
  </si>
  <si>
    <t>16-3B</t>
  </si>
  <si>
    <t>16-3C</t>
  </si>
  <si>
    <t>16-4A</t>
  </si>
  <si>
    <t>16-4B</t>
  </si>
  <si>
    <t>16-4C</t>
  </si>
  <si>
    <t>Weight of a single mesh harvest bag (lbs)</t>
  </si>
  <si>
    <t>Size of harvest area (2 40-inch rows by 10 m) (m2)</t>
  </si>
  <si>
    <t>p01-1</t>
  </si>
  <si>
    <t>p01-2</t>
  </si>
  <si>
    <t>p03-3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</si>
  <si>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</si>
  <si>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</si>
  <si>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</si>
  <si>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</si>
  <si>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</si>
  <si>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</si>
  <si>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</si>
  <si>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</si>
  <si>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</si>
  <si>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</si>
  <si>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</si>
  <si>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</si>
  <si>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</si>
  <si>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</si>
  <si>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</si>
  <si>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</si>
  <si>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</si>
  <si>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</si>
  <si>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</si>
  <si>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</si>
  <si>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</si>
  <si>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</si>
  <si>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</si>
  <si>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</si>
  <si>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</si>
  <si>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</si>
  <si>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</si>
  <si>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</si>
  <si>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</si>
  <si>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</si>
  <si>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</si>
  <si>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</si>
  <si>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</si>
  <si>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</si>
  <si>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</si>
  <si>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</si>
  <si>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</si>
  <si>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</si>
  <si>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</si>
  <si>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</si>
  <si>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</si>
  <si>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p15-1</t>
  </si>
  <si>
    <t>p12-1</t>
  </si>
  <si>
    <t>p12-2</t>
  </si>
  <si>
    <t>p12-3</t>
  </si>
  <si>
    <t>p12-4</t>
  </si>
  <si>
    <t>p13-1</t>
  </si>
  <si>
    <t>p13-2</t>
  </si>
  <si>
    <t>p13-3</t>
  </si>
  <si>
    <t>p13-4</t>
  </si>
  <si>
    <t>p14-1</t>
  </si>
  <si>
    <t>p14-2</t>
  </si>
  <si>
    <t>p14-3</t>
  </si>
  <si>
    <t>p14-4</t>
  </si>
  <si>
    <t>p15-2</t>
  </si>
  <si>
    <t>p15-3</t>
  </si>
  <si>
    <t>p15-4</t>
  </si>
  <si>
    <t>p16-1</t>
  </si>
  <si>
    <t>p16-2</t>
  </si>
  <si>
    <t>p16-3</t>
  </si>
  <si>
    <t>p16-4</t>
  </si>
  <si>
    <t>Quality</t>
  </si>
  <si>
    <t>QLDAT</t>
  </si>
  <si>
    <t>FBMIC</t>
  </si>
  <si>
    <t>FBLTH</t>
  </si>
  <si>
    <t>FBUNI</t>
  </si>
  <si>
    <t>FBSTR</t>
  </si>
  <si>
    <t>(inches)</t>
  </si>
  <si>
    <t>(g/tex)</t>
  </si>
  <si>
    <t>FBELO</t>
  </si>
  <si>
    <t>FBSFI</t>
  </si>
  <si>
    <t>wt in bin</t>
  </si>
  <si>
    <t>Weight of bin holding seed at MAC gin (kg)</t>
  </si>
  <si>
    <t>Column Q - Fiber fraction after ginning (FFRAC, g/g)</t>
  </si>
  <si>
    <t>Column R - Seed fraction after ginning (SFRAC, g/g)</t>
  </si>
  <si>
    <t>Column S - Trash fraction after ginning (TFRAC, g/g)</t>
  </si>
  <si>
    <t>Column T - Wet fiber weight at harvest (WFWAH, kg/ha)</t>
  </si>
  <si>
    <t>Column U - Wet seed weight at harvest (WSWAH, kg/ha)</t>
  </si>
  <si>
    <t>Column V - Wet seed cotton weight at harvest (fiber + seed) (WSCWAH, kg/ha)</t>
  </si>
  <si>
    <t>Column W - Dry fiber weight at harvest (DFWAH, kg/ha)</t>
  </si>
  <si>
    <t>Column X - Dry seed weight at harvest (DSWAH, kg/ha)</t>
  </si>
  <si>
    <t>Column Y - Dry seed cotton weight at harvest (fiber + seed) (DSCWAH, kg/ha)</t>
  </si>
  <si>
    <t>Column Z - Quality measurement date (QLDAT, mm/dd/yyyy)</t>
  </si>
  <si>
    <t>Column AA - Micronaire (FBMIC)</t>
  </si>
  <si>
    <t>Column AB - Upper half mean fiber length (FBLTH, inches)</t>
  </si>
  <si>
    <t>Column AC - Fiber uniformity (FBUNI, %)</t>
  </si>
  <si>
    <t>Column AD - Fiber strength (FBSTR, g/tex)</t>
  </si>
  <si>
    <t>Column AE - Fiber elongation to failure (FBELO, %)</t>
  </si>
  <si>
    <t>Column AF - Short fiber index (FBSFI, %)</t>
  </si>
  <si>
    <t>Fiber Wt</t>
  </si>
  <si>
    <t>Seed Wt</t>
  </si>
  <si>
    <t>Original</t>
  </si>
  <si>
    <t>Spreadsheet</t>
  </si>
  <si>
    <t>Column E - Weight of machine-picked cotton in bag (lbs). Machine harvest 2 rows by 10 m into mesh bags. Weigh in field using IQ plus 300-DC scale.</t>
  </si>
  <si>
    <t>Column M - Ginning Date (GNDAT, mm/dd/yyyy). Ginned using the MAC large gin with cleaners.</t>
  </si>
  <si>
    <t>Column H - Weight of bulk subsample for moisture content in plastic bag (g). Weigh in Room 189 on Sartorius scale.</t>
  </si>
  <si>
    <t>Column I - Wet weight of bulk subsample prior to oven drying (g). Weigh in Room 189 on Sartorius scale.</t>
  </si>
  <si>
    <t>Column J - Dry weight of bulk subsample after oven drying (g). Weigh in Room 189 on Sartorius scale.</t>
  </si>
  <si>
    <t>Column G - Weight of Zip-lock plastic bag for subsampling harvest bags for moisture content (g). Weigh in Room 189 on Sartorius scale.</t>
  </si>
  <si>
    <t>Column O - Weight of fiber in bag after ginning (kg). Weigh on Ohaus Defender 3000 series scale at MAC gin.</t>
  </si>
  <si>
    <t>Column N - Weight of bulk cotton subsample in bag prior to ginning (kg). Weigh on ALARC's Ohaus scale.</t>
  </si>
  <si>
    <t>Column P - Weight of fuzzy seed in bin after ginning (kg).  Weigh on Ohaus Defender 3000 series scale at MAC gin.</t>
  </si>
  <si>
    <t>Plot-scale calculations</t>
  </si>
  <si>
    <t>120-80</t>
  </si>
  <si>
    <t>North</t>
  </si>
  <si>
    <t>Mid</t>
  </si>
  <si>
    <t>South</t>
  </si>
  <si>
    <t>16-</t>
  </si>
  <si>
    <t>120-120</t>
  </si>
  <si>
    <t>80-120</t>
  </si>
  <si>
    <t>100-120</t>
  </si>
  <si>
    <t>100-100</t>
  </si>
  <si>
    <t>15-</t>
  </si>
  <si>
    <t>120-60</t>
  </si>
  <si>
    <t>60-60</t>
  </si>
  <si>
    <t>100-60</t>
  </si>
  <si>
    <t>60-80</t>
  </si>
  <si>
    <t>14-</t>
  </si>
  <si>
    <t>120-100</t>
  </si>
  <si>
    <t>60-120</t>
  </si>
  <si>
    <t>80-60</t>
  </si>
  <si>
    <t>80-100</t>
  </si>
  <si>
    <t>13-</t>
  </si>
  <si>
    <t>60-100</t>
  </si>
  <si>
    <t>80-80</t>
  </si>
  <si>
    <t>100-80</t>
  </si>
  <si>
    <t>12-</t>
  </si>
  <si>
    <t>11-</t>
  </si>
  <si>
    <t>10-</t>
  </si>
  <si>
    <t>09-</t>
  </si>
  <si>
    <t>08-</t>
  </si>
  <si>
    <t>07-</t>
  </si>
  <si>
    <t>06-</t>
  </si>
  <si>
    <t>05-</t>
  </si>
  <si>
    <t>04-</t>
  </si>
  <si>
    <t>← plot + buffer + white harvest bag.  (40.6 lb in first bag + 1.5 lb more cotton from buffer [weighed loose, no bag]. Weight of cotton from next buffer was 18.4 pounds - weight of black bag 1.1 lb)</t>
  </si>
  <si>
    <t>03-</t>
  </si>
  <si>
    <t>02-</t>
  </si>
  <si>
    <t>120-</t>
  </si>
  <si>
    <t>100-</t>
  </si>
  <si>
    <t>01-</t>
  </si>
  <si>
    <t>80-</t>
  </si>
  <si>
    <t>60-</t>
  </si>
  <si>
    <t>not adjusted for bag weight</t>
  </si>
  <si>
    <t>Averages</t>
  </si>
  <si>
    <r>
      <t xml:space="preserve">Harvest weight </t>
    </r>
    <r>
      <rPr>
        <sz val="9"/>
        <color theme="1"/>
        <rFont val="Calibri"/>
        <family val="2"/>
      </rPr>
      <t>(from the field, in the bag)</t>
    </r>
    <r>
      <rPr>
        <b/>
        <sz val="9"/>
        <color theme="1"/>
        <rFont val="Calibri"/>
        <family val="2"/>
      </rPr>
      <t xml:space="preserve"> lb</t>
    </r>
  </si>
  <si>
    <t>TRT</t>
  </si>
  <si>
    <t>sample</t>
  </si>
  <si>
    <t>Plot</t>
  </si>
  <si>
    <r>
      <t xml:space="preserve">Weight of harvest bags: </t>
    </r>
    <r>
      <rPr>
        <b/>
        <sz val="10"/>
        <color theme="1"/>
        <rFont val="Calibri"/>
        <family val="2"/>
      </rPr>
      <t xml:space="preserve"> 10 </t>
    </r>
    <r>
      <rPr>
        <sz val="10"/>
        <color rgb="FFFF0000"/>
        <rFont val="Calibri"/>
        <family val="2"/>
      </rPr>
      <t xml:space="preserve">  bags &amp; tags - </t>
    </r>
    <r>
      <rPr>
        <b/>
        <sz val="10"/>
        <color theme="1"/>
        <rFont val="Calibri"/>
        <family val="2"/>
      </rPr>
      <t xml:space="preserve">     3.8      </t>
    </r>
    <r>
      <rPr>
        <sz val="10"/>
        <color rgb="FFFF0000"/>
        <rFont val="Calibri"/>
        <family val="2"/>
      </rPr>
      <t xml:space="preserve"> lb</t>
    </r>
  </si>
  <si>
    <t>Using MAC farm's (J Subramani) IQ plus 300-DC platform scale</t>
  </si>
  <si>
    <t>Matt &amp; Alison on picker. Sara  spotting on the ground. Kelly, Sharette &amp; Levi on the delivery pickup &amp; helping subsample. Melissa &amp; Pernell ferrying samples to greenhouse &amp; helping subsample. Kethy subsampling. Suzette recording weights &amp; subsampling.</t>
  </si>
  <si>
    <t>Fiber from MAC large gin subsampled for Cotton Inc fiber quality</t>
  </si>
  <si>
    <t>Clear. Light-mod breeze, fairly steady through the morning. At start, humidity 57% (dew pt 51). Temp 66. [Weatherbug).</t>
  </si>
  <si>
    <t>Remaining harvested sample ginned on the MAC large gin</t>
  </si>
  <si>
    <t>Started with 01-1 (East side of the field, Northern plot) and serpentined through the field</t>
  </si>
  <si>
    <t>Bags brought to greenhouse for storage</t>
  </si>
  <si>
    <t>Wed. 8 Nov 2017   doy 312   0830-1200h</t>
  </si>
  <si>
    <t xml:space="preserve">Harvested: </t>
  </si>
  <si>
    <t>Subsampled for moisture (approximately 2% of original sample)</t>
  </si>
  <si>
    <t>Bags initially weighed in the field on the Subramani scale</t>
  </si>
  <si>
    <t>Cotton</t>
  </si>
  <si>
    <t>F13 b4</t>
  </si>
  <si>
    <t>Final harvest</t>
  </si>
  <si>
    <t>2017</t>
  </si>
  <si>
    <t>**Sample did not come out but was recovered from the baler.  Should be correct weight.</t>
  </si>
  <si>
    <t>weight missing</t>
  </si>
  <si>
    <t>↓ Larger, ALARC, white bags (0.16kg) for remainder of lint samples.</t>
  </si>
  <si>
    <t>**Switched to larger white bag</t>
  </si>
  <si>
    <t>**Yellow Bag</t>
  </si>
  <si>
    <t>Trash &amp; lost Fraction  (%)</t>
  </si>
  <si>
    <t>Seed Fraction  (%)</t>
  </si>
  <si>
    <t>Lint Fraction  (%)</t>
  </si>
  <si>
    <t>Seed (kg)</t>
  </si>
  <si>
    <t>Lint in bag (kg)</t>
  </si>
  <si>
    <r>
      <t xml:space="preserve">Seed cotton weight </t>
    </r>
    <r>
      <rPr>
        <sz val="9"/>
        <color theme="1"/>
        <rFont val="Calibri"/>
        <family val="2"/>
      </rPr>
      <t>(in the white mesh bag)</t>
    </r>
    <r>
      <rPr>
        <b/>
        <sz val="9"/>
        <color theme="1"/>
        <rFont val="Calibri"/>
        <family val="2"/>
      </rPr>
      <t xml:space="preserve"> lb</t>
    </r>
  </si>
  <si>
    <t>Sub sample (lb)</t>
  </si>
  <si>
    <t>Section</t>
  </si>
  <si>
    <t>=((I14-1.68)/(G14-0.16))*100</t>
  </si>
  <si>
    <t>=((H14-0.28)/(G14-0.16))*100</t>
  </si>
  <si>
    <t>proofed: SMM 18 Jan 2018</t>
  </si>
  <si>
    <t>12/26 Matt H.</t>
  </si>
  <si>
    <t>date entered:</t>
  </si>
  <si>
    <t>11/16 - Suzette, Matt, Sharette, Kathy, and Levi</t>
  </si>
  <si>
    <t>11/15 - Suzette, Matt, Sharette, and Kathy</t>
  </si>
  <si>
    <t>11/14 - Suzette, Matt, Sharette, and Levi</t>
  </si>
  <si>
    <t>dates ginned:</t>
  </si>
  <si>
    <t>Samples took about 6 minutes each</t>
  </si>
  <si>
    <t>Seed bin 1.68kg</t>
  </si>
  <si>
    <t>Post-ginning weights weighed on gin buildings O'Haus defender 3000 series scale</t>
  </si>
  <si>
    <t>ALARC White Bag 0.16kg</t>
  </si>
  <si>
    <t>Pre-ginning weights weighed on ALARC's O'Haus scale</t>
  </si>
  <si>
    <t>Yellow mesh bag 0.28 &amp; 0.27kg</t>
  </si>
  <si>
    <t>Harvested samples stored in gh 722.</t>
  </si>
  <si>
    <t>Ginned samples</t>
  </si>
  <si>
    <t xml:space="preserve">Cotton </t>
  </si>
  <si>
    <t>F13b4 - lateral move irrigation</t>
  </si>
  <si>
    <t>wet basis       % moisture</t>
  </si>
  <si>
    <r>
      <t xml:space="preserve">Dry weight        </t>
    </r>
    <r>
      <rPr>
        <b/>
        <sz val="7"/>
        <color theme="1"/>
        <rFont val="Calibri"/>
        <family val="2"/>
        <scheme val="minor"/>
      </rPr>
      <t xml:space="preserve"> (no bag) </t>
    </r>
    <r>
      <rPr>
        <b/>
        <sz val="10"/>
        <color theme="1"/>
        <rFont val="Calibri"/>
        <family val="2"/>
        <scheme val="minor"/>
      </rPr>
      <t>(g)</t>
    </r>
  </si>
  <si>
    <t>Seed cotton (g)</t>
  </si>
  <si>
    <t>Seed cotton + bag (g)</t>
  </si>
  <si>
    <t>Plastic bag (g)</t>
  </si>
  <si>
    <r>
      <t>Moisture meter reading</t>
    </r>
    <r>
      <rPr>
        <sz val="7"/>
        <color theme="1"/>
        <rFont val="Calibri"/>
        <family val="2"/>
        <scheme val="minor"/>
      </rPr>
      <t xml:space="preserve"> (North samples only)</t>
    </r>
  </si>
  <si>
    <t>Seed Cotton</t>
  </si>
  <si>
    <t>Seed cotton</t>
  </si>
  <si>
    <t>Calculated:</t>
  </si>
  <si>
    <t>From field:</t>
  </si>
  <si>
    <t>Souths-29 Nov</t>
  </si>
  <si>
    <t>8 Nov 1225-1325h</t>
  </si>
  <si>
    <t>date weighed:</t>
  </si>
  <si>
    <t>Mids-22 Nov</t>
  </si>
  <si>
    <t>All weights taken on Sartorius in rm 189</t>
  </si>
  <si>
    <t>Norths-17 Nov</t>
  </si>
  <si>
    <t>Dried cotton removed from bag &amp; weighed in a tared container.</t>
  </si>
  <si>
    <t xml:space="preserve"> cotton transferred to paper bags and placed in oven.</t>
  </si>
  <si>
    <t>After initial weighing (harvested cotton in the pre-weighed bags),</t>
  </si>
  <si>
    <t>Samples taken in the field at harvest time, placed into sealed ziplock bags.</t>
  </si>
  <si>
    <t>Harvest-Seed Cotton Moisture Content</t>
  </si>
  <si>
    <t>Corrected - SMM 18 Jan 2018</t>
  </si>
  <si>
    <t>Proofed - MH 1/16/2018</t>
  </si>
  <si>
    <t>Entered-SMM 4 Dec 2017</t>
  </si>
  <si>
    <t>(bales)</t>
  </si>
  <si>
    <t>(lb/ac)</t>
  </si>
  <si>
    <t>%</t>
  </si>
  <si>
    <t>HVI g/tex</t>
  </si>
  <si>
    <t>mm/mm</t>
  </si>
  <si>
    <t>mm</t>
  </si>
  <si>
    <t>inch</t>
  </si>
  <si>
    <t>"fineness"</t>
  </si>
  <si>
    <t>(kg/m3)</t>
  </si>
  <si>
    <t>(mm)</t>
  </si>
  <si>
    <t>trash</t>
  </si>
  <si>
    <t>seed</t>
  </si>
  <si>
    <t>fiber</t>
  </si>
  <si>
    <t>SFC% (short fiber content)</t>
  </si>
  <si>
    <t>ELO (Elongation at breakage)</t>
  </si>
  <si>
    <t>STR (Strength)</t>
  </si>
  <si>
    <t>UI (Uniformity Index = mean length/upper half mean length)</t>
  </si>
  <si>
    <t>UHM (Upper half mean length)</t>
  </si>
  <si>
    <t>MIC (Micronaire)</t>
  </si>
  <si>
    <t>IWUE-fiber</t>
  </si>
  <si>
    <t>Irrigation2</t>
  </si>
  <si>
    <t>Irrigation</t>
  </si>
  <si>
    <t>CWUE-fiber</t>
  </si>
  <si>
    <t>ET</t>
  </si>
  <si>
    <t>Fiber Frac</t>
  </si>
  <si>
    <t>SeedCotton Wt</t>
  </si>
  <si>
    <t>Trash Wt</t>
  </si>
  <si>
    <t>Fraction</t>
  </si>
  <si>
    <t xml:space="preserve"> advertisement, nor for the product certification or endorsement.</t>
  </si>
  <si>
    <t xml:space="preserve"> whatsoever concerning the accuracy of such information and its effect upon the evaluation.  The data may not be used for purposes of</t>
  </si>
  <si>
    <t xml:space="preserve"> is based upon informationprovided by a third party, who requested such an evaluation, Cotton Incorporated can make no representation</t>
  </si>
  <si>
    <t xml:space="preserve"> Incorporated is believed to be accurate, but no guarantee or warranty either express or implied, is provided.  If any evaluation contained herein</t>
  </si>
  <si>
    <t>This information is provided for the confidential use of Cotton Incorporated employees and their cooperators. Any information from Cotton</t>
  </si>
  <si>
    <t>CV%</t>
  </si>
  <si>
    <t>Std:</t>
  </si>
  <si>
    <t>Average:</t>
  </si>
  <si>
    <t/>
  </si>
  <si>
    <t xml:space="preserve">                  991641001203</t>
  </si>
  <si>
    <t xml:space="preserve">                  991630801203</t>
  </si>
  <si>
    <t xml:space="preserve">                  991621201203</t>
  </si>
  <si>
    <t xml:space="preserve">                  991611200803</t>
  </si>
  <si>
    <t xml:space="preserve">                  991541001003</t>
  </si>
  <si>
    <t xml:space="preserve">                  991531200603</t>
  </si>
  <si>
    <t xml:space="preserve">                  991520600603</t>
  </si>
  <si>
    <t xml:space="preserve">                  991511000603</t>
  </si>
  <si>
    <t xml:space="preserve">                  991440800603</t>
  </si>
  <si>
    <t xml:space="preserve">                  991430601203</t>
  </si>
  <si>
    <t xml:space="preserve">                  991421201003</t>
  </si>
  <si>
    <t xml:space="preserve">                  991410600803</t>
  </si>
  <si>
    <t xml:space="preserve">                  991340801003</t>
  </si>
  <si>
    <t xml:space="preserve">                  991330601003</t>
  </si>
  <si>
    <t xml:space="preserve">                  991320800803</t>
  </si>
  <si>
    <t xml:space="preserve">                  991311000803</t>
  </si>
  <si>
    <t xml:space="preserve">                  991241201003</t>
  </si>
  <si>
    <t xml:space="preserve">                  991230801003</t>
  </si>
  <si>
    <t xml:space="preserve">                  991221001203</t>
  </si>
  <si>
    <t xml:space="preserve">                  991211201203</t>
  </si>
  <si>
    <t xml:space="preserve">                  991141200603</t>
  </si>
  <si>
    <t xml:space="preserve">                  991131000803</t>
  </si>
  <si>
    <t xml:space="preserve">                  991120801203</t>
  </si>
  <si>
    <t xml:space="preserve">                  991110601203</t>
  </si>
  <si>
    <t xml:space="preserve">                  991040601003</t>
  </si>
  <si>
    <t xml:space="preserve">                  991030600603</t>
  </si>
  <si>
    <t xml:space="preserve">                  991020600803</t>
  </si>
  <si>
    <t xml:space="preserve">                  991011001003</t>
  </si>
  <si>
    <t xml:space="preserve">                  990941000603</t>
  </si>
  <si>
    <t xml:space="preserve">                  990930800603</t>
  </si>
  <si>
    <t xml:space="preserve">                  990921200803</t>
  </si>
  <si>
    <t xml:space="preserve">                  990910800803</t>
  </si>
  <si>
    <t xml:space="preserve">                  990841000803</t>
  </si>
  <si>
    <t xml:space="preserve">                  990831001003</t>
  </si>
  <si>
    <t xml:space="preserve">                  990821201203</t>
  </si>
  <si>
    <t xml:space="preserve">                  990810801203</t>
  </si>
  <si>
    <t xml:space="preserve">                  990740800803</t>
  </si>
  <si>
    <t xml:space="preserve">                  990731200803</t>
  </si>
  <si>
    <t xml:space="preserve">                  990720800603</t>
  </si>
  <si>
    <t xml:space="preserve">                  990711200603</t>
  </si>
  <si>
    <t xml:space="preserve">                  990640601003</t>
  </si>
  <si>
    <t xml:space="preserve">                  990630601203</t>
  </si>
  <si>
    <t xml:space="preserve">                  990620600603</t>
  </si>
  <si>
    <t xml:space="preserve">                  990610801003</t>
  </si>
  <si>
    <t xml:space="preserve">                  990540600803</t>
  </si>
  <si>
    <t xml:space="preserve">                  990531201003</t>
  </si>
  <si>
    <t xml:space="preserve">                  990521000603</t>
  </si>
  <si>
    <t xml:space="preserve">                  990511001203</t>
  </si>
  <si>
    <t xml:space="preserve">                  990441000803</t>
  </si>
  <si>
    <t xml:space="preserve">                  990431001203</t>
  </si>
  <si>
    <t xml:space="preserve">                  990420800603</t>
  </si>
  <si>
    <t xml:space="preserve">                  990410800803</t>
  </si>
  <si>
    <t xml:space="preserve">                  990341200603</t>
  </si>
  <si>
    <t xml:space="preserve">                  990330601003</t>
  </si>
  <si>
    <t xml:space="preserve">                  990320600803</t>
  </si>
  <si>
    <t xml:space="preserve">                  990311201003</t>
  </si>
  <si>
    <t xml:space="preserve">                  990241201203</t>
  </si>
  <si>
    <t xml:space="preserve">                  990231000603</t>
  </si>
  <si>
    <t xml:space="preserve">                  990220601203</t>
  </si>
  <si>
    <t xml:space="preserve">                  990211200803</t>
  </si>
  <si>
    <t xml:space="preserve">                  990140600603</t>
  </si>
  <si>
    <t xml:space="preserve">                  990130801003</t>
  </si>
  <si>
    <t xml:space="preserve">                  990121001003</t>
  </si>
  <si>
    <t xml:space="preserve">                  990110801203</t>
  </si>
  <si>
    <t>Trash Cnt</t>
  </si>
  <si>
    <t>SFC%</t>
  </si>
  <si>
    <t xml:space="preserve">AREA % </t>
  </si>
  <si>
    <t>CGRD</t>
  </si>
  <si>
    <t>+b</t>
  </si>
  <si>
    <t>Rd</t>
  </si>
  <si>
    <t>ELO</t>
  </si>
  <si>
    <t>STR</t>
  </si>
  <si>
    <t>UI</t>
  </si>
  <si>
    <t>UHM</t>
  </si>
  <si>
    <t>MIC</t>
  </si>
  <si>
    <t>High Volume Instrument</t>
  </si>
  <si>
    <t>HVI</t>
  </si>
  <si>
    <t xml:space="preserve"> </t>
  </si>
  <si>
    <t>No. Samples:</t>
  </si>
  <si>
    <t>Process:</t>
  </si>
  <si>
    <t>Complete:</t>
  </si>
  <si>
    <t>Material:</t>
  </si>
  <si>
    <t>Received:</t>
  </si>
  <si>
    <t xml:space="preserve">COTTON INCORPORATED           </t>
  </si>
  <si>
    <t>Customer:</t>
  </si>
  <si>
    <t xml:space="preserve">AG RESEARCH                   </t>
  </si>
  <si>
    <t>Reference:</t>
  </si>
  <si>
    <t>Assist:</t>
  </si>
  <si>
    <t xml:space="preserve">AGR            </t>
  </si>
  <si>
    <t>Dept:</t>
  </si>
  <si>
    <t xml:space="preserve">17-642         </t>
  </si>
  <si>
    <t>Track No:</t>
  </si>
  <si>
    <t xml:space="preserve">SMITHUHLR      </t>
  </si>
  <si>
    <t>Work By:</t>
  </si>
  <si>
    <t xml:space="preserve">BARNESE        </t>
  </si>
  <si>
    <t>Submit:</t>
  </si>
  <si>
    <t>Project: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</si>
</sst>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"/>
    <numFmt numFmtId="166" formatCode="mm/dd/yyyy"/>
    <numFmt numFmtId="167" formatCode="00"/>
    <numFmt numFmtId="168" formatCode="00.00"/>
    <numFmt numFmtId="169" formatCode="[$-409]d\-mmm;@"/>
    <numFmt numFmtId="170" formatCode="0.000"/>
  </numFmts>
  <fonts count="3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7"/>
      <color theme="1"/>
      <name val="Calibri Light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theme="1"/>
      <name val="Arial"/>
      <family val="2"/>
    </font>
    <font>
      <sz val="8"/>
      <color theme="1"/>
      <name val="Calibri Light"/>
      <family val="2"/>
    </font>
    <font>
      <sz val="8.5"/>
      <color rgb="FFFF0000"/>
      <name val="Arial"/>
      <family val="2"/>
    </font>
    <font>
      <sz val="11"/>
      <color rgb="FFFF0000"/>
      <name val="Arial"/>
      <family val="2"/>
    </font>
    <font>
      <sz val="6"/>
      <color theme="1"/>
      <name val="Calibri"/>
      <family val="2"/>
    </font>
    <font>
      <b/>
      <sz val="16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0"/>
      <color rgb="FFFF0000"/>
      <name val="Calibri"/>
      <family val="2"/>
    </font>
    <font>
      <sz val="10"/>
      <color rgb="FFFF5757"/>
      <name val="Calibri"/>
      <family val="2"/>
    </font>
    <font>
      <sz val="9"/>
      <color theme="1"/>
      <name val="Arial"/>
      <family val="2"/>
    </font>
    <font>
      <sz val="14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8"/>
      <name val="Arial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/>
      <top style="medium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/>
      <top/>
      <bottom style="thin">
        <color theme="2" tint="-0.499984740745262"/>
      </bottom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/>
      <top/>
      <bottom/>
      <diagonal/>
    </border>
    <border>
      <left/>
      <right/>
      <top/>
      <bottom style="thin">
        <color indexed="23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35" fillId="0" borderId="0"/>
  </cellStyleXfs>
  <cellXfs count="212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66" fontId="0" fillId="0" borderId="0" xfId="0" applyNumberFormat="1"/>
    <xf numFmtId="1" fontId="0" fillId="2" borderId="0" xfId="0" applyNumberFormat="1" applyFill="1"/>
    <xf numFmtId="1" fontId="0" fillId="0" borderId="0" xfId="0" applyNumberFormat="1"/>
    <xf numFmtId="0" fontId="4" fillId="0" borderId="0" xfId="2"/>
    <xf numFmtId="0" fontId="4" fillId="0" borderId="0" xfId="2" applyAlignment="1">
      <alignment horizontal="center" vertical="center"/>
    </xf>
    <xf numFmtId="164" fontId="4" fillId="0" borderId="0" xfId="2" applyNumberFormat="1"/>
    <xf numFmtId="2" fontId="4" fillId="0" borderId="0" xfId="2" applyNumberFormat="1"/>
    <xf numFmtId="0" fontId="4" fillId="0" borderId="0" xfId="2" applyAlignment="1">
      <alignment horizontal="right"/>
    </xf>
    <xf numFmtId="164" fontId="4" fillId="0" borderId="1" xfId="2" applyNumberFormat="1" applyBorder="1" applyAlignment="1">
      <alignment horizontal="center" vertical="center"/>
    </xf>
    <xf numFmtId="167" fontId="5" fillId="0" borderId="2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left" vertical="center"/>
    </xf>
    <xf numFmtId="167" fontId="7" fillId="0" borderId="4" xfId="2" applyNumberFormat="1" applyFont="1" applyBorder="1" applyAlignment="1">
      <alignment horizontal="right" vertical="center"/>
    </xf>
    <xf numFmtId="167" fontId="8" fillId="0" borderId="0" xfId="2" applyNumberFormat="1" applyFont="1" applyAlignment="1">
      <alignment horizontal="right" vertical="center"/>
    </xf>
    <xf numFmtId="164" fontId="4" fillId="0" borderId="5" xfId="2" applyNumberFormat="1" applyBorder="1" applyAlignment="1">
      <alignment horizontal="center" vertical="center"/>
    </xf>
    <xf numFmtId="167" fontId="5" fillId="0" borderId="6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167" fontId="9" fillId="0" borderId="0" xfId="2" applyNumberFormat="1" applyFont="1" applyAlignment="1">
      <alignment horizontal="right" vertical="center"/>
    </xf>
    <xf numFmtId="167" fontId="7" fillId="0" borderId="0" xfId="2" applyNumberFormat="1" applyFont="1" applyAlignment="1">
      <alignment horizontal="right" vertical="center"/>
    </xf>
    <xf numFmtId="164" fontId="4" fillId="0" borderId="8" xfId="2" applyNumberFormat="1" applyBorder="1" applyAlignment="1">
      <alignment horizontal="center" vertical="center"/>
    </xf>
    <xf numFmtId="167" fontId="5" fillId="0" borderId="9" xfId="2" applyNumberFormat="1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left" vertical="center"/>
    </xf>
    <xf numFmtId="167" fontId="7" fillId="0" borderId="11" xfId="2" applyNumberFormat="1" applyFont="1" applyBorder="1" applyAlignment="1">
      <alignment horizontal="right" vertical="center"/>
    </xf>
    <xf numFmtId="0" fontId="10" fillId="0" borderId="0" xfId="2" applyFont="1" applyAlignment="1">
      <alignment horizontal="right"/>
    </xf>
    <xf numFmtId="164" fontId="4" fillId="0" borderId="0" xfId="2" applyNumberFormat="1" applyAlignment="1">
      <alignment horizontal="center" vertical="center"/>
    </xf>
    <xf numFmtId="2" fontId="11" fillId="0" borderId="0" xfId="2" applyNumberFormat="1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164" fontId="13" fillId="0" borderId="1" xfId="2" applyNumberFormat="1" applyFont="1" applyBorder="1" applyAlignment="1">
      <alignment horizontal="center" vertical="center"/>
    </xf>
    <xf numFmtId="2" fontId="4" fillId="0" borderId="0" xfId="2" quotePrefix="1" applyNumberFormat="1"/>
    <xf numFmtId="0" fontId="4" fillId="0" borderId="0" xfId="2" applyAlignment="1">
      <alignment horizontal="left"/>
    </xf>
    <xf numFmtId="2" fontId="13" fillId="0" borderId="0" xfId="2" quotePrefix="1" applyNumberFormat="1" applyFont="1"/>
    <xf numFmtId="0" fontId="14" fillId="0" borderId="0" xfId="2" applyFont="1" applyAlignment="1">
      <alignment wrapText="1"/>
    </xf>
    <xf numFmtId="164" fontId="15" fillId="0" borderId="0" xfId="2" applyNumberFormat="1" applyFont="1" applyAlignment="1">
      <alignment horizontal="centerContinuous" vertical="center" wrapText="1"/>
    </xf>
    <xf numFmtId="2" fontId="15" fillId="0" borderId="0" xfId="2" applyNumberFormat="1" applyFont="1" applyAlignment="1">
      <alignment horizontal="centerContinuous"/>
    </xf>
    <xf numFmtId="0" fontId="15" fillId="0" borderId="0" xfId="2" applyFont="1" applyAlignment="1">
      <alignment horizontal="centerContinuous"/>
    </xf>
    <xf numFmtId="0" fontId="16" fillId="0" borderId="0" xfId="2" applyFont="1" applyAlignment="1">
      <alignment horizontal="right"/>
    </xf>
    <xf numFmtId="0" fontId="14" fillId="0" borderId="0" xfId="2" applyFont="1" applyAlignment="1">
      <alignment horizontal="center" vertical="center" wrapText="1"/>
    </xf>
    <xf numFmtId="164" fontId="17" fillId="0" borderId="0" xfId="2" applyNumberFormat="1" applyFont="1" applyAlignment="1">
      <alignment horizontal="center" vertical="center" wrapText="1"/>
    </xf>
    <xf numFmtId="0" fontId="16" fillId="0" borderId="0" xfId="2" applyFont="1" applyAlignment="1">
      <alignment horizontal="center"/>
    </xf>
    <xf numFmtId="0" fontId="18" fillId="0" borderId="0" xfId="2" applyFont="1" applyAlignment="1">
      <alignment horizontal="center"/>
    </xf>
    <xf numFmtId="164" fontId="16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164" fontId="7" fillId="0" borderId="0" xfId="2" applyNumberFormat="1" applyFont="1" applyAlignment="1">
      <alignment horizontal="center"/>
    </xf>
    <xf numFmtId="0" fontId="16" fillId="0" borderId="0" xfId="2" applyFont="1" applyAlignment="1">
      <alignment horizontal="left"/>
    </xf>
    <xf numFmtId="15" fontId="16" fillId="0" borderId="0" xfId="2" applyNumberFormat="1" applyFont="1" applyAlignment="1">
      <alignment horizontal="center" wrapText="1"/>
    </xf>
    <xf numFmtId="164" fontId="16" fillId="0" borderId="0" xfId="2" applyNumberFormat="1" applyFont="1" applyAlignment="1">
      <alignment horizontal="center" wrapText="1"/>
    </xf>
    <xf numFmtId="0" fontId="19" fillId="0" borderId="0" xfId="2" applyFont="1" applyAlignment="1">
      <alignment horizontal="left"/>
    </xf>
    <xf numFmtId="164" fontId="4" fillId="0" borderId="0" xfId="2" applyNumberFormat="1" applyAlignment="1">
      <alignment horizontal="center"/>
    </xf>
    <xf numFmtId="0" fontId="20" fillId="0" borderId="0" xfId="2" applyFont="1" applyAlignment="1">
      <alignment horizontal="left"/>
    </xf>
    <xf numFmtId="0" fontId="21" fillId="0" borderId="0" xfId="2" applyFont="1" applyAlignment="1">
      <alignment horizontal="left"/>
    </xf>
    <xf numFmtId="0" fontId="4" fillId="0" borderId="0" xfId="2" applyAlignment="1">
      <alignment horizontal="centerContinuous" wrapText="1"/>
    </xf>
    <xf numFmtId="0" fontId="4" fillId="0" borderId="0" xfId="2" applyAlignment="1">
      <alignment horizontal="centerContinuous" vertical="center" wrapText="1"/>
    </xf>
    <xf numFmtId="0" fontId="21" fillId="0" borderId="0" xfId="2" applyFont="1" applyAlignment="1">
      <alignment horizontal="centerContinuous" wrapText="1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center" vertical="center"/>
    </xf>
    <xf numFmtId="164" fontId="7" fillId="0" borderId="0" xfId="2" applyNumberFormat="1" applyFont="1" applyAlignment="1">
      <alignment horizontal="left"/>
    </xf>
    <xf numFmtId="0" fontId="7" fillId="0" borderId="0" xfId="2" applyFont="1" applyAlignment="1">
      <alignment horizontal="right"/>
    </xf>
    <xf numFmtId="0" fontId="7" fillId="0" borderId="0" xfId="2" applyFont="1" applyAlignment="1">
      <alignment horizontal="centerContinuous"/>
    </xf>
    <xf numFmtId="0" fontId="7" fillId="0" borderId="0" xfId="2" applyFont="1" applyAlignment="1">
      <alignment horizontal="centerContinuous" vertical="center"/>
    </xf>
    <xf numFmtId="0" fontId="7" fillId="0" borderId="0" xfId="2" applyFont="1"/>
    <xf numFmtId="49" fontId="7" fillId="0" borderId="0" xfId="2" applyNumberFormat="1" applyFont="1" applyAlignment="1">
      <alignment horizontal="left" vertical="center"/>
    </xf>
    <xf numFmtId="4" fontId="4" fillId="0" borderId="0" xfId="2" applyNumberFormat="1"/>
    <xf numFmtId="2" fontId="22" fillId="0" borderId="2" xfId="2" applyNumberFormat="1" applyFont="1" applyBorder="1" applyAlignment="1">
      <alignment horizontal="center" vertical="center"/>
    </xf>
    <xf numFmtId="168" fontId="9" fillId="0" borderId="2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left" vertical="center"/>
    </xf>
    <xf numFmtId="0" fontId="16" fillId="0" borderId="4" xfId="2" applyFont="1" applyBorder="1" applyAlignment="1">
      <alignment horizontal="left" vertical="center"/>
    </xf>
    <xf numFmtId="167" fontId="16" fillId="0" borderId="4" xfId="2" applyNumberFormat="1" applyFont="1" applyBorder="1" applyAlignment="1">
      <alignment horizontal="right" vertical="center"/>
    </xf>
    <xf numFmtId="2" fontId="22" fillId="0" borderId="6" xfId="2" applyNumberFormat="1" applyFont="1" applyBorder="1" applyAlignment="1">
      <alignment horizontal="center" vertical="center"/>
    </xf>
    <xf numFmtId="168" fontId="9" fillId="0" borderId="6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left" vertical="center"/>
    </xf>
    <xf numFmtId="167" fontId="8" fillId="0" borderId="13" xfId="2" applyNumberFormat="1" applyFont="1" applyBorder="1" applyAlignment="1">
      <alignment horizontal="right" vertical="center"/>
    </xf>
    <xf numFmtId="167" fontId="16" fillId="0" borderId="13" xfId="2" applyNumberFormat="1" applyFont="1" applyBorder="1" applyAlignment="1">
      <alignment horizontal="right" vertical="center"/>
    </xf>
    <xf numFmtId="2" fontId="22" fillId="0" borderId="9" xfId="2" applyNumberFormat="1" applyFont="1" applyBorder="1" applyAlignment="1">
      <alignment horizontal="center" vertical="center"/>
    </xf>
    <xf numFmtId="168" fontId="9" fillId="0" borderId="9" xfId="2" applyNumberFormat="1" applyFont="1" applyBorder="1" applyAlignment="1">
      <alignment horizontal="center" vertical="center"/>
    </xf>
    <xf numFmtId="0" fontId="6" fillId="0" borderId="10" xfId="2" applyFont="1" applyBorder="1" applyAlignment="1">
      <alignment horizontal="left" vertical="center"/>
    </xf>
    <xf numFmtId="0" fontId="16" fillId="0" borderId="14" xfId="2" applyFont="1" applyBorder="1" applyAlignment="1">
      <alignment horizontal="left" vertical="center"/>
    </xf>
    <xf numFmtId="167" fontId="16" fillId="0" borderId="14" xfId="2" applyNumberFormat="1" applyFont="1" applyBorder="1" applyAlignment="1">
      <alignment horizontal="right" vertical="center"/>
    </xf>
    <xf numFmtId="168" fontId="9" fillId="2" borderId="9" xfId="2" applyNumberFormat="1" applyFont="1" applyFill="1" applyBorder="1" applyAlignment="1">
      <alignment horizontal="center" vertical="center"/>
    </xf>
    <xf numFmtId="49" fontId="9" fillId="2" borderId="9" xfId="2" applyNumberFormat="1" applyFont="1" applyFill="1" applyBorder="1" applyAlignment="1">
      <alignment horizontal="center" vertical="center"/>
    </xf>
    <xf numFmtId="0" fontId="2" fillId="0" borderId="0" xfId="2" applyFont="1"/>
    <xf numFmtId="0" fontId="2" fillId="3" borderId="0" xfId="2" applyFont="1" applyFill="1"/>
    <xf numFmtId="4" fontId="22" fillId="0" borderId="6" xfId="2" applyNumberFormat="1" applyFont="1" applyBorder="1" applyAlignment="1">
      <alignment horizontal="center" vertical="center"/>
    </xf>
    <xf numFmtId="168" fontId="9" fillId="3" borderId="6" xfId="2" applyNumberFormat="1" applyFont="1" applyFill="1" applyBorder="1" applyAlignment="1">
      <alignment horizontal="center" vertical="center"/>
    </xf>
    <xf numFmtId="2" fontId="2" fillId="2" borderId="0" xfId="2" applyNumberFormat="1" applyFont="1" applyFill="1"/>
    <xf numFmtId="4" fontId="22" fillId="0" borderId="9" xfId="2" applyNumberFormat="1" applyFont="1" applyBorder="1" applyAlignment="1">
      <alignment horizontal="center" vertical="center"/>
    </xf>
    <xf numFmtId="0" fontId="23" fillId="0" borderId="0" xfId="2" applyFont="1" applyAlignment="1">
      <alignment horizontal="center" wrapText="1"/>
    </xf>
    <xf numFmtId="0" fontId="24" fillId="0" borderId="0" xfId="2" applyFont="1" applyAlignment="1">
      <alignment horizontal="center" wrapText="1"/>
    </xf>
    <xf numFmtId="0" fontId="24" fillId="0" borderId="16" xfId="2" applyFont="1" applyBorder="1" applyAlignment="1">
      <alignment horizontal="center" wrapText="1"/>
    </xf>
    <xf numFmtId="164" fontId="17" fillId="0" borderId="0" xfId="2" applyNumberFormat="1" applyFont="1" applyAlignment="1">
      <alignment horizontal="center" wrapText="1"/>
    </xf>
    <xf numFmtId="0" fontId="25" fillId="0" borderId="16" xfId="2" applyFont="1" applyBorder="1" applyAlignment="1">
      <alignment horizontal="center" wrapText="1"/>
    </xf>
    <xf numFmtId="0" fontId="26" fillId="0" borderId="0" xfId="2" applyFont="1" applyAlignment="1">
      <alignment horizontal="center"/>
    </xf>
    <xf numFmtId="0" fontId="2" fillId="0" borderId="0" xfId="2" applyFont="1" applyAlignment="1">
      <alignment horizontal="center" wrapText="1"/>
    </xf>
    <xf numFmtId="0" fontId="27" fillId="0" borderId="0" xfId="2" quotePrefix="1" applyFont="1" applyAlignment="1">
      <alignment horizontal="center" wrapText="1"/>
    </xf>
    <xf numFmtId="16" fontId="27" fillId="0" borderId="0" xfId="2" quotePrefix="1" applyNumberFormat="1" applyFont="1" applyAlignment="1">
      <alignment horizontal="center" wrapText="1"/>
    </xf>
    <xf numFmtId="0" fontId="28" fillId="0" borderId="0" xfId="2" applyFont="1" applyAlignment="1">
      <alignment horizontal="center" wrapText="1"/>
    </xf>
    <xf numFmtId="16" fontId="27" fillId="0" borderId="0" xfId="2" applyNumberFormat="1" applyFont="1" applyAlignment="1">
      <alignment horizontal="center" wrapText="1"/>
    </xf>
    <xf numFmtId="0" fontId="27" fillId="0" borderId="0" xfId="2" applyFont="1"/>
    <xf numFmtId="0" fontId="3" fillId="0" borderId="0" xfId="2" applyFont="1" applyAlignment="1">
      <alignment horizontal="right" vertical="center"/>
    </xf>
    <xf numFmtId="16" fontId="3" fillId="0" borderId="0" xfId="2" applyNumberFormat="1" applyFont="1" applyAlignment="1">
      <alignment horizontal="center" wrapText="1"/>
    </xf>
    <xf numFmtId="0" fontId="27" fillId="0" borderId="0" xfId="2" applyFont="1" applyAlignment="1">
      <alignment horizontal="right"/>
    </xf>
    <xf numFmtId="0" fontId="21" fillId="0" borderId="0" xfId="2" applyFont="1"/>
    <xf numFmtId="0" fontId="2" fillId="0" borderId="0" xfId="2" applyFont="1" applyAlignment="1">
      <alignment horizontal="right"/>
    </xf>
    <xf numFmtId="0" fontId="29" fillId="0" borderId="0" xfId="2" applyFont="1"/>
    <xf numFmtId="0" fontId="30" fillId="0" borderId="0" xfId="2" applyFont="1" applyAlignment="1">
      <alignment horizontal="right"/>
    </xf>
    <xf numFmtId="0" fontId="30" fillId="0" borderId="0" xfId="2" applyFont="1"/>
    <xf numFmtId="0" fontId="29" fillId="0" borderId="0" xfId="2" applyFont="1" applyAlignment="1">
      <alignment horizontal="right"/>
    </xf>
    <xf numFmtId="0" fontId="29" fillId="0" borderId="0" xfId="2" applyFont="1" applyAlignment="1">
      <alignment horizontal="center"/>
    </xf>
    <xf numFmtId="164" fontId="3" fillId="0" borderId="0" xfId="2" applyNumberFormat="1" applyFont="1" applyAlignment="1">
      <alignment horizontal="center" vertical="center"/>
    </xf>
    <xf numFmtId="2" fontId="8" fillId="0" borderId="2" xfId="2" applyNumberFormat="1" applyFont="1" applyBorder="1" applyAlignment="1">
      <alignment horizontal="center" vertical="center"/>
    </xf>
    <xf numFmtId="2" fontId="8" fillId="0" borderId="6" xfId="2" applyNumberFormat="1" applyFont="1" applyBorder="1" applyAlignment="1">
      <alignment horizontal="center" vertical="center"/>
    </xf>
    <xf numFmtId="2" fontId="8" fillId="0" borderId="9" xfId="2" applyNumberFormat="1" applyFont="1" applyBorder="1" applyAlignment="1">
      <alignment horizontal="center" vertical="center"/>
    </xf>
    <xf numFmtId="164" fontId="3" fillId="0" borderId="17" xfId="2" applyNumberFormat="1" applyFont="1" applyBorder="1" applyAlignment="1">
      <alignment horizontal="center" vertical="center"/>
    </xf>
    <xf numFmtId="2" fontId="3" fillId="0" borderId="0" xfId="2" applyNumberFormat="1" applyFont="1" applyAlignment="1">
      <alignment horizontal="center" wrapText="1"/>
    </xf>
    <xf numFmtId="2" fontId="23" fillId="0" borderId="0" xfId="2" applyNumberFormat="1" applyFont="1" applyAlignment="1">
      <alignment horizontal="center" wrapText="1"/>
    </xf>
    <xf numFmtId="2" fontId="16" fillId="0" borderId="0" xfId="2" applyNumberFormat="1" applyFont="1" applyAlignment="1">
      <alignment horizontal="center" wrapText="1"/>
    </xf>
    <xf numFmtId="2" fontId="23" fillId="0" borderId="0" xfId="2" applyNumberFormat="1" applyFont="1" applyAlignment="1">
      <alignment horizontal="center"/>
    </xf>
    <xf numFmtId="2" fontId="4" fillId="0" borderId="0" xfId="2" applyNumberFormat="1" applyAlignment="1">
      <alignment horizontal="center" vertical="top" wrapText="1"/>
    </xf>
    <xf numFmtId="0" fontId="4" fillId="0" borderId="0" xfId="2" applyAlignment="1">
      <alignment horizontal="center" vertical="top" wrapText="1"/>
    </xf>
    <xf numFmtId="169" fontId="28" fillId="0" borderId="0" xfId="2" applyNumberFormat="1" applyFont="1" applyAlignment="1">
      <alignment horizontal="center" wrapText="1"/>
    </xf>
    <xf numFmtId="169" fontId="2" fillId="0" borderId="0" xfId="2" applyNumberFormat="1" applyFont="1" applyAlignment="1">
      <alignment horizontal="center" wrapText="1"/>
    </xf>
    <xf numFmtId="169" fontId="27" fillId="0" borderId="0" xfId="2" applyNumberFormat="1" applyFont="1" applyAlignment="1">
      <alignment horizontal="left" wrapText="1"/>
    </xf>
    <xf numFmtId="169" fontId="3" fillId="0" borderId="0" xfId="2" applyNumberFormat="1" applyFont="1" applyAlignment="1">
      <alignment horizontal="center" wrapText="1"/>
    </xf>
    <xf numFmtId="169" fontId="28" fillId="0" borderId="0" xfId="2" quotePrefix="1" applyNumberFormat="1" applyFont="1" applyAlignment="1">
      <alignment horizontal="center" wrapText="1"/>
    </xf>
    <xf numFmtId="2" fontId="27" fillId="0" borderId="0" xfId="2" applyNumberFormat="1" applyFont="1"/>
    <xf numFmtId="2" fontId="2" fillId="0" borderId="0" xfId="2" applyNumberFormat="1" applyFont="1"/>
    <xf numFmtId="0" fontId="33" fillId="0" borderId="0" xfId="2" applyFont="1" applyAlignment="1">
      <alignment horizontal="right" vertical="center"/>
    </xf>
    <xf numFmtId="167" fontId="5" fillId="0" borderId="0" xfId="2" applyNumberFormat="1" applyFont="1" applyAlignment="1">
      <alignment horizontal="center" vertical="center"/>
    </xf>
    <xf numFmtId="164" fontId="34" fillId="0" borderId="0" xfId="2" applyNumberFormat="1" applyFont="1"/>
    <xf numFmtId="2" fontId="34" fillId="0" borderId="0" xfId="2" applyNumberFormat="1" applyFont="1"/>
    <xf numFmtId="170" fontId="4" fillId="0" borderId="0" xfId="2" applyNumberFormat="1"/>
    <xf numFmtId="1" fontId="4" fillId="0" borderId="0" xfId="2" applyNumberFormat="1"/>
    <xf numFmtId="164" fontId="4" fillId="0" borderId="0" xfId="2" quotePrefix="1" applyNumberFormat="1"/>
    <xf numFmtId="170" fontId="4" fillId="0" borderId="0" xfId="2" quotePrefix="1" applyNumberFormat="1"/>
    <xf numFmtId="164" fontId="4" fillId="2" borderId="0" xfId="2" quotePrefix="1" applyNumberFormat="1" applyFill="1"/>
    <xf numFmtId="1" fontId="4" fillId="0" borderId="0" xfId="2" quotePrefix="1" applyNumberFormat="1"/>
    <xf numFmtId="1" fontId="4" fillId="2" borderId="0" xfId="2" quotePrefix="1" applyNumberFormat="1" applyFill="1"/>
    <xf numFmtId="2" fontId="4" fillId="2" borderId="0" xfId="2" quotePrefix="1" applyNumberFormat="1" applyFill="1"/>
    <xf numFmtId="170" fontId="4" fillId="2" borderId="0" xfId="2" quotePrefix="1" applyNumberFormat="1" applyFill="1"/>
    <xf numFmtId="0" fontId="33" fillId="0" borderId="0" xfId="2" applyFont="1"/>
    <xf numFmtId="165" fontId="4" fillId="0" borderId="0" xfId="2" applyNumberFormat="1"/>
    <xf numFmtId="164" fontId="34" fillId="0" borderId="0" xfId="2" applyNumberFormat="1" applyFont="1" applyAlignment="1">
      <alignment horizontal="left"/>
    </xf>
    <xf numFmtId="2" fontId="34" fillId="0" borderId="0" xfId="2" applyNumberFormat="1" applyFont="1" applyAlignment="1">
      <alignment horizontal="left"/>
    </xf>
    <xf numFmtId="164" fontId="34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12" fillId="0" borderId="12" xfId="2" applyFont="1" applyBorder="1" applyAlignment="1">
      <alignment horizontal="center" wrapText="1"/>
    </xf>
    <xf numFmtId="0" fontId="4" fillId="0" borderId="0" xfId="2" applyAlignment="1">
      <alignment wrapText="1"/>
    </xf>
    <xf numFmtId="0" fontId="4" fillId="0" borderId="12" xfId="2" applyBorder="1" applyAlignment="1">
      <alignment wrapText="1"/>
    </xf>
    <xf numFmtId="0" fontId="21" fillId="0" borderId="0" xfId="2" applyFont="1" applyAlignment="1">
      <alignment horizontal="left" wrapText="1"/>
    </xf>
    <xf numFmtId="0" fontId="21" fillId="0" borderId="0" xfId="2" applyFont="1" applyAlignment="1">
      <alignment wrapText="1"/>
    </xf>
    <xf numFmtId="0" fontId="16" fillId="0" borderId="0" xfId="2" applyFont="1" applyAlignment="1">
      <alignment horizontal="center"/>
    </xf>
    <xf numFmtId="0" fontId="21" fillId="2" borderId="15" xfId="2" applyFont="1" applyFill="1" applyBorder="1" applyAlignment="1">
      <alignment wrapText="1"/>
    </xf>
    <xf numFmtId="0" fontId="21" fillId="2" borderId="0" xfId="2" applyFont="1" applyFill="1" applyAlignment="1">
      <alignment wrapText="1"/>
    </xf>
    <xf numFmtId="0" fontId="2" fillId="0" borderId="15" xfId="2" applyFont="1" applyBorder="1" applyAlignment="1">
      <alignment vertical="top" wrapText="1"/>
    </xf>
    <xf numFmtId="0" fontId="2" fillId="0" borderId="0" xfId="2" applyFont="1" applyAlignment="1">
      <alignment vertical="top" wrapText="1"/>
    </xf>
    <xf numFmtId="164" fontId="3" fillId="0" borderId="0" xfId="2" applyNumberFormat="1" applyFont="1" applyAlignment="1">
      <alignment horizontal="center" vertical="center" wrapText="1"/>
    </xf>
    <xf numFmtId="0" fontId="35" fillId="0" borderId="0" xfId="3"/>
    <xf numFmtId="164" fontId="35" fillId="0" borderId="0" xfId="3" applyNumberFormat="1"/>
    <xf numFmtId="49" fontId="35" fillId="0" borderId="0" xfId="3" applyNumberFormat="1" applyAlignment="1">
      <alignment horizontal="center"/>
    </xf>
    <xf numFmtId="2" fontId="35" fillId="0" borderId="0" xfId="3" applyNumberFormat="1"/>
    <xf numFmtId="0" fontId="34" fillId="0" borderId="0" xfId="3" applyFont="1"/>
    <xf numFmtId="164" fontId="34" fillId="0" borderId="0" xfId="3" applyNumberFormat="1" applyFont="1"/>
    <xf numFmtId="49" fontId="34" fillId="0" borderId="0" xfId="3" applyNumberFormat="1" applyFont="1" applyAlignment="1">
      <alignment horizontal="center"/>
    </xf>
    <xf numFmtId="2" fontId="34" fillId="0" borderId="0" xfId="3" applyNumberFormat="1" applyFont="1"/>
    <xf numFmtId="164" fontId="34" fillId="0" borderId="18" xfId="3" applyNumberFormat="1" applyFont="1" applyBorder="1"/>
    <xf numFmtId="49" fontId="34" fillId="0" borderId="18" xfId="3" applyNumberFormat="1" applyFont="1" applyBorder="1" applyAlignment="1">
      <alignment horizontal="center"/>
    </xf>
    <xf numFmtId="2" fontId="34" fillId="0" borderId="18" xfId="3" applyNumberFormat="1" applyFont="1" applyBorder="1"/>
    <xf numFmtId="0" fontId="34" fillId="0" borderId="18" xfId="3" applyFont="1" applyBorder="1"/>
    <xf numFmtId="49" fontId="34" fillId="0" borderId="0" xfId="3" applyNumberFormat="1" applyFont="1"/>
    <xf numFmtId="164" fontId="34" fillId="0" borderId="19" xfId="3" applyNumberFormat="1" applyFont="1" applyBorder="1"/>
    <xf numFmtId="164" fontId="34" fillId="0" borderId="20" xfId="3" applyNumberFormat="1" applyFont="1" applyBorder="1" applyAlignment="1">
      <alignment horizontal="center"/>
    </xf>
    <xf numFmtId="49" fontId="34" fillId="0" borderId="20" xfId="3" applyNumberFormat="1" applyFont="1" applyBorder="1" applyAlignment="1">
      <alignment horizontal="center"/>
    </xf>
    <xf numFmtId="164" fontId="34" fillId="0" borderId="20" xfId="3" quotePrefix="1" applyNumberFormat="1" applyFont="1" applyBorder="1" applyAlignment="1">
      <alignment horizontal="center"/>
    </xf>
    <xf numFmtId="2" fontId="34" fillId="0" borderId="20" xfId="3" applyNumberFormat="1" applyFont="1" applyBorder="1" applyAlignment="1">
      <alignment horizontal="center"/>
    </xf>
    <xf numFmtId="0" fontId="34" fillId="0" borderId="20" xfId="3" applyFont="1" applyBorder="1"/>
    <xf numFmtId="164" fontId="34" fillId="4" borderId="21" xfId="3" applyNumberFormat="1" applyFont="1" applyFill="1" applyBorder="1"/>
    <xf numFmtId="164" fontId="34" fillId="4" borderId="22" xfId="3" applyNumberFormat="1" applyFont="1" applyFill="1" applyBorder="1"/>
    <xf numFmtId="49" fontId="34" fillId="4" borderId="22" xfId="3" applyNumberFormat="1" applyFont="1" applyFill="1" applyBorder="1" applyAlignment="1">
      <alignment horizontal="center"/>
    </xf>
    <xf numFmtId="2" fontId="34" fillId="4" borderId="22" xfId="3" applyNumberFormat="1" applyFont="1" applyFill="1" applyBorder="1"/>
    <xf numFmtId="0" fontId="34" fillId="4" borderId="23" xfId="3" applyFont="1" applyFill="1" applyBorder="1"/>
    <xf numFmtId="164" fontId="34" fillId="4" borderId="24" xfId="3" applyNumberFormat="1" applyFont="1" applyFill="1" applyBorder="1"/>
    <xf numFmtId="164" fontId="34" fillId="4" borderId="19" xfId="3" applyNumberFormat="1" applyFont="1" applyFill="1" applyBorder="1"/>
    <xf numFmtId="49" fontId="34" fillId="4" borderId="19" xfId="3" applyNumberFormat="1" applyFont="1" applyFill="1" applyBorder="1" applyAlignment="1">
      <alignment horizontal="center"/>
    </xf>
    <xf numFmtId="2" fontId="34" fillId="4" borderId="19" xfId="3" applyNumberFormat="1" applyFont="1" applyFill="1" applyBorder="1"/>
    <xf numFmtId="0" fontId="34" fillId="4" borderId="25" xfId="3" applyFont="1" applyFill="1" applyBorder="1"/>
    <xf numFmtId="0" fontId="36" fillId="0" borderId="0" xfId="3" applyFont="1"/>
    <xf numFmtId="2" fontId="36" fillId="0" borderId="0" xfId="3" applyNumberFormat="1" applyFont="1"/>
    <xf numFmtId="164" fontId="36" fillId="0" borderId="0" xfId="3" applyNumberFormat="1" applyFont="1"/>
    <xf numFmtId="49" fontId="36" fillId="0" borderId="0" xfId="3" applyNumberFormat="1" applyFont="1" applyAlignment="1">
      <alignment horizontal="center"/>
    </xf>
    <xf numFmtId="164" fontId="35" fillId="0" borderId="0" xfId="3" applyNumberFormat="1" applyAlignment="1">
      <alignment horizontal="left"/>
    </xf>
    <xf numFmtId="1" fontId="35" fillId="0" borderId="0" xfId="3" applyNumberFormat="1" applyAlignment="1">
      <alignment horizontal="left"/>
    </xf>
    <xf numFmtId="1" fontId="36" fillId="0" borderId="0" xfId="3" applyNumberFormat="1" applyFont="1" applyAlignment="1">
      <alignment horizontal="right"/>
    </xf>
    <xf numFmtId="0" fontId="35" fillId="0" borderId="0" xfId="3"/>
    <xf numFmtId="164" fontId="36" fillId="0" borderId="0" xfId="3" applyNumberFormat="1" applyFont="1"/>
    <xf numFmtId="164" fontId="36" fillId="0" borderId="0" xfId="3" applyNumberFormat="1" applyFont="1" applyAlignment="1">
      <alignment horizontal="right"/>
    </xf>
    <xf numFmtId="14" fontId="35" fillId="0" borderId="0" xfId="3" applyNumberFormat="1" applyAlignment="1">
      <alignment horizontal="left"/>
    </xf>
    <xf numFmtId="49" fontId="35" fillId="0" borderId="0" xfId="3" applyNumberFormat="1"/>
    <xf numFmtId="164" fontId="35" fillId="0" borderId="0" xfId="3" applyNumberFormat="1"/>
    <xf numFmtId="1" fontId="36" fillId="0" borderId="0" xfId="3" applyNumberFormat="1" applyFont="1" applyAlignment="1">
      <alignment horizontal="left"/>
    </xf>
    <xf numFmtId="1" fontId="36" fillId="0" borderId="0" xfId="3" applyNumberFormat="1" applyFont="1" applyAlignment="1">
      <alignment horizontal="left"/>
    </xf>
  </cellXfs>
  <cellStyles count="4">
    <cellStyle name="Normal" xfId="0" builtinId="0"/>
    <cellStyle name="Normal 2" xfId="1" xr:uid="{DBA18AE1-F80B-4EBD-A939-B01D5DD0C703}"/>
    <cellStyle name="Normal 3" xfId="2" xr:uid="{3E876076-C607-4E42-A187-34AEE766DBE3}"/>
    <cellStyle name="Normal 4" xfId="3" xr:uid="{20184BE9-DC72-43A2-BBBE-75C4CA65F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Compare!$M$7:$M$8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Compare!$M$7:$M$8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B-42BE-A2A8-AD23BC8C9D4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Compare!$B$6:$B$197</c:f>
              <c:numCache>
                <c:formatCode>General</c:formatCode>
                <c:ptCount val="192"/>
                <c:pt idx="0">
                  <c:v>1580.787</c:v>
                </c:pt>
                <c:pt idx="1">
                  <c:v>1726.722</c:v>
                </c:pt>
                <c:pt idx="2">
                  <c:v>1657.0519999999999</c:v>
                </c:pt>
                <c:pt idx="3">
                  <c:v>1885.058</c:v>
                </c:pt>
                <c:pt idx="4">
                  <c:v>1792.8810000000001</c:v>
                </c:pt>
                <c:pt idx="5">
                  <c:v>1771.575</c:v>
                </c:pt>
                <c:pt idx="6">
                  <c:v>1778.731</c:v>
                </c:pt>
                <c:pt idx="7">
                  <c:v>1556.212</c:v>
                </c:pt>
                <c:pt idx="8">
                  <c:v>1499.722</c:v>
                </c:pt>
                <c:pt idx="9">
                  <c:v>1135.923</c:v>
                </c:pt>
                <c:pt idx="10">
                  <c:v>1017.133</c:v>
                </c:pt>
                <c:pt idx="11">
                  <c:v>1149.991</c:v>
                </c:pt>
                <c:pt idx="12">
                  <c:v>2141.4290000000001</c:v>
                </c:pt>
                <c:pt idx="13">
                  <c:v>2182.587</c:v>
                </c:pt>
                <c:pt idx="14">
                  <c:v>1992.6790000000001</c:v>
                </c:pt>
                <c:pt idx="15">
                  <c:v>1342.8050000000001</c:v>
                </c:pt>
                <c:pt idx="16">
                  <c:v>1157.3330000000001</c:v>
                </c:pt>
                <c:pt idx="17">
                  <c:v>1204.327</c:v>
                </c:pt>
                <c:pt idx="18">
                  <c:v>1819.8409999999999</c:v>
                </c:pt>
                <c:pt idx="19">
                  <c:v>1689.77</c:v>
                </c:pt>
                <c:pt idx="20">
                  <c:v>1760.914</c:v>
                </c:pt>
                <c:pt idx="21">
                  <c:v>1967.17</c:v>
                </c:pt>
                <c:pt idx="22">
                  <c:v>1820.856</c:v>
                </c:pt>
                <c:pt idx="23">
                  <c:v>1729.501</c:v>
                </c:pt>
                <c:pt idx="24">
                  <c:v>1666.9670000000001</c:v>
                </c:pt>
                <c:pt idx="25">
                  <c:v>1832.16</c:v>
                </c:pt>
                <c:pt idx="26">
                  <c:v>1800.953</c:v>
                </c:pt>
                <c:pt idx="27">
                  <c:v>1064.2260000000001</c:v>
                </c:pt>
                <c:pt idx="28">
                  <c:v>911.72080000000005</c:v>
                </c:pt>
                <c:pt idx="29">
                  <c:v>815.9393</c:v>
                </c:pt>
                <c:pt idx="30">
                  <c:v>1049.297</c:v>
                </c:pt>
                <c:pt idx="31">
                  <c:v>1195.558</c:v>
                </c:pt>
                <c:pt idx="32">
                  <c:v>1065.856</c:v>
                </c:pt>
                <c:pt idx="33">
                  <c:v>1695.3109999999999</c:v>
                </c:pt>
                <c:pt idx="34">
                  <c:v>1593.0160000000001</c:v>
                </c:pt>
                <c:pt idx="35">
                  <c:v>1922.106</c:v>
                </c:pt>
                <c:pt idx="36">
                  <c:v>1851.0419999999999</c:v>
                </c:pt>
                <c:pt idx="37">
                  <c:v>1826.6559999999999</c:v>
                </c:pt>
                <c:pt idx="38">
                  <c:v>1794.5840000000001</c:v>
                </c:pt>
                <c:pt idx="39">
                  <c:v>1555.6869999999999</c:v>
                </c:pt>
                <c:pt idx="40">
                  <c:v>1503.951</c:v>
                </c:pt>
                <c:pt idx="41">
                  <c:v>1383.8219999999999</c:v>
                </c:pt>
                <c:pt idx="42">
                  <c:v>1841.45</c:v>
                </c:pt>
                <c:pt idx="43">
                  <c:v>1716.221</c:v>
                </c:pt>
                <c:pt idx="44">
                  <c:v>1591.0730000000001</c:v>
                </c:pt>
                <c:pt idx="45">
                  <c:v>1670.3130000000001</c:v>
                </c:pt>
                <c:pt idx="46">
                  <c:v>1632.787</c:v>
                </c:pt>
                <c:pt idx="47">
                  <c:v>1456.521</c:v>
                </c:pt>
                <c:pt idx="48">
                  <c:v>1737.1759999999999</c:v>
                </c:pt>
                <c:pt idx="49">
                  <c:v>1627.8679999999999</c:v>
                </c:pt>
                <c:pt idx="50">
                  <c:v>1671.472</c:v>
                </c:pt>
                <c:pt idx="51">
                  <c:v>1504.934</c:v>
                </c:pt>
                <c:pt idx="52">
                  <c:v>1762.39</c:v>
                </c:pt>
                <c:pt idx="53">
                  <c:v>1787.1610000000001</c:v>
                </c:pt>
                <c:pt idx="54">
                  <c:v>1672.2829999999999</c:v>
                </c:pt>
                <c:pt idx="55">
                  <c:v>1631.3019999999999</c:v>
                </c:pt>
                <c:pt idx="56">
                  <c:v>1645.3</c:v>
                </c:pt>
                <c:pt idx="57">
                  <c:v>1205.0250000000001</c:v>
                </c:pt>
                <c:pt idx="58">
                  <c:v>1017.129</c:v>
                </c:pt>
                <c:pt idx="59">
                  <c:v>1187.895</c:v>
                </c:pt>
                <c:pt idx="60">
                  <c:v>1587.576</c:v>
                </c:pt>
                <c:pt idx="61">
                  <c:v>1681.5450000000001</c:v>
                </c:pt>
                <c:pt idx="62">
                  <c:v>1573.145</c:v>
                </c:pt>
                <c:pt idx="63">
                  <c:v>1435.1020000000001</c:v>
                </c:pt>
                <c:pt idx="64">
                  <c:v>1371.4269999999999</c:v>
                </c:pt>
                <c:pt idx="65">
                  <c:v>1279.0630000000001</c:v>
                </c:pt>
                <c:pt idx="66">
                  <c:v>1255.2249999999999</c:v>
                </c:pt>
                <c:pt idx="67">
                  <c:v>1166.748</c:v>
                </c:pt>
                <c:pt idx="68">
                  <c:v>1041.989</c:v>
                </c:pt>
                <c:pt idx="69">
                  <c:v>1119.7449999999999</c:v>
                </c:pt>
                <c:pt idx="70">
                  <c:v>1274.9390000000001</c:v>
                </c:pt>
                <c:pt idx="71">
                  <c:v>936.82039999999995</c:v>
                </c:pt>
                <c:pt idx="72">
                  <c:v>1538.2080000000001</c:v>
                </c:pt>
                <c:pt idx="73">
                  <c:v>1544.9849999999999</c:v>
                </c:pt>
                <c:pt idx="74">
                  <c:v>1553.963</c:v>
                </c:pt>
                <c:pt idx="75">
                  <c:v>1158.8720000000001</c:v>
                </c:pt>
                <c:pt idx="76">
                  <c:v>977.82180000000005</c:v>
                </c:pt>
                <c:pt idx="77">
                  <c:v>1167.6600000000001</c:v>
                </c:pt>
                <c:pt idx="78">
                  <c:v>1388.2429999999999</c:v>
                </c:pt>
                <c:pt idx="79">
                  <c:v>1591.18</c:v>
                </c:pt>
                <c:pt idx="80">
                  <c:v>1640.2760000000001</c:v>
                </c:pt>
                <c:pt idx="81">
                  <c:v>1312.778</c:v>
                </c:pt>
                <c:pt idx="82">
                  <c:v>1369.69</c:v>
                </c:pt>
                <c:pt idx="83">
                  <c:v>1216.2719999999999</c:v>
                </c:pt>
                <c:pt idx="84">
                  <c:v>1460.375</c:v>
                </c:pt>
                <c:pt idx="85">
                  <c:v>1305.626</c:v>
                </c:pt>
                <c:pt idx="86">
                  <c:v>1514.71</c:v>
                </c:pt>
                <c:pt idx="87">
                  <c:v>1693.992</c:v>
                </c:pt>
                <c:pt idx="88">
                  <c:v>1656.58</c:v>
                </c:pt>
                <c:pt idx="89">
                  <c:v>1594.83</c:v>
                </c:pt>
                <c:pt idx="90">
                  <c:v>1382.1559999999999</c:v>
                </c:pt>
                <c:pt idx="91">
                  <c:v>1571.673</c:v>
                </c:pt>
                <c:pt idx="92">
                  <c:v>1416.0940000000001</c:v>
                </c:pt>
                <c:pt idx="93">
                  <c:v>1497.8779999999999</c:v>
                </c:pt>
                <c:pt idx="94">
                  <c:v>1528.6189999999999</c:v>
                </c:pt>
                <c:pt idx="95">
                  <c:v>1477.329</c:v>
                </c:pt>
                <c:pt idx="96">
                  <c:v>1308.2639999999999</c:v>
                </c:pt>
                <c:pt idx="97">
                  <c:v>1535.3910000000001</c:v>
                </c:pt>
                <c:pt idx="98">
                  <c:v>1308.819</c:v>
                </c:pt>
                <c:pt idx="99">
                  <c:v>1299.5319999999999</c:v>
                </c:pt>
                <c:pt idx="100">
                  <c:v>1245.895</c:v>
                </c:pt>
                <c:pt idx="101">
                  <c:v>1270.7429999999999</c:v>
                </c:pt>
                <c:pt idx="102">
                  <c:v>1483.6990000000001</c:v>
                </c:pt>
                <c:pt idx="103">
                  <c:v>1569.8</c:v>
                </c:pt>
                <c:pt idx="104">
                  <c:v>1486.721</c:v>
                </c:pt>
                <c:pt idx="105">
                  <c:v>1486.5440000000001</c:v>
                </c:pt>
                <c:pt idx="106">
                  <c:v>1276.5329999999999</c:v>
                </c:pt>
                <c:pt idx="107">
                  <c:v>1614.3889999999999</c:v>
                </c:pt>
                <c:pt idx="108">
                  <c:v>1487.127</c:v>
                </c:pt>
                <c:pt idx="109">
                  <c:v>1588.4390000000001</c:v>
                </c:pt>
                <c:pt idx="110">
                  <c:v>1502.5329999999999</c:v>
                </c:pt>
                <c:pt idx="111">
                  <c:v>1149.952</c:v>
                </c:pt>
                <c:pt idx="112">
                  <c:v>1274.9280000000001</c:v>
                </c:pt>
                <c:pt idx="113">
                  <c:v>1307.693</c:v>
                </c:pt>
                <c:pt idx="114">
                  <c:v>771.92970000000003</c:v>
                </c:pt>
                <c:pt idx="115">
                  <c:v>927.19079999999997</c:v>
                </c:pt>
                <c:pt idx="116">
                  <c:v>911.98969999999997</c:v>
                </c:pt>
                <c:pt idx="117">
                  <c:v>934.9153</c:v>
                </c:pt>
                <c:pt idx="118">
                  <c:v>1058.202</c:v>
                </c:pt>
                <c:pt idx="119">
                  <c:v>1185.7809999999999</c:v>
                </c:pt>
                <c:pt idx="120">
                  <c:v>876.66560000000004</c:v>
                </c:pt>
                <c:pt idx="121">
                  <c:v>968.0181</c:v>
                </c:pt>
                <c:pt idx="122">
                  <c:v>1023.114</c:v>
                </c:pt>
                <c:pt idx="123">
                  <c:v>1188.443</c:v>
                </c:pt>
                <c:pt idx="124">
                  <c:v>1026.675</c:v>
                </c:pt>
                <c:pt idx="125">
                  <c:v>1258.7819999999999</c:v>
                </c:pt>
                <c:pt idx="126">
                  <c:v>1327.077</c:v>
                </c:pt>
                <c:pt idx="127">
                  <c:v>1399.74</c:v>
                </c:pt>
                <c:pt idx="128">
                  <c:v>1317.758</c:v>
                </c:pt>
                <c:pt idx="129">
                  <c:v>1363.6120000000001</c:v>
                </c:pt>
                <c:pt idx="130">
                  <c:v>952.11879999999996</c:v>
                </c:pt>
                <c:pt idx="131">
                  <c:v>1325.664</c:v>
                </c:pt>
                <c:pt idx="132">
                  <c:v>1572.941</c:v>
                </c:pt>
                <c:pt idx="133">
                  <c:v>1528.2670000000001</c:v>
                </c:pt>
                <c:pt idx="134">
                  <c:v>1490.518</c:v>
                </c:pt>
                <c:pt idx="135">
                  <c:v>1423.5550000000001</c:v>
                </c:pt>
                <c:pt idx="136">
                  <c:v>1293.2719999999999</c:v>
                </c:pt>
                <c:pt idx="137">
                  <c:v>1276.999</c:v>
                </c:pt>
                <c:pt idx="138">
                  <c:v>1202.731</c:v>
                </c:pt>
                <c:pt idx="139">
                  <c:v>1236.6220000000001</c:v>
                </c:pt>
                <c:pt idx="140">
                  <c:v>1196.662</c:v>
                </c:pt>
                <c:pt idx="141">
                  <c:v>1451.2940000000001</c:v>
                </c:pt>
                <c:pt idx="142">
                  <c:v>1520.2449999999999</c:v>
                </c:pt>
                <c:pt idx="143">
                  <c:v>1590.383</c:v>
                </c:pt>
                <c:pt idx="144">
                  <c:v>1596.9670000000001</c:v>
                </c:pt>
                <c:pt idx="145">
                  <c:v>1447.2270000000001</c:v>
                </c:pt>
                <c:pt idx="146">
                  <c:v>1465.7249999999999</c:v>
                </c:pt>
                <c:pt idx="147">
                  <c:v>1481.174</c:v>
                </c:pt>
                <c:pt idx="148">
                  <c:v>1276.2090000000001</c:v>
                </c:pt>
                <c:pt idx="149">
                  <c:v>1360.5409999999999</c:v>
                </c:pt>
                <c:pt idx="150">
                  <c:v>871.31089999999995</c:v>
                </c:pt>
                <c:pt idx="151">
                  <c:v>825.05629999999996</c:v>
                </c:pt>
                <c:pt idx="152">
                  <c:v>1084.758</c:v>
                </c:pt>
                <c:pt idx="153">
                  <c:v>1329.366</c:v>
                </c:pt>
                <c:pt idx="154">
                  <c:v>1429.7729999999999</c:v>
                </c:pt>
                <c:pt idx="155">
                  <c:v>1200.739</c:v>
                </c:pt>
                <c:pt idx="156">
                  <c:v>1284.2660000000001</c:v>
                </c:pt>
                <c:pt idx="157">
                  <c:v>1248.5029999999999</c:v>
                </c:pt>
                <c:pt idx="158">
                  <c:v>1421.672</c:v>
                </c:pt>
                <c:pt idx="159">
                  <c:v>1678.4590000000001</c:v>
                </c:pt>
                <c:pt idx="160">
                  <c:v>1726.6579999999999</c:v>
                </c:pt>
                <c:pt idx="161">
                  <c:v>1679.413</c:v>
                </c:pt>
                <c:pt idx="162">
                  <c:v>730.32680000000005</c:v>
                </c:pt>
                <c:pt idx="163">
                  <c:v>634.85929999999996</c:v>
                </c:pt>
                <c:pt idx="164">
                  <c:v>769.62339999999995</c:v>
                </c:pt>
                <c:pt idx="165">
                  <c:v>1232.2670000000001</c:v>
                </c:pt>
                <c:pt idx="166">
                  <c:v>1341.2760000000001</c:v>
                </c:pt>
                <c:pt idx="167">
                  <c:v>1424.9259999999999</c:v>
                </c:pt>
                <c:pt idx="168">
                  <c:v>1695.0540000000001</c:v>
                </c:pt>
                <c:pt idx="169">
                  <c:v>1477.605</c:v>
                </c:pt>
                <c:pt idx="170">
                  <c:v>1328.395</c:v>
                </c:pt>
                <c:pt idx="171">
                  <c:v>1371.06</c:v>
                </c:pt>
                <c:pt idx="172">
                  <c:v>1347.6210000000001</c:v>
                </c:pt>
                <c:pt idx="173">
                  <c:v>1424.46</c:v>
                </c:pt>
                <c:pt idx="174">
                  <c:v>1584.3920000000001</c:v>
                </c:pt>
                <c:pt idx="175">
                  <c:v>1450.4970000000001</c:v>
                </c:pt>
                <c:pt idx="176">
                  <c:v>1655.722</c:v>
                </c:pt>
                <c:pt idx="177">
                  <c:v>1432.098</c:v>
                </c:pt>
                <c:pt idx="178">
                  <c:v>1432.942</c:v>
                </c:pt>
                <c:pt idx="179">
                  <c:v>1363.6310000000001</c:v>
                </c:pt>
                <c:pt idx="180">
                  <c:v>1470.066</c:v>
                </c:pt>
                <c:pt idx="181">
                  <c:v>1369.3789999999999</c:v>
                </c:pt>
                <c:pt idx="182">
                  <c:v>1305.5160000000001</c:v>
                </c:pt>
                <c:pt idx="183">
                  <c:v>1608.413</c:v>
                </c:pt>
                <c:pt idx="184">
                  <c:v>1464.1489999999999</c:v>
                </c:pt>
                <c:pt idx="185">
                  <c:v>1353.693</c:v>
                </c:pt>
                <c:pt idx="186">
                  <c:v>1309.202</c:v>
                </c:pt>
                <c:pt idx="187">
                  <c:v>1219.2080000000001</c:v>
                </c:pt>
                <c:pt idx="188">
                  <c:v>1009.7</c:v>
                </c:pt>
                <c:pt idx="189">
                  <c:v>1344.9770000000001</c:v>
                </c:pt>
                <c:pt idx="190">
                  <c:v>1211.5909999999999</c:v>
                </c:pt>
                <c:pt idx="191">
                  <c:v>1301.1569999999999</c:v>
                </c:pt>
              </c:numCache>
            </c:numRef>
          </c:xVal>
          <c:yVal>
            <c:numRef>
              <c:f>'Raw Scale'!$W$48:$W$239</c:f>
              <c:numCache>
                <c:formatCode>0.0</c:formatCode>
                <c:ptCount val="192"/>
                <c:pt idx="0">
                  <c:v>1580.7872894607174</c:v>
                </c:pt>
                <c:pt idx="1">
                  <c:v>1726.721759438429</c:v>
                </c:pt>
                <c:pt idx="2">
                  <c:v>1657.0524944216168</c:v>
                </c:pt>
                <c:pt idx="3">
                  <c:v>1885.0581519488212</c:v>
                </c:pt>
                <c:pt idx="4">
                  <c:v>1792.8807278047561</c:v>
                </c:pt>
                <c:pt idx="5">
                  <c:v>1771.5752786750641</c:v>
                </c:pt>
                <c:pt idx="6">
                  <c:v>1778.7314260009514</c:v>
                </c:pt>
                <c:pt idx="7">
                  <c:v>1556.2121382298558</c:v>
                </c:pt>
                <c:pt idx="8">
                  <c:v>1499.7222818495482</c:v>
                </c:pt>
                <c:pt idx="9">
                  <c:v>1135.923289908555</c:v>
                </c:pt>
                <c:pt idx="10">
                  <c:v>1017.1331539430259</c:v>
                </c:pt>
                <c:pt idx="11">
                  <c:v>1149.9908425136884</c:v>
                </c:pt>
                <c:pt idx="12">
                  <c:v>2141.429260495489</c:v>
                </c:pt>
                <c:pt idx="13">
                  <c:v>2182.5866428070976</c:v>
                </c:pt>
                <c:pt idx="14">
                  <c:v>1992.6791008679397</c:v>
                </c:pt>
                <c:pt idx="15">
                  <c:v>1342.80538973788</c:v>
                </c:pt>
                <c:pt idx="16">
                  <c:v>1157.3327818389409</c:v>
                </c:pt>
                <c:pt idx="17">
                  <c:v>1204.3273307902534</c:v>
                </c:pt>
                <c:pt idx="18">
                  <c:v>1819.8407959321182</c:v>
                </c:pt>
                <c:pt idx="19">
                  <c:v>1689.7701518573892</c:v>
                </c:pt>
                <c:pt idx="20">
                  <c:v>1760.9141634169837</c:v>
                </c:pt>
                <c:pt idx="21">
                  <c:v>1967.169810829052</c:v>
                </c:pt>
                <c:pt idx="22">
                  <c:v>1820.8564992561844</c:v>
                </c:pt>
                <c:pt idx="23">
                  <c:v>1729.5011399359003</c:v>
                </c:pt>
                <c:pt idx="24">
                  <c:v>1666.9667410476065</c:v>
                </c:pt>
                <c:pt idx="25">
                  <c:v>1832.1597463244434</c:v>
                </c:pt>
                <c:pt idx="26">
                  <c:v>1800.9529723928536</c:v>
                </c:pt>
                <c:pt idx="27">
                  <c:v>1064.2256111865936</c:v>
                </c:pt>
                <c:pt idx="28">
                  <c:v>911.72080312368485</c:v>
                </c:pt>
                <c:pt idx="29">
                  <c:v>815.93929334660118</c:v>
                </c:pt>
                <c:pt idx="30">
                  <c:v>1049.2972648196039</c:v>
                </c:pt>
                <c:pt idx="31">
                  <c:v>1195.5577618670268</c:v>
                </c:pt>
                <c:pt idx="32">
                  <c:v>1065.8559434286485</c:v>
                </c:pt>
                <c:pt idx="33">
                  <c:v>1695.3105050459774</c:v>
                </c:pt>
                <c:pt idx="34">
                  <c:v>1593.015579489497</c:v>
                </c:pt>
                <c:pt idx="35">
                  <c:v>1922.1064768699835</c:v>
                </c:pt>
                <c:pt idx="36">
                  <c:v>1851.041562148635</c:v>
                </c:pt>
                <c:pt idx="37">
                  <c:v>1826.6563408326567</c:v>
                </c:pt>
                <c:pt idx="38">
                  <c:v>1794.5836346994652</c:v>
                </c:pt>
                <c:pt idx="39">
                  <c:v>1555.6870772996219</c:v>
                </c:pt>
                <c:pt idx="40">
                  <c:v>1503.9511878240828</c:v>
                </c:pt>
                <c:pt idx="41">
                  <c:v>1383.8223568160431</c:v>
                </c:pt>
                <c:pt idx="42">
                  <c:v>1841.4500630410232</c:v>
                </c:pt>
                <c:pt idx="43">
                  <c:v>1716.2214028014312</c:v>
                </c:pt>
                <c:pt idx="44">
                  <c:v>1591.0725017290736</c:v>
                </c:pt>
                <c:pt idx="46">
                  <c:v>1632.7872097517525</c:v>
                </c:pt>
                <c:pt idx="47">
                  <c:v>1456.5214292795235</c:v>
                </c:pt>
                <c:pt idx="48">
                  <c:v>1737.1764160138664</c:v>
                </c:pt>
                <c:pt idx="49">
                  <c:v>1627.8677243856002</c:v>
                </c:pt>
                <c:pt idx="50">
                  <c:v>1671.4722704757337</c:v>
                </c:pt>
                <c:pt idx="51">
                  <c:v>1504.9338087675969</c:v>
                </c:pt>
                <c:pt idx="52">
                  <c:v>1762.3895840771588</c:v>
                </c:pt>
                <c:pt idx="53">
                  <c:v>1787.1613337234596</c:v>
                </c:pt>
                <c:pt idx="54">
                  <c:v>1672.2834728681976</c:v>
                </c:pt>
                <c:pt idx="55">
                  <c:v>1631.3017485100174</c:v>
                </c:pt>
                <c:pt idx="56">
                  <c:v>1645.3000096323774</c:v>
                </c:pt>
                <c:pt idx="57">
                  <c:v>1205.0246178253092</c:v>
                </c:pt>
                <c:pt idx="58">
                  <c:v>1017.1293547341443</c:v>
                </c:pt>
                <c:pt idx="59">
                  <c:v>1187.8953918869636</c:v>
                </c:pt>
                <c:pt idx="60">
                  <c:v>1587.5764469346564</c:v>
                </c:pt>
                <c:pt idx="61">
                  <c:v>1681.5450474213392</c:v>
                </c:pt>
                <c:pt idx="62">
                  <c:v>1573.1448325025613</c:v>
                </c:pt>
                <c:pt idx="63">
                  <c:v>1435.1015116952506</c:v>
                </c:pt>
                <c:pt idx="64">
                  <c:v>1371.4273087228873</c:v>
                </c:pt>
                <c:pt idx="65">
                  <c:v>1279.0627111911656</c:v>
                </c:pt>
                <c:pt idx="66">
                  <c:v>1255.224667547378</c:v>
                </c:pt>
                <c:pt idx="67">
                  <c:v>1166.7480263939983</c:v>
                </c:pt>
                <c:pt idx="68">
                  <c:v>1041.9893704584476</c:v>
                </c:pt>
                <c:pt idx="69">
                  <c:v>1119.7448495524397</c:v>
                </c:pt>
                <c:pt idx="70">
                  <c:v>1274.9387829125014</c:v>
                </c:pt>
                <c:pt idx="71">
                  <c:v>936.82043472856662</c:v>
                </c:pt>
                <c:pt idx="72">
                  <c:v>1538.2076755148682</c:v>
                </c:pt>
                <c:pt idx="73">
                  <c:v>1544.9849449397725</c:v>
                </c:pt>
                <c:pt idx="74">
                  <c:v>1553.962594811079</c:v>
                </c:pt>
                <c:pt idx="75">
                  <c:v>1158.8719703864372</c:v>
                </c:pt>
                <c:pt idx="76">
                  <c:v>977.82179989092413</c:v>
                </c:pt>
                <c:pt idx="77">
                  <c:v>1167.6601637216245</c:v>
                </c:pt>
                <c:pt idx="78">
                  <c:v>1388.2427439545465</c:v>
                </c:pt>
                <c:pt idx="79">
                  <c:v>1591.1798707354483</c:v>
                </c:pt>
                <c:pt idx="80">
                  <c:v>1640.2761144409722</c:v>
                </c:pt>
                <c:pt idx="81">
                  <c:v>1312.7779854149178</c:v>
                </c:pt>
                <c:pt idx="82">
                  <c:v>1369.6903657888467</c:v>
                </c:pt>
                <c:pt idx="83">
                  <c:v>1216.2722811391595</c:v>
                </c:pt>
                <c:pt idx="84">
                  <c:v>1460.3754770810137</c:v>
                </c:pt>
                <c:pt idx="85">
                  <c:v>1305.6255857465751</c:v>
                </c:pt>
                <c:pt idx="86">
                  <c:v>1514.709715129602</c:v>
                </c:pt>
                <c:pt idx="87">
                  <c:v>1693.9916317781235</c:v>
                </c:pt>
                <c:pt idx="88">
                  <c:v>1656.5804185872037</c:v>
                </c:pt>
                <c:pt idx="89">
                  <c:v>1594.8296217296825</c:v>
                </c:pt>
                <c:pt idx="90">
                  <c:v>1382.1558134344973</c:v>
                </c:pt>
                <c:pt idx="91">
                  <c:v>1571.6730581794018</c:v>
                </c:pt>
                <c:pt idx="92">
                  <c:v>1416.0943636520485</c:v>
                </c:pt>
                <c:pt idx="93">
                  <c:v>1497.8782531465106</c:v>
                </c:pt>
                <c:pt idx="94">
                  <c:v>1528.6189766124678</c:v>
                </c:pt>
                <c:pt idx="95">
                  <c:v>1477.3290044733533</c:v>
                </c:pt>
                <c:pt idx="96">
                  <c:v>1308.2640933986763</c:v>
                </c:pt>
                <c:pt idx="97">
                  <c:v>1535.3914495120287</c:v>
                </c:pt>
                <c:pt idx="98">
                  <c:v>1308.8189487924014</c:v>
                </c:pt>
                <c:pt idx="99">
                  <c:v>1299.5318076772851</c:v>
                </c:pt>
                <c:pt idx="100">
                  <c:v>1245.895312777255</c:v>
                </c:pt>
                <c:pt idx="101">
                  <c:v>1270.7431297115027</c:v>
                </c:pt>
                <c:pt idx="102">
                  <c:v>1483.6993385194214</c:v>
                </c:pt>
                <c:pt idx="103">
                  <c:v>1569.7999538228119</c:v>
                </c:pt>
                <c:pt idx="104">
                  <c:v>1486.7206869589938</c:v>
                </c:pt>
                <c:pt idx="105">
                  <c:v>1486.5439788062376</c:v>
                </c:pt>
                <c:pt idx="106">
                  <c:v>1276.5330135451097</c:v>
                </c:pt>
                <c:pt idx="107">
                  <c:v>1614.3889804570247</c:v>
                </c:pt>
                <c:pt idx="108">
                  <c:v>1487.1271950558514</c:v>
                </c:pt>
                <c:pt idx="109">
                  <c:v>1588.4386808356344</c:v>
                </c:pt>
                <c:pt idx="110">
                  <c:v>1502.5327469675506</c:v>
                </c:pt>
                <c:pt idx="111">
                  <c:v>1149.9516121074153</c:v>
                </c:pt>
                <c:pt idx="112">
                  <c:v>1274.9279688489703</c:v>
                </c:pt>
                <c:pt idx="113">
                  <c:v>1307.6930562652929</c:v>
                </c:pt>
                <c:pt idx="114">
                  <c:v>771.92970375487562</c:v>
                </c:pt>
                <c:pt idx="115">
                  <c:v>927.19084387087037</c:v>
                </c:pt>
                <c:pt idx="116">
                  <c:v>911.98969836577237</c:v>
                </c:pt>
                <c:pt idx="117">
                  <c:v>934.91531049994398</c:v>
                </c:pt>
                <c:pt idx="118">
                  <c:v>1058.2022810615224</c:v>
                </c:pt>
                <c:pt idx="119">
                  <c:v>1185.7809314611241</c:v>
                </c:pt>
                <c:pt idx="120">
                  <c:v>876.66563667675837</c:v>
                </c:pt>
                <c:pt idx="121">
                  <c:v>968.01808167770059</c:v>
                </c:pt>
                <c:pt idx="122">
                  <c:v>1023.1137044837745</c:v>
                </c:pt>
                <c:pt idx="123">
                  <c:v>1188.4434636286501</c:v>
                </c:pt>
                <c:pt idx="124">
                  <c:v>1026.6746425764077</c:v>
                </c:pt>
                <c:pt idx="125">
                  <c:v>1258.7821066484339</c:v>
                </c:pt>
                <c:pt idx="126">
                  <c:v>1327.0770400330744</c:v>
                </c:pt>
                <c:pt idx="127">
                  <c:v>1399.7404902823969</c:v>
                </c:pt>
                <c:pt idx="128">
                  <c:v>1317.7579561717553</c:v>
                </c:pt>
                <c:pt idx="129">
                  <c:v>1363.6124697375647</c:v>
                </c:pt>
                <c:pt idx="130">
                  <c:v>952.11884783648816</c:v>
                </c:pt>
                <c:pt idx="131">
                  <c:v>1325.66430030368</c:v>
                </c:pt>
                <c:pt idx="132">
                  <c:v>1572.9414253432351</c:v>
                </c:pt>
                <c:pt idx="133">
                  <c:v>1528.2673166163811</c:v>
                </c:pt>
                <c:pt idx="134">
                  <c:v>1490.5183137185013</c:v>
                </c:pt>
                <c:pt idx="135">
                  <c:v>1423.5553830079457</c:v>
                </c:pt>
                <c:pt idx="136">
                  <c:v>1293.2715141659553</c:v>
                </c:pt>
                <c:pt idx="137">
                  <c:v>1276.9994793181784</c:v>
                </c:pt>
                <c:pt idx="138">
                  <c:v>1202.7312837004138</c:v>
                </c:pt>
                <c:pt idx="139">
                  <c:v>1236.6216519552779</c:v>
                </c:pt>
                <c:pt idx="140">
                  <c:v>1196.6622865960624</c:v>
                </c:pt>
                <c:pt idx="141">
                  <c:v>1451.2943931074897</c:v>
                </c:pt>
                <c:pt idx="143">
                  <c:v>1590.3825547083388</c:v>
                </c:pt>
                <c:pt idx="144">
                  <c:v>1596.9673425595659</c:v>
                </c:pt>
                <c:pt idx="145">
                  <c:v>1447.2265741868807</c:v>
                </c:pt>
                <c:pt idx="146">
                  <c:v>1465.725212006676</c:v>
                </c:pt>
                <c:pt idx="147">
                  <c:v>1481.1743574869297</c:v>
                </c:pt>
                <c:pt idx="148">
                  <c:v>1276.2087264699176</c:v>
                </c:pt>
                <c:pt idx="149">
                  <c:v>1360.5412706498232</c:v>
                </c:pt>
                <c:pt idx="150">
                  <c:v>871.31094519373289</c:v>
                </c:pt>
                <c:pt idx="151">
                  <c:v>825.0562559661364</c:v>
                </c:pt>
                <c:pt idx="152">
                  <c:v>1084.7583221338468</c:v>
                </c:pt>
                <c:pt idx="153">
                  <c:v>1329.3659882645909</c:v>
                </c:pt>
                <c:pt idx="154">
                  <c:v>1429.7731875821273</c:v>
                </c:pt>
                <c:pt idx="155">
                  <c:v>1200.7390572241354</c:v>
                </c:pt>
                <c:pt idx="156">
                  <c:v>1284.2657372297026</c:v>
                </c:pt>
                <c:pt idx="157">
                  <c:v>1248.50332519264</c:v>
                </c:pt>
                <c:pt idx="158">
                  <c:v>1421.6724622385</c:v>
                </c:pt>
                <c:pt idx="159">
                  <c:v>1678.4593128998411</c:v>
                </c:pt>
                <c:pt idx="160">
                  <c:v>1726.6579252324627</c:v>
                </c:pt>
                <c:pt idx="161">
                  <c:v>1679.4132830255583</c:v>
                </c:pt>
                <c:pt idx="162">
                  <c:v>730.32682073346427</c:v>
                </c:pt>
                <c:pt idx="163">
                  <c:v>634.85934237689867</c:v>
                </c:pt>
                <c:pt idx="164">
                  <c:v>769.62338578049969</c:v>
                </c:pt>
                <c:pt idx="165">
                  <c:v>1232.2670018237754</c:v>
                </c:pt>
                <c:pt idx="166">
                  <c:v>1341.2762554232577</c:v>
                </c:pt>
                <c:pt idx="167">
                  <c:v>1424.9262027231405</c:v>
                </c:pt>
                <c:pt idx="168">
                  <c:v>1695.0541469499503</c:v>
                </c:pt>
                <c:pt idx="169">
                  <c:v>1477.605356040059</c:v>
                </c:pt>
                <c:pt idx="170">
                  <c:v>1328.3945206827696</c:v>
                </c:pt>
                <c:pt idx="171">
                  <c:v>1371.060323388627</c:v>
                </c:pt>
                <c:pt idx="172">
                  <c:v>1347.6206723967239</c:v>
                </c:pt>
                <c:pt idx="173">
                  <c:v>1424.4603454184532</c:v>
                </c:pt>
                <c:pt idx="174">
                  <c:v>1584.3916175969678</c:v>
                </c:pt>
                <c:pt idx="175">
                  <c:v>1450.497054757016</c:v>
                </c:pt>
                <c:pt idx="176">
                  <c:v>1655.7217693967661</c:v>
                </c:pt>
                <c:pt idx="177">
                  <c:v>1432.0979540617047</c:v>
                </c:pt>
                <c:pt idx="178">
                  <c:v>1432.9421702471338</c:v>
                </c:pt>
                <c:pt idx="179">
                  <c:v>1363.6309564911796</c:v>
                </c:pt>
                <c:pt idx="180">
                  <c:v>1470.0658610920877</c:v>
                </c:pt>
                <c:pt idx="181">
                  <c:v>1369.3788179846956</c:v>
                </c:pt>
                <c:pt idx="182">
                  <c:v>1305.5157604141252</c:v>
                </c:pt>
                <c:pt idx="183">
                  <c:v>1608.4130117713796</c:v>
                </c:pt>
                <c:pt idx="184">
                  <c:v>1464.1487338934244</c:v>
                </c:pt>
                <c:pt idx="185">
                  <c:v>1353.6932505275597</c:v>
                </c:pt>
                <c:pt idx="186">
                  <c:v>1309.2017994303847</c:v>
                </c:pt>
                <c:pt idx="187">
                  <c:v>1219.2075218956181</c:v>
                </c:pt>
                <c:pt idx="188">
                  <c:v>1009.7003858981113</c:v>
                </c:pt>
                <c:pt idx="189">
                  <c:v>1344.9768050727819</c:v>
                </c:pt>
                <c:pt idx="190">
                  <c:v>1211.59099894626</c:v>
                </c:pt>
                <c:pt idx="191">
                  <c:v>1301.1571672128377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EB-42BE-A2A8-AD23BC8C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79544"/>
        <c:axId val="618379904"/>
      </c:scatterChart>
      <c:valAx>
        <c:axId val="618379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904"/>
        <c:crosses val="autoZero"/>
        <c:crossBetween val="midCat"/>
      </c:valAx>
      <c:valAx>
        <c:axId val="6183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Compare!$M$22:$M$23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Compare!$M$22:$M$23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8-40FA-8025-88BAE93C5E7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Compare!$C$6:$C$197</c:f>
              <c:numCache>
                <c:formatCode>General</c:formatCode>
                <c:ptCount val="192"/>
                <c:pt idx="0">
                  <c:v>2214.9949999999999</c:v>
                </c:pt>
                <c:pt idx="1">
                  <c:v>2206.88</c:v>
                </c:pt>
                <c:pt idx="2">
                  <c:v>2218.9270000000001</c:v>
                </c:pt>
                <c:pt idx="3">
                  <c:v>2475.3290000000002</c:v>
                </c:pt>
                <c:pt idx="4">
                  <c:v>2303.7550000000001</c:v>
                </c:pt>
                <c:pt idx="5">
                  <c:v>2409.723</c:v>
                </c:pt>
                <c:pt idx="6">
                  <c:v>2330.424</c:v>
                </c:pt>
                <c:pt idx="7">
                  <c:v>2039.508</c:v>
                </c:pt>
                <c:pt idx="8">
                  <c:v>2002.855</c:v>
                </c:pt>
                <c:pt idx="9">
                  <c:v>1555.9290000000001</c:v>
                </c:pt>
                <c:pt idx="10">
                  <c:v>1375.5519999999999</c:v>
                </c:pt>
                <c:pt idx="11">
                  <c:v>1572.6369999999999</c:v>
                </c:pt>
                <c:pt idx="12">
                  <c:v>2732.502</c:v>
                </c:pt>
                <c:pt idx="13">
                  <c:v>2774.31</c:v>
                </c:pt>
                <c:pt idx="14">
                  <c:v>2631.11</c:v>
                </c:pt>
                <c:pt idx="15">
                  <c:v>1862.2850000000001</c:v>
                </c:pt>
                <c:pt idx="16">
                  <c:v>1637.92</c:v>
                </c:pt>
                <c:pt idx="17">
                  <c:v>1688.0329999999999</c:v>
                </c:pt>
                <c:pt idx="18">
                  <c:v>2352.241</c:v>
                </c:pt>
                <c:pt idx="19">
                  <c:v>2204.4699999999998</c:v>
                </c:pt>
                <c:pt idx="20">
                  <c:v>2309.3960000000002</c:v>
                </c:pt>
                <c:pt idx="21">
                  <c:v>2581.3110000000001</c:v>
                </c:pt>
                <c:pt idx="22">
                  <c:v>2331.4670000000001</c:v>
                </c:pt>
                <c:pt idx="23">
                  <c:v>2315.61</c:v>
                </c:pt>
                <c:pt idx="24">
                  <c:v>2263.665</c:v>
                </c:pt>
                <c:pt idx="25">
                  <c:v>2503.6320000000001</c:v>
                </c:pt>
                <c:pt idx="26">
                  <c:v>2388.6320000000001</c:v>
                </c:pt>
                <c:pt idx="27">
                  <c:v>1495.6679999999999</c:v>
                </c:pt>
                <c:pt idx="28">
                  <c:v>1303.8589999999999</c:v>
                </c:pt>
                <c:pt idx="29">
                  <c:v>1223.9090000000001</c:v>
                </c:pt>
                <c:pt idx="30">
                  <c:v>1431.751</c:v>
                </c:pt>
                <c:pt idx="31">
                  <c:v>1613.5170000000001</c:v>
                </c:pt>
                <c:pt idx="32">
                  <c:v>1427.4860000000001</c:v>
                </c:pt>
                <c:pt idx="33">
                  <c:v>2197.2739999999999</c:v>
                </c:pt>
                <c:pt idx="34">
                  <c:v>2078.6909999999998</c:v>
                </c:pt>
                <c:pt idx="35">
                  <c:v>2487.8589999999999</c:v>
                </c:pt>
                <c:pt idx="36">
                  <c:v>2534.5030000000002</c:v>
                </c:pt>
                <c:pt idx="37">
                  <c:v>2432.337</c:v>
                </c:pt>
                <c:pt idx="38">
                  <c:v>2399.1759999999999</c:v>
                </c:pt>
                <c:pt idx="39">
                  <c:v>2074.2489999999998</c:v>
                </c:pt>
                <c:pt idx="40">
                  <c:v>2005.268</c:v>
                </c:pt>
                <c:pt idx="41">
                  <c:v>1874.54</c:v>
                </c:pt>
                <c:pt idx="42">
                  <c:v>2419.9160000000002</c:v>
                </c:pt>
                <c:pt idx="43">
                  <c:v>2307.6880000000001</c:v>
                </c:pt>
                <c:pt idx="44">
                  <c:v>2161.9870000000001</c:v>
                </c:pt>
                <c:pt idx="45">
                  <c:v>2210.2919999999999</c:v>
                </c:pt>
                <c:pt idx="46">
                  <c:v>2202.8139999999999</c:v>
                </c:pt>
                <c:pt idx="47">
                  <c:v>1928.9069999999999</c:v>
                </c:pt>
                <c:pt idx="48">
                  <c:v>2341.8290000000002</c:v>
                </c:pt>
                <c:pt idx="49">
                  <c:v>2321.3969999999999</c:v>
                </c:pt>
                <c:pt idx="50">
                  <c:v>2286.2669999999998</c:v>
                </c:pt>
                <c:pt idx="51">
                  <c:v>2038.943</c:v>
                </c:pt>
                <c:pt idx="52">
                  <c:v>2327.8620000000001</c:v>
                </c:pt>
                <c:pt idx="53">
                  <c:v>2439.6170000000002</c:v>
                </c:pt>
                <c:pt idx="54">
                  <c:v>2255.194</c:v>
                </c:pt>
                <c:pt idx="55">
                  <c:v>2136.2280000000001</c:v>
                </c:pt>
                <c:pt idx="56">
                  <c:v>2257.5050000000001</c:v>
                </c:pt>
                <c:pt idx="57">
                  <c:v>1661.768</c:v>
                </c:pt>
                <c:pt idx="58">
                  <c:v>1414.2940000000001</c:v>
                </c:pt>
                <c:pt idx="59">
                  <c:v>1623.4570000000001</c:v>
                </c:pt>
                <c:pt idx="60">
                  <c:v>2173.4679999999998</c:v>
                </c:pt>
                <c:pt idx="61">
                  <c:v>2290.38</c:v>
                </c:pt>
                <c:pt idx="62">
                  <c:v>2173.8000000000002</c:v>
                </c:pt>
                <c:pt idx="63">
                  <c:v>1951.7380000000001</c:v>
                </c:pt>
                <c:pt idx="64">
                  <c:v>1850.9469999999999</c:v>
                </c:pt>
                <c:pt idx="65">
                  <c:v>1777.018</c:v>
                </c:pt>
                <c:pt idx="66">
                  <c:v>1743.9</c:v>
                </c:pt>
                <c:pt idx="67">
                  <c:v>1639.2329999999999</c:v>
                </c:pt>
                <c:pt idx="68">
                  <c:v>1456.856</c:v>
                </c:pt>
                <c:pt idx="69">
                  <c:v>1573.4349999999999</c:v>
                </c:pt>
                <c:pt idx="70">
                  <c:v>1754.239</c:v>
                </c:pt>
                <c:pt idx="71">
                  <c:v>1294.164</c:v>
                </c:pt>
                <c:pt idx="72">
                  <c:v>2082.7910000000002</c:v>
                </c:pt>
                <c:pt idx="73">
                  <c:v>2126.739</c:v>
                </c:pt>
                <c:pt idx="74">
                  <c:v>2091.1350000000002</c:v>
                </c:pt>
                <c:pt idx="75">
                  <c:v>1610.636</c:v>
                </c:pt>
                <c:pt idx="76">
                  <c:v>1390.0409999999999</c:v>
                </c:pt>
                <c:pt idx="77">
                  <c:v>1611.5640000000001</c:v>
                </c:pt>
                <c:pt idx="78">
                  <c:v>1937.7550000000001</c:v>
                </c:pt>
                <c:pt idx="79">
                  <c:v>2140.86</c:v>
                </c:pt>
                <c:pt idx="80">
                  <c:v>2190.2510000000002</c:v>
                </c:pt>
                <c:pt idx="81">
                  <c:v>1814.723</c:v>
                </c:pt>
                <c:pt idx="82">
                  <c:v>1851.9760000000001</c:v>
                </c:pt>
                <c:pt idx="83">
                  <c:v>1654.13</c:v>
                </c:pt>
                <c:pt idx="84">
                  <c:v>2065.663</c:v>
                </c:pt>
                <c:pt idx="85">
                  <c:v>1827.876</c:v>
                </c:pt>
                <c:pt idx="86">
                  <c:v>2039.0319999999999</c:v>
                </c:pt>
                <c:pt idx="87">
                  <c:v>2341.1350000000002</c:v>
                </c:pt>
                <c:pt idx="88">
                  <c:v>2244.0889999999999</c:v>
                </c:pt>
                <c:pt idx="89">
                  <c:v>2139.1729999999998</c:v>
                </c:pt>
                <c:pt idx="90">
                  <c:v>1915.954</c:v>
                </c:pt>
                <c:pt idx="91">
                  <c:v>2108.3420000000001</c:v>
                </c:pt>
                <c:pt idx="92">
                  <c:v>1932.777</c:v>
                </c:pt>
                <c:pt idx="93">
                  <c:v>2029.383</c:v>
                </c:pt>
                <c:pt idx="94">
                  <c:v>2018.931</c:v>
                </c:pt>
                <c:pt idx="95">
                  <c:v>1956.981</c:v>
                </c:pt>
                <c:pt idx="96">
                  <c:v>1806.1859999999999</c:v>
                </c:pt>
                <c:pt idx="97">
                  <c:v>2159.1439999999998</c:v>
                </c:pt>
                <c:pt idx="98">
                  <c:v>1828.4970000000001</c:v>
                </c:pt>
                <c:pt idx="99">
                  <c:v>1784.432</c:v>
                </c:pt>
                <c:pt idx="100">
                  <c:v>1728.8</c:v>
                </c:pt>
                <c:pt idx="101">
                  <c:v>1752.085</c:v>
                </c:pt>
                <c:pt idx="102">
                  <c:v>1984.6890000000001</c:v>
                </c:pt>
                <c:pt idx="103">
                  <c:v>2105.8290000000002</c:v>
                </c:pt>
                <c:pt idx="104">
                  <c:v>2030.88</c:v>
                </c:pt>
                <c:pt idx="105">
                  <c:v>2011.79</c:v>
                </c:pt>
                <c:pt idx="106">
                  <c:v>1740.7270000000001</c:v>
                </c:pt>
                <c:pt idx="107">
                  <c:v>2123.1660000000002</c:v>
                </c:pt>
                <c:pt idx="108">
                  <c:v>1998.931</c:v>
                </c:pt>
                <c:pt idx="109">
                  <c:v>2171.1790000000001</c:v>
                </c:pt>
                <c:pt idx="110">
                  <c:v>2035.69</c:v>
                </c:pt>
                <c:pt idx="111">
                  <c:v>1617.729</c:v>
                </c:pt>
                <c:pt idx="112">
                  <c:v>1786.8309999999999</c:v>
                </c:pt>
                <c:pt idx="113">
                  <c:v>1804.0440000000001</c:v>
                </c:pt>
                <c:pt idx="114">
                  <c:v>1098.5150000000001</c:v>
                </c:pt>
                <c:pt idx="115">
                  <c:v>1292.1489999999999</c:v>
                </c:pt>
                <c:pt idx="116">
                  <c:v>1280.6659999999999</c:v>
                </c:pt>
                <c:pt idx="117">
                  <c:v>1318.723</c:v>
                </c:pt>
                <c:pt idx="118">
                  <c:v>1504.7829999999999</c:v>
                </c:pt>
                <c:pt idx="119">
                  <c:v>1613.44</c:v>
                </c:pt>
                <c:pt idx="120">
                  <c:v>1281.2809999999999</c:v>
                </c:pt>
                <c:pt idx="121">
                  <c:v>1393.9459999999999</c:v>
                </c:pt>
                <c:pt idx="122">
                  <c:v>1476.758</c:v>
                </c:pt>
                <c:pt idx="123">
                  <c:v>1671.5509999999999</c:v>
                </c:pt>
                <c:pt idx="124">
                  <c:v>1468.049</c:v>
                </c:pt>
                <c:pt idx="125">
                  <c:v>1768.06</c:v>
                </c:pt>
                <c:pt idx="126">
                  <c:v>1801.7249999999999</c:v>
                </c:pt>
                <c:pt idx="127">
                  <c:v>1882.41</c:v>
                </c:pt>
                <c:pt idx="128">
                  <c:v>1750.598</c:v>
                </c:pt>
                <c:pt idx="129">
                  <c:v>1850.617</c:v>
                </c:pt>
                <c:pt idx="130">
                  <c:v>1311.5920000000001</c:v>
                </c:pt>
                <c:pt idx="131">
                  <c:v>1815.5840000000001</c:v>
                </c:pt>
                <c:pt idx="132">
                  <c:v>2190.538</c:v>
                </c:pt>
                <c:pt idx="133">
                  <c:v>2104.9720000000002</c:v>
                </c:pt>
                <c:pt idx="134">
                  <c:v>2035.1310000000001</c:v>
                </c:pt>
                <c:pt idx="135">
                  <c:v>1985.23</c:v>
                </c:pt>
                <c:pt idx="136">
                  <c:v>1814.441</c:v>
                </c:pt>
                <c:pt idx="137">
                  <c:v>1770.386</c:v>
                </c:pt>
                <c:pt idx="138">
                  <c:v>1693.4459999999999</c:v>
                </c:pt>
                <c:pt idx="139">
                  <c:v>1750.2950000000001</c:v>
                </c:pt>
                <c:pt idx="140">
                  <c:v>1663.652</c:v>
                </c:pt>
                <c:pt idx="141">
                  <c:v>1931.855</c:v>
                </c:pt>
                <c:pt idx="142">
                  <c:v>2780.701</c:v>
                </c:pt>
                <c:pt idx="143">
                  <c:v>2130.1489999999999</c:v>
                </c:pt>
                <c:pt idx="144">
                  <c:v>2187.3609999999999</c:v>
                </c:pt>
                <c:pt idx="145">
                  <c:v>2012.6990000000001</c:v>
                </c:pt>
                <c:pt idx="146">
                  <c:v>2050.0990000000002</c:v>
                </c:pt>
                <c:pt idx="147">
                  <c:v>2029.4010000000001</c:v>
                </c:pt>
                <c:pt idx="148">
                  <c:v>1827.299</c:v>
                </c:pt>
                <c:pt idx="149">
                  <c:v>1920.1969999999999</c:v>
                </c:pt>
                <c:pt idx="150">
                  <c:v>1272.701</c:v>
                </c:pt>
                <c:pt idx="151">
                  <c:v>1198.296</c:v>
                </c:pt>
                <c:pt idx="152">
                  <c:v>1578.711</c:v>
                </c:pt>
                <c:pt idx="153">
                  <c:v>1849.5530000000001</c:v>
                </c:pt>
                <c:pt idx="154">
                  <c:v>2009.4110000000001</c:v>
                </c:pt>
                <c:pt idx="155">
                  <c:v>1643.635</c:v>
                </c:pt>
                <c:pt idx="156">
                  <c:v>1834.665</c:v>
                </c:pt>
                <c:pt idx="157">
                  <c:v>1732.4190000000001</c:v>
                </c:pt>
                <c:pt idx="158">
                  <c:v>1936.9090000000001</c:v>
                </c:pt>
                <c:pt idx="159">
                  <c:v>2231.4780000000001</c:v>
                </c:pt>
                <c:pt idx="160">
                  <c:v>2308.6770000000001</c:v>
                </c:pt>
                <c:pt idx="161">
                  <c:v>2248.87</c:v>
                </c:pt>
                <c:pt idx="162">
                  <c:v>1085.6210000000001</c:v>
                </c:pt>
                <c:pt idx="163">
                  <c:v>957.17250000000001</c:v>
                </c:pt>
                <c:pt idx="164">
                  <c:v>1139.8219999999999</c:v>
                </c:pt>
                <c:pt idx="165">
                  <c:v>1685.741</c:v>
                </c:pt>
                <c:pt idx="166">
                  <c:v>1856.404</c:v>
                </c:pt>
                <c:pt idx="167">
                  <c:v>1951.954</c:v>
                </c:pt>
                <c:pt idx="168">
                  <c:v>2276.2159999999999</c:v>
                </c:pt>
                <c:pt idx="169">
                  <c:v>2037.7429999999999</c:v>
                </c:pt>
                <c:pt idx="170">
                  <c:v>1837.779</c:v>
                </c:pt>
                <c:pt idx="171">
                  <c:v>1907.979</c:v>
                </c:pt>
                <c:pt idx="172">
                  <c:v>1867.4169999999999</c:v>
                </c:pt>
                <c:pt idx="173">
                  <c:v>2019.6120000000001</c:v>
                </c:pt>
                <c:pt idx="174">
                  <c:v>2141.3290000000002</c:v>
                </c:pt>
                <c:pt idx="175">
                  <c:v>1959.6120000000001</c:v>
                </c:pt>
                <c:pt idx="176">
                  <c:v>2185.1680000000001</c:v>
                </c:pt>
                <c:pt idx="177">
                  <c:v>1944.944</c:v>
                </c:pt>
                <c:pt idx="178">
                  <c:v>1926.7260000000001</c:v>
                </c:pt>
                <c:pt idx="179">
                  <c:v>1911.0039999999999</c:v>
                </c:pt>
                <c:pt idx="180">
                  <c:v>1937.3720000000001</c:v>
                </c:pt>
                <c:pt idx="181">
                  <c:v>1884.11</c:v>
                </c:pt>
                <c:pt idx="182">
                  <c:v>1831.6189999999999</c:v>
                </c:pt>
                <c:pt idx="183">
                  <c:v>2247.9029999999998</c:v>
                </c:pt>
                <c:pt idx="184">
                  <c:v>2042.1020000000001</c:v>
                </c:pt>
                <c:pt idx="185">
                  <c:v>1928.2819999999999</c:v>
                </c:pt>
                <c:pt idx="186">
                  <c:v>1823.1849999999999</c:v>
                </c:pt>
                <c:pt idx="187">
                  <c:v>1712.6959999999999</c:v>
                </c:pt>
                <c:pt idx="188">
                  <c:v>1432.8130000000001</c:v>
                </c:pt>
                <c:pt idx="189">
                  <c:v>1906.19</c:v>
                </c:pt>
                <c:pt idx="190">
                  <c:v>1744.691</c:v>
                </c:pt>
                <c:pt idx="191">
                  <c:v>1840.896</c:v>
                </c:pt>
              </c:numCache>
            </c:numRef>
          </c:xVal>
          <c:yVal>
            <c:numRef>
              <c:f>'Raw Scale'!$X$48:$X$239</c:f>
              <c:numCache>
                <c:formatCode>0.0</c:formatCode>
                <c:ptCount val="192"/>
                <c:pt idx="0">
                  <c:v>2214.9953636754967</c:v>
                </c:pt>
                <c:pt idx="1">
                  <c:v>2206.8796818491155</c:v>
                </c:pt>
                <c:pt idx="2">
                  <c:v>2218.9266160933144</c:v>
                </c:pt>
                <c:pt idx="3">
                  <c:v>2475.3288863974421</c:v>
                </c:pt>
                <c:pt idx="4">
                  <c:v>2303.7553437921329</c:v>
                </c:pt>
                <c:pt idx="5">
                  <c:v>2409.7233629289854</c:v>
                </c:pt>
                <c:pt idx="6">
                  <c:v>2330.4235260440278</c:v>
                </c:pt>
                <c:pt idx="7">
                  <c:v>2039.5078333322961</c:v>
                </c:pt>
                <c:pt idx="8">
                  <c:v>2002.8549183410098</c:v>
                </c:pt>
                <c:pt idx="9">
                  <c:v>1555.9285399587775</c:v>
                </c:pt>
                <c:pt idx="10">
                  <c:v>1375.5515034277114</c:v>
                </c:pt>
                <c:pt idx="11">
                  <c:v>1572.6370495913689</c:v>
                </c:pt>
                <c:pt idx="12">
                  <c:v>2732.5024952928866</c:v>
                </c:pt>
                <c:pt idx="13">
                  <c:v>2774.3101326347996</c:v>
                </c:pt>
                <c:pt idx="14">
                  <c:v>2631.1102691071824</c:v>
                </c:pt>
                <c:pt idx="15">
                  <c:v>1862.2848470817321</c:v>
                </c:pt>
                <c:pt idx="16">
                  <c:v>1637.9201234500265</c:v>
                </c:pt>
                <c:pt idx="17">
                  <c:v>1688.0325702060111</c:v>
                </c:pt>
                <c:pt idx="18">
                  <c:v>2352.2410287845996</c:v>
                </c:pt>
                <c:pt idx="19">
                  <c:v>2204.4702555840649</c:v>
                </c:pt>
                <c:pt idx="20">
                  <c:v>2309.395624153422</c:v>
                </c:pt>
                <c:pt idx="21">
                  <c:v>2581.3106298195858</c:v>
                </c:pt>
                <c:pt idx="22">
                  <c:v>2331.4670519576543</c:v>
                </c:pt>
                <c:pt idx="23">
                  <c:v>2315.6098595808448</c:v>
                </c:pt>
                <c:pt idx="24">
                  <c:v>2263.6650631271473</c:v>
                </c:pt>
                <c:pt idx="25">
                  <c:v>2503.6319046632452</c:v>
                </c:pt>
                <c:pt idx="26">
                  <c:v>2388.6323633842057</c:v>
                </c:pt>
                <c:pt idx="27">
                  <c:v>1495.6684265325102</c:v>
                </c:pt>
                <c:pt idx="28">
                  <c:v>1303.8587829618289</c:v>
                </c:pt>
                <c:pt idx="29">
                  <c:v>1223.9089400199018</c:v>
                </c:pt>
                <c:pt idx="30">
                  <c:v>1431.7514080716089</c:v>
                </c:pt>
                <c:pt idx="31">
                  <c:v>1613.5169794302965</c:v>
                </c:pt>
                <c:pt idx="32">
                  <c:v>1427.4856385205114</c:v>
                </c:pt>
                <c:pt idx="33">
                  <c:v>2197.2739506741159</c:v>
                </c:pt>
                <c:pt idx="34">
                  <c:v>2078.6910610411733</c:v>
                </c:pt>
                <c:pt idx="35">
                  <c:v>2487.8585719486955</c:v>
                </c:pt>
                <c:pt idx="36">
                  <c:v>2534.5030620189004</c:v>
                </c:pt>
                <c:pt idx="37">
                  <c:v>2432.3371275298014</c:v>
                </c:pt>
                <c:pt idx="38">
                  <c:v>2399.1759822185368</c:v>
                </c:pt>
                <c:pt idx="39">
                  <c:v>2074.2494363994961</c:v>
                </c:pt>
                <c:pt idx="40">
                  <c:v>2005.2682504321106</c:v>
                </c:pt>
                <c:pt idx="41">
                  <c:v>1874.5395046231508</c:v>
                </c:pt>
                <c:pt idx="42">
                  <c:v>2419.9160514308737</c:v>
                </c:pt>
                <c:pt idx="43">
                  <c:v>2307.6875359702863</c:v>
                </c:pt>
                <c:pt idx="44">
                  <c:v>2161.9867523495059</c:v>
                </c:pt>
                <c:pt idx="46">
                  <c:v>2202.8135137479267</c:v>
                </c:pt>
                <c:pt idx="47">
                  <c:v>1928.9067576945042</c:v>
                </c:pt>
                <c:pt idx="48">
                  <c:v>2341.8289807037759</c:v>
                </c:pt>
                <c:pt idx="49">
                  <c:v>2321.397169094259</c:v>
                </c:pt>
                <c:pt idx="50">
                  <c:v>2286.266668811636</c:v>
                </c:pt>
                <c:pt idx="51">
                  <c:v>2038.9425796206156</c:v>
                </c:pt>
                <c:pt idx="52">
                  <c:v>2327.8621778987072</c:v>
                </c:pt>
                <c:pt idx="53">
                  <c:v>2439.6170587336119</c:v>
                </c:pt>
                <c:pt idx="54">
                  <c:v>2255.1937119822551</c:v>
                </c:pt>
                <c:pt idx="55">
                  <c:v>2136.2284801916899</c:v>
                </c:pt>
                <c:pt idx="56">
                  <c:v>2257.5046643793089</c:v>
                </c:pt>
                <c:pt idx="57">
                  <c:v>1661.7678197429664</c:v>
                </c:pt>
                <c:pt idx="58">
                  <c:v>1414.2941503922391</c:v>
                </c:pt>
                <c:pt idx="59">
                  <c:v>1623.4570355788505</c:v>
                </c:pt>
                <c:pt idx="60">
                  <c:v>2173.4677547319702</c:v>
                </c:pt>
                <c:pt idx="61">
                  <c:v>2290.3803232118239</c:v>
                </c:pt>
                <c:pt idx="62">
                  <c:v>2173.8001321853576</c:v>
                </c:pt>
                <c:pt idx="63">
                  <c:v>1951.7380559055407</c:v>
                </c:pt>
                <c:pt idx="64">
                  <c:v>1850.9473467378832</c:v>
                </c:pt>
                <c:pt idx="65">
                  <c:v>1777.0184231816199</c:v>
                </c:pt>
                <c:pt idx="66">
                  <c:v>1743.8999197986479</c:v>
                </c:pt>
                <c:pt idx="67">
                  <c:v>1639.2327643552046</c:v>
                </c:pt>
                <c:pt idx="68">
                  <c:v>1456.8555086965337</c:v>
                </c:pt>
                <c:pt idx="69">
                  <c:v>1573.4345730779976</c:v>
                </c:pt>
                <c:pt idx="70">
                  <c:v>1754.2390772405097</c:v>
                </c:pt>
                <c:pt idx="71">
                  <c:v>1294.1643118930715</c:v>
                </c:pt>
                <c:pt idx="72">
                  <c:v>2082.7905171567786</c:v>
                </c:pt>
                <c:pt idx="73">
                  <c:v>2126.738535318329</c:v>
                </c:pt>
                <c:pt idx="74">
                  <c:v>2091.1348498075017</c:v>
                </c:pt>
                <c:pt idx="75">
                  <c:v>1610.6356198591163</c:v>
                </c:pt>
                <c:pt idx="76">
                  <c:v>1390.0407939625884</c:v>
                </c:pt>
                <c:pt idx="77">
                  <c:v>1611.5640276157958</c:v>
                </c:pt>
                <c:pt idx="78">
                  <c:v>1937.7554967698882</c:v>
                </c:pt>
                <c:pt idx="79">
                  <c:v>2140.8601897167855</c:v>
                </c:pt>
                <c:pt idx="80">
                  <c:v>2190.2510469300041</c:v>
                </c:pt>
                <c:pt idx="81">
                  <c:v>1814.7225092500339</c:v>
                </c:pt>
                <c:pt idx="82">
                  <c:v>1851.9757058553419</c:v>
                </c:pt>
                <c:pt idx="83">
                  <c:v>1654.1303023492569</c:v>
                </c:pt>
                <c:pt idx="84">
                  <c:v>2065.6626813974867</c:v>
                </c:pt>
                <c:pt idx="85">
                  <c:v>1827.8758200452057</c:v>
                </c:pt>
                <c:pt idx="86">
                  <c:v>2039.0323088283108</c:v>
                </c:pt>
                <c:pt idx="87">
                  <c:v>2341.1345023450472</c:v>
                </c:pt>
                <c:pt idx="88">
                  <c:v>2244.0885902954565</c:v>
                </c:pt>
                <c:pt idx="89">
                  <c:v>2139.1726662721494</c:v>
                </c:pt>
                <c:pt idx="90">
                  <c:v>1915.9539206919587</c:v>
                </c:pt>
                <c:pt idx="91">
                  <c:v>2108.3419073138321</c:v>
                </c:pt>
                <c:pt idx="92">
                  <c:v>1932.7774422818502</c:v>
                </c:pt>
                <c:pt idx="93">
                  <c:v>2029.3834397468856</c:v>
                </c:pt>
                <c:pt idx="94">
                  <c:v>2018.9307238277881</c:v>
                </c:pt>
                <c:pt idx="95">
                  <c:v>1956.9812786530133</c:v>
                </c:pt>
                <c:pt idx="96">
                  <c:v>1806.1855020802623</c:v>
                </c:pt>
                <c:pt idx="97">
                  <c:v>2159.1442258762904</c:v>
                </c:pt>
                <c:pt idx="98">
                  <c:v>1828.4970608129142</c:v>
                </c:pt>
                <c:pt idx="99">
                  <c:v>1784.4317359150784</c:v>
                </c:pt>
                <c:pt idx="100">
                  <c:v>1728.8004727684392</c:v>
                </c:pt>
                <c:pt idx="101">
                  <c:v>1752.0852242991934</c:v>
                </c:pt>
                <c:pt idx="102">
                  <c:v>1984.6887255519534</c:v>
                </c:pt>
                <c:pt idx="103">
                  <c:v>2105.8292063476747</c:v>
                </c:pt>
                <c:pt idx="104">
                  <c:v>2030.8798926433317</c:v>
                </c:pt>
                <c:pt idx="105">
                  <c:v>2011.7895179844418</c:v>
                </c:pt>
                <c:pt idx="106">
                  <c:v>1740.7268366524227</c:v>
                </c:pt>
                <c:pt idx="107">
                  <c:v>2123.1661136919661</c:v>
                </c:pt>
                <c:pt idx="108">
                  <c:v>1998.9307102374109</c:v>
                </c:pt>
                <c:pt idx="109">
                  <c:v>2171.1794986569917</c:v>
                </c:pt>
                <c:pt idx="110">
                  <c:v>2035.6895281495852</c:v>
                </c:pt>
                <c:pt idx="111">
                  <c:v>1617.7285390663642</c:v>
                </c:pt>
                <c:pt idx="112">
                  <c:v>1786.8308654322693</c:v>
                </c:pt>
                <c:pt idx="113">
                  <c:v>1804.0437053586891</c:v>
                </c:pt>
                <c:pt idx="114">
                  <c:v>1098.5153476511689</c:v>
                </c:pt>
                <c:pt idx="115">
                  <c:v>1292.1489419902555</c:v>
                </c:pt>
                <c:pt idx="116">
                  <c:v>1280.66638493917</c:v>
                </c:pt>
                <c:pt idx="117">
                  <c:v>1318.7226484946582</c:v>
                </c:pt>
                <c:pt idx="118">
                  <c:v>1504.7830602251013</c:v>
                </c:pt>
                <c:pt idx="119">
                  <c:v>1613.439628053661</c:v>
                </c:pt>
                <c:pt idx="120">
                  <c:v>1281.2805459121853</c:v>
                </c:pt>
                <c:pt idx="121">
                  <c:v>1393.9460376158888</c:v>
                </c:pt>
                <c:pt idx="122">
                  <c:v>1476.7584602454485</c:v>
                </c:pt>
                <c:pt idx="123">
                  <c:v>1671.5505626646868</c:v>
                </c:pt>
                <c:pt idx="124">
                  <c:v>1468.048787983088</c:v>
                </c:pt>
                <c:pt idx="125">
                  <c:v>1768.0603635367322</c:v>
                </c:pt>
                <c:pt idx="126">
                  <c:v>1801.7250324536635</c:v>
                </c:pt>
                <c:pt idx="127">
                  <c:v>1882.409624862534</c:v>
                </c:pt>
                <c:pt idx="128">
                  <c:v>1750.598160753719</c:v>
                </c:pt>
                <c:pt idx="129">
                  <c:v>1850.616923215267</c:v>
                </c:pt>
                <c:pt idx="130">
                  <c:v>1311.5922903869989</c:v>
                </c:pt>
                <c:pt idx="131">
                  <c:v>1815.5837156333012</c:v>
                </c:pt>
                <c:pt idx="132">
                  <c:v>2190.5380586068368</c:v>
                </c:pt>
                <c:pt idx="133">
                  <c:v>2104.9719643961475</c:v>
                </c:pt>
                <c:pt idx="134">
                  <c:v>2035.1307745002621</c:v>
                </c:pt>
                <c:pt idx="135">
                  <c:v>1985.2302960314892</c:v>
                </c:pt>
                <c:pt idx="136">
                  <c:v>1814.4406318149231</c:v>
                </c:pt>
                <c:pt idx="137">
                  <c:v>1770.3856417820202</c:v>
                </c:pt>
                <c:pt idx="138">
                  <c:v>1693.4456474501828</c:v>
                </c:pt>
                <c:pt idx="139">
                  <c:v>1750.2952612290094</c:v>
                </c:pt>
                <c:pt idx="140">
                  <c:v>1663.6524472189158</c:v>
                </c:pt>
                <c:pt idx="141">
                  <c:v>1931.8554504278504</c:v>
                </c:pt>
                <c:pt idx="143">
                  <c:v>2130.1487550941993</c:v>
                </c:pt>
                <c:pt idx="144">
                  <c:v>2187.3613298088603</c:v>
                </c:pt>
                <c:pt idx="145">
                  <c:v>2012.6992091340724</c:v>
                </c:pt>
                <c:pt idx="146">
                  <c:v>2050.0993161400565</c:v>
                </c:pt>
                <c:pt idx="147">
                  <c:v>2029.401230063261</c:v>
                </c:pt>
                <c:pt idx="148">
                  <c:v>1827.2988583546548</c:v>
                </c:pt>
                <c:pt idx="149">
                  <c:v>1920.1965451015237</c:v>
                </c:pt>
                <c:pt idx="150">
                  <c:v>1272.7013806200596</c:v>
                </c:pt>
                <c:pt idx="151">
                  <c:v>1198.2959908079602</c:v>
                </c:pt>
                <c:pt idx="152">
                  <c:v>1578.7107723912243</c:v>
                </c:pt>
                <c:pt idx="153">
                  <c:v>1849.5526793246486</c:v>
                </c:pt>
                <c:pt idx="154">
                  <c:v>2009.4109663316385</c:v>
                </c:pt>
                <c:pt idx="155">
                  <c:v>1643.6346111182841</c:v>
                </c:pt>
                <c:pt idx="156">
                  <c:v>1834.6653388995755</c:v>
                </c:pt>
                <c:pt idx="157">
                  <c:v>1732.419342709167</c:v>
                </c:pt>
                <c:pt idx="158">
                  <c:v>1936.9094619759433</c:v>
                </c:pt>
                <c:pt idx="159">
                  <c:v>2231.477699231003</c:v>
                </c:pt>
                <c:pt idx="160">
                  <c:v>2308.6774505917201</c:v>
                </c:pt>
                <c:pt idx="161">
                  <c:v>2248.869511177903</c:v>
                </c:pt>
                <c:pt idx="162">
                  <c:v>1085.6209497389334</c:v>
                </c:pt>
                <c:pt idx="163">
                  <c:v>957.17254696824739</c:v>
                </c:pt>
                <c:pt idx="164">
                  <c:v>1139.8219764090943</c:v>
                </c:pt>
                <c:pt idx="165">
                  <c:v>1685.7412584949248</c:v>
                </c:pt>
                <c:pt idx="166">
                  <c:v>1856.4040926510309</c:v>
                </c:pt>
                <c:pt idx="167">
                  <c:v>1951.9537023604664</c:v>
                </c:pt>
                <c:pt idx="168">
                  <c:v>2276.2155687613617</c:v>
                </c:pt>
                <c:pt idx="169">
                  <c:v>2037.7433341467486</c:v>
                </c:pt>
                <c:pt idx="170">
                  <c:v>1837.778885756614</c:v>
                </c:pt>
                <c:pt idx="171">
                  <c:v>1907.9790514289289</c:v>
                </c:pt>
                <c:pt idx="172">
                  <c:v>1867.4172174640316</c:v>
                </c:pt>
                <c:pt idx="173">
                  <c:v>2019.6115856275333</c:v>
                </c:pt>
                <c:pt idx="174">
                  <c:v>2141.3292771159017</c:v>
                </c:pt>
                <c:pt idx="175">
                  <c:v>1959.6119150359687</c:v>
                </c:pt>
                <c:pt idx="176">
                  <c:v>2185.1676840294535</c:v>
                </c:pt>
                <c:pt idx="177">
                  <c:v>1944.9438430162343</c:v>
                </c:pt>
                <c:pt idx="178">
                  <c:v>1926.7262964809438</c:v>
                </c:pt>
                <c:pt idx="179">
                  <c:v>1911.0039460686253</c:v>
                </c:pt>
                <c:pt idx="180">
                  <c:v>1937.3715652803012</c:v>
                </c:pt>
                <c:pt idx="181">
                  <c:v>1884.1098630427728</c:v>
                </c:pt>
                <c:pt idx="182">
                  <c:v>1831.6191265511613</c:v>
                </c:pt>
                <c:pt idx="183">
                  <c:v>2247.9025224756638</c:v>
                </c:pt>
                <c:pt idx="184">
                  <c:v>2042.1021814829342</c:v>
                </c:pt>
                <c:pt idx="185">
                  <c:v>1928.2824719745097</c:v>
                </c:pt>
                <c:pt idx="186">
                  <c:v>1823.1847280956472</c:v>
                </c:pt>
                <c:pt idx="187">
                  <c:v>1712.6962807581303</c:v>
                </c:pt>
                <c:pt idx="188">
                  <c:v>1432.8129285601776</c:v>
                </c:pt>
                <c:pt idx="189">
                  <c:v>1906.1901481966765</c:v>
                </c:pt>
                <c:pt idx="190">
                  <c:v>1744.6910384826147</c:v>
                </c:pt>
                <c:pt idx="191">
                  <c:v>1840.8964365752001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88-40FA-8025-88BAE93C5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79544"/>
        <c:axId val="618379904"/>
      </c:scatterChart>
      <c:valAx>
        <c:axId val="618379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904"/>
        <c:crosses val="autoZero"/>
        <c:crossBetween val="midCat"/>
      </c:valAx>
      <c:valAx>
        <c:axId val="6183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Oven versus</a:t>
            </a:r>
            <a:r>
              <a:rPr lang="en-US" baseline="0"/>
              <a:t> moisture 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'Moisture content'!$J$15:$J$206</c:f>
              <c:numCache>
                <c:formatCode>0.00</c:formatCode>
                <c:ptCount val="192"/>
                <c:pt idx="0">
                  <c:v>7.7813272256042412</c:v>
                </c:pt>
                <c:pt idx="1">
                  <c:v>11.35948070945328</c:v>
                </c:pt>
                <c:pt idx="2">
                  <c:v>8.0319888734353349</c:v>
                </c:pt>
                <c:pt idx="3">
                  <c:v>7.2904181061834423</c:v>
                </c:pt>
                <c:pt idx="4">
                  <c:v>7.6047737996114337</c:v>
                </c:pt>
                <c:pt idx="5">
                  <c:v>6.9933846361549801</c:v>
                </c:pt>
                <c:pt idx="6">
                  <c:v>6.9156626506024041</c:v>
                </c:pt>
                <c:pt idx="7">
                  <c:v>7.3027622314497238</c:v>
                </c:pt>
                <c:pt idx="8">
                  <c:v>6.8814855270344157</c:v>
                </c:pt>
                <c:pt idx="9">
                  <c:v>7.0019801980198038</c:v>
                </c:pt>
                <c:pt idx="10">
                  <c:v>8.8753749435016616</c:v>
                </c:pt>
                <c:pt idx="11">
                  <c:v>6.699944059555067</c:v>
                </c:pt>
                <c:pt idx="12">
                  <c:v>5.9515062454077734</c:v>
                </c:pt>
                <c:pt idx="13">
                  <c:v>6.539304300191735</c:v>
                </c:pt>
                <c:pt idx="14">
                  <c:v>6.0717668104808959</c:v>
                </c:pt>
                <c:pt idx="15">
                  <c:v>7.1269339544168888</c:v>
                </c:pt>
                <c:pt idx="16">
                  <c:v>6.4708749695344885</c:v>
                </c:pt>
                <c:pt idx="17">
                  <c:v>6.4063077491684144</c:v>
                </c:pt>
                <c:pt idx="18">
                  <c:v>6.9214485522038363</c:v>
                </c:pt>
                <c:pt idx="19">
                  <c:v>7.9313832270110423</c:v>
                </c:pt>
                <c:pt idx="20">
                  <c:v>6.9193511186284304</c:v>
                </c:pt>
                <c:pt idx="21">
                  <c:v>6.5495020503807737</c:v>
                </c:pt>
                <c:pt idx="22">
                  <c:v>6.3481508005524558</c:v>
                </c:pt>
                <c:pt idx="23">
                  <c:v>6.9598217394331892</c:v>
                </c:pt>
                <c:pt idx="24">
                  <c:v>7.2319951886934133</c:v>
                </c:pt>
                <c:pt idx="25">
                  <c:v>6.8814900280204458</c:v>
                </c:pt>
                <c:pt idx="26">
                  <c:v>7.1696134252322601</c:v>
                </c:pt>
                <c:pt idx="27">
                  <c:v>6.6291713535808148</c:v>
                </c:pt>
                <c:pt idx="28">
                  <c:v>6.1667647216130934</c:v>
                </c:pt>
                <c:pt idx="29">
                  <c:v>7.2755340869478689</c:v>
                </c:pt>
                <c:pt idx="30">
                  <c:v>5.9960026648900815</c:v>
                </c:pt>
                <c:pt idx="31">
                  <c:v>6.3339907352199241</c:v>
                </c:pt>
                <c:pt idx="32">
                  <c:v>7.3601829053816434</c:v>
                </c:pt>
                <c:pt idx="33">
                  <c:v>7.8324305434212729</c:v>
                </c:pt>
                <c:pt idx="34">
                  <c:v>6.6321672531567</c:v>
                </c:pt>
                <c:pt idx="35">
                  <c:v>5.8607638490652594</c:v>
                </c:pt>
                <c:pt idx="36">
                  <c:v>6.2969229142434298</c:v>
                </c:pt>
                <c:pt idx="37">
                  <c:v>6.106974520117511</c:v>
                </c:pt>
                <c:pt idx="38">
                  <c:v>7.8146374829001486</c:v>
                </c:pt>
                <c:pt idx="39">
                  <c:v>7.0658185840708141</c:v>
                </c:pt>
                <c:pt idx="40">
                  <c:v>6.4526009495124885</c:v>
                </c:pt>
                <c:pt idx="41">
                  <c:v>6.349676591122309</c:v>
                </c:pt>
                <c:pt idx="42">
                  <c:v>6.054994907878906</c:v>
                </c:pt>
                <c:pt idx="43">
                  <c:v>6.3747228381374699</c:v>
                </c:pt>
                <c:pt idx="44">
                  <c:v>5.7485322896281774</c:v>
                </c:pt>
                <c:pt idx="45">
                  <c:v>6.6877110556452788</c:v>
                </c:pt>
                <c:pt idx="46">
                  <c:v>6.973820108671247</c:v>
                </c:pt>
                <c:pt idx="47">
                  <c:v>6.2780976417698611</c:v>
                </c:pt>
                <c:pt idx="48">
                  <c:v>6.3324231685354126</c:v>
                </c:pt>
                <c:pt idx="49">
                  <c:v>6.3650546021840917</c:v>
                </c:pt>
                <c:pt idx="50">
                  <c:v>6.9056250730908513</c:v>
                </c:pt>
                <c:pt idx="51">
                  <c:v>6.7652895543929281</c:v>
                </c:pt>
                <c:pt idx="52">
                  <c:v>7.3240930091645851</c:v>
                </c:pt>
                <c:pt idx="53">
                  <c:v>6.5682245594483577</c:v>
                </c:pt>
                <c:pt idx="54">
                  <c:v>6.2489694971145937</c:v>
                </c:pt>
                <c:pt idx="55">
                  <c:v>6.8463940293960928</c:v>
                </c:pt>
                <c:pt idx="56">
                  <c:v>6.6581771875568432</c:v>
                </c:pt>
                <c:pt idx="57">
                  <c:v>6.0113009735176064</c:v>
                </c:pt>
                <c:pt idx="58">
                  <c:v>7.0543915780782269</c:v>
                </c:pt>
                <c:pt idx="59">
                  <c:v>6.3900769888793825</c:v>
                </c:pt>
                <c:pt idx="60">
                  <c:v>6.749216914643692</c:v>
                </c:pt>
                <c:pt idx="61">
                  <c:v>6.1081617175193976</c:v>
                </c:pt>
                <c:pt idx="62">
                  <c:v>6.101731139132287</c:v>
                </c:pt>
                <c:pt idx="63">
                  <c:v>7.0683271625715234</c:v>
                </c:pt>
                <c:pt idx="64">
                  <c:v>6.7466959081202731</c:v>
                </c:pt>
                <c:pt idx="65">
                  <c:v>6.2273198548470621</c:v>
                </c:pt>
                <c:pt idx="66">
                  <c:v>6.4477252184392961</c:v>
                </c:pt>
                <c:pt idx="67">
                  <c:v>6.5814544299777751</c:v>
                </c:pt>
                <c:pt idx="68">
                  <c:v>6.1188517710257004</c:v>
                </c:pt>
                <c:pt idx="69">
                  <c:v>5.8611578188806099</c:v>
                </c:pt>
                <c:pt idx="70">
                  <c:v>6.3149019259785169</c:v>
                </c:pt>
                <c:pt idx="71">
                  <c:v>6.835220928377737</c:v>
                </c:pt>
                <c:pt idx="72">
                  <c:v>6.6985376827896497</c:v>
                </c:pt>
                <c:pt idx="73">
                  <c:v>5.933551708001862</c:v>
                </c:pt>
                <c:pt idx="74">
                  <c:v>5.803744852769781</c:v>
                </c:pt>
                <c:pt idx="75">
                  <c:v>5.4450636535610233</c:v>
                </c:pt>
                <c:pt idx="76">
                  <c:v>7.3478587528174319</c:v>
                </c:pt>
                <c:pt idx="77">
                  <c:v>6.3163311249758758</c:v>
                </c:pt>
                <c:pt idx="78">
                  <c:v>5.7991590673292226</c:v>
                </c:pt>
                <c:pt idx="79">
                  <c:v>5.6269113149846994</c:v>
                </c:pt>
                <c:pt idx="80">
                  <c:v>6.5636220334530204</c:v>
                </c:pt>
                <c:pt idx="81">
                  <c:v>5.889670091941583</c:v>
                </c:pt>
                <c:pt idx="82">
                  <c:v>5.6412185031966802</c:v>
                </c:pt>
                <c:pt idx="83">
                  <c:v>6.0256732947394909</c:v>
                </c:pt>
                <c:pt idx="84">
                  <c:v>6.9096318333953093</c:v>
                </c:pt>
                <c:pt idx="85">
                  <c:v>6.0183855214018926</c:v>
                </c:pt>
                <c:pt idx="86">
                  <c:v>5.4627298390173173</c:v>
                </c:pt>
                <c:pt idx="87">
                  <c:v>6.2918875662698728</c:v>
                </c:pt>
                <c:pt idx="88">
                  <c:v>6.4206896551724153</c:v>
                </c:pt>
                <c:pt idx="89">
                  <c:v>6.5186626569962893</c:v>
                </c:pt>
                <c:pt idx="90">
                  <c:v>6.0284693472466531</c:v>
                </c:pt>
                <c:pt idx="91">
                  <c:v>5.8504017200407397</c:v>
                </c:pt>
                <c:pt idx="92">
                  <c:v>5.6932189048712614</c:v>
                </c:pt>
                <c:pt idx="93">
                  <c:v>5.9197840339375283</c:v>
                </c:pt>
                <c:pt idx="94">
                  <c:v>5.9508668585581459</c:v>
                </c:pt>
                <c:pt idx="95">
                  <c:v>6.7664501553233505</c:v>
                </c:pt>
                <c:pt idx="96">
                  <c:v>6.0337998415632335</c:v>
                </c:pt>
                <c:pt idx="97">
                  <c:v>5.6389147080954309</c:v>
                </c:pt>
                <c:pt idx="98">
                  <c:v>6.1803514049360908</c:v>
                </c:pt>
                <c:pt idx="99">
                  <c:v>6.2526507119054955</c:v>
                </c:pt>
                <c:pt idx="100">
                  <c:v>6.7748666821238173</c:v>
                </c:pt>
                <c:pt idx="101">
                  <c:v>6.4217793408883592</c:v>
                </c:pt>
                <c:pt idx="102">
                  <c:v>5.9273027674514571</c:v>
                </c:pt>
                <c:pt idx="103">
                  <c:v>5.8369695819894956</c:v>
                </c:pt>
                <c:pt idx="104">
                  <c:v>5.923729397972556</c:v>
                </c:pt>
                <c:pt idx="105">
                  <c:v>4.9624771820701801</c:v>
                </c:pt>
                <c:pt idx="106">
                  <c:v>5.1666157138489792</c:v>
                </c:pt>
                <c:pt idx="107">
                  <c:v>5.4746762700176417</c:v>
                </c:pt>
                <c:pt idx="108">
                  <c:v>5.687357816054611</c:v>
                </c:pt>
                <c:pt idx="109">
                  <c:v>5.4475476166979142</c:v>
                </c:pt>
                <c:pt idx="110">
                  <c:v>5.2584333364830362</c:v>
                </c:pt>
                <c:pt idx="111">
                  <c:v>5.2773196771113726</c:v>
                </c:pt>
                <c:pt idx="112">
                  <c:v>5.1123843102688395</c:v>
                </c:pt>
                <c:pt idx="113">
                  <c:v>5.0861976657029659</c:v>
                </c:pt>
                <c:pt idx="114">
                  <c:v>5.8881182147165374</c:v>
                </c:pt>
                <c:pt idx="115">
                  <c:v>5.7035474086773084</c:v>
                </c:pt>
                <c:pt idx="116">
                  <c:v>5.3003936783248813</c:v>
                </c:pt>
                <c:pt idx="117">
                  <c:v>5.3260302556077104</c:v>
                </c:pt>
                <c:pt idx="118">
                  <c:v>6.9075899250273576</c:v>
                </c:pt>
                <c:pt idx="119">
                  <c:v>5.5318011758418075</c:v>
                </c:pt>
                <c:pt idx="120">
                  <c:v>6.1949196474857571</c:v>
                </c:pt>
                <c:pt idx="121">
                  <c:v>5.7072677358763029</c:v>
                </c:pt>
                <c:pt idx="122">
                  <c:v>5.8027079303674922</c:v>
                </c:pt>
                <c:pt idx="123">
                  <c:v>5.4617980975759295</c:v>
                </c:pt>
                <c:pt idx="124">
                  <c:v>5.0594919069568007</c:v>
                </c:pt>
                <c:pt idx="125">
                  <c:v>5.3319600697195408</c:v>
                </c:pt>
                <c:pt idx="126">
                  <c:v>4.7855324149637557</c:v>
                </c:pt>
                <c:pt idx="127">
                  <c:v>4.7995341873232373</c:v>
                </c:pt>
                <c:pt idx="128">
                  <c:v>5.5858060568981314</c:v>
                </c:pt>
                <c:pt idx="129">
                  <c:v>4.5664237480778125</c:v>
                </c:pt>
                <c:pt idx="130">
                  <c:v>4.813988095238094</c:v>
                </c:pt>
                <c:pt idx="131">
                  <c:v>5.5558560995401578</c:v>
                </c:pt>
                <c:pt idx="132">
                  <c:v>5.117449664429536</c:v>
                </c:pt>
                <c:pt idx="133">
                  <c:v>5.2033642982676325</c:v>
                </c:pt>
                <c:pt idx="134">
                  <c:v>5.3293112116641481</c:v>
                </c:pt>
                <c:pt idx="135">
                  <c:v>5.4189944134078258</c:v>
                </c:pt>
                <c:pt idx="136">
                  <c:v>5.8385093167701836</c:v>
                </c:pt>
                <c:pt idx="137">
                  <c:v>5.6456941487409127</c:v>
                </c:pt>
                <c:pt idx="138">
                  <c:v>5.5941963951836087</c:v>
                </c:pt>
                <c:pt idx="139">
                  <c:v>4.8422597212032157</c:v>
                </c:pt>
                <c:pt idx="140">
                  <c:v>5.2237334910309405</c:v>
                </c:pt>
                <c:pt idx="141">
                  <c:v>6.833919250026625</c:v>
                </c:pt>
                <c:pt idx="142">
                  <c:v>5.445508369271244</c:v>
                </c:pt>
                <c:pt idx="143">
                  <c:v>5.3601673806914514</c:v>
                </c:pt>
                <c:pt idx="144">
                  <c:v>5.3879428352406524</c:v>
                </c:pt>
                <c:pt idx="145">
                  <c:v>5.6156281737260318</c:v>
                </c:pt>
                <c:pt idx="146">
                  <c:v>5.7402780447177966</c:v>
                </c:pt>
                <c:pt idx="147">
                  <c:v>5.3038364603752441</c:v>
                </c:pt>
                <c:pt idx="148">
                  <c:v>5.0883694412770906</c:v>
                </c:pt>
                <c:pt idx="149">
                  <c:v>5.4277891854893952</c:v>
                </c:pt>
                <c:pt idx="150">
                  <c:v>5.6322147651006755</c:v>
                </c:pt>
                <c:pt idx="151">
                  <c:v>5.5552478537801164</c:v>
                </c:pt>
                <c:pt idx="152">
                  <c:v>5.1758818623362659</c:v>
                </c:pt>
                <c:pt idx="153">
                  <c:v>5.3055822906641126</c:v>
                </c:pt>
                <c:pt idx="154">
                  <c:v>4.9975591896509632</c:v>
                </c:pt>
                <c:pt idx="155">
                  <c:v>4.9533322416898615</c:v>
                </c:pt>
                <c:pt idx="156">
                  <c:v>5.1405710527757966</c:v>
                </c:pt>
                <c:pt idx="157">
                  <c:v>5.1187275985663163</c:v>
                </c:pt>
                <c:pt idx="158">
                  <c:v>4.5208984930338456</c:v>
                </c:pt>
                <c:pt idx="159">
                  <c:v>5.544089388655606</c:v>
                </c:pt>
                <c:pt idx="160">
                  <c:v>6.0513796384395757</c:v>
                </c:pt>
                <c:pt idx="161">
                  <c:v>5.3165102987167119</c:v>
                </c:pt>
                <c:pt idx="162">
                  <c:v>4.8839175391819074</c:v>
                </c:pt>
                <c:pt idx="163">
                  <c:v>5.4580019010455869</c:v>
                </c:pt>
                <c:pt idx="164">
                  <c:v>5.2026312157872834</c:v>
                </c:pt>
                <c:pt idx="165">
                  <c:v>5.9944711188709503</c:v>
                </c:pt>
                <c:pt idx="166">
                  <c:v>5.2833886041603693</c:v>
                </c:pt>
                <c:pt idx="167">
                  <c:v>5.6155771226271067</c:v>
                </c:pt>
                <c:pt idx="168">
                  <c:v>4.9724071229447473</c:v>
                </c:pt>
                <c:pt idx="169">
                  <c:v>5.1556479726010513</c:v>
                </c:pt>
                <c:pt idx="170">
                  <c:v>5.2077822841356518</c:v>
                </c:pt>
                <c:pt idx="171">
                  <c:v>4.8962737193982795</c:v>
                </c:pt>
                <c:pt idx="172">
                  <c:v>5.0235318191119402</c:v>
                </c:pt>
                <c:pt idx="173">
                  <c:v>5.1029738320198668</c:v>
                </c:pt>
                <c:pt idx="174">
                  <c:v>4.8826207265910906</c:v>
                </c:pt>
                <c:pt idx="175">
                  <c:v>5.5781785275677045</c:v>
                </c:pt>
                <c:pt idx="176">
                  <c:v>4.8797116976721586</c:v>
                </c:pt>
                <c:pt idx="177">
                  <c:v>4.7794405703988048</c:v>
                </c:pt>
                <c:pt idx="178">
                  <c:v>5.0205262803688058</c:v>
                </c:pt>
                <c:pt idx="179">
                  <c:v>5.070285991274833</c:v>
                </c:pt>
                <c:pt idx="180">
                  <c:v>4.9017824663514018</c:v>
                </c:pt>
                <c:pt idx="181">
                  <c:v>5.2349372089741699</c:v>
                </c:pt>
                <c:pt idx="182">
                  <c:v>4.5997125179676184</c:v>
                </c:pt>
                <c:pt idx="183">
                  <c:v>5.6192445029129896</c:v>
                </c:pt>
                <c:pt idx="184">
                  <c:v>5.1770489284891275</c:v>
                </c:pt>
                <c:pt idx="185">
                  <c:v>5.1438127090300991</c:v>
                </c:pt>
                <c:pt idx="186">
                  <c:v>5.0038817136001157</c:v>
                </c:pt>
                <c:pt idx="187">
                  <c:v>5.7229336437718246</c:v>
                </c:pt>
                <c:pt idx="188">
                  <c:v>4.5736482676523922</c:v>
                </c:pt>
                <c:pt idx="189">
                  <c:v>5.4197025651262667</c:v>
                </c:pt>
                <c:pt idx="190">
                  <c:v>4.8569977999661456</c:v>
                </c:pt>
                <c:pt idx="191">
                  <c:v>4.8088126257811732</c:v>
                </c:pt>
              </c:numCache>
            </c:numRef>
          </c:xVal>
          <c:yVal>
            <c:numRef>
              <c:f>'Moisture content'!$K$15:$K$206</c:f>
              <c:numCache>
                <c:formatCode>0.0</c:formatCode>
                <c:ptCount val="192"/>
                <c:pt idx="24">
                  <c:v>9.1999999999999993</c:v>
                </c:pt>
                <c:pt idx="27">
                  <c:v>8.6999999999999993</c:v>
                </c:pt>
                <c:pt idx="30">
                  <c:v>8.5</c:v>
                </c:pt>
                <c:pt idx="33">
                  <c:v>9.6</c:v>
                </c:pt>
                <c:pt idx="38">
                  <c:v>8.8000000000000007</c:v>
                </c:pt>
                <c:pt idx="41">
                  <c:v>8.9</c:v>
                </c:pt>
                <c:pt idx="44">
                  <c:v>7.3</c:v>
                </c:pt>
                <c:pt idx="47">
                  <c:v>8.4</c:v>
                </c:pt>
                <c:pt idx="48">
                  <c:v>7.6</c:v>
                </c:pt>
                <c:pt idx="51">
                  <c:v>8.6999999999999993</c:v>
                </c:pt>
                <c:pt idx="54">
                  <c:v>8.1</c:v>
                </c:pt>
                <c:pt idx="57">
                  <c:v>7.8</c:v>
                </c:pt>
                <c:pt idx="62">
                  <c:v>7.5</c:v>
                </c:pt>
                <c:pt idx="65">
                  <c:v>7.8</c:v>
                </c:pt>
                <c:pt idx="68">
                  <c:v>8.1</c:v>
                </c:pt>
                <c:pt idx="71">
                  <c:v>8.6</c:v>
                </c:pt>
                <c:pt idx="72">
                  <c:v>8.6999999999999993</c:v>
                </c:pt>
                <c:pt idx="75">
                  <c:v>7.4</c:v>
                </c:pt>
                <c:pt idx="78">
                  <c:v>7.2</c:v>
                </c:pt>
                <c:pt idx="81">
                  <c:v>7.2</c:v>
                </c:pt>
                <c:pt idx="86">
                  <c:v>7.2</c:v>
                </c:pt>
                <c:pt idx="89">
                  <c:v>7.7</c:v>
                </c:pt>
                <c:pt idx="95">
                  <c:v>8.6</c:v>
                </c:pt>
                <c:pt idx="96">
                  <c:v>7.5</c:v>
                </c:pt>
                <c:pt idx="99">
                  <c:v>7.7</c:v>
                </c:pt>
                <c:pt idx="102">
                  <c:v>8.6999999999999993</c:v>
                </c:pt>
                <c:pt idx="105">
                  <c:v>6.8</c:v>
                </c:pt>
                <c:pt idx="110">
                  <c:v>7.1</c:v>
                </c:pt>
                <c:pt idx="113">
                  <c:v>7.1</c:v>
                </c:pt>
                <c:pt idx="116">
                  <c:v>6.8</c:v>
                </c:pt>
                <c:pt idx="119">
                  <c:v>7.2</c:v>
                </c:pt>
                <c:pt idx="120">
                  <c:v>7.8</c:v>
                </c:pt>
                <c:pt idx="123">
                  <c:v>7.2</c:v>
                </c:pt>
                <c:pt idx="126">
                  <c:v>6.8</c:v>
                </c:pt>
                <c:pt idx="129">
                  <c:v>6.4</c:v>
                </c:pt>
                <c:pt idx="134">
                  <c:v>6.9</c:v>
                </c:pt>
                <c:pt idx="137">
                  <c:v>7.4</c:v>
                </c:pt>
                <c:pt idx="140">
                  <c:v>6.5</c:v>
                </c:pt>
                <c:pt idx="143">
                  <c:v>7.2</c:v>
                </c:pt>
                <c:pt idx="144">
                  <c:v>6.7</c:v>
                </c:pt>
                <c:pt idx="147">
                  <c:v>7.4</c:v>
                </c:pt>
                <c:pt idx="150">
                  <c:v>6.9</c:v>
                </c:pt>
                <c:pt idx="153">
                  <c:v>7.2</c:v>
                </c:pt>
                <c:pt idx="158">
                  <c:v>6.1</c:v>
                </c:pt>
                <c:pt idx="161">
                  <c:v>6.7</c:v>
                </c:pt>
                <c:pt idx="164">
                  <c:v>7</c:v>
                </c:pt>
                <c:pt idx="167">
                  <c:v>7.4</c:v>
                </c:pt>
                <c:pt idx="168">
                  <c:v>6.5</c:v>
                </c:pt>
                <c:pt idx="171">
                  <c:v>6.1</c:v>
                </c:pt>
                <c:pt idx="174">
                  <c:v>7.2</c:v>
                </c:pt>
                <c:pt idx="177">
                  <c:v>6</c:v>
                </c:pt>
                <c:pt idx="182">
                  <c:v>6</c:v>
                </c:pt>
                <c:pt idx="185">
                  <c:v>6.8</c:v>
                </c:pt>
                <c:pt idx="188">
                  <c:v>6</c:v>
                </c:pt>
                <c:pt idx="191">
                  <c:v>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6-448A-8A94-DC71E34ACF7A}"/>
            </c:ext>
          </c:extLst>
        </c:ser>
        <c:ser>
          <c:idx val="1"/>
          <c:order val="1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'Moisture content'!$M$26:$M$27</c:f>
              <c:numCache>
                <c:formatCode>General</c:formatCode>
                <c:ptCount val="2"/>
                <c:pt idx="0">
                  <c:v>4</c:v>
                </c:pt>
                <c:pt idx="1">
                  <c:v>10</c:v>
                </c:pt>
              </c:numCache>
            </c:numRef>
          </c:xVal>
          <c:yVal>
            <c:numRef>
              <c:f>'Moisture content'!$M$26:$M$27</c:f>
              <c:numCache>
                <c:formatCode>General</c:formatCode>
                <c:ptCount val="2"/>
                <c:pt idx="0">
                  <c:v>4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6-448A-8A94-DC71E34AC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947728"/>
        <c:axId val="348948288"/>
      </c:scatterChart>
      <c:valAx>
        <c:axId val="348947728"/>
        <c:scaling>
          <c:orientation val="minMax"/>
          <c:max val="10"/>
          <c:min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Oven Method Moisture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48288"/>
        <c:crosses val="autoZero"/>
        <c:crossBetween val="midCat"/>
      </c:valAx>
      <c:valAx>
        <c:axId val="348948288"/>
        <c:scaling>
          <c:orientation val="minMax"/>
          <c:max val="10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Meter</a:t>
                </a:r>
                <a:r>
                  <a:rPr lang="en-US" baseline="0"/>
                  <a:t> reading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4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4</xdr:row>
      <xdr:rowOff>141922</xdr:rowOff>
    </xdr:from>
    <xdr:to>
      <xdr:col>11</xdr:col>
      <xdr:colOff>236220</xdr:colOff>
      <xdr:row>19</xdr:row>
      <xdr:rowOff>160972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66DF9-EF45-E832-F7C7-4FACF3A35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21</xdr:row>
      <xdr:rowOff>38100</xdr:rowOff>
    </xdr:from>
    <xdr:to>
      <xdr:col>11</xdr:col>
      <xdr:colOff>276225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D005F6-D084-4257-9AF2-751DA209A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230808</xdr:colOff>
      <xdr:row>13</xdr:row>
      <xdr:rowOff>49498</xdr:rowOff>
    </xdr:from>
    <xdr:to>
      <xdr:col>18</xdr:col>
      <xdr:colOff>114300</xdr:colOff>
      <xdr:row>24</xdr:row>
      <xdr:rowOff>219075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3C642-3FEB-4169-96A3-4870AA271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BL239"/>
  <sheetViews>
    <sheetView tabSelected="1" zoomScaleNormal="100" workbookViewId="0"/>
  </sheetViews>
  <sheetFormatPr defaultRowHeight="15" x14ac:dyDescent="0.25"/>
  <cols>
    <col min="1" max="2" width="8.85546875" customWidth="1"/>
    <col min="3" max="6" width="10.5703125" bestFit="1" customWidth="1"/>
    <col min="7" max="12" width="10.5703125" customWidth="1"/>
    <col min="13" max="13" width="10.5703125" bestFit="1" customWidth="1"/>
    <col min="26" max="26" width="10.5703125" bestFit="1" customWidth="1"/>
    <col min="36" max="36" width="9.5703125" bestFit="1" customWidth="1"/>
    <col min="38" max="38" width="10.5703125" bestFit="1" customWidth="1"/>
    <col min="39" max="39" width="8.85546875" customWidth="1"/>
    <col min="43" max="43" width="10.5703125" bestFit="1" customWidth="1"/>
    <col min="45" max="45" width="10.5703125" bestFit="1" customWidth="1"/>
    <col min="46" max="46" width="8.85546875" customWidth="1"/>
    <col min="56" max="56" width="10.5703125" bestFit="1" customWidth="1"/>
    <col min="58" max="58" width="10.5703125" bestFit="1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22</v>
      </c>
    </row>
    <row r="4" spans="1:1" x14ac:dyDescent="0.25">
      <c r="A4" t="s">
        <v>26</v>
      </c>
    </row>
    <row r="5" spans="1:1" x14ac:dyDescent="0.25">
      <c r="A5" t="s">
        <v>343</v>
      </c>
    </row>
    <row r="6" spans="1:1" x14ac:dyDescent="0.25">
      <c r="A6" t="s">
        <v>23</v>
      </c>
    </row>
    <row r="7" spans="1:1" x14ac:dyDescent="0.25">
      <c r="A7" t="s">
        <v>348</v>
      </c>
    </row>
    <row r="8" spans="1:1" x14ac:dyDescent="0.25">
      <c r="A8" t="s">
        <v>345</v>
      </c>
    </row>
    <row r="9" spans="1:1" x14ac:dyDescent="0.25">
      <c r="A9" t="s">
        <v>346</v>
      </c>
    </row>
    <row r="10" spans="1:1" x14ac:dyDescent="0.25">
      <c r="A10" t="s">
        <v>347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344</v>
      </c>
    </row>
    <row r="14" spans="1:1" x14ac:dyDescent="0.25">
      <c r="A14" t="s">
        <v>350</v>
      </c>
    </row>
    <row r="15" spans="1:1" x14ac:dyDescent="0.25">
      <c r="A15" t="s">
        <v>349</v>
      </c>
    </row>
    <row r="16" spans="1:1" x14ac:dyDescent="0.25">
      <c r="A16" t="s">
        <v>351</v>
      </c>
    </row>
    <row r="17" spans="1:1" x14ac:dyDescent="0.25">
      <c r="A17" t="s">
        <v>323</v>
      </c>
    </row>
    <row r="18" spans="1:1" x14ac:dyDescent="0.25">
      <c r="A18" t="s">
        <v>324</v>
      </c>
    </row>
    <row r="19" spans="1:1" x14ac:dyDescent="0.25">
      <c r="A19" t="s">
        <v>325</v>
      </c>
    </row>
    <row r="20" spans="1:1" x14ac:dyDescent="0.25">
      <c r="A20" t="s">
        <v>326</v>
      </c>
    </row>
    <row r="21" spans="1:1" x14ac:dyDescent="0.25">
      <c r="A21" t="s">
        <v>327</v>
      </c>
    </row>
    <row r="22" spans="1:1" x14ac:dyDescent="0.25">
      <c r="A22" t="s">
        <v>328</v>
      </c>
    </row>
    <row r="23" spans="1:1" x14ac:dyDescent="0.25">
      <c r="A23" t="s">
        <v>329</v>
      </c>
    </row>
    <row r="24" spans="1:1" x14ac:dyDescent="0.25">
      <c r="A24" t="s">
        <v>330</v>
      </c>
    </row>
    <row r="25" spans="1:1" x14ac:dyDescent="0.25">
      <c r="A25" t="s">
        <v>331</v>
      </c>
    </row>
    <row r="26" spans="1:1" x14ac:dyDescent="0.25">
      <c r="A26" t="s">
        <v>332</v>
      </c>
    </row>
    <row r="27" spans="1:1" x14ac:dyDescent="0.25">
      <c r="A27" t="s">
        <v>333</v>
      </c>
    </row>
    <row r="28" spans="1:1" x14ac:dyDescent="0.25">
      <c r="A28" t="s">
        <v>334</v>
      </c>
    </row>
    <row r="29" spans="1:1" x14ac:dyDescent="0.25">
      <c r="A29" t="s">
        <v>335</v>
      </c>
    </row>
    <row r="30" spans="1:1" x14ac:dyDescent="0.25">
      <c r="A30" t="s">
        <v>336</v>
      </c>
    </row>
    <row r="31" spans="1:1" x14ac:dyDescent="0.25">
      <c r="A31" t="s">
        <v>337</v>
      </c>
    </row>
    <row r="32" spans="1:1" x14ac:dyDescent="0.25">
      <c r="A32" t="s">
        <v>338</v>
      </c>
    </row>
    <row r="34" spans="1:64" x14ac:dyDescent="0.25">
      <c r="A34" t="s">
        <v>5</v>
      </c>
    </row>
    <row r="35" spans="1:64" x14ac:dyDescent="0.25">
      <c r="A35">
        <v>0.38</v>
      </c>
      <c r="B35" t="s">
        <v>245</v>
      </c>
    </row>
    <row r="36" spans="1:64" x14ac:dyDescent="0.25">
      <c r="A36">
        <v>0.453592</v>
      </c>
      <c r="B36" t="s">
        <v>35</v>
      </c>
    </row>
    <row r="37" spans="1:64" x14ac:dyDescent="0.25">
      <c r="A37">
        <f>2*1.016*10</f>
        <v>20.32</v>
      </c>
      <c r="B37" t="s">
        <v>246</v>
      </c>
    </row>
    <row r="38" spans="1:64" x14ac:dyDescent="0.25">
      <c r="A38">
        <v>10000</v>
      </c>
      <c r="B38" t="s">
        <v>6</v>
      </c>
    </row>
    <row r="39" spans="1:64" x14ac:dyDescent="0.25">
      <c r="A39">
        <v>0.16</v>
      </c>
      <c r="B39" t="s">
        <v>52</v>
      </c>
    </row>
    <row r="40" spans="1:64" x14ac:dyDescent="0.25">
      <c r="A40">
        <v>1.68</v>
      </c>
      <c r="B40" t="s">
        <v>322</v>
      </c>
      <c r="AH40" t="s">
        <v>352</v>
      </c>
    </row>
    <row r="42" spans="1:64" x14ac:dyDescent="0.25">
      <c r="B42" s="1"/>
      <c r="C42" s="1" t="s">
        <v>0</v>
      </c>
      <c r="D42" s="1" t="s">
        <v>0</v>
      </c>
      <c r="E42" t="s">
        <v>0</v>
      </c>
      <c r="F42" s="1" t="s">
        <v>0</v>
      </c>
      <c r="G42" t="s">
        <v>38</v>
      </c>
      <c r="H42" t="s">
        <v>38</v>
      </c>
      <c r="I42" t="s">
        <v>38</v>
      </c>
      <c r="J42" t="s">
        <v>38</v>
      </c>
      <c r="K42" s="1" t="s">
        <v>38</v>
      </c>
      <c r="L42" s="1" t="s">
        <v>38</v>
      </c>
      <c r="M42" s="1" t="s">
        <v>7</v>
      </c>
      <c r="N42" t="s">
        <v>7</v>
      </c>
      <c r="O42" t="s">
        <v>7</v>
      </c>
      <c r="P42" t="s">
        <v>7</v>
      </c>
      <c r="Q42" s="1" t="s">
        <v>7</v>
      </c>
      <c r="R42" s="1" t="s">
        <v>7</v>
      </c>
      <c r="S42" s="1" t="s">
        <v>7</v>
      </c>
      <c r="T42" s="1" t="s">
        <v>16</v>
      </c>
      <c r="U42" s="1" t="s">
        <v>16</v>
      </c>
      <c r="V42" s="1" t="s">
        <v>16</v>
      </c>
      <c r="W42" s="1" t="s">
        <v>16</v>
      </c>
      <c r="X42" s="1" t="s">
        <v>16</v>
      </c>
      <c r="Y42" s="1" t="s">
        <v>16</v>
      </c>
      <c r="Z42" s="1" t="s">
        <v>311</v>
      </c>
      <c r="AA42" s="1" t="s">
        <v>311</v>
      </c>
      <c r="AB42" s="1" t="s">
        <v>311</v>
      </c>
      <c r="AC42" s="1" t="s">
        <v>311</v>
      </c>
      <c r="AD42" s="1" t="s">
        <v>311</v>
      </c>
      <c r="AE42" s="1" t="s">
        <v>311</v>
      </c>
      <c r="AF42" s="1" t="s">
        <v>311</v>
      </c>
      <c r="AI42" t="s">
        <v>0</v>
      </c>
      <c r="AJ42" t="s">
        <v>0</v>
      </c>
      <c r="AK42" t="s">
        <v>0</v>
      </c>
      <c r="AL42" t="s">
        <v>0</v>
      </c>
      <c r="AM42" t="s">
        <v>38</v>
      </c>
      <c r="AN42" t="s">
        <v>38</v>
      </c>
      <c r="AO42" t="s">
        <v>38</v>
      </c>
      <c r="AP42" t="s">
        <v>38</v>
      </c>
      <c r="AQ42" t="s">
        <v>38</v>
      </c>
      <c r="AR42" t="s">
        <v>38</v>
      </c>
      <c r="AS42" t="s">
        <v>7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7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311</v>
      </c>
      <c r="BG42" t="s">
        <v>311</v>
      </c>
      <c r="BH42" t="s">
        <v>311</v>
      </c>
      <c r="BI42" t="s">
        <v>311</v>
      </c>
      <c r="BJ42" t="s">
        <v>311</v>
      </c>
      <c r="BK42" t="s">
        <v>311</v>
      </c>
      <c r="BL42" t="s">
        <v>311</v>
      </c>
    </row>
    <row r="43" spans="1:64" x14ac:dyDescent="0.25">
      <c r="B43" s="1"/>
      <c r="C43" s="1"/>
      <c r="D43" s="1"/>
      <c r="F43" s="1"/>
      <c r="H43" t="s">
        <v>41</v>
      </c>
      <c r="I43" t="s">
        <v>42</v>
      </c>
      <c r="J43" t="s">
        <v>43</v>
      </c>
      <c r="K43" s="1"/>
      <c r="L43" s="1"/>
      <c r="M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N43" t="s">
        <v>41</v>
      </c>
      <c r="AO43" t="s">
        <v>42</v>
      </c>
      <c r="AP43" t="s">
        <v>43</v>
      </c>
    </row>
    <row r="44" spans="1:64" x14ac:dyDescent="0.25">
      <c r="B44" s="1"/>
      <c r="C44" s="1"/>
      <c r="D44" s="1"/>
      <c r="E44" t="s">
        <v>1</v>
      </c>
      <c r="F44" s="1"/>
      <c r="G44" t="s">
        <v>39</v>
      </c>
      <c r="H44" t="s">
        <v>40</v>
      </c>
      <c r="I44" t="s">
        <v>8</v>
      </c>
      <c r="J44" t="s">
        <v>8</v>
      </c>
      <c r="K44" s="1"/>
      <c r="L44" s="1"/>
      <c r="M44" s="1" t="s">
        <v>24</v>
      </c>
      <c r="N44" t="s">
        <v>8</v>
      </c>
      <c r="O44" t="s">
        <v>10</v>
      </c>
      <c r="P44" t="s">
        <v>11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K44" t="s">
        <v>1</v>
      </c>
      <c r="AM44" t="s">
        <v>39</v>
      </c>
      <c r="AN44" t="s">
        <v>40</v>
      </c>
      <c r="AO44" t="s">
        <v>8</v>
      </c>
      <c r="AP44" t="s">
        <v>8</v>
      </c>
      <c r="AS44" t="s">
        <v>24</v>
      </c>
      <c r="AT44" t="s">
        <v>8</v>
      </c>
      <c r="AU44" t="s">
        <v>10</v>
      </c>
      <c r="AV44" t="s">
        <v>11</v>
      </c>
    </row>
    <row r="45" spans="1:64" x14ac:dyDescent="0.25">
      <c r="A45" t="s">
        <v>28</v>
      </c>
      <c r="B45" s="1" t="s">
        <v>27</v>
      </c>
      <c r="C45" s="1" t="s">
        <v>21</v>
      </c>
      <c r="D45" s="1" t="s">
        <v>2</v>
      </c>
      <c r="E45" t="s">
        <v>34</v>
      </c>
      <c r="F45" s="1" t="s">
        <v>3</v>
      </c>
      <c r="G45" t="s">
        <v>40</v>
      </c>
      <c r="H45" t="s">
        <v>34</v>
      </c>
      <c r="I45" t="s">
        <v>37</v>
      </c>
      <c r="J45" t="s">
        <v>37</v>
      </c>
      <c r="K45" s="1" t="s">
        <v>44</v>
      </c>
      <c r="L45" s="1" t="s">
        <v>45</v>
      </c>
      <c r="M45" s="1" t="s">
        <v>25</v>
      </c>
      <c r="N45" t="s">
        <v>36</v>
      </c>
      <c r="O45" t="s">
        <v>36</v>
      </c>
      <c r="P45" t="s">
        <v>321</v>
      </c>
      <c r="Q45" s="1" t="s">
        <v>12</v>
      </c>
      <c r="R45" s="1" t="s">
        <v>13</v>
      </c>
      <c r="S45" s="1" t="s">
        <v>14</v>
      </c>
      <c r="T45" s="1" t="s">
        <v>17</v>
      </c>
      <c r="U45" s="1" t="s">
        <v>18</v>
      </c>
      <c r="V45" s="1" t="s">
        <v>19</v>
      </c>
      <c r="W45" s="1" t="s">
        <v>47</v>
      </c>
      <c r="X45" s="1" t="s">
        <v>48</v>
      </c>
      <c r="Y45" s="1" t="s">
        <v>49</v>
      </c>
      <c r="Z45" s="1" t="s">
        <v>312</v>
      </c>
      <c r="AA45" s="1" t="s">
        <v>313</v>
      </c>
      <c r="AB45" s="1" t="s">
        <v>314</v>
      </c>
      <c r="AC45" s="1" t="s">
        <v>315</v>
      </c>
      <c r="AD45" s="1" t="s">
        <v>316</v>
      </c>
      <c r="AE45" s="1" t="s">
        <v>319</v>
      </c>
      <c r="AF45" s="1" t="s">
        <v>320</v>
      </c>
      <c r="AH45" t="s">
        <v>20</v>
      </c>
      <c r="AI45" t="s">
        <v>21</v>
      </c>
      <c r="AJ45" t="s">
        <v>2</v>
      </c>
      <c r="AK45" t="s">
        <v>34</v>
      </c>
      <c r="AL45" t="s">
        <v>3</v>
      </c>
      <c r="AM45" t="s">
        <v>40</v>
      </c>
      <c r="AN45" t="s">
        <v>34</v>
      </c>
      <c r="AO45" t="s">
        <v>37</v>
      </c>
      <c r="AP45" t="s">
        <v>37</v>
      </c>
      <c r="AQ45" t="s">
        <v>44</v>
      </c>
      <c r="AR45" t="s">
        <v>45</v>
      </c>
      <c r="AS45" t="s">
        <v>25</v>
      </c>
      <c r="AT45" t="s">
        <v>36</v>
      </c>
      <c r="AU45" t="s">
        <v>36</v>
      </c>
      <c r="AV45" t="s">
        <v>321</v>
      </c>
      <c r="AW45" t="s">
        <v>12</v>
      </c>
      <c r="AX45" t="s">
        <v>13</v>
      </c>
      <c r="AY45" t="s">
        <v>14</v>
      </c>
      <c r="AZ45" t="s">
        <v>17</v>
      </c>
      <c r="BA45" t="s">
        <v>18</v>
      </c>
      <c r="BB45" t="s">
        <v>19</v>
      </c>
      <c r="BC45" t="s">
        <v>47</v>
      </c>
      <c r="BD45" t="s">
        <v>48</v>
      </c>
      <c r="BE45" t="s">
        <v>49</v>
      </c>
      <c r="BF45" t="s">
        <v>312</v>
      </c>
      <c r="BG45" t="s">
        <v>313</v>
      </c>
      <c r="BH45" t="s">
        <v>314</v>
      </c>
      <c r="BI45" t="s">
        <v>315</v>
      </c>
      <c r="BJ45" t="s">
        <v>316</v>
      </c>
      <c r="BK45" t="s">
        <v>319</v>
      </c>
      <c r="BL45" t="s">
        <v>320</v>
      </c>
    </row>
    <row r="46" spans="1:64" x14ac:dyDescent="0.25">
      <c r="B46" s="1"/>
      <c r="C46" s="1"/>
      <c r="D46" s="1"/>
      <c r="E46" t="s">
        <v>33</v>
      </c>
      <c r="F46" s="1" t="s">
        <v>4</v>
      </c>
      <c r="G46" t="s">
        <v>9</v>
      </c>
      <c r="H46" t="s">
        <v>9</v>
      </c>
      <c r="I46" t="s">
        <v>9</v>
      </c>
      <c r="J46" t="s">
        <v>9</v>
      </c>
      <c r="K46" s="1" t="s">
        <v>46</v>
      </c>
      <c r="L46" s="1" t="s">
        <v>4</v>
      </c>
      <c r="M46" s="1"/>
      <c r="N46" t="s">
        <v>31</v>
      </c>
      <c r="O46" t="s">
        <v>31</v>
      </c>
      <c r="P46" t="s">
        <v>31</v>
      </c>
      <c r="Q46" s="5" t="s">
        <v>15</v>
      </c>
      <c r="R46" s="5" t="s">
        <v>15</v>
      </c>
      <c r="S46" s="5" t="s">
        <v>15</v>
      </c>
      <c r="T46" s="5" t="s">
        <v>4</v>
      </c>
      <c r="U46" s="5" t="s">
        <v>4</v>
      </c>
      <c r="V46" s="5" t="s">
        <v>4</v>
      </c>
      <c r="W46" s="5" t="s">
        <v>4</v>
      </c>
      <c r="X46" s="5" t="s">
        <v>4</v>
      </c>
      <c r="Y46" s="5" t="s">
        <v>4</v>
      </c>
      <c r="Z46" s="5"/>
      <c r="AA46" s="5"/>
      <c r="AB46" s="1" t="s">
        <v>317</v>
      </c>
      <c r="AC46" s="1" t="s">
        <v>46</v>
      </c>
      <c r="AD46" s="1" t="s">
        <v>318</v>
      </c>
      <c r="AE46" s="5" t="s">
        <v>46</v>
      </c>
      <c r="AF46" s="5" t="s">
        <v>46</v>
      </c>
      <c r="AK46" t="s">
        <v>33</v>
      </c>
      <c r="AL46" t="s">
        <v>4</v>
      </c>
      <c r="AM46" t="s">
        <v>9</v>
      </c>
      <c r="AN46" t="s">
        <v>9</v>
      </c>
      <c r="AO46" t="s">
        <v>9</v>
      </c>
      <c r="AP46" t="s">
        <v>9</v>
      </c>
      <c r="AQ46" t="s">
        <v>46</v>
      </c>
      <c r="AR46" t="s">
        <v>4</v>
      </c>
      <c r="AT46" t="s">
        <v>31</v>
      </c>
      <c r="AU46" t="s">
        <v>31</v>
      </c>
      <c r="AV46" t="s">
        <v>31</v>
      </c>
      <c r="AW46" s="7" t="s">
        <v>15</v>
      </c>
      <c r="AX46" s="7" t="s">
        <v>15</v>
      </c>
      <c r="AY46" s="7" t="s">
        <v>15</v>
      </c>
      <c r="AZ46" s="7" t="s">
        <v>4</v>
      </c>
      <c r="BA46" s="7" t="s">
        <v>4</v>
      </c>
      <c r="BB46" s="7" t="s">
        <v>4</v>
      </c>
      <c r="BC46" s="7" t="s">
        <v>4</v>
      </c>
      <c r="BD46" s="7" t="s">
        <v>4</v>
      </c>
      <c r="BE46" s="7" t="s">
        <v>4</v>
      </c>
      <c r="BF46" s="7"/>
      <c r="BG46" s="7"/>
      <c r="BH46" t="s">
        <v>317</v>
      </c>
      <c r="BI46" t="s">
        <v>46</v>
      </c>
      <c r="BJ46" t="s">
        <v>318</v>
      </c>
      <c r="BK46" s="7" t="s">
        <v>46</v>
      </c>
      <c r="BL46" s="7" t="s">
        <v>46</v>
      </c>
    </row>
    <row r="47" spans="1:64" x14ac:dyDescent="0.25">
      <c r="A47" t="s">
        <v>28</v>
      </c>
      <c r="B47" s="1" t="s">
        <v>27</v>
      </c>
      <c r="C47" s="1" t="s">
        <v>21</v>
      </c>
      <c r="D47" s="1" t="s">
        <v>2</v>
      </c>
      <c r="F47" s="1" t="s">
        <v>3</v>
      </c>
      <c r="K47" s="1" t="s">
        <v>44</v>
      </c>
      <c r="L47" s="1" t="s">
        <v>45</v>
      </c>
      <c r="M47" s="1" t="s">
        <v>25</v>
      </c>
      <c r="Q47" s="1" t="s">
        <v>12</v>
      </c>
      <c r="R47" s="1" t="s">
        <v>13</v>
      </c>
      <c r="S47" s="1" t="s">
        <v>14</v>
      </c>
      <c r="T47" s="1" t="s">
        <v>17</v>
      </c>
      <c r="U47" s="1" t="s">
        <v>18</v>
      </c>
      <c r="V47" s="1" t="s">
        <v>19</v>
      </c>
      <c r="W47" s="1" t="s">
        <v>47</v>
      </c>
      <c r="X47" s="1" t="s">
        <v>48</v>
      </c>
      <c r="Y47" s="1" t="s">
        <v>49</v>
      </c>
      <c r="Z47" s="1" t="s">
        <v>312</v>
      </c>
      <c r="AA47" s="1" t="s">
        <v>313</v>
      </c>
      <c r="AB47" s="1" t="s">
        <v>314</v>
      </c>
      <c r="AC47" s="1" t="s">
        <v>315</v>
      </c>
      <c r="AD47" s="1" t="s">
        <v>316</v>
      </c>
      <c r="AE47" s="1" t="s">
        <v>319</v>
      </c>
      <c r="AF47" s="1" t="s">
        <v>320</v>
      </c>
      <c r="AH47" t="s">
        <v>20</v>
      </c>
      <c r="AI47" t="s">
        <v>21</v>
      </c>
      <c r="AJ47" t="s">
        <v>2</v>
      </c>
      <c r="AL47" t="s">
        <v>3</v>
      </c>
      <c r="AQ47" t="s">
        <v>44</v>
      </c>
      <c r="AR47" t="s">
        <v>45</v>
      </c>
      <c r="AS47" t="s">
        <v>25</v>
      </c>
      <c r="AW47" t="s">
        <v>12</v>
      </c>
      <c r="AX47" t="s">
        <v>13</v>
      </c>
      <c r="AY47" t="s">
        <v>14</v>
      </c>
      <c r="AZ47" t="s">
        <v>17</v>
      </c>
      <c r="BA47" t="s">
        <v>18</v>
      </c>
      <c r="BB47" t="s">
        <v>19</v>
      </c>
      <c r="BC47" t="s">
        <v>47</v>
      </c>
      <c r="BD47" t="s">
        <v>48</v>
      </c>
      <c r="BE47" t="s">
        <v>49</v>
      </c>
      <c r="BF47" t="s">
        <v>312</v>
      </c>
      <c r="BG47" t="s">
        <v>313</v>
      </c>
      <c r="BH47" t="s">
        <v>314</v>
      </c>
      <c r="BI47" t="s">
        <v>315</v>
      </c>
      <c r="BJ47" t="s">
        <v>316</v>
      </c>
      <c r="BK47" t="s">
        <v>319</v>
      </c>
      <c r="BL47" t="s">
        <v>320</v>
      </c>
    </row>
    <row r="48" spans="1:64" x14ac:dyDescent="0.25">
      <c r="A48">
        <v>1</v>
      </c>
      <c r="B48" s="1" t="s">
        <v>53</v>
      </c>
      <c r="C48" s="1" t="s">
        <v>32</v>
      </c>
      <c r="D48" s="2">
        <v>43047</v>
      </c>
      <c r="E48" s="3">
        <v>21.9</v>
      </c>
      <c r="F48" s="4">
        <f>(E48-$A$35)*$A$36/$A$37*$A$38</f>
        <v>4803.7892913385822</v>
      </c>
      <c r="G48" s="7">
        <v>9.7100000000000009</v>
      </c>
      <c r="H48" s="7">
        <v>175.62</v>
      </c>
      <c r="I48" s="7">
        <f>H48-G48</f>
        <v>165.91</v>
      </c>
      <c r="J48" s="7">
        <v>153</v>
      </c>
      <c r="K48" s="5">
        <f>(I48-J48)/I48*100</f>
        <v>7.7813272256042412</v>
      </c>
      <c r="L48" s="4">
        <f>F48*(1-K48/100)</f>
        <v>4429.9907273509925</v>
      </c>
      <c r="M48" s="2">
        <v>43054</v>
      </c>
      <c r="N48" s="7">
        <v>9.52</v>
      </c>
      <c r="O48" s="7">
        <v>3.5</v>
      </c>
      <c r="P48" s="7">
        <v>6.36</v>
      </c>
      <c r="Q48" s="6">
        <f t="shared" ref="Q48:Q92" si="0">(O48-$A$39)/(N48-$A$39)</f>
        <v>0.35683760683760685</v>
      </c>
      <c r="R48" s="6">
        <f t="shared" ref="R48:R92" si="1">(P48-$A$40)/(N48-$A$39)</f>
        <v>0.50000000000000011</v>
      </c>
      <c r="S48" s="6">
        <f>1-Q48-R48</f>
        <v>0.14316239316239299</v>
      </c>
      <c r="T48" s="4">
        <f>F48*Q48</f>
        <v>1714.172674473383</v>
      </c>
      <c r="U48" s="4">
        <f>F48*R48</f>
        <v>2401.8946456692915</v>
      </c>
      <c r="V48" s="4">
        <f>T48+U48</f>
        <v>4116.0673201426744</v>
      </c>
      <c r="W48" s="4">
        <f>L48*Q48</f>
        <v>1580.7872894607174</v>
      </c>
      <c r="X48" s="4">
        <f>L48*R48</f>
        <v>2214.9953636754967</v>
      </c>
      <c r="Y48" s="4">
        <f>W48+X48</f>
        <v>3795.7826531362143</v>
      </c>
      <c r="Z48" s="10"/>
      <c r="AA48" s="12"/>
      <c r="AB48" s="5"/>
      <c r="AC48" s="4"/>
      <c r="AD48" s="4"/>
      <c r="AE48" s="4"/>
      <c r="AF48" s="4"/>
      <c r="AG48" s="3"/>
      <c r="AH48" t="s">
        <v>247</v>
      </c>
      <c r="AI48" t="str">
        <f>C48</f>
        <v>Machine</v>
      </c>
      <c r="AJ48" s="8">
        <f>D48</f>
        <v>43047</v>
      </c>
      <c r="AK48" s="3">
        <f>SUM(E48:E50)</f>
        <v>67.699999999999989</v>
      </c>
      <c r="AL48" s="3">
        <f>(AK48-3*$A$35)*$A$36/(3*$A$37)*$A$38</f>
        <v>4952.605564304461</v>
      </c>
      <c r="AM48" s="7">
        <f>SUM(G48:G50)</f>
        <v>29.130000000000003</v>
      </c>
      <c r="AN48" s="7">
        <f>SUM(H48:H50)</f>
        <v>586.36</v>
      </c>
      <c r="AO48" s="7">
        <f>AN48-AM48</f>
        <v>557.23</v>
      </c>
      <c r="AP48" s="7">
        <f>SUM(J48:J50)</f>
        <v>505.60999999999996</v>
      </c>
      <c r="AQ48" s="7">
        <f>(AO48-AP48)/AO48*100</f>
        <v>9.2636792706781872</v>
      </c>
      <c r="AR48" s="3">
        <f>AL48*(1-AQ48/100)</f>
        <v>4493.8120692855337</v>
      </c>
      <c r="AS48" s="11">
        <f>M48</f>
        <v>43054</v>
      </c>
      <c r="AT48" s="7">
        <f>SUM(N48:N50)</f>
        <v>29.200000000000003</v>
      </c>
      <c r="AU48" s="7">
        <f>SUM(O48:O50)</f>
        <v>11.040000000000001</v>
      </c>
      <c r="AV48" s="7">
        <f>SUM(P48:P50)</f>
        <v>19.16</v>
      </c>
      <c r="AW48" s="9">
        <f>(AU48-3*$A$39)/(AT48-3*$A$39)</f>
        <v>0.36768802228412256</v>
      </c>
      <c r="AX48" s="9">
        <f>(AV48-3*$A$40)/(AT48-3*$A$39)</f>
        <v>0.49164345403899723</v>
      </c>
      <c r="AY48" s="9">
        <f>1-AW48-AX48</f>
        <v>0.14066852367688021</v>
      </c>
      <c r="AZ48" s="3">
        <f>AL48*AW48</f>
        <v>1821.0137450924481</v>
      </c>
      <c r="BA48" s="3">
        <f>AL48*AX48</f>
        <v>2434.9161061274021</v>
      </c>
      <c r="BB48" s="3">
        <f>AZ48+BA48</f>
        <v>4255.9298512198502</v>
      </c>
      <c r="BC48" s="3">
        <f>AR48*AW48</f>
        <v>1652.3208722721183</v>
      </c>
      <c r="BD48" s="3">
        <f>AR48*AX48</f>
        <v>2209.3532875456731</v>
      </c>
      <c r="BE48" s="3">
        <f>BC48+BD48</f>
        <v>3861.6741598177914</v>
      </c>
      <c r="BF48" s="11">
        <f>Z49</f>
        <v>43077</v>
      </c>
      <c r="BG48" s="13">
        <f>AVERAGE(AA48:AA50)</f>
        <v>47</v>
      </c>
      <c r="BH48" s="7">
        <f t="shared" ref="BH48:BL48" si="2">AVERAGE(AB48:AB50)</f>
        <v>1.17</v>
      </c>
      <c r="BI48" s="3">
        <f t="shared" si="2"/>
        <v>80.8</v>
      </c>
      <c r="BJ48" s="3">
        <f t="shared" si="2"/>
        <v>31.7</v>
      </c>
      <c r="BK48" s="3">
        <f t="shared" si="2"/>
        <v>6.2</v>
      </c>
      <c r="BL48" s="3">
        <f t="shared" si="2"/>
        <v>9.6</v>
      </c>
    </row>
    <row r="49" spans="1:64" x14ac:dyDescent="0.25">
      <c r="A49">
        <v>2</v>
      </c>
      <c r="B49" s="1" t="s">
        <v>54</v>
      </c>
      <c r="C49" s="1" t="s">
        <v>32</v>
      </c>
      <c r="D49" s="2">
        <v>43047</v>
      </c>
      <c r="E49" s="3">
        <v>23.2</v>
      </c>
      <c r="F49" s="4">
        <f t="shared" ref="F49:F112" si="3">(E49-$A$35)*$A$36/$A$37*$A$38</f>
        <v>5093.9810236220474</v>
      </c>
      <c r="G49" s="7">
        <v>9.7100000000000009</v>
      </c>
      <c r="H49" s="7">
        <v>228.47</v>
      </c>
      <c r="I49" s="7">
        <f>H49-G49</f>
        <v>218.76</v>
      </c>
      <c r="J49" s="7">
        <v>193.91</v>
      </c>
      <c r="K49" s="5">
        <f t="shared" ref="K49:K112" si="4">(I49-J49)/I49*100</f>
        <v>11.35948070945328</v>
      </c>
      <c r="L49" s="4">
        <f t="shared" ref="L49:L112" si="5">F49*(1-K49/100)</f>
        <v>4515.3312319004908</v>
      </c>
      <c r="M49" s="2">
        <v>43054</v>
      </c>
      <c r="N49" s="7">
        <v>9.94</v>
      </c>
      <c r="O49" s="7">
        <v>3.9</v>
      </c>
      <c r="P49" s="7">
        <v>6.46</v>
      </c>
      <c r="Q49" s="6">
        <f t="shared" si="0"/>
        <v>0.3824130879345603</v>
      </c>
      <c r="R49" s="6">
        <f t="shared" si="1"/>
        <v>0.48875255623721886</v>
      </c>
      <c r="S49" s="6">
        <f t="shared" ref="S49:S112" si="6">1-Q49-R49</f>
        <v>0.12883435582822084</v>
      </c>
      <c r="T49" s="4">
        <f t="shared" ref="T49:T112" si="7">F49*Q49</f>
        <v>1948.0050131233595</v>
      </c>
      <c r="U49" s="4">
        <f t="shared" ref="U49:U112" si="8">F49*R49</f>
        <v>2489.6962467191602</v>
      </c>
      <c r="V49" s="4">
        <f t="shared" ref="V49:V112" si="9">T49+U49</f>
        <v>4437.7012598425199</v>
      </c>
      <c r="W49" s="4">
        <f t="shared" ref="W49:W112" si="10">L49*Q49</f>
        <v>1726.721759438429</v>
      </c>
      <c r="X49" s="4">
        <f t="shared" ref="X49:X112" si="11">L49*R49</f>
        <v>2206.8796818491155</v>
      </c>
      <c r="Y49" s="4">
        <f t="shared" ref="Y49:Y112" si="12">W49+X49</f>
        <v>3933.6014412875447</v>
      </c>
      <c r="Z49" s="10">
        <v>43077</v>
      </c>
      <c r="AA49" s="12">
        <v>47</v>
      </c>
      <c r="AB49" s="5">
        <v>1.17</v>
      </c>
      <c r="AC49" s="4">
        <v>80.8</v>
      </c>
      <c r="AD49" s="4">
        <v>31.7</v>
      </c>
      <c r="AE49" s="4">
        <v>6.2</v>
      </c>
      <c r="AF49" s="4">
        <v>9.6</v>
      </c>
      <c r="AG49" s="3"/>
      <c r="AK49" s="3"/>
      <c r="AL49" s="3"/>
      <c r="AM49" s="7"/>
      <c r="AN49" s="7"/>
      <c r="AO49" s="7"/>
      <c r="AP49" s="7"/>
      <c r="AQ49" s="7"/>
      <c r="AR49" s="3"/>
      <c r="AS49" s="3"/>
      <c r="AT49" s="7"/>
      <c r="AU49" s="7"/>
      <c r="AV49" s="7"/>
      <c r="AW49" s="9"/>
      <c r="AX49" s="9"/>
      <c r="AY49" s="9"/>
      <c r="AZ49" s="3"/>
      <c r="BA49" s="3"/>
      <c r="BB49" s="3"/>
      <c r="BC49" s="3"/>
      <c r="BD49" s="3"/>
      <c r="BE49" s="3"/>
      <c r="BG49" s="13"/>
      <c r="BH49" s="7"/>
      <c r="BI49" s="3"/>
      <c r="BJ49" s="3"/>
      <c r="BK49" s="3"/>
      <c r="BL49" s="3"/>
    </row>
    <row r="50" spans="1:64" x14ac:dyDescent="0.25">
      <c r="A50">
        <v>3</v>
      </c>
      <c r="B50" s="1" t="s">
        <v>55</v>
      </c>
      <c r="C50" s="1" t="s">
        <v>32</v>
      </c>
      <c r="D50" s="2">
        <v>43047</v>
      </c>
      <c r="E50" s="3">
        <v>22.6</v>
      </c>
      <c r="F50" s="4">
        <f t="shared" si="3"/>
        <v>4960.0463779527563</v>
      </c>
      <c r="G50" s="7">
        <v>9.7100000000000009</v>
      </c>
      <c r="H50" s="7">
        <v>182.27</v>
      </c>
      <c r="I50" s="7">
        <f t="shared" ref="I50:I113" si="13">H50-G50</f>
        <v>172.56</v>
      </c>
      <c r="J50" s="7">
        <v>158.69999999999999</v>
      </c>
      <c r="K50" s="5">
        <f t="shared" si="4"/>
        <v>8.0319888734353349</v>
      </c>
      <c r="L50" s="4">
        <f t="shared" si="5"/>
        <v>4561.6560047583589</v>
      </c>
      <c r="M50" s="2">
        <v>43054</v>
      </c>
      <c r="N50" s="7">
        <v>9.74</v>
      </c>
      <c r="O50" s="7">
        <v>3.64</v>
      </c>
      <c r="P50" s="7">
        <v>6.34</v>
      </c>
      <c r="Q50" s="6">
        <f t="shared" si="0"/>
        <v>0.36325678496868474</v>
      </c>
      <c r="R50" s="6">
        <f t="shared" si="1"/>
        <v>0.48643006263048016</v>
      </c>
      <c r="S50" s="6">
        <f t="shared" si="6"/>
        <v>0.15031315240083509</v>
      </c>
      <c r="T50" s="4">
        <f t="shared" si="7"/>
        <v>1801.770500550688</v>
      </c>
      <c r="U50" s="4">
        <f t="shared" si="8"/>
        <v>2412.7156702776456</v>
      </c>
      <c r="V50" s="4">
        <f t="shared" si="9"/>
        <v>4214.4861708283333</v>
      </c>
      <c r="W50" s="4">
        <f t="shared" si="10"/>
        <v>1657.0524944216168</v>
      </c>
      <c r="X50" s="4">
        <f t="shared" si="11"/>
        <v>2218.9266160933144</v>
      </c>
      <c r="Y50" s="4">
        <f t="shared" si="12"/>
        <v>3875.9791105149311</v>
      </c>
      <c r="Z50" s="10"/>
      <c r="AA50" s="12"/>
      <c r="AB50" s="5"/>
      <c r="AC50" s="4"/>
      <c r="AD50" s="4"/>
      <c r="AE50" s="4"/>
      <c r="AF50" s="4"/>
      <c r="AG50" s="3"/>
      <c r="AK50" s="3"/>
      <c r="AL50" s="3"/>
      <c r="AM50" s="7"/>
      <c r="AN50" s="7"/>
      <c r="AO50" s="7"/>
      <c r="AP50" s="7"/>
      <c r="AQ50" s="7"/>
      <c r="AR50" s="3"/>
      <c r="AS50" s="3"/>
      <c r="AT50" s="7"/>
      <c r="AU50" s="7"/>
      <c r="AV50" s="7"/>
      <c r="AW50" s="9"/>
      <c r="AX50" s="9"/>
      <c r="AY50" s="9"/>
      <c r="AZ50" s="3"/>
      <c r="BA50" s="3"/>
      <c r="BB50" s="3"/>
      <c r="BC50" s="3"/>
      <c r="BD50" s="3"/>
      <c r="BE50" s="3"/>
      <c r="BG50" s="13"/>
      <c r="BH50" s="7"/>
      <c r="BI50" s="3"/>
      <c r="BJ50" s="3"/>
      <c r="BK50" s="3"/>
      <c r="BL50" s="3"/>
    </row>
    <row r="51" spans="1:64" x14ac:dyDescent="0.25">
      <c r="A51">
        <v>4</v>
      </c>
      <c r="B51" s="1" t="s">
        <v>56</v>
      </c>
      <c r="C51" s="1" t="s">
        <v>32</v>
      </c>
      <c r="D51" s="2">
        <v>43047</v>
      </c>
      <c r="E51" s="3">
        <v>24.9</v>
      </c>
      <c r="F51" s="4">
        <f t="shared" si="3"/>
        <v>5473.4625196850384</v>
      </c>
      <c r="G51" s="7">
        <v>9.7100000000000009</v>
      </c>
      <c r="H51" s="7">
        <v>151.54</v>
      </c>
      <c r="I51" s="7">
        <f t="shared" si="13"/>
        <v>141.82999999999998</v>
      </c>
      <c r="J51" s="7">
        <v>131.49</v>
      </c>
      <c r="K51" s="5">
        <f t="shared" si="4"/>
        <v>7.2904181061834423</v>
      </c>
      <c r="L51" s="4">
        <f t="shared" si="5"/>
        <v>5074.4242171147562</v>
      </c>
      <c r="M51" s="2">
        <v>43054</v>
      </c>
      <c r="N51" s="7">
        <v>10.82</v>
      </c>
      <c r="O51" s="7">
        <v>4.12</v>
      </c>
      <c r="P51" s="7">
        <v>6.88</v>
      </c>
      <c r="Q51" s="6">
        <f t="shared" si="0"/>
        <v>0.37148217636022512</v>
      </c>
      <c r="R51" s="6">
        <f t="shared" si="1"/>
        <v>0.48780487804878048</v>
      </c>
      <c r="S51" s="6">
        <f t="shared" si="6"/>
        <v>0.14071294559099434</v>
      </c>
      <c r="T51" s="4">
        <f t="shared" si="7"/>
        <v>2033.2937690387196</v>
      </c>
      <c r="U51" s="4">
        <f t="shared" si="8"/>
        <v>2669.9817169195308</v>
      </c>
      <c r="V51" s="4">
        <f t="shared" si="9"/>
        <v>4703.2754859582501</v>
      </c>
      <c r="W51" s="4">
        <f t="shared" si="10"/>
        <v>1885.0581519488212</v>
      </c>
      <c r="X51" s="4">
        <f t="shared" si="11"/>
        <v>2475.3288863974421</v>
      </c>
      <c r="Y51" s="4">
        <f t="shared" si="12"/>
        <v>4360.3870383462636</v>
      </c>
      <c r="Z51" s="10"/>
      <c r="AA51" s="12"/>
      <c r="AB51" s="5"/>
      <c r="AC51" s="4"/>
      <c r="AD51" s="4"/>
      <c r="AE51" s="4"/>
      <c r="AF51" s="4"/>
      <c r="AG51" s="3"/>
      <c r="AH51" t="s">
        <v>248</v>
      </c>
      <c r="AI51" t="s">
        <v>32</v>
      </c>
      <c r="AJ51" s="8">
        <f>D51</f>
        <v>43047</v>
      </c>
      <c r="AK51" s="3">
        <f>SUM(E51:E53)</f>
        <v>71.7</v>
      </c>
      <c r="AL51" s="3">
        <f>(AK51-3*$A$35)*$A$36/(3*$A$37)*$A$38</f>
        <v>5250.2381102362206</v>
      </c>
      <c r="AM51" s="7">
        <f>SUM(G51:G53)</f>
        <v>29.150000000000002</v>
      </c>
      <c r="AN51" s="7">
        <f>SUM(H51:H53)</f>
        <v>535.29999999999995</v>
      </c>
      <c r="AO51" s="7">
        <f>AN51-AM51</f>
        <v>506.15</v>
      </c>
      <c r="AP51" s="7">
        <f>SUM(J51:J53)</f>
        <v>469.01</v>
      </c>
      <c r="AQ51" s="7">
        <f>(AO51-AP51)/AO51*100</f>
        <v>7.3377457275511189</v>
      </c>
      <c r="AR51" s="3">
        <f>AL51*(1-AQ51/100)</f>
        <v>4864.9889876161023</v>
      </c>
      <c r="AS51" s="11">
        <f>M51</f>
        <v>43054</v>
      </c>
      <c r="AT51" s="7">
        <f>SUM(N51:N53)</f>
        <v>31.03</v>
      </c>
      <c r="AU51" s="7">
        <f>SUM(O51:O53)</f>
        <v>11.879999999999999</v>
      </c>
      <c r="AV51" s="7">
        <f>SUM(P51:P53)</f>
        <v>20.079999999999998</v>
      </c>
      <c r="AW51" s="9">
        <f>(AU51-3*$A$39)/(AT51-3*$A$39)</f>
        <v>0.37315875613747951</v>
      </c>
      <c r="AX51" s="9">
        <f>(AV51-3*$A$40)/(AT51-3*$A$39)</f>
        <v>0.49230769230769228</v>
      </c>
      <c r="AY51" s="9">
        <f>1-AW51-AX51</f>
        <v>0.13453355155482821</v>
      </c>
      <c r="AZ51" s="3">
        <f>AL51*AW51</f>
        <v>1959.1723226413392</v>
      </c>
      <c r="BA51" s="3">
        <f>AL51*AX51</f>
        <v>2584.7326081162932</v>
      </c>
      <c r="BB51" s="3">
        <f>AZ51+BA51</f>
        <v>4543.9049307576324</v>
      </c>
      <c r="BC51" s="3">
        <f>AR51*AW51</f>
        <v>1815.4132392413605</v>
      </c>
      <c r="BD51" s="3">
        <f>AR51*AX51</f>
        <v>2395.0715015956193</v>
      </c>
      <c r="BE51" s="3">
        <f>BC51+BD51</f>
        <v>4210.4847408369797</v>
      </c>
      <c r="BF51" s="11">
        <f>Z52</f>
        <v>43077</v>
      </c>
      <c r="BG51" s="13">
        <f>AVERAGE(AA51:AA53)</f>
        <v>44</v>
      </c>
      <c r="BH51" s="7">
        <f t="shared" ref="BH51" si="14">AVERAGE(AB51:AB53)</f>
        <v>1.18</v>
      </c>
      <c r="BI51" s="3">
        <f t="shared" ref="BI51" si="15">AVERAGE(AC51:AC53)</f>
        <v>81.400000000000006</v>
      </c>
      <c r="BJ51" s="3">
        <f t="shared" ref="BJ51" si="16">AVERAGE(AD51:AD53)</f>
        <v>32.700000000000003</v>
      </c>
      <c r="BK51" s="3">
        <f t="shared" ref="BK51" si="17">AVERAGE(AE51:AE53)</f>
        <v>6.1</v>
      </c>
      <c r="BL51" s="3">
        <f t="shared" ref="BL51" si="18">AVERAGE(AF51:AF53)</f>
        <v>8.8000000000000007</v>
      </c>
    </row>
    <row r="52" spans="1:64" x14ac:dyDescent="0.25">
      <c r="A52">
        <v>5</v>
      </c>
      <c r="B52" s="1" t="s">
        <v>57</v>
      </c>
      <c r="C52" s="1" t="s">
        <v>32</v>
      </c>
      <c r="D52" s="2">
        <v>43047</v>
      </c>
      <c r="E52" s="3">
        <v>23</v>
      </c>
      <c r="F52" s="4">
        <f t="shared" si="3"/>
        <v>5049.3361417322831</v>
      </c>
      <c r="G52" s="7">
        <v>9.73</v>
      </c>
      <c r="H52" s="7">
        <v>225.91</v>
      </c>
      <c r="I52" s="7">
        <f t="shared" si="13"/>
        <v>216.18</v>
      </c>
      <c r="J52" s="7">
        <v>199.74</v>
      </c>
      <c r="K52" s="5">
        <f t="shared" si="4"/>
        <v>7.6047737996114337</v>
      </c>
      <c r="L52" s="4">
        <f t="shared" si="5"/>
        <v>4665.3455497715158</v>
      </c>
      <c r="M52" s="2">
        <v>43054</v>
      </c>
      <c r="N52" s="7">
        <v>9.84</v>
      </c>
      <c r="O52" s="7">
        <v>3.88</v>
      </c>
      <c r="P52" s="7">
        <v>6.46</v>
      </c>
      <c r="Q52" s="6">
        <f t="shared" si="0"/>
        <v>0.38429752066115702</v>
      </c>
      <c r="R52" s="6">
        <f t="shared" si="1"/>
        <v>0.493801652892562</v>
      </c>
      <c r="S52" s="6">
        <f t="shared" si="6"/>
        <v>0.12190082644628103</v>
      </c>
      <c r="T52" s="4">
        <f t="shared" si="7"/>
        <v>1940.447360252489</v>
      </c>
      <c r="U52" s="4">
        <f t="shared" si="8"/>
        <v>2493.3705327975531</v>
      </c>
      <c r="V52" s="4">
        <f t="shared" si="9"/>
        <v>4433.8178930500417</v>
      </c>
      <c r="W52" s="4">
        <f t="shared" si="10"/>
        <v>1792.8807278047561</v>
      </c>
      <c r="X52" s="4">
        <f t="shared" si="11"/>
        <v>2303.7553437921329</v>
      </c>
      <c r="Y52" s="4">
        <f t="shared" si="12"/>
        <v>4096.6360715968895</v>
      </c>
      <c r="Z52" s="10">
        <v>43077</v>
      </c>
      <c r="AA52" s="12">
        <v>44</v>
      </c>
      <c r="AB52" s="5">
        <v>1.18</v>
      </c>
      <c r="AC52" s="4">
        <v>81.400000000000006</v>
      </c>
      <c r="AD52" s="4">
        <v>32.700000000000003</v>
      </c>
      <c r="AE52" s="4">
        <v>6.1</v>
      </c>
      <c r="AF52" s="4">
        <v>8.8000000000000007</v>
      </c>
      <c r="AG52" s="3"/>
      <c r="AK52" s="3"/>
      <c r="AL52" s="3"/>
      <c r="AM52" s="7"/>
      <c r="AN52" s="7"/>
      <c r="AO52" s="7"/>
      <c r="AP52" s="7"/>
      <c r="AQ52" s="7"/>
      <c r="AR52" s="3"/>
      <c r="AS52" s="3"/>
      <c r="AT52" s="7"/>
      <c r="AU52" s="7"/>
      <c r="AV52" s="7"/>
      <c r="AW52" s="9"/>
      <c r="AX52" s="9"/>
      <c r="AY52" s="9"/>
      <c r="AZ52" s="3"/>
      <c r="BA52" s="3"/>
      <c r="BB52" s="3"/>
      <c r="BC52" s="3"/>
      <c r="BD52" s="3"/>
      <c r="BE52" s="3"/>
      <c r="BG52" s="13"/>
      <c r="BH52" s="7"/>
      <c r="BI52" s="3"/>
      <c r="BJ52" s="3"/>
      <c r="BK52" s="3"/>
      <c r="BL52" s="3"/>
    </row>
    <row r="53" spans="1:64" x14ac:dyDescent="0.25">
      <c r="A53">
        <v>6</v>
      </c>
      <c r="B53" s="1" t="s">
        <v>58</v>
      </c>
      <c r="C53" s="1" t="s">
        <v>32</v>
      </c>
      <c r="D53" s="2">
        <v>43047</v>
      </c>
      <c r="E53" s="3">
        <v>23.8</v>
      </c>
      <c r="F53" s="4">
        <f t="shared" si="3"/>
        <v>5227.9156692913384</v>
      </c>
      <c r="G53" s="7">
        <v>9.7100000000000009</v>
      </c>
      <c r="H53" s="7">
        <v>157.85</v>
      </c>
      <c r="I53" s="7">
        <f t="shared" si="13"/>
        <v>148.13999999999999</v>
      </c>
      <c r="J53" s="7">
        <v>137.78</v>
      </c>
      <c r="K53" s="5">
        <f t="shared" si="4"/>
        <v>6.9933846361549801</v>
      </c>
      <c r="L53" s="4">
        <f t="shared" si="5"/>
        <v>4862.3074180839794</v>
      </c>
      <c r="M53" s="2">
        <v>43054</v>
      </c>
      <c r="N53" s="7">
        <v>10.37</v>
      </c>
      <c r="O53" s="7">
        <v>3.88</v>
      </c>
      <c r="P53" s="7">
        <v>6.74</v>
      </c>
      <c r="Q53" s="6">
        <f t="shared" si="0"/>
        <v>0.36434867776689522</v>
      </c>
      <c r="R53" s="6">
        <f t="shared" si="1"/>
        <v>0.49559255631733606</v>
      </c>
      <c r="S53" s="6">
        <f t="shared" si="6"/>
        <v>0.14005876591576877</v>
      </c>
      <c r="T53" s="4">
        <f t="shared" si="7"/>
        <v>1904.7841615831323</v>
      </c>
      <c r="U53" s="4">
        <f t="shared" si="8"/>
        <v>2590.9160907555515</v>
      </c>
      <c r="V53" s="4">
        <f t="shared" si="9"/>
        <v>4495.7002523386836</v>
      </c>
      <c r="W53" s="4">
        <f t="shared" si="10"/>
        <v>1771.5752786750641</v>
      </c>
      <c r="X53" s="4">
        <f t="shared" si="11"/>
        <v>2409.7233629289854</v>
      </c>
      <c r="Y53" s="4">
        <f t="shared" si="12"/>
        <v>4181.2986416040494</v>
      </c>
      <c r="Z53" s="10"/>
      <c r="AA53" s="12"/>
      <c r="AB53" s="5"/>
      <c r="AC53" s="4"/>
      <c r="AD53" s="4"/>
      <c r="AE53" s="4"/>
      <c r="AF53" s="4"/>
      <c r="AG53" s="3"/>
      <c r="AK53" s="3"/>
      <c r="AL53" s="3"/>
      <c r="AM53" s="7"/>
      <c r="AN53" s="7"/>
      <c r="AO53" s="7"/>
      <c r="AP53" s="7"/>
      <c r="AQ53" s="7"/>
      <c r="AR53" s="3"/>
      <c r="AS53" s="3"/>
      <c r="AT53" s="7"/>
      <c r="AU53" s="7"/>
      <c r="AV53" s="7"/>
      <c r="AW53" s="9"/>
      <c r="AX53" s="9"/>
      <c r="AY53" s="9"/>
      <c r="AZ53" s="3"/>
      <c r="BA53" s="3"/>
      <c r="BB53" s="3"/>
      <c r="BC53" s="3"/>
      <c r="BD53" s="3"/>
      <c r="BE53" s="3"/>
      <c r="BG53" s="13"/>
      <c r="BH53" s="7"/>
      <c r="BI53" s="3"/>
      <c r="BJ53" s="3"/>
      <c r="BK53" s="3"/>
      <c r="BL53" s="3"/>
    </row>
    <row r="54" spans="1:64" x14ac:dyDescent="0.25">
      <c r="A54">
        <v>7</v>
      </c>
      <c r="B54" s="1" t="s">
        <v>59</v>
      </c>
      <c r="C54" s="1" t="s">
        <v>32</v>
      </c>
      <c r="D54" s="2">
        <v>43047</v>
      </c>
      <c r="E54" s="3">
        <v>23.2</v>
      </c>
      <c r="F54" s="4">
        <f t="shared" si="3"/>
        <v>5093.9810236220474</v>
      </c>
      <c r="G54" s="7">
        <v>9.6999999999999993</v>
      </c>
      <c r="H54" s="7">
        <v>175.7</v>
      </c>
      <c r="I54" s="7">
        <f t="shared" si="13"/>
        <v>166</v>
      </c>
      <c r="J54" s="7">
        <v>154.52000000000001</v>
      </c>
      <c r="K54" s="5">
        <f t="shared" si="4"/>
        <v>6.9156626506024041</v>
      </c>
      <c r="L54" s="4">
        <f t="shared" si="5"/>
        <v>4741.6984805426437</v>
      </c>
      <c r="M54" s="2">
        <v>43054</v>
      </c>
      <c r="N54" s="7">
        <v>10.130000000000001</v>
      </c>
      <c r="O54" s="7">
        <v>3.9</v>
      </c>
      <c r="P54" s="7">
        <v>6.58</v>
      </c>
      <c r="Q54" s="6">
        <f t="shared" si="0"/>
        <v>0.37512537612838509</v>
      </c>
      <c r="R54" s="6">
        <f t="shared" si="1"/>
        <v>0.49147442326980945</v>
      </c>
      <c r="S54" s="6">
        <f t="shared" si="6"/>
        <v>0.13340020060180552</v>
      </c>
      <c r="T54" s="4">
        <f t="shared" si="7"/>
        <v>1910.8815474770765</v>
      </c>
      <c r="U54" s="4">
        <f t="shared" si="8"/>
        <v>2503.5613857319995</v>
      </c>
      <c r="V54" s="4">
        <f t="shared" si="9"/>
        <v>4414.4429332090758</v>
      </c>
      <c r="W54" s="4">
        <f t="shared" si="10"/>
        <v>1778.7314260009514</v>
      </c>
      <c r="X54" s="4">
        <f t="shared" si="11"/>
        <v>2330.4235260440278</v>
      </c>
      <c r="Y54" s="4">
        <f t="shared" si="12"/>
        <v>4109.1549520449789</v>
      </c>
      <c r="Z54" s="10"/>
      <c r="AA54" s="12"/>
      <c r="AB54" s="5"/>
      <c r="AC54" s="4"/>
      <c r="AD54" s="4"/>
      <c r="AE54" s="4"/>
      <c r="AF54" s="4"/>
      <c r="AG54" s="3"/>
      <c r="AH54" t="s">
        <v>250</v>
      </c>
      <c r="AI54" t="s">
        <v>32</v>
      </c>
      <c r="AJ54" s="8">
        <f>D54</f>
        <v>43047</v>
      </c>
      <c r="AK54" s="3">
        <f>SUM(E54:E56)</f>
        <v>63.9</v>
      </c>
      <c r="AL54" s="3">
        <f>(AK54-3*$A$35)*$A$36/(3*$A$37)*$A$38</f>
        <v>4669.8546456692911</v>
      </c>
      <c r="AM54" s="7">
        <f>SUM(G54:G56)</f>
        <v>29.099999999999998</v>
      </c>
      <c r="AN54" s="7">
        <f>SUM(H54:H56)</f>
        <v>563.14</v>
      </c>
      <c r="AO54" s="7">
        <f>AN54-AM54</f>
        <v>534.04</v>
      </c>
      <c r="AP54" s="7">
        <f>SUM(J54:J56)</f>
        <v>496.29999999999995</v>
      </c>
      <c r="AQ54" s="7">
        <f>(AO54-AP54)/AO54*100</f>
        <v>7.0668863755523947</v>
      </c>
      <c r="AR54" s="3">
        <f>AL54*(1-AQ54/100)</f>
        <v>4339.841323956387</v>
      </c>
      <c r="AS54" s="11">
        <f>M54</f>
        <v>43054</v>
      </c>
      <c r="AT54" s="7">
        <f>SUM(N54:N56)</f>
        <v>27.580000000000002</v>
      </c>
      <c r="AU54" s="7">
        <f>SUM(O54:O56)</f>
        <v>10.54</v>
      </c>
      <c r="AV54" s="7">
        <f>SUM(P54:P56)</f>
        <v>18.3</v>
      </c>
      <c r="AW54" s="9">
        <f>(AU54-3*$A$39)/(AT54-3*$A$39)</f>
        <v>0.37121771217712168</v>
      </c>
      <c r="AX54" s="9">
        <f>(AV54-3*$A$40)/(AT54-3*$A$39)</f>
        <v>0.48929889298892992</v>
      </c>
      <c r="AY54" s="9">
        <f>1-AW54-AX54</f>
        <v>0.13948339483394845</v>
      </c>
      <c r="AZ54" s="3">
        <f>AL54*AW54</f>
        <v>1733.5327577650576</v>
      </c>
      <c r="BA54" s="3">
        <f>AL54*AX54</f>
        <v>2284.9547085451959</v>
      </c>
      <c r="BB54" s="3">
        <f>AZ54+BA54</f>
        <v>4018.4874663102537</v>
      </c>
      <c r="BC54" s="3">
        <f>AR54*AW54</f>
        <v>1611.0259674908207</v>
      </c>
      <c r="BD54" s="3">
        <f>AR54*AX54</f>
        <v>2123.4795555594724</v>
      </c>
      <c r="BE54" s="3">
        <f>BC54+BD54</f>
        <v>3734.505523050293</v>
      </c>
      <c r="BF54" s="11">
        <f>Z55</f>
        <v>43077</v>
      </c>
      <c r="BG54" s="13">
        <f>AVERAGE(AA54:AA56)</f>
        <v>47</v>
      </c>
      <c r="BH54" s="7">
        <f t="shared" ref="BH54" si="19">AVERAGE(AB54:AB56)</f>
        <v>1.1399999999999999</v>
      </c>
      <c r="BI54" s="3">
        <f t="shared" ref="BI54" si="20">AVERAGE(AC54:AC56)</f>
        <v>80.900000000000006</v>
      </c>
      <c r="BJ54" s="3">
        <f t="shared" ref="BJ54" si="21">AVERAGE(AD54:AD56)</f>
        <v>31.2</v>
      </c>
      <c r="BK54" s="3">
        <f t="shared" ref="BK54" si="22">AVERAGE(AE54:AE56)</f>
        <v>5.9</v>
      </c>
      <c r="BL54" s="3">
        <f t="shared" ref="BL54" si="23">AVERAGE(AF54:AF56)</f>
        <v>9.4</v>
      </c>
    </row>
    <row r="55" spans="1:64" x14ac:dyDescent="0.25">
      <c r="A55">
        <v>8</v>
      </c>
      <c r="B55" s="1" t="s">
        <v>60</v>
      </c>
      <c r="C55" s="1" t="s">
        <v>32</v>
      </c>
      <c r="D55" s="2">
        <v>43047</v>
      </c>
      <c r="E55" s="3">
        <v>20.7</v>
      </c>
      <c r="F55" s="4">
        <f t="shared" si="3"/>
        <v>4535.92</v>
      </c>
      <c r="G55" s="7">
        <v>9.67</v>
      </c>
      <c r="H55" s="7">
        <v>231.23</v>
      </c>
      <c r="I55" s="7">
        <f t="shared" si="13"/>
        <v>221.56</v>
      </c>
      <c r="J55" s="7">
        <v>205.38</v>
      </c>
      <c r="K55" s="5">
        <f t="shared" si="4"/>
        <v>7.3027622314497238</v>
      </c>
      <c r="L55" s="4">
        <f t="shared" si="5"/>
        <v>4204.6725473912256</v>
      </c>
      <c r="M55" s="2">
        <v>43054</v>
      </c>
      <c r="N55" s="7">
        <v>8.86</v>
      </c>
      <c r="O55" s="7">
        <v>3.38</v>
      </c>
      <c r="P55" s="7">
        <v>5.9</v>
      </c>
      <c r="Q55" s="6">
        <f t="shared" si="0"/>
        <v>0.37011494252873561</v>
      </c>
      <c r="R55" s="6">
        <f t="shared" si="1"/>
        <v>0.48505747126436793</v>
      </c>
      <c r="S55" s="6">
        <f t="shared" si="6"/>
        <v>0.14482758620689651</v>
      </c>
      <c r="T55" s="4">
        <f t="shared" si="7"/>
        <v>1678.8117701149424</v>
      </c>
      <c r="U55" s="4">
        <f t="shared" si="8"/>
        <v>2200.1818850574718</v>
      </c>
      <c r="V55" s="4">
        <f t="shared" si="9"/>
        <v>3878.993655172414</v>
      </c>
      <c r="W55" s="4">
        <f t="shared" si="10"/>
        <v>1556.2121382298558</v>
      </c>
      <c r="X55" s="4">
        <f t="shared" si="11"/>
        <v>2039.5078333322961</v>
      </c>
      <c r="Y55" s="4">
        <f t="shared" si="12"/>
        <v>3595.7199715621518</v>
      </c>
      <c r="Z55" s="10">
        <v>43077</v>
      </c>
      <c r="AA55" s="12">
        <v>47</v>
      </c>
      <c r="AB55" s="5">
        <v>1.1399999999999999</v>
      </c>
      <c r="AC55" s="4">
        <v>80.900000000000006</v>
      </c>
      <c r="AD55" s="4">
        <v>31.2</v>
      </c>
      <c r="AE55" s="4">
        <v>5.9</v>
      </c>
      <c r="AF55" s="4">
        <v>9.4</v>
      </c>
      <c r="AG55" s="3"/>
      <c r="AK55" s="3"/>
      <c r="AL55" s="3"/>
      <c r="AM55" s="7"/>
      <c r="AN55" s="7"/>
      <c r="AO55" s="7"/>
      <c r="AP55" s="7"/>
      <c r="AQ55" s="7"/>
      <c r="AR55" s="3"/>
      <c r="AS55" s="3"/>
      <c r="AT55" s="7"/>
      <c r="AU55" s="7"/>
      <c r="AV55" s="7"/>
      <c r="AW55" s="9"/>
      <c r="AX55" s="9"/>
      <c r="AY55" s="9"/>
      <c r="AZ55" s="3"/>
      <c r="BA55" s="3"/>
      <c r="BB55" s="3"/>
      <c r="BC55" s="3"/>
      <c r="BD55" s="3"/>
      <c r="BE55" s="3"/>
      <c r="BG55" s="13"/>
      <c r="BH55" s="7"/>
      <c r="BI55" s="3"/>
      <c r="BJ55" s="3"/>
      <c r="BK55" s="3"/>
      <c r="BL55" s="3"/>
    </row>
    <row r="56" spans="1:64" x14ac:dyDescent="0.25">
      <c r="A56">
        <v>9</v>
      </c>
      <c r="B56" s="1" t="s">
        <v>61</v>
      </c>
      <c r="C56" s="1" t="s">
        <v>32</v>
      </c>
      <c r="D56" s="2">
        <v>43047</v>
      </c>
      <c r="E56" s="3">
        <v>20</v>
      </c>
      <c r="F56" s="4">
        <f t="shared" si="3"/>
        <v>4379.6629133858269</v>
      </c>
      <c r="G56" s="7">
        <v>9.73</v>
      </c>
      <c r="H56" s="7">
        <v>156.21</v>
      </c>
      <c r="I56" s="7">
        <f t="shared" si="13"/>
        <v>146.48000000000002</v>
      </c>
      <c r="J56" s="7">
        <v>136.4</v>
      </c>
      <c r="K56" s="5">
        <f t="shared" si="4"/>
        <v>6.8814855270344157</v>
      </c>
      <c r="L56" s="4">
        <f t="shared" si="5"/>
        <v>4078.2770438682874</v>
      </c>
      <c r="M56" s="2">
        <v>43054</v>
      </c>
      <c r="N56" s="7">
        <v>8.59</v>
      </c>
      <c r="O56" s="7">
        <v>3.26</v>
      </c>
      <c r="P56" s="7">
        <v>5.82</v>
      </c>
      <c r="Q56" s="6">
        <f t="shared" si="0"/>
        <v>0.36773428232502964</v>
      </c>
      <c r="R56" s="6">
        <f t="shared" si="1"/>
        <v>0.49110320284697517</v>
      </c>
      <c r="S56" s="6">
        <f t="shared" si="6"/>
        <v>0.14116251482799524</v>
      </c>
      <c r="T56" s="4">
        <f t="shared" si="7"/>
        <v>1610.5521982794855</v>
      </c>
      <c r="U56" s="4">
        <f t="shared" si="8"/>
        <v>2150.8664841538939</v>
      </c>
      <c r="V56" s="4">
        <f t="shared" si="9"/>
        <v>3761.4186824333792</v>
      </c>
      <c r="W56" s="4">
        <f t="shared" si="10"/>
        <v>1499.7222818495482</v>
      </c>
      <c r="X56" s="4">
        <f t="shared" si="11"/>
        <v>2002.8549183410098</v>
      </c>
      <c r="Y56" s="4">
        <f t="shared" si="12"/>
        <v>3502.577200190558</v>
      </c>
      <c r="Z56" s="10"/>
      <c r="AA56" s="12"/>
      <c r="AB56" s="5"/>
      <c r="AC56" s="4"/>
      <c r="AD56" s="4"/>
      <c r="AE56" s="4"/>
      <c r="AF56" s="4"/>
      <c r="AG56" s="3"/>
      <c r="AK56" s="3"/>
      <c r="AL56" s="3"/>
      <c r="AM56" s="7"/>
      <c r="AN56" s="7"/>
      <c r="AO56" s="7"/>
      <c r="AP56" s="7"/>
      <c r="AQ56" s="7"/>
      <c r="AR56" s="3"/>
      <c r="AS56" s="3"/>
      <c r="AT56" s="7"/>
      <c r="AU56" s="7"/>
      <c r="AV56" s="7"/>
      <c r="AW56" s="9"/>
      <c r="AX56" s="9"/>
      <c r="AY56" s="9"/>
      <c r="AZ56" s="3"/>
      <c r="BA56" s="3"/>
      <c r="BB56" s="3"/>
      <c r="BC56" s="3"/>
      <c r="BD56" s="3"/>
      <c r="BE56" s="3"/>
      <c r="BG56" s="13"/>
      <c r="BH56" s="7"/>
      <c r="BI56" s="3"/>
      <c r="BJ56" s="3"/>
      <c r="BK56" s="3"/>
      <c r="BL56" s="3"/>
    </row>
    <row r="57" spans="1:64" x14ac:dyDescent="0.25">
      <c r="A57">
        <v>10</v>
      </c>
      <c r="B57" s="1" t="s">
        <v>62</v>
      </c>
      <c r="C57" s="1" t="s">
        <v>32</v>
      </c>
      <c r="D57" s="2">
        <v>43047</v>
      </c>
      <c r="E57" s="3">
        <v>15.6</v>
      </c>
      <c r="F57" s="4">
        <f t="shared" si="3"/>
        <v>3397.4755118110234</v>
      </c>
      <c r="G57" s="7">
        <v>9.7100000000000009</v>
      </c>
      <c r="H57" s="7">
        <v>135.96</v>
      </c>
      <c r="I57" s="7">
        <f t="shared" si="13"/>
        <v>126.25</v>
      </c>
      <c r="J57" s="7">
        <v>117.41</v>
      </c>
      <c r="K57" s="5">
        <f t="shared" si="4"/>
        <v>7.0019801980198038</v>
      </c>
      <c r="L57" s="4">
        <f t="shared" si="5"/>
        <v>3159.5849492414432</v>
      </c>
      <c r="M57" s="2">
        <v>43054</v>
      </c>
      <c r="N57" s="7">
        <v>6.78</v>
      </c>
      <c r="O57" s="7">
        <v>2.54</v>
      </c>
      <c r="P57" s="7">
        <v>4.9400000000000004</v>
      </c>
      <c r="Q57" s="6">
        <f t="shared" si="0"/>
        <v>0.3595166163141994</v>
      </c>
      <c r="R57" s="6">
        <f t="shared" si="1"/>
        <v>0.49244712990936568</v>
      </c>
      <c r="S57" s="6">
        <f t="shared" si="6"/>
        <v>0.14803625377643492</v>
      </c>
      <c r="T57" s="4">
        <f t="shared" si="7"/>
        <v>1221.4489000166518</v>
      </c>
      <c r="U57" s="4">
        <f t="shared" si="8"/>
        <v>1673.0770647286918</v>
      </c>
      <c r="V57" s="4">
        <f t="shared" si="9"/>
        <v>2894.5259647453436</v>
      </c>
      <c r="W57" s="4">
        <f t="shared" si="10"/>
        <v>1135.923289908555</v>
      </c>
      <c r="X57" s="4">
        <f t="shared" si="11"/>
        <v>1555.9285399587775</v>
      </c>
      <c r="Y57" s="4">
        <f t="shared" si="12"/>
        <v>2691.8518298673325</v>
      </c>
      <c r="Z57" s="10"/>
      <c r="AA57" s="12"/>
      <c r="AB57" s="5"/>
      <c r="AC57" s="4"/>
      <c r="AD57" s="4"/>
      <c r="AE57" s="4"/>
      <c r="AF57" s="4"/>
      <c r="AG57" s="3"/>
      <c r="AH57" t="s">
        <v>251</v>
      </c>
      <c r="AI57" t="s">
        <v>32</v>
      </c>
      <c r="AJ57" s="8">
        <f>D57</f>
        <v>43047</v>
      </c>
      <c r="AK57" s="3">
        <f>SUM(E57:E59)</f>
        <v>45.2</v>
      </c>
      <c r="AL57" s="3">
        <f>(AK57-3*$A$35)*$A$36/(3*$A$37)*$A$38</f>
        <v>3278.4224934383201</v>
      </c>
      <c r="AM57" s="7">
        <f>SUM(G57:G59)</f>
        <v>29.119999999999997</v>
      </c>
      <c r="AN57" s="7">
        <f>SUM(H57:H59)</f>
        <v>631.13</v>
      </c>
      <c r="AO57" s="7">
        <f>AN57-AM57</f>
        <v>602.01</v>
      </c>
      <c r="AP57" s="7">
        <f>SUM(J57:J59)</f>
        <v>556</v>
      </c>
      <c r="AQ57" s="7">
        <f>(AO57-AP57)/AO57*100</f>
        <v>7.6427301872061912</v>
      </c>
      <c r="AR57" s="3">
        <f>AL57*(1-AQ57/100)</f>
        <v>3027.8615078681514</v>
      </c>
      <c r="AS57" s="11">
        <f>M57</f>
        <v>43054</v>
      </c>
      <c r="AT57" s="7">
        <f>SUM(N57:N59)</f>
        <v>19.27</v>
      </c>
      <c r="AU57" s="7">
        <f>SUM(O57:O59)</f>
        <v>7.3</v>
      </c>
      <c r="AV57" s="7">
        <f>SUM(P57:P59)</f>
        <v>14.34</v>
      </c>
      <c r="AW57" s="9">
        <f>(AU57-3*$A$39)/(AT57-3*$A$39)</f>
        <v>0.36295902075572117</v>
      </c>
      <c r="AX57" s="9">
        <f>(AV57-3*$A$40)/(AT57-3*$A$39)</f>
        <v>0.49494411921234704</v>
      </c>
      <c r="AY57" s="9">
        <f>1-AW57-AX57</f>
        <v>0.14209686003193178</v>
      </c>
      <c r="AZ57" s="3">
        <f>AL57*AW57</f>
        <v>1189.9330178419025</v>
      </c>
      <c r="BA57" s="3">
        <f>AL57*AX57</f>
        <v>1622.6359334207759</v>
      </c>
      <c r="BB57" s="3">
        <f>AZ57+BA57</f>
        <v>2812.5689512626786</v>
      </c>
      <c r="BC57" s="3">
        <f>AR57*AW57</f>
        <v>1098.9896478797655</v>
      </c>
      <c r="BD57" s="3">
        <f>AR57*AX57</f>
        <v>1498.6222471087713</v>
      </c>
      <c r="BE57" s="3">
        <f>BC57+BD57</f>
        <v>2597.6118949885367</v>
      </c>
      <c r="BF57" s="11">
        <f>Z58</f>
        <v>43077</v>
      </c>
      <c r="BG57" s="13">
        <f>AVERAGE(AA57:AA59)</f>
        <v>50</v>
      </c>
      <c r="BH57" s="7">
        <f t="shared" ref="BH57" si="24">AVERAGE(AB57:AB59)</f>
        <v>1.03</v>
      </c>
      <c r="BI57" s="3">
        <f t="shared" ref="BI57" si="25">AVERAGE(AC57:AC59)</f>
        <v>79.3</v>
      </c>
      <c r="BJ57" s="3">
        <f t="shared" ref="BJ57" si="26">AVERAGE(AD57:AD59)</f>
        <v>28.2</v>
      </c>
      <c r="BK57" s="3">
        <f t="shared" ref="BK57" si="27">AVERAGE(AE57:AE59)</f>
        <v>6</v>
      </c>
      <c r="BL57" s="3">
        <f t="shared" ref="BL57" si="28">AVERAGE(AF57:AF59)</f>
        <v>11.3</v>
      </c>
    </row>
    <row r="58" spans="1:64" x14ac:dyDescent="0.25">
      <c r="A58">
        <v>11</v>
      </c>
      <c r="B58" s="1" t="s">
        <v>63</v>
      </c>
      <c r="C58" s="1" t="s">
        <v>32</v>
      </c>
      <c r="D58" s="2">
        <v>43047</v>
      </c>
      <c r="E58" s="3">
        <v>14</v>
      </c>
      <c r="F58" s="4">
        <f t="shared" si="3"/>
        <v>3040.3164566929131</v>
      </c>
      <c r="G58" s="7">
        <v>9.7200000000000006</v>
      </c>
      <c r="H58" s="7">
        <v>253.09</v>
      </c>
      <c r="I58" s="7">
        <f t="shared" si="13"/>
        <v>243.37</v>
      </c>
      <c r="J58" s="7">
        <v>221.77</v>
      </c>
      <c r="K58" s="5">
        <f t="shared" si="4"/>
        <v>8.8753749435016616</v>
      </c>
      <c r="L58" s="4">
        <f t="shared" si="5"/>
        <v>2770.4769716924329</v>
      </c>
      <c r="M58" s="2">
        <v>43054</v>
      </c>
      <c r="N58" s="7">
        <v>5.88</v>
      </c>
      <c r="O58" s="7">
        <v>2.2599999999999998</v>
      </c>
      <c r="P58" s="7">
        <v>4.5199999999999996</v>
      </c>
      <c r="Q58" s="6">
        <f t="shared" si="0"/>
        <v>0.36713286713286708</v>
      </c>
      <c r="R58" s="6">
        <f t="shared" si="1"/>
        <v>0.49650349650349651</v>
      </c>
      <c r="S58" s="6">
        <f t="shared" si="6"/>
        <v>0.13636363636363641</v>
      </c>
      <c r="T58" s="4">
        <f t="shared" si="7"/>
        <v>1116.2000977369084</v>
      </c>
      <c r="U58" s="4">
        <f t="shared" si="8"/>
        <v>1509.5277512251528</v>
      </c>
      <c r="V58" s="4">
        <f t="shared" si="9"/>
        <v>2625.7278489620612</v>
      </c>
      <c r="W58" s="4">
        <f t="shared" si="10"/>
        <v>1017.1331539430259</v>
      </c>
      <c r="X58" s="4">
        <f t="shared" si="11"/>
        <v>1375.5515034277114</v>
      </c>
      <c r="Y58" s="4">
        <f t="shared" si="12"/>
        <v>2392.6846573707371</v>
      </c>
      <c r="Z58" s="10">
        <v>43077</v>
      </c>
      <c r="AA58" s="12">
        <v>50</v>
      </c>
      <c r="AB58" s="5">
        <v>1.03</v>
      </c>
      <c r="AC58" s="4">
        <v>79.3</v>
      </c>
      <c r="AD58" s="4">
        <v>28.2</v>
      </c>
      <c r="AE58" s="4">
        <v>6</v>
      </c>
      <c r="AF58" s="4">
        <v>11.3</v>
      </c>
      <c r="AG58" s="3"/>
      <c r="AK58" s="3"/>
      <c r="AL58" s="3"/>
      <c r="AM58" s="7"/>
      <c r="AN58" s="7"/>
      <c r="AO58" s="7"/>
      <c r="AP58" s="7"/>
      <c r="AQ58" s="7"/>
      <c r="AR58" s="3"/>
      <c r="AS58" s="3"/>
      <c r="AT58" s="7"/>
      <c r="AU58" s="7"/>
      <c r="AV58" s="7"/>
      <c r="AW58" s="9"/>
      <c r="AX58" s="9"/>
      <c r="AY58" s="9"/>
      <c r="AZ58" s="3"/>
      <c r="BA58" s="3"/>
      <c r="BB58" s="3"/>
      <c r="BC58" s="3"/>
      <c r="BD58" s="3"/>
      <c r="BE58" s="3"/>
      <c r="BG58" s="13"/>
      <c r="BH58" s="7"/>
      <c r="BI58" s="3"/>
      <c r="BJ58" s="3"/>
      <c r="BK58" s="3"/>
      <c r="BL58" s="3"/>
    </row>
    <row r="59" spans="1:64" x14ac:dyDescent="0.25">
      <c r="A59">
        <v>12</v>
      </c>
      <c r="B59" s="1" t="s">
        <v>64</v>
      </c>
      <c r="C59" s="1" t="s">
        <v>32</v>
      </c>
      <c r="D59" s="2">
        <v>43047</v>
      </c>
      <c r="E59" s="3">
        <v>15.6</v>
      </c>
      <c r="F59" s="4">
        <f t="shared" si="3"/>
        <v>3397.4755118110234</v>
      </c>
      <c r="G59" s="7">
        <v>9.69</v>
      </c>
      <c r="H59" s="7">
        <v>242.08</v>
      </c>
      <c r="I59" s="7">
        <f t="shared" si="13"/>
        <v>232.39000000000001</v>
      </c>
      <c r="J59" s="7">
        <v>216.82</v>
      </c>
      <c r="K59" s="5">
        <f t="shared" si="4"/>
        <v>6.699944059555067</v>
      </c>
      <c r="L59" s="4">
        <f t="shared" si="5"/>
        <v>3169.8465530826029</v>
      </c>
      <c r="M59" s="2">
        <v>43054</v>
      </c>
      <c r="N59" s="7">
        <v>6.61</v>
      </c>
      <c r="O59" s="7">
        <v>2.5</v>
      </c>
      <c r="P59" s="7">
        <v>4.88</v>
      </c>
      <c r="Q59" s="6">
        <f t="shared" si="0"/>
        <v>0.36279069767441857</v>
      </c>
      <c r="R59" s="6">
        <f t="shared" si="1"/>
        <v>0.49612403100775193</v>
      </c>
      <c r="S59" s="6">
        <f t="shared" si="6"/>
        <v>0.14108527131782944</v>
      </c>
      <c r="T59" s="4">
        <f t="shared" si="7"/>
        <v>1232.5725112616735</v>
      </c>
      <c r="U59" s="4">
        <f t="shared" si="8"/>
        <v>1685.56924616981</v>
      </c>
      <c r="V59" s="4">
        <f t="shared" si="9"/>
        <v>2918.1417574314837</v>
      </c>
      <c r="W59" s="4">
        <f t="shared" si="10"/>
        <v>1149.9908425136884</v>
      </c>
      <c r="X59" s="4">
        <f t="shared" si="11"/>
        <v>1572.6370495913689</v>
      </c>
      <c r="Y59" s="4">
        <f t="shared" si="12"/>
        <v>2722.6278921050571</v>
      </c>
      <c r="Z59" s="10"/>
      <c r="AA59" s="12"/>
      <c r="AB59" s="5"/>
      <c r="AC59" s="4"/>
      <c r="AD59" s="4"/>
      <c r="AE59" s="4"/>
      <c r="AF59" s="4"/>
      <c r="AG59" s="3"/>
      <c r="AK59" s="3"/>
      <c r="AL59" s="3"/>
      <c r="AM59" s="7"/>
      <c r="AN59" s="7"/>
      <c r="AO59" s="7"/>
      <c r="AP59" s="7"/>
      <c r="AQ59" s="7"/>
      <c r="AR59" s="3"/>
      <c r="AS59" s="3"/>
      <c r="AT59" s="7"/>
      <c r="AU59" s="7"/>
      <c r="AV59" s="7"/>
      <c r="AW59" s="9"/>
      <c r="AX59" s="9"/>
      <c r="AY59" s="9"/>
      <c r="AZ59" s="3"/>
      <c r="BA59" s="3"/>
      <c r="BB59" s="3"/>
      <c r="BC59" s="3"/>
      <c r="BD59" s="3"/>
      <c r="BE59" s="3"/>
      <c r="BG59" s="13"/>
      <c r="BH59" s="7"/>
      <c r="BI59" s="3"/>
      <c r="BJ59" s="3"/>
      <c r="BK59" s="3"/>
      <c r="BL59" s="3"/>
    </row>
    <row r="60" spans="1:64" x14ac:dyDescent="0.25">
      <c r="A60">
        <v>13</v>
      </c>
      <c r="B60" s="1" t="s">
        <v>65</v>
      </c>
      <c r="C60" s="1" t="s">
        <v>32</v>
      </c>
      <c r="D60" s="2">
        <v>43047</v>
      </c>
      <c r="E60" s="3">
        <v>27.3</v>
      </c>
      <c r="F60" s="4">
        <f t="shared" si="3"/>
        <v>6009.2011023622053</v>
      </c>
      <c r="G60" s="7">
        <v>9.6999999999999993</v>
      </c>
      <c r="H60" s="7">
        <v>296.92</v>
      </c>
      <c r="I60" s="7">
        <f t="shared" si="13"/>
        <v>287.22000000000003</v>
      </c>
      <c r="J60" s="7">
        <v>267.23</v>
      </c>
      <c r="K60" s="5">
        <f t="shared" si="4"/>
        <v>6.9598217394331892</v>
      </c>
      <c r="L60" s="4">
        <f t="shared" si="5"/>
        <v>5590.9714176737416</v>
      </c>
      <c r="M60" s="2">
        <v>43054</v>
      </c>
      <c r="N60" s="7">
        <v>11.7</v>
      </c>
      <c r="O60" s="7">
        <v>4.58</v>
      </c>
      <c r="P60" s="7">
        <v>7.32</v>
      </c>
      <c r="Q60" s="6">
        <f t="shared" si="0"/>
        <v>0.38301559792027734</v>
      </c>
      <c r="R60" s="6">
        <f t="shared" si="1"/>
        <v>0.48873483535528606</v>
      </c>
      <c r="S60" s="6">
        <f t="shared" si="6"/>
        <v>0.12824956672443655</v>
      </c>
      <c r="T60" s="4">
        <f t="shared" si="7"/>
        <v>2301.6177532444499</v>
      </c>
      <c r="U60" s="4">
        <f t="shared" si="8"/>
        <v>2936.9059113797957</v>
      </c>
      <c r="V60" s="4">
        <f t="shared" si="9"/>
        <v>5238.5236646242456</v>
      </c>
      <c r="W60" s="4">
        <f t="shared" si="10"/>
        <v>2141.429260495489</v>
      </c>
      <c r="X60" s="4">
        <f t="shared" si="11"/>
        <v>2732.5024952928866</v>
      </c>
      <c r="Y60" s="4">
        <f t="shared" si="12"/>
        <v>4873.9317557883751</v>
      </c>
      <c r="Z60" s="10"/>
      <c r="AA60" s="12"/>
      <c r="AB60" s="5"/>
      <c r="AC60" s="4"/>
      <c r="AD60" s="4"/>
      <c r="AE60" s="4"/>
      <c r="AF60" s="4"/>
      <c r="AG60" s="3"/>
      <c r="AH60" t="s">
        <v>252</v>
      </c>
      <c r="AI60" t="str">
        <f>C60</f>
        <v>Machine</v>
      </c>
      <c r="AJ60" s="8">
        <f>D60</f>
        <v>43047</v>
      </c>
      <c r="AK60" s="3">
        <f>SUM(E60:E62)</f>
        <v>80.5</v>
      </c>
      <c r="AL60" s="3">
        <f>(AK60-3*$A$35)*$A$36/(3*$A$37)*$A$38</f>
        <v>5905.0297112860881</v>
      </c>
      <c r="AM60" s="7">
        <f>SUM(G60:G62)</f>
        <v>29.1</v>
      </c>
      <c r="AN60" s="7">
        <f>SUM(H60:H62)</f>
        <v>682.51</v>
      </c>
      <c r="AO60" s="7">
        <f>AN60-AM60</f>
        <v>653.41</v>
      </c>
      <c r="AP60" s="7">
        <f>SUM(J60:J62)</f>
        <v>609.83000000000004</v>
      </c>
      <c r="AQ60" s="7">
        <f>(AO60-AP60)/AO60*100</f>
        <v>6.6696255031297236</v>
      </c>
      <c r="AR60" s="3">
        <f>AL60*(1-AQ60/100)</f>
        <v>5511.1863436947633</v>
      </c>
      <c r="AS60" s="11">
        <f>M60</f>
        <v>43054</v>
      </c>
      <c r="AT60" s="7">
        <f>SUM(N60:N62)</f>
        <v>34.630000000000003</v>
      </c>
      <c r="AU60" s="7">
        <f>SUM(O60:O62)</f>
        <v>13.52</v>
      </c>
      <c r="AV60" s="7">
        <f>SUM(P60:P62)</f>
        <v>21.84</v>
      </c>
      <c r="AW60" s="9">
        <f>(AU60-3*$A$39)/(AT60-3*$A$39)</f>
        <v>0.38184480234260604</v>
      </c>
      <c r="AX60" s="9">
        <f>(AV60-3*$A$40)/(AT60-3*$A$39)</f>
        <v>0.49194729136163978</v>
      </c>
      <c r="AY60" s="9">
        <f>1-AW60-AX60</f>
        <v>0.12620790629575424</v>
      </c>
      <c r="AZ60" s="3">
        <f>AL60*AW60</f>
        <v>2254.8049029332524</v>
      </c>
      <c r="BA60" s="3">
        <f>AL60*AX60</f>
        <v>2904.963371877197</v>
      </c>
      <c r="BB60" s="3">
        <f>AZ60+BA60</f>
        <v>5159.7682748104489</v>
      </c>
      <c r="BC60" s="3">
        <f>AR60*AW60</f>
        <v>2104.4178600813966</v>
      </c>
      <c r="BD60" s="3">
        <f>AR60*AX60</f>
        <v>2711.2131939698979</v>
      </c>
      <c r="BE60" s="3">
        <f>BC60+BD60</f>
        <v>4815.631054051295</v>
      </c>
      <c r="BF60" s="11">
        <f>Z61</f>
        <v>43077</v>
      </c>
      <c r="BG60" s="13">
        <f>AVERAGE(AA60:AA62)</f>
        <v>47</v>
      </c>
      <c r="BH60" s="7">
        <f t="shared" ref="BH60" si="29">AVERAGE(AB60:AB62)</f>
        <v>1.1599999999999999</v>
      </c>
      <c r="BI60" s="3">
        <f t="shared" ref="BI60" si="30">AVERAGE(AC60:AC62)</f>
        <v>80.8</v>
      </c>
      <c r="BJ60" s="3">
        <f t="shared" ref="BJ60" si="31">AVERAGE(AD60:AD62)</f>
        <v>31.2</v>
      </c>
      <c r="BK60" s="3">
        <f t="shared" ref="BK60" si="32">AVERAGE(AE60:AE62)</f>
        <v>6</v>
      </c>
      <c r="BL60" s="3">
        <f t="shared" ref="BL60" si="33">AVERAGE(AF60:AF62)</f>
        <v>9.3000000000000007</v>
      </c>
    </row>
    <row r="61" spans="1:64" x14ac:dyDescent="0.25">
      <c r="A61">
        <v>14</v>
      </c>
      <c r="B61" s="1" t="s">
        <v>66</v>
      </c>
      <c r="C61" s="1" t="s">
        <v>32</v>
      </c>
      <c r="D61" s="2">
        <v>43047</v>
      </c>
      <c r="E61" s="3">
        <v>27.2</v>
      </c>
      <c r="F61" s="4">
        <f t="shared" si="3"/>
        <v>5986.8786614173232</v>
      </c>
      <c r="G61" s="7">
        <v>9.69</v>
      </c>
      <c r="H61" s="7">
        <v>205.18</v>
      </c>
      <c r="I61" s="7">
        <f t="shared" si="13"/>
        <v>195.49</v>
      </c>
      <c r="J61" s="7">
        <v>183.08</v>
      </c>
      <c r="K61" s="5">
        <f t="shared" si="4"/>
        <v>6.3481508005524558</v>
      </c>
      <c r="L61" s="4">
        <f t="shared" si="5"/>
        <v>5606.8225757444552</v>
      </c>
      <c r="M61" s="2">
        <v>43054</v>
      </c>
      <c r="N61" s="7">
        <v>11.72</v>
      </c>
      <c r="O61" s="7">
        <v>4.66</v>
      </c>
      <c r="P61" s="7">
        <v>7.4</v>
      </c>
      <c r="Q61" s="6">
        <f t="shared" si="0"/>
        <v>0.38927335640138405</v>
      </c>
      <c r="R61" s="6">
        <f t="shared" si="1"/>
        <v>0.49480968858131491</v>
      </c>
      <c r="S61" s="6">
        <f t="shared" si="6"/>
        <v>0.11591695501730104</v>
      </c>
      <c r="T61" s="4">
        <f t="shared" si="7"/>
        <v>2330.5323508977467</v>
      </c>
      <c r="U61" s="4">
        <f t="shared" si="8"/>
        <v>2962.3655660300251</v>
      </c>
      <c r="V61" s="4">
        <f t="shared" si="9"/>
        <v>5292.8979169277718</v>
      </c>
      <c r="W61" s="4">
        <f t="shared" si="10"/>
        <v>2182.5866428070976</v>
      </c>
      <c r="X61" s="4">
        <f t="shared" si="11"/>
        <v>2774.3101326347996</v>
      </c>
      <c r="Y61" s="4">
        <f t="shared" si="12"/>
        <v>4956.8967754418973</v>
      </c>
      <c r="Z61" s="10">
        <v>43077</v>
      </c>
      <c r="AA61" s="12">
        <v>47</v>
      </c>
      <c r="AB61" s="5">
        <v>1.1599999999999999</v>
      </c>
      <c r="AC61" s="4">
        <v>80.8</v>
      </c>
      <c r="AD61" s="4">
        <v>31.2</v>
      </c>
      <c r="AE61" s="4">
        <v>6</v>
      </c>
      <c r="AF61" s="4">
        <v>9.3000000000000007</v>
      </c>
      <c r="AG61" s="3"/>
      <c r="AK61" s="3"/>
      <c r="AL61" s="3"/>
      <c r="AM61" s="7"/>
      <c r="AN61" s="7"/>
      <c r="AO61" s="7"/>
      <c r="AP61" s="7"/>
      <c r="AQ61" s="7"/>
      <c r="AR61" s="3"/>
      <c r="AS61" s="3"/>
      <c r="AT61" s="7"/>
      <c r="AU61" s="7"/>
      <c r="AV61" s="7"/>
      <c r="AW61" s="9"/>
      <c r="AX61" s="9"/>
      <c r="AY61" s="9"/>
      <c r="AZ61" s="3"/>
      <c r="BA61" s="3"/>
      <c r="BB61" s="3"/>
      <c r="BC61" s="3"/>
      <c r="BD61" s="3"/>
      <c r="BE61" s="3"/>
      <c r="BG61" s="13"/>
      <c r="BH61" s="7"/>
      <c r="BI61" s="3"/>
      <c r="BJ61" s="3"/>
      <c r="BK61" s="3"/>
      <c r="BL61" s="3"/>
    </row>
    <row r="62" spans="1:64" x14ac:dyDescent="0.25">
      <c r="A62">
        <v>15</v>
      </c>
      <c r="B62" s="1" t="s">
        <v>67</v>
      </c>
      <c r="C62" s="1" t="s">
        <v>32</v>
      </c>
      <c r="D62" s="2">
        <v>43047</v>
      </c>
      <c r="E62" s="3">
        <v>26</v>
      </c>
      <c r="F62" s="4">
        <f t="shared" si="3"/>
        <v>5719.0093700787402</v>
      </c>
      <c r="G62" s="7">
        <v>9.7100000000000009</v>
      </c>
      <c r="H62" s="7">
        <v>180.41</v>
      </c>
      <c r="I62" s="7">
        <f t="shared" si="13"/>
        <v>170.7</v>
      </c>
      <c r="J62" s="7">
        <v>159.52000000000001</v>
      </c>
      <c r="K62" s="5">
        <f t="shared" si="4"/>
        <v>6.5495020503807737</v>
      </c>
      <c r="L62" s="4">
        <f t="shared" si="5"/>
        <v>5344.4427341239643</v>
      </c>
      <c r="M62" s="2">
        <v>43054</v>
      </c>
      <c r="N62" s="7">
        <v>11.21</v>
      </c>
      <c r="O62" s="7">
        <v>4.28</v>
      </c>
      <c r="P62" s="7">
        <v>7.12</v>
      </c>
      <c r="Q62" s="6">
        <f t="shared" si="0"/>
        <v>0.37285067873303168</v>
      </c>
      <c r="R62" s="6">
        <f t="shared" si="1"/>
        <v>0.49230769230769234</v>
      </c>
      <c r="S62" s="6">
        <f t="shared" si="6"/>
        <v>0.13484162895927598</v>
      </c>
      <c r="T62" s="4">
        <f t="shared" si="7"/>
        <v>2132.3365253144261</v>
      </c>
      <c r="U62" s="4">
        <f t="shared" si="8"/>
        <v>2815.512305269534</v>
      </c>
      <c r="V62" s="4">
        <f t="shared" si="9"/>
        <v>4947.8488305839601</v>
      </c>
      <c r="W62" s="4">
        <f t="shared" si="10"/>
        <v>1992.6791008679397</v>
      </c>
      <c r="X62" s="4">
        <f t="shared" si="11"/>
        <v>2631.1102691071824</v>
      </c>
      <c r="Y62" s="4">
        <f t="shared" si="12"/>
        <v>4623.7893699751221</v>
      </c>
      <c r="Z62" s="10"/>
      <c r="AA62" s="12"/>
      <c r="AB62" s="5"/>
      <c r="AC62" s="4"/>
      <c r="AD62" s="4"/>
      <c r="AE62" s="4"/>
      <c r="AF62" s="4"/>
      <c r="AG62" s="3"/>
      <c r="AK62" s="3"/>
      <c r="AL62" s="3"/>
      <c r="AM62" s="7"/>
      <c r="AN62" s="7"/>
      <c r="AO62" s="7"/>
      <c r="AP62" s="7"/>
      <c r="AQ62" s="7"/>
      <c r="AR62" s="3"/>
      <c r="AS62" s="3"/>
      <c r="AT62" s="7"/>
      <c r="AU62" s="7"/>
      <c r="AV62" s="7"/>
      <c r="AW62" s="9"/>
      <c r="AX62" s="9"/>
      <c r="AY62" s="9"/>
      <c r="AZ62" s="3"/>
      <c r="BA62" s="3"/>
      <c r="BB62" s="3"/>
      <c r="BC62" s="3"/>
      <c r="BD62" s="3"/>
      <c r="BE62" s="3"/>
      <c r="BG62" s="13"/>
      <c r="BH62" s="7"/>
      <c r="BI62" s="3"/>
      <c r="BJ62" s="3"/>
      <c r="BK62" s="3"/>
      <c r="BL62" s="3"/>
    </row>
    <row r="63" spans="1:64" x14ac:dyDescent="0.25">
      <c r="A63">
        <v>16</v>
      </c>
      <c r="B63" s="1" t="s">
        <v>68</v>
      </c>
      <c r="C63" s="1" t="s">
        <v>32</v>
      </c>
      <c r="D63" s="2">
        <v>43047</v>
      </c>
      <c r="E63" s="3">
        <v>18.399999999999999</v>
      </c>
      <c r="F63" s="4">
        <f t="shared" si="3"/>
        <v>4022.5038582677162</v>
      </c>
      <c r="G63" s="7">
        <v>9.73</v>
      </c>
      <c r="H63" s="7">
        <v>269.87</v>
      </c>
      <c r="I63" s="7">
        <f t="shared" si="13"/>
        <v>260.14</v>
      </c>
      <c r="J63" s="7">
        <v>242.14</v>
      </c>
      <c r="K63" s="5">
        <f t="shared" si="4"/>
        <v>6.9193511186284304</v>
      </c>
      <c r="L63" s="4">
        <f t="shared" si="5"/>
        <v>3744.1726925537973</v>
      </c>
      <c r="M63" s="2">
        <v>43054</v>
      </c>
      <c r="N63" s="7">
        <v>7.8</v>
      </c>
      <c r="O63" s="7">
        <v>2.9</v>
      </c>
      <c r="P63" s="7">
        <v>5.48</v>
      </c>
      <c r="Q63" s="6">
        <f t="shared" si="0"/>
        <v>0.35863874345549734</v>
      </c>
      <c r="R63" s="6">
        <f t="shared" si="1"/>
        <v>0.49738219895287972</v>
      </c>
      <c r="S63" s="6">
        <f t="shared" si="6"/>
        <v>0.14397905759162288</v>
      </c>
      <c r="T63" s="4">
        <f t="shared" si="7"/>
        <v>1442.6257292740238</v>
      </c>
      <c r="U63" s="4">
        <f t="shared" si="8"/>
        <v>2000.7218143216394</v>
      </c>
      <c r="V63" s="4">
        <f t="shared" si="9"/>
        <v>3443.3475435956634</v>
      </c>
      <c r="W63" s="4">
        <f t="shared" si="10"/>
        <v>1342.80538973788</v>
      </c>
      <c r="X63" s="4">
        <f t="shared" si="11"/>
        <v>1862.2848470817321</v>
      </c>
      <c r="Y63" s="4">
        <f t="shared" si="12"/>
        <v>3205.0902368196121</v>
      </c>
      <c r="Z63" s="10"/>
      <c r="AA63" s="12"/>
      <c r="AB63" s="5"/>
      <c r="AC63" s="4"/>
      <c r="AD63" s="4"/>
      <c r="AE63" s="4"/>
      <c r="AF63" s="4"/>
      <c r="AG63" s="3"/>
      <c r="AH63" t="s">
        <v>253</v>
      </c>
      <c r="AI63" t="s">
        <v>32</v>
      </c>
      <c r="AJ63" s="8">
        <f>D63</f>
        <v>43047</v>
      </c>
      <c r="AK63" s="3">
        <f>SUM(E63:E65)</f>
        <v>51.3</v>
      </c>
      <c r="AL63" s="3">
        <f>(AK63-3*$A$35)*$A$36/(3*$A$37)*$A$38</f>
        <v>3732.3121259842519</v>
      </c>
      <c r="AM63" s="7">
        <f>SUM(G63:G65)</f>
        <v>29.21</v>
      </c>
      <c r="AN63" s="7">
        <f>SUM(H63:H65)</f>
        <v>810.97</v>
      </c>
      <c r="AO63" s="7">
        <f>AN63-AM63</f>
        <v>781.76</v>
      </c>
      <c r="AP63" s="7">
        <f>SUM(J63:J65)</f>
        <v>725.06</v>
      </c>
      <c r="AQ63" s="7">
        <f>(AO63-AP63)/AO63*100</f>
        <v>7.2528653295129004</v>
      </c>
      <c r="AR63" s="3">
        <f>AL63*(1-AQ63/100)</f>
        <v>3461.6125538095343</v>
      </c>
      <c r="AS63" s="11">
        <f>M63</f>
        <v>43054</v>
      </c>
      <c r="AT63" s="7">
        <f>SUM(N63:N65)</f>
        <v>21.62</v>
      </c>
      <c r="AU63" s="7">
        <f>SUM(O63:O65)</f>
        <v>8.02</v>
      </c>
      <c r="AV63" s="7">
        <f>SUM(P63:P65)</f>
        <v>15.6</v>
      </c>
      <c r="AW63" s="9">
        <f>(AU63-3*$A$39)/(AT63-3*$A$39)</f>
        <v>0.35666982024597915</v>
      </c>
      <c r="AX63" s="9">
        <f>(AV63-3*$A$40)/(AT63-3*$A$39)</f>
        <v>0.49952696310312195</v>
      </c>
      <c r="AY63" s="9">
        <f>1-AW63-AX63</f>
        <v>0.1438032166508989</v>
      </c>
      <c r="AZ63" s="3">
        <f>AL63*AW63</f>
        <v>1331.2030950766914</v>
      </c>
      <c r="BA63" s="3">
        <f>AL63*AX63</f>
        <v>1864.3905416458699</v>
      </c>
      <c r="BB63" s="3">
        <f>AZ63+BA63</f>
        <v>3195.5936367225613</v>
      </c>
      <c r="BC63" s="3">
        <f>AR63*AW63</f>
        <v>1234.6527273284714</v>
      </c>
      <c r="BD63" s="3">
        <f>AR63*AX63</f>
        <v>1729.1688064441189</v>
      </c>
      <c r="BE63" s="3">
        <f>BC63+BD63</f>
        <v>2963.8215337725906</v>
      </c>
      <c r="BF63" s="11">
        <f>Z64</f>
        <v>43077</v>
      </c>
      <c r="BG63" s="13">
        <f>AVERAGE(AA63:AA65)</f>
        <v>40</v>
      </c>
      <c r="BH63" s="7">
        <f t="shared" ref="BH63" si="34">AVERAGE(AB63:AB65)</f>
        <v>1.1299999999999999</v>
      </c>
      <c r="BI63" s="3">
        <f t="shared" ref="BI63" si="35">AVERAGE(AC63:AC65)</f>
        <v>77.900000000000006</v>
      </c>
      <c r="BJ63" s="3">
        <f t="shared" ref="BJ63" si="36">AVERAGE(AD63:AD65)</f>
        <v>31.2</v>
      </c>
      <c r="BK63" s="3">
        <f t="shared" ref="BK63" si="37">AVERAGE(AE63:AE65)</f>
        <v>6</v>
      </c>
      <c r="BL63" s="3">
        <f t="shared" ref="BL63" si="38">AVERAGE(AF63:AF65)</f>
        <v>11.2</v>
      </c>
    </row>
    <row r="64" spans="1:64" x14ac:dyDescent="0.25">
      <c r="A64">
        <v>17</v>
      </c>
      <c r="B64" s="1" t="s">
        <v>69</v>
      </c>
      <c r="C64" s="1" t="s">
        <v>32</v>
      </c>
      <c r="D64" s="2">
        <v>43047</v>
      </c>
      <c r="E64" s="3">
        <v>16.2</v>
      </c>
      <c r="F64" s="4">
        <f t="shared" si="3"/>
        <v>3531.4101574803149</v>
      </c>
      <c r="G64" s="7">
        <v>9.73</v>
      </c>
      <c r="H64" s="7">
        <v>266.81</v>
      </c>
      <c r="I64" s="7">
        <f t="shared" si="13"/>
        <v>257.08</v>
      </c>
      <c r="J64" s="7">
        <v>236.69</v>
      </c>
      <c r="K64" s="5">
        <f t="shared" si="4"/>
        <v>7.9313832270110423</v>
      </c>
      <c r="L64" s="4">
        <f t="shared" si="5"/>
        <v>3251.320484572957</v>
      </c>
      <c r="M64" s="2">
        <v>43054</v>
      </c>
      <c r="N64" s="7">
        <v>6.79</v>
      </c>
      <c r="O64" s="7">
        <v>2.52</v>
      </c>
      <c r="P64" s="7">
        <v>5.0199999999999996</v>
      </c>
      <c r="Q64" s="6">
        <f t="shared" si="0"/>
        <v>0.35595776772247362</v>
      </c>
      <c r="R64" s="6">
        <f t="shared" si="1"/>
        <v>0.5037707390648567</v>
      </c>
      <c r="S64" s="6">
        <f t="shared" si="6"/>
        <v>0.14027149321266963</v>
      </c>
      <c r="T64" s="4">
        <f t="shared" si="7"/>
        <v>1257.032876569162</v>
      </c>
      <c r="U64" s="4">
        <f t="shared" si="8"/>
        <v>1779.0211049750003</v>
      </c>
      <c r="V64" s="4">
        <f t="shared" si="9"/>
        <v>3036.0539815441625</v>
      </c>
      <c r="W64" s="4">
        <f t="shared" si="10"/>
        <v>1157.3327818389409</v>
      </c>
      <c r="X64" s="4">
        <f t="shared" si="11"/>
        <v>1637.9201234500265</v>
      </c>
      <c r="Y64" s="4">
        <f t="shared" si="12"/>
        <v>2795.2529052889677</v>
      </c>
      <c r="Z64" s="10">
        <v>43077</v>
      </c>
      <c r="AA64" s="12">
        <v>40</v>
      </c>
      <c r="AB64" s="5">
        <v>1.1299999999999999</v>
      </c>
      <c r="AC64" s="4">
        <v>77.900000000000006</v>
      </c>
      <c r="AD64" s="4">
        <v>31.2</v>
      </c>
      <c r="AE64" s="4">
        <v>6</v>
      </c>
      <c r="AF64" s="4">
        <v>11.2</v>
      </c>
      <c r="AG64" s="3"/>
      <c r="AK64" s="3"/>
      <c r="AL64" s="3"/>
      <c r="AM64" s="7"/>
      <c r="AN64" s="7"/>
      <c r="AO64" s="7"/>
      <c r="AP64" s="7"/>
      <c r="AQ64" s="7"/>
      <c r="AR64" s="3"/>
      <c r="AS64" s="3"/>
      <c r="AT64" s="7"/>
      <c r="AU64" s="7"/>
      <c r="AV64" s="7"/>
      <c r="AW64" s="9"/>
      <c r="AX64" s="9"/>
      <c r="AY64" s="9"/>
      <c r="AZ64" s="3"/>
      <c r="BA64" s="3"/>
      <c r="BB64" s="3"/>
      <c r="BC64" s="3"/>
      <c r="BD64" s="3"/>
      <c r="BE64" s="3"/>
      <c r="BG64" s="13"/>
      <c r="BH64" s="7"/>
      <c r="BI64" s="3"/>
      <c r="BJ64" s="3"/>
      <c r="BK64" s="3"/>
      <c r="BL64" s="3"/>
    </row>
    <row r="65" spans="1:64" x14ac:dyDescent="0.25">
      <c r="A65">
        <v>18</v>
      </c>
      <c r="B65" s="1" t="s">
        <v>70</v>
      </c>
      <c r="C65" s="1" t="s">
        <v>32</v>
      </c>
      <c r="D65" s="2">
        <v>43047</v>
      </c>
      <c r="E65" s="3">
        <v>16.7</v>
      </c>
      <c r="F65" s="4">
        <f t="shared" si="3"/>
        <v>3643.0223622047242</v>
      </c>
      <c r="G65" s="7">
        <v>9.75</v>
      </c>
      <c r="H65" s="7">
        <v>274.29000000000002</v>
      </c>
      <c r="I65" s="7">
        <f t="shared" si="13"/>
        <v>264.54000000000002</v>
      </c>
      <c r="J65" s="7">
        <v>246.23</v>
      </c>
      <c r="K65" s="5">
        <f t="shared" si="4"/>
        <v>6.9214485522038363</v>
      </c>
      <c r="L65" s="4">
        <f t="shared" si="5"/>
        <v>3390.8724436594434</v>
      </c>
      <c r="M65" s="2">
        <v>43054</v>
      </c>
      <c r="N65" s="7">
        <v>7.03</v>
      </c>
      <c r="O65" s="7">
        <v>2.6</v>
      </c>
      <c r="P65" s="7">
        <v>5.0999999999999996</v>
      </c>
      <c r="Q65" s="6">
        <f t="shared" si="0"/>
        <v>0.35516739446870449</v>
      </c>
      <c r="R65" s="6">
        <f t="shared" si="1"/>
        <v>0.49781659388646288</v>
      </c>
      <c r="S65" s="6">
        <f t="shared" si="6"/>
        <v>0.14701601164483263</v>
      </c>
      <c r="T65" s="4">
        <f t="shared" si="7"/>
        <v>1293.8827603754769</v>
      </c>
      <c r="U65" s="4">
        <f t="shared" si="8"/>
        <v>1813.5569838049719</v>
      </c>
      <c r="V65" s="4">
        <f t="shared" si="9"/>
        <v>3107.4397441804485</v>
      </c>
      <c r="W65" s="4">
        <f t="shared" si="10"/>
        <v>1204.3273307902534</v>
      </c>
      <c r="X65" s="4">
        <f t="shared" si="11"/>
        <v>1688.0325702060111</v>
      </c>
      <c r="Y65" s="4">
        <f t="shared" si="12"/>
        <v>2892.3599009962645</v>
      </c>
      <c r="Z65" s="10"/>
      <c r="AA65" s="12"/>
      <c r="AB65" s="5"/>
      <c r="AC65" s="4"/>
      <c r="AD65" s="4"/>
      <c r="AE65" s="4"/>
      <c r="AF65" s="4"/>
      <c r="AG65" s="3"/>
      <c r="AK65" s="3"/>
      <c r="AL65" s="3"/>
      <c r="AM65" s="7"/>
      <c r="AN65" s="7"/>
      <c r="AO65" s="7"/>
      <c r="AP65" s="7"/>
      <c r="AQ65" s="7"/>
      <c r="AR65" s="3"/>
      <c r="AS65" s="3"/>
      <c r="AT65" s="7"/>
      <c r="AU65" s="7"/>
      <c r="AV65" s="7"/>
      <c r="AW65" s="9"/>
      <c r="AX65" s="9"/>
      <c r="AY65" s="9"/>
      <c r="AZ65" s="3"/>
      <c r="BA65" s="3"/>
      <c r="BB65" s="3"/>
      <c r="BC65" s="3"/>
      <c r="BD65" s="3"/>
      <c r="BE65" s="3"/>
      <c r="BG65" s="13"/>
      <c r="BH65" s="7"/>
      <c r="BI65" s="3"/>
      <c r="BJ65" s="3"/>
      <c r="BK65" s="3"/>
      <c r="BL65" s="3"/>
    </row>
    <row r="66" spans="1:64" x14ac:dyDescent="0.25">
      <c r="A66">
        <v>19</v>
      </c>
      <c r="B66" s="1" t="s">
        <v>71</v>
      </c>
      <c r="C66" s="1" t="s">
        <v>32</v>
      </c>
      <c r="D66" s="2">
        <v>43047</v>
      </c>
      <c r="E66" s="3">
        <v>23.5</v>
      </c>
      <c r="F66" s="4">
        <f t="shared" si="3"/>
        <v>5160.9483464566929</v>
      </c>
      <c r="G66" s="7">
        <v>9.73</v>
      </c>
      <c r="H66" s="7">
        <v>172.07</v>
      </c>
      <c r="I66" s="7">
        <f t="shared" si="13"/>
        <v>162.34</v>
      </c>
      <c r="J66" s="7">
        <v>151.94</v>
      </c>
      <c r="K66" s="5">
        <f t="shared" si="4"/>
        <v>6.4063077491684144</v>
      </c>
      <c r="L66" s="4">
        <f t="shared" si="5"/>
        <v>4830.3221126070584</v>
      </c>
      <c r="M66" s="2">
        <v>43054</v>
      </c>
      <c r="N66" s="7">
        <v>10.14</v>
      </c>
      <c r="O66" s="7">
        <v>3.92</v>
      </c>
      <c r="P66" s="7">
        <v>6.54</v>
      </c>
      <c r="Q66" s="6">
        <f t="shared" si="0"/>
        <v>0.37675350701402804</v>
      </c>
      <c r="R66" s="6">
        <f t="shared" si="1"/>
        <v>0.48697394789579157</v>
      </c>
      <c r="S66" s="6">
        <f t="shared" si="6"/>
        <v>0.13627254509018044</v>
      </c>
      <c r="T66" s="4">
        <f t="shared" si="7"/>
        <v>1944.4053890458081</v>
      </c>
      <c r="U66" s="4">
        <f t="shared" si="8"/>
        <v>2513.2473911602733</v>
      </c>
      <c r="V66" s="4">
        <f t="shared" si="9"/>
        <v>4457.6527802060809</v>
      </c>
      <c r="W66" s="4">
        <f t="shared" si="10"/>
        <v>1819.8407959321182</v>
      </c>
      <c r="X66" s="4">
        <f t="shared" si="11"/>
        <v>2352.2410287845996</v>
      </c>
      <c r="Y66" s="4">
        <f t="shared" si="12"/>
        <v>4172.0818247167181</v>
      </c>
      <c r="Z66" s="10"/>
      <c r="AA66" s="12"/>
      <c r="AB66" s="5"/>
      <c r="AC66" s="4"/>
      <c r="AD66" s="4"/>
      <c r="AE66" s="4"/>
      <c r="AF66" s="4"/>
      <c r="AG66" s="3"/>
      <c r="AH66" t="s">
        <v>254</v>
      </c>
      <c r="AI66" t="s">
        <v>32</v>
      </c>
      <c r="AJ66" s="8">
        <f>D66</f>
        <v>43047</v>
      </c>
      <c r="AK66" s="3">
        <f>SUM(E66:E68)</f>
        <v>68.400000000000006</v>
      </c>
      <c r="AL66" s="3">
        <f>(AK66-3*$A$35)*$A$36/(3*$A$37)*$A$38</f>
        <v>5004.6912598425197</v>
      </c>
      <c r="AM66" s="7">
        <f>SUM(G66:G68)</f>
        <v>29.130000000000003</v>
      </c>
      <c r="AN66" s="7">
        <f>SUM(H66:H68)</f>
        <v>738.2</v>
      </c>
      <c r="AO66" s="7">
        <f>AN66-AM66</f>
        <v>709.07</v>
      </c>
      <c r="AP66" s="7">
        <f>SUM(J66:J68)</f>
        <v>661.31999999999994</v>
      </c>
      <c r="AQ66" s="7">
        <f>(AO66-AP66)/AO66*100</f>
        <v>6.7341729307402813</v>
      </c>
      <c r="AR66" s="3">
        <f>AL66*(1-AQ66/100)</f>
        <v>4667.6666957550797</v>
      </c>
      <c r="AS66" s="11">
        <f>M66</f>
        <v>43054</v>
      </c>
      <c r="AT66" s="7">
        <f>SUM(N66:N68)</f>
        <v>29.459999999999997</v>
      </c>
      <c r="AU66" s="7">
        <f>SUM(O66:O68)</f>
        <v>11.38</v>
      </c>
      <c r="AV66" s="7">
        <f>SUM(P66:P68)</f>
        <v>19.240000000000002</v>
      </c>
      <c r="AW66" s="9">
        <f>(AU66-3*$A$39)/(AT66-3*$A$39)</f>
        <v>0.37612146307798489</v>
      </c>
      <c r="AX66" s="9">
        <f>(AV66-3*$A$40)/(AT66-3*$A$39)</f>
        <v>0.48999309868875102</v>
      </c>
      <c r="AY66" s="9">
        <f>1-AW66-AX66</f>
        <v>0.1338854382332641</v>
      </c>
      <c r="AZ66" s="3">
        <f>AL66*AW66</f>
        <v>1882.3717989055719</v>
      </c>
      <c r="BA66" s="3">
        <f>AL66*AX66</f>
        <v>2452.2641783907452</v>
      </c>
      <c r="BB66" s="3">
        <f>AZ66+BA66</f>
        <v>4334.6359772963169</v>
      </c>
      <c r="BC66" s="3">
        <f>AR66*AW66</f>
        <v>1755.609626767784</v>
      </c>
      <c r="BD66" s="3">
        <f>AR66*AX66</f>
        <v>2287.1244678993153</v>
      </c>
      <c r="BE66" s="3">
        <f>BC66+BD66</f>
        <v>4042.7340946670993</v>
      </c>
      <c r="BF66" s="11">
        <f>Z67</f>
        <v>43077</v>
      </c>
      <c r="BG66" s="13">
        <f>AVERAGE(AA66:AA68)</f>
        <v>48</v>
      </c>
      <c r="BH66" s="7">
        <f t="shared" ref="BH66" si="39">AVERAGE(AB66:AB68)</f>
        <v>1.1399999999999999</v>
      </c>
      <c r="BI66" s="3">
        <f t="shared" ref="BI66" si="40">AVERAGE(AC66:AC68)</f>
        <v>80</v>
      </c>
      <c r="BJ66" s="3">
        <f t="shared" ref="BJ66" si="41">AVERAGE(AD66:AD68)</f>
        <v>30.7</v>
      </c>
      <c r="BK66" s="3">
        <f t="shared" ref="BK66" si="42">AVERAGE(AE66:AE68)</f>
        <v>5.9</v>
      </c>
      <c r="BL66" s="3">
        <f t="shared" ref="BL66" si="43">AVERAGE(AF66:AF68)</f>
        <v>10.3</v>
      </c>
    </row>
    <row r="67" spans="1:64" x14ac:dyDescent="0.25">
      <c r="A67">
        <v>20</v>
      </c>
      <c r="B67" s="1" t="s">
        <v>72</v>
      </c>
      <c r="C67" s="1" t="s">
        <v>32</v>
      </c>
      <c r="D67" s="2">
        <v>43047</v>
      </c>
      <c r="E67" s="3">
        <v>21.8</v>
      </c>
      <c r="F67" s="4">
        <f t="shared" si="3"/>
        <v>4781.466850393701</v>
      </c>
      <c r="G67" s="7">
        <v>9.68</v>
      </c>
      <c r="H67" s="7">
        <v>255.86</v>
      </c>
      <c r="I67" s="7">
        <f t="shared" si="13"/>
        <v>246.18</v>
      </c>
      <c r="J67" s="7">
        <v>230.25</v>
      </c>
      <c r="K67" s="5">
        <f t="shared" si="4"/>
        <v>6.4708749695344885</v>
      </c>
      <c r="L67" s="4">
        <f t="shared" si="5"/>
        <v>4472.0641087949862</v>
      </c>
      <c r="M67" s="2">
        <v>43054</v>
      </c>
      <c r="N67" s="7">
        <v>9.3699999999999992</v>
      </c>
      <c r="O67" s="7">
        <v>3.64</v>
      </c>
      <c r="P67" s="7">
        <v>6.22</v>
      </c>
      <c r="Q67" s="6">
        <f t="shared" si="0"/>
        <v>0.37785016286644957</v>
      </c>
      <c r="R67" s="6">
        <f t="shared" si="1"/>
        <v>0.49294245385450602</v>
      </c>
      <c r="S67" s="6">
        <f t="shared" si="6"/>
        <v>0.12920738327904441</v>
      </c>
      <c r="T67" s="4">
        <f t="shared" si="7"/>
        <v>1806.6780281617896</v>
      </c>
      <c r="U67" s="4">
        <f t="shared" si="8"/>
        <v>2356.9880022570474</v>
      </c>
      <c r="V67" s="4">
        <f t="shared" si="9"/>
        <v>4163.6660304188372</v>
      </c>
      <c r="W67" s="4">
        <f t="shared" si="10"/>
        <v>1689.7701518573892</v>
      </c>
      <c r="X67" s="4">
        <f t="shared" si="11"/>
        <v>2204.4702555840649</v>
      </c>
      <c r="Y67" s="4">
        <f t="shared" si="12"/>
        <v>3894.2404074414544</v>
      </c>
      <c r="Z67" s="10">
        <v>43077</v>
      </c>
      <c r="AA67" s="12">
        <v>48</v>
      </c>
      <c r="AB67" s="5">
        <v>1.1399999999999999</v>
      </c>
      <c r="AC67" s="4">
        <v>80</v>
      </c>
      <c r="AD67" s="4">
        <v>30.7</v>
      </c>
      <c r="AE67" s="4">
        <v>5.9</v>
      </c>
      <c r="AF67" s="4">
        <v>10.3</v>
      </c>
      <c r="AG67" s="3"/>
      <c r="AK67" s="3"/>
      <c r="AL67" s="3"/>
      <c r="AM67" s="7"/>
      <c r="AN67" s="7"/>
      <c r="AO67" s="7"/>
      <c r="AP67" s="7"/>
      <c r="AQ67" s="7"/>
      <c r="AR67" s="3"/>
      <c r="AS67" s="3"/>
      <c r="AT67" s="7"/>
      <c r="AU67" s="7"/>
      <c r="AV67" s="7"/>
      <c r="AW67" s="9"/>
      <c r="AX67" s="9"/>
      <c r="AY67" s="9"/>
      <c r="AZ67" s="3"/>
      <c r="BA67" s="3"/>
      <c r="BB67" s="3"/>
      <c r="BC67" s="3"/>
      <c r="BD67" s="3"/>
      <c r="BE67" s="3"/>
      <c r="BG67" s="13"/>
      <c r="BH67" s="7"/>
      <c r="BI67" s="3"/>
      <c r="BJ67" s="3"/>
      <c r="BK67" s="3"/>
      <c r="BL67" s="3"/>
    </row>
    <row r="68" spans="1:64" x14ac:dyDescent="0.25">
      <c r="A68">
        <v>21</v>
      </c>
      <c r="B68" s="1" t="s">
        <v>73</v>
      </c>
      <c r="C68" s="1" t="s">
        <v>32</v>
      </c>
      <c r="D68" s="2">
        <v>43047</v>
      </c>
      <c r="E68" s="3">
        <v>23.1</v>
      </c>
      <c r="F68" s="4">
        <f t="shared" si="3"/>
        <v>5071.6585826771661</v>
      </c>
      <c r="G68" s="7">
        <v>9.7200000000000006</v>
      </c>
      <c r="H68" s="7">
        <v>310.27</v>
      </c>
      <c r="I68" s="7">
        <f t="shared" si="13"/>
        <v>300.54999999999995</v>
      </c>
      <c r="J68" s="7">
        <v>279.13</v>
      </c>
      <c r="K68" s="5">
        <f t="shared" si="4"/>
        <v>7.1269339544168888</v>
      </c>
      <c r="L68" s="4">
        <f t="shared" si="5"/>
        <v>4710.2048250962489</v>
      </c>
      <c r="M68" s="2">
        <v>43054</v>
      </c>
      <c r="N68" s="7">
        <v>9.9499999999999993</v>
      </c>
      <c r="O68" s="7">
        <v>3.82</v>
      </c>
      <c r="P68" s="7">
        <v>6.48</v>
      </c>
      <c r="Q68" s="6">
        <f t="shared" si="0"/>
        <v>0.37385086823289071</v>
      </c>
      <c r="R68" s="6">
        <f t="shared" si="1"/>
        <v>0.49029622063329942</v>
      </c>
      <c r="S68" s="6">
        <f t="shared" si="6"/>
        <v>0.13585291113380987</v>
      </c>
      <c r="T68" s="4">
        <f t="shared" si="7"/>
        <v>1896.0439645146505</v>
      </c>
      <c r="U68" s="4">
        <f t="shared" si="8"/>
        <v>2486.6150354290503</v>
      </c>
      <c r="V68" s="4">
        <f t="shared" si="9"/>
        <v>4382.658999943701</v>
      </c>
      <c r="W68" s="4">
        <f t="shared" si="10"/>
        <v>1760.9141634169837</v>
      </c>
      <c r="X68" s="4">
        <f t="shared" si="11"/>
        <v>2309.395624153422</v>
      </c>
      <c r="Y68" s="4">
        <f t="shared" si="12"/>
        <v>4070.3097875704057</v>
      </c>
      <c r="Z68" s="10"/>
      <c r="AA68" s="12"/>
      <c r="AB68" s="5"/>
      <c r="AC68" s="4"/>
      <c r="AD68" s="4"/>
      <c r="AE68" s="4"/>
      <c r="AF68" s="4"/>
      <c r="AG68" s="3"/>
      <c r="AK68" s="3"/>
      <c r="AL68" s="3"/>
      <c r="AM68" s="7"/>
      <c r="AN68" s="7"/>
      <c r="AO68" s="7"/>
      <c r="AP68" s="7"/>
      <c r="AQ68" s="7"/>
      <c r="AR68" s="3"/>
      <c r="AS68" s="3"/>
      <c r="AT68" s="7"/>
      <c r="AU68" s="7"/>
      <c r="AV68" s="7"/>
      <c r="AW68" s="9"/>
      <c r="AX68" s="9"/>
      <c r="AY68" s="9"/>
      <c r="AZ68" s="3"/>
      <c r="BA68" s="3"/>
      <c r="BB68" s="3"/>
      <c r="BC68" s="3"/>
      <c r="BD68" s="3"/>
      <c r="BE68" s="3"/>
      <c r="BG68" s="13"/>
      <c r="BH68" s="7"/>
      <c r="BI68" s="3"/>
      <c r="BJ68" s="3"/>
      <c r="BK68" s="3"/>
      <c r="BL68" s="3"/>
    </row>
    <row r="69" spans="1:64" x14ac:dyDescent="0.25">
      <c r="A69">
        <v>22</v>
      </c>
      <c r="B69" s="1" t="s">
        <v>74</v>
      </c>
      <c r="C69" s="1" t="s">
        <v>32</v>
      </c>
      <c r="D69" s="2">
        <v>43047</v>
      </c>
      <c r="E69" s="3">
        <v>25.3</v>
      </c>
      <c r="F69" s="4">
        <f t="shared" si="3"/>
        <v>5562.752283464567</v>
      </c>
      <c r="G69" s="7">
        <v>9.7200000000000006</v>
      </c>
      <c r="H69" s="7">
        <v>104.75</v>
      </c>
      <c r="I69" s="7">
        <f t="shared" si="13"/>
        <v>95.03</v>
      </c>
      <c r="J69" s="7">
        <v>89.26</v>
      </c>
      <c r="K69" s="5">
        <f t="shared" si="4"/>
        <v>6.0717668104808959</v>
      </c>
      <c r="L69" s="4">
        <f t="shared" si="5"/>
        <v>5224.9949365678976</v>
      </c>
      <c r="M69" s="2">
        <v>43054</v>
      </c>
      <c r="N69" s="7">
        <v>11.05</v>
      </c>
      <c r="O69" s="7">
        <v>4.26</v>
      </c>
      <c r="P69" s="7">
        <v>7.06</v>
      </c>
      <c r="Q69" s="6">
        <f t="shared" si="0"/>
        <v>0.37649219467401279</v>
      </c>
      <c r="R69" s="6">
        <f t="shared" si="1"/>
        <v>0.49403122130394855</v>
      </c>
      <c r="S69" s="6">
        <f t="shared" si="6"/>
        <v>0.12947658402203871</v>
      </c>
      <c r="T69" s="4">
        <f t="shared" si="7"/>
        <v>2094.332815629451</v>
      </c>
      <c r="U69" s="4">
        <f t="shared" si="8"/>
        <v>2748.1733044113284</v>
      </c>
      <c r="V69" s="4">
        <f t="shared" si="9"/>
        <v>4842.5061200407799</v>
      </c>
      <c r="W69" s="4">
        <f t="shared" si="10"/>
        <v>1967.169810829052</v>
      </c>
      <c r="X69" s="4">
        <f t="shared" si="11"/>
        <v>2581.3106298195858</v>
      </c>
      <c r="Y69" s="4">
        <f t="shared" si="12"/>
        <v>4548.4804406486383</v>
      </c>
      <c r="Z69" s="10"/>
      <c r="AA69" s="12"/>
      <c r="AB69" s="5"/>
      <c r="AC69" s="4"/>
      <c r="AD69" s="4"/>
      <c r="AE69" s="4"/>
      <c r="AF69" s="4"/>
      <c r="AG69" s="3"/>
      <c r="AH69" t="s">
        <v>255</v>
      </c>
      <c r="AI69" t="s">
        <v>32</v>
      </c>
      <c r="AJ69" s="8">
        <f>D69</f>
        <v>43047</v>
      </c>
      <c r="AK69" s="3">
        <f>SUM(E69:E71)</f>
        <v>71</v>
      </c>
      <c r="AL69" s="3">
        <f>(AK69-3*$A$35)*$A$36/(3*$A$37)*$A$38</f>
        <v>5198.1524146981628</v>
      </c>
      <c r="AM69" s="7">
        <f>SUM(G69:G71)</f>
        <v>29.190000000000005</v>
      </c>
      <c r="AN69" s="7">
        <f>SUM(H69:H71)</f>
        <v>447.18999999999994</v>
      </c>
      <c r="AO69" s="7">
        <f>AN69-AM69</f>
        <v>417.99999999999994</v>
      </c>
      <c r="AP69" s="7">
        <f>SUM(J69:J71)</f>
        <v>392.15</v>
      </c>
      <c r="AQ69" s="7">
        <f>(AO69-AP69)/AO69*100</f>
        <v>6.1842105263157823</v>
      </c>
      <c r="AR69" s="3">
        <f>AL69*(1-AQ69/100)</f>
        <v>4876.6877258944614</v>
      </c>
      <c r="AS69" s="11">
        <f>M69</f>
        <v>43054</v>
      </c>
      <c r="AT69" s="7">
        <f>SUM(N69:N71)</f>
        <v>30.92</v>
      </c>
      <c r="AU69" s="7">
        <f>SUM(O69:O71)</f>
        <v>11.959999999999999</v>
      </c>
      <c r="AV69" s="7">
        <f>SUM(P69:P71)</f>
        <v>20.079999999999998</v>
      </c>
      <c r="AW69" s="9">
        <f>(AU69-3*$A$39)/(AT69-3*$A$39)</f>
        <v>0.37713534822601835</v>
      </c>
      <c r="AX69" s="9">
        <f>(AV69-3*$A$40)/(AT69-3*$A$39)</f>
        <v>0.4940867279894875</v>
      </c>
      <c r="AY69" s="9">
        <f>1-AW69-AX69</f>
        <v>0.12877792378449415</v>
      </c>
      <c r="AZ69" s="3">
        <f>AL69*AW69</f>
        <v>1960.4070210491097</v>
      </c>
      <c r="BA69" s="3">
        <f>AL69*AX69</f>
        <v>2568.3381181688687</v>
      </c>
      <c r="BB69" s="3">
        <f>AZ69+BA69</f>
        <v>4528.7451392179782</v>
      </c>
      <c r="BC69" s="3">
        <f>AR69*AW69</f>
        <v>1839.1713236947573</v>
      </c>
      <c r="BD69" s="3">
        <f>AR69*AX69</f>
        <v>2409.5066819136891</v>
      </c>
      <c r="BE69" s="3">
        <f>BC69+BD69</f>
        <v>4248.6780056084463</v>
      </c>
      <c r="BF69" s="11">
        <f>Z70</f>
        <v>43077</v>
      </c>
      <c r="BG69" s="13">
        <f>AVERAGE(AA69:AA71)</f>
        <v>47</v>
      </c>
      <c r="BH69" s="7">
        <f t="shared" ref="BH69" si="44">AVERAGE(AB69:AB71)</f>
        <v>1.1200000000000001</v>
      </c>
      <c r="BI69" s="3">
        <f t="shared" ref="BI69" si="45">AVERAGE(AC69:AC71)</f>
        <v>80.099999999999994</v>
      </c>
      <c r="BJ69" s="3">
        <f t="shared" ref="BJ69" si="46">AVERAGE(AD69:AD71)</f>
        <v>31.3</v>
      </c>
      <c r="BK69" s="3">
        <f t="shared" ref="BK69" si="47">AVERAGE(AE69:AE71)</f>
        <v>5.9</v>
      </c>
      <c r="BL69" s="3">
        <f t="shared" ref="BL69" si="48">AVERAGE(AF69:AF71)</f>
        <v>10.3</v>
      </c>
    </row>
    <row r="70" spans="1:64" x14ac:dyDescent="0.25">
      <c r="A70">
        <v>23</v>
      </c>
      <c r="B70" s="1" t="s">
        <v>75</v>
      </c>
      <c r="C70" s="1" t="s">
        <v>32</v>
      </c>
      <c r="D70" s="2">
        <v>43047</v>
      </c>
      <c r="E70" s="3">
        <v>23.1</v>
      </c>
      <c r="F70" s="4">
        <f t="shared" si="3"/>
        <v>5071.6585826771661</v>
      </c>
      <c r="G70" s="7">
        <v>9.73</v>
      </c>
      <c r="H70" s="7">
        <v>155.77000000000001</v>
      </c>
      <c r="I70" s="7">
        <f t="shared" si="13"/>
        <v>146.04000000000002</v>
      </c>
      <c r="J70" s="7">
        <v>136.49</v>
      </c>
      <c r="K70" s="5">
        <f t="shared" si="4"/>
        <v>6.539304300191735</v>
      </c>
      <c r="L70" s="4">
        <f t="shared" si="5"/>
        <v>4740.0073948891149</v>
      </c>
      <c r="M70" s="2">
        <v>43054</v>
      </c>
      <c r="N70" s="7">
        <v>10</v>
      </c>
      <c r="O70" s="7">
        <v>3.94</v>
      </c>
      <c r="P70" s="7">
        <v>6.52</v>
      </c>
      <c r="Q70" s="6">
        <f t="shared" si="0"/>
        <v>0.38414634146341464</v>
      </c>
      <c r="R70" s="6">
        <f t="shared" si="1"/>
        <v>0.491869918699187</v>
      </c>
      <c r="S70" s="6">
        <f t="shared" si="6"/>
        <v>0.12398373983739835</v>
      </c>
      <c r="T70" s="4">
        <f t="shared" si="7"/>
        <v>1948.2590896869601</v>
      </c>
      <c r="U70" s="4">
        <f t="shared" si="8"/>
        <v>2494.5962947314515</v>
      </c>
      <c r="V70" s="4">
        <f t="shared" si="9"/>
        <v>4442.8553844184116</v>
      </c>
      <c r="W70" s="4">
        <f t="shared" si="10"/>
        <v>1820.8564992561844</v>
      </c>
      <c r="X70" s="4">
        <f t="shared" si="11"/>
        <v>2331.4670519576543</v>
      </c>
      <c r="Y70" s="4">
        <f t="shared" si="12"/>
        <v>4152.323551213839</v>
      </c>
      <c r="Z70" s="10">
        <v>43077</v>
      </c>
      <c r="AA70" s="12">
        <v>47</v>
      </c>
      <c r="AB70" s="5">
        <v>1.1200000000000001</v>
      </c>
      <c r="AC70" s="4">
        <v>80.099999999999994</v>
      </c>
      <c r="AD70" s="4">
        <v>31.3</v>
      </c>
      <c r="AE70" s="4">
        <v>5.9</v>
      </c>
      <c r="AF70" s="4">
        <v>10.3</v>
      </c>
      <c r="AG70" s="3"/>
      <c r="AK70" s="3"/>
      <c r="AL70" s="3"/>
      <c r="AM70" s="7"/>
      <c r="AN70" s="7"/>
      <c r="AO70" s="7"/>
      <c r="AP70" s="7"/>
      <c r="AQ70" s="7"/>
      <c r="AR70" s="3"/>
      <c r="AS70" s="3"/>
      <c r="AT70" s="7"/>
      <c r="AU70" s="7"/>
      <c r="AV70" s="7"/>
      <c r="AW70" s="9"/>
      <c r="AX70" s="9"/>
      <c r="AY70" s="9"/>
      <c r="AZ70" s="3"/>
      <c r="BA70" s="3"/>
      <c r="BB70" s="3"/>
      <c r="BC70" s="3"/>
      <c r="BD70" s="3"/>
      <c r="BE70" s="3"/>
      <c r="BG70" s="13"/>
      <c r="BH70" s="7"/>
      <c r="BI70" s="3"/>
      <c r="BJ70" s="3"/>
      <c r="BK70" s="3"/>
      <c r="BL70" s="3"/>
    </row>
    <row r="71" spans="1:64" x14ac:dyDescent="0.25">
      <c r="A71">
        <v>24</v>
      </c>
      <c r="B71" s="1" t="s">
        <v>76</v>
      </c>
      <c r="C71" s="1" t="s">
        <v>32</v>
      </c>
      <c r="D71" s="2">
        <v>43047</v>
      </c>
      <c r="E71" s="3">
        <v>22.6</v>
      </c>
      <c r="F71" s="4">
        <f t="shared" si="3"/>
        <v>4960.0463779527563</v>
      </c>
      <c r="G71" s="7">
        <v>9.74</v>
      </c>
      <c r="H71" s="7">
        <v>186.67</v>
      </c>
      <c r="I71" s="7">
        <f t="shared" si="13"/>
        <v>176.92999999999998</v>
      </c>
      <c r="J71" s="7">
        <v>166.4</v>
      </c>
      <c r="K71" s="5">
        <f t="shared" si="4"/>
        <v>5.9515062454077734</v>
      </c>
      <c r="L71" s="4">
        <f t="shared" si="5"/>
        <v>4664.8489079937754</v>
      </c>
      <c r="M71" s="2">
        <v>43054</v>
      </c>
      <c r="N71" s="7">
        <v>9.8699999999999992</v>
      </c>
      <c r="O71" s="7">
        <v>3.76</v>
      </c>
      <c r="P71" s="7">
        <v>6.5</v>
      </c>
      <c r="Q71" s="6">
        <f t="shared" si="0"/>
        <v>0.37075180226570548</v>
      </c>
      <c r="R71" s="6">
        <f t="shared" si="1"/>
        <v>0.49639546858908351</v>
      </c>
      <c r="S71" s="6">
        <f t="shared" si="6"/>
        <v>0.13285272914521101</v>
      </c>
      <c r="T71" s="4">
        <f t="shared" si="7"/>
        <v>1838.946133947469</v>
      </c>
      <c r="U71" s="4">
        <f t="shared" si="8"/>
        <v>2462.1445460074447</v>
      </c>
      <c r="V71" s="4">
        <f t="shared" si="9"/>
        <v>4301.0906799549139</v>
      </c>
      <c r="W71" s="4">
        <f t="shared" si="10"/>
        <v>1729.5011399359003</v>
      </c>
      <c r="X71" s="4">
        <f t="shared" si="11"/>
        <v>2315.6098595808448</v>
      </c>
      <c r="Y71" s="4">
        <f t="shared" si="12"/>
        <v>4045.1109995167453</v>
      </c>
      <c r="Z71" s="10"/>
      <c r="AA71" s="12"/>
      <c r="AB71" s="5"/>
      <c r="AC71" s="4"/>
      <c r="AD71" s="4"/>
      <c r="AE71" s="4"/>
      <c r="AF71" s="4"/>
      <c r="AK71" s="3"/>
      <c r="AL71" s="3"/>
      <c r="AM71" s="7"/>
      <c r="AN71" s="7"/>
      <c r="AO71" s="7"/>
      <c r="AP71" s="7"/>
      <c r="AQ71" s="7"/>
      <c r="AR71" s="3"/>
      <c r="AS71" s="3"/>
      <c r="AT71" s="7"/>
      <c r="AU71" s="7"/>
      <c r="AV71" s="7"/>
      <c r="AW71" s="9"/>
      <c r="AX71" s="9"/>
      <c r="AY71" s="9"/>
      <c r="AZ71" s="3"/>
      <c r="BA71" s="3"/>
      <c r="BB71" s="3"/>
      <c r="BC71" s="3"/>
      <c r="BD71" s="3"/>
      <c r="BE71" s="3"/>
      <c r="BG71" s="13"/>
      <c r="BH71" s="7"/>
      <c r="BI71" s="3"/>
      <c r="BJ71" s="3"/>
      <c r="BK71" s="3"/>
      <c r="BL71" s="3"/>
    </row>
    <row r="72" spans="1:64" x14ac:dyDescent="0.25">
      <c r="A72">
        <v>25</v>
      </c>
      <c r="B72" s="1" t="s">
        <v>77</v>
      </c>
      <c r="C72" s="1" t="s">
        <v>32</v>
      </c>
      <c r="D72" s="2">
        <v>43047</v>
      </c>
      <c r="E72" s="3">
        <v>22.7</v>
      </c>
      <c r="F72" s="4">
        <f t="shared" si="3"/>
        <v>4982.3688188976375</v>
      </c>
      <c r="G72" s="7">
        <v>9.7100000000000009</v>
      </c>
      <c r="H72" s="7">
        <v>142.72999999999999</v>
      </c>
      <c r="I72" s="7">
        <f t="shared" si="13"/>
        <v>133.01999999999998</v>
      </c>
      <c r="J72" s="7">
        <v>123.4</v>
      </c>
      <c r="K72" s="5">
        <f t="shared" si="4"/>
        <v>7.2319951886934133</v>
      </c>
      <c r="L72" s="4">
        <f t="shared" si="5"/>
        <v>4622.0441456319995</v>
      </c>
      <c r="M72" s="2">
        <v>43054</v>
      </c>
      <c r="N72" s="7">
        <v>9.92</v>
      </c>
      <c r="O72" s="7">
        <v>3.68</v>
      </c>
      <c r="P72" s="7">
        <v>6.46</v>
      </c>
      <c r="Q72" s="6">
        <f t="shared" si="0"/>
        <v>0.36065573770491804</v>
      </c>
      <c r="R72" s="6">
        <f t="shared" si="1"/>
        <v>0.48975409836065575</v>
      </c>
      <c r="S72" s="6">
        <f t="shared" si="6"/>
        <v>0.14959016393442626</v>
      </c>
      <c r="T72" s="4">
        <f t="shared" si="7"/>
        <v>1796.9199018975087</v>
      </c>
      <c r="U72" s="4">
        <f t="shared" si="8"/>
        <v>2440.1355485994577</v>
      </c>
      <c r="V72" s="4">
        <f t="shared" si="9"/>
        <v>4237.0554504969659</v>
      </c>
      <c r="W72" s="4">
        <f t="shared" si="10"/>
        <v>1666.9667410476065</v>
      </c>
      <c r="X72" s="4">
        <f t="shared" si="11"/>
        <v>2263.6650631271473</v>
      </c>
      <c r="Y72" s="4">
        <f t="shared" si="12"/>
        <v>3930.6318041747536</v>
      </c>
      <c r="Z72" s="10"/>
      <c r="AA72" s="12"/>
      <c r="AB72" s="5"/>
      <c r="AC72" s="4"/>
      <c r="AD72" s="4"/>
      <c r="AE72" s="4"/>
      <c r="AF72" s="4"/>
      <c r="AH72" t="s">
        <v>256</v>
      </c>
      <c r="AI72" t="str">
        <f>C72</f>
        <v>Machine</v>
      </c>
      <c r="AJ72" s="8">
        <f>D72</f>
        <v>43047</v>
      </c>
      <c r="AK72" s="3">
        <f>SUM(E72:E74)</f>
        <v>70.899999999999991</v>
      </c>
      <c r="AL72" s="3">
        <f>(AK72-3*$A$35)*$A$36/(3*$A$37)*$A$38</f>
        <v>5190.7116010498676</v>
      </c>
      <c r="AM72" s="7">
        <f>SUM(G72:G74)</f>
        <v>29.13</v>
      </c>
      <c r="AN72" s="7">
        <f>SUM(H72:H74)</f>
        <v>416.96999999999997</v>
      </c>
      <c r="AO72" s="7">
        <f>AN72-AM72</f>
        <v>387.84</v>
      </c>
      <c r="AP72" s="7">
        <f>SUM(J72:J74)</f>
        <v>360.29999999999995</v>
      </c>
      <c r="AQ72" s="7">
        <f>(AO72-AP72)/AO72*100</f>
        <v>7.1008663366336693</v>
      </c>
      <c r="AR72" s="3">
        <f>AL72*(1-AQ72/100)</f>
        <v>4822.1261083391792</v>
      </c>
      <c r="AS72" s="11">
        <f>M72</f>
        <v>43054</v>
      </c>
      <c r="AT72" s="7">
        <f>SUM(N72:N74)</f>
        <v>30.89</v>
      </c>
      <c r="AU72" s="7">
        <f>SUM(O72:O74)</f>
        <v>11.620000000000001</v>
      </c>
      <c r="AV72" s="7">
        <f>SUM(P72:P74)</f>
        <v>20.079999999999998</v>
      </c>
      <c r="AW72" s="9">
        <f>(AU72-3*$A$39)/(AT72-3*$A$39)</f>
        <v>0.36632686616244658</v>
      </c>
      <c r="AX72" s="9">
        <f>(AV72-3*$A$40)/(AT72-3*$A$39)</f>
        <v>0.49457415323906606</v>
      </c>
      <c r="AY72" s="9">
        <f>1-AW72-AX72</f>
        <v>0.13909898059848735</v>
      </c>
      <c r="AZ72" s="3">
        <f>AL72*AW72</f>
        <v>1901.4971139656536</v>
      </c>
      <c r="BA72" s="3">
        <f>AL72*AX72</f>
        <v>2567.1917947974353</v>
      </c>
      <c r="BB72" s="3">
        <f>AZ72+BA72</f>
        <v>4468.6889087630889</v>
      </c>
      <c r="BC72" s="3">
        <f>AR72*AW72</f>
        <v>1766.4743455080059</v>
      </c>
      <c r="BD72" s="3">
        <f>AR72*AX72</f>
        <v>2384.8989368438424</v>
      </c>
      <c r="BE72" s="3">
        <f>BC72+BD72</f>
        <v>4151.3732823518485</v>
      </c>
      <c r="BF72" s="11">
        <f>Z73</f>
        <v>43077</v>
      </c>
      <c r="BG72" s="13">
        <f>AVERAGE(AA72:AA74)</f>
        <v>43</v>
      </c>
      <c r="BH72" s="7">
        <f t="shared" ref="BH72" si="49">AVERAGE(AB72:AB74)</f>
        <v>1.1499999999999999</v>
      </c>
      <c r="BI72" s="3">
        <f t="shared" ref="BI72" si="50">AVERAGE(AC72:AC74)</f>
        <v>81.099999999999994</v>
      </c>
      <c r="BJ72" s="3">
        <f t="shared" ref="BJ72" si="51">AVERAGE(AD72:AD74)</f>
        <v>31.8</v>
      </c>
      <c r="BK72" s="3">
        <f t="shared" ref="BK72" si="52">AVERAGE(AE72:AE74)</f>
        <v>6.2</v>
      </c>
      <c r="BL72" s="3">
        <f t="shared" ref="BL72" si="53">AVERAGE(AF72:AF74)</f>
        <v>9.3000000000000007</v>
      </c>
    </row>
    <row r="73" spans="1:64" x14ac:dyDescent="0.25">
      <c r="A73">
        <v>26</v>
      </c>
      <c r="B73" s="1" t="s">
        <v>78</v>
      </c>
      <c r="C73" s="1" t="s">
        <v>32</v>
      </c>
      <c r="D73" s="2">
        <v>43047</v>
      </c>
      <c r="E73" s="3">
        <v>24.4</v>
      </c>
      <c r="F73" s="4">
        <f t="shared" si="3"/>
        <v>5361.8503149606286</v>
      </c>
      <c r="G73" s="7">
        <v>9.7200000000000006</v>
      </c>
      <c r="H73" s="7">
        <v>131.06</v>
      </c>
      <c r="I73" s="7">
        <f t="shared" si="13"/>
        <v>121.34</v>
      </c>
      <c r="J73" s="7">
        <v>112.99</v>
      </c>
      <c r="K73" s="5">
        <f t="shared" si="4"/>
        <v>6.8814900280204458</v>
      </c>
      <c r="L73" s="4">
        <f t="shared" si="5"/>
        <v>4992.8751202192298</v>
      </c>
      <c r="M73" s="2">
        <v>43054</v>
      </c>
      <c r="N73" s="7">
        <v>10.57</v>
      </c>
      <c r="O73" s="7">
        <v>3.98</v>
      </c>
      <c r="P73" s="7">
        <v>6.9</v>
      </c>
      <c r="Q73" s="6">
        <f t="shared" si="0"/>
        <v>0.36695485110470699</v>
      </c>
      <c r="R73" s="6">
        <f t="shared" si="1"/>
        <v>0.50144092219020175</v>
      </c>
      <c r="S73" s="6">
        <f t="shared" si="6"/>
        <v>0.13160422670509131</v>
      </c>
      <c r="T73" s="4">
        <f t="shared" si="7"/>
        <v>1967.5569839721038</v>
      </c>
      <c r="U73" s="4">
        <f t="shared" si="8"/>
        <v>2688.6511665796811</v>
      </c>
      <c r="V73" s="4">
        <f t="shared" si="9"/>
        <v>4656.2081505517854</v>
      </c>
      <c r="W73" s="4">
        <f t="shared" si="10"/>
        <v>1832.1597463244434</v>
      </c>
      <c r="X73" s="4">
        <f t="shared" si="11"/>
        <v>2503.6319046632452</v>
      </c>
      <c r="Y73" s="4">
        <f t="shared" si="12"/>
        <v>4335.7916509876886</v>
      </c>
      <c r="Z73" s="10">
        <v>43077</v>
      </c>
      <c r="AA73" s="12">
        <v>43</v>
      </c>
      <c r="AB73" s="5">
        <v>1.1499999999999999</v>
      </c>
      <c r="AC73" s="4">
        <v>81.099999999999994</v>
      </c>
      <c r="AD73" s="4">
        <v>31.8</v>
      </c>
      <c r="AE73" s="4">
        <v>6.2</v>
      </c>
      <c r="AF73" s="4">
        <v>9.3000000000000007</v>
      </c>
      <c r="AK73" s="3"/>
      <c r="AL73" s="3"/>
      <c r="AM73" s="7"/>
      <c r="AN73" s="7"/>
      <c r="AO73" s="7"/>
      <c r="AP73" s="7"/>
      <c r="AQ73" s="7"/>
      <c r="AR73" s="3"/>
      <c r="AS73" s="3"/>
      <c r="AT73" s="7"/>
      <c r="AU73" s="7"/>
      <c r="AV73" s="7"/>
      <c r="AW73" s="9"/>
      <c r="AX73" s="9"/>
      <c r="AY73" s="9"/>
      <c r="AZ73" s="3"/>
      <c r="BA73" s="3"/>
      <c r="BB73" s="3"/>
      <c r="BC73" s="3"/>
      <c r="BD73" s="3"/>
      <c r="BE73" s="3"/>
      <c r="BG73" s="13"/>
      <c r="BH73" s="7"/>
      <c r="BI73" s="3"/>
      <c r="BJ73" s="3"/>
      <c r="BK73" s="3"/>
      <c r="BL73" s="3"/>
    </row>
    <row r="74" spans="1:64" x14ac:dyDescent="0.25">
      <c r="A74">
        <v>27</v>
      </c>
      <c r="B74" s="1" t="s">
        <v>79</v>
      </c>
      <c r="C74" s="1" t="s">
        <v>32</v>
      </c>
      <c r="D74" s="2">
        <v>43047</v>
      </c>
      <c r="E74" s="3">
        <v>23.8</v>
      </c>
      <c r="F74" s="4">
        <f t="shared" si="3"/>
        <v>5227.9156692913384</v>
      </c>
      <c r="G74" s="7">
        <v>9.6999999999999993</v>
      </c>
      <c r="H74" s="7">
        <v>143.18</v>
      </c>
      <c r="I74" s="7">
        <f t="shared" si="13"/>
        <v>133.48000000000002</v>
      </c>
      <c r="J74" s="7">
        <v>123.91</v>
      </c>
      <c r="K74" s="5">
        <f t="shared" si="4"/>
        <v>7.1696134252322601</v>
      </c>
      <c r="L74" s="4">
        <f t="shared" si="5"/>
        <v>4853.0943256060054</v>
      </c>
      <c r="M74" s="2">
        <v>43054</v>
      </c>
      <c r="N74" s="7">
        <v>10.4</v>
      </c>
      <c r="O74" s="7">
        <v>3.96</v>
      </c>
      <c r="P74" s="7">
        <v>6.72</v>
      </c>
      <c r="Q74" s="6">
        <f t="shared" si="0"/>
        <v>0.37109375</v>
      </c>
      <c r="R74" s="6">
        <f t="shared" si="1"/>
        <v>0.4921875</v>
      </c>
      <c r="S74" s="6">
        <f t="shared" si="6"/>
        <v>0.13671875</v>
      </c>
      <c r="T74" s="4">
        <f t="shared" si="7"/>
        <v>1940.0468304010826</v>
      </c>
      <c r="U74" s="4">
        <f t="shared" si="8"/>
        <v>2573.1147434793306</v>
      </c>
      <c r="V74" s="4">
        <f t="shared" si="9"/>
        <v>4513.161573880413</v>
      </c>
      <c r="W74" s="4">
        <f t="shared" si="10"/>
        <v>1800.9529723928536</v>
      </c>
      <c r="X74" s="4">
        <f t="shared" si="11"/>
        <v>2388.6323633842057</v>
      </c>
      <c r="Y74" s="4">
        <f t="shared" si="12"/>
        <v>4189.5853357770593</v>
      </c>
      <c r="Z74" s="10"/>
      <c r="AA74" s="12"/>
      <c r="AB74" s="5"/>
      <c r="AC74" s="4"/>
      <c r="AD74" s="4"/>
      <c r="AE74" s="4"/>
      <c r="AF74" s="4"/>
      <c r="AK74" s="3"/>
      <c r="AL74" s="3"/>
      <c r="AM74" s="7"/>
      <c r="AN74" s="7"/>
      <c r="AO74" s="7"/>
      <c r="AP74" s="7"/>
      <c r="AQ74" s="7"/>
      <c r="AR74" s="3"/>
      <c r="AS74" s="3"/>
      <c r="AT74" s="7"/>
      <c r="AU74" s="7"/>
      <c r="AV74" s="7"/>
      <c r="AW74" s="9"/>
      <c r="AX74" s="9"/>
      <c r="AY74" s="9"/>
      <c r="AZ74" s="3"/>
      <c r="BA74" s="3"/>
      <c r="BB74" s="3"/>
      <c r="BC74" s="3"/>
      <c r="BD74" s="3"/>
      <c r="BE74" s="3"/>
      <c r="BG74" s="13"/>
      <c r="BH74" s="7"/>
      <c r="BI74" s="3"/>
      <c r="BJ74" s="3"/>
      <c r="BK74" s="3"/>
      <c r="BL74" s="3"/>
    </row>
    <row r="75" spans="1:64" x14ac:dyDescent="0.25">
      <c r="A75">
        <v>28</v>
      </c>
      <c r="B75" s="1" t="s">
        <v>80</v>
      </c>
      <c r="C75" s="1" t="s">
        <v>32</v>
      </c>
      <c r="D75" s="2">
        <v>43047</v>
      </c>
      <c r="E75" s="3">
        <v>15.1</v>
      </c>
      <c r="F75" s="4">
        <f t="shared" si="3"/>
        <v>3285.863307086614</v>
      </c>
      <c r="G75" s="7">
        <v>9.73</v>
      </c>
      <c r="H75" s="7">
        <v>143.08000000000001</v>
      </c>
      <c r="I75" s="7">
        <f t="shared" si="13"/>
        <v>133.35000000000002</v>
      </c>
      <c r="J75" s="7">
        <v>124.51</v>
      </c>
      <c r="K75" s="5">
        <f t="shared" si="4"/>
        <v>6.6291713535808148</v>
      </c>
      <c r="L75" s="4">
        <f t="shared" si="5"/>
        <v>3068.0377980154053</v>
      </c>
      <c r="M75" s="2">
        <v>43054</v>
      </c>
      <c r="N75" s="7">
        <v>6.56</v>
      </c>
      <c r="O75" s="7">
        <v>2.38</v>
      </c>
      <c r="P75" s="7">
        <v>4.8</v>
      </c>
      <c r="Q75" s="6">
        <f t="shared" si="0"/>
        <v>0.34687499999999999</v>
      </c>
      <c r="R75" s="6">
        <f t="shared" si="1"/>
        <v>0.48750000000000004</v>
      </c>
      <c r="S75" s="6">
        <f t="shared" si="6"/>
        <v>0.16562499999999991</v>
      </c>
      <c r="T75" s="4">
        <f t="shared" si="7"/>
        <v>1139.7838346456692</v>
      </c>
      <c r="U75" s="4">
        <f t="shared" si="8"/>
        <v>1601.8583622047245</v>
      </c>
      <c r="V75" s="4">
        <f t="shared" si="9"/>
        <v>2741.6421968503937</v>
      </c>
      <c r="W75" s="4">
        <f t="shared" si="10"/>
        <v>1064.2256111865936</v>
      </c>
      <c r="X75" s="4">
        <f t="shared" si="11"/>
        <v>1495.6684265325102</v>
      </c>
      <c r="Y75" s="4">
        <f t="shared" si="12"/>
        <v>2559.8940377191038</v>
      </c>
      <c r="Z75" s="10"/>
      <c r="AA75" s="12"/>
      <c r="AB75" s="5"/>
      <c r="AC75" s="4"/>
      <c r="AD75" s="4"/>
      <c r="AE75" s="4"/>
      <c r="AF75" s="4"/>
      <c r="AH75" t="s">
        <v>257</v>
      </c>
      <c r="AI75" t="s">
        <v>32</v>
      </c>
      <c r="AJ75" s="8">
        <f>D75</f>
        <v>43047</v>
      </c>
      <c r="AK75" s="3">
        <f>SUM(E75:E77)</f>
        <v>40.299999999999997</v>
      </c>
      <c r="AL75" s="3">
        <f>(AK75-3*$A$35)*$A$36/(3*$A$37)*$A$38</f>
        <v>2913.8226246719155</v>
      </c>
      <c r="AM75" s="7">
        <f>SUM(G75:G77)</f>
        <v>29.150000000000002</v>
      </c>
      <c r="AN75" s="7">
        <f>SUM(H75:H77)</f>
        <v>550.28</v>
      </c>
      <c r="AO75" s="7">
        <f>AN75-AM75</f>
        <v>521.13</v>
      </c>
      <c r="AP75" s="7">
        <f>SUM(J75:J77)</f>
        <v>486.15</v>
      </c>
      <c r="AQ75" s="7">
        <f>(AO75-AP75)/AO75*100</f>
        <v>6.7123366530424304</v>
      </c>
      <c r="AR75" s="3">
        <f>AL75*(1-AQ75/100)</f>
        <v>2718.2370406314194</v>
      </c>
      <c r="AS75" s="11">
        <f>M75</f>
        <v>43054</v>
      </c>
      <c r="AT75" s="7">
        <f>SUM(N75:N77)</f>
        <v>17.310000000000002</v>
      </c>
      <c r="AU75" s="7">
        <f>SUM(O75:O77)</f>
        <v>6.24</v>
      </c>
      <c r="AV75" s="7">
        <f>SUM(P75:P77)</f>
        <v>13.34</v>
      </c>
      <c r="AW75" s="9">
        <f>(AU75-3*$A$39)/(AT75-3*$A$39)</f>
        <v>0.34224598930481276</v>
      </c>
      <c r="AX75" s="9">
        <f>(AV75-3*$A$40)/(AT75-3*$A$39)</f>
        <v>0.49316696375519903</v>
      </c>
      <c r="AY75" s="9">
        <f>1-AW75-AX75</f>
        <v>0.16458704693998821</v>
      </c>
      <c r="AZ75" s="3">
        <f>AL75*AW75</f>
        <v>997.24410683958581</v>
      </c>
      <c r="BA75" s="3">
        <f>AL75*AX75</f>
        <v>1437.0010567306535</v>
      </c>
      <c r="BB75" s="3">
        <f>AZ75+BA75</f>
        <v>2434.2451635702391</v>
      </c>
      <c r="BC75" s="3">
        <f>AR75*AW75</f>
        <v>930.30572513588663</v>
      </c>
      <c r="BD75" s="3">
        <f>AR75*AX75</f>
        <v>1340.5447080951146</v>
      </c>
      <c r="BE75" s="3">
        <f>BC75+BD75</f>
        <v>2270.8504332310013</v>
      </c>
      <c r="BF75" s="11">
        <f>Z76</f>
        <v>43077</v>
      </c>
      <c r="BG75" s="13">
        <f>AVERAGE(AA75:AA77)</f>
        <v>42</v>
      </c>
      <c r="BH75" s="7">
        <f t="shared" ref="BH75" si="54">AVERAGE(AB75:AB77)</f>
        <v>1.1100000000000001</v>
      </c>
      <c r="BI75" s="3">
        <f t="shared" ref="BI75" si="55">AVERAGE(AC75:AC77)</f>
        <v>79.599999999999994</v>
      </c>
      <c r="BJ75" s="3">
        <f t="shared" ref="BJ75" si="56">AVERAGE(AD75:AD77)</f>
        <v>30.6</v>
      </c>
      <c r="BK75" s="3">
        <f t="shared" ref="BK75" si="57">AVERAGE(AE75:AE77)</f>
        <v>5.6</v>
      </c>
      <c r="BL75" s="3">
        <f t="shared" ref="BL75" si="58">AVERAGE(AF75:AF77)</f>
        <v>10.3</v>
      </c>
    </row>
    <row r="76" spans="1:64" x14ac:dyDescent="0.25">
      <c r="A76">
        <v>29</v>
      </c>
      <c r="B76" s="1" t="s">
        <v>81</v>
      </c>
      <c r="C76" s="1" t="s">
        <v>32</v>
      </c>
      <c r="D76" s="2">
        <v>43047</v>
      </c>
      <c r="E76" s="3">
        <v>12.9</v>
      </c>
      <c r="F76" s="4">
        <f t="shared" si="3"/>
        <v>2794.7696062992127</v>
      </c>
      <c r="G76" s="7">
        <v>9.7200000000000006</v>
      </c>
      <c r="H76" s="7">
        <v>196.69</v>
      </c>
      <c r="I76" s="7">
        <f t="shared" si="13"/>
        <v>186.97</v>
      </c>
      <c r="J76" s="7">
        <v>175.44</v>
      </c>
      <c r="K76" s="5">
        <f t="shared" si="4"/>
        <v>6.1667647216130934</v>
      </c>
      <c r="L76" s="4">
        <f t="shared" si="5"/>
        <v>2622.4227401675876</v>
      </c>
      <c r="M76" s="2">
        <v>43054</v>
      </c>
      <c r="N76" s="7">
        <v>5.51</v>
      </c>
      <c r="O76" s="7">
        <v>2.02</v>
      </c>
      <c r="P76" s="7">
        <v>4.34</v>
      </c>
      <c r="Q76" s="6">
        <f t="shared" si="0"/>
        <v>0.34766355140186922</v>
      </c>
      <c r="R76" s="6">
        <f t="shared" si="1"/>
        <v>0.49719626168224307</v>
      </c>
      <c r="S76" s="6">
        <f t="shared" si="6"/>
        <v>0.15514018691588771</v>
      </c>
      <c r="T76" s="4">
        <f t="shared" si="7"/>
        <v>971.63952667598812</v>
      </c>
      <c r="U76" s="4">
        <f t="shared" si="8"/>
        <v>1389.5490005151228</v>
      </c>
      <c r="V76" s="4">
        <f t="shared" si="9"/>
        <v>2361.188527191111</v>
      </c>
      <c r="W76" s="4">
        <f t="shared" si="10"/>
        <v>911.72080312368485</v>
      </c>
      <c r="X76" s="4">
        <f t="shared" si="11"/>
        <v>1303.8587829618289</v>
      </c>
      <c r="Y76" s="4">
        <f t="shared" si="12"/>
        <v>2215.5795860855137</v>
      </c>
      <c r="Z76" s="10">
        <v>43077</v>
      </c>
      <c r="AA76" s="12">
        <v>42</v>
      </c>
      <c r="AB76" s="5">
        <v>1.1100000000000001</v>
      </c>
      <c r="AC76" s="4">
        <v>79.599999999999994</v>
      </c>
      <c r="AD76" s="4">
        <v>30.6</v>
      </c>
      <c r="AE76" s="4">
        <v>5.6</v>
      </c>
      <c r="AF76" s="4">
        <v>10.3</v>
      </c>
      <c r="AK76" s="3"/>
      <c r="AL76" s="3"/>
      <c r="AM76" s="7"/>
      <c r="AN76" s="7"/>
      <c r="AO76" s="7"/>
      <c r="AP76" s="7"/>
      <c r="AQ76" s="7"/>
      <c r="AR76" s="3"/>
      <c r="AS76" s="3"/>
      <c r="AT76" s="7"/>
      <c r="AU76" s="7"/>
      <c r="AV76" s="7"/>
      <c r="AW76" s="9"/>
      <c r="AX76" s="9"/>
      <c r="AY76" s="9"/>
      <c r="AZ76" s="3"/>
      <c r="BA76" s="3"/>
      <c r="BB76" s="3"/>
      <c r="BC76" s="3"/>
      <c r="BD76" s="3"/>
      <c r="BE76" s="3"/>
      <c r="BG76" s="13"/>
      <c r="BH76" s="7"/>
      <c r="BI76" s="3"/>
      <c r="BJ76" s="3"/>
      <c r="BK76" s="3"/>
      <c r="BL76" s="3"/>
    </row>
    <row r="77" spans="1:64" x14ac:dyDescent="0.25">
      <c r="A77">
        <v>30</v>
      </c>
      <c r="B77" s="1" t="s">
        <v>82</v>
      </c>
      <c r="C77" s="1" t="s">
        <v>32</v>
      </c>
      <c r="D77" s="2">
        <v>43047</v>
      </c>
      <c r="E77" s="3">
        <v>12.3</v>
      </c>
      <c r="F77" s="4">
        <f t="shared" si="3"/>
        <v>2660.8349606299207</v>
      </c>
      <c r="G77" s="7">
        <v>9.6999999999999993</v>
      </c>
      <c r="H77" s="7">
        <v>210.51</v>
      </c>
      <c r="I77" s="7">
        <f t="shared" si="13"/>
        <v>200.81</v>
      </c>
      <c r="J77" s="7">
        <v>186.2</v>
      </c>
      <c r="K77" s="5">
        <f t="shared" si="4"/>
        <v>7.2755340869478689</v>
      </c>
      <c r="L77" s="4">
        <f t="shared" si="5"/>
        <v>2467.2450060718652</v>
      </c>
      <c r="M77" s="2">
        <v>43054</v>
      </c>
      <c r="N77" s="7">
        <v>5.24</v>
      </c>
      <c r="O77" s="7">
        <v>1.84</v>
      </c>
      <c r="P77" s="7">
        <v>4.2</v>
      </c>
      <c r="Q77" s="6">
        <f t="shared" si="0"/>
        <v>0.33070866141732286</v>
      </c>
      <c r="R77" s="6">
        <f t="shared" si="1"/>
        <v>0.49606299212598431</v>
      </c>
      <c r="S77" s="6">
        <f t="shared" si="6"/>
        <v>0.17322834645669277</v>
      </c>
      <c r="T77" s="4">
        <f t="shared" si="7"/>
        <v>879.96116808233603</v>
      </c>
      <c r="U77" s="4">
        <f t="shared" si="8"/>
        <v>1319.9417521235041</v>
      </c>
      <c r="V77" s="4">
        <f t="shared" si="9"/>
        <v>2199.90292020584</v>
      </c>
      <c r="W77" s="4">
        <f t="shared" si="10"/>
        <v>815.93929334660118</v>
      </c>
      <c r="X77" s="4">
        <f t="shared" si="11"/>
        <v>1223.9089400199018</v>
      </c>
      <c r="Y77" s="4">
        <f t="shared" si="12"/>
        <v>2039.8482333665029</v>
      </c>
      <c r="Z77" s="10"/>
      <c r="AA77" s="12"/>
      <c r="AB77" s="5"/>
      <c r="AC77" s="4"/>
      <c r="AD77" s="4"/>
      <c r="AE77" s="4"/>
      <c r="AF77" s="4"/>
      <c r="AK77" s="3"/>
      <c r="AL77" s="3"/>
      <c r="AM77" s="7"/>
      <c r="AN77" s="7"/>
      <c r="AO77" s="7"/>
      <c r="AP77" s="7"/>
      <c r="AQ77" s="7"/>
      <c r="AR77" s="3"/>
      <c r="AS77" s="3"/>
      <c r="AT77" s="7"/>
      <c r="AU77" s="7"/>
      <c r="AV77" s="7"/>
      <c r="AW77" s="9"/>
      <c r="AX77" s="9"/>
      <c r="AY77" s="9"/>
      <c r="AZ77" s="3"/>
      <c r="BA77" s="3"/>
      <c r="BB77" s="3"/>
      <c r="BC77" s="3"/>
      <c r="BD77" s="3"/>
      <c r="BE77" s="3"/>
      <c r="BG77" s="13"/>
      <c r="BH77" s="7"/>
      <c r="BI77" s="3"/>
      <c r="BJ77" s="3"/>
      <c r="BK77" s="3"/>
      <c r="BL77" s="3"/>
    </row>
    <row r="78" spans="1:64" x14ac:dyDescent="0.25">
      <c r="A78">
        <v>31</v>
      </c>
      <c r="B78" s="1" t="s">
        <v>83</v>
      </c>
      <c r="C78" s="1" t="s">
        <v>32</v>
      </c>
      <c r="D78" s="2">
        <v>43047</v>
      </c>
      <c r="E78" s="3">
        <v>14.4</v>
      </c>
      <c r="F78" s="4">
        <f t="shared" si="3"/>
        <v>3129.6062204724408</v>
      </c>
      <c r="G78" s="7">
        <v>9.6999999999999993</v>
      </c>
      <c r="H78" s="7">
        <v>204.83</v>
      </c>
      <c r="I78" s="7">
        <f t="shared" si="13"/>
        <v>195.13000000000002</v>
      </c>
      <c r="J78" s="7">
        <v>183.43</v>
      </c>
      <c r="K78" s="5">
        <f t="shared" si="4"/>
        <v>5.9960026648900815</v>
      </c>
      <c r="L78" s="4">
        <f t="shared" si="5"/>
        <v>2941.9549480923474</v>
      </c>
      <c r="M78" s="2">
        <v>43054</v>
      </c>
      <c r="N78" s="7">
        <v>6.16</v>
      </c>
      <c r="O78" s="7">
        <v>2.2999999999999998</v>
      </c>
      <c r="P78" s="7">
        <v>4.5999999999999996</v>
      </c>
      <c r="Q78" s="6">
        <f t="shared" si="0"/>
        <v>0.35666666666666663</v>
      </c>
      <c r="R78" s="6">
        <f t="shared" si="1"/>
        <v>0.48666666666666664</v>
      </c>
      <c r="S78" s="6">
        <f t="shared" si="6"/>
        <v>0.15666666666666668</v>
      </c>
      <c r="T78" s="4">
        <f t="shared" si="7"/>
        <v>1116.2262186351704</v>
      </c>
      <c r="U78" s="4">
        <f t="shared" si="8"/>
        <v>1523.0750272965877</v>
      </c>
      <c r="V78" s="4">
        <f t="shared" si="9"/>
        <v>2639.3012459317579</v>
      </c>
      <c r="W78" s="4">
        <f t="shared" si="10"/>
        <v>1049.2972648196039</v>
      </c>
      <c r="X78" s="4">
        <f t="shared" si="11"/>
        <v>1431.7514080716089</v>
      </c>
      <c r="Y78" s="4">
        <f t="shared" si="12"/>
        <v>2481.0486728912128</v>
      </c>
      <c r="Z78" s="10"/>
      <c r="AA78" s="12"/>
      <c r="AB78" s="5"/>
      <c r="AC78" s="4"/>
      <c r="AD78" s="4"/>
      <c r="AE78" s="4"/>
      <c r="AF78" s="4"/>
      <c r="AH78" t="s">
        <v>249</v>
      </c>
      <c r="AI78" t="s">
        <v>32</v>
      </c>
      <c r="AJ78" s="8">
        <f>D78</f>
        <v>43047</v>
      </c>
      <c r="AK78" s="3">
        <f>SUM(E78:E80)</f>
        <v>45</v>
      </c>
      <c r="AL78" s="3">
        <f>(AK78-3*$A$35)*$A$36/(3*$A$37)*$A$38</f>
        <v>3263.5408661417318</v>
      </c>
      <c r="AM78" s="7">
        <f>SUM(G78:G80)</f>
        <v>29.16</v>
      </c>
      <c r="AN78" s="7">
        <f>SUM(H78:H80)</f>
        <v>556.04</v>
      </c>
      <c r="AO78" s="7">
        <f>AN78-AM78</f>
        <v>526.88</v>
      </c>
      <c r="AP78" s="7">
        <f>SUM(J78:J80)</f>
        <v>493</v>
      </c>
      <c r="AQ78" s="7">
        <f>(AO78-AP78)/AO78*100</f>
        <v>6.4303067112055867</v>
      </c>
      <c r="AR78" s="3">
        <f>AL78*(1-AQ78/100)</f>
        <v>3053.6851788032832</v>
      </c>
      <c r="AS78" s="11">
        <f>M78</f>
        <v>43054</v>
      </c>
      <c r="AT78" s="7">
        <f>SUM(N78:N80)</f>
        <v>19.38</v>
      </c>
      <c r="AU78" s="7">
        <f>SUM(O78:O80)</f>
        <v>7.32</v>
      </c>
      <c r="AV78" s="7">
        <f>SUM(P78:P80)</f>
        <v>14.28</v>
      </c>
      <c r="AW78" s="9">
        <f>(AU78-3*$A$39)/(AT78-3*$A$39)</f>
        <v>0.36190476190476195</v>
      </c>
      <c r="AX78" s="9">
        <f>(AV78-3*$A$40)/(AT78-3*$A$39)</f>
        <v>0.48888888888888882</v>
      </c>
      <c r="AY78" s="9">
        <f>1-AW78-AX78</f>
        <v>0.14920634920634923</v>
      </c>
      <c r="AZ78" s="3">
        <f>AL78*AW78</f>
        <v>1181.090980127484</v>
      </c>
      <c r="BA78" s="3">
        <f>AL78*AX78</f>
        <v>1595.5088678915131</v>
      </c>
      <c r="BB78" s="3">
        <f>AZ78+BA78</f>
        <v>2776.5998480189974</v>
      </c>
      <c r="BC78" s="3">
        <f>AR78*AW78</f>
        <v>1105.1432075669027</v>
      </c>
      <c r="BD78" s="3">
        <f>AR78*AX78</f>
        <v>1492.9127540816048</v>
      </c>
      <c r="BE78" s="3">
        <f>BC78+BD78</f>
        <v>2598.0559616485075</v>
      </c>
      <c r="BF78" s="11">
        <f>Z79</f>
        <v>43077</v>
      </c>
      <c r="BG78" s="13">
        <f>AVERAGE(AA78:AA80)</f>
        <v>45</v>
      </c>
      <c r="BH78" s="7">
        <f t="shared" ref="BH78" si="59">AVERAGE(AB78:AB80)</f>
        <v>1.1000000000000001</v>
      </c>
      <c r="BI78" s="3">
        <f t="shared" ref="BI78" si="60">AVERAGE(AC78:AC80)</f>
        <v>79.400000000000006</v>
      </c>
      <c r="BJ78" s="3">
        <f t="shared" ref="BJ78" si="61">AVERAGE(AD78:AD80)</f>
        <v>31.4</v>
      </c>
      <c r="BK78" s="3">
        <f t="shared" ref="BK78" si="62">AVERAGE(AE78:AE80)</f>
        <v>6.1</v>
      </c>
      <c r="BL78" s="3">
        <f t="shared" ref="BL78" si="63">AVERAGE(AF78:AF80)</f>
        <v>10.9</v>
      </c>
    </row>
    <row r="79" spans="1:64" x14ac:dyDescent="0.25">
      <c r="A79">
        <v>32</v>
      </c>
      <c r="B79" s="1" t="s">
        <v>84</v>
      </c>
      <c r="C79" s="1" t="s">
        <v>32</v>
      </c>
      <c r="D79" s="2">
        <v>43047</v>
      </c>
      <c r="E79" s="3">
        <v>16</v>
      </c>
      <c r="F79" s="4">
        <f t="shared" si="3"/>
        <v>3486.765275590551</v>
      </c>
      <c r="G79" s="7">
        <v>9.76</v>
      </c>
      <c r="H79" s="7">
        <v>227.79</v>
      </c>
      <c r="I79" s="7">
        <f t="shared" si="13"/>
        <v>218.03</v>
      </c>
      <c r="J79" s="7">
        <v>204.22</v>
      </c>
      <c r="K79" s="5">
        <f t="shared" si="4"/>
        <v>6.3339907352199241</v>
      </c>
      <c r="L79" s="4">
        <f t="shared" si="5"/>
        <v>3265.9138860757803</v>
      </c>
      <c r="M79" s="2">
        <v>43054</v>
      </c>
      <c r="N79" s="7">
        <v>6.88</v>
      </c>
      <c r="O79" s="7">
        <v>2.62</v>
      </c>
      <c r="P79" s="7">
        <v>5</v>
      </c>
      <c r="Q79" s="6">
        <f t="shared" si="0"/>
        <v>0.3660714285714286</v>
      </c>
      <c r="R79" s="6">
        <f t="shared" si="1"/>
        <v>0.49404761904761912</v>
      </c>
      <c r="S79" s="6">
        <f t="shared" si="6"/>
        <v>0.13988095238095227</v>
      </c>
      <c r="T79" s="4">
        <f t="shared" si="7"/>
        <v>1276.405145528684</v>
      </c>
      <c r="U79" s="4">
        <f t="shared" si="8"/>
        <v>1722.6280825834272</v>
      </c>
      <c r="V79" s="4">
        <f t="shared" si="9"/>
        <v>2999.0332281121109</v>
      </c>
      <c r="W79" s="4">
        <f t="shared" si="10"/>
        <v>1195.5577618670268</v>
      </c>
      <c r="X79" s="4">
        <f t="shared" si="11"/>
        <v>1613.5169794302965</v>
      </c>
      <c r="Y79" s="4">
        <f t="shared" si="12"/>
        <v>2809.0747412973233</v>
      </c>
      <c r="Z79" s="10">
        <v>43077</v>
      </c>
      <c r="AA79" s="12">
        <v>45</v>
      </c>
      <c r="AB79" s="5">
        <v>1.1000000000000001</v>
      </c>
      <c r="AC79" s="4">
        <v>79.400000000000006</v>
      </c>
      <c r="AD79" s="4">
        <v>31.4</v>
      </c>
      <c r="AE79" s="4">
        <v>6.1</v>
      </c>
      <c r="AF79" s="4">
        <v>10.9</v>
      </c>
      <c r="AK79" s="3"/>
      <c r="AL79" s="3"/>
      <c r="AM79" s="7"/>
      <c r="AN79" s="7"/>
      <c r="AO79" s="7"/>
      <c r="AP79" s="7"/>
      <c r="AQ79" s="7"/>
      <c r="AR79" s="3"/>
      <c r="AS79" s="3"/>
      <c r="AT79" s="7"/>
      <c r="AU79" s="7"/>
      <c r="AV79" s="7"/>
      <c r="AW79" s="9"/>
      <c r="AX79" s="9"/>
      <c r="AY79" s="9"/>
      <c r="AZ79" s="3"/>
      <c r="BA79" s="3"/>
      <c r="BB79" s="3"/>
      <c r="BC79" s="3"/>
      <c r="BD79" s="3"/>
      <c r="BE79" s="3"/>
      <c r="BG79" s="13"/>
      <c r="BH79" s="7"/>
      <c r="BI79" s="3"/>
      <c r="BJ79" s="3"/>
      <c r="BK79" s="3"/>
      <c r="BL79" s="3"/>
    </row>
    <row r="80" spans="1:64" x14ac:dyDescent="0.25">
      <c r="A80">
        <v>33</v>
      </c>
      <c r="B80" s="1" t="s">
        <v>85</v>
      </c>
      <c r="C80" s="1" t="s">
        <v>32</v>
      </c>
      <c r="D80" s="2">
        <v>43047</v>
      </c>
      <c r="E80" s="3">
        <v>14.6</v>
      </c>
      <c r="F80" s="4">
        <f t="shared" si="3"/>
        <v>3174.2511023622046</v>
      </c>
      <c r="G80" s="7">
        <v>9.6999999999999993</v>
      </c>
      <c r="H80" s="7">
        <v>123.42</v>
      </c>
      <c r="I80" s="7">
        <f t="shared" si="13"/>
        <v>113.72</v>
      </c>
      <c r="J80" s="7">
        <v>105.35</v>
      </c>
      <c r="K80" s="5">
        <f t="shared" si="4"/>
        <v>7.3601829053816434</v>
      </c>
      <c r="L80" s="4">
        <f t="shared" si="5"/>
        <v>2940.6204153522535</v>
      </c>
      <c r="M80" s="2">
        <v>43054</v>
      </c>
      <c r="N80" s="7">
        <v>6.34</v>
      </c>
      <c r="O80" s="7">
        <v>2.4</v>
      </c>
      <c r="P80" s="7">
        <v>4.68</v>
      </c>
      <c r="Q80" s="6">
        <f t="shared" si="0"/>
        <v>0.36245954692556631</v>
      </c>
      <c r="R80" s="6">
        <f t="shared" si="1"/>
        <v>0.4854368932038835</v>
      </c>
      <c r="S80" s="6">
        <f t="shared" si="6"/>
        <v>0.15210355987055024</v>
      </c>
      <c r="T80" s="4">
        <f t="shared" si="7"/>
        <v>1150.5376163901842</v>
      </c>
      <c r="U80" s="4">
        <f t="shared" si="8"/>
        <v>1540.898593379711</v>
      </c>
      <c r="V80" s="4">
        <f t="shared" si="9"/>
        <v>2691.436209769895</v>
      </c>
      <c r="W80" s="4">
        <f t="shared" si="10"/>
        <v>1065.8559434286485</v>
      </c>
      <c r="X80" s="4">
        <f t="shared" si="11"/>
        <v>1427.4856385205114</v>
      </c>
      <c r="Y80" s="4">
        <f t="shared" si="12"/>
        <v>2493.3415819491602</v>
      </c>
      <c r="Z80" s="10"/>
      <c r="AA80" s="12"/>
      <c r="AB80" s="5"/>
      <c r="AC80" s="4"/>
      <c r="AD80" s="4"/>
      <c r="AE80" s="4"/>
      <c r="AF80" s="4"/>
      <c r="AK80" s="3"/>
      <c r="AL80" s="3"/>
      <c r="AM80" s="7"/>
      <c r="AN80" s="7"/>
      <c r="AO80" s="7"/>
      <c r="AP80" s="7"/>
      <c r="AQ80" s="7"/>
      <c r="AR80" s="3"/>
      <c r="AS80" s="3"/>
      <c r="AT80" s="7"/>
      <c r="AU80" s="7"/>
      <c r="AV80" s="7"/>
      <c r="AW80" s="9"/>
      <c r="AX80" s="9"/>
      <c r="AY80" s="9"/>
      <c r="AZ80" s="3"/>
      <c r="BA80" s="3"/>
      <c r="BB80" s="3"/>
      <c r="BC80" s="3"/>
      <c r="BD80" s="3"/>
      <c r="BE80" s="3"/>
      <c r="BG80" s="13"/>
      <c r="BH80" s="7"/>
      <c r="BI80" s="3"/>
      <c r="BJ80" s="3"/>
      <c r="BK80" s="3"/>
      <c r="BL80" s="3"/>
    </row>
    <row r="81" spans="1:64" x14ac:dyDescent="0.25">
      <c r="A81">
        <v>34</v>
      </c>
      <c r="B81" s="1" t="s">
        <v>86</v>
      </c>
      <c r="C81" s="1" t="s">
        <v>32</v>
      </c>
      <c r="D81" s="2">
        <v>43047</v>
      </c>
      <c r="E81" s="3">
        <v>22.2</v>
      </c>
      <c r="F81" s="4">
        <f t="shared" si="3"/>
        <v>4870.7566141732286</v>
      </c>
      <c r="G81" s="7">
        <v>9.7100000000000009</v>
      </c>
      <c r="H81" s="7">
        <v>238.63</v>
      </c>
      <c r="I81" s="7">
        <f t="shared" si="13"/>
        <v>228.92</v>
      </c>
      <c r="J81" s="7">
        <v>210.99</v>
      </c>
      <c r="K81" s="5">
        <f t="shared" si="4"/>
        <v>7.8324305434212729</v>
      </c>
      <c r="L81" s="4">
        <f t="shared" si="5"/>
        <v>4489.2579854290125</v>
      </c>
      <c r="M81" s="2">
        <v>43054</v>
      </c>
      <c r="N81" s="7">
        <v>9.64</v>
      </c>
      <c r="O81" s="7">
        <v>3.74</v>
      </c>
      <c r="P81" s="7">
        <v>6.32</v>
      </c>
      <c r="Q81" s="6">
        <f t="shared" si="0"/>
        <v>0.37763713080168776</v>
      </c>
      <c r="R81" s="6">
        <f t="shared" si="1"/>
        <v>0.48945147679324896</v>
      </c>
      <c r="S81" s="6">
        <f t="shared" si="6"/>
        <v>0.13291139240506333</v>
      </c>
      <c r="T81" s="4">
        <f t="shared" si="7"/>
        <v>1839.3785526097213</v>
      </c>
      <c r="U81" s="4">
        <f t="shared" si="8"/>
        <v>2383.9990179075721</v>
      </c>
      <c r="V81" s="4">
        <f t="shared" si="9"/>
        <v>4223.3775705172939</v>
      </c>
      <c r="W81" s="4">
        <f t="shared" si="10"/>
        <v>1695.3105050459774</v>
      </c>
      <c r="X81" s="4">
        <f t="shared" si="11"/>
        <v>2197.2739506741159</v>
      </c>
      <c r="Y81" s="4">
        <f t="shared" si="12"/>
        <v>3892.5844557200935</v>
      </c>
      <c r="Z81" s="10"/>
      <c r="AA81" s="12"/>
      <c r="AB81" s="5"/>
      <c r="AC81" s="4"/>
      <c r="AD81" s="4"/>
      <c r="AE81" s="4"/>
      <c r="AF81" s="4"/>
      <c r="AH81" t="s">
        <v>258</v>
      </c>
      <c r="AI81" t="s">
        <v>32</v>
      </c>
      <c r="AJ81" s="8">
        <f>D81</f>
        <v>43047</v>
      </c>
      <c r="AK81" s="3">
        <f>SUM(E81:E83)</f>
        <v>67.7</v>
      </c>
      <c r="AL81" s="3">
        <f>(AK81-3*$A$35)*$A$36/(3*$A$37)*$A$38</f>
        <v>4952.605564304462</v>
      </c>
      <c r="AM81" s="7">
        <f>SUM(G81:G83)</f>
        <v>29.2</v>
      </c>
      <c r="AN81" s="7">
        <f>SUM(H81:H83)</f>
        <v>586.86</v>
      </c>
      <c r="AO81" s="7">
        <f>AN81-AM81</f>
        <v>557.66</v>
      </c>
      <c r="AP81" s="7">
        <f>SUM(J81:J83)</f>
        <v>518.6</v>
      </c>
      <c r="AQ81" s="7">
        <f>(AO81-AP81)/AO81*100</f>
        <v>7.0042678334468933</v>
      </c>
      <c r="AR81" s="3">
        <f>AL81*(1-AQ81/100)</f>
        <v>4605.711805846383</v>
      </c>
      <c r="AS81" s="11">
        <f>M81</f>
        <v>43054</v>
      </c>
      <c r="AT81" s="7">
        <f>SUM(N81:N83)</f>
        <v>32.830000000000005</v>
      </c>
      <c r="AU81" s="7">
        <f>SUM(O81:O83)</f>
        <v>12.64</v>
      </c>
      <c r="AV81" s="7">
        <f>SUM(P81:P83)</f>
        <v>20.82</v>
      </c>
      <c r="AW81" s="9">
        <f>(AU81-3*$A$39)/(AT81-3*$A$39)</f>
        <v>0.375888717156105</v>
      </c>
      <c r="AX81" s="9">
        <f>(AV81-3*$A$40)/(AT81-3*$A$39)</f>
        <v>0.48778979907264286</v>
      </c>
      <c r="AY81" s="9">
        <f>1-AW81-AX81</f>
        <v>0.13632148377125219</v>
      </c>
      <c r="AZ81" s="3">
        <f>AL81*AW81</f>
        <v>1861.6285521465918</v>
      </c>
      <c r="BA81" s="3">
        <f>AL81*AX81</f>
        <v>2415.8304730981263</v>
      </c>
      <c r="BB81" s="3">
        <f>AZ81+BA81</f>
        <v>4277.4590252447179</v>
      </c>
      <c r="BC81" s="3">
        <f>AR81*AW81</f>
        <v>1731.2351022903247</v>
      </c>
      <c r="BD81" s="3">
        <f>AR81*AX81</f>
        <v>2246.6192363603063</v>
      </c>
      <c r="BE81" s="3">
        <f>BC81+BD81</f>
        <v>3977.8543386506308</v>
      </c>
      <c r="BF81" s="11">
        <f>Z82</f>
        <v>43077</v>
      </c>
      <c r="BG81" s="13">
        <f>AVERAGE(AA81:AA83)</f>
        <v>48</v>
      </c>
      <c r="BH81" s="7">
        <f t="shared" ref="BH81" si="64">AVERAGE(AB81:AB83)</f>
        <v>1.1200000000000001</v>
      </c>
      <c r="BI81" s="3">
        <f t="shared" ref="BI81" si="65">AVERAGE(AC81:AC83)</f>
        <v>80.2</v>
      </c>
      <c r="BJ81" s="3">
        <f t="shared" ref="BJ81" si="66">AVERAGE(AD81:AD83)</f>
        <v>31</v>
      </c>
      <c r="BK81" s="3">
        <f t="shared" ref="BK81" si="67">AVERAGE(AE81:AE83)</f>
        <v>5.7</v>
      </c>
      <c r="BL81" s="3">
        <f t="shared" ref="BL81" si="68">AVERAGE(AF81:AF83)</f>
        <v>10.5</v>
      </c>
    </row>
    <row r="82" spans="1:64" x14ac:dyDescent="0.25">
      <c r="A82">
        <v>35</v>
      </c>
      <c r="B82" s="1" t="s">
        <v>87</v>
      </c>
      <c r="C82" s="1" t="s">
        <v>32</v>
      </c>
      <c r="D82" s="2">
        <v>43047</v>
      </c>
      <c r="E82" s="3">
        <v>20.7</v>
      </c>
      <c r="F82" s="4">
        <f t="shared" si="3"/>
        <v>4535.92</v>
      </c>
      <c r="G82" s="7">
        <v>9.76</v>
      </c>
      <c r="H82" s="7">
        <v>251.31</v>
      </c>
      <c r="I82" s="7">
        <f t="shared" si="13"/>
        <v>241.55</v>
      </c>
      <c r="J82" s="7">
        <v>225.53</v>
      </c>
      <c r="K82" s="5">
        <f t="shared" si="4"/>
        <v>6.6321672531567</v>
      </c>
      <c r="L82" s="4">
        <f t="shared" si="5"/>
        <v>4235.0901991306146</v>
      </c>
      <c r="M82" s="2">
        <v>43054</v>
      </c>
      <c r="N82" s="7">
        <v>8.8800000000000008</v>
      </c>
      <c r="O82" s="7">
        <v>3.44</v>
      </c>
      <c r="P82" s="7">
        <v>5.96</v>
      </c>
      <c r="Q82" s="6">
        <f t="shared" si="0"/>
        <v>0.37614678899082565</v>
      </c>
      <c r="R82" s="6">
        <f t="shared" si="1"/>
        <v>0.49082568807339449</v>
      </c>
      <c r="S82" s="6">
        <f t="shared" si="6"/>
        <v>0.13302752293577985</v>
      </c>
      <c r="T82" s="4">
        <f t="shared" si="7"/>
        <v>1706.171743119266</v>
      </c>
      <c r="U82" s="4">
        <f t="shared" si="8"/>
        <v>2226.3460550458717</v>
      </c>
      <c r="V82" s="4">
        <f t="shared" si="9"/>
        <v>3932.5177981651377</v>
      </c>
      <c r="W82" s="4">
        <f t="shared" si="10"/>
        <v>1593.015579489497</v>
      </c>
      <c r="X82" s="4">
        <f t="shared" si="11"/>
        <v>2078.6910610411733</v>
      </c>
      <c r="Y82" s="4">
        <f t="shared" si="12"/>
        <v>3671.7066405306705</v>
      </c>
      <c r="Z82" s="10">
        <v>43077</v>
      </c>
      <c r="AA82" s="12">
        <v>48</v>
      </c>
      <c r="AB82" s="5">
        <v>1.1200000000000001</v>
      </c>
      <c r="AC82" s="4">
        <v>80.2</v>
      </c>
      <c r="AD82" s="4">
        <v>31</v>
      </c>
      <c r="AE82" s="4">
        <v>5.7</v>
      </c>
      <c r="AF82" s="4">
        <v>10.5</v>
      </c>
      <c r="AK82" s="3"/>
      <c r="AL82" s="3"/>
      <c r="AM82" s="7"/>
      <c r="AN82" s="7"/>
      <c r="AO82" s="7"/>
      <c r="AP82" s="7"/>
      <c r="AQ82" s="7"/>
      <c r="AR82" s="3"/>
      <c r="AS82" s="3"/>
      <c r="AT82" s="7"/>
      <c r="AU82" s="7"/>
      <c r="AV82" s="7"/>
      <c r="AW82" s="9"/>
      <c r="AX82" s="9"/>
      <c r="AY82" s="9"/>
      <c r="AZ82" s="3"/>
      <c r="BA82" s="3"/>
      <c r="BB82" s="3"/>
      <c r="BC82" s="3"/>
      <c r="BD82" s="3"/>
      <c r="BE82" s="3"/>
      <c r="BG82" s="13"/>
      <c r="BH82" s="7"/>
      <c r="BI82" s="3"/>
      <c r="BJ82" s="3"/>
      <c r="BK82" s="3"/>
      <c r="BL82" s="3"/>
    </row>
    <row r="83" spans="1:64" x14ac:dyDescent="0.25">
      <c r="A83">
        <v>36</v>
      </c>
      <c r="B83" s="1" t="s">
        <v>88</v>
      </c>
      <c r="C83" s="1" t="s">
        <v>32</v>
      </c>
      <c r="D83" s="2">
        <v>43047</v>
      </c>
      <c r="E83" s="3">
        <v>24.8</v>
      </c>
      <c r="F83" s="4">
        <f t="shared" si="3"/>
        <v>5451.1400787401572</v>
      </c>
      <c r="G83" s="7">
        <v>9.73</v>
      </c>
      <c r="H83" s="7">
        <v>96.92</v>
      </c>
      <c r="I83" s="7">
        <f t="shared" si="13"/>
        <v>87.19</v>
      </c>
      <c r="J83" s="7">
        <v>82.08</v>
      </c>
      <c r="K83" s="5">
        <f t="shared" si="4"/>
        <v>5.8607638490652594</v>
      </c>
      <c r="L83" s="4">
        <f t="shared" si="5"/>
        <v>5131.6616316434465</v>
      </c>
      <c r="M83" s="2">
        <v>43054</v>
      </c>
      <c r="N83" s="7">
        <v>14.31</v>
      </c>
      <c r="O83" s="7">
        <v>5.46</v>
      </c>
      <c r="P83" s="7">
        <v>8.5399999999999991</v>
      </c>
      <c r="Q83" s="6">
        <f t="shared" si="0"/>
        <v>0.37455830388692579</v>
      </c>
      <c r="R83" s="6">
        <f t="shared" si="1"/>
        <v>0.48480565371024731</v>
      </c>
      <c r="S83" s="6">
        <f t="shared" si="6"/>
        <v>0.1406360424028269</v>
      </c>
      <c r="T83" s="4">
        <f t="shared" si="7"/>
        <v>2041.7697821429563</v>
      </c>
      <c r="U83" s="4">
        <f t="shared" si="8"/>
        <v>2642.7435293397507</v>
      </c>
      <c r="V83" s="4">
        <f t="shared" si="9"/>
        <v>4684.5133114827067</v>
      </c>
      <c r="W83" s="4">
        <f t="shared" si="10"/>
        <v>1922.1064768699835</v>
      </c>
      <c r="X83" s="4">
        <f t="shared" si="11"/>
        <v>2487.8585719486955</v>
      </c>
      <c r="Y83" s="4">
        <f t="shared" si="12"/>
        <v>4409.965048818679</v>
      </c>
      <c r="Z83" s="10"/>
      <c r="AA83" s="12"/>
      <c r="AB83" s="5"/>
      <c r="AC83" s="4"/>
      <c r="AD83" s="4"/>
      <c r="AE83" s="4"/>
      <c r="AF83" s="4"/>
      <c r="AK83" s="3"/>
      <c r="AL83" s="3"/>
      <c r="AM83" s="7"/>
      <c r="AN83" s="7"/>
      <c r="AO83" s="7"/>
      <c r="AP83" s="7"/>
      <c r="AQ83" s="7"/>
      <c r="AR83" s="3"/>
      <c r="AS83" s="3"/>
      <c r="AT83" s="7"/>
      <c r="AU83" s="7"/>
      <c r="AV83" s="7"/>
      <c r="AW83" s="9"/>
      <c r="AX83" s="9"/>
      <c r="AY83" s="9"/>
      <c r="AZ83" s="3"/>
      <c r="BA83" s="3"/>
      <c r="BB83" s="3"/>
      <c r="BC83" s="3"/>
      <c r="BD83" s="3"/>
      <c r="BE83" s="3"/>
      <c r="BG83" s="13"/>
      <c r="BH83" s="7"/>
      <c r="BI83" s="3"/>
      <c r="BJ83" s="3"/>
      <c r="BK83" s="3"/>
      <c r="BL83" s="3"/>
    </row>
    <row r="84" spans="1:64" x14ac:dyDescent="0.25">
      <c r="A84">
        <v>37</v>
      </c>
      <c r="B84" s="1" t="s">
        <v>89</v>
      </c>
      <c r="C84" s="1" t="s">
        <v>32</v>
      </c>
      <c r="D84" s="2">
        <v>43047</v>
      </c>
      <c r="E84" s="3">
        <v>24.7</v>
      </c>
      <c r="F84" s="4">
        <f t="shared" si="3"/>
        <v>5428.8176377952759</v>
      </c>
      <c r="G84" s="7">
        <v>9.6999999999999993</v>
      </c>
      <c r="H84" s="7">
        <v>136.49</v>
      </c>
      <c r="I84" s="7">
        <f t="shared" si="13"/>
        <v>126.79</v>
      </c>
      <c r="J84" s="7">
        <v>118.83</v>
      </c>
      <c r="K84" s="5">
        <f t="shared" si="4"/>
        <v>6.2780976417698611</v>
      </c>
      <c r="L84" s="4">
        <f t="shared" si="5"/>
        <v>5087.9911657008643</v>
      </c>
      <c r="M84" s="2">
        <v>43054</v>
      </c>
      <c r="N84" s="7">
        <v>10.88</v>
      </c>
      <c r="O84" s="7">
        <v>4.0599999999999996</v>
      </c>
      <c r="P84" s="7">
        <v>7.02</v>
      </c>
      <c r="Q84" s="6">
        <f t="shared" si="0"/>
        <v>0.36380597014925364</v>
      </c>
      <c r="R84" s="6">
        <f t="shared" si="1"/>
        <v>0.49813432835820892</v>
      </c>
      <c r="S84" s="6">
        <f t="shared" si="6"/>
        <v>0.13805970149253743</v>
      </c>
      <c r="T84" s="4">
        <f t="shared" si="7"/>
        <v>1975.0362674814899</v>
      </c>
      <c r="U84" s="4">
        <f t="shared" si="8"/>
        <v>2704.2804277823479</v>
      </c>
      <c r="V84" s="4">
        <f t="shared" si="9"/>
        <v>4679.3166952638376</v>
      </c>
      <c r="W84" s="4">
        <f t="shared" si="10"/>
        <v>1851.041562148635</v>
      </c>
      <c r="X84" s="4">
        <f t="shared" si="11"/>
        <v>2534.5030620189004</v>
      </c>
      <c r="Y84" s="4">
        <f t="shared" si="12"/>
        <v>4385.5446241675354</v>
      </c>
      <c r="Z84" s="10"/>
      <c r="AA84" s="12"/>
      <c r="AB84" s="5"/>
      <c r="AC84" s="4"/>
      <c r="AD84" s="4"/>
      <c r="AE84" s="4"/>
      <c r="AF84" s="4"/>
      <c r="AH84" t="s">
        <v>259</v>
      </c>
      <c r="AI84" t="str">
        <f>C84</f>
        <v>Machine</v>
      </c>
      <c r="AJ84" s="8">
        <f>D84</f>
        <v>43047</v>
      </c>
      <c r="AK84" s="3">
        <f>SUM(E84:E86)</f>
        <v>72.8</v>
      </c>
      <c r="AL84" s="3">
        <f>(AK84-3*$A$35)*$A$36/(3*$A$37)*$A$38</f>
        <v>5332.0870603674539</v>
      </c>
      <c r="AM84" s="7">
        <f>SUM(G84:G86)</f>
        <v>29.139999999999997</v>
      </c>
      <c r="AN84" s="7">
        <f>SUM(H84:H86)</f>
        <v>514.84</v>
      </c>
      <c r="AO84" s="7">
        <f>AN84-AM84</f>
        <v>485.70000000000005</v>
      </c>
      <c r="AP84" s="7">
        <f>SUM(J84:J86)</f>
        <v>453.1</v>
      </c>
      <c r="AQ84" s="7">
        <f>(AO84-AP84)/AO84*100</f>
        <v>6.7119621165328436</v>
      </c>
      <c r="AR84" s="3">
        <f>AL84*(1-AQ84/100)</f>
        <v>4974.1993968550405</v>
      </c>
      <c r="AS84" s="11">
        <f>M84</f>
        <v>43054</v>
      </c>
      <c r="AT84" s="7">
        <f>SUM(N84:N86)</f>
        <v>31.699999999999996</v>
      </c>
      <c r="AU84" s="7">
        <f>SUM(O84:O86)</f>
        <v>11.92</v>
      </c>
      <c r="AV84" s="7">
        <f>SUM(P84:P86)</f>
        <v>20.439999999999998</v>
      </c>
      <c r="AW84" s="9">
        <f>(AU84-3*$A$39)/(AT84-3*$A$39)</f>
        <v>0.36643177450352343</v>
      </c>
      <c r="AX84" s="9">
        <f>(AV84-3*$A$40)/(AT84-3*$A$39)</f>
        <v>0.4932735426008969</v>
      </c>
      <c r="AY84" s="9">
        <f>1-AW84-AX84</f>
        <v>0.14029468289557961</v>
      </c>
      <c r="AZ84" s="3">
        <f>AL84*AW84</f>
        <v>1953.846123337722</v>
      </c>
      <c r="BA84" s="3">
        <f>AL84*AX84</f>
        <v>2630.1774737238566</v>
      </c>
      <c r="BB84" s="3">
        <f>AZ84+BA84</f>
        <v>4584.0235970615786</v>
      </c>
      <c r="BC84" s="3">
        <f>AR84*AW84</f>
        <v>1822.7047117239485</v>
      </c>
      <c r="BD84" s="3">
        <f>AR84*AX84</f>
        <v>2453.6409580899303</v>
      </c>
      <c r="BE84" s="3">
        <f>BC84+BD84</f>
        <v>4276.3456698138789</v>
      </c>
      <c r="BF84" s="11">
        <f>Z85</f>
        <v>43077</v>
      </c>
      <c r="BG84" s="13">
        <f>AVERAGE(AA84:AA86)</f>
        <v>44</v>
      </c>
      <c r="BH84" s="7">
        <f t="shared" ref="BH84" si="69">AVERAGE(AB84:AB86)</f>
        <v>1.17</v>
      </c>
      <c r="BI84" s="3">
        <f t="shared" ref="BI84" si="70">AVERAGE(AC84:AC86)</f>
        <v>80.900000000000006</v>
      </c>
      <c r="BJ84" s="3">
        <f t="shared" ref="BJ84" si="71">AVERAGE(AD84:AD86)</f>
        <v>31.3</v>
      </c>
      <c r="BK84" s="3">
        <f t="shared" ref="BK84" si="72">AVERAGE(AE84:AE86)</f>
        <v>6</v>
      </c>
      <c r="BL84" s="3">
        <f t="shared" ref="BL84" si="73">AVERAGE(AF84:AF86)</f>
        <v>9</v>
      </c>
    </row>
    <row r="85" spans="1:64" x14ac:dyDescent="0.25">
      <c r="A85">
        <v>38</v>
      </c>
      <c r="B85" s="1" t="s">
        <v>90</v>
      </c>
      <c r="C85" s="1" t="s">
        <v>32</v>
      </c>
      <c r="D85" s="2">
        <v>43047</v>
      </c>
      <c r="E85" s="3">
        <v>24.2</v>
      </c>
      <c r="F85" s="4">
        <f t="shared" si="3"/>
        <v>5317.2054330708661</v>
      </c>
      <c r="G85" s="7">
        <v>9.74</v>
      </c>
      <c r="H85" s="7">
        <v>232.43</v>
      </c>
      <c r="I85" s="7">
        <f t="shared" si="13"/>
        <v>222.69</v>
      </c>
      <c r="J85" s="7">
        <v>207.16</v>
      </c>
      <c r="K85" s="5">
        <f t="shared" si="4"/>
        <v>6.973820108671247</v>
      </c>
      <c r="L85" s="4">
        <f t="shared" si="5"/>
        <v>4946.3930913600097</v>
      </c>
      <c r="M85" s="2">
        <v>43054</v>
      </c>
      <c r="N85" s="7">
        <v>10.45</v>
      </c>
      <c r="O85" s="7">
        <v>3.96</v>
      </c>
      <c r="P85" s="7">
        <v>6.74</v>
      </c>
      <c r="Q85" s="6">
        <f t="shared" si="0"/>
        <v>0.36929057337220605</v>
      </c>
      <c r="R85" s="6">
        <f t="shared" si="1"/>
        <v>0.49173955296404287</v>
      </c>
      <c r="S85" s="6">
        <f t="shared" si="6"/>
        <v>0.13896987366375108</v>
      </c>
      <c r="T85" s="4">
        <f t="shared" si="7"/>
        <v>1963.5938431165494</v>
      </c>
      <c r="U85" s="4">
        <f t="shared" si="8"/>
        <v>2614.6802226762475</v>
      </c>
      <c r="V85" s="4">
        <f t="shared" si="9"/>
        <v>4578.274065792797</v>
      </c>
      <c r="W85" s="4">
        <f t="shared" si="10"/>
        <v>1826.6563408326567</v>
      </c>
      <c r="X85" s="4">
        <f t="shared" si="11"/>
        <v>2432.3371275298014</v>
      </c>
      <c r="Y85" s="4">
        <f t="shared" si="12"/>
        <v>4258.9934683624579</v>
      </c>
      <c r="Z85" s="10">
        <v>43077</v>
      </c>
      <c r="AA85" s="12">
        <v>44</v>
      </c>
      <c r="AB85" s="5">
        <v>1.17</v>
      </c>
      <c r="AC85" s="4">
        <v>80.900000000000006</v>
      </c>
      <c r="AD85" s="4">
        <v>31.3</v>
      </c>
      <c r="AE85" s="4">
        <v>6</v>
      </c>
      <c r="AF85" s="4">
        <v>9</v>
      </c>
      <c r="AK85" s="3"/>
      <c r="AL85" s="3"/>
      <c r="AM85" s="7"/>
      <c r="AN85" s="7"/>
      <c r="AO85" s="7"/>
      <c r="AP85" s="7"/>
      <c r="AQ85" s="7"/>
      <c r="AR85" s="3"/>
      <c r="AS85" s="3"/>
      <c r="AT85" s="7"/>
      <c r="AU85" s="7"/>
      <c r="AV85" s="7"/>
      <c r="AW85" s="9"/>
      <c r="AX85" s="9"/>
      <c r="AY85" s="9"/>
      <c r="AZ85" s="3"/>
      <c r="BA85" s="3"/>
      <c r="BB85" s="3"/>
      <c r="BC85" s="3"/>
      <c r="BD85" s="3"/>
      <c r="BE85" s="3"/>
      <c r="BG85" s="13"/>
      <c r="BH85" s="7"/>
      <c r="BI85" s="3"/>
      <c r="BJ85" s="3"/>
      <c r="BK85" s="3"/>
      <c r="BL85" s="3"/>
    </row>
    <row r="86" spans="1:64" x14ac:dyDescent="0.25">
      <c r="A86">
        <v>39</v>
      </c>
      <c r="B86" s="1" t="s">
        <v>91</v>
      </c>
      <c r="C86" s="1" t="s">
        <v>32</v>
      </c>
      <c r="D86" s="2">
        <v>43047</v>
      </c>
      <c r="E86" s="3">
        <v>23.9</v>
      </c>
      <c r="F86" s="4">
        <f t="shared" si="3"/>
        <v>5250.2381102362206</v>
      </c>
      <c r="G86" s="7">
        <v>9.6999999999999993</v>
      </c>
      <c r="H86" s="7">
        <v>145.91999999999999</v>
      </c>
      <c r="I86" s="7">
        <f t="shared" si="13"/>
        <v>136.22</v>
      </c>
      <c r="J86" s="7">
        <v>127.11</v>
      </c>
      <c r="K86" s="5">
        <f t="shared" si="4"/>
        <v>6.6877110556452788</v>
      </c>
      <c r="L86" s="4">
        <f t="shared" si="5"/>
        <v>4899.1173556902513</v>
      </c>
      <c r="M86" s="2">
        <v>43054</v>
      </c>
      <c r="N86" s="7">
        <v>10.37</v>
      </c>
      <c r="O86" s="7">
        <v>3.9</v>
      </c>
      <c r="P86" s="7">
        <v>6.68</v>
      </c>
      <c r="Q86" s="6">
        <f t="shared" si="0"/>
        <v>0.36630754162585699</v>
      </c>
      <c r="R86" s="6">
        <f t="shared" si="1"/>
        <v>0.48971596474045059</v>
      </c>
      <c r="S86" s="6">
        <f t="shared" si="6"/>
        <v>0.14397649363369242</v>
      </c>
      <c r="T86" s="4">
        <f t="shared" si="7"/>
        <v>1923.2018151110151</v>
      </c>
      <c r="U86" s="4">
        <f t="shared" si="8"/>
        <v>2571.1254212714111</v>
      </c>
      <c r="V86" s="4">
        <f t="shared" si="9"/>
        <v>4494.3272363824262</v>
      </c>
      <c r="W86" s="4">
        <f t="shared" si="10"/>
        <v>1794.5836346994652</v>
      </c>
      <c r="X86" s="4">
        <f t="shared" si="11"/>
        <v>2399.1759822185368</v>
      </c>
      <c r="Y86" s="4">
        <f t="shared" si="12"/>
        <v>4193.7596169180015</v>
      </c>
      <c r="Z86" s="10"/>
      <c r="AA86" s="12"/>
      <c r="AB86" s="5"/>
      <c r="AC86" s="4"/>
      <c r="AD86" s="4"/>
      <c r="AE86" s="4"/>
      <c r="AF86" s="4"/>
      <c r="AK86" s="3"/>
      <c r="AL86" s="3"/>
      <c r="AM86" s="7"/>
      <c r="AN86" s="7"/>
      <c r="AO86" s="7"/>
      <c r="AP86" s="7"/>
      <c r="AQ86" s="7"/>
      <c r="AR86" s="3"/>
      <c r="AS86" s="3"/>
      <c r="AT86" s="7"/>
      <c r="AU86" s="7"/>
      <c r="AV86" s="7"/>
      <c r="AW86" s="9"/>
      <c r="AX86" s="9"/>
      <c r="AY86" s="9"/>
      <c r="AZ86" s="3"/>
      <c r="BA86" s="3"/>
      <c r="BB86" s="3"/>
      <c r="BC86" s="3"/>
      <c r="BD86" s="3"/>
      <c r="BE86" s="3"/>
      <c r="BG86" s="13"/>
      <c r="BH86" s="7"/>
      <c r="BI86" s="3"/>
      <c r="BJ86" s="3"/>
      <c r="BK86" s="3"/>
      <c r="BL86" s="3"/>
    </row>
    <row r="87" spans="1:64" x14ac:dyDescent="0.25">
      <c r="A87">
        <v>40</v>
      </c>
      <c r="B87" s="1" t="s">
        <v>92</v>
      </c>
      <c r="C87" s="1" t="s">
        <v>32</v>
      </c>
      <c r="D87" s="2">
        <v>43047</v>
      </c>
      <c r="E87" s="3">
        <v>20.6</v>
      </c>
      <c r="F87" s="4">
        <f t="shared" si="3"/>
        <v>4513.5975590551188</v>
      </c>
      <c r="G87" s="7">
        <v>9.6999999999999993</v>
      </c>
      <c r="H87" s="7">
        <v>132.34</v>
      </c>
      <c r="I87" s="7">
        <f t="shared" si="13"/>
        <v>122.64</v>
      </c>
      <c r="J87" s="7">
        <v>115.59</v>
      </c>
      <c r="K87" s="5">
        <f t="shared" si="4"/>
        <v>5.7485322896281774</v>
      </c>
      <c r="L87" s="4">
        <f t="shared" si="5"/>
        <v>4254.1319459489659</v>
      </c>
      <c r="M87" s="2">
        <v>43054</v>
      </c>
      <c r="N87" s="7">
        <v>9.02</v>
      </c>
      <c r="O87" s="7">
        <v>3.4</v>
      </c>
      <c r="P87" s="7">
        <v>6</v>
      </c>
      <c r="Q87" s="6">
        <f t="shared" si="0"/>
        <v>0.36568848758465011</v>
      </c>
      <c r="R87" s="6">
        <f t="shared" si="1"/>
        <v>0.48758465011286689</v>
      </c>
      <c r="S87" s="6">
        <f t="shared" si="6"/>
        <v>0.146726862302483</v>
      </c>
      <c r="T87" s="4">
        <f t="shared" si="7"/>
        <v>1650.5706649366348</v>
      </c>
      <c r="U87" s="4">
        <f t="shared" si="8"/>
        <v>2200.7608865821803</v>
      </c>
      <c r="V87" s="4">
        <f t="shared" si="9"/>
        <v>3851.3315515188151</v>
      </c>
      <c r="W87" s="4">
        <f t="shared" si="10"/>
        <v>1555.6870772996219</v>
      </c>
      <c r="X87" s="4">
        <f t="shared" si="11"/>
        <v>2074.2494363994961</v>
      </c>
      <c r="Y87" s="4">
        <f t="shared" si="12"/>
        <v>3629.9365136991182</v>
      </c>
      <c r="Z87" s="10"/>
      <c r="AA87" s="12"/>
      <c r="AB87" s="5"/>
      <c r="AC87" s="4"/>
      <c r="AD87" s="4"/>
      <c r="AE87" s="4"/>
      <c r="AF87" s="4"/>
      <c r="AH87" t="s">
        <v>260</v>
      </c>
      <c r="AI87" t="s">
        <v>32</v>
      </c>
      <c r="AJ87" s="8">
        <f>D87</f>
        <v>43047</v>
      </c>
      <c r="AK87" s="3">
        <f>SUM(E87:E89)</f>
        <v>60.1</v>
      </c>
      <c r="AL87" s="3">
        <f>(AK87-3*$A$35)*$A$36/(3*$A$37)*$A$38</f>
        <v>4387.1037270341203</v>
      </c>
      <c r="AM87" s="7">
        <f>SUM(G87:G89)</f>
        <v>29.14</v>
      </c>
      <c r="AN87" s="7">
        <f>SUM(H87:H89)</f>
        <v>494.08000000000004</v>
      </c>
      <c r="AO87" s="7">
        <f>AN87-AM87</f>
        <v>464.94000000000005</v>
      </c>
      <c r="AP87" s="7">
        <f>SUM(J87:J89)</f>
        <v>436.76</v>
      </c>
      <c r="AQ87" s="7">
        <f>(AO87-AP87)/AO87*100</f>
        <v>6.0609971179077</v>
      </c>
      <c r="AR87" s="3">
        <f>AL87*(1-AQ87/100)</f>
        <v>4121.2014965789613</v>
      </c>
      <c r="AS87" s="11">
        <f>M87</f>
        <v>43054</v>
      </c>
      <c r="AT87" s="7">
        <f>SUM(N87:N89)</f>
        <v>26.02</v>
      </c>
      <c r="AU87" s="7">
        <f>SUM(O87:O89)</f>
        <v>9.66</v>
      </c>
      <c r="AV87" s="7">
        <f>SUM(P87:P89)</f>
        <v>17.34</v>
      </c>
      <c r="AW87" s="9">
        <f>(AU87-3*$A$39)/(AT87-3*$A$39)</f>
        <v>0.35943617854346122</v>
      </c>
      <c r="AX87" s="9">
        <f>(AV87-3*$A$40)/(AT87-3*$A$39)</f>
        <v>0.48159749412685987</v>
      </c>
      <c r="AY87" s="9">
        <f>1-AW87-AX87</f>
        <v>0.15896632732967891</v>
      </c>
      <c r="AZ87" s="3">
        <f>AL87*AW87</f>
        <v>1576.8837985189202</v>
      </c>
      <c r="BA87" s="3">
        <f>AL87*AX87</f>
        <v>2112.81816141424</v>
      </c>
      <c r="BB87" s="3">
        <f>AZ87+BA87</f>
        <v>3689.7019599331602</v>
      </c>
      <c r="BC87" s="3">
        <f>AR87*AW87</f>
        <v>1481.308916937935</v>
      </c>
      <c r="BD87" s="3">
        <f>AR87*AX87</f>
        <v>1984.7603135442923</v>
      </c>
      <c r="BE87" s="3">
        <f>BC87+BD87</f>
        <v>3466.0692304822273</v>
      </c>
      <c r="BF87" s="11">
        <f>Z88</f>
        <v>43077</v>
      </c>
      <c r="BG87" s="13">
        <f>AVERAGE(AA87:AA89)</f>
        <v>50</v>
      </c>
      <c r="BH87" s="7">
        <f t="shared" ref="BH87" si="74">AVERAGE(AB87:AB89)</f>
        <v>1.0900000000000001</v>
      </c>
      <c r="BI87" s="3">
        <f t="shared" ref="BI87" si="75">AVERAGE(AC87:AC89)</f>
        <v>79.400000000000006</v>
      </c>
      <c r="BJ87" s="3">
        <f t="shared" ref="BJ87" si="76">AVERAGE(AD87:AD89)</f>
        <v>30.4</v>
      </c>
      <c r="BK87" s="3">
        <f t="shared" ref="BK87" si="77">AVERAGE(AE87:AE89)</f>
        <v>6</v>
      </c>
      <c r="BL87" s="3">
        <f t="shared" ref="BL87" si="78">AVERAGE(AF87:AF89)</f>
        <v>10.6</v>
      </c>
    </row>
    <row r="88" spans="1:64" x14ac:dyDescent="0.25">
      <c r="A88">
        <v>41</v>
      </c>
      <c r="B88" s="1" t="s">
        <v>93</v>
      </c>
      <c r="C88" s="1" t="s">
        <v>32</v>
      </c>
      <c r="D88" s="2">
        <v>43047</v>
      </c>
      <c r="E88" s="3">
        <v>20.399999999999999</v>
      </c>
      <c r="F88" s="4">
        <f t="shared" si="3"/>
        <v>4468.9526771653536</v>
      </c>
      <c r="G88" s="7">
        <v>9.7100000000000009</v>
      </c>
      <c r="H88" s="7">
        <v>135.99</v>
      </c>
      <c r="I88" s="7">
        <f t="shared" si="13"/>
        <v>126.28</v>
      </c>
      <c r="J88" s="7">
        <v>118.23</v>
      </c>
      <c r="K88" s="5">
        <f t="shared" si="4"/>
        <v>6.3747228381374699</v>
      </c>
      <c r="L88" s="4">
        <f t="shared" si="5"/>
        <v>4184.0693302285381</v>
      </c>
      <c r="M88" s="2">
        <v>43054</v>
      </c>
      <c r="N88" s="7">
        <v>8.84</v>
      </c>
      <c r="O88" s="7">
        <v>3.28</v>
      </c>
      <c r="P88" s="7">
        <v>5.84</v>
      </c>
      <c r="Q88" s="6">
        <f t="shared" si="0"/>
        <v>0.35944700460829493</v>
      </c>
      <c r="R88" s="6">
        <f t="shared" si="1"/>
        <v>0.47926267281105994</v>
      </c>
      <c r="S88" s="6">
        <f t="shared" si="6"/>
        <v>0.16129032258064513</v>
      </c>
      <c r="T88" s="4">
        <f t="shared" si="7"/>
        <v>1606.3516535433068</v>
      </c>
      <c r="U88" s="4">
        <f t="shared" si="8"/>
        <v>2141.8022047244094</v>
      </c>
      <c r="V88" s="4">
        <f t="shared" si="9"/>
        <v>3748.1538582677163</v>
      </c>
      <c r="W88" s="4">
        <f t="shared" si="10"/>
        <v>1503.9511878240828</v>
      </c>
      <c r="X88" s="4">
        <f t="shared" si="11"/>
        <v>2005.2682504321106</v>
      </c>
      <c r="Y88" s="4">
        <f t="shared" si="12"/>
        <v>3509.2194382561934</v>
      </c>
      <c r="Z88" s="10">
        <v>43077</v>
      </c>
      <c r="AA88" s="12">
        <v>50</v>
      </c>
      <c r="AB88" s="5">
        <v>1.0900000000000001</v>
      </c>
      <c r="AC88" s="4">
        <v>79.400000000000006</v>
      </c>
      <c r="AD88" s="4">
        <v>30.4</v>
      </c>
      <c r="AE88" s="4">
        <v>6</v>
      </c>
      <c r="AF88" s="4">
        <v>10.6</v>
      </c>
      <c r="AK88" s="3"/>
      <c r="AL88" s="3"/>
      <c r="AM88" s="7"/>
      <c r="AN88" s="7"/>
      <c r="AO88" s="7"/>
      <c r="AP88" s="7"/>
      <c r="AQ88" s="7"/>
      <c r="AR88" s="3"/>
      <c r="AS88" s="3"/>
      <c r="AT88" s="7"/>
      <c r="AU88" s="7"/>
      <c r="AV88" s="7"/>
      <c r="AW88" s="9"/>
      <c r="AX88" s="9"/>
      <c r="AY88" s="9"/>
      <c r="AZ88" s="3"/>
      <c r="BA88" s="3"/>
      <c r="BB88" s="3"/>
      <c r="BC88" s="3"/>
      <c r="BD88" s="3"/>
      <c r="BE88" s="3"/>
      <c r="BG88" s="13"/>
      <c r="BH88" s="7"/>
      <c r="BI88" s="3"/>
      <c r="BJ88" s="3"/>
      <c r="BK88" s="3"/>
      <c r="BL88" s="3"/>
    </row>
    <row r="89" spans="1:64" x14ac:dyDescent="0.25">
      <c r="A89">
        <v>42</v>
      </c>
      <c r="B89" s="1" t="s">
        <v>94</v>
      </c>
      <c r="C89" s="1" t="s">
        <v>32</v>
      </c>
      <c r="D89" s="2">
        <v>43047</v>
      </c>
      <c r="E89" s="3">
        <v>19.100000000000001</v>
      </c>
      <c r="F89" s="4">
        <f t="shared" si="3"/>
        <v>4178.7609448818912</v>
      </c>
      <c r="G89" s="7">
        <v>9.73</v>
      </c>
      <c r="H89" s="7">
        <v>225.75</v>
      </c>
      <c r="I89" s="7">
        <f t="shared" si="13"/>
        <v>216.02</v>
      </c>
      <c r="J89" s="7">
        <v>202.94</v>
      </c>
      <c r="K89" s="5">
        <f t="shared" si="4"/>
        <v>6.054994907878906</v>
      </c>
      <c r="L89" s="4">
        <f t="shared" si="5"/>
        <v>3925.73718245686</v>
      </c>
      <c r="M89" s="2">
        <v>43054</v>
      </c>
      <c r="N89" s="7">
        <v>8.16</v>
      </c>
      <c r="O89" s="7">
        <v>2.98</v>
      </c>
      <c r="P89" s="7">
        <v>5.5</v>
      </c>
      <c r="Q89" s="6">
        <f t="shared" si="0"/>
        <v>0.35249999999999998</v>
      </c>
      <c r="R89" s="6">
        <f t="shared" si="1"/>
        <v>0.47750000000000004</v>
      </c>
      <c r="S89" s="6">
        <f t="shared" si="6"/>
        <v>0.16999999999999993</v>
      </c>
      <c r="T89" s="4">
        <f t="shared" si="7"/>
        <v>1473.0132330708666</v>
      </c>
      <c r="U89" s="4">
        <f t="shared" si="8"/>
        <v>1995.3583511811032</v>
      </c>
      <c r="V89" s="4">
        <f t="shared" si="9"/>
        <v>3468.3715842519696</v>
      </c>
      <c r="W89" s="4">
        <f t="shared" si="10"/>
        <v>1383.8223568160431</v>
      </c>
      <c r="X89" s="4">
        <f t="shared" si="11"/>
        <v>1874.5395046231508</v>
      </c>
      <c r="Y89" s="4">
        <f t="shared" si="12"/>
        <v>3258.3618614391939</v>
      </c>
      <c r="Z89" s="10"/>
      <c r="AA89" s="12"/>
      <c r="AB89" s="5"/>
      <c r="AC89" s="4"/>
      <c r="AD89" s="4"/>
      <c r="AE89" s="4"/>
      <c r="AF89" s="4"/>
      <c r="AK89" s="3"/>
      <c r="AL89" s="3"/>
      <c r="AM89" s="7"/>
      <c r="AN89" s="7"/>
      <c r="AO89" s="7"/>
      <c r="AP89" s="7"/>
      <c r="AQ89" s="7"/>
      <c r="AR89" s="3"/>
      <c r="AS89" s="3"/>
      <c r="AT89" s="7"/>
      <c r="AU89" s="7"/>
      <c r="AV89" s="7"/>
      <c r="AW89" s="9"/>
      <c r="AX89" s="9"/>
      <c r="AY89" s="9"/>
      <c r="AZ89" s="3"/>
      <c r="BA89" s="3"/>
      <c r="BB89" s="3"/>
      <c r="BC89" s="3"/>
      <c r="BD89" s="3"/>
      <c r="BE89" s="3"/>
      <c r="BG89" s="13"/>
      <c r="BH89" s="7"/>
      <c r="BI89" s="3"/>
      <c r="BJ89" s="3"/>
      <c r="BK89" s="3"/>
      <c r="BL89" s="3"/>
    </row>
    <row r="90" spans="1:64" x14ac:dyDescent="0.25">
      <c r="A90">
        <v>43</v>
      </c>
      <c r="B90" s="1" t="s">
        <v>95</v>
      </c>
      <c r="C90" s="1" t="s">
        <v>32</v>
      </c>
      <c r="D90" s="2">
        <v>43047</v>
      </c>
      <c r="E90" s="3">
        <v>24.5</v>
      </c>
      <c r="F90" s="4">
        <f t="shared" si="3"/>
        <v>5384.1727559055116</v>
      </c>
      <c r="G90" s="7">
        <v>9.6999999999999993</v>
      </c>
      <c r="H90" s="7">
        <v>212.23</v>
      </c>
      <c r="I90" s="7">
        <f t="shared" si="13"/>
        <v>202.53</v>
      </c>
      <c r="J90" s="7">
        <v>189.67</v>
      </c>
      <c r="K90" s="5">
        <f t="shared" si="4"/>
        <v>6.349676591122309</v>
      </c>
      <c r="L90" s="4">
        <f t="shared" si="5"/>
        <v>5042.2951987981942</v>
      </c>
      <c r="M90" s="2">
        <v>43054</v>
      </c>
      <c r="N90" s="7">
        <v>10.62</v>
      </c>
      <c r="O90" s="7">
        <v>3.98</v>
      </c>
      <c r="P90" s="7">
        <v>6.7</v>
      </c>
      <c r="Q90" s="6">
        <f t="shared" si="0"/>
        <v>0.36520076481835567</v>
      </c>
      <c r="R90" s="6">
        <f t="shared" si="1"/>
        <v>0.47992351816443601</v>
      </c>
      <c r="S90" s="6">
        <f t="shared" si="6"/>
        <v>0.15487571701720826</v>
      </c>
      <c r="T90" s="4">
        <f t="shared" si="7"/>
        <v>1966.3040083708468</v>
      </c>
      <c r="U90" s="4">
        <f t="shared" si="8"/>
        <v>2583.9911314192805</v>
      </c>
      <c r="V90" s="4">
        <f t="shared" si="9"/>
        <v>4550.295139790127</v>
      </c>
      <c r="W90" s="4">
        <f t="shared" si="10"/>
        <v>1841.4500630410232</v>
      </c>
      <c r="X90" s="4">
        <f t="shared" si="11"/>
        <v>2419.9160514308737</v>
      </c>
      <c r="Y90" s="4">
        <f t="shared" si="12"/>
        <v>4261.3661144718972</v>
      </c>
      <c r="Z90" s="10"/>
      <c r="AA90" s="12"/>
      <c r="AB90" s="5"/>
      <c r="AC90" s="4"/>
      <c r="AD90" s="4"/>
      <c r="AE90" s="4"/>
      <c r="AF90" s="4"/>
      <c r="AH90" t="s">
        <v>261</v>
      </c>
      <c r="AI90" t="s">
        <v>32</v>
      </c>
      <c r="AJ90" s="8">
        <f>D90</f>
        <v>43047</v>
      </c>
      <c r="AK90" s="3">
        <f>SUM(E90:E92)</f>
        <v>69.3</v>
      </c>
      <c r="AL90" s="3">
        <f>(AK90-3*$A$35)*$A$36/(3*$A$37)*$A$38</f>
        <v>5071.6585826771643</v>
      </c>
      <c r="AM90" s="7">
        <f>SUM(G90:G92)</f>
        <v>29.150000000000002</v>
      </c>
      <c r="AN90" s="7">
        <f>SUM(H90:H92)</f>
        <v>572.21</v>
      </c>
      <c r="AO90" s="7">
        <f>AN90-AM90</f>
        <v>543.06000000000006</v>
      </c>
      <c r="AP90" s="7">
        <f>SUM(J90:J92)</f>
        <v>507.33999999999992</v>
      </c>
      <c r="AQ90" s="7">
        <f>(AO90-AP90)/AO90*100</f>
        <v>6.5775420763820094</v>
      </c>
      <c r="AR90" s="3">
        <f>AL90*(1-AQ90/100)</f>
        <v>4738.0681054311344</v>
      </c>
      <c r="AS90" s="11">
        <f>M90</f>
        <v>43054</v>
      </c>
      <c r="AT90" s="7">
        <f>SUM(N90:N92)</f>
        <v>30.179999999999996</v>
      </c>
      <c r="AU90" s="7">
        <f>SUM(O90:O92)</f>
        <v>11.24</v>
      </c>
      <c r="AV90" s="7">
        <f>SUM(P90:P92)</f>
        <v>19.440000000000001</v>
      </c>
      <c r="AW90" s="9">
        <f>(AU90-3*$A$39)/(AT90-3*$A$39)</f>
        <v>0.36228956228956233</v>
      </c>
      <c r="AX90" s="9">
        <f>(AV90-3*$A$40)/(AT90-3*$A$39)</f>
        <v>0.48484848484848497</v>
      </c>
      <c r="AY90" s="9">
        <f>1-AW90-AX90</f>
        <v>0.1528619528619527</v>
      </c>
      <c r="AZ90" s="3">
        <f>AL90*AW90</f>
        <v>1837.4089680002119</v>
      </c>
      <c r="BA90" s="3">
        <f>AL90*AX90</f>
        <v>2458.9859794798381</v>
      </c>
      <c r="BB90" s="3">
        <f>AZ90+BA90</f>
        <v>4296.3949474800502</v>
      </c>
      <c r="BC90" s="3">
        <f>AR90*AW90</f>
        <v>1716.5526200147815</v>
      </c>
      <c r="BD90" s="3">
        <f>AR90*AX90</f>
        <v>2297.2451420272173</v>
      </c>
      <c r="BE90" s="3">
        <f>BC90+BD90</f>
        <v>4013.7977620419988</v>
      </c>
      <c r="BF90" s="11">
        <f>Z91</f>
        <v>43077</v>
      </c>
      <c r="BG90" s="13">
        <f>AVERAGE(AA90:AA92)</f>
        <v>43</v>
      </c>
      <c r="BH90" s="7">
        <f t="shared" ref="BH90" si="79">AVERAGE(AB90:AB92)</f>
        <v>1.1100000000000001</v>
      </c>
      <c r="BI90" s="3">
        <f t="shared" ref="BI90" si="80">AVERAGE(AC90:AC92)</f>
        <v>80.5</v>
      </c>
      <c r="BJ90" s="3">
        <f t="shared" ref="BJ90" si="81">AVERAGE(AD90:AD92)</f>
        <v>30.1</v>
      </c>
      <c r="BK90" s="3">
        <f t="shared" ref="BK90" si="82">AVERAGE(AE90:AE92)</f>
        <v>6.2</v>
      </c>
      <c r="BL90" s="3">
        <f t="shared" ref="BL90" si="83">AVERAGE(AF90:AF92)</f>
        <v>9.8000000000000007</v>
      </c>
    </row>
    <row r="91" spans="1:64" x14ac:dyDescent="0.25">
      <c r="A91">
        <v>44</v>
      </c>
      <c r="B91" s="1" t="s">
        <v>96</v>
      </c>
      <c r="C91" s="1" t="s">
        <v>32</v>
      </c>
      <c r="D91" s="2">
        <v>43047</v>
      </c>
      <c r="E91" s="3">
        <v>22.9</v>
      </c>
      <c r="F91" s="4">
        <f t="shared" si="3"/>
        <v>5027.0137007874018</v>
      </c>
      <c r="G91" s="7">
        <v>9.7200000000000006</v>
      </c>
      <c r="H91" s="7">
        <v>205.61</v>
      </c>
      <c r="I91" s="7">
        <f t="shared" si="13"/>
        <v>195.89000000000001</v>
      </c>
      <c r="J91" s="7">
        <v>183.25</v>
      </c>
      <c r="K91" s="5">
        <f t="shared" si="4"/>
        <v>6.4526009495124885</v>
      </c>
      <c r="L91" s="4">
        <f t="shared" si="5"/>
        <v>4702.6405669982714</v>
      </c>
      <c r="M91" s="2">
        <v>43054</v>
      </c>
      <c r="N91" s="7">
        <v>9.86</v>
      </c>
      <c r="O91" s="7">
        <v>3.7</v>
      </c>
      <c r="P91" s="7">
        <v>6.44</v>
      </c>
      <c r="Q91" s="6">
        <f t="shared" si="0"/>
        <v>0.36494845360824746</v>
      </c>
      <c r="R91" s="6">
        <f t="shared" si="1"/>
        <v>0.49072164948453617</v>
      </c>
      <c r="S91" s="6">
        <f t="shared" si="6"/>
        <v>0.14432989690721637</v>
      </c>
      <c r="T91" s="4">
        <f t="shared" si="7"/>
        <v>1834.6008763698355</v>
      </c>
      <c r="U91" s="4">
        <f t="shared" si="8"/>
        <v>2466.8644552317564</v>
      </c>
      <c r="V91" s="4">
        <f t="shared" si="9"/>
        <v>4301.465331601592</v>
      </c>
      <c r="W91" s="4">
        <f t="shared" si="10"/>
        <v>1716.2214028014312</v>
      </c>
      <c r="X91" s="4">
        <f t="shared" si="11"/>
        <v>2307.6875359702863</v>
      </c>
      <c r="Y91" s="4">
        <f t="shared" si="12"/>
        <v>4023.9089387717177</v>
      </c>
      <c r="Z91" s="10">
        <v>43077</v>
      </c>
      <c r="AA91" s="12">
        <v>43</v>
      </c>
      <c r="AB91" s="5">
        <v>1.1100000000000001</v>
      </c>
      <c r="AC91" s="4">
        <v>80.5</v>
      </c>
      <c r="AD91" s="4">
        <v>30.1</v>
      </c>
      <c r="AE91" s="4">
        <v>6.2</v>
      </c>
      <c r="AF91" s="4">
        <v>9.8000000000000007</v>
      </c>
      <c r="AK91" s="3"/>
      <c r="AL91" s="3"/>
      <c r="AM91" s="7"/>
      <c r="AN91" s="7"/>
      <c r="AO91" s="7"/>
      <c r="AP91" s="7"/>
      <c r="AQ91" s="7"/>
      <c r="AR91" s="3"/>
      <c r="AS91" s="3"/>
      <c r="AT91" s="7"/>
      <c r="AU91" s="7"/>
      <c r="AV91" s="7"/>
      <c r="AW91" s="9"/>
      <c r="AX91" s="9"/>
      <c r="AY91" s="9"/>
      <c r="AZ91" s="3"/>
      <c r="BA91" s="3"/>
      <c r="BB91" s="3"/>
      <c r="BC91" s="3"/>
      <c r="BD91" s="3"/>
      <c r="BE91" s="3"/>
      <c r="BG91" s="13"/>
      <c r="BH91" s="7"/>
      <c r="BI91" s="3"/>
      <c r="BJ91" s="3"/>
      <c r="BK91" s="3"/>
      <c r="BL91" s="3"/>
    </row>
    <row r="92" spans="1:64" x14ac:dyDescent="0.25">
      <c r="A92">
        <v>45</v>
      </c>
      <c r="B92" s="1" t="s">
        <v>97</v>
      </c>
      <c r="C92" s="1" t="s">
        <v>32</v>
      </c>
      <c r="D92" s="2">
        <v>43047</v>
      </c>
      <c r="E92" s="3">
        <v>21.9</v>
      </c>
      <c r="F92" s="4">
        <f t="shared" si="3"/>
        <v>4803.7892913385822</v>
      </c>
      <c r="G92" s="7">
        <v>9.73</v>
      </c>
      <c r="H92" s="7">
        <v>154.37</v>
      </c>
      <c r="I92" s="7">
        <f t="shared" si="13"/>
        <v>144.64000000000001</v>
      </c>
      <c r="J92" s="7">
        <v>134.41999999999999</v>
      </c>
      <c r="K92" s="5">
        <f t="shared" si="4"/>
        <v>7.0658185840708141</v>
      </c>
      <c r="L92" s="4">
        <f t="shared" si="5"/>
        <v>4464.3622548515768</v>
      </c>
      <c r="M92" s="2">
        <v>43054</v>
      </c>
      <c r="N92" s="7">
        <v>9.6999999999999993</v>
      </c>
      <c r="O92" s="7">
        <v>3.56</v>
      </c>
      <c r="P92" s="7">
        <v>6.3</v>
      </c>
      <c r="Q92" s="6">
        <f t="shared" si="0"/>
        <v>0.35639412997903563</v>
      </c>
      <c r="R92" s="6">
        <f t="shared" si="1"/>
        <v>0.48427672955974849</v>
      </c>
      <c r="S92" s="6">
        <f t="shared" si="6"/>
        <v>0.15932914046121588</v>
      </c>
      <c r="T92" s="4">
        <f t="shared" si="7"/>
        <v>1712.0423050892221</v>
      </c>
      <c r="U92" s="4">
        <f t="shared" si="8"/>
        <v>2326.3633675035903</v>
      </c>
      <c r="V92" s="4">
        <f t="shared" si="9"/>
        <v>4038.4056725928122</v>
      </c>
      <c r="W92" s="4">
        <f t="shared" si="10"/>
        <v>1591.0725017290736</v>
      </c>
      <c r="X92" s="4">
        <f t="shared" si="11"/>
        <v>2161.9867523495059</v>
      </c>
      <c r="Y92" s="4">
        <f t="shared" si="12"/>
        <v>3753.0592540785792</v>
      </c>
      <c r="Z92" s="10"/>
      <c r="AA92" s="12"/>
      <c r="AB92" s="5"/>
      <c r="AC92" s="4"/>
      <c r="AD92" s="4"/>
      <c r="AE92" s="4"/>
      <c r="AF92" s="4"/>
      <c r="AK92" s="3"/>
      <c r="AL92" s="3"/>
      <c r="AM92" s="7"/>
      <c r="AN92" s="7"/>
      <c r="AO92" s="7"/>
      <c r="AP92" s="7"/>
      <c r="AQ92" s="7"/>
      <c r="AR92" s="3"/>
      <c r="AS92" s="3"/>
      <c r="AT92" s="7"/>
      <c r="AU92" s="7"/>
      <c r="AV92" s="7"/>
      <c r="AW92" s="9"/>
      <c r="AX92" s="9"/>
      <c r="AY92" s="9"/>
      <c r="AZ92" s="3"/>
      <c r="BA92" s="3"/>
      <c r="BB92" s="3"/>
      <c r="BC92" s="3"/>
      <c r="BD92" s="3"/>
      <c r="BE92" s="3"/>
      <c r="BG92" s="13"/>
      <c r="BH92" s="7"/>
      <c r="BI92" s="3"/>
      <c r="BJ92" s="3"/>
      <c r="BK92" s="3"/>
      <c r="BL92" s="3"/>
    </row>
    <row r="93" spans="1:64" x14ac:dyDescent="0.25">
      <c r="A93">
        <v>46</v>
      </c>
      <c r="B93" s="1" t="s">
        <v>98</v>
      </c>
      <c r="C93" s="1" t="s">
        <v>32</v>
      </c>
      <c r="D93" s="2">
        <v>43047</v>
      </c>
      <c r="E93" s="3">
        <v>22.3</v>
      </c>
      <c r="F93" s="4">
        <f t="shared" si="3"/>
        <v>4893.0790551181108</v>
      </c>
      <c r="G93" s="7">
        <v>9.6999999999999993</v>
      </c>
      <c r="H93" s="7">
        <v>243.62</v>
      </c>
      <c r="I93" s="7">
        <f t="shared" si="13"/>
        <v>233.92000000000002</v>
      </c>
      <c r="J93" s="7">
        <v>215.64</v>
      </c>
      <c r="K93" s="5">
        <f t="shared" si="4"/>
        <v>7.8146374829001486</v>
      </c>
      <c r="L93" s="4">
        <f t="shared" si="5"/>
        <v>4510.7026652089144</v>
      </c>
      <c r="M93" s="2">
        <v>43054</v>
      </c>
      <c r="N93" s="7"/>
      <c r="O93" s="7"/>
      <c r="P93" s="7"/>
      <c r="Q93" s="6"/>
      <c r="R93" s="6"/>
      <c r="S93" s="6"/>
      <c r="T93" s="4"/>
      <c r="U93" s="4"/>
      <c r="V93" s="4"/>
      <c r="W93" s="4"/>
      <c r="X93" s="4"/>
      <c r="Y93" s="4"/>
      <c r="Z93" s="10"/>
      <c r="AA93" s="12"/>
      <c r="AB93" s="5"/>
      <c r="AC93" s="4"/>
      <c r="AD93" s="4"/>
      <c r="AE93" s="4"/>
      <c r="AF93" s="4"/>
      <c r="AH93" t="s">
        <v>262</v>
      </c>
      <c r="AI93" t="s">
        <v>32</v>
      </c>
      <c r="AJ93" s="8">
        <f>D93</f>
        <v>43047</v>
      </c>
      <c r="AK93" s="3">
        <f>SUM(E93:E95)</f>
        <v>62.900000000000006</v>
      </c>
      <c r="AL93" s="3">
        <f>(AK93-3*$A$35)*$A$36/(3*$A$37)*$A$38</f>
        <v>4595.4465091863512</v>
      </c>
      <c r="AM93" s="7">
        <f>SUM(G93:G95)</f>
        <v>29.119999999999997</v>
      </c>
      <c r="AN93" s="7">
        <f>SUM(H93:H95)</f>
        <v>598.57000000000005</v>
      </c>
      <c r="AO93" s="7">
        <f>AN93-AM93</f>
        <v>569.45000000000005</v>
      </c>
      <c r="AP93" s="7">
        <f>SUM(J93:J95)</f>
        <v>530.31999999999994</v>
      </c>
      <c r="AQ93" s="7">
        <f>(AO93-AP93)/AO93*100</f>
        <v>6.8715427166564407</v>
      </c>
      <c r="AR93" s="3">
        <f>AL93*(1-AQ93/100)</f>
        <v>4279.6684392865136</v>
      </c>
      <c r="AS93" s="11">
        <f>M93</f>
        <v>43054</v>
      </c>
      <c r="AT93" s="7">
        <f>SUM(N93:N95)</f>
        <v>17.439999999999998</v>
      </c>
      <c r="AU93" s="7">
        <f>SUM(O93:O95)</f>
        <v>6.66</v>
      </c>
      <c r="AV93" s="7">
        <f>SUM(P93:P95)</f>
        <v>11.84</v>
      </c>
      <c r="AW93" s="9">
        <f>(AU93-2*$A$39)/(AT93-2*$A$39)</f>
        <v>0.37032710280373837</v>
      </c>
      <c r="AX93" s="9">
        <f>(AV93-2*$A$40)/(AT93-2*$A$39)</f>
        <v>0.49532710280373843</v>
      </c>
      <c r="AY93" s="9">
        <f>1-AW93-AX93</f>
        <v>0.1343457943925232</v>
      </c>
      <c r="AZ93" s="3">
        <f>AL93*AW93</f>
        <v>1701.8183918365346</v>
      </c>
      <c r="BA93" s="3">
        <f>AL93*AX93</f>
        <v>2276.2492054848285</v>
      </c>
      <c r="BB93" s="3">
        <f>AZ93+BA93</f>
        <v>3978.0675973213629</v>
      </c>
      <c r="BC93" s="3">
        <f>AR93*AW93</f>
        <v>1584.8772140815713</v>
      </c>
      <c r="BD93" s="3">
        <f>AR93*AX93</f>
        <v>2119.8357689923855</v>
      </c>
      <c r="BE93" s="3">
        <f>BC93+BD93</f>
        <v>3704.7129830739568</v>
      </c>
      <c r="BF93" s="11">
        <f>Z94</f>
        <v>43077</v>
      </c>
      <c r="BG93" s="13">
        <f>AVERAGE(AA93:AA95)</f>
        <v>48</v>
      </c>
      <c r="BH93" s="7">
        <f t="shared" ref="BH93" si="84">AVERAGE(AB93:AB95)</f>
        <v>1.0900000000000001</v>
      </c>
      <c r="BI93" s="3">
        <f t="shared" ref="BI93" si="85">AVERAGE(AC93:AC95)</f>
        <v>79.099999999999994</v>
      </c>
      <c r="BJ93" s="3">
        <f t="shared" ref="BJ93" si="86">AVERAGE(AD93:AD95)</f>
        <v>30.5</v>
      </c>
      <c r="BK93" s="3">
        <f t="shared" ref="BK93" si="87">AVERAGE(AE93:AE95)</f>
        <v>6</v>
      </c>
      <c r="BL93" s="3">
        <f t="shared" ref="BL93" si="88">AVERAGE(AF93:AF95)</f>
        <v>11</v>
      </c>
    </row>
    <row r="94" spans="1:64" x14ac:dyDescent="0.25">
      <c r="A94">
        <v>47</v>
      </c>
      <c r="B94" s="1" t="s">
        <v>99</v>
      </c>
      <c r="C94" s="1" t="s">
        <v>32</v>
      </c>
      <c r="D94" s="2">
        <v>43047</v>
      </c>
      <c r="E94" s="3">
        <v>21.4</v>
      </c>
      <c r="F94" s="4">
        <f t="shared" si="3"/>
        <v>4692.1770866141724</v>
      </c>
      <c r="G94" s="7">
        <v>9.73</v>
      </c>
      <c r="H94" s="7">
        <v>156.12</v>
      </c>
      <c r="I94" s="7">
        <f t="shared" si="13"/>
        <v>146.39000000000001</v>
      </c>
      <c r="J94" s="7">
        <v>137.44999999999999</v>
      </c>
      <c r="K94" s="5">
        <f t="shared" si="4"/>
        <v>6.106974520117511</v>
      </c>
      <c r="L94" s="4">
        <f t="shared" si="5"/>
        <v>4405.6270274958524</v>
      </c>
      <c r="M94" s="2">
        <v>43054</v>
      </c>
      <c r="N94" s="7">
        <v>9.2799999999999994</v>
      </c>
      <c r="O94" s="7">
        <v>3.54</v>
      </c>
      <c r="P94" s="7">
        <v>6.24</v>
      </c>
      <c r="Q94" s="6">
        <f t="shared" ref="Q94:Q112" si="89">(O94-$A$39)/(N94-$A$39)</f>
        <v>0.37061403508771934</v>
      </c>
      <c r="R94" s="6">
        <f t="shared" ref="R94:R112" si="90">(P94-$A$40)/(N94-$A$39)</f>
        <v>0.50000000000000011</v>
      </c>
      <c r="S94" s="6">
        <f t="shared" si="6"/>
        <v>0.12938596491228049</v>
      </c>
      <c r="T94" s="4">
        <f t="shared" si="7"/>
        <v>1738.9866834162176</v>
      </c>
      <c r="U94" s="4">
        <f t="shared" si="8"/>
        <v>2346.0885433070866</v>
      </c>
      <c r="V94" s="4">
        <f t="shared" si="9"/>
        <v>4085.0752267233042</v>
      </c>
      <c r="W94" s="4">
        <f t="shared" si="10"/>
        <v>1632.7872097517525</v>
      </c>
      <c r="X94" s="4">
        <f t="shared" si="11"/>
        <v>2202.8135137479267</v>
      </c>
      <c r="Y94" s="4">
        <f t="shared" si="12"/>
        <v>3835.6007234996791</v>
      </c>
      <c r="Z94" s="10">
        <v>43077</v>
      </c>
      <c r="AA94" s="12">
        <v>48</v>
      </c>
      <c r="AB94" s="5">
        <v>1.0900000000000001</v>
      </c>
      <c r="AC94" s="4">
        <v>79.099999999999994</v>
      </c>
      <c r="AD94" s="4">
        <v>30.5</v>
      </c>
      <c r="AE94" s="4">
        <v>6</v>
      </c>
      <c r="AF94" s="4">
        <v>11</v>
      </c>
      <c r="AK94" s="3"/>
      <c r="AL94" s="3"/>
      <c r="AM94" s="7"/>
      <c r="AN94" s="7"/>
      <c r="AO94" s="7"/>
      <c r="AP94" s="7"/>
      <c r="AQ94" s="7"/>
      <c r="AR94" s="3"/>
      <c r="AS94" s="3"/>
      <c r="AT94" s="7"/>
      <c r="AU94" s="7"/>
      <c r="AV94" s="7"/>
      <c r="AW94" s="9"/>
      <c r="AX94" s="9"/>
      <c r="AY94" s="9"/>
      <c r="AZ94" s="3"/>
      <c r="BA94" s="3"/>
      <c r="BB94" s="3"/>
      <c r="BC94" s="3"/>
      <c r="BD94" s="3"/>
      <c r="BE94" s="3"/>
      <c r="BG94" s="13"/>
      <c r="BH94" s="7"/>
      <c r="BI94" s="3"/>
      <c r="BJ94" s="3"/>
      <c r="BK94" s="3"/>
      <c r="BL94" s="3"/>
    </row>
    <row r="95" spans="1:64" x14ac:dyDescent="0.25">
      <c r="A95">
        <v>48</v>
      </c>
      <c r="B95" s="1" t="s">
        <v>100</v>
      </c>
      <c r="C95" s="1" t="s">
        <v>32</v>
      </c>
      <c r="D95" s="2">
        <v>43047</v>
      </c>
      <c r="E95" s="3">
        <v>19.2</v>
      </c>
      <c r="F95" s="4">
        <f t="shared" si="3"/>
        <v>4201.0833858267715</v>
      </c>
      <c r="G95" s="7">
        <v>9.69</v>
      </c>
      <c r="H95" s="7">
        <v>198.83</v>
      </c>
      <c r="I95" s="7">
        <f t="shared" si="13"/>
        <v>189.14000000000001</v>
      </c>
      <c r="J95" s="7">
        <v>177.23</v>
      </c>
      <c r="K95" s="5">
        <f t="shared" si="4"/>
        <v>6.2969229142434298</v>
      </c>
      <c r="L95" s="4">
        <f t="shared" si="5"/>
        <v>3936.5444034581719</v>
      </c>
      <c r="M95" s="2">
        <v>43054</v>
      </c>
      <c r="N95" s="7">
        <v>8.16</v>
      </c>
      <c r="O95" s="7">
        <v>3.12</v>
      </c>
      <c r="P95" s="7">
        <v>5.6</v>
      </c>
      <c r="Q95" s="6">
        <f t="shared" si="89"/>
        <v>0.37</v>
      </c>
      <c r="R95" s="6">
        <f t="shared" si="90"/>
        <v>0.49</v>
      </c>
      <c r="S95" s="6">
        <f t="shared" si="6"/>
        <v>0.14000000000000001</v>
      </c>
      <c r="T95" s="4">
        <f t="shared" si="7"/>
        <v>1554.4008527559054</v>
      </c>
      <c r="U95" s="4">
        <f t="shared" si="8"/>
        <v>2058.5308590551181</v>
      </c>
      <c r="V95" s="4">
        <f t="shared" si="9"/>
        <v>3612.9317118110234</v>
      </c>
      <c r="W95" s="4">
        <f t="shared" si="10"/>
        <v>1456.5214292795235</v>
      </c>
      <c r="X95" s="4">
        <f t="shared" si="11"/>
        <v>1928.9067576945042</v>
      </c>
      <c r="Y95" s="4">
        <f t="shared" si="12"/>
        <v>3385.428186974028</v>
      </c>
      <c r="Z95" s="10"/>
      <c r="AA95" s="12"/>
      <c r="AB95" s="5"/>
      <c r="AC95" s="4"/>
      <c r="AD95" s="4"/>
      <c r="AE95" s="4"/>
      <c r="AF95" s="4"/>
      <c r="AK95" s="3"/>
      <c r="AL95" s="3"/>
      <c r="AM95" s="7"/>
      <c r="AN95" s="7"/>
      <c r="AO95" s="7"/>
      <c r="AP95" s="7"/>
      <c r="AQ95" s="7"/>
      <c r="AR95" s="3"/>
      <c r="AS95" s="3"/>
      <c r="AT95" s="7"/>
      <c r="AU95" s="7"/>
      <c r="AV95" s="7"/>
      <c r="AW95" s="9"/>
      <c r="AX95" s="9"/>
      <c r="AY95" s="9"/>
      <c r="AZ95" s="3"/>
      <c r="BA95" s="3"/>
      <c r="BB95" s="3"/>
      <c r="BC95" s="3"/>
      <c r="BD95" s="3"/>
      <c r="BE95" s="3"/>
      <c r="BG95" s="13"/>
      <c r="BH95" s="7"/>
      <c r="BI95" s="3"/>
      <c r="BJ95" s="3"/>
      <c r="BK95" s="3"/>
      <c r="BL95" s="3"/>
    </row>
    <row r="96" spans="1:64" x14ac:dyDescent="0.25">
      <c r="A96">
        <v>49</v>
      </c>
      <c r="B96" s="1" t="s">
        <v>101</v>
      </c>
      <c r="C96" s="1" t="s">
        <v>32</v>
      </c>
      <c r="D96" s="2">
        <v>43047</v>
      </c>
      <c r="E96" s="3">
        <v>23.4</v>
      </c>
      <c r="F96" s="4">
        <f t="shared" si="3"/>
        <v>5138.6259055118107</v>
      </c>
      <c r="G96" s="7">
        <v>9.68</v>
      </c>
      <c r="H96" s="7">
        <v>181.81</v>
      </c>
      <c r="I96" s="7">
        <f t="shared" si="13"/>
        <v>172.13</v>
      </c>
      <c r="J96" s="7">
        <v>161.22999999999999</v>
      </c>
      <c r="K96" s="5">
        <f t="shared" si="4"/>
        <v>6.3324231685354126</v>
      </c>
      <c r="L96" s="4">
        <f t="shared" si="5"/>
        <v>4813.2263681268178</v>
      </c>
      <c r="M96" s="2">
        <v>43054</v>
      </c>
      <c r="N96" s="7">
        <v>10.19</v>
      </c>
      <c r="O96" s="7">
        <v>3.78</v>
      </c>
      <c r="P96" s="7">
        <v>6.56</v>
      </c>
      <c r="Q96" s="6">
        <f t="shared" si="89"/>
        <v>0.3609172482552343</v>
      </c>
      <c r="R96" s="6">
        <f t="shared" si="90"/>
        <v>0.48654037886340978</v>
      </c>
      <c r="S96" s="6">
        <f t="shared" si="6"/>
        <v>0.15254237288135591</v>
      </c>
      <c r="T96" s="4">
        <f t="shared" si="7"/>
        <v>1854.6187216303845</v>
      </c>
      <c r="U96" s="4">
        <f t="shared" si="8"/>
        <v>2500.1489949050488</v>
      </c>
      <c r="V96" s="4">
        <f t="shared" si="9"/>
        <v>4354.7677165354335</v>
      </c>
      <c r="W96" s="4">
        <f t="shared" si="10"/>
        <v>1737.1764160138664</v>
      </c>
      <c r="X96" s="4">
        <f t="shared" si="11"/>
        <v>2341.8289807037759</v>
      </c>
      <c r="Y96" s="4">
        <f t="shared" si="12"/>
        <v>4079.0053967176423</v>
      </c>
      <c r="Z96" s="10"/>
      <c r="AA96" s="12"/>
      <c r="AB96" s="5"/>
      <c r="AC96" s="4"/>
      <c r="AD96" s="4"/>
      <c r="AE96" s="4"/>
      <c r="AF96" s="4"/>
      <c r="AH96" t="s">
        <v>263</v>
      </c>
      <c r="AI96" t="str">
        <f>C96</f>
        <v>Machine</v>
      </c>
      <c r="AJ96" s="8">
        <f>D96</f>
        <v>43047</v>
      </c>
      <c r="AK96" s="3">
        <f>SUM(E96:E98)</f>
        <v>69.300000000000011</v>
      </c>
      <c r="AL96" s="3">
        <f>(AK96-3*$A$35)*$A$36/(3*$A$37)*$A$38</f>
        <v>5071.6585826771652</v>
      </c>
      <c r="AM96" s="7">
        <f>SUM(G96:G98)</f>
        <v>29.08</v>
      </c>
      <c r="AN96" s="7">
        <f>SUM(H96:H98)</f>
        <v>564.53</v>
      </c>
      <c r="AO96" s="7">
        <f>AN96-AM96</f>
        <v>535.44999999999993</v>
      </c>
      <c r="AP96" s="7">
        <f>SUM(J96:J98)</f>
        <v>500.5</v>
      </c>
      <c r="AQ96" s="7">
        <f>(AO96-AP96)/AO96*100</f>
        <v>6.5272200952469772</v>
      </c>
      <c r="AR96" s="3">
        <f>AL96*(1-AQ96/100)</f>
        <v>4740.6202645063431</v>
      </c>
      <c r="AS96" s="11">
        <f>M96</f>
        <v>43054</v>
      </c>
      <c r="AT96" s="7">
        <f>SUM(N96:N98)</f>
        <v>30.07</v>
      </c>
      <c r="AU96" s="7">
        <f>SUM(O96:O98)</f>
        <v>10.96</v>
      </c>
      <c r="AV96" s="7">
        <f>SUM(P96:P98)</f>
        <v>19.5</v>
      </c>
      <c r="AW96" s="9">
        <f>(AU96-3*$A$39)/(AT96-3*$A$39)</f>
        <v>0.35417370733355863</v>
      </c>
      <c r="AX96" s="9">
        <f>(AV96-3*$A$40)/(AT96-3*$A$39)</f>
        <v>0.48867860763771548</v>
      </c>
      <c r="AY96" s="9">
        <f>1-AW96-AX96</f>
        <v>0.15714768502872584</v>
      </c>
      <c r="AZ96" s="3">
        <f>AL96*AW96</f>
        <v>1796.2481225568331</v>
      </c>
      <c r="BA96" s="3">
        <f>AL96*AX96</f>
        <v>2478.4110545965468</v>
      </c>
      <c r="BB96" s="3">
        <f>AZ96+BA96</f>
        <v>4274.6591771533804</v>
      </c>
      <c r="BC96" s="3">
        <f>AR96*AW96</f>
        <v>1679.0030541408069</v>
      </c>
      <c r="BD96" s="3">
        <f>AR96*AX96</f>
        <v>2316.6397101980983</v>
      </c>
      <c r="BE96" s="3">
        <f>BC96+BD96</f>
        <v>3995.6427643389052</v>
      </c>
      <c r="BF96" s="11">
        <f>Z97</f>
        <v>43077</v>
      </c>
      <c r="BG96" s="13">
        <f>AVERAGE(AA96:AA98)</f>
        <v>41</v>
      </c>
      <c r="BH96" s="7">
        <f t="shared" ref="BH96" si="91">AVERAGE(AB96:AB98)</f>
        <v>1.18</v>
      </c>
      <c r="BI96" s="3">
        <f t="shared" ref="BI96" si="92">AVERAGE(AC96:AC98)</f>
        <v>81.099999999999994</v>
      </c>
      <c r="BJ96" s="3">
        <f t="shared" ref="BJ96" si="93">AVERAGE(AD96:AD98)</f>
        <v>34</v>
      </c>
      <c r="BK96" s="3">
        <f t="shared" ref="BK96" si="94">AVERAGE(AE96:AE98)</f>
        <v>6.1</v>
      </c>
      <c r="BL96" s="3">
        <f t="shared" ref="BL96" si="95">AVERAGE(AF96:AF98)</f>
        <v>8.6999999999999993</v>
      </c>
    </row>
    <row r="97" spans="1:64" x14ac:dyDescent="0.25">
      <c r="A97">
        <v>50</v>
      </c>
      <c r="B97" s="1" t="s">
        <v>102</v>
      </c>
      <c r="C97" s="1" t="s">
        <v>32</v>
      </c>
      <c r="D97" s="2">
        <v>43047</v>
      </c>
      <c r="E97" s="3">
        <v>22.8</v>
      </c>
      <c r="F97" s="4">
        <f t="shared" si="3"/>
        <v>5004.6912598425197</v>
      </c>
      <c r="G97" s="7">
        <v>9.7200000000000006</v>
      </c>
      <c r="H97" s="7">
        <v>202.02</v>
      </c>
      <c r="I97" s="7">
        <f t="shared" si="13"/>
        <v>192.3</v>
      </c>
      <c r="J97" s="7">
        <v>180.06</v>
      </c>
      <c r="K97" s="5">
        <f t="shared" si="4"/>
        <v>6.3650546021840917</v>
      </c>
      <c r="L97" s="4">
        <f t="shared" si="5"/>
        <v>4686.1399284828085</v>
      </c>
      <c r="M97" s="2">
        <v>43054</v>
      </c>
      <c r="N97" s="7">
        <v>9.89</v>
      </c>
      <c r="O97" s="7">
        <v>3.54</v>
      </c>
      <c r="P97" s="7">
        <v>6.5</v>
      </c>
      <c r="Q97" s="6">
        <f t="shared" si="89"/>
        <v>0.34737923946557037</v>
      </c>
      <c r="R97" s="6">
        <f t="shared" si="90"/>
        <v>0.49537512846865367</v>
      </c>
      <c r="S97" s="6">
        <f t="shared" si="6"/>
        <v>0.15724563206577596</v>
      </c>
      <c r="T97" s="4">
        <f t="shared" si="7"/>
        <v>1738.5258436040817</v>
      </c>
      <c r="U97" s="4">
        <f t="shared" si="8"/>
        <v>2479.1995757904365</v>
      </c>
      <c r="V97" s="4">
        <f t="shared" si="9"/>
        <v>4217.7254193945182</v>
      </c>
      <c r="W97" s="4">
        <f t="shared" si="10"/>
        <v>1627.8677243856002</v>
      </c>
      <c r="X97" s="4">
        <f t="shared" si="11"/>
        <v>2321.397169094259</v>
      </c>
      <c r="Y97" s="4">
        <f t="shared" si="12"/>
        <v>3949.264893479859</v>
      </c>
      <c r="Z97" s="10">
        <v>43077</v>
      </c>
      <c r="AA97" s="12">
        <v>41</v>
      </c>
      <c r="AB97" s="5">
        <v>1.18</v>
      </c>
      <c r="AC97" s="4">
        <v>81.099999999999994</v>
      </c>
      <c r="AD97" s="4">
        <v>34</v>
      </c>
      <c r="AE97" s="4">
        <v>6.1</v>
      </c>
      <c r="AF97" s="4">
        <v>8.6999999999999993</v>
      </c>
      <c r="AK97" s="3"/>
      <c r="AL97" s="3"/>
      <c r="AM97" s="7"/>
      <c r="AN97" s="7"/>
      <c r="AO97" s="7"/>
      <c r="AP97" s="7"/>
      <c r="AQ97" s="7"/>
      <c r="AR97" s="3"/>
      <c r="AS97" s="3"/>
      <c r="AT97" s="7"/>
      <c r="AU97" s="7"/>
      <c r="AV97" s="7"/>
      <c r="AW97" s="9"/>
      <c r="AX97" s="9"/>
      <c r="AY97" s="9"/>
      <c r="AZ97" s="3"/>
      <c r="BA97" s="3"/>
      <c r="BB97" s="3"/>
      <c r="BC97" s="3"/>
      <c r="BD97" s="3"/>
      <c r="BE97" s="3"/>
      <c r="BG97" s="13"/>
      <c r="BH97" s="7"/>
      <c r="BI97" s="3"/>
      <c r="BJ97" s="3"/>
      <c r="BK97" s="3"/>
      <c r="BL97" s="3"/>
    </row>
    <row r="98" spans="1:64" x14ac:dyDescent="0.25">
      <c r="A98">
        <v>51</v>
      </c>
      <c r="B98" s="1" t="s">
        <v>103</v>
      </c>
      <c r="C98" s="1" t="s">
        <v>32</v>
      </c>
      <c r="D98" s="2">
        <v>43047</v>
      </c>
      <c r="E98" s="3">
        <v>23.1</v>
      </c>
      <c r="F98" s="4">
        <f t="shared" si="3"/>
        <v>5071.6585826771661</v>
      </c>
      <c r="G98" s="7">
        <v>9.68</v>
      </c>
      <c r="H98" s="7">
        <v>180.7</v>
      </c>
      <c r="I98" s="7">
        <f t="shared" si="13"/>
        <v>171.01999999999998</v>
      </c>
      <c r="J98" s="7">
        <v>159.21</v>
      </c>
      <c r="K98" s="5">
        <f t="shared" si="4"/>
        <v>6.9056250730908513</v>
      </c>
      <c r="L98" s="4">
        <f t="shared" si="5"/>
        <v>4721.4288559702482</v>
      </c>
      <c r="M98" s="2">
        <v>43054</v>
      </c>
      <c r="N98" s="7">
        <v>9.99</v>
      </c>
      <c r="O98" s="7">
        <v>3.64</v>
      </c>
      <c r="P98" s="7">
        <v>6.44</v>
      </c>
      <c r="Q98" s="6">
        <f t="shared" si="89"/>
        <v>0.35401831129196337</v>
      </c>
      <c r="R98" s="6">
        <f t="shared" si="90"/>
        <v>0.48423194303153616</v>
      </c>
      <c r="S98" s="6">
        <f t="shared" si="6"/>
        <v>0.16174974567650047</v>
      </c>
      <c r="T98" s="4">
        <f t="shared" si="7"/>
        <v>1795.4600068887628</v>
      </c>
      <c r="U98" s="4">
        <f t="shared" si="8"/>
        <v>2455.8590898823309</v>
      </c>
      <c r="V98" s="4">
        <f t="shared" si="9"/>
        <v>4251.3190967710934</v>
      </c>
      <c r="W98" s="4">
        <f t="shared" si="10"/>
        <v>1671.4722704757337</v>
      </c>
      <c r="X98" s="4">
        <f t="shared" si="11"/>
        <v>2286.266668811636</v>
      </c>
      <c r="Y98" s="4">
        <f t="shared" si="12"/>
        <v>3957.7389392873697</v>
      </c>
      <c r="Z98" s="10"/>
      <c r="AA98" s="12"/>
      <c r="AB98" s="5"/>
      <c r="AC98" s="4"/>
      <c r="AD98" s="4"/>
      <c r="AE98" s="4"/>
      <c r="AF98" s="4"/>
      <c r="AK98" s="3"/>
      <c r="AL98" s="3"/>
      <c r="AM98" s="7"/>
      <c r="AN98" s="7"/>
      <c r="AO98" s="7"/>
      <c r="AP98" s="7"/>
      <c r="AQ98" s="7"/>
      <c r="AR98" s="3"/>
      <c r="AS98" s="3"/>
      <c r="AT98" s="7"/>
      <c r="AU98" s="7"/>
      <c r="AV98" s="7"/>
      <c r="AW98" s="9"/>
      <c r="AX98" s="9"/>
      <c r="AY98" s="9"/>
      <c r="AZ98" s="3"/>
      <c r="BA98" s="3"/>
      <c r="BB98" s="3"/>
      <c r="BC98" s="3"/>
      <c r="BD98" s="3"/>
      <c r="BE98" s="3"/>
      <c r="BG98" s="13"/>
      <c r="BH98" s="7"/>
      <c r="BI98" s="3"/>
      <c r="BJ98" s="3"/>
      <c r="BK98" s="3"/>
      <c r="BL98" s="3"/>
    </row>
    <row r="99" spans="1:64" x14ac:dyDescent="0.25">
      <c r="A99">
        <v>52</v>
      </c>
      <c r="B99" s="1" t="s">
        <v>104</v>
      </c>
      <c r="C99" s="1" t="s">
        <v>32</v>
      </c>
      <c r="D99" s="2">
        <v>43047</v>
      </c>
      <c r="E99" s="3">
        <v>21</v>
      </c>
      <c r="F99" s="4">
        <f t="shared" si="3"/>
        <v>4602.8873228346465</v>
      </c>
      <c r="G99" s="7">
        <v>9.68</v>
      </c>
      <c r="H99" s="7">
        <v>231.4</v>
      </c>
      <c r="I99" s="7">
        <f t="shared" si="13"/>
        <v>221.72</v>
      </c>
      <c r="J99" s="7">
        <v>206.72</v>
      </c>
      <c r="K99" s="5">
        <f t="shared" si="4"/>
        <v>6.7652895543929281</v>
      </c>
      <c r="L99" s="4">
        <f t="shared" si="5"/>
        <v>4291.4886675824382</v>
      </c>
      <c r="M99" s="2">
        <v>43054</v>
      </c>
      <c r="N99" s="7">
        <v>9</v>
      </c>
      <c r="O99" s="7">
        <v>3.26</v>
      </c>
      <c r="P99" s="7">
        <v>5.88</v>
      </c>
      <c r="Q99" s="6">
        <f t="shared" si="89"/>
        <v>0.35067873303167418</v>
      </c>
      <c r="R99" s="6">
        <f t="shared" si="90"/>
        <v>0.47511312217194573</v>
      </c>
      <c r="S99" s="6">
        <f t="shared" si="6"/>
        <v>0.17420814479638008</v>
      </c>
      <c r="T99" s="4">
        <f t="shared" si="7"/>
        <v>1614.1346946592084</v>
      </c>
      <c r="U99" s="4">
        <f t="shared" si="8"/>
        <v>2186.8921669576375</v>
      </c>
      <c r="V99" s="4">
        <f t="shared" si="9"/>
        <v>3801.026861616846</v>
      </c>
      <c r="W99" s="4">
        <f t="shared" si="10"/>
        <v>1504.9338087675969</v>
      </c>
      <c r="X99" s="4">
        <f t="shared" si="11"/>
        <v>2038.9425796206156</v>
      </c>
      <c r="Y99" s="4">
        <f t="shared" si="12"/>
        <v>3543.8763883882125</v>
      </c>
      <c r="Z99" s="10"/>
      <c r="AA99" s="12"/>
      <c r="AB99" s="5"/>
      <c r="AC99" s="4"/>
      <c r="AD99" s="4"/>
      <c r="AE99" s="4"/>
      <c r="AF99" s="4"/>
      <c r="AH99" t="s">
        <v>264</v>
      </c>
      <c r="AI99" t="s">
        <v>32</v>
      </c>
      <c r="AJ99" s="8">
        <f>D99</f>
        <v>43047</v>
      </c>
      <c r="AK99" s="3">
        <f>SUM(E99:E101)</f>
        <v>69</v>
      </c>
      <c r="AL99" s="3">
        <f>(AK99-3*$A$35)*$A$36/(3*$A$37)*$A$38</f>
        <v>5049.3361417322831</v>
      </c>
      <c r="AM99" s="7">
        <f>SUM(G99:G101)</f>
        <v>29.01</v>
      </c>
      <c r="AN99" s="7">
        <f>SUM(H99:H101)</f>
        <v>526.33000000000004</v>
      </c>
      <c r="AO99" s="7">
        <f>AN99-AM99</f>
        <v>497.32000000000005</v>
      </c>
      <c r="AP99" s="7">
        <f>SUM(J99:J101)</f>
        <v>463.21999999999997</v>
      </c>
      <c r="AQ99" s="7">
        <f>(AO99-AP99)/AO99*100</f>
        <v>6.8567521917477841</v>
      </c>
      <c r="AR99" s="3">
        <f>AL99*(1-AQ99/100)</f>
        <v>4703.1156751653416</v>
      </c>
      <c r="AS99" s="11">
        <f>M99</f>
        <v>43054</v>
      </c>
      <c r="AT99" s="7">
        <f>SUM(N99:N101)</f>
        <v>30.110000000000003</v>
      </c>
      <c r="AU99" s="7">
        <f>SUM(O99:O101)</f>
        <v>11.1</v>
      </c>
      <c r="AV99" s="7">
        <f>SUM(P99:P101)</f>
        <v>19.34</v>
      </c>
      <c r="AW99" s="9">
        <f>(AU99-3*$A$39)/(AT99-3*$A$39)</f>
        <v>0.35842051974350314</v>
      </c>
      <c r="AX99" s="9">
        <f>(AV99-3*$A$40)/(AT99-3*$A$39)</f>
        <v>0.4826189672629092</v>
      </c>
      <c r="AY99" s="9">
        <f>1-AW99-AX99</f>
        <v>0.15896051299358771</v>
      </c>
      <c r="AZ99" s="3">
        <f>AL99*AW99</f>
        <v>1809.7856842793396</v>
      </c>
      <c r="BA99" s="3">
        <f>AL99*AX99</f>
        <v>2436.9053940861172</v>
      </c>
      <c r="BB99" s="3">
        <f>AZ99+BA99</f>
        <v>4246.6910783654566</v>
      </c>
      <c r="BC99" s="3">
        <f>AR99*AW99</f>
        <v>1685.6931647065785</v>
      </c>
      <c r="BD99" s="3">
        <f>AR99*AX99</f>
        <v>2269.812830066297</v>
      </c>
      <c r="BE99" s="3">
        <f>BC99+BD99</f>
        <v>3955.5059947728755</v>
      </c>
      <c r="BF99" s="11">
        <f>Z100</f>
        <v>43077</v>
      </c>
      <c r="BG99" s="13">
        <f>AVERAGE(AA99:AA101)</f>
        <v>47</v>
      </c>
      <c r="BH99" s="7">
        <f t="shared" ref="BH99" si="96">AVERAGE(AB99:AB101)</f>
        <v>1.1599999999999999</v>
      </c>
      <c r="BI99" s="3">
        <f t="shared" ref="BI99" si="97">AVERAGE(AC99:AC101)</f>
        <v>81.400000000000006</v>
      </c>
      <c r="BJ99" s="3">
        <f t="shared" ref="BJ99" si="98">AVERAGE(AD99:AD101)</f>
        <v>31.6</v>
      </c>
      <c r="BK99" s="3">
        <f t="shared" ref="BK99" si="99">AVERAGE(AE99:AE101)</f>
        <v>5.8</v>
      </c>
      <c r="BL99" s="3">
        <f t="shared" ref="BL99" si="100">AVERAGE(AF99:AF101)</f>
        <v>9.1</v>
      </c>
    </row>
    <row r="100" spans="1:64" x14ac:dyDescent="0.25">
      <c r="A100">
        <v>53</v>
      </c>
      <c r="B100" s="1" t="s">
        <v>105</v>
      </c>
      <c r="C100" s="1" t="s">
        <v>32</v>
      </c>
      <c r="D100" s="2">
        <v>43047</v>
      </c>
      <c r="E100" s="3">
        <v>23.5</v>
      </c>
      <c r="F100" s="4">
        <f t="shared" si="3"/>
        <v>5160.9483464566929</v>
      </c>
      <c r="G100" s="7">
        <v>9.67</v>
      </c>
      <c r="H100" s="7">
        <v>141.69999999999999</v>
      </c>
      <c r="I100" s="7">
        <f t="shared" si="13"/>
        <v>132.03</v>
      </c>
      <c r="J100" s="7">
        <v>122.36</v>
      </c>
      <c r="K100" s="5">
        <f t="shared" si="4"/>
        <v>7.3240930091645851</v>
      </c>
      <c r="L100" s="4">
        <f t="shared" si="5"/>
        <v>4782.955689407263</v>
      </c>
      <c r="M100" s="2">
        <v>43054</v>
      </c>
      <c r="N100" s="7">
        <v>10.31</v>
      </c>
      <c r="O100" s="7">
        <v>3.9</v>
      </c>
      <c r="P100" s="7">
        <v>6.62</v>
      </c>
      <c r="Q100" s="6">
        <f t="shared" si="89"/>
        <v>0.36847290640394087</v>
      </c>
      <c r="R100" s="6">
        <f t="shared" si="90"/>
        <v>0.48669950738916257</v>
      </c>
      <c r="S100" s="6">
        <f t="shared" si="6"/>
        <v>0.14482758620689651</v>
      </c>
      <c r="T100" s="4">
        <f t="shared" si="7"/>
        <v>1901.6696370195104</v>
      </c>
      <c r="U100" s="4">
        <f t="shared" si="8"/>
        <v>2511.8310178813854</v>
      </c>
      <c r="V100" s="4">
        <f t="shared" si="9"/>
        <v>4413.5006549008958</v>
      </c>
      <c r="W100" s="4">
        <f t="shared" si="10"/>
        <v>1762.3895840771588</v>
      </c>
      <c r="X100" s="4">
        <f t="shared" si="11"/>
        <v>2327.8621778987072</v>
      </c>
      <c r="Y100" s="4">
        <f t="shared" si="12"/>
        <v>4090.251761975866</v>
      </c>
      <c r="Z100" s="10">
        <v>43077</v>
      </c>
      <c r="AA100" s="12">
        <v>47</v>
      </c>
      <c r="AB100" s="5">
        <v>1.1599999999999999</v>
      </c>
      <c r="AC100" s="4">
        <v>81.400000000000006</v>
      </c>
      <c r="AD100" s="4">
        <v>31.6</v>
      </c>
      <c r="AE100" s="4">
        <v>5.8</v>
      </c>
      <c r="AF100" s="4">
        <v>9.1</v>
      </c>
      <c r="AK100" s="3"/>
      <c r="AL100" s="3"/>
      <c r="AM100" s="7"/>
      <c r="AN100" s="7"/>
      <c r="AO100" s="7"/>
      <c r="AP100" s="7"/>
      <c r="AQ100" s="7"/>
      <c r="AR100" s="3"/>
      <c r="AS100" s="3"/>
      <c r="AT100" s="7"/>
      <c r="AU100" s="7"/>
      <c r="AV100" s="7"/>
      <c r="AW100" s="9"/>
      <c r="AX100" s="9"/>
      <c r="AY100" s="9"/>
      <c r="AZ100" s="3"/>
      <c r="BA100" s="3"/>
      <c r="BB100" s="3"/>
      <c r="BC100" s="3"/>
      <c r="BD100" s="3"/>
      <c r="BE100" s="3"/>
      <c r="BG100" s="13"/>
      <c r="BH100" s="7"/>
      <c r="BI100" s="3"/>
      <c r="BJ100" s="3"/>
      <c r="BK100" s="3"/>
      <c r="BL100" s="3"/>
    </row>
    <row r="101" spans="1:64" x14ac:dyDescent="0.25">
      <c r="A101">
        <v>54</v>
      </c>
      <c r="B101" s="1" t="s">
        <v>106</v>
      </c>
      <c r="C101" s="1" t="s">
        <v>32</v>
      </c>
      <c r="D101" s="2">
        <v>43047</v>
      </c>
      <c r="E101" s="3">
        <v>24.5</v>
      </c>
      <c r="F101" s="4">
        <f t="shared" si="3"/>
        <v>5384.1727559055116</v>
      </c>
      <c r="G101" s="7">
        <v>9.66</v>
      </c>
      <c r="H101" s="7">
        <v>153.22999999999999</v>
      </c>
      <c r="I101" s="7">
        <f t="shared" si="13"/>
        <v>143.57</v>
      </c>
      <c r="J101" s="7">
        <v>134.13999999999999</v>
      </c>
      <c r="K101" s="5">
        <f t="shared" si="4"/>
        <v>6.5682245594483577</v>
      </c>
      <c r="L101" s="4">
        <f t="shared" si="5"/>
        <v>5030.5281986289983</v>
      </c>
      <c r="M101" s="2">
        <v>43054</v>
      </c>
      <c r="N101" s="7">
        <v>10.8</v>
      </c>
      <c r="O101" s="7">
        <v>3.94</v>
      </c>
      <c r="P101" s="7">
        <v>6.84</v>
      </c>
      <c r="Q101" s="6">
        <f t="shared" si="89"/>
        <v>0.35526315789473678</v>
      </c>
      <c r="R101" s="6">
        <f t="shared" si="90"/>
        <v>0.48496240601503759</v>
      </c>
      <c r="S101" s="6">
        <f t="shared" si="6"/>
        <v>0.15977443609022568</v>
      </c>
      <c r="T101" s="4">
        <f t="shared" si="7"/>
        <v>1912.7982159137998</v>
      </c>
      <c r="U101" s="4">
        <f t="shared" si="8"/>
        <v>2611.1213741045526</v>
      </c>
      <c r="V101" s="4">
        <f t="shared" si="9"/>
        <v>4523.9195900183522</v>
      </c>
      <c r="W101" s="4">
        <f t="shared" si="10"/>
        <v>1787.1613337234596</v>
      </c>
      <c r="X101" s="4">
        <f t="shared" si="11"/>
        <v>2439.6170587336119</v>
      </c>
      <c r="Y101" s="4">
        <f t="shared" si="12"/>
        <v>4226.7783924570713</v>
      </c>
      <c r="Z101" s="10"/>
      <c r="AA101" s="12"/>
      <c r="AB101" s="5"/>
      <c r="AC101" s="4"/>
      <c r="AD101" s="4"/>
      <c r="AE101" s="4"/>
      <c r="AF101" s="4"/>
      <c r="AK101" s="3"/>
      <c r="AL101" s="3"/>
      <c r="AM101" s="7"/>
      <c r="AN101" s="7"/>
      <c r="AO101" s="7"/>
      <c r="AP101" s="7"/>
      <c r="AQ101" s="7"/>
      <c r="AR101" s="3"/>
      <c r="AS101" s="3"/>
      <c r="AT101" s="7"/>
      <c r="AU101" s="7"/>
      <c r="AV101" s="7"/>
      <c r="AW101" s="9"/>
      <c r="AX101" s="9"/>
      <c r="AY101" s="9"/>
      <c r="AZ101" s="3"/>
      <c r="BA101" s="3"/>
      <c r="BB101" s="3"/>
      <c r="BC101" s="3"/>
      <c r="BD101" s="3"/>
      <c r="BE101" s="3"/>
      <c r="BG101" s="13"/>
      <c r="BH101" s="7"/>
      <c r="BI101" s="3"/>
      <c r="BJ101" s="3"/>
      <c r="BK101" s="3"/>
      <c r="BL101" s="3"/>
    </row>
    <row r="102" spans="1:64" x14ac:dyDescent="0.25">
      <c r="A102">
        <v>55</v>
      </c>
      <c r="B102" s="1" t="s">
        <v>107</v>
      </c>
      <c r="C102" s="1" t="s">
        <v>32</v>
      </c>
      <c r="D102" s="2">
        <v>43047</v>
      </c>
      <c r="E102" s="3">
        <v>22.8</v>
      </c>
      <c r="F102" s="4">
        <f t="shared" si="3"/>
        <v>5004.6912598425197</v>
      </c>
      <c r="G102" s="7">
        <v>9.6999999999999993</v>
      </c>
      <c r="H102" s="7">
        <v>191.65</v>
      </c>
      <c r="I102" s="7">
        <f t="shared" si="13"/>
        <v>181.95000000000002</v>
      </c>
      <c r="J102" s="7">
        <v>170.58</v>
      </c>
      <c r="K102" s="5">
        <f t="shared" si="4"/>
        <v>6.2489694971145937</v>
      </c>
      <c r="L102" s="4">
        <f t="shared" si="5"/>
        <v>4691.9496295901999</v>
      </c>
      <c r="M102" s="2">
        <v>43054</v>
      </c>
      <c r="N102" s="7">
        <v>9.98</v>
      </c>
      <c r="O102" s="7">
        <v>3.66</v>
      </c>
      <c r="P102" s="7">
        <v>6.4</v>
      </c>
      <c r="Q102" s="6">
        <f t="shared" si="89"/>
        <v>0.35641547861507128</v>
      </c>
      <c r="R102" s="6">
        <f t="shared" si="90"/>
        <v>0.48065173116089616</v>
      </c>
      <c r="S102" s="6">
        <f t="shared" si="6"/>
        <v>0.16293279022403256</v>
      </c>
      <c r="T102" s="4">
        <f t="shared" si="7"/>
        <v>1783.7494306974356</v>
      </c>
      <c r="U102" s="4">
        <f t="shared" si="8"/>
        <v>2405.5135179691133</v>
      </c>
      <c r="V102" s="4">
        <f t="shared" si="9"/>
        <v>4189.2629486665492</v>
      </c>
      <c r="W102" s="4">
        <f t="shared" si="10"/>
        <v>1672.2834728681976</v>
      </c>
      <c r="X102" s="4">
        <f t="shared" si="11"/>
        <v>2255.1937119822551</v>
      </c>
      <c r="Y102" s="4">
        <f t="shared" si="12"/>
        <v>3927.4771848504524</v>
      </c>
      <c r="Z102" s="10"/>
      <c r="AA102" s="12"/>
      <c r="AB102" s="5"/>
      <c r="AC102" s="4"/>
      <c r="AD102" s="4"/>
      <c r="AE102" s="4"/>
      <c r="AF102" s="4"/>
      <c r="AH102" t="s">
        <v>265</v>
      </c>
      <c r="AI102" t="s">
        <v>32</v>
      </c>
      <c r="AJ102" s="8">
        <f>D102</f>
        <v>43047</v>
      </c>
      <c r="AK102" s="3">
        <f>SUM(E102:E104)</f>
        <v>66.7</v>
      </c>
      <c r="AL102" s="3">
        <f>(AK102-3*$A$35)*$A$36/(3*$A$37)*$A$38</f>
        <v>4878.1974278215221</v>
      </c>
      <c r="AM102" s="7">
        <f>SUM(G102:G104)</f>
        <v>29.049999999999997</v>
      </c>
      <c r="AN102" s="7">
        <f>SUM(H102:H104)</f>
        <v>562.19000000000005</v>
      </c>
      <c r="AO102" s="7">
        <f>AN102-AM102</f>
        <v>533.1400000000001</v>
      </c>
      <c r="AP102" s="7">
        <f>SUM(J102:J104)</f>
        <v>498.14</v>
      </c>
      <c r="AQ102" s="7">
        <f>(AO102-AP102)/AO102*100</f>
        <v>6.5648797689162528</v>
      </c>
      <c r="AR102" s="3">
        <f>AL102*(1-AQ102/100)</f>
        <v>4557.9496317946741</v>
      </c>
      <c r="AS102" s="11">
        <f>M102</f>
        <v>43054</v>
      </c>
      <c r="AT102" s="7">
        <f>SUM(N102:N104)</f>
        <v>28.94</v>
      </c>
      <c r="AU102" s="7">
        <f>SUM(O102:O104)</f>
        <v>10.78</v>
      </c>
      <c r="AV102" s="7">
        <f>SUM(P102:P104)</f>
        <v>18.880000000000003</v>
      </c>
      <c r="AW102" s="9">
        <f>(AU102-3*$A$39)/(AT102-3*$A$39)</f>
        <v>0.36191145467322555</v>
      </c>
      <c r="AX102" s="9">
        <f>(AV102-3*$A$40)/(AT102-3*$A$39)</f>
        <v>0.48629655657062554</v>
      </c>
      <c r="AY102" s="9">
        <f>1-AW102-AX102</f>
        <v>0.15179198875614885</v>
      </c>
      <c r="AZ102" s="3">
        <f>AL102*AW102</f>
        <v>1765.4755272860743</v>
      </c>
      <c r="BA102" s="3">
        <f>AL102*AX102</f>
        <v>2372.2506114212888</v>
      </c>
      <c r="BB102" s="3">
        <f>AZ102+BA102</f>
        <v>4137.7261387073631</v>
      </c>
      <c r="BC102" s="3">
        <f>AR102*AW102</f>
        <v>1649.5741815701033</v>
      </c>
      <c r="BD102" s="3">
        <f>AR102*AX102</f>
        <v>2216.5152109641008</v>
      </c>
      <c r="BE102" s="3">
        <f>BC102+BD102</f>
        <v>3866.0893925342043</v>
      </c>
      <c r="BF102" s="11">
        <f>Z103</f>
        <v>43077</v>
      </c>
      <c r="BG102" s="13">
        <f>AVERAGE(AA102:AA104)</f>
        <v>44</v>
      </c>
      <c r="BH102" s="7">
        <f t="shared" ref="BH102" si="101">AVERAGE(AB102:AB104)</f>
        <v>1.1499999999999999</v>
      </c>
      <c r="BI102" s="3">
        <f t="shared" ref="BI102" si="102">AVERAGE(AC102:AC104)</f>
        <v>80.8</v>
      </c>
      <c r="BJ102" s="3">
        <f t="shared" ref="BJ102" si="103">AVERAGE(AD102:AD104)</f>
        <v>32.200000000000003</v>
      </c>
      <c r="BK102" s="3">
        <f t="shared" ref="BK102" si="104">AVERAGE(AE102:AE104)</f>
        <v>6.1</v>
      </c>
      <c r="BL102" s="3">
        <f t="shared" ref="BL102" si="105">AVERAGE(AF102:AF104)</f>
        <v>9.8000000000000007</v>
      </c>
    </row>
    <row r="103" spans="1:64" x14ac:dyDescent="0.25">
      <c r="A103">
        <v>56</v>
      </c>
      <c r="B103" s="1" t="s">
        <v>108</v>
      </c>
      <c r="C103" s="1" t="s">
        <v>32</v>
      </c>
      <c r="D103" s="2">
        <v>43047</v>
      </c>
      <c r="E103" s="3">
        <v>21.3</v>
      </c>
      <c r="F103" s="4">
        <f t="shared" si="3"/>
        <v>4669.854645669292</v>
      </c>
      <c r="G103" s="7">
        <v>9.67</v>
      </c>
      <c r="H103" s="7">
        <v>140.97999999999999</v>
      </c>
      <c r="I103" s="7">
        <f t="shared" si="13"/>
        <v>131.31</v>
      </c>
      <c r="J103" s="7">
        <v>122.32</v>
      </c>
      <c r="K103" s="5">
        <f t="shared" si="4"/>
        <v>6.8463940293960928</v>
      </c>
      <c r="L103" s="4">
        <f t="shared" si="5"/>
        <v>4350.1379960267132</v>
      </c>
      <c r="M103" s="2">
        <v>43054</v>
      </c>
      <c r="N103" s="7">
        <v>9.1199999999999992</v>
      </c>
      <c r="O103" s="7">
        <v>3.52</v>
      </c>
      <c r="P103" s="7">
        <v>6.08</v>
      </c>
      <c r="Q103" s="6">
        <f t="shared" si="89"/>
        <v>0.375</v>
      </c>
      <c r="R103" s="6">
        <f t="shared" si="90"/>
        <v>0.49107142857142866</v>
      </c>
      <c r="S103" s="6">
        <f t="shared" si="6"/>
        <v>0.13392857142857134</v>
      </c>
      <c r="T103" s="4">
        <f t="shared" si="7"/>
        <v>1751.1954921259844</v>
      </c>
      <c r="U103" s="4">
        <f t="shared" si="8"/>
        <v>2293.2321920697418</v>
      </c>
      <c r="V103" s="4">
        <f t="shared" si="9"/>
        <v>4044.4276841957262</v>
      </c>
      <c r="W103" s="4">
        <f t="shared" si="10"/>
        <v>1631.3017485100174</v>
      </c>
      <c r="X103" s="4">
        <f t="shared" si="11"/>
        <v>2136.2284801916899</v>
      </c>
      <c r="Y103" s="4">
        <f t="shared" si="12"/>
        <v>3767.5302287017075</v>
      </c>
      <c r="Z103" s="10">
        <v>43077</v>
      </c>
      <c r="AA103" s="12">
        <v>44</v>
      </c>
      <c r="AB103" s="5">
        <v>1.1499999999999999</v>
      </c>
      <c r="AC103" s="4">
        <v>80.8</v>
      </c>
      <c r="AD103" s="4">
        <v>32.200000000000003</v>
      </c>
      <c r="AE103" s="4">
        <v>6.1</v>
      </c>
      <c r="AF103" s="4">
        <v>9.8000000000000007</v>
      </c>
      <c r="AK103" s="3"/>
      <c r="AL103" s="3"/>
      <c r="AM103" s="7"/>
      <c r="AN103" s="7"/>
      <c r="AO103" s="7"/>
      <c r="AP103" s="7"/>
      <c r="AQ103" s="7"/>
      <c r="AR103" s="3"/>
      <c r="AS103" s="3"/>
      <c r="AT103" s="7"/>
      <c r="AU103" s="7"/>
      <c r="AV103" s="7"/>
      <c r="AW103" s="9"/>
      <c r="AX103" s="9"/>
      <c r="AY103" s="9"/>
      <c r="AZ103" s="3"/>
      <c r="BA103" s="3"/>
      <c r="BB103" s="3"/>
      <c r="BC103" s="3"/>
      <c r="BD103" s="3"/>
      <c r="BE103" s="3"/>
      <c r="BG103" s="13"/>
      <c r="BH103" s="7"/>
      <c r="BI103" s="3"/>
      <c r="BJ103" s="3"/>
      <c r="BK103" s="3"/>
      <c r="BL103" s="3"/>
    </row>
    <row r="104" spans="1:64" x14ac:dyDescent="0.25">
      <c r="A104">
        <v>57</v>
      </c>
      <c r="B104" s="1" t="s">
        <v>109</v>
      </c>
      <c r="C104" s="1" t="s">
        <v>32</v>
      </c>
      <c r="D104" s="2">
        <v>43047</v>
      </c>
      <c r="E104" s="3">
        <v>22.6</v>
      </c>
      <c r="F104" s="4">
        <f t="shared" si="3"/>
        <v>4960.0463779527563</v>
      </c>
      <c r="G104" s="7">
        <v>9.68</v>
      </c>
      <c r="H104" s="7">
        <v>229.56</v>
      </c>
      <c r="I104" s="7">
        <f t="shared" si="13"/>
        <v>219.88</v>
      </c>
      <c r="J104" s="7">
        <v>205.24</v>
      </c>
      <c r="K104" s="5">
        <f t="shared" si="4"/>
        <v>6.6581771875568432</v>
      </c>
      <c r="L104" s="4">
        <f t="shared" si="5"/>
        <v>4629.7977015236665</v>
      </c>
      <c r="M104" s="2">
        <v>43054</v>
      </c>
      <c r="N104" s="7">
        <v>9.84</v>
      </c>
      <c r="O104" s="7">
        <v>3.6</v>
      </c>
      <c r="P104" s="7">
        <v>6.4</v>
      </c>
      <c r="Q104" s="6">
        <f t="shared" si="89"/>
        <v>0.35537190082644626</v>
      </c>
      <c r="R104" s="6">
        <f t="shared" si="90"/>
        <v>0.48760330578512406</v>
      </c>
      <c r="S104" s="6">
        <f t="shared" si="6"/>
        <v>0.15702479338842973</v>
      </c>
      <c r="T104" s="4">
        <f t="shared" si="7"/>
        <v>1762.6611095204009</v>
      </c>
      <c r="U104" s="4">
        <f t="shared" si="8"/>
        <v>2418.5350107372947</v>
      </c>
      <c r="V104" s="4">
        <f t="shared" si="9"/>
        <v>4181.1961202576958</v>
      </c>
      <c r="W104" s="4">
        <f t="shared" si="10"/>
        <v>1645.3000096323774</v>
      </c>
      <c r="X104" s="4">
        <f t="shared" si="11"/>
        <v>2257.5046643793089</v>
      </c>
      <c r="Y104" s="4">
        <f t="shared" si="12"/>
        <v>3902.8046740116861</v>
      </c>
      <c r="Z104" s="10"/>
      <c r="AA104" s="12"/>
      <c r="AB104" s="5"/>
      <c r="AC104" s="4"/>
      <c r="AD104" s="4"/>
      <c r="AE104" s="4"/>
      <c r="AF104" s="4"/>
      <c r="AK104" s="3"/>
      <c r="AL104" s="3"/>
      <c r="AM104" s="7"/>
      <c r="AN104" s="7"/>
      <c r="AO104" s="7"/>
      <c r="AP104" s="7"/>
      <c r="AQ104" s="7"/>
      <c r="AR104" s="3"/>
      <c r="AS104" s="3"/>
      <c r="AT104" s="7"/>
      <c r="AU104" s="7"/>
      <c r="AV104" s="7"/>
      <c r="AW104" s="9"/>
      <c r="AX104" s="9"/>
      <c r="AY104" s="9"/>
      <c r="AZ104" s="3"/>
      <c r="BA104" s="3"/>
      <c r="BB104" s="3"/>
      <c r="BC104" s="3"/>
      <c r="BD104" s="3"/>
      <c r="BE104" s="3"/>
      <c r="BG104" s="13"/>
      <c r="BH104" s="7"/>
      <c r="BI104" s="3"/>
      <c r="BJ104" s="3"/>
      <c r="BK104" s="3"/>
      <c r="BL104" s="3"/>
    </row>
    <row r="105" spans="1:64" x14ac:dyDescent="0.25">
      <c r="A105">
        <v>58</v>
      </c>
      <c r="B105" s="1" t="s">
        <v>110</v>
      </c>
      <c r="C105" s="1" t="s">
        <v>32</v>
      </c>
      <c r="D105" s="2">
        <v>43047</v>
      </c>
      <c r="E105" s="3">
        <v>16.8</v>
      </c>
      <c r="F105" s="4">
        <f t="shared" si="3"/>
        <v>3665.3448031496068</v>
      </c>
      <c r="G105" s="7">
        <v>9.69</v>
      </c>
      <c r="H105" s="7">
        <v>156.58000000000001</v>
      </c>
      <c r="I105" s="7">
        <f t="shared" si="13"/>
        <v>146.89000000000001</v>
      </c>
      <c r="J105" s="7">
        <v>138.06</v>
      </c>
      <c r="K105" s="5">
        <f t="shared" si="4"/>
        <v>6.0113009735176064</v>
      </c>
      <c r="L105" s="4">
        <f t="shared" si="5"/>
        <v>3445.0098953150973</v>
      </c>
      <c r="M105" s="2">
        <v>43054</v>
      </c>
      <c r="N105" s="7">
        <v>7.25</v>
      </c>
      <c r="O105" s="7">
        <v>2.64</v>
      </c>
      <c r="P105" s="7">
        <v>5.0999999999999996</v>
      </c>
      <c r="Q105" s="6">
        <f t="shared" si="89"/>
        <v>0.34978843441466856</v>
      </c>
      <c r="R105" s="6">
        <f t="shared" si="90"/>
        <v>0.48236953455571224</v>
      </c>
      <c r="S105" s="6">
        <f t="shared" si="6"/>
        <v>0.1678420310296192</v>
      </c>
      <c r="T105" s="4">
        <f t="shared" si="7"/>
        <v>1282.0952202836424</v>
      </c>
      <c r="U105" s="4">
        <f t="shared" si="8"/>
        <v>1768.0506666814745</v>
      </c>
      <c r="V105" s="4">
        <f t="shared" si="9"/>
        <v>3050.1458869651169</v>
      </c>
      <c r="W105" s="4">
        <f t="shared" si="10"/>
        <v>1205.0246178253092</v>
      </c>
      <c r="X105" s="4">
        <f t="shared" si="11"/>
        <v>1661.7678197429664</v>
      </c>
      <c r="Y105" s="4">
        <f t="shared" si="12"/>
        <v>2866.7924375682755</v>
      </c>
      <c r="Z105" s="10"/>
      <c r="AA105" s="12"/>
      <c r="AB105" s="5"/>
      <c r="AC105" s="4"/>
      <c r="AD105" s="4"/>
      <c r="AE105" s="4"/>
      <c r="AF105" s="4"/>
      <c r="AH105" t="s">
        <v>266</v>
      </c>
      <c r="AI105" t="s">
        <v>32</v>
      </c>
      <c r="AJ105" s="8">
        <f>D105</f>
        <v>43047</v>
      </c>
      <c r="AK105" s="3">
        <f>SUM(E105:E107)</f>
        <v>46.8</v>
      </c>
      <c r="AL105" s="3">
        <f>(AK105-3*$A$35)*$A$36/(3*$A$37)*$A$38</f>
        <v>3397.4755118110234</v>
      </c>
      <c r="AM105" s="7">
        <f>SUM(G105:G107)</f>
        <v>29.020000000000003</v>
      </c>
      <c r="AN105" s="7">
        <f>SUM(H105:H107)</f>
        <v>603.49</v>
      </c>
      <c r="AO105" s="7">
        <f>AN105-AM105</f>
        <v>574.47</v>
      </c>
      <c r="AP105" s="7">
        <f>SUM(J105:J107)</f>
        <v>537.03</v>
      </c>
      <c r="AQ105" s="7">
        <f>(AO105-AP105)/AO105*100</f>
        <v>6.5173116089613128</v>
      </c>
      <c r="AR105" s="3">
        <f>AL105*(1-AQ105/100)</f>
        <v>3176.0514458681455</v>
      </c>
      <c r="AS105" s="11">
        <f>M105</f>
        <v>43054</v>
      </c>
      <c r="AT105" s="7">
        <f>SUM(N105:N107)</f>
        <v>20</v>
      </c>
      <c r="AU105" s="7">
        <f>SUM(O105:O107)</f>
        <v>7.4600000000000009</v>
      </c>
      <c r="AV105" s="7">
        <f>SUM(P105:P107)</f>
        <v>14.66</v>
      </c>
      <c r="AW105" s="9">
        <f>(AU105-3*$A$39)/(AT105-3*$A$39)</f>
        <v>0.3575819672131148</v>
      </c>
      <c r="AX105" s="9">
        <f>(AV105-3*$A$40)/(AT105-3*$A$39)</f>
        <v>0.49282786885245911</v>
      </c>
      <c r="AY105" s="9">
        <f>1-AW105-AX105</f>
        <v>0.14959016393442603</v>
      </c>
      <c r="AZ105" s="3">
        <f>AL105*AW105</f>
        <v>1214.8759770717697</v>
      </c>
      <c r="BA105" s="3">
        <f>AL105*AX105</f>
        <v>1674.3706159642445</v>
      </c>
      <c r="BB105" s="3">
        <f>AZ105+BA105</f>
        <v>2889.246593036014</v>
      </c>
      <c r="BC105" s="3">
        <f>AR105*AW105</f>
        <v>1135.6987239835892</v>
      </c>
      <c r="BD105" s="3">
        <f>AR105*AX105</f>
        <v>1565.2466654329696</v>
      </c>
      <c r="BE105" s="3">
        <f>BC105+BD105</f>
        <v>2700.945389416559</v>
      </c>
      <c r="BF105" s="11">
        <f>Z106</f>
        <v>43077</v>
      </c>
      <c r="BG105" s="13">
        <f>AVERAGE(AA105:AA107)</f>
        <v>42</v>
      </c>
      <c r="BH105" s="7">
        <f t="shared" ref="BH105" si="106">AVERAGE(AB105:AB107)</f>
        <v>1.1100000000000001</v>
      </c>
      <c r="BI105" s="3">
        <f t="shared" ref="BI105" si="107">AVERAGE(AC105:AC107)</f>
        <v>80.900000000000006</v>
      </c>
      <c r="BJ105" s="3">
        <f t="shared" ref="BJ105" si="108">AVERAGE(AD105:AD107)</f>
        <v>30.2</v>
      </c>
      <c r="BK105" s="3">
        <f t="shared" ref="BK105" si="109">AVERAGE(AE105:AE107)</f>
        <v>5.8</v>
      </c>
      <c r="BL105" s="3">
        <f t="shared" ref="BL105" si="110">AVERAGE(AF105:AF107)</f>
        <v>9.5</v>
      </c>
    </row>
    <row r="106" spans="1:64" x14ac:dyDescent="0.25">
      <c r="A106">
        <v>59</v>
      </c>
      <c r="B106" s="1" t="s">
        <v>111</v>
      </c>
      <c r="C106" s="1" t="s">
        <v>32</v>
      </c>
      <c r="D106" s="2">
        <v>43047</v>
      </c>
      <c r="E106" s="3">
        <v>14.2</v>
      </c>
      <c r="F106" s="4">
        <f t="shared" si="3"/>
        <v>3084.9613385826769</v>
      </c>
      <c r="G106" s="7">
        <v>9.66</v>
      </c>
      <c r="H106" s="7">
        <v>203.44</v>
      </c>
      <c r="I106" s="7">
        <f t="shared" si="13"/>
        <v>193.78</v>
      </c>
      <c r="J106" s="7">
        <v>180.11</v>
      </c>
      <c r="K106" s="5">
        <f t="shared" si="4"/>
        <v>7.0543915780782269</v>
      </c>
      <c r="L106" s="4">
        <f t="shared" si="5"/>
        <v>2867.3360857267312</v>
      </c>
      <c r="M106" s="2">
        <v>43054</v>
      </c>
      <c r="N106" s="7">
        <v>6.08</v>
      </c>
      <c r="O106" s="7">
        <v>2.2599999999999998</v>
      </c>
      <c r="P106" s="7">
        <v>4.5999999999999996</v>
      </c>
      <c r="Q106" s="6">
        <f t="shared" si="89"/>
        <v>0.35472972972972966</v>
      </c>
      <c r="R106" s="6">
        <f t="shared" si="90"/>
        <v>0.49324324324324326</v>
      </c>
      <c r="S106" s="6">
        <f t="shared" si="6"/>
        <v>0.15202702702702714</v>
      </c>
      <c r="T106" s="4">
        <f t="shared" si="7"/>
        <v>1094.327501862098</v>
      </c>
      <c r="U106" s="4">
        <f t="shared" si="8"/>
        <v>1521.6363359225365</v>
      </c>
      <c r="V106" s="4">
        <f t="shared" si="9"/>
        <v>2615.9638377846345</v>
      </c>
      <c r="W106" s="4">
        <f t="shared" si="10"/>
        <v>1017.1293547341443</v>
      </c>
      <c r="X106" s="4">
        <f t="shared" si="11"/>
        <v>1414.2941503922391</v>
      </c>
      <c r="Y106" s="4">
        <f t="shared" si="12"/>
        <v>2431.4235051263831</v>
      </c>
      <c r="Z106" s="10">
        <v>43077</v>
      </c>
      <c r="AA106" s="12">
        <v>42</v>
      </c>
      <c r="AB106" s="5">
        <v>1.1100000000000001</v>
      </c>
      <c r="AC106" s="4">
        <v>80.900000000000006</v>
      </c>
      <c r="AD106" s="4">
        <v>30.2</v>
      </c>
      <c r="AE106" s="4">
        <v>5.8</v>
      </c>
      <c r="AF106" s="4">
        <v>9.5</v>
      </c>
      <c r="AK106" s="3"/>
      <c r="AL106" s="3"/>
      <c r="AM106" s="7"/>
      <c r="AN106" s="7"/>
      <c r="AO106" s="7"/>
      <c r="AP106" s="7"/>
      <c r="AQ106" s="7"/>
      <c r="AR106" s="3"/>
      <c r="AS106" s="3"/>
      <c r="AT106" s="7"/>
      <c r="AU106" s="7"/>
      <c r="AV106" s="7"/>
      <c r="AW106" s="9"/>
      <c r="AX106" s="9"/>
      <c r="AY106" s="9"/>
      <c r="AZ106" s="3"/>
      <c r="BA106" s="3"/>
      <c r="BB106" s="3"/>
      <c r="BC106" s="3"/>
      <c r="BD106" s="3"/>
      <c r="BE106" s="3"/>
      <c r="BG106" s="13"/>
      <c r="BH106" s="7"/>
      <c r="BI106" s="3"/>
      <c r="BJ106" s="3"/>
      <c r="BK106" s="3"/>
      <c r="BL106" s="3"/>
    </row>
    <row r="107" spans="1:64" x14ac:dyDescent="0.25">
      <c r="A107">
        <v>60</v>
      </c>
      <c r="B107" s="1" t="s">
        <v>112</v>
      </c>
      <c r="C107" s="1" t="s">
        <v>32</v>
      </c>
      <c r="D107" s="2">
        <v>43047</v>
      </c>
      <c r="E107" s="3">
        <v>15.8</v>
      </c>
      <c r="F107" s="4">
        <f t="shared" si="3"/>
        <v>3442.1203937007872</v>
      </c>
      <c r="G107" s="7">
        <v>9.67</v>
      </c>
      <c r="H107" s="7">
        <v>243.47</v>
      </c>
      <c r="I107" s="7">
        <f t="shared" si="13"/>
        <v>233.8</v>
      </c>
      <c r="J107" s="7">
        <v>218.86</v>
      </c>
      <c r="K107" s="5">
        <f t="shared" si="4"/>
        <v>6.3900769888793825</v>
      </c>
      <c r="L107" s="4">
        <f t="shared" si="5"/>
        <v>3222.1662504933888</v>
      </c>
      <c r="M107" s="2">
        <v>43054</v>
      </c>
      <c r="N107" s="7">
        <v>6.67</v>
      </c>
      <c r="O107" s="7">
        <v>2.56</v>
      </c>
      <c r="P107" s="7">
        <v>4.96</v>
      </c>
      <c r="Q107" s="6">
        <f t="shared" si="89"/>
        <v>0.3686635944700461</v>
      </c>
      <c r="R107" s="6">
        <f t="shared" si="90"/>
        <v>0.50384024577572972</v>
      </c>
      <c r="S107" s="6">
        <f t="shared" si="6"/>
        <v>0.12749615975422424</v>
      </c>
      <c r="T107" s="4">
        <f t="shared" si="7"/>
        <v>1268.9844769403824</v>
      </c>
      <c r="U107" s="4">
        <f t="shared" si="8"/>
        <v>1734.2787851518563</v>
      </c>
      <c r="V107" s="4">
        <f t="shared" si="9"/>
        <v>3003.2632620922386</v>
      </c>
      <c r="W107" s="4">
        <f t="shared" si="10"/>
        <v>1187.8953918869636</v>
      </c>
      <c r="X107" s="4">
        <f t="shared" si="11"/>
        <v>1623.4570355788505</v>
      </c>
      <c r="Y107" s="4">
        <f t="shared" si="12"/>
        <v>2811.3524274658139</v>
      </c>
      <c r="Z107" s="10"/>
      <c r="AA107" s="12"/>
      <c r="AB107" s="5"/>
      <c r="AC107" s="4"/>
      <c r="AD107" s="4"/>
      <c r="AE107" s="4"/>
      <c r="AF107" s="4"/>
      <c r="AK107" s="3"/>
      <c r="AL107" s="3"/>
      <c r="AM107" s="7"/>
      <c r="AN107" s="7"/>
      <c r="AO107" s="7"/>
      <c r="AP107" s="7"/>
      <c r="AQ107" s="7"/>
      <c r="AR107" s="3"/>
      <c r="AS107" s="3"/>
      <c r="AT107" s="7"/>
      <c r="AU107" s="7"/>
      <c r="AV107" s="7"/>
      <c r="AW107" s="9"/>
      <c r="AX107" s="9"/>
      <c r="AY107" s="9"/>
      <c r="AZ107" s="3"/>
      <c r="BA107" s="3"/>
      <c r="BB107" s="3"/>
      <c r="BC107" s="3"/>
      <c r="BD107" s="3"/>
      <c r="BE107" s="3"/>
      <c r="BG107" s="13"/>
      <c r="BH107" s="7"/>
      <c r="BI107" s="3"/>
      <c r="BJ107" s="3"/>
      <c r="BK107" s="3"/>
      <c r="BL107" s="3"/>
    </row>
    <row r="108" spans="1:64" x14ac:dyDescent="0.25">
      <c r="A108">
        <v>61</v>
      </c>
      <c r="B108" s="1" t="s">
        <v>113</v>
      </c>
      <c r="C108" s="1" t="s">
        <v>32</v>
      </c>
      <c r="D108" s="2">
        <v>43047</v>
      </c>
      <c r="E108" s="3">
        <v>22.1</v>
      </c>
      <c r="F108" s="4">
        <f t="shared" si="3"/>
        <v>4848.4341732283474</v>
      </c>
      <c r="G108" s="7">
        <v>9.67</v>
      </c>
      <c r="H108" s="7">
        <v>135.05000000000001</v>
      </c>
      <c r="I108" s="7">
        <f t="shared" si="13"/>
        <v>125.38000000000001</v>
      </c>
      <c r="J108" s="7">
        <v>116.81</v>
      </c>
      <c r="K108" s="5">
        <f t="shared" si="4"/>
        <v>6.835220928377737</v>
      </c>
      <c r="L108" s="4">
        <f t="shared" si="5"/>
        <v>4517.0329859212252</v>
      </c>
      <c r="M108" s="2">
        <v>43054</v>
      </c>
      <c r="N108" s="7">
        <v>9.7200000000000006</v>
      </c>
      <c r="O108" s="7">
        <v>3.52</v>
      </c>
      <c r="P108" s="7">
        <v>6.28</v>
      </c>
      <c r="Q108" s="6">
        <f t="shared" si="89"/>
        <v>0.35146443514644349</v>
      </c>
      <c r="R108" s="6">
        <f t="shared" si="90"/>
        <v>0.48117154811715485</v>
      </c>
      <c r="S108" s="6">
        <f t="shared" si="6"/>
        <v>0.16736401673640161</v>
      </c>
      <c r="T108" s="4">
        <f t="shared" si="7"/>
        <v>1704.0521780384149</v>
      </c>
      <c r="U108" s="4">
        <f t="shared" si="8"/>
        <v>2332.9285770764018</v>
      </c>
      <c r="V108" s="4">
        <f t="shared" si="9"/>
        <v>4036.9807551148169</v>
      </c>
      <c r="W108" s="4">
        <f t="shared" si="10"/>
        <v>1587.5764469346564</v>
      </c>
      <c r="X108" s="4">
        <f t="shared" si="11"/>
        <v>2173.4677547319702</v>
      </c>
      <c r="Y108" s="4">
        <f t="shared" si="12"/>
        <v>3761.0442016666266</v>
      </c>
      <c r="Z108" s="10"/>
      <c r="AA108" s="12"/>
      <c r="AB108" s="5"/>
      <c r="AC108" s="4"/>
      <c r="AD108" s="4"/>
      <c r="AE108" s="4"/>
      <c r="AF108" s="4"/>
      <c r="AH108" t="s">
        <v>267</v>
      </c>
      <c r="AI108" t="str">
        <f>C108</f>
        <v>Machine</v>
      </c>
      <c r="AJ108" s="8">
        <f>D108</f>
        <v>43047</v>
      </c>
      <c r="AK108" s="3">
        <f>SUM(E108:E110)</f>
        <v>66.3</v>
      </c>
      <c r="AL108" s="3">
        <f>(AK108-3*$A$35)*$A$36/(3*$A$37)*$A$38</f>
        <v>4848.4341732283456</v>
      </c>
      <c r="AM108" s="7">
        <f>SUM(G108:G110)</f>
        <v>29.02</v>
      </c>
      <c r="AN108" s="7">
        <f>SUM(H108:H110)</f>
        <v>463</v>
      </c>
      <c r="AO108" s="7">
        <f>AN108-AM108</f>
        <v>433.98</v>
      </c>
      <c r="AP108" s="7">
        <f>SUM(J108:J110)</f>
        <v>406.3</v>
      </c>
      <c r="AQ108" s="7">
        <f>(AO108-AP108)/AO108*100</f>
        <v>6.3781741094059647</v>
      </c>
      <c r="AR108" s="3">
        <f>AL108*(1-AQ108/100)</f>
        <v>4539.192600079904</v>
      </c>
      <c r="AS108" s="11">
        <f>M108</f>
        <v>43054</v>
      </c>
      <c r="AT108" s="7">
        <f>SUM(N108:N110)</f>
        <v>29.009999999999998</v>
      </c>
      <c r="AU108" s="7">
        <f>SUM(O108:O110)</f>
        <v>10.620000000000001</v>
      </c>
      <c r="AV108" s="7">
        <f>SUM(P108:P110)</f>
        <v>18.939999999999998</v>
      </c>
      <c r="AW108" s="9">
        <f>(AU108-3*$A$39)/(AT108-3*$A$39)</f>
        <v>0.35541535226077819</v>
      </c>
      <c r="AX108" s="9">
        <f>(AV108-3*$A$40)/(AT108-3*$A$39)</f>
        <v>0.48720644935155977</v>
      </c>
      <c r="AY108" s="9">
        <f>1-AW108-AX108</f>
        <v>0.15737819838766209</v>
      </c>
      <c r="AZ108" s="3">
        <f>AL108*AW108</f>
        <v>1723.2079395911474</v>
      </c>
      <c r="BA108" s="3">
        <f>AL108*AX108</f>
        <v>2362.1883984533474</v>
      </c>
      <c r="BB108" s="3">
        <f>AZ108+BA108</f>
        <v>4085.3963380444948</v>
      </c>
      <c r="BC108" s="3">
        <f>AR108*AW108</f>
        <v>1613.2987369369168</v>
      </c>
      <c r="BD108" s="3">
        <f>AR108*AX108</f>
        <v>2211.5239096078044</v>
      </c>
      <c r="BE108" s="3">
        <f>BC108+BD108</f>
        <v>3824.8226465447215</v>
      </c>
      <c r="BF108" s="11">
        <f>Z109</f>
        <v>43077</v>
      </c>
      <c r="BG108" s="13">
        <f>AVERAGE(AA108:AA110)</f>
        <v>43</v>
      </c>
      <c r="BH108" s="7">
        <f t="shared" ref="BH108" si="111">AVERAGE(AB108:AB110)</f>
        <v>1.1499999999999999</v>
      </c>
      <c r="BI108" s="3">
        <f t="shared" ref="BI108" si="112">AVERAGE(AC108:AC110)</f>
        <v>80.7</v>
      </c>
      <c r="BJ108" s="3">
        <f t="shared" ref="BJ108" si="113">AVERAGE(AD108:AD110)</f>
        <v>31.9</v>
      </c>
      <c r="BK108" s="3">
        <f t="shared" ref="BK108" si="114">AVERAGE(AE108:AE110)</f>
        <v>6</v>
      </c>
      <c r="BL108" s="3">
        <f t="shared" ref="BL108" si="115">AVERAGE(AF108:AF110)</f>
        <v>9.1</v>
      </c>
    </row>
    <row r="109" spans="1:64" x14ac:dyDescent="0.25">
      <c r="A109">
        <v>62</v>
      </c>
      <c r="B109" s="1" t="s">
        <v>114</v>
      </c>
      <c r="C109" s="1" t="s">
        <v>32</v>
      </c>
      <c r="D109" s="2">
        <v>43047</v>
      </c>
      <c r="E109" s="3">
        <v>22.7</v>
      </c>
      <c r="F109" s="4">
        <f t="shared" si="3"/>
        <v>4982.3688188976375</v>
      </c>
      <c r="G109" s="7">
        <v>9.67</v>
      </c>
      <c r="H109" s="7">
        <v>235.01</v>
      </c>
      <c r="I109" s="7">
        <f t="shared" si="13"/>
        <v>225.34</v>
      </c>
      <c r="J109" s="7">
        <v>211.11</v>
      </c>
      <c r="K109" s="5">
        <f t="shared" si="4"/>
        <v>6.3149019259785169</v>
      </c>
      <c r="L109" s="4">
        <f t="shared" si="5"/>
        <v>4667.7371143937171</v>
      </c>
      <c r="M109" s="2">
        <v>43054</v>
      </c>
      <c r="N109" s="7">
        <v>9.82</v>
      </c>
      <c r="O109" s="7">
        <v>3.64</v>
      </c>
      <c r="P109" s="7">
        <v>6.42</v>
      </c>
      <c r="Q109" s="6">
        <f t="shared" si="89"/>
        <v>0.36024844720496896</v>
      </c>
      <c r="R109" s="6">
        <f t="shared" si="90"/>
        <v>0.49068322981366463</v>
      </c>
      <c r="S109" s="6">
        <f t="shared" si="6"/>
        <v>0.14906832298136641</v>
      </c>
      <c r="T109" s="4">
        <f t="shared" si="7"/>
        <v>1794.8906304103291</v>
      </c>
      <c r="U109" s="4">
        <f t="shared" si="8"/>
        <v>2444.7648241795864</v>
      </c>
      <c r="V109" s="4">
        <f t="shared" si="9"/>
        <v>4239.6554545899153</v>
      </c>
      <c r="W109" s="4">
        <f t="shared" si="10"/>
        <v>1681.5450474213392</v>
      </c>
      <c r="X109" s="4">
        <f t="shared" si="11"/>
        <v>2290.3803232118239</v>
      </c>
      <c r="Y109" s="4">
        <f t="shared" si="12"/>
        <v>3971.9253706331629</v>
      </c>
      <c r="Z109" s="10">
        <v>43077</v>
      </c>
      <c r="AA109" s="12">
        <v>43</v>
      </c>
      <c r="AB109" s="5">
        <v>1.1499999999999999</v>
      </c>
      <c r="AC109" s="4">
        <v>80.7</v>
      </c>
      <c r="AD109" s="4">
        <v>31.9</v>
      </c>
      <c r="AE109" s="4">
        <v>6</v>
      </c>
      <c r="AF109" s="4">
        <v>9.1</v>
      </c>
      <c r="AK109" s="3"/>
      <c r="AL109" s="3"/>
      <c r="AM109" s="7"/>
      <c r="AN109" s="7"/>
      <c r="AO109" s="7"/>
      <c r="AP109" s="7"/>
      <c r="AQ109" s="7"/>
      <c r="AR109" s="3"/>
      <c r="AS109" s="3"/>
      <c r="AT109" s="7"/>
      <c r="AU109" s="7"/>
      <c r="AV109" s="7"/>
      <c r="AW109" s="9"/>
      <c r="AX109" s="9"/>
      <c r="AY109" s="9"/>
      <c r="AZ109" s="3"/>
      <c r="BA109" s="3"/>
      <c r="BB109" s="3"/>
      <c r="BC109" s="3"/>
      <c r="BD109" s="3"/>
      <c r="BE109" s="3"/>
      <c r="BG109" s="13"/>
      <c r="BH109" s="7"/>
      <c r="BI109" s="3"/>
      <c r="BJ109" s="3"/>
      <c r="BK109" s="3"/>
      <c r="BL109" s="3"/>
    </row>
    <row r="110" spans="1:64" x14ac:dyDescent="0.25">
      <c r="A110">
        <v>63</v>
      </c>
      <c r="B110" s="1" t="s">
        <v>115</v>
      </c>
      <c r="C110" s="1" t="s">
        <v>32</v>
      </c>
      <c r="D110" s="2">
        <v>43047</v>
      </c>
      <c r="E110" s="3">
        <v>21.5</v>
      </c>
      <c r="F110" s="4">
        <f t="shared" si="3"/>
        <v>4714.4995275590554</v>
      </c>
      <c r="G110" s="7">
        <v>9.68</v>
      </c>
      <c r="H110" s="7">
        <v>92.94</v>
      </c>
      <c r="I110" s="7">
        <f t="shared" si="13"/>
        <v>83.259999999999991</v>
      </c>
      <c r="J110" s="7">
        <v>78.38</v>
      </c>
      <c r="K110" s="5">
        <f t="shared" si="4"/>
        <v>5.8611578188806099</v>
      </c>
      <c r="L110" s="4">
        <f t="shared" si="5"/>
        <v>4438.1752698784385</v>
      </c>
      <c r="M110" s="2">
        <v>43054</v>
      </c>
      <c r="N110" s="7">
        <v>9.4700000000000006</v>
      </c>
      <c r="O110" s="7">
        <v>3.46</v>
      </c>
      <c r="P110" s="7">
        <v>6.24</v>
      </c>
      <c r="Q110" s="6">
        <f t="shared" si="89"/>
        <v>0.35445757250268523</v>
      </c>
      <c r="R110" s="6">
        <f t="shared" si="90"/>
        <v>0.48979591836734698</v>
      </c>
      <c r="S110" s="6">
        <f t="shared" si="6"/>
        <v>0.15574650912996774</v>
      </c>
      <c r="T110" s="4">
        <f t="shared" si="7"/>
        <v>1671.0900581036392</v>
      </c>
      <c r="U110" s="4">
        <f t="shared" si="8"/>
        <v>2309.1426257432108</v>
      </c>
      <c r="V110" s="4">
        <f t="shared" si="9"/>
        <v>3980.2326838468498</v>
      </c>
      <c r="W110" s="4">
        <f t="shared" si="10"/>
        <v>1573.1448325025613</v>
      </c>
      <c r="X110" s="4">
        <f t="shared" si="11"/>
        <v>2173.8001321853576</v>
      </c>
      <c r="Y110" s="4">
        <f t="shared" si="12"/>
        <v>3746.9449646879189</v>
      </c>
      <c r="Z110" s="10"/>
      <c r="AA110" s="12"/>
      <c r="AB110" s="5"/>
      <c r="AC110" s="4"/>
      <c r="AD110" s="4"/>
      <c r="AE110" s="4"/>
      <c r="AF110" s="4"/>
      <c r="AK110" s="3"/>
      <c r="AL110" s="3"/>
      <c r="AM110" s="7"/>
      <c r="AN110" s="7"/>
      <c r="AO110" s="7"/>
      <c r="AP110" s="7"/>
      <c r="AQ110" s="7"/>
      <c r="AR110" s="3"/>
      <c r="AS110" s="3"/>
      <c r="AT110" s="7"/>
      <c r="AU110" s="7"/>
      <c r="AV110" s="7"/>
      <c r="AW110" s="9"/>
      <c r="AX110" s="9"/>
      <c r="AY110" s="9"/>
      <c r="AZ110" s="3"/>
      <c r="BA110" s="3"/>
      <c r="BB110" s="3"/>
      <c r="BC110" s="3"/>
      <c r="BD110" s="3"/>
      <c r="BE110" s="3"/>
      <c r="BG110" s="13"/>
      <c r="BH110" s="7"/>
      <c r="BI110" s="3"/>
      <c r="BJ110" s="3"/>
      <c r="BK110" s="3"/>
      <c r="BL110" s="3"/>
    </row>
    <row r="111" spans="1:64" x14ac:dyDescent="0.25">
      <c r="A111">
        <v>64</v>
      </c>
      <c r="B111" s="1" t="s">
        <v>116</v>
      </c>
      <c r="C111" s="1" t="s">
        <v>32</v>
      </c>
      <c r="D111" s="2">
        <v>43047</v>
      </c>
      <c r="E111" s="3">
        <v>19.600000000000001</v>
      </c>
      <c r="F111" s="4">
        <f t="shared" si="3"/>
        <v>4290.3731496062992</v>
      </c>
      <c r="G111" s="7">
        <v>9.66</v>
      </c>
      <c r="H111" s="7">
        <v>128.80000000000001</v>
      </c>
      <c r="I111" s="7">
        <f t="shared" si="13"/>
        <v>119.14000000000001</v>
      </c>
      <c r="J111" s="7">
        <v>111.85</v>
      </c>
      <c r="K111" s="5">
        <f t="shared" si="4"/>
        <v>6.1188517710257004</v>
      </c>
      <c r="L111" s="4">
        <f t="shared" si="5"/>
        <v>4027.8515761580029</v>
      </c>
      <c r="M111" s="2">
        <v>43054</v>
      </c>
      <c r="N111" s="7">
        <v>8.58</v>
      </c>
      <c r="O111" s="7">
        <v>3.16</v>
      </c>
      <c r="P111" s="7">
        <v>5.76</v>
      </c>
      <c r="Q111" s="6">
        <f t="shared" si="89"/>
        <v>0.35629453681710216</v>
      </c>
      <c r="R111" s="6">
        <f t="shared" si="90"/>
        <v>0.48456057007125891</v>
      </c>
      <c r="S111" s="6">
        <f t="shared" si="6"/>
        <v>0.15914489311163887</v>
      </c>
      <c r="T111" s="4">
        <f t="shared" si="7"/>
        <v>1528.6365141115082</v>
      </c>
      <c r="U111" s="4">
        <f t="shared" si="8"/>
        <v>2078.945659191651</v>
      </c>
      <c r="V111" s="4">
        <f t="shared" si="9"/>
        <v>3607.5821733031589</v>
      </c>
      <c r="W111" s="4">
        <f t="shared" si="10"/>
        <v>1435.1015116952506</v>
      </c>
      <c r="X111" s="4">
        <f t="shared" si="11"/>
        <v>1951.7380559055407</v>
      </c>
      <c r="Y111" s="4">
        <f t="shared" si="12"/>
        <v>3386.8395676007913</v>
      </c>
      <c r="Z111" s="10"/>
      <c r="AA111" s="12"/>
      <c r="AB111" s="5"/>
      <c r="AC111" s="4"/>
      <c r="AD111" s="4"/>
      <c r="AE111" s="4"/>
      <c r="AF111" s="4"/>
      <c r="AH111" t="s">
        <v>268</v>
      </c>
      <c r="AI111" t="s">
        <v>32</v>
      </c>
      <c r="AJ111" s="8">
        <f>D111</f>
        <v>43047</v>
      </c>
      <c r="AK111" s="3">
        <f>SUM(E111:E113)</f>
        <v>56.2</v>
      </c>
      <c r="AL111" s="3">
        <f>(AK111-3*$A$35)*$A$36/(3*$A$37)*$A$38</f>
        <v>4096.911994750657</v>
      </c>
      <c r="AM111" s="7">
        <f>SUM(G111:G113)</f>
        <v>28.98</v>
      </c>
      <c r="AN111" s="7">
        <f>SUM(H111:H113)</f>
        <v>506.41</v>
      </c>
      <c r="AO111" s="7">
        <f>AN111-AM111</f>
        <v>477.43</v>
      </c>
      <c r="AP111" s="7">
        <f>SUM(J111:J113)</f>
        <v>446.87</v>
      </c>
      <c r="AQ111" s="7">
        <f>(AO111-AP111)/AO111*100</f>
        <v>6.4009383574555434</v>
      </c>
      <c r="AR111" s="3">
        <f>AL111*(1-AQ111/100)</f>
        <v>3834.6711834074649</v>
      </c>
      <c r="AS111" s="11">
        <f>M111</f>
        <v>43054</v>
      </c>
      <c r="AT111" s="7">
        <f>SUM(N111:N113)</f>
        <v>24.36</v>
      </c>
      <c r="AU111" s="7">
        <f>SUM(O111:O113)</f>
        <v>8.9599999999999991</v>
      </c>
      <c r="AV111" s="7">
        <f>SUM(P111:P113)</f>
        <v>16.62</v>
      </c>
      <c r="AW111" s="9">
        <f>(AU111-3*$A$39)/(AT111-3*$A$39)</f>
        <v>0.35510887772194299</v>
      </c>
      <c r="AX111" s="9">
        <f>(AV111-3*$A$40)/(AT111-3*$A$39)</f>
        <v>0.48492462311557799</v>
      </c>
      <c r="AY111" s="9">
        <f>1-AW111-AX111</f>
        <v>0.15996649916247901</v>
      </c>
      <c r="AZ111" s="3">
        <f>AL111*AW111</f>
        <v>1454.8498205814726</v>
      </c>
      <c r="BA111" s="3">
        <f>AL111*AX111</f>
        <v>1986.6935049921531</v>
      </c>
      <c r="BB111" s="3">
        <f>AZ111+BA111</f>
        <v>3441.5433255736257</v>
      </c>
      <c r="BC111" s="3">
        <f>AR111*AW111</f>
        <v>1361.7257803724999</v>
      </c>
      <c r="BD111" s="3">
        <f>AR111*AX111</f>
        <v>1859.5264783860323</v>
      </c>
      <c r="BE111" s="3">
        <f>BC111+BD111</f>
        <v>3221.2522587585322</v>
      </c>
      <c r="BF111" s="11">
        <f>Z112</f>
        <v>43077</v>
      </c>
      <c r="BG111" s="13">
        <f>AVERAGE(AA111:AA113)</f>
        <v>46</v>
      </c>
      <c r="BH111" s="7">
        <f t="shared" ref="BH111" si="116">AVERAGE(AB111:AB113)</f>
        <v>1.1100000000000001</v>
      </c>
      <c r="BI111" s="3">
        <f t="shared" ref="BI111" si="117">AVERAGE(AC111:AC113)</f>
        <v>81.3</v>
      </c>
      <c r="BJ111" s="3">
        <f t="shared" ref="BJ111" si="118">AVERAGE(AD111:AD113)</f>
        <v>31.1</v>
      </c>
      <c r="BK111" s="3">
        <f t="shared" ref="BK111" si="119">AVERAGE(AE111:AE113)</f>
        <v>6.1</v>
      </c>
      <c r="BL111" s="3">
        <f t="shared" ref="BL111" si="120">AVERAGE(AF111:AF113)</f>
        <v>9.9</v>
      </c>
    </row>
    <row r="112" spans="1:64" x14ac:dyDescent="0.25">
      <c r="A112">
        <v>65</v>
      </c>
      <c r="B112" s="1" t="s">
        <v>117</v>
      </c>
      <c r="C112" s="1" t="s">
        <v>32</v>
      </c>
      <c r="D112" s="2">
        <v>43047</v>
      </c>
      <c r="E112" s="3">
        <v>18.5</v>
      </c>
      <c r="F112" s="4">
        <f t="shared" si="3"/>
        <v>4044.8262992125983</v>
      </c>
      <c r="G112" s="7">
        <v>9.66</v>
      </c>
      <c r="H112" s="7">
        <v>135.62</v>
      </c>
      <c r="I112" s="7">
        <f t="shared" si="13"/>
        <v>125.96000000000001</v>
      </c>
      <c r="J112" s="7">
        <v>117.67</v>
      </c>
      <c r="K112" s="5">
        <f t="shared" si="4"/>
        <v>6.5814544299777751</v>
      </c>
      <c r="L112" s="4">
        <f t="shared" si="5"/>
        <v>3778.6178995581649</v>
      </c>
      <c r="M112" s="2">
        <v>43054</v>
      </c>
      <c r="N112" s="7">
        <v>8.0399999999999991</v>
      </c>
      <c r="O112" s="7">
        <v>3.02</v>
      </c>
      <c r="P112" s="7">
        <v>5.54</v>
      </c>
      <c r="Q112" s="6">
        <f t="shared" si="89"/>
        <v>0.36294416243654826</v>
      </c>
      <c r="R112" s="6">
        <f t="shared" si="90"/>
        <v>0.48984771573604069</v>
      </c>
      <c r="S112" s="6">
        <f t="shared" si="6"/>
        <v>0.14720812182741105</v>
      </c>
      <c r="T112" s="4">
        <f t="shared" si="7"/>
        <v>1468.0460933690397</v>
      </c>
      <c r="U112" s="4">
        <f t="shared" si="8"/>
        <v>1981.3489232183542</v>
      </c>
      <c r="V112" s="4">
        <f t="shared" si="9"/>
        <v>3449.3950165873939</v>
      </c>
      <c r="W112" s="4">
        <f t="shared" si="10"/>
        <v>1371.4273087228873</v>
      </c>
      <c r="X112" s="4">
        <f t="shared" si="11"/>
        <v>1850.9473467378832</v>
      </c>
      <c r="Y112" s="4">
        <f t="shared" si="12"/>
        <v>3222.3746554607706</v>
      </c>
      <c r="Z112" s="10">
        <v>43077</v>
      </c>
      <c r="AA112" s="12">
        <v>46</v>
      </c>
      <c r="AB112" s="5">
        <v>1.1100000000000001</v>
      </c>
      <c r="AC112" s="4">
        <v>81.3</v>
      </c>
      <c r="AD112" s="4">
        <v>31.1</v>
      </c>
      <c r="AE112" s="4">
        <v>6.1</v>
      </c>
      <c r="AF112" s="4">
        <v>9.9</v>
      </c>
      <c r="AK112" s="3"/>
      <c r="AL112" s="3"/>
      <c r="AM112" s="7"/>
      <c r="AN112" s="7"/>
      <c r="AO112" s="7"/>
      <c r="AP112" s="7"/>
      <c r="AQ112" s="7"/>
      <c r="AR112" s="3"/>
      <c r="AS112" s="3"/>
      <c r="AT112" s="7"/>
      <c r="AU112" s="7"/>
      <c r="AV112" s="7"/>
      <c r="AW112" s="9"/>
      <c r="AX112" s="9"/>
      <c r="AY112" s="9"/>
      <c r="AZ112" s="3"/>
      <c r="BA112" s="3"/>
      <c r="BB112" s="3"/>
      <c r="BC112" s="3"/>
      <c r="BD112" s="3"/>
      <c r="BE112" s="3"/>
      <c r="BG112" s="13"/>
      <c r="BH112" s="7"/>
      <c r="BI112" s="3"/>
      <c r="BJ112" s="3"/>
      <c r="BK112" s="3"/>
      <c r="BL112" s="3"/>
    </row>
    <row r="113" spans="1:64" x14ac:dyDescent="0.25">
      <c r="A113">
        <v>66</v>
      </c>
      <c r="B113" s="1" t="s">
        <v>118</v>
      </c>
      <c r="C113" s="1" t="s">
        <v>32</v>
      </c>
      <c r="D113" s="2">
        <v>43047</v>
      </c>
      <c r="E113" s="3">
        <v>18.100000000000001</v>
      </c>
      <c r="F113" s="4">
        <f t="shared" ref="F113:F176" si="121">(E113-$A$35)*$A$36/$A$37*$A$38</f>
        <v>3955.5365354330711</v>
      </c>
      <c r="G113" s="7">
        <v>9.66</v>
      </c>
      <c r="H113" s="7">
        <v>241.99</v>
      </c>
      <c r="I113" s="7">
        <f t="shared" si="13"/>
        <v>232.33</v>
      </c>
      <c r="J113" s="7">
        <v>217.35</v>
      </c>
      <c r="K113" s="5">
        <f t="shared" ref="K113:K176" si="122">(I113-J113)/I113*100</f>
        <v>6.4477252184392961</v>
      </c>
      <c r="L113" s="4">
        <f t="shared" ref="L113:L176" si="123">F113*(1-K113/100)</f>
        <v>3700.4944087133731</v>
      </c>
      <c r="M113" s="2">
        <v>43054</v>
      </c>
      <c r="N113" s="7">
        <v>7.74</v>
      </c>
      <c r="O113" s="7">
        <v>2.78</v>
      </c>
      <c r="P113" s="7">
        <v>5.32</v>
      </c>
      <c r="Q113" s="6">
        <f t="shared" ref="Q113:Q176" si="124">(O113-$A$39)/(N113-$A$39)</f>
        <v>0.34564643799472289</v>
      </c>
      <c r="R113" s="6">
        <f t="shared" ref="R113:R176" si="125">(P113-$A$40)/(N113-$A$39)</f>
        <v>0.4802110817941953</v>
      </c>
      <c r="S113" s="6">
        <f t="shared" ref="S113:S176" si="126">1-Q113-R113</f>
        <v>0.17414248021108186</v>
      </c>
      <c r="T113" s="4">
        <f t="shared" ref="T113:T176" si="127">F113*Q113</f>
        <v>1367.2171138304279</v>
      </c>
      <c r="U113" s="4">
        <f t="shared" ref="U113:U176" si="128">F113*R113</f>
        <v>1899.4924787567784</v>
      </c>
      <c r="V113" s="4">
        <f t="shared" ref="V113:V176" si="129">T113+U113</f>
        <v>3266.7095925872063</v>
      </c>
      <c r="W113" s="4">
        <f t="shared" ref="W113:W176" si="130">L113*Q113</f>
        <v>1279.0627111911656</v>
      </c>
      <c r="X113" s="4">
        <f t="shared" ref="X113:X176" si="131">L113*R113</f>
        <v>1777.0184231816199</v>
      </c>
      <c r="Y113" s="4">
        <f t="shared" ref="Y113:Y176" si="132">W113+X113</f>
        <v>3056.0811343727855</v>
      </c>
      <c r="Z113" s="10"/>
      <c r="AA113" s="12"/>
      <c r="AB113" s="5"/>
      <c r="AC113" s="4"/>
      <c r="AD113" s="4"/>
      <c r="AE113" s="4"/>
      <c r="AF113" s="4"/>
      <c r="AK113" s="3"/>
      <c r="AL113" s="3"/>
      <c r="AM113" s="7"/>
      <c r="AN113" s="7"/>
      <c r="AO113" s="7"/>
      <c r="AP113" s="7"/>
      <c r="AQ113" s="7"/>
      <c r="AR113" s="3"/>
      <c r="AS113" s="3"/>
      <c r="AT113" s="7"/>
      <c r="AU113" s="7"/>
      <c r="AV113" s="7"/>
      <c r="AW113" s="9"/>
      <c r="AX113" s="9"/>
      <c r="AY113" s="9"/>
      <c r="AZ113" s="3"/>
      <c r="BA113" s="3"/>
      <c r="BB113" s="3"/>
      <c r="BC113" s="3"/>
      <c r="BD113" s="3"/>
      <c r="BE113" s="3"/>
      <c r="BG113" s="13"/>
      <c r="BH113" s="7"/>
      <c r="BI113" s="3"/>
      <c r="BJ113" s="3"/>
      <c r="BK113" s="3"/>
      <c r="BL113" s="3"/>
    </row>
    <row r="114" spans="1:64" x14ac:dyDescent="0.25">
      <c r="A114">
        <v>67</v>
      </c>
      <c r="B114" s="1" t="s">
        <v>119</v>
      </c>
      <c r="C114" s="1" t="s">
        <v>32</v>
      </c>
      <c r="D114" s="2">
        <v>43047</v>
      </c>
      <c r="E114" s="3">
        <v>17.5</v>
      </c>
      <c r="F114" s="4">
        <f t="shared" si="121"/>
        <v>3821.6018897637791</v>
      </c>
      <c r="G114" s="7">
        <v>9.6300000000000008</v>
      </c>
      <c r="H114" s="7">
        <v>163.95</v>
      </c>
      <c r="I114" s="7">
        <f t="shared" ref="I114:I177" si="133">H114-G114</f>
        <v>154.32</v>
      </c>
      <c r="J114" s="7">
        <v>144.71</v>
      </c>
      <c r="K114" s="5">
        <f t="shared" si="122"/>
        <v>6.2273198548470621</v>
      </c>
      <c r="L114" s="4">
        <f t="shared" si="123"/>
        <v>3583.6185165093088</v>
      </c>
      <c r="M114" s="2">
        <v>43054</v>
      </c>
      <c r="N114" s="7">
        <v>7.64</v>
      </c>
      <c r="O114" s="7">
        <v>2.78</v>
      </c>
      <c r="P114" s="7">
        <v>5.32</v>
      </c>
      <c r="Q114" s="6">
        <f t="shared" si="124"/>
        <v>0.35026737967914434</v>
      </c>
      <c r="R114" s="6">
        <f t="shared" si="125"/>
        <v>0.48663101604278086</v>
      </c>
      <c r="S114" s="6">
        <f t="shared" si="126"/>
        <v>0.1631016042780748</v>
      </c>
      <c r="T114" s="4">
        <f t="shared" si="127"/>
        <v>1338.582480104425</v>
      </c>
      <c r="U114" s="4">
        <f t="shared" si="128"/>
        <v>1859.7100105267593</v>
      </c>
      <c r="V114" s="4">
        <f t="shared" si="129"/>
        <v>3198.2924906311846</v>
      </c>
      <c r="W114" s="4">
        <f t="shared" si="130"/>
        <v>1255.224667547378</v>
      </c>
      <c r="X114" s="4">
        <f t="shared" si="131"/>
        <v>1743.8999197986479</v>
      </c>
      <c r="Y114" s="4">
        <f t="shared" si="132"/>
        <v>2999.1245873460257</v>
      </c>
      <c r="Z114" s="10"/>
      <c r="AA114" s="12"/>
      <c r="AB114" s="5"/>
      <c r="AC114" s="4"/>
      <c r="AD114" s="4"/>
      <c r="AE114" s="4"/>
      <c r="AF114" s="4"/>
      <c r="AH114" t="s">
        <v>269</v>
      </c>
      <c r="AI114" t="s">
        <v>32</v>
      </c>
      <c r="AJ114" s="8">
        <f>D114</f>
        <v>43047</v>
      </c>
      <c r="AK114" s="3">
        <f>SUM(E114:E116)</f>
        <v>49.1</v>
      </c>
      <c r="AL114" s="3">
        <f>(AK114-3*$A$35)*$A$36/(3*$A$37)*$A$38</f>
        <v>3568.6142257217853</v>
      </c>
      <c r="AM114" s="7">
        <f>SUM(G114:G116)</f>
        <v>28.98</v>
      </c>
      <c r="AN114" s="7">
        <f>SUM(H114:H116)</f>
        <v>505.12</v>
      </c>
      <c r="AO114" s="7">
        <f>AN114-AM114</f>
        <v>476.14</v>
      </c>
      <c r="AP114" s="7">
        <f>SUM(J114:J116)</f>
        <v>444.34000000000003</v>
      </c>
      <c r="AQ114" s="7">
        <f>(AO114-AP114)/AO114*100</f>
        <v>6.6787079430419531</v>
      </c>
      <c r="AR114" s="3">
        <f>AL114*(1-AQ114/100)</f>
        <v>3330.2769039719792</v>
      </c>
      <c r="AS114" s="11">
        <f>M114</f>
        <v>43054</v>
      </c>
      <c r="AT114" s="7">
        <f>SUM(N114:N116)</f>
        <v>21.25</v>
      </c>
      <c r="AU114" s="7">
        <f>SUM(O114:O116)</f>
        <v>7.68</v>
      </c>
      <c r="AV114" s="7">
        <f>SUM(P114:P116)</f>
        <v>15.100000000000001</v>
      </c>
      <c r="AW114" s="9">
        <f>(AU114-3*$A$39)/(AT114-3*$A$39)</f>
        <v>0.34665382763601343</v>
      </c>
      <c r="AX114" s="9">
        <f>(AV114-3*$A$40)/(AT114-3*$A$39)</f>
        <v>0.48435243139143008</v>
      </c>
      <c r="AY114" s="9">
        <f>1-AW114-AX114</f>
        <v>0.16899374097255654</v>
      </c>
      <c r="AZ114" s="3">
        <f>AL114*AW114</f>
        <v>1237.0737807027854</v>
      </c>
      <c r="BA114" s="3">
        <f>AL114*AX114</f>
        <v>1728.4669769263924</v>
      </c>
      <c r="BB114" s="3">
        <f>AZ114+BA114</f>
        <v>2965.5407576291777</v>
      </c>
      <c r="BC114" s="3">
        <f>AR114*AW114</f>
        <v>1154.453235849699</v>
      </c>
      <c r="BD114" s="3">
        <f>AR114*AX114</f>
        <v>1613.0277156455522</v>
      </c>
      <c r="BE114" s="3">
        <f>BC114+BD114</f>
        <v>2767.4809514952512</v>
      </c>
      <c r="BF114" s="11">
        <f>Z115</f>
        <v>43077</v>
      </c>
      <c r="BG114" s="13">
        <f>AVERAGE(AA114:AA116)</f>
        <v>41</v>
      </c>
      <c r="BH114" s="7">
        <f t="shared" ref="BH114" si="134">AVERAGE(AB114:AB116)</f>
        <v>1.1499999999999999</v>
      </c>
      <c r="BI114" s="3">
        <f t="shared" ref="BI114" si="135">AVERAGE(AC114:AC116)</f>
        <v>80.599999999999994</v>
      </c>
      <c r="BJ114" s="3">
        <f t="shared" ref="BJ114" si="136">AVERAGE(AD114:AD116)</f>
        <v>31.4</v>
      </c>
      <c r="BK114" s="3">
        <f t="shared" ref="BK114" si="137">AVERAGE(AE114:AE116)</f>
        <v>6</v>
      </c>
      <c r="BL114" s="3">
        <f t="shared" ref="BL114" si="138">AVERAGE(AF114:AF116)</f>
        <v>10</v>
      </c>
    </row>
    <row r="115" spans="1:64" x14ac:dyDescent="0.25">
      <c r="A115">
        <v>68</v>
      </c>
      <c r="B115" s="1" t="s">
        <v>120</v>
      </c>
      <c r="C115" s="1" t="s">
        <v>32</v>
      </c>
      <c r="D115" s="2">
        <v>43047</v>
      </c>
      <c r="E115" s="3">
        <v>16.5</v>
      </c>
      <c r="F115" s="4">
        <f t="shared" si="121"/>
        <v>3598.3774803149608</v>
      </c>
      <c r="G115" s="7">
        <v>9.69</v>
      </c>
      <c r="H115" s="7">
        <v>182.96</v>
      </c>
      <c r="I115" s="7">
        <f t="shared" si="133"/>
        <v>173.27</v>
      </c>
      <c r="J115" s="7">
        <v>161.58000000000001</v>
      </c>
      <c r="K115" s="5">
        <f t="shared" si="122"/>
        <v>6.7466959081202731</v>
      </c>
      <c r="L115" s="4">
        <f t="shared" si="123"/>
        <v>3355.6058940918301</v>
      </c>
      <c r="M115" s="2">
        <v>43054</v>
      </c>
      <c r="N115" s="7">
        <v>7.12</v>
      </c>
      <c r="O115" s="7">
        <v>2.58</v>
      </c>
      <c r="P115" s="7">
        <v>5.08</v>
      </c>
      <c r="Q115" s="6">
        <f t="shared" si="124"/>
        <v>0.34770114942528735</v>
      </c>
      <c r="R115" s="6">
        <f t="shared" si="125"/>
        <v>0.48850574712643685</v>
      </c>
      <c r="S115" s="6">
        <f t="shared" si="126"/>
        <v>0.16379310344827586</v>
      </c>
      <c r="T115" s="4">
        <f t="shared" si="127"/>
        <v>1251.1599859715811</v>
      </c>
      <c r="U115" s="4">
        <f t="shared" si="128"/>
        <v>1757.8280794642053</v>
      </c>
      <c r="V115" s="4">
        <f t="shared" si="129"/>
        <v>3008.9880654357867</v>
      </c>
      <c r="W115" s="4">
        <f t="shared" si="130"/>
        <v>1166.7480263939983</v>
      </c>
      <c r="X115" s="4">
        <f t="shared" si="131"/>
        <v>1639.2327643552046</v>
      </c>
      <c r="Y115" s="4">
        <f t="shared" si="132"/>
        <v>2805.9807907492032</v>
      </c>
      <c r="Z115" s="10">
        <v>43077</v>
      </c>
      <c r="AA115" s="12">
        <v>41</v>
      </c>
      <c r="AB115" s="5">
        <v>1.1499999999999999</v>
      </c>
      <c r="AC115" s="4">
        <v>80.599999999999994</v>
      </c>
      <c r="AD115" s="4">
        <v>31.4</v>
      </c>
      <c r="AE115" s="4">
        <v>6</v>
      </c>
      <c r="AF115" s="4">
        <v>10</v>
      </c>
      <c r="AK115" s="3"/>
      <c r="AL115" s="3"/>
      <c r="AM115" s="7"/>
      <c r="AN115" s="7"/>
      <c r="AO115" s="7"/>
      <c r="AP115" s="7"/>
      <c r="AQ115" s="7"/>
      <c r="AR115" s="3"/>
      <c r="AS115" s="3"/>
      <c r="AT115" s="7"/>
      <c r="AU115" s="7"/>
      <c r="AV115" s="7"/>
      <c r="AW115" s="9"/>
      <c r="AX115" s="9"/>
      <c r="AY115" s="9"/>
      <c r="AZ115" s="3"/>
      <c r="BA115" s="3"/>
      <c r="BB115" s="3"/>
      <c r="BC115" s="3"/>
      <c r="BD115" s="3"/>
      <c r="BE115" s="3"/>
      <c r="BG115" s="13"/>
      <c r="BH115" s="7"/>
      <c r="BI115" s="3"/>
      <c r="BJ115" s="3"/>
      <c r="BK115" s="3"/>
      <c r="BL115" s="3"/>
    </row>
    <row r="116" spans="1:64" x14ac:dyDescent="0.25">
      <c r="A116">
        <v>69</v>
      </c>
      <c r="B116" s="1" t="s">
        <v>121</v>
      </c>
      <c r="C116" s="1" t="s">
        <v>32</v>
      </c>
      <c r="D116" s="2">
        <v>43047</v>
      </c>
      <c r="E116" s="3">
        <v>15.1</v>
      </c>
      <c r="F116" s="4">
        <f t="shared" si="121"/>
        <v>3285.863307086614</v>
      </c>
      <c r="G116" s="7">
        <v>9.66</v>
      </c>
      <c r="H116" s="7">
        <v>158.21</v>
      </c>
      <c r="I116" s="7">
        <f t="shared" si="133"/>
        <v>148.55000000000001</v>
      </c>
      <c r="J116" s="7">
        <v>138.05000000000001</v>
      </c>
      <c r="K116" s="5">
        <f t="shared" si="122"/>
        <v>7.0683271625715234</v>
      </c>
      <c r="L116" s="4">
        <f t="shared" si="123"/>
        <v>3053.6077384268401</v>
      </c>
      <c r="M116" s="2">
        <v>43054</v>
      </c>
      <c r="N116" s="7">
        <v>6.49</v>
      </c>
      <c r="O116" s="7">
        <v>2.3199999999999998</v>
      </c>
      <c r="P116" s="7">
        <v>4.7</v>
      </c>
      <c r="Q116" s="6">
        <f t="shared" si="124"/>
        <v>0.34123222748815163</v>
      </c>
      <c r="R116" s="6">
        <f t="shared" si="125"/>
        <v>0.47709320695102692</v>
      </c>
      <c r="S116" s="6">
        <f t="shared" si="126"/>
        <v>0.18167456556082145</v>
      </c>
      <c r="T116" s="4">
        <f t="shared" si="127"/>
        <v>1121.2424554987497</v>
      </c>
      <c r="U116" s="4">
        <f t="shared" si="128"/>
        <v>1567.6630627806596</v>
      </c>
      <c r="V116" s="4">
        <f t="shared" si="129"/>
        <v>2688.9055182794091</v>
      </c>
      <c r="W116" s="4">
        <f t="shared" si="130"/>
        <v>1041.9893704584476</v>
      </c>
      <c r="X116" s="4">
        <f t="shared" si="131"/>
        <v>1456.8555086965337</v>
      </c>
      <c r="Y116" s="4">
        <f t="shared" si="132"/>
        <v>2498.8448791549813</v>
      </c>
      <c r="Z116" s="10"/>
      <c r="AA116" s="12"/>
      <c r="AB116" s="5"/>
      <c r="AC116" s="4"/>
      <c r="AD116" s="4"/>
      <c r="AE116" s="4"/>
      <c r="AF116" s="4"/>
      <c r="AK116" s="3"/>
      <c r="AL116" s="3"/>
      <c r="AM116" s="7"/>
      <c r="AN116" s="7"/>
      <c r="AO116" s="7"/>
      <c r="AP116" s="7"/>
      <c r="AQ116" s="7"/>
      <c r="AR116" s="3"/>
      <c r="AS116" s="3"/>
      <c r="AT116" s="7"/>
      <c r="AU116" s="7"/>
      <c r="AV116" s="7"/>
      <c r="AW116" s="9"/>
      <c r="AX116" s="9"/>
      <c r="AY116" s="9"/>
      <c r="AZ116" s="3"/>
      <c r="BA116" s="3"/>
      <c r="BB116" s="3"/>
      <c r="BC116" s="3"/>
      <c r="BD116" s="3"/>
      <c r="BE116" s="3"/>
      <c r="BG116" s="13"/>
      <c r="BH116" s="7"/>
      <c r="BI116" s="3"/>
      <c r="BJ116" s="3"/>
      <c r="BK116" s="3"/>
      <c r="BL116" s="3"/>
    </row>
    <row r="117" spans="1:64" x14ac:dyDescent="0.25">
      <c r="A117">
        <v>70</v>
      </c>
      <c r="B117" s="1" t="s">
        <v>122</v>
      </c>
      <c r="C117" s="1" t="s">
        <v>32</v>
      </c>
      <c r="D117" s="2">
        <v>43047</v>
      </c>
      <c r="E117" s="3">
        <v>15.9</v>
      </c>
      <c r="F117" s="4">
        <f t="shared" si="121"/>
        <v>3464.4428346456689</v>
      </c>
      <c r="G117" s="7">
        <v>9.67</v>
      </c>
      <c r="H117" s="7">
        <v>103.25</v>
      </c>
      <c r="I117" s="7">
        <f t="shared" si="133"/>
        <v>93.58</v>
      </c>
      <c r="J117" s="7">
        <v>87.87</v>
      </c>
      <c r="K117" s="5">
        <f t="shared" si="122"/>
        <v>6.101731139132287</v>
      </c>
      <c r="L117" s="4">
        <f t="shared" si="123"/>
        <v>3253.0518474066571</v>
      </c>
      <c r="M117" s="2">
        <v>43054</v>
      </c>
      <c r="N117" s="7">
        <v>6.9</v>
      </c>
      <c r="O117" s="7">
        <v>2.48</v>
      </c>
      <c r="P117" s="7">
        <v>4.9400000000000004</v>
      </c>
      <c r="Q117" s="6">
        <f t="shared" si="124"/>
        <v>0.344213649851632</v>
      </c>
      <c r="R117" s="6">
        <f t="shared" si="125"/>
        <v>0.48367952522255203</v>
      </c>
      <c r="S117" s="6">
        <f t="shared" si="126"/>
        <v>0.17210682492581603</v>
      </c>
      <c r="T117" s="4">
        <f t="shared" si="127"/>
        <v>1192.5085128157198</v>
      </c>
      <c r="U117" s="4">
        <f t="shared" si="128"/>
        <v>1675.6800654220895</v>
      </c>
      <c r="V117" s="4">
        <f t="shared" si="129"/>
        <v>2868.1885782378095</v>
      </c>
      <c r="W117" s="4">
        <f t="shared" si="130"/>
        <v>1119.7448495524397</v>
      </c>
      <c r="X117" s="4">
        <f t="shared" si="131"/>
        <v>1573.4345730779976</v>
      </c>
      <c r="Y117" s="4">
        <f t="shared" si="132"/>
        <v>2693.1794226304373</v>
      </c>
      <c r="Z117" s="10"/>
      <c r="AA117" s="12"/>
      <c r="AB117" s="5"/>
      <c r="AC117" s="4"/>
      <c r="AD117" s="4"/>
      <c r="AE117" s="4"/>
      <c r="AF117" s="4"/>
      <c r="AH117" t="s">
        <v>270</v>
      </c>
      <c r="AI117" t="s">
        <v>32</v>
      </c>
      <c r="AJ117" s="8">
        <f>D117</f>
        <v>43047</v>
      </c>
      <c r="AK117" s="3">
        <f>SUM(E117:E119)</f>
        <v>46.5</v>
      </c>
      <c r="AL117" s="3">
        <f>(AK117-3*$A$35)*$A$36/(3*$A$37)*$A$38</f>
        <v>3375.1530708661421</v>
      </c>
      <c r="AM117" s="7">
        <f>SUM(G117:G119)</f>
        <v>29.01</v>
      </c>
      <c r="AN117" s="7">
        <f>SUM(H117:H119)</f>
        <v>498.32000000000005</v>
      </c>
      <c r="AO117" s="7">
        <f>AN117-AM117</f>
        <v>469.31000000000006</v>
      </c>
      <c r="AP117" s="7">
        <f>SUM(J117:J119)</f>
        <v>439.34000000000003</v>
      </c>
      <c r="AQ117" s="7">
        <f>(AO117-AP117)/AO117*100</f>
        <v>6.3859708934393096</v>
      </c>
      <c r="AR117" s="3">
        <f>AL117*(1-AQ117/100)</f>
        <v>3159.6167781516074</v>
      </c>
      <c r="AS117" s="11">
        <f>M117</f>
        <v>43054</v>
      </c>
      <c r="AT117" s="7">
        <f>SUM(N117:N119)</f>
        <v>20.189999999999998</v>
      </c>
      <c r="AU117" s="7">
        <f>SUM(O117:O119)</f>
        <v>7.4</v>
      </c>
      <c r="AV117" s="7">
        <f>SUM(P117:P119)</f>
        <v>14.64</v>
      </c>
      <c r="AW117" s="9">
        <f>(AU117-3*$A$39)/(AT117-3*$A$39)</f>
        <v>0.35109081684424154</v>
      </c>
      <c r="AX117" s="9">
        <f>(AV117-3*$A$40)/(AT117-3*$A$39)</f>
        <v>0.48706240487062419</v>
      </c>
      <c r="AY117" s="9">
        <f>1-AW117-AX117</f>
        <v>0.16184677828513433</v>
      </c>
      <c r="AZ117" s="3">
        <f>AL117*AW117</f>
        <v>1184.9852486247441</v>
      </c>
      <c r="BA117" s="3">
        <f>AL117*AX117</f>
        <v>1643.9101715025354</v>
      </c>
      <c r="BB117" s="3">
        <f>AZ117+BA117</f>
        <v>2828.8954201272795</v>
      </c>
      <c r="BC117" s="3">
        <f>AR117*AW117</f>
        <v>1109.3124355560185</v>
      </c>
      <c r="BD117" s="3">
        <f>AR117*AX117</f>
        <v>1538.9305464360953</v>
      </c>
      <c r="BE117" s="3">
        <f>BC117+BD117</f>
        <v>2648.2429819921135</v>
      </c>
      <c r="BF117" s="11">
        <f>Z118</f>
        <v>43077</v>
      </c>
      <c r="BG117" s="13">
        <f>AVERAGE(AA117:AA119)</f>
        <v>42</v>
      </c>
      <c r="BH117" s="7">
        <f t="shared" ref="BH117" si="139">AVERAGE(AB117:AB119)</f>
        <v>1.1599999999999999</v>
      </c>
      <c r="BI117" s="3">
        <f t="shared" ref="BI117" si="140">AVERAGE(AC117:AC119)</f>
        <v>81.099999999999994</v>
      </c>
      <c r="BJ117" s="3">
        <f t="shared" ref="BJ117" si="141">AVERAGE(AD117:AD119)</f>
        <v>32.9</v>
      </c>
      <c r="BK117" s="3">
        <f t="shared" ref="BK117" si="142">AVERAGE(AE117:AE119)</f>
        <v>5.9</v>
      </c>
      <c r="BL117" s="3">
        <f t="shared" ref="BL117" si="143">AVERAGE(AF117:AF119)</f>
        <v>9.1999999999999993</v>
      </c>
    </row>
    <row r="118" spans="1:64" x14ac:dyDescent="0.25">
      <c r="A118">
        <v>71</v>
      </c>
      <c r="B118" s="1" t="s">
        <v>123</v>
      </c>
      <c r="C118" s="1" t="s">
        <v>32</v>
      </c>
      <c r="D118" s="2">
        <v>43047</v>
      </c>
      <c r="E118" s="3">
        <v>17.600000000000001</v>
      </c>
      <c r="F118" s="4">
        <f t="shared" si="121"/>
        <v>3843.9243307086617</v>
      </c>
      <c r="G118" s="7">
        <v>9.68</v>
      </c>
      <c r="H118" s="7">
        <v>181.09</v>
      </c>
      <c r="I118" s="7">
        <f t="shared" si="133"/>
        <v>171.41</v>
      </c>
      <c r="J118" s="7">
        <v>160.94</v>
      </c>
      <c r="K118" s="5">
        <f t="shared" si="122"/>
        <v>6.1081617175193976</v>
      </c>
      <c r="L118" s="4">
        <f t="shared" si="123"/>
        <v>3609.1312162899012</v>
      </c>
      <c r="M118" s="2">
        <v>43054</v>
      </c>
      <c r="N118" s="7">
        <v>7.69</v>
      </c>
      <c r="O118" s="7">
        <v>2.82</v>
      </c>
      <c r="P118" s="7">
        <v>5.34</v>
      </c>
      <c r="Q118" s="6">
        <f t="shared" si="124"/>
        <v>0.3532536520584329</v>
      </c>
      <c r="R118" s="6">
        <f t="shared" si="125"/>
        <v>0.48605577689243029</v>
      </c>
      <c r="S118" s="6">
        <f t="shared" si="126"/>
        <v>0.16069057104913687</v>
      </c>
      <c r="T118" s="4">
        <f t="shared" si="127"/>
        <v>1357.8803080591022</v>
      </c>
      <c r="U118" s="4">
        <f t="shared" si="128"/>
        <v>1868.3616268783137</v>
      </c>
      <c r="V118" s="4">
        <f t="shared" si="129"/>
        <v>3226.2419349374159</v>
      </c>
      <c r="W118" s="4">
        <f t="shared" si="130"/>
        <v>1274.9387829125014</v>
      </c>
      <c r="X118" s="4">
        <f t="shared" si="131"/>
        <v>1754.2390772405097</v>
      </c>
      <c r="Y118" s="4">
        <f t="shared" si="132"/>
        <v>3029.1778601530114</v>
      </c>
      <c r="Z118" s="10">
        <v>43077</v>
      </c>
      <c r="AA118" s="12">
        <v>42</v>
      </c>
      <c r="AB118" s="5">
        <v>1.1599999999999999</v>
      </c>
      <c r="AC118" s="4">
        <v>81.099999999999994</v>
      </c>
      <c r="AD118" s="4">
        <v>32.9</v>
      </c>
      <c r="AE118" s="4">
        <v>5.9</v>
      </c>
      <c r="AF118" s="4">
        <v>9.1999999999999993</v>
      </c>
      <c r="AK118" s="3"/>
      <c r="AL118" s="3"/>
      <c r="AM118" s="7"/>
      <c r="AN118" s="7"/>
      <c r="AO118" s="7"/>
      <c r="AP118" s="7"/>
      <c r="AQ118" s="7"/>
      <c r="AR118" s="3"/>
      <c r="AS118" s="3"/>
      <c r="AT118" s="7"/>
      <c r="AU118" s="7"/>
      <c r="AV118" s="7"/>
      <c r="AW118" s="9"/>
      <c r="AX118" s="9"/>
      <c r="AY118" s="9"/>
      <c r="AZ118" s="3"/>
      <c r="BA118" s="3"/>
      <c r="BB118" s="3"/>
      <c r="BC118" s="3"/>
      <c r="BD118" s="3"/>
      <c r="BE118" s="3"/>
      <c r="BG118" s="13"/>
      <c r="BH118" s="7"/>
      <c r="BI118" s="3"/>
      <c r="BJ118" s="3"/>
      <c r="BK118" s="3"/>
      <c r="BL118" s="3"/>
    </row>
    <row r="119" spans="1:64" x14ac:dyDescent="0.25">
      <c r="A119">
        <v>72</v>
      </c>
      <c r="B119" s="1" t="s">
        <v>124</v>
      </c>
      <c r="C119" s="1" t="s">
        <v>32</v>
      </c>
      <c r="D119" s="2">
        <v>43047</v>
      </c>
      <c r="E119" s="3">
        <v>13</v>
      </c>
      <c r="F119" s="4">
        <f t="shared" si="121"/>
        <v>2817.0920472440939</v>
      </c>
      <c r="G119" s="7">
        <v>9.66</v>
      </c>
      <c r="H119" s="7">
        <v>213.98</v>
      </c>
      <c r="I119" s="7">
        <f t="shared" si="133"/>
        <v>204.32</v>
      </c>
      <c r="J119" s="7">
        <v>190.53</v>
      </c>
      <c r="K119" s="5">
        <f t="shared" si="122"/>
        <v>6.749216914643692</v>
      </c>
      <c r="L119" s="4">
        <f t="shared" si="123"/>
        <v>2626.9603942904132</v>
      </c>
      <c r="M119" s="2">
        <v>43054</v>
      </c>
      <c r="N119" s="7">
        <v>5.6</v>
      </c>
      <c r="O119" s="7">
        <v>2.1</v>
      </c>
      <c r="P119" s="7">
        <v>4.3600000000000003</v>
      </c>
      <c r="Q119" s="6">
        <f t="shared" si="124"/>
        <v>0.35661764705882359</v>
      </c>
      <c r="R119" s="6">
        <f t="shared" si="125"/>
        <v>0.49264705882352955</v>
      </c>
      <c r="S119" s="6">
        <f t="shared" si="126"/>
        <v>0.15073529411764686</v>
      </c>
      <c r="T119" s="4">
        <f t="shared" si="127"/>
        <v>1004.6247374363131</v>
      </c>
      <c r="U119" s="4">
        <f t="shared" si="128"/>
        <v>1387.8321115099584</v>
      </c>
      <c r="V119" s="4">
        <f t="shared" si="129"/>
        <v>2392.4568489462717</v>
      </c>
      <c r="W119" s="4">
        <f t="shared" si="130"/>
        <v>936.82043472856662</v>
      </c>
      <c r="X119" s="4">
        <f t="shared" si="131"/>
        <v>1294.1643118930715</v>
      </c>
      <c r="Y119" s="4">
        <f t="shared" si="132"/>
        <v>2230.9847466216379</v>
      </c>
      <c r="Z119" s="10"/>
      <c r="AA119" s="12"/>
      <c r="AB119" s="5"/>
      <c r="AC119" s="4"/>
      <c r="AD119" s="4"/>
      <c r="AE119" s="4"/>
      <c r="AF119" s="4"/>
      <c r="AK119" s="3"/>
      <c r="AL119" s="3"/>
      <c r="AM119" s="7"/>
      <c r="AN119" s="7"/>
      <c r="AO119" s="7"/>
      <c r="AP119" s="7"/>
      <c r="AQ119" s="7"/>
      <c r="AR119" s="3"/>
      <c r="AS119" s="3"/>
      <c r="AT119" s="7"/>
      <c r="AU119" s="7"/>
      <c r="AV119" s="7"/>
      <c r="AW119" s="9"/>
      <c r="AX119" s="9"/>
      <c r="AY119" s="9"/>
      <c r="AZ119" s="3"/>
      <c r="BA119" s="3"/>
      <c r="BB119" s="3"/>
      <c r="BC119" s="3"/>
      <c r="BD119" s="3"/>
      <c r="BE119" s="3"/>
      <c r="BG119" s="13"/>
      <c r="BH119" s="7"/>
      <c r="BI119" s="3"/>
      <c r="BJ119" s="3"/>
      <c r="BK119" s="3"/>
      <c r="BL119" s="3"/>
    </row>
    <row r="120" spans="1:64" x14ac:dyDescent="0.25">
      <c r="A120">
        <v>73</v>
      </c>
      <c r="B120" s="1" t="s">
        <v>125</v>
      </c>
      <c r="C120" s="1" t="s">
        <v>32</v>
      </c>
      <c r="D120" s="2">
        <v>43047</v>
      </c>
      <c r="E120" s="3">
        <v>21</v>
      </c>
      <c r="F120" s="4">
        <f t="shared" si="121"/>
        <v>4602.8873228346465</v>
      </c>
      <c r="G120" s="7">
        <v>9.7100000000000009</v>
      </c>
      <c r="H120" s="7">
        <v>187.51</v>
      </c>
      <c r="I120" s="7">
        <f t="shared" si="133"/>
        <v>177.79999999999998</v>
      </c>
      <c r="J120" s="7">
        <v>165.89</v>
      </c>
      <c r="K120" s="5">
        <f t="shared" si="122"/>
        <v>6.6985376827896497</v>
      </c>
      <c r="L120" s="4">
        <f t="shared" si="123"/>
        <v>4294.5611810182199</v>
      </c>
      <c r="M120" s="2">
        <v>43054</v>
      </c>
      <c r="N120" s="7">
        <v>9.15</v>
      </c>
      <c r="O120" s="7">
        <v>3.38</v>
      </c>
      <c r="P120" s="7">
        <v>6.04</v>
      </c>
      <c r="Q120" s="6">
        <f t="shared" si="124"/>
        <v>0.35817575083426023</v>
      </c>
      <c r="R120" s="6">
        <f t="shared" si="125"/>
        <v>0.4849833147942158</v>
      </c>
      <c r="S120" s="6">
        <f t="shared" si="126"/>
        <v>0.15684093437152397</v>
      </c>
      <c r="T120" s="4">
        <f t="shared" si="127"/>
        <v>1648.6426228617975</v>
      </c>
      <c r="U120" s="4">
        <f t="shared" si="128"/>
        <v>2232.3235514526204</v>
      </c>
      <c r="V120" s="4">
        <f t="shared" si="129"/>
        <v>3880.9661743144179</v>
      </c>
      <c r="W120" s="4">
        <f t="shared" si="130"/>
        <v>1538.2076755148682</v>
      </c>
      <c r="X120" s="4">
        <f t="shared" si="131"/>
        <v>2082.7905171567786</v>
      </c>
      <c r="Y120" s="4">
        <f t="shared" si="132"/>
        <v>3620.9981926716468</v>
      </c>
      <c r="Z120" s="10"/>
      <c r="AA120" s="12"/>
      <c r="AB120" s="5"/>
      <c r="AC120" s="4"/>
      <c r="AD120" s="4"/>
      <c r="AE120" s="4"/>
      <c r="AF120" s="4"/>
      <c r="AH120" t="s">
        <v>271</v>
      </c>
      <c r="AI120" t="str">
        <f>C120</f>
        <v>Machine</v>
      </c>
      <c r="AJ120" s="8">
        <f>D120</f>
        <v>43047</v>
      </c>
      <c r="AK120" s="3">
        <f>SUM(E120:E122)</f>
        <v>63</v>
      </c>
      <c r="AL120" s="3">
        <f>(AK120-3*$A$35)*$A$36/(3*$A$37)*$A$38</f>
        <v>4602.8873228346456</v>
      </c>
      <c r="AM120" s="7">
        <f>SUM(G120:G122)</f>
        <v>29.11</v>
      </c>
      <c r="AN120" s="7">
        <f>SUM(H120:H122)</f>
        <v>442.46999999999997</v>
      </c>
      <c r="AO120" s="7">
        <f>AN120-AM120</f>
        <v>413.35999999999996</v>
      </c>
      <c r="AP120" s="7">
        <f>SUM(J120:J122)</f>
        <v>387.64</v>
      </c>
      <c r="AQ120" s="7">
        <f>(AO120-AP120)/AO120*100</f>
        <v>6.2221792142442363</v>
      </c>
      <c r="AR120" s="3">
        <f>AL120*(1-AQ120/100)</f>
        <v>4316.4874245781448</v>
      </c>
      <c r="AS120" s="11">
        <f>M120</f>
        <v>43054</v>
      </c>
      <c r="AT120" s="7">
        <f>SUM(N120:N122)</f>
        <v>27.59</v>
      </c>
      <c r="AU120" s="7">
        <f>SUM(O120:O122)</f>
        <v>10.18</v>
      </c>
      <c r="AV120" s="7">
        <f>SUM(P120:P122)</f>
        <v>18.22</v>
      </c>
      <c r="AW120" s="9">
        <f>(AU120-3*$A$39)/(AT120-3*$A$39)</f>
        <v>0.35780154924382146</v>
      </c>
      <c r="AX120" s="9">
        <f>(AV120-3*$A$40)/(AT120-3*$A$39)</f>
        <v>0.48616746587974918</v>
      </c>
      <c r="AY120" s="9">
        <f>1-AW120-AX120</f>
        <v>0.15603098487642936</v>
      </c>
      <c r="AZ120" s="3">
        <f>AL120*AW120</f>
        <v>1646.9202151049819</v>
      </c>
      <c r="BA120" s="3">
        <f>AL120*AX120</f>
        <v>2237.7740654725426</v>
      </c>
      <c r="BB120" s="3">
        <f>AZ120+BA120</f>
        <v>3884.6942805775243</v>
      </c>
      <c r="BC120" s="3">
        <f>AR120*AW120</f>
        <v>1544.4458878055332</v>
      </c>
      <c r="BD120" s="3">
        <f>AR120*AX120</f>
        <v>2098.5357527089618</v>
      </c>
      <c r="BE120" s="3">
        <f>BC120+BD120</f>
        <v>3642.9816405144948</v>
      </c>
      <c r="BF120" s="11">
        <f>Z121</f>
        <v>43077</v>
      </c>
      <c r="BG120" s="13">
        <f>AVERAGE(AA120:AA122)</f>
        <v>47</v>
      </c>
      <c r="BH120" s="7">
        <f t="shared" ref="BH120" si="144">AVERAGE(AB120:AB122)</f>
        <v>1.1399999999999999</v>
      </c>
      <c r="BI120" s="3">
        <f t="shared" ref="BI120" si="145">AVERAGE(AC120:AC122)</f>
        <v>80.7</v>
      </c>
      <c r="BJ120" s="3">
        <f t="shared" ref="BJ120" si="146">AVERAGE(AD120:AD122)</f>
        <v>31.1</v>
      </c>
      <c r="BK120" s="3">
        <f t="shared" ref="BK120" si="147">AVERAGE(AE120:AE122)</f>
        <v>6</v>
      </c>
      <c r="BL120" s="3">
        <f t="shared" ref="BL120" si="148">AVERAGE(AF120:AF122)</f>
        <v>9.5</v>
      </c>
    </row>
    <row r="121" spans="1:64" x14ac:dyDescent="0.25">
      <c r="A121">
        <v>74</v>
      </c>
      <c r="B121" s="1" t="s">
        <v>126</v>
      </c>
      <c r="C121" s="1" t="s">
        <v>32</v>
      </c>
      <c r="D121" s="2">
        <v>43047</v>
      </c>
      <c r="E121" s="3">
        <v>21</v>
      </c>
      <c r="F121" s="4">
        <f t="shared" si="121"/>
        <v>4602.8873228346465</v>
      </c>
      <c r="G121" s="7">
        <v>9.7200000000000006</v>
      </c>
      <c r="H121" s="7">
        <v>116.57</v>
      </c>
      <c r="I121" s="7">
        <f t="shared" si="133"/>
        <v>106.85</v>
      </c>
      <c r="J121" s="7">
        <v>100.51</v>
      </c>
      <c r="K121" s="5">
        <f t="shared" si="122"/>
        <v>5.933551708001862</v>
      </c>
      <c r="L121" s="4">
        <f t="shared" si="123"/>
        <v>4329.7726234731899</v>
      </c>
      <c r="M121" s="2">
        <v>43054</v>
      </c>
      <c r="N121" s="7">
        <v>9.24</v>
      </c>
      <c r="O121" s="7">
        <v>3.4</v>
      </c>
      <c r="P121" s="7">
        <v>6.14</v>
      </c>
      <c r="Q121" s="6">
        <f t="shared" si="124"/>
        <v>0.35682819383259912</v>
      </c>
      <c r="R121" s="6">
        <f t="shared" si="125"/>
        <v>0.49118942731277532</v>
      </c>
      <c r="S121" s="6">
        <f t="shared" si="126"/>
        <v>0.15198237885462557</v>
      </c>
      <c r="T121" s="4">
        <f t="shared" si="127"/>
        <v>1642.4399698220545</v>
      </c>
      <c r="U121" s="4">
        <f t="shared" si="128"/>
        <v>2260.8895880883838</v>
      </c>
      <c r="V121" s="4">
        <f t="shared" si="129"/>
        <v>3903.3295579104383</v>
      </c>
      <c r="W121" s="4">
        <f t="shared" si="130"/>
        <v>1544.9849449397725</v>
      </c>
      <c r="X121" s="4">
        <f t="shared" si="131"/>
        <v>2126.738535318329</v>
      </c>
      <c r="Y121" s="4">
        <f t="shared" si="132"/>
        <v>3671.7234802581015</v>
      </c>
      <c r="Z121" s="10">
        <v>43077</v>
      </c>
      <c r="AA121" s="12">
        <v>47</v>
      </c>
      <c r="AB121" s="5">
        <v>1.1399999999999999</v>
      </c>
      <c r="AC121" s="4">
        <v>80.7</v>
      </c>
      <c r="AD121" s="4">
        <v>31.1</v>
      </c>
      <c r="AE121" s="4">
        <v>6</v>
      </c>
      <c r="AF121" s="4">
        <v>9.5</v>
      </c>
      <c r="AK121" s="3"/>
      <c r="AL121" s="3"/>
      <c r="AM121" s="7"/>
      <c r="AN121" s="7"/>
      <c r="AO121" s="7"/>
      <c r="AP121" s="7"/>
      <c r="AQ121" s="7"/>
      <c r="AR121" s="3"/>
      <c r="AS121" s="3"/>
      <c r="AT121" s="7"/>
      <c r="AU121" s="7"/>
      <c r="AV121" s="7"/>
      <c r="AW121" s="9"/>
      <c r="AX121" s="9"/>
      <c r="AY121" s="9"/>
      <c r="AZ121" s="3"/>
      <c r="BA121" s="3"/>
      <c r="BB121" s="3"/>
      <c r="BC121" s="3"/>
      <c r="BD121" s="3"/>
      <c r="BE121" s="3"/>
      <c r="BG121" s="13"/>
      <c r="BH121" s="7"/>
      <c r="BI121" s="3"/>
      <c r="BJ121" s="3"/>
      <c r="BK121" s="3"/>
      <c r="BL121" s="3"/>
    </row>
    <row r="122" spans="1:64" x14ac:dyDescent="0.25">
      <c r="A122">
        <v>75</v>
      </c>
      <c r="B122" s="1" t="s">
        <v>127</v>
      </c>
      <c r="C122" s="1" t="s">
        <v>32</v>
      </c>
      <c r="D122" s="2">
        <v>43047</v>
      </c>
      <c r="E122" s="3">
        <v>21</v>
      </c>
      <c r="F122" s="4">
        <f t="shared" si="121"/>
        <v>4602.8873228346465</v>
      </c>
      <c r="G122" s="7">
        <v>9.68</v>
      </c>
      <c r="H122" s="7">
        <v>138.38999999999999</v>
      </c>
      <c r="I122" s="7">
        <f t="shared" si="133"/>
        <v>128.70999999999998</v>
      </c>
      <c r="J122" s="7">
        <v>121.24</v>
      </c>
      <c r="K122" s="5">
        <f t="shared" si="122"/>
        <v>5.803744852769781</v>
      </c>
      <c r="L122" s="4">
        <f t="shared" si="123"/>
        <v>4335.747486756838</v>
      </c>
      <c r="M122" s="2">
        <v>43054</v>
      </c>
      <c r="N122" s="7">
        <v>9.1999999999999993</v>
      </c>
      <c r="O122" s="7">
        <v>3.4</v>
      </c>
      <c r="P122" s="7">
        <v>6.04</v>
      </c>
      <c r="Q122" s="6">
        <f t="shared" si="124"/>
        <v>0.3584070796460177</v>
      </c>
      <c r="R122" s="6">
        <f t="shared" si="125"/>
        <v>0.4823008849557523</v>
      </c>
      <c r="S122" s="6">
        <f t="shared" si="126"/>
        <v>0.15929203539823</v>
      </c>
      <c r="T122" s="4">
        <f t="shared" si="127"/>
        <v>1649.7074033168424</v>
      </c>
      <c r="U122" s="4">
        <f t="shared" si="128"/>
        <v>2219.9766291547635</v>
      </c>
      <c r="V122" s="4">
        <f t="shared" si="129"/>
        <v>3869.6840324716059</v>
      </c>
      <c r="W122" s="4">
        <f t="shared" si="130"/>
        <v>1553.962594811079</v>
      </c>
      <c r="X122" s="4">
        <f t="shared" si="131"/>
        <v>2091.1348498075017</v>
      </c>
      <c r="Y122" s="4">
        <f t="shared" si="132"/>
        <v>3645.097444618581</v>
      </c>
      <c r="Z122" s="10"/>
      <c r="AA122" s="12"/>
      <c r="AB122" s="5"/>
      <c r="AC122" s="4"/>
      <c r="AD122" s="4"/>
      <c r="AE122" s="4"/>
      <c r="AF122" s="4"/>
      <c r="AK122" s="3"/>
      <c r="AL122" s="3"/>
      <c r="AM122" s="7"/>
      <c r="AN122" s="7"/>
      <c r="AO122" s="7"/>
      <c r="AP122" s="7"/>
      <c r="AQ122" s="7"/>
      <c r="AR122" s="3"/>
      <c r="AS122" s="3"/>
      <c r="AT122" s="7"/>
      <c r="AU122" s="7"/>
      <c r="AV122" s="7"/>
      <c r="AW122" s="9"/>
      <c r="AX122" s="9"/>
      <c r="AY122" s="9"/>
      <c r="AZ122" s="3"/>
      <c r="BA122" s="3"/>
      <c r="BB122" s="3"/>
      <c r="BC122" s="3"/>
      <c r="BD122" s="3"/>
      <c r="BE122" s="3"/>
      <c r="BG122" s="13"/>
      <c r="BH122" s="7"/>
      <c r="BI122" s="3"/>
      <c r="BJ122" s="3"/>
      <c r="BK122" s="3"/>
      <c r="BL122" s="3"/>
    </row>
    <row r="123" spans="1:64" x14ac:dyDescent="0.25">
      <c r="A123">
        <v>76</v>
      </c>
      <c r="B123" s="1" t="s">
        <v>128</v>
      </c>
      <c r="C123" s="1" t="s">
        <v>32</v>
      </c>
      <c r="D123" s="2">
        <v>43047</v>
      </c>
      <c r="E123" s="3">
        <v>16.2</v>
      </c>
      <c r="F123" s="4">
        <f t="shared" si="121"/>
        <v>3531.4101574803149</v>
      </c>
      <c r="G123" s="7">
        <v>9.69</v>
      </c>
      <c r="H123" s="7">
        <v>205.28</v>
      </c>
      <c r="I123" s="7">
        <f t="shared" si="133"/>
        <v>195.59</v>
      </c>
      <c r="J123" s="7">
        <v>184.94</v>
      </c>
      <c r="K123" s="5">
        <f t="shared" si="122"/>
        <v>5.4450636535610233</v>
      </c>
      <c r="L123" s="4">
        <f t="shared" si="123"/>
        <v>3339.122626537192</v>
      </c>
      <c r="M123" s="2">
        <v>43054</v>
      </c>
      <c r="N123" s="7">
        <v>6.96</v>
      </c>
      <c r="O123" s="7">
        <v>2.52</v>
      </c>
      <c r="P123" s="7">
        <v>4.96</v>
      </c>
      <c r="Q123" s="6">
        <f t="shared" si="124"/>
        <v>0.34705882352941175</v>
      </c>
      <c r="R123" s="6">
        <f t="shared" si="125"/>
        <v>0.48235294117647065</v>
      </c>
      <c r="S123" s="6">
        <f t="shared" si="126"/>
        <v>0.1705882352941176</v>
      </c>
      <c r="T123" s="4">
        <f t="shared" si="127"/>
        <v>1225.6070546549327</v>
      </c>
      <c r="U123" s="4">
        <f t="shared" si="128"/>
        <v>1703.3860759610932</v>
      </c>
      <c r="V123" s="4">
        <f t="shared" si="129"/>
        <v>2928.9931306160261</v>
      </c>
      <c r="W123" s="4">
        <f t="shared" si="130"/>
        <v>1158.8719703864372</v>
      </c>
      <c r="X123" s="4">
        <f t="shared" si="131"/>
        <v>1610.6356198591163</v>
      </c>
      <c r="Y123" s="4">
        <f t="shared" si="132"/>
        <v>2769.5075902455537</v>
      </c>
      <c r="Z123" s="10"/>
      <c r="AA123" s="12"/>
      <c r="AB123" s="5"/>
      <c r="AC123" s="4"/>
      <c r="AD123" s="4"/>
      <c r="AE123" s="4"/>
      <c r="AF123" s="4"/>
      <c r="AH123" t="s">
        <v>272</v>
      </c>
      <c r="AI123" t="s">
        <v>32</v>
      </c>
      <c r="AJ123" s="8">
        <f>D123</f>
        <v>43047</v>
      </c>
      <c r="AK123" s="3">
        <f>SUM(E123:E125)</f>
        <v>46.9</v>
      </c>
      <c r="AL123" s="3">
        <f>(AK123-3*$A$35)*$A$36/(3*$A$37)*$A$38</f>
        <v>3404.9163254593172</v>
      </c>
      <c r="AM123" s="7">
        <f>SUM(G123:G125)</f>
        <v>29.119999999999997</v>
      </c>
      <c r="AN123" s="7">
        <f>SUM(H123:H125)</f>
        <v>513.28</v>
      </c>
      <c r="AO123" s="7">
        <f>AN123-AM123</f>
        <v>484.15999999999997</v>
      </c>
      <c r="AP123" s="7">
        <f>SUM(J123:J125)</f>
        <v>453.90999999999997</v>
      </c>
      <c r="AQ123" s="7">
        <f>(AO123-AP123)/AO123*100</f>
        <v>6.2479345670852613</v>
      </c>
      <c r="AR123" s="3">
        <f>AL123*(1-AQ123/100)</f>
        <v>3192.1793813806153</v>
      </c>
      <c r="AS123" s="11">
        <f>M123</f>
        <v>43054</v>
      </c>
      <c r="AT123" s="7">
        <f>SUM(N123:N125)</f>
        <v>20.23</v>
      </c>
      <c r="AU123" s="7">
        <f>SUM(O123:O125)</f>
        <v>7.3000000000000007</v>
      </c>
      <c r="AV123" s="7">
        <f>SUM(P123:P125)</f>
        <v>14.559999999999999</v>
      </c>
      <c r="AW123" s="9">
        <f>(AU123-3*$A$39)/(AT123-3*$A$39)</f>
        <v>0.34531645569620256</v>
      </c>
      <c r="AX123" s="9">
        <f>(AV123-3*$A$40)/(AT123-3*$A$39)</f>
        <v>0.48202531645569618</v>
      </c>
      <c r="AY123" s="9">
        <f>1-AW123-AX123</f>
        <v>0.17265822784810131</v>
      </c>
      <c r="AZ123" s="3">
        <f>AL123*AW123</f>
        <v>1175.7736374497492</v>
      </c>
      <c r="BA123" s="3">
        <f>AL123*AX123</f>
        <v>1641.2558692846935</v>
      </c>
      <c r="BB123" s="3">
        <f>AZ123+BA123</f>
        <v>2817.0295067344427</v>
      </c>
      <c r="BC123" s="3">
        <f>AR123*AW123</f>
        <v>1102.3120699248504</v>
      </c>
      <c r="BD123" s="3">
        <f>AR123*AX123</f>
        <v>1538.7112764933395</v>
      </c>
      <c r="BE123" s="3">
        <f>BC123+BD123</f>
        <v>2641.0233464181902</v>
      </c>
      <c r="BF123" s="11">
        <f>Z124</f>
        <v>43077</v>
      </c>
      <c r="BG123" s="13">
        <f>AVERAGE(AA123:AA125)</f>
        <v>48</v>
      </c>
      <c r="BH123" s="7">
        <f t="shared" ref="BH123" si="149">AVERAGE(AB123:AB125)</f>
        <v>1.1200000000000001</v>
      </c>
      <c r="BI123" s="3">
        <f t="shared" ref="BI123" si="150">AVERAGE(AC123:AC125)</f>
        <v>80.2</v>
      </c>
      <c r="BJ123" s="3">
        <f t="shared" ref="BJ123" si="151">AVERAGE(AD123:AD125)</f>
        <v>30.7</v>
      </c>
      <c r="BK123" s="3">
        <f t="shared" ref="BK123" si="152">AVERAGE(AE123:AE125)</f>
        <v>5.9</v>
      </c>
      <c r="BL123" s="3">
        <f t="shared" ref="BL123" si="153">AVERAGE(AF123:AF125)</f>
        <v>9.9</v>
      </c>
    </row>
    <row r="124" spans="1:64" x14ac:dyDescent="0.25">
      <c r="A124">
        <v>77</v>
      </c>
      <c r="B124" s="1" t="s">
        <v>129</v>
      </c>
      <c r="C124" s="1" t="s">
        <v>32</v>
      </c>
      <c r="D124" s="2">
        <v>43047</v>
      </c>
      <c r="E124" s="3">
        <v>14.1</v>
      </c>
      <c r="F124" s="4">
        <f t="shared" si="121"/>
        <v>3062.6388976377948</v>
      </c>
      <c r="G124" s="7">
        <v>9.7100000000000009</v>
      </c>
      <c r="H124" s="7">
        <v>142.81</v>
      </c>
      <c r="I124" s="7">
        <f t="shared" si="133"/>
        <v>133.1</v>
      </c>
      <c r="J124" s="7">
        <v>123.32</v>
      </c>
      <c r="K124" s="5">
        <f t="shared" si="122"/>
        <v>7.3478587528174319</v>
      </c>
      <c r="L124" s="4">
        <f t="shared" si="123"/>
        <v>2837.6005173305248</v>
      </c>
      <c r="M124" s="2">
        <v>43054</v>
      </c>
      <c r="N124" s="7">
        <v>6.08</v>
      </c>
      <c r="O124" s="7">
        <v>2.2000000000000002</v>
      </c>
      <c r="P124" s="7">
        <v>4.58</v>
      </c>
      <c r="Q124" s="6">
        <f t="shared" si="124"/>
        <v>0.34459459459459463</v>
      </c>
      <c r="R124" s="6">
        <f t="shared" si="125"/>
        <v>0.48986486486486491</v>
      </c>
      <c r="S124" s="6">
        <f t="shared" si="126"/>
        <v>0.16554054054054046</v>
      </c>
      <c r="T124" s="4">
        <f t="shared" si="127"/>
        <v>1055.3688093211322</v>
      </c>
      <c r="U124" s="4">
        <f t="shared" si="128"/>
        <v>1500.2791897212171</v>
      </c>
      <c r="V124" s="4">
        <f t="shared" si="129"/>
        <v>2555.6479990423495</v>
      </c>
      <c r="W124" s="4">
        <f t="shared" si="130"/>
        <v>977.82179989092413</v>
      </c>
      <c r="X124" s="4">
        <f t="shared" si="131"/>
        <v>1390.0407939625884</v>
      </c>
      <c r="Y124" s="4">
        <f t="shared" si="132"/>
        <v>2367.8625938535124</v>
      </c>
      <c r="Z124" s="10">
        <v>43077</v>
      </c>
      <c r="AA124" s="12">
        <v>48</v>
      </c>
      <c r="AB124" s="5">
        <v>1.1200000000000001</v>
      </c>
      <c r="AC124" s="4">
        <v>80.2</v>
      </c>
      <c r="AD124" s="4">
        <v>30.7</v>
      </c>
      <c r="AE124" s="4">
        <v>5.9</v>
      </c>
      <c r="AF124" s="4">
        <v>9.9</v>
      </c>
      <c r="AK124" s="3"/>
      <c r="AL124" s="3"/>
      <c r="AM124" s="7"/>
      <c r="AN124" s="7"/>
      <c r="AO124" s="7"/>
      <c r="AP124" s="7"/>
      <c r="AQ124" s="7"/>
      <c r="AR124" s="3"/>
      <c r="AS124" s="3"/>
      <c r="AT124" s="7"/>
      <c r="AU124" s="7"/>
      <c r="AV124" s="7"/>
      <c r="AW124" s="9"/>
      <c r="AX124" s="9"/>
      <c r="AY124" s="9"/>
      <c r="AZ124" s="3"/>
      <c r="BA124" s="3"/>
      <c r="BB124" s="3"/>
      <c r="BC124" s="3"/>
      <c r="BD124" s="3"/>
      <c r="BE124" s="3"/>
      <c r="BG124" s="13"/>
      <c r="BH124" s="7"/>
      <c r="BI124" s="3"/>
      <c r="BJ124" s="3"/>
      <c r="BK124" s="3"/>
      <c r="BL124" s="3"/>
    </row>
    <row r="125" spans="1:64" x14ac:dyDescent="0.25">
      <c r="A125">
        <v>78</v>
      </c>
      <c r="B125" s="1" t="s">
        <v>130</v>
      </c>
      <c r="C125" s="1" t="s">
        <v>32</v>
      </c>
      <c r="D125" s="2">
        <v>43047</v>
      </c>
      <c r="E125" s="3">
        <v>16.600000000000001</v>
      </c>
      <c r="F125" s="4">
        <f t="shared" si="121"/>
        <v>3620.699921259843</v>
      </c>
      <c r="G125" s="7">
        <v>9.7200000000000006</v>
      </c>
      <c r="H125" s="7">
        <v>165.19</v>
      </c>
      <c r="I125" s="7">
        <f t="shared" si="133"/>
        <v>155.47</v>
      </c>
      <c r="J125" s="7">
        <v>145.65</v>
      </c>
      <c r="K125" s="5">
        <f t="shared" si="122"/>
        <v>6.3163311249758758</v>
      </c>
      <c r="L125" s="4">
        <f t="shared" si="123"/>
        <v>3392.0045251913307</v>
      </c>
      <c r="M125" s="2">
        <v>43054</v>
      </c>
      <c r="N125" s="7">
        <v>7.19</v>
      </c>
      <c r="O125" s="7">
        <v>2.58</v>
      </c>
      <c r="P125" s="7">
        <v>5.0199999999999996</v>
      </c>
      <c r="Q125" s="6">
        <f t="shared" si="124"/>
        <v>0.34423897581792318</v>
      </c>
      <c r="R125" s="6">
        <f t="shared" si="125"/>
        <v>0.4751066856330014</v>
      </c>
      <c r="S125" s="6">
        <f t="shared" si="126"/>
        <v>0.18065433854907542</v>
      </c>
      <c r="T125" s="4">
        <f t="shared" si="127"/>
        <v>1246.3860326385234</v>
      </c>
      <c r="U125" s="4">
        <f t="shared" si="128"/>
        <v>1720.2187392614333</v>
      </c>
      <c r="V125" s="4">
        <f t="shared" si="129"/>
        <v>2966.6047718999566</v>
      </c>
      <c r="W125" s="4">
        <f t="shared" si="130"/>
        <v>1167.6601637216245</v>
      </c>
      <c r="X125" s="4">
        <f t="shared" si="131"/>
        <v>1611.5640276157958</v>
      </c>
      <c r="Y125" s="4">
        <f t="shared" si="132"/>
        <v>2779.2241913374201</v>
      </c>
      <c r="Z125" s="10"/>
      <c r="AA125" s="12"/>
      <c r="AB125" s="5"/>
      <c r="AC125" s="4"/>
      <c r="AD125" s="4"/>
      <c r="AE125" s="4"/>
      <c r="AF125" s="4"/>
      <c r="AK125" s="3"/>
      <c r="AL125" s="3"/>
      <c r="AM125" s="7"/>
      <c r="AN125" s="7"/>
      <c r="AO125" s="7"/>
      <c r="AP125" s="7"/>
      <c r="AQ125" s="7"/>
      <c r="AR125" s="3"/>
      <c r="AS125" s="3"/>
      <c r="AT125" s="7"/>
      <c r="AU125" s="7"/>
      <c r="AV125" s="7"/>
      <c r="AW125" s="9"/>
      <c r="AX125" s="9"/>
      <c r="AY125" s="9"/>
      <c r="AZ125" s="3"/>
      <c r="BA125" s="3"/>
      <c r="BB125" s="3"/>
      <c r="BC125" s="3"/>
      <c r="BD125" s="3"/>
      <c r="BE125" s="3"/>
      <c r="BG125" s="13"/>
      <c r="BH125" s="7"/>
      <c r="BI125" s="3"/>
      <c r="BJ125" s="3"/>
      <c r="BK125" s="3"/>
      <c r="BL125" s="3"/>
    </row>
    <row r="126" spans="1:64" x14ac:dyDescent="0.25">
      <c r="A126">
        <v>79</v>
      </c>
      <c r="B126" s="1" t="s">
        <v>131</v>
      </c>
      <c r="C126" s="1" t="s">
        <v>32</v>
      </c>
      <c r="D126" s="2">
        <v>43047</v>
      </c>
      <c r="E126" s="3">
        <v>19.2</v>
      </c>
      <c r="F126" s="4">
        <f t="shared" si="121"/>
        <v>4201.0833858267715</v>
      </c>
      <c r="G126" s="7">
        <v>9.7200000000000006</v>
      </c>
      <c r="H126" s="7">
        <v>192.85</v>
      </c>
      <c r="I126" s="7">
        <f t="shared" si="133"/>
        <v>183.13</v>
      </c>
      <c r="J126" s="7">
        <v>172.51</v>
      </c>
      <c r="K126" s="5">
        <f t="shared" si="122"/>
        <v>5.7991590673292226</v>
      </c>
      <c r="L126" s="4">
        <f t="shared" si="123"/>
        <v>3957.4558777315369</v>
      </c>
      <c r="M126" s="2">
        <v>43054</v>
      </c>
      <c r="N126" s="7">
        <v>8.3699999999999992</v>
      </c>
      <c r="O126" s="7">
        <v>3.04</v>
      </c>
      <c r="P126" s="7">
        <v>5.7</v>
      </c>
      <c r="Q126" s="6">
        <f t="shared" si="124"/>
        <v>0.3507917174177832</v>
      </c>
      <c r="R126" s="6">
        <f t="shared" si="125"/>
        <v>0.48964677222898917</v>
      </c>
      <c r="S126" s="6">
        <f t="shared" si="126"/>
        <v>0.15956151035322758</v>
      </c>
      <c r="T126" s="4">
        <f t="shared" si="127"/>
        <v>1473.7052559294887</v>
      </c>
      <c r="U126" s="4">
        <f t="shared" si="128"/>
        <v>2057.0469197349116</v>
      </c>
      <c r="V126" s="4">
        <f t="shared" si="129"/>
        <v>3530.7521756644001</v>
      </c>
      <c r="W126" s="4">
        <f t="shared" si="130"/>
        <v>1388.2427439545465</v>
      </c>
      <c r="X126" s="4">
        <f t="shared" si="131"/>
        <v>1937.7554967698882</v>
      </c>
      <c r="Y126" s="4">
        <f t="shared" si="132"/>
        <v>3325.9982407244347</v>
      </c>
      <c r="Z126" s="10"/>
      <c r="AA126" s="12"/>
      <c r="AB126" s="5"/>
      <c r="AC126" s="4"/>
      <c r="AD126" s="4"/>
      <c r="AE126" s="4"/>
      <c r="AF126" s="4"/>
      <c r="AH126" t="s">
        <v>273</v>
      </c>
      <c r="AI126" t="s">
        <v>32</v>
      </c>
      <c r="AJ126" s="8">
        <f>D126</f>
        <v>43047</v>
      </c>
      <c r="AK126" s="3">
        <f>SUM(E126:E128)</f>
        <v>62.9</v>
      </c>
      <c r="AL126" s="3">
        <f>(AK126-3*$A$35)*$A$36/(3*$A$37)*$A$38</f>
        <v>4595.4465091863512</v>
      </c>
      <c r="AM126" s="7">
        <f>SUM(G126:G128)</f>
        <v>29.15</v>
      </c>
      <c r="AN126" s="7">
        <f>SUM(H126:H128)</f>
        <v>571.46</v>
      </c>
      <c r="AO126" s="7">
        <f>AN126-AM126</f>
        <v>542.31000000000006</v>
      </c>
      <c r="AP126" s="7">
        <f>SUM(J126:J128)</f>
        <v>509.34</v>
      </c>
      <c r="AQ126" s="7">
        <f>(AO126-AP126)/AO126*100</f>
        <v>6.0795485976655561</v>
      </c>
      <c r="AR126" s="3">
        <f>AL126*(1-AQ126/100)</f>
        <v>4316.0641053806421</v>
      </c>
      <c r="AS126" s="11">
        <f>M126</f>
        <v>43054</v>
      </c>
      <c r="AT126" s="7">
        <f>SUM(N126:N128)</f>
        <v>27.35</v>
      </c>
      <c r="AU126" s="7">
        <f>SUM(O126:O128)</f>
        <v>10.06</v>
      </c>
      <c r="AV126" s="7">
        <f>SUM(P126:P128)</f>
        <v>18.04</v>
      </c>
      <c r="AW126" s="9">
        <f>(AU126-3*$A$39)/(AT126-3*$A$39)</f>
        <v>0.3565314477112021</v>
      </c>
      <c r="AX126" s="9">
        <f>(AV126-3*$A$40)/(AT126-3*$A$39)</f>
        <v>0.48381094157052473</v>
      </c>
      <c r="AY126" s="9">
        <f>1-AW126-AX126</f>
        <v>0.15965761071827322</v>
      </c>
      <c r="AZ126" s="3">
        <f>AL126*AW126</f>
        <v>1638.4211967995998</v>
      </c>
      <c r="BA126" s="3">
        <f>AL126*AX126</f>
        <v>2223.3273025464296</v>
      </c>
      <c r="BB126" s="3">
        <f>AZ126+BA126</f>
        <v>3861.7484993460293</v>
      </c>
      <c r="BC126" s="3">
        <f>AR126*AW126</f>
        <v>1538.8125839057147</v>
      </c>
      <c r="BD126" s="3">
        <f>AR126*AX126</f>
        <v>2088.1590387029528</v>
      </c>
      <c r="BE126" s="3">
        <f>BC126+BD126</f>
        <v>3626.9716226086675</v>
      </c>
      <c r="BF126" s="11">
        <f>Z127</f>
        <v>43077</v>
      </c>
      <c r="BG126" s="13">
        <f>AVERAGE(AA126:AA128)</f>
        <v>44</v>
      </c>
      <c r="BH126" s="7">
        <f t="shared" ref="BH126" si="154">AVERAGE(AB126:AB128)</f>
        <v>1.1599999999999999</v>
      </c>
      <c r="BI126" s="3">
        <f t="shared" ref="BI126" si="155">AVERAGE(AC126:AC128)</f>
        <v>81.599999999999994</v>
      </c>
      <c r="BJ126" s="3">
        <f t="shared" ref="BJ126" si="156">AVERAGE(AD126:AD128)</f>
        <v>32.299999999999997</v>
      </c>
      <c r="BK126" s="3">
        <f t="shared" ref="BK126" si="157">AVERAGE(AE126:AE128)</f>
        <v>6.1</v>
      </c>
      <c r="BL126" s="3">
        <f t="shared" ref="BL126" si="158">AVERAGE(AF126:AF128)</f>
        <v>9.1999999999999993</v>
      </c>
    </row>
    <row r="127" spans="1:64" x14ac:dyDescent="0.25">
      <c r="A127">
        <v>80</v>
      </c>
      <c r="B127" s="1" t="s">
        <v>132</v>
      </c>
      <c r="C127" s="1" t="s">
        <v>32</v>
      </c>
      <c r="D127" s="2">
        <v>43047</v>
      </c>
      <c r="E127" s="3">
        <v>21.3</v>
      </c>
      <c r="F127" s="4">
        <f t="shared" si="121"/>
        <v>4669.854645669292</v>
      </c>
      <c r="G127" s="7">
        <v>9.7100000000000009</v>
      </c>
      <c r="H127" s="7">
        <v>140.51</v>
      </c>
      <c r="I127" s="7">
        <f t="shared" si="133"/>
        <v>130.79999999999998</v>
      </c>
      <c r="J127" s="7">
        <v>123.44</v>
      </c>
      <c r="K127" s="5">
        <f t="shared" si="122"/>
        <v>5.6269113149846994</v>
      </c>
      <c r="L127" s="4">
        <f t="shared" si="123"/>
        <v>4407.0860662187879</v>
      </c>
      <c r="M127" s="2">
        <v>43054</v>
      </c>
      <c r="N127" s="7">
        <v>9.3000000000000007</v>
      </c>
      <c r="O127" s="7">
        <v>3.46</v>
      </c>
      <c r="P127" s="7">
        <v>6.12</v>
      </c>
      <c r="Q127" s="6">
        <f t="shared" si="124"/>
        <v>0.36105032822757105</v>
      </c>
      <c r="R127" s="6">
        <f t="shared" si="125"/>
        <v>0.48577680525164113</v>
      </c>
      <c r="S127" s="6">
        <f t="shared" si="126"/>
        <v>0.15317286652078788</v>
      </c>
      <c r="T127" s="4">
        <f t="shared" si="127"/>
        <v>1686.0525525939454</v>
      </c>
      <c r="U127" s="4">
        <f t="shared" si="128"/>
        <v>2268.5070707627633</v>
      </c>
      <c r="V127" s="4">
        <f t="shared" si="129"/>
        <v>3954.5596233567085</v>
      </c>
      <c r="W127" s="4">
        <f t="shared" si="130"/>
        <v>1591.1798707354483</v>
      </c>
      <c r="X127" s="4">
        <f t="shared" si="131"/>
        <v>2140.8601897167855</v>
      </c>
      <c r="Y127" s="4">
        <f t="shared" si="132"/>
        <v>3732.0400604522338</v>
      </c>
      <c r="Z127" s="10">
        <v>43077</v>
      </c>
      <c r="AA127" s="12">
        <v>44</v>
      </c>
      <c r="AB127" s="5">
        <v>1.1599999999999999</v>
      </c>
      <c r="AC127" s="4">
        <v>81.599999999999994</v>
      </c>
      <c r="AD127" s="4">
        <v>32.299999999999997</v>
      </c>
      <c r="AE127" s="4">
        <v>6.1</v>
      </c>
      <c r="AF127" s="4">
        <v>9.1999999999999993</v>
      </c>
      <c r="AK127" s="3"/>
      <c r="AL127" s="3"/>
      <c r="AM127" s="7"/>
      <c r="AN127" s="7"/>
      <c r="AO127" s="7"/>
      <c r="AP127" s="7"/>
      <c r="AQ127" s="7"/>
      <c r="AR127" s="3"/>
      <c r="AS127" s="3"/>
      <c r="AT127" s="7"/>
      <c r="AU127" s="7"/>
      <c r="AV127" s="7"/>
      <c r="AW127" s="9"/>
      <c r="AX127" s="9"/>
      <c r="AY127" s="9"/>
      <c r="AZ127" s="3"/>
      <c r="BA127" s="3"/>
      <c r="BB127" s="3"/>
      <c r="BC127" s="3"/>
      <c r="BD127" s="3"/>
      <c r="BE127" s="3"/>
      <c r="BG127" s="13"/>
      <c r="BH127" s="7"/>
      <c r="BI127" s="3"/>
      <c r="BJ127" s="3"/>
      <c r="BK127" s="3"/>
      <c r="BL127" s="3"/>
    </row>
    <row r="128" spans="1:64" x14ac:dyDescent="0.25">
      <c r="A128">
        <v>81</v>
      </c>
      <c r="B128" s="1" t="s">
        <v>133</v>
      </c>
      <c r="C128" s="1" t="s">
        <v>32</v>
      </c>
      <c r="D128" s="2">
        <v>43047</v>
      </c>
      <c r="E128" s="3">
        <v>22.4</v>
      </c>
      <c r="F128" s="4">
        <f t="shared" si="121"/>
        <v>4915.401496062992</v>
      </c>
      <c r="G128" s="7">
        <v>9.7200000000000006</v>
      </c>
      <c r="H128" s="7">
        <v>238.1</v>
      </c>
      <c r="I128" s="7">
        <f t="shared" si="133"/>
        <v>228.38</v>
      </c>
      <c r="J128" s="7">
        <v>213.39</v>
      </c>
      <c r="K128" s="5">
        <f t="shared" si="122"/>
        <v>6.5636220334530204</v>
      </c>
      <c r="L128" s="4">
        <f t="shared" si="123"/>
        <v>4592.7731204347219</v>
      </c>
      <c r="M128" s="2">
        <v>43054</v>
      </c>
      <c r="N128" s="7">
        <v>9.68</v>
      </c>
      <c r="O128" s="7">
        <v>3.56</v>
      </c>
      <c r="P128" s="7">
        <v>6.22</v>
      </c>
      <c r="Q128" s="6">
        <f t="shared" si="124"/>
        <v>0.35714285714285715</v>
      </c>
      <c r="R128" s="6">
        <f t="shared" si="125"/>
        <v>0.47689075630252103</v>
      </c>
      <c r="S128" s="6">
        <f t="shared" si="126"/>
        <v>0.16596638655462176</v>
      </c>
      <c r="T128" s="4">
        <f t="shared" si="127"/>
        <v>1755.5005343082114</v>
      </c>
      <c r="U128" s="4">
        <f t="shared" si="128"/>
        <v>2344.1095369880236</v>
      </c>
      <c r="V128" s="4">
        <f t="shared" si="129"/>
        <v>4099.6100712962352</v>
      </c>
      <c r="W128" s="4">
        <f t="shared" si="130"/>
        <v>1640.2761144409722</v>
      </c>
      <c r="X128" s="4">
        <f t="shared" si="131"/>
        <v>2190.2510469300041</v>
      </c>
      <c r="Y128" s="4">
        <f t="shared" si="132"/>
        <v>3830.5271613709765</v>
      </c>
      <c r="Z128" s="10"/>
      <c r="AA128" s="12"/>
      <c r="AB128" s="5"/>
      <c r="AC128" s="4"/>
      <c r="AD128" s="4"/>
      <c r="AE128" s="4"/>
      <c r="AF128" s="4"/>
      <c r="AK128" s="3"/>
      <c r="AL128" s="3"/>
      <c r="AM128" s="7"/>
      <c r="AN128" s="7"/>
      <c r="AO128" s="7"/>
      <c r="AP128" s="7"/>
      <c r="AQ128" s="7"/>
      <c r="AR128" s="3"/>
      <c r="AS128" s="3"/>
      <c r="AT128" s="7"/>
      <c r="AU128" s="7"/>
      <c r="AV128" s="7"/>
      <c r="AW128" s="9"/>
      <c r="AX128" s="9"/>
      <c r="AY128" s="9"/>
      <c r="AZ128" s="3"/>
      <c r="BA128" s="3"/>
      <c r="BB128" s="3"/>
      <c r="BC128" s="3"/>
      <c r="BD128" s="3"/>
      <c r="BE128" s="3"/>
      <c r="BG128" s="13"/>
      <c r="BH128" s="7"/>
      <c r="BI128" s="3"/>
      <c r="BJ128" s="3"/>
      <c r="BK128" s="3"/>
      <c r="BL128" s="3"/>
    </row>
    <row r="129" spans="1:64" x14ac:dyDescent="0.25">
      <c r="A129">
        <v>82</v>
      </c>
      <c r="B129" s="1" t="s">
        <v>134</v>
      </c>
      <c r="C129" s="1" t="s">
        <v>32</v>
      </c>
      <c r="D129" s="2">
        <v>43047</v>
      </c>
      <c r="E129" s="3">
        <v>18.3</v>
      </c>
      <c r="F129" s="4">
        <f t="shared" si="121"/>
        <v>4000.1814173228349</v>
      </c>
      <c r="G129" s="7">
        <v>9.61</v>
      </c>
      <c r="H129" s="7">
        <v>194.51</v>
      </c>
      <c r="I129" s="7">
        <f t="shared" si="133"/>
        <v>184.89999999999998</v>
      </c>
      <c r="J129" s="7">
        <v>174.01</v>
      </c>
      <c r="K129" s="5">
        <f t="shared" si="122"/>
        <v>5.889670091941583</v>
      </c>
      <c r="L129" s="4">
        <f t="shared" si="123"/>
        <v>3764.5839287633671</v>
      </c>
      <c r="M129" s="2">
        <v>43054</v>
      </c>
      <c r="N129" s="7">
        <v>7.96</v>
      </c>
      <c r="O129" s="7">
        <v>2.88</v>
      </c>
      <c r="P129" s="7">
        <v>5.44</v>
      </c>
      <c r="Q129" s="6">
        <f t="shared" si="124"/>
        <v>0.3487179487179487</v>
      </c>
      <c r="R129" s="6">
        <f t="shared" si="125"/>
        <v>0.48205128205128217</v>
      </c>
      <c r="S129" s="6">
        <f t="shared" si="126"/>
        <v>0.16923076923076913</v>
      </c>
      <c r="T129" s="4">
        <f t="shared" si="127"/>
        <v>1394.9350583484756</v>
      </c>
      <c r="U129" s="4">
        <f t="shared" si="128"/>
        <v>1928.2925806581875</v>
      </c>
      <c r="V129" s="4">
        <f t="shared" si="129"/>
        <v>3323.2276390066631</v>
      </c>
      <c r="W129" s="4">
        <f t="shared" si="130"/>
        <v>1312.7779854149178</v>
      </c>
      <c r="X129" s="4">
        <f t="shared" si="131"/>
        <v>1814.7225092500339</v>
      </c>
      <c r="Y129" s="4">
        <f t="shared" si="132"/>
        <v>3127.5004946649515</v>
      </c>
      <c r="Z129" s="10"/>
      <c r="AA129" s="12"/>
      <c r="AB129" s="5"/>
      <c r="AC129" s="4"/>
      <c r="AD129" s="4"/>
      <c r="AE129" s="4"/>
      <c r="AF129" s="4"/>
      <c r="AH129" t="s">
        <v>274</v>
      </c>
      <c r="AI129" t="s">
        <v>32</v>
      </c>
      <c r="AJ129" s="8">
        <f>D129</f>
        <v>43047</v>
      </c>
      <c r="AK129" s="3">
        <f>SUM(E129:E131)</f>
        <v>53.5</v>
      </c>
      <c r="AL129" s="3">
        <f>(AK129-3*$A$35)*$A$36/(3*$A$37)*$A$38</f>
        <v>3896.010026246719</v>
      </c>
      <c r="AM129" s="7">
        <f>SUM(G129:G131)</f>
        <v>28.97</v>
      </c>
      <c r="AN129" s="7">
        <f>SUM(H129:H131)</f>
        <v>545.47</v>
      </c>
      <c r="AO129" s="7">
        <f>AN129-AM129</f>
        <v>516.5</v>
      </c>
      <c r="AP129" s="7">
        <f>SUM(J129:J131)</f>
        <v>486.14</v>
      </c>
      <c r="AQ129" s="7">
        <f>(AO129-AP129)/AO129*100</f>
        <v>5.87802516940949</v>
      </c>
      <c r="AR129" s="3">
        <f>AL129*(1-AQ129/100)</f>
        <v>3667.0015763012193</v>
      </c>
      <c r="AS129" s="11">
        <f>M129</f>
        <v>43054</v>
      </c>
      <c r="AT129" s="7">
        <f>SUM(N129:N131)</f>
        <v>23.229999999999997</v>
      </c>
      <c r="AU129" s="7">
        <f>SUM(O129:O131)</f>
        <v>8.5399999999999991</v>
      </c>
      <c r="AV129" s="7">
        <f>SUM(P129:P131)</f>
        <v>16.04</v>
      </c>
      <c r="AW129" s="9">
        <f>(AU129-3*$A$39)/(AT129-3*$A$39)</f>
        <v>0.35428571428571426</v>
      </c>
      <c r="AX129" s="9">
        <f>(AV129-3*$A$40)/(AT129-3*$A$39)</f>
        <v>0.48351648351648358</v>
      </c>
      <c r="AY129" s="9">
        <f>1-AW129-AX129</f>
        <v>0.16219780219780211</v>
      </c>
      <c r="AZ129" s="3">
        <f>AL129*AW129</f>
        <v>1380.3006950131232</v>
      </c>
      <c r="BA129" s="3">
        <f>AL129*AX129</f>
        <v>1883.7850676357764</v>
      </c>
      <c r="BB129" s="3">
        <f>AZ129+BA129</f>
        <v>3264.0857626488996</v>
      </c>
      <c r="BC129" s="3">
        <f>AR129*AW129</f>
        <v>1299.1662727467176</v>
      </c>
      <c r="BD129" s="3">
        <f>AR129*AX129</f>
        <v>1773.0557072225679</v>
      </c>
      <c r="BE129" s="3">
        <f>BC129+BD129</f>
        <v>3072.2219799692857</v>
      </c>
      <c r="BF129" s="11">
        <f>Z130</f>
        <v>43077</v>
      </c>
      <c r="BG129" s="13">
        <f>AVERAGE(AA129:AA131)</f>
        <v>42</v>
      </c>
      <c r="BH129" s="7">
        <f t="shared" ref="BH129" si="159">AVERAGE(AB129:AB131)</f>
        <v>1.1499999999999999</v>
      </c>
      <c r="BI129" s="3">
        <f t="shared" ref="BI129" si="160">AVERAGE(AC129:AC131)</f>
        <v>81.400000000000006</v>
      </c>
      <c r="BJ129" s="3">
        <f t="shared" ref="BJ129" si="161">AVERAGE(AD129:AD131)</f>
        <v>31.9</v>
      </c>
      <c r="BK129" s="3">
        <f t="shared" ref="BK129" si="162">AVERAGE(AE129:AE131)</f>
        <v>6.1</v>
      </c>
      <c r="BL129" s="3">
        <f t="shared" ref="BL129" si="163">AVERAGE(AF129:AF131)</f>
        <v>9.5</v>
      </c>
    </row>
    <row r="130" spans="1:64" x14ac:dyDescent="0.25">
      <c r="A130">
        <v>83</v>
      </c>
      <c r="B130" s="1" t="s">
        <v>135</v>
      </c>
      <c r="C130" s="1" t="s">
        <v>32</v>
      </c>
      <c r="D130" s="2">
        <v>43047</v>
      </c>
      <c r="E130" s="3">
        <v>18.399999999999999</v>
      </c>
      <c r="F130" s="4">
        <f t="shared" si="121"/>
        <v>4022.5038582677162</v>
      </c>
      <c r="G130" s="7">
        <v>9.65</v>
      </c>
      <c r="H130" s="7">
        <v>142.6</v>
      </c>
      <c r="I130" s="7">
        <f t="shared" si="133"/>
        <v>132.94999999999999</v>
      </c>
      <c r="J130" s="7">
        <v>125.45</v>
      </c>
      <c r="K130" s="5">
        <f t="shared" si="122"/>
        <v>5.6412185031966802</v>
      </c>
      <c r="L130" s="4">
        <f t="shared" si="123"/>
        <v>3795.5856263233177</v>
      </c>
      <c r="M130" s="2">
        <v>43054</v>
      </c>
      <c r="N130" s="7">
        <v>8.0299999999999994</v>
      </c>
      <c r="O130" s="7">
        <v>3</v>
      </c>
      <c r="P130" s="7">
        <v>5.52</v>
      </c>
      <c r="Q130" s="6">
        <f t="shared" si="124"/>
        <v>0.36086404066073702</v>
      </c>
      <c r="R130" s="6">
        <f t="shared" si="125"/>
        <v>0.48792884371029227</v>
      </c>
      <c r="S130" s="6">
        <f t="shared" si="126"/>
        <v>0.15120711562897066</v>
      </c>
      <c r="T130" s="4">
        <f t="shared" si="127"/>
        <v>1451.5769958678927</v>
      </c>
      <c r="U130" s="4">
        <f t="shared" si="128"/>
        <v>1962.6956563847561</v>
      </c>
      <c r="V130" s="4">
        <f t="shared" si="129"/>
        <v>3414.2726522526491</v>
      </c>
      <c r="W130" s="4">
        <f t="shared" si="130"/>
        <v>1369.6903657888467</v>
      </c>
      <c r="X130" s="4">
        <f t="shared" si="131"/>
        <v>1851.9757058553419</v>
      </c>
      <c r="Y130" s="4">
        <f t="shared" si="132"/>
        <v>3221.6660716441884</v>
      </c>
      <c r="Z130" s="10">
        <v>43077</v>
      </c>
      <c r="AA130" s="12">
        <v>42</v>
      </c>
      <c r="AB130" s="5">
        <v>1.1499999999999999</v>
      </c>
      <c r="AC130" s="4">
        <v>81.400000000000006</v>
      </c>
      <c r="AD130" s="4">
        <v>31.9</v>
      </c>
      <c r="AE130" s="4">
        <v>6.1</v>
      </c>
      <c r="AF130" s="4">
        <v>9.5</v>
      </c>
      <c r="AK130" s="3"/>
      <c r="AL130" s="3"/>
      <c r="AM130" s="7"/>
      <c r="AN130" s="7"/>
      <c r="AO130" s="7"/>
      <c r="AP130" s="7"/>
      <c r="AQ130" s="7"/>
      <c r="AR130" s="3"/>
      <c r="AS130" s="3"/>
      <c r="AT130" s="7"/>
      <c r="AU130" s="7"/>
      <c r="AV130" s="7"/>
      <c r="AW130" s="9"/>
      <c r="AX130" s="9"/>
      <c r="AY130" s="9"/>
      <c r="AZ130" s="3"/>
      <c r="BA130" s="3"/>
      <c r="BB130" s="3"/>
      <c r="BC130" s="3"/>
      <c r="BD130" s="3"/>
      <c r="BE130" s="3"/>
      <c r="BG130" s="13"/>
      <c r="BH130" s="7"/>
      <c r="BI130" s="3"/>
      <c r="BJ130" s="3"/>
      <c r="BK130" s="3"/>
      <c r="BL130" s="3"/>
    </row>
    <row r="131" spans="1:64" x14ac:dyDescent="0.25">
      <c r="A131">
        <v>84</v>
      </c>
      <c r="B131" s="1" t="s">
        <v>136</v>
      </c>
      <c r="C131" s="1" t="s">
        <v>32</v>
      </c>
      <c r="D131" s="2">
        <v>43047</v>
      </c>
      <c r="E131" s="3">
        <v>16.8</v>
      </c>
      <c r="F131" s="4">
        <f t="shared" si="121"/>
        <v>3665.3448031496068</v>
      </c>
      <c r="G131" s="7">
        <v>9.7100000000000009</v>
      </c>
      <c r="H131" s="7">
        <v>208.36</v>
      </c>
      <c r="I131" s="7">
        <f t="shared" si="133"/>
        <v>198.65</v>
      </c>
      <c r="J131" s="7">
        <v>186.68</v>
      </c>
      <c r="K131" s="5">
        <f t="shared" si="122"/>
        <v>6.0256732947394909</v>
      </c>
      <c r="L131" s="4">
        <f t="shared" si="123"/>
        <v>3444.4831001860994</v>
      </c>
      <c r="M131" s="2">
        <v>43054</v>
      </c>
      <c r="N131" s="7">
        <v>7.24</v>
      </c>
      <c r="O131" s="7">
        <v>2.66</v>
      </c>
      <c r="P131" s="7">
        <v>5.08</v>
      </c>
      <c r="Q131" s="6">
        <f t="shared" si="124"/>
        <v>0.35310734463276838</v>
      </c>
      <c r="R131" s="6">
        <f t="shared" si="125"/>
        <v>0.48022598870056504</v>
      </c>
      <c r="S131" s="6">
        <f t="shared" si="126"/>
        <v>0.16666666666666657</v>
      </c>
      <c r="T131" s="4">
        <f t="shared" si="127"/>
        <v>1294.2601706036749</v>
      </c>
      <c r="U131" s="4">
        <f t="shared" si="128"/>
        <v>1760.1938320209979</v>
      </c>
      <c r="V131" s="4">
        <f t="shared" si="129"/>
        <v>3054.4540026246727</v>
      </c>
      <c r="W131" s="4">
        <f t="shared" si="130"/>
        <v>1216.2722811391595</v>
      </c>
      <c r="X131" s="4">
        <f t="shared" si="131"/>
        <v>1654.1303023492569</v>
      </c>
      <c r="Y131" s="4">
        <f t="shared" si="132"/>
        <v>2870.4025834884164</v>
      </c>
      <c r="Z131" s="10"/>
      <c r="AA131" s="12"/>
      <c r="AB131" s="5"/>
      <c r="AC131" s="4"/>
      <c r="AD131" s="4"/>
      <c r="AE131" s="4"/>
      <c r="AF131" s="4"/>
      <c r="AK131" s="3"/>
      <c r="AL131" s="3"/>
      <c r="AM131" s="7"/>
      <c r="AN131" s="7"/>
      <c r="AO131" s="7"/>
      <c r="AP131" s="7"/>
      <c r="AQ131" s="7"/>
      <c r="AR131" s="3"/>
      <c r="AS131" s="3"/>
      <c r="AT131" s="7"/>
      <c r="AU131" s="7"/>
      <c r="AV131" s="7"/>
      <c r="AW131" s="9"/>
      <c r="AX131" s="9"/>
      <c r="AY131" s="9"/>
      <c r="AZ131" s="3"/>
      <c r="BA131" s="3"/>
      <c r="BB131" s="3"/>
      <c r="BC131" s="3"/>
      <c r="BD131" s="3"/>
      <c r="BE131" s="3"/>
      <c r="BG131" s="13"/>
      <c r="BH131" s="7"/>
      <c r="BI131" s="3"/>
      <c r="BJ131" s="3"/>
      <c r="BK131" s="3"/>
      <c r="BL131" s="3"/>
    </row>
    <row r="132" spans="1:64" x14ac:dyDescent="0.25">
      <c r="A132">
        <v>85</v>
      </c>
      <c r="B132" s="1" t="s">
        <v>137</v>
      </c>
      <c r="C132" s="1" t="s">
        <v>32</v>
      </c>
      <c r="D132" s="2">
        <v>43047</v>
      </c>
      <c r="E132" s="3">
        <v>20.6</v>
      </c>
      <c r="F132" s="4">
        <f t="shared" si="121"/>
        <v>4513.5975590551188</v>
      </c>
      <c r="G132" s="7">
        <v>9.68</v>
      </c>
      <c r="H132" s="7">
        <v>186.73</v>
      </c>
      <c r="I132" s="7">
        <f t="shared" si="133"/>
        <v>177.04999999999998</v>
      </c>
      <c r="J132" s="7">
        <v>165.07</v>
      </c>
      <c r="K132" s="5">
        <f t="shared" si="122"/>
        <v>6.7664501553233505</v>
      </c>
      <c r="L132" s="4">
        <f t="shared" si="123"/>
        <v>4208.187230009763</v>
      </c>
      <c r="M132" s="2">
        <v>43054</v>
      </c>
      <c r="N132" s="7">
        <v>8.92</v>
      </c>
      <c r="O132" s="7">
        <v>3.2</v>
      </c>
      <c r="P132" s="7">
        <v>5.98</v>
      </c>
      <c r="Q132" s="6">
        <f t="shared" si="124"/>
        <v>0.34703196347031967</v>
      </c>
      <c r="R132" s="6">
        <f t="shared" si="125"/>
        <v>0.49086757990867591</v>
      </c>
      <c r="S132" s="6">
        <f t="shared" si="126"/>
        <v>0.16210045662100447</v>
      </c>
      <c r="T132" s="4">
        <f t="shared" si="127"/>
        <v>1566.3626232337401</v>
      </c>
      <c r="U132" s="4">
        <f t="shared" si="128"/>
        <v>2215.5787104950932</v>
      </c>
      <c r="V132" s="4">
        <f t="shared" si="129"/>
        <v>3781.9413337288333</v>
      </c>
      <c r="W132" s="4">
        <f t="shared" si="130"/>
        <v>1460.3754770810137</v>
      </c>
      <c r="X132" s="4">
        <f t="shared" si="131"/>
        <v>2065.6626813974867</v>
      </c>
      <c r="Y132" s="4">
        <f t="shared" si="132"/>
        <v>3526.0381584785005</v>
      </c>
      <c r="Z132" s="10"/>
      <c r="AA132" s="12"/>
      <c r="AB132" s="5"/>
      <c r="AC132" s="4"/>
      <c r="AD132" s="4"/>
      <c r="AE132" s="4"/>
      <c r="AF132" s="4"/>
      <c r="AH132" t="s">
        <v>275</v>
      </c>
      <c r="AI132" t="str">
        <f>C132</f>
        <v>Machine</v>
      </c>
      <c r="AJ132" s="8">
        <f>D132</f>
        <v>43047</v>
      </c>
      <c r="AK132" s="3">
        <f>SUM(E132:E134)</f>
        <v>59.600000000000009</v>
      </c>
      <c r="AL132" s="3">
        <f>(AK132-3*$A$35)*$A$36/(3*$A$37)*$A$38</f>
        <v>4349.8996587926513</v>
      </c>
      <c r="AM132" s="7">
        <f>SUM(G132:G134)</f>
        <v>29.04</v>
      </c>
      <c r="AN132" s="7">
        <f>SUM(H132:H134)</f>
        <v>511.05999999999995</v>
      </c>
      <c r="AO132" s="7">
        <f>AN132-AM132</f>
        <v>482.01999999999992</v>
      </c>
      <c r="AP132" s="7">
        <f>SUM(J132:J134)</f>
        <v>451.94</v>
      </c>
      <c r="AQ132" s="7">
        <f>(AO132-AP132)/AO132*100</f>
        <v>6.2404049624496771</v>
      </c>
      <c r="AR132" s="3">
        <f>AL132*(1-AQ132/100)</f>
        <v>4078.4483046237733</v>
      </c>
      <c r="AS132" s="11">
        <f>M132</f>
        <v>43054</v>
      </c>
      <c r="AT132" s="7">
        <f>SUM(N132:N134)</f>
        <v>25.81</v>
      </c>
      <c r="AU132" s="7">
        <f>SUM(O132:O134)</f>
        <v>9.34</v>
      </c>
      <c r="AV132" s="7">
        <f>SUM(P132:P134)</f>
        <v>17.32</v>
      </c>
      <c r="AW132" s="9">
        <f>(AU132-3*$A$39)/(AT132-3*$A$39)</f>
        <v>0.34978286616660087</v>
      </c>
      <c r="AX132" s="9">
        <f>(AV132-3*$A$40)/(AT132-3*$A$39)</f>
        <v>0.48480063166206089</v>
      </c>
      <c r="AY132" s="9">
        <f>1-AW132-AX132</f>
        <v>0.16541650217133819</v>
      </c>
      <c r="AZ132" s="3">
        <f>AL132*AW132</f>
        <v>1521.5203701896128</v>
      </c>
      <c r="BA132" s="3">
        <f>AL132*AX132</f>
        <v>2108.8341022492605</v>
      </c>
      <c r="BB132" s="3">
        <f>AZ132+BA132</f>
        <v>3630.354472438873</v>
      </c>
      <c r="BC132" s="3">
        <f>AR132*AW132</f>
        <v>1426.5713375036175</v>
      </c>
      <c r="BD132" s="3">
        <f>AR132*AX132</f>
        <v>1977.2343142826667</v>
      </c>
      <c r="BE132" s="3">
        <f>BC132+BD132</f>
        <v>3403.8056517862842</v>
      </c>
      <c r="BF132" s="11">
        <f>Z133</f>
        <v>43077</v>
      </c>
      <c r="BG132" s="13">
        <f>AVERAGE(AA132:AA134)</f>
        <v>43</v>
      </c>
      <c r="BH132" s="7">
        <f t="shared" ref="BH132" si="164">AVERAGE(AB132:AB134)</f>
        <v>1.1499999999999999</v>
      </c>
      <c r="BI132" s="3">
        <f t="shared" ref="BI132" si="165">AVERAGE(AC132:AC134)</f>
        <v>80.7</v>
      </c>
      <c r="BJ132" s="3">
        <f t="shared" ref="BJ132" si="166">AVERAGE(AD132:AD134)</f>
        <v>31.8</v>
      </c>
      <c r="BK132" s="3">
        <f t="shared" ref="BK132" si="167">AVERAGE(AE132:AE134)</f>
        <v>6.2</v>
      </c>
      <c r="BL132" s="3">
        <f t="shared" ref="BL132" si="168">AVERAGE(AF132:AF134)</f>
        <v>9.9</v>
      </c>
    </row>
    <row r="133" spans="1:64" x14ac:dyDescent="0.25">
      <c r="A133">
        <v>86</v>
      </c>
      <c r="B133" s="1" t="s">
        <v>138</v>
      </c>
      <c r="C133" s="1" t="s">
        <v>32</v>
      </c>
      <c r="D133" s="2">
        <v>43047</v>
      </c>
      <c r="E133" s="3">
        <v>18.3</v>
      </c>
      <c r="F133" s="4">
        <f t="shared" si="121"/>
        <v>4000.1814173228349</v>
      </c>
      <c r="G133" s="7">
        <v>9.67</v>
      </c>
      <c r="H133" s="7">
        <v>159.06</v>
      </c>
      <c r="I133" s="7">
        <f t="shared" si="133"/>
        <v>149.39000000000001</v>
      </c>
      <c r="J133" s="7">
        <v>140.5</v>
      </c>
      <c r="K133" s="5">
        <f t="shared" si="122"/>
        <v>5.9508668585581459</v>
      </c>
      <c r="L133" s="4">
        <f t="shared" si="123"/>
        <v>3762.135947077169</v>
      </c>
      <c r="M133" s="2">
        <v>43054</v>
      </c>
      <c r="N133" s="7">
        <v>7.94</v>
      </c>
      <c r="O133" s="7">
        <v>2.86</v>
      </c>
      <c r="P133" s="7">
        <v>5.46</v>
      </c>
      <c r="Q133" s="6">
        <f t="shared" si="124"/>
        <v>0.34704370179948579</v>
      </c>
      <c r="R133" s="6">
        <f t="shared" si="125"/>
        <v>0.48586118251928023</v>
      </c>
      <c r="S133" s="6">
        <f t="shared" si="126"/>
        <v>0.16709511568123392</v>
      </c>
      <c r="T133" s="4">
        <f t="shared" si="127"/>
        <v>1388.2377669372304</v>
      </c>
      <c r="U133" s="4">
        <f t="shared" si="128"/>
        <v>1943.5328737121231</v>
      </c>
      <c r="V133" s="4">
        <f t="shared" si="129"/>
        <v>3331.7706406493535</v>
      </c>
      <c r="W133" s="4">
        <f t="shared" si="130"/>
        <v>1305.6255857465751</v>
      </c>
      <c r="X133" s="4">
        <f t="shared" si="131"/>
        <v>1827.8758200452057</v>
      </c>
      <c r="Y133" s="4">
        <f t="shared" si="132"/>
        <v>3133.5014057917806</v>
      </c>
      <c r="Z133" s="10">
        <v>43077</v>
      </c>
      <c r="AA133" s="12">
        <v>43</v>
      </c>
      <c r="AB133" s="5">
        <v>1.1499999999999999</v>
      </c>
      <c r="AC133" s="4">
        <v>80.7</v>
      </c>
      <c r="AD133" s="4">
        <v>31.8</v>
      </c>
      <c r="AE133" s="4">
        <v>6.2</v>
      </c>
      <c r="AF133" s="4">
        <v>9.9</v>
      </c>
      <c r="AK133" s="3"/>
      <c r="AL133" s="3"/>
      <c r="AM133" s="7"/>
      <c r="AN133" s="7"/>
      <c r="AO133" s="7"/>
      <c r="AP133" s="7"/>
      <c r="AQ133" s="7"/>
      <c r="AR133" s="3"/>
      <c r="AS133" s="3"/>
      <c r="AT133" s="7"/>
      <c r="AU133" s="7"/>
      <c r="AV133" s="7"/>
      <c r="AW133" s="9"/>
      <c r="AX133" s="9"/>
      <c r="AY133" s="9"/>
      <c r="AZ133" s="3"/>
      <c r="BA133" s="3"/>
      <c r="BB133" s="3"/>
      <c r="BC133" s="3"/>
      <c r="BD133" s="3"/>
      <c r="BE133" s="3"/>
      <c r="BG133" s="13"/>
      <c r="BH133" s="7"/>
      <c r="BI133" s="3"/>
      <c r="BJ133" s="3"/>
      <c r="BK133" s="3"/>
      <c r="BL133" s="3"/>
    </row>
    <row r="134" spans="1:64" x14ac:dyDescent="0.25">
      <c r="A134">
        <v>87</v>
      </c>
      <c r="B134" s="1" t="s">
        <v>139</v>
      </c>
      <c r="C134" s="1" t="s">
        <v>32</v>
      </c>
      <c r="D134" s="2">
        <v>43047</v>
      </c>
      <c r="E134" s="3">
        <v>20.7</v>
      </c>
      <c r="F134" s="4">
        <f t="shared" si="121"/>
        <v>4535.92</v>
      </c>
      <c r="G134" s="7">
        <v>9.69</v>
      </c>
      <c r="H134" s="7">
        <v>165.27</v>
      </c>
      <c r="I134" s="7">
        <f t="shared" si="133"/>
        <v>155.58000000000001</v>
      </c>
      <c r="J134" s="7">
        <v>146.37</v>
      </c>
      <c r="K134" s="5">
        <f t="shared" si="122"/>
        <v>5.9197840339375283</v>
      </c>
      <c r="L134" s="4">
        <f t="shared" si="123"/>
        <v>4267.4033320478211</v>
      </c>
      <c r="M134" s="2">
        <v>43054</v>
      </c>
      <c r="N134" s="7">
        <v>8.9499999999999993</v>
      </c>
      <c r="O134" s="7">
        <v>3.28</v>
      </c>
      <c r="P134" s="7">
        <v>5.88</v>
      </c>
      <c r="Q134" s="6">
        <f t="shared" si="124"/>
        <v>0.35494880546075086</v>
      </c>
      <c r="R134" s="6">
        <f t="shared" si="125"/>
        <v>0.47781569965870313</v>
      </c>
      <c r="S134" s="6">
        <f t="shared" si="126"/>
        <v>0.16723549488054607</v>
      </c>
      <c r="T134" s="4">
        <f t="shared" si="127"/>
        <v>1610.0193856655292</v>
      </c>
      <c r="U134" s="4">
        <f t="shared" si="128"/>
        <v>2167.3337883959048</v>
      </c>
      <c r="V134" s="4">
        <f t="shared" si="129"/>
        <v>3777.3531740614339</v>
      </c>
      <c r="W134" s="4">
        <f t="shared" si="130"/>
        <v>1514.709715129602</v>
      </c>
      <c r="X134" s="4">
        <f t="shared" si="131"/>
        <v>2039.0323088283108</v>
      </c>
      <c r="Y134" s="4">
        <f t="shared" si="132"/>
        <v>3553.7420239579128</v>
      </c>
      <c r="Z134" s="10"/>
      <c r="AA134" s="12"/>
      <c r="AB134" s="5"/>
      <c r="AC134" s="4"/>
      <c r="AD134" s="4"/>
      <c r="AE134" s="4"/>
      <c r="AF134" s="4"/>
      <c r="AK134" s="3"/>
      <c r="AL134" s="3"/>
      <c r="AM134" s="7"/>
      <c r="AN134" s="7"/>
      <c r="AO134" s="7"/>
      <c r="AP134" s="7"/>
      <c r="AQ134" s="7"/>
      <c r="AR134" s="3"/>
      <c r="AS134" s="3"/>
      <c r="AT134" s="7"/>
      <c r="AU134" s="7"/>
      <c r="AV134" s="7"/>
      <c r="AW134" s="9"/>
      <c r="AX134" s="9"/>
      <c r="AY134" s="9"/>
      <c r="AZ134" s="3"/>
      <c r="BA134" s="3"/>
      <c r="BB134" s="3"/>
      <c r="BC134" s="3"/>
      <c r="BD134" s="3"/>
      <c r="BE134" s="3"/>
      <c r="BG134" s="13"/>
      <c r="BH134" s="7"/>
      <c r="BI134" s="3"/>
      <c r="BJ134" s="3"/>
      <c r="BK134" s="3"/>
      <c r="BL134" s="3"/>
    </row>
    <row r="135" spans="1:64" x14ac:dyDescent="0.25">
      <c r="A135">
        <v>88</v>
      </c>
      <c r="B135" s="1" t="s">
        <v>140</v>
      </c>
      <c r="C135" s="1" t="s">
        <v>32</v>
      </c>
      <c r="D135" s="2">
        <v>43047</v>
      </c>
      <c r="E135" s="3">
        <v>23.3</v>
      </c>
      <c r="F135" s="4">
        <f t="shared" si="121"/>
        <v>5116.3034645669295</v>
      </c>
      <c r="G135" s="7">
        <v>9.7100000000000009</v>
      </c>
      <c r="H135" s="7">
        <v>92.44</v>
      </c>
      <c r="I135" s="7">
        <f t="shared" si="133"/>
        <v>82.72999999999999</v>
      </c>
      <c r="J135" s="7">
        <v>78.02</v>
      </c>
      <c r="K135" s="5">
        <f t="shared" si="122"/>
        <v>5.6932189048712614</v>
      </c>
      <c r="L135" s="4">
        <f t="shared" si="123"/>
        <v>4825.0211084916218</v>
      </c>
      <c r="M135" s="2">
        <v>43054</v>
      </c>
      <c r="N135" s="7">
        <v>10.3</v>
      </c>
      <c r="O135" s="7">
        <v>3.72</v>
      </c>
      <c r="P135" s="7">
        <v>6.6</v>
      </c>
      <c r="Q135" s="6">
        <f t="shared" si="124"/>
        <v>0.35108481262327412</v>
      </c>
      <c r="R135" s="6">
        <f t="shared" si="125"/>
        <v>0.48520710059171596</v>
      </c>
      <c r="S135" s="6">
        <f t="shared" si="126"/>
        <v>0.16370808678500987</v>
      </c>
      <c r="T135" s="4">
        <f t="shared" si="127"/>
        <v>1796.2564431812887</v>
      </c>
      <c r="U135" s="4">
        <f t="shared" si="128"/>
        <v>2482.4667697898708</v>
      </c>
      <c r="V135" s="4">
        <f t="shared" si="129"/>
        <v>4278.7232129711592</v>
      </c>
      <c r="W135" s="4">
        <f t="shared" si="130"/>
        <v>1693.9916317781235</v>
      </c>
      <c r="X135" s="4">
        <f t="shared" si="131"/>
        <v>2341.1345023450472</v>
      </c>
      <c r="Y135" s="4">
        <f t="shared" si="132"/>
        <v>4035.1261341231707</v>
      </c>
      <c r="Z135" s="10"/>
      <c r="AA135" s="12"/>
      <c r="AB135" s="5"/>
      <c r="AC135" s="4"/>
      <c r="AD135" s="4"/>
      <c r="AE135" s="4"/>
      <c r="AF135" s="4"/>
      <c r="AH135" t="s">
        <v>276</v>
      </c>
      <c r="AI135" t="s">
        <v>32</v>
      </c>
      <c r="AJ135" s="8">
        <f>D135</f>
        <v>43047</v>
      </c>
      <c r="AK135" s="3">
        <f>SUM(E135:E137)</f>
        <v>67.5</v>
      </c>
      <c r="AL135" s="3">
        <f>(AK135-3*$A$35)*$A$36/(3*$A$37)*$A$38</f>
        <v>4937.7239370078742</v>
      </c>
      <c r="AM135" s="7">
        <f>SUM(G135:G137)</f>
        <v>29.089999999999996</v>
      </c>
      <c r="AN135" s="7">
        <f>SUM(H135:H137)</f>
        <v>464.89</v>
      </c>
      <c r="AO135" s="7">
        <f>AN135-AM135</f>
        <v>435.8</v>
      </c>
      <c r="AP135" s="7">
        <f>SUM(J135:J137)</f>
        <v>410.12</v>
      </c>
      <c r="AQ135" s="7">
        <f>(AO135-AP135)/AO135*100</f>
        <v>5.892611289582379</v>
      </c>
      <c r="AR135" s="3">
        <f>AL135*(1-AQ135/100)</f>
        <v>4646.7630588473367</v>
      </c>
      <c r="AS135" s="11">
        <f>M135</f>
        <v>43054</v>
      </c>
      <c r="AT135" s="7">
        <f>SUM(N135:N137)</f>
        <v>29.64</v>
      </c>
      <c r="AU135" s="7">
        <f>SUM(O135:O137)</f>
        <v>10.82</v>
      </c>
      <c r="AV135" s="7">
        <f>SUM(P135:P137)</f>
        <v>19.100000000000001</v>
      </c>
      <c r="AW135" s="9">
        <f>(AU135-3*$A$39)/(AT135-3*$A$39)</f>
        <v>0.35459533607681754</v>
      </c>
      <c r="AX135" s="9">
        <f>(AV135-3*$A$40)/(AT135-3*$A$39)</f>
        <v>0.48216735253772297</v>
      </c>
      <c r="AY135" s="9">
        <f>1-AW135-AX135</f>
        <v>0.16323731138545955</v>
      </c>
      <c r="AZ135" s="3">
        <f>AL135*AW135</f>
        <v>1750.8938788978537</v>
      </c>
      <c r="BA135" s="3">
        <f>AL135*AX135</f>
        <v>2380.8092782692293</v>
      </c>
      <c r="BB135" s="3">
        <f>AZ135+BA135</f>
        <v>4131.7031571670832</v>
      </c>
      <c r="BC135" s="3">
        <f>AR135*AW135</f>
        <v>1647.720508521312</v>
      </c>
      <c r="BD135" s="3">
        <f>AR135*AX135</f>
        <v>2240.5174419545119</v>
      </c>
      <c r="BE135" s="3">
        <f>BC135+BD135</f>
        <v>3888.2379504758237</v>
      </c>
      <c r="BF135" s="11">
        <f>Z136</f>
        <v>43077</v>
      </c>
      <c r="BG135" s="13">
        <f>AVERAGE(AA135:AA137)</f>
        <v>44</v>
      </c>
      <c r="BH135" s="7">
        <f t="shared" ref="BH135" si="169">AVERAGE(AB135:AB137)</f>
        <v>1.1499999999999999</v>
      </c>
      <c r="BI135" s="3">
        <f t="shared" ref="BI135" si="170">AVERAGE(AC135:AC137)</f>
        <v>80</v>
      </c>
      <c r="BJ135" s="3">
        <f t="shared" ref="BJ135" si="171">AVERAGE(AD135:AD137)</f>
        <v>32.9</v>
      </c>
      <c r="BK135" s="3">
        <f t="shared" ref="BK135" si="172">AVERAGE(AE135:AE137)</f>
        <v>5.7</v>
      </c>
      <c r="BL135" s="3">
        <f t="shared" ref="BL135" si="173">AVERAGE(AF135:AF137)</f>
        <v>10.199999999999999</v>
      </c>
    </row>
    <row r="136" spans="1:64" x14ac:dyDescent="0.25">
      <c r="A136">
        <v>89</v>
      </c>
      <c r="B136" s="1" t="s">
        <v>141</v>
      </c>
      <c r="C136" s="1" t="s">
        <v>32</v>
      </c>
      <c r="D136" s="2">
        <v>43047</v>
      </c>
      <c r="E136" s="3">
        <v>22.4</v>
      </c>
      <c r="F136" s="4">
        <f t="shared" si="121"/>
        <v>4915.401496062992</v>
      </c>
      <c r="G136" s="7">
        <v>9.69</v>
      </c>
      <c r="H136" s="7">
        <v>186.43</v>
      </c>
      <c r="I136" s="7">
        <f t="shared" si="133"/>
        <v>176.74</v>
      </c>
      <c r="J136" s="7">
        <v>166.4</v>
      </c>
      <c r="K136" s="5">
        <f t="shared" si="122"/>
        <v>5.8504017200407397</v>
      </c>
      <c r="L136" s="4">
        <f t="shared" si="123"/>
        <v>4627.8307623904147</v>
      </c>
      <c r="M136" s="2">
        <v>43054</v>
      </c>
      <c r="N136" s="7">
        <v>9.77</v>
      </c>
      <c r="O136" s="7">
        <v>3.6</v>
      </c>
      <c r="P136" s="7">
        <v>6.34</v>
      </c>
      <c r="Q136" s="6">
        <f t="shared" si="124"/>
        <v>0.35796045785639957</v>
      </c>
      <c r="R136" s="6">
        <f t="shared" si="125"/>
        <v>0.48491155046826229</v>
      </c>
      <c r="S136" s="6">
        <f t="shared" si="126"/>
        <v>0.1571279916753382</v>
      </c>
      <c r="T136" s="4">
        <f t="shared" si="127"/>
        <v>1759.5193700787402</v>
      </c>
      <c r="U136" s="4">
        <f t="shared" si="128"/>
        <v>2383.5349606299214</v>
      </c>
      <c r="V136" s="4">
        <f t="shared" si="129"/>
        <v>4143.0543307086618</v>
      </c>
      <c r="W136" s="4">
        <f t="shared" si="130"/>
        <v>1656.5804185872037</v>
      </c>
      <c r="X136" s="4">
        <f t="shared" si="131"/>
        <v>2244.0885902954565</v>
      </c>
      <c r="Y136" s="4">
        <f t="shared" si="132"/>
        <v>3900.6690088826599</v>
      </c>
      <c r="Z136" s="10">
        <v>43077</v>
      </c>
      <c r="AA136" s="12">
        <v>44</v>
      </c>
      <c r="AB136" s="5">
        <v>1.1499999999999999</v>
      </c>
      <c r="AC136" s="4">
        <v>80</v>
      </c>
      <c r="AD136" s="4">
        <v>32.9</v>
      </c>
      <c r="AE136" s="4">
        <v>5.7</v>
      </c>
      <c r="AF136" s="4">
        <v>10.199999999999999</v>
      </c>
      <c r="AK136" s="3"/>
      <c r="AL136" s="3"/>
      <c r="AM136" s="7"/>
      <c r="AN136" s="7"/>
      <c r="AO136" s="7"/>
      <c r="AP136" s="7"/>
      <c r="AQ136" s="7"/>
      <c r="AR136" s="3"/>
      <c r="AS136" s="3"/>
      <c r="AT136" s="7"/>
      <c r="AU136" s="7"/>
      <c r="AV136" s="7"/>
      <c r="AW136" s="9"/>
      <c r="AX136" s="9"/>
      <c r="AY136" s="9"/>
      <c r="AZ136" s="3"/>
      <c r="BA136" s="3"/>
      <c r="BB136" s="3"/>
      <c r="BC136" s="3"/>
      <c r="BD136" s="3"/>
      <c r="BE136" s="3"/>
      <c r="BG136" s="13"/>
      <c r="BH136" s="7"/>
      <c r="BI136" s="3"/>
      <c r="BJ136" s="3"/>
      <c r="BK136" s="3"/>
      <c r="BL136" s="3"/>
    </row>
    <row r="137" spans="1:64" x14ac:dyDescent="0.25">
      <c r="A137">
        <v>90</v>
      </c>
      <c r="B137" s="1" t="s">
        <v>142</v>
      </c>
      <c r="C137" s="1" t="s">
        <v>32</v>
      </c>
      <c r="D137" s="2">
        <v>43047</v>
      </c>
      <c r="E137" s="3">
        <v>21.8</v>
      </c>
      <c r="F137" s="4">
        <f t="shared" si="121"/>
        <v>4781.466850393701</v>
      </c>
      <c r="G137" s="7">
        <v>9.69</v>
      </c>
      <c r="H137" s="7">
        <v>186.02</v>
      </c>
      <c r="I137" s="7">
        <f t="shared" si="133"/>
        <v>176.33</v>
      </c>
      <c r="J137" s="7">
        <v>165.7</v>
      </c>
      <c r="K137" s="5">
        <f t="shared" si="122"/>
        <v>6.0284693472466531</v>
      </c>
      <c r="L137" s="4">
        <f t="shared" si="123"/>
        <v>4493.2175869689563</v>
      </c>
      <c r="M137" s="2">
        <v>43054</v>
      </c>
      <c r="N137" s="7">
        <v>9.57</v>
      </c>
      <c r="O137" s="7">
        <v>3.5</v>
      </c>
      <c r="P137" s="7">
        <v>6.16</v>
      </c>
      <c r="Q137" s="6">
        <f t="shared" si="124"/>
        <v>0.35494155154091389</v>
      </c>
      <c r="R137" s="6">
        <f t="shared" si="125"/>
        <v>0.47608926673751334</v>
      </c>
      <c r="S137" s="6">
        <f t="shared" si="126"/>
        <v>0.16896918172157277</v>
      </c>
      <c r="T137" s="4">
        <f t="shared" si="127"/>
        <v>1697.141262520187</v>
      </c>
      <c r="U137" s="4">
        <f t="shared" si="128"/>
        <v>2276.4050467336647</v>
      </c>
      <c r="V137" s="4">
        <f t="shared" si="129"/>
        <v>3973.5463092538516</v>
      </c>
      <c r="W137" s="4">
        <f t="shared" si="130"/>
        <v>1594.8296217296825</v>
      </c>
      <c r="X137" s="4">
        <f t="shared" si="131"/>
        <v>2139.1726662721494</v>
      </c>
      <c r="Y137" s="4">
        <f t="shared" si="132"/>
        <v>3734.0022880018319</v>
      </c>
      <c r="Z137" s="10"/>
      <c r="AA137" s="12"/>
      <c r="AB137" s="5"/>
      <c r="AC137" s="4"/>
      <c r="AD137" s="4"/>
      <c r="AE137" s="4"/>
      <c r="AF137" s="4"/>
      <c r="AK137" s="3"/>
      <c r="AL137" s="3"/>
      <c r="AM137" s="7"/>
      <c r="AN137" s="7"/>
      <c r="AO137" s="7"/>
      <c r="AP137" s="7"/>
      <c r="AQ137" s="7"/>
      <c r="AR137" s="3"/>
      <c r="AS137" s="3"/>
      <c r="AT137" s="7"/>
      <c r="AU137" s="7"/>
      <c r="AV137" s="7"/>
      <c r="AW137" s="9"/>
      <c r="AX137" s="9"/>
      <c r="AY137" s="9"/>
      <c r="AZ137" s="3"/>
      <c r="BA137" s="3"/>
      <c r="BB137" s="3"/>
      <c r="BC137" s="3"/>
      <c r="BD137" s="3"/>
      <c r="BE137" s="3"/>
      <c r="BG137" s="13"/>
      <c r="BH137" s="7"/>
      <c r="BI137" s="3"/>
      <c r="BJ137" s="3"/>
      <c r="BK137" s="3"/>
      <c r="BL137" s="3"/>
    </row>
    <row r="138" spans="1:64" x14ac:dyDescent="0.25">
      <c r="A138">
        <v>91</v>
      </c>
      <c r="B138" s="1" t="s">
        <v>143</v>
      </c>
      <c r="C138" s="1" t="s">
        <v>32</v>
      </c>
      <c r="D138" s="2">
        <v>43047</v>
      </c>
      <c r="E138" s="3">
        <v>19.2</v>
      </c>
      <c r="F138" s="4">
        <f t="shared" si="121"/>
        <v>4201.0833858267715</v>
      </c>
      <c r="G138" s="7">
        <v>9.6300000000000008</v>
      </c>
      <c r="H138" s="7">
        <v>122.69</v>
      </c>
      <c r="I138" s="7">
        <f t="shared" si="133"/>
        <v>113.06</v>
      </c>
      <c r="J138" s="7">
        <v>105.69</v>
      </c>
      <c r="K138" s="5">
        <f t="shared" si="122"/>
        <v>6.5186626569962893</v>
      </c>
      <c r="L138" s="4">
        <f t="shared" si="123"/>
        <v>3927.2289319656065</v>
      </c>
      <c r="M138" s="2">
        <v>43054</v>
      </c>
      <c r="N138" s="7">
        <v>8.4</v>
      </c>
      <c r="O138" s="7">
        <v>3.06</v>
      </c>
      <c r="P138" s="7">
        <v>5.7</v>
      </c>
      <c r="Q138" s="6">
        <f t="shared" si="124"/>
        <v>0.35194174757281549</v>
      </c>
      <c r="R138" s="6">
        <f t="shared" si="125"/>
        <v>0.48786407766990297</v>
      </c>
      <c r="S138" s="6">
        <f t="shared" si="126"/>
        <v>0.16019417475728154</v>
      </c>
      <c r="T138" s="4">
        <f t="shared" si="127"/>
        <v>1478.5366285069947</v>
      </c>
      <c r="U138" s="4">
        <f t="shared" si="128"/>
        <v>2049.557671240731</v>
      </c>
      <c r="V138" s="4">
        <f t="shared" si="129"/>
        <v>3528.0942997477259</v>
      </c>
      <c r="W138" s="4">
        <f t="shared" si="130"/>
        <v>1382.1558134344973</v>
      </c>
      <c r="X138" s="4">
        <f t="shared" si="131"/>
        <v>1915.9539206919587</v>
      </c>
      <c r="Y138" s="4">
        <f t="shared" si="132"/>
        <v>3298.1097341264558</v>
      </c>
      <c r="Z138" s="10"/>
      <c r="AA138" s="12"/>
      <c r="AB138" s="5"/>
      <c r="AC138" s="4"/>
      <c r="AD138" s="4"/>
      <c r="AE138" s="4"/>
      <c r="AF138" s="4"/>
      <c r="AH138" t="s">
        <v>277</v>
      </c>
      <c r="AI138" t="s">
        <v>32</v>
      </c>
      <c r="AJ138" s="8">
        <f>D138</f>
        <v>43047</v>
      </c>
      <c r="AK138" s="3">
        <f>SUM(E138:E140)</f>
        <v>60</v>
      </c>
      <c r="AL138" s="3">
        <f>(AK138-3*$A$35)*$A$36/(3*$A$37)*$A$38</f>
        <v>4379.6629133858269</v>
      </c>
      <c r="AM138" s="7">
        <f>SUM(G138:G140)</f>
        <v>28.97</v>
      </c>
      <c r="AN138" s="7">
        <f>SUM(H138:H140)</f>
        <v>387</v>
      </c>
      <c r="AO138" s="7">
        <f>AN138-AM138</f>
        <v>358.03</v>
      </c>
      <c r="AP138" s="7">
        <f>SUM(J138:J140)</f>
        <v>335.06</v>
      </c>
      <c r="AQ138" s="7">
        <f>(AO138-AP138)/AO138*100</f>
        <v>6.4156634918861482</v>
      </c>
      <c r="AR138" s="3">
        <f>AL138*(1-AQ138/100)</f>
        <v>4098.6784787840552</v>
      </c>
      <c r="AS138" s="11">
        <f>M138</f>
        <v>43054</v>
      </c>
      <c r="AT138" s="7">
        <f>SUM(N138:N140)</f>
        <v>26.2</v>
      </c>
      <c r="AU138" s="7">
        <f>SUM(O138:O140)</f>
        <v>9.620000000000001</v>
      </c>
      <c r="AV138" s="7">
        <f>SUM(P138:P140)</f>
        <v>17.5</v>
      </c>
      <c r="AW138" s="9">
        <f>(AU138-3*$A$39)/(AT138-3*$A$39)</f>
        <v>0.35536547433903581</v>
      </c>
      <c r="AX138" s="9">
        <f>(AV138-3*$A$40)/(AT138-3*$A$39)</f>
        <v>0.48444790046656305</v>
      </c>
      <c r="AY138" s="9">
        <f>1-AW138-AX138</f>
        <v>0.16018662519440119</v>
      </c>
      <c r="AZ138" s="3">
        <f>AL138*AW138</f>
        <v>1556.3809886604379</v>
      </c>
      <c r="BA138" s="3">
        <f>AL138*AX138</f>
        <v>2121.7185031410345</v>
      </c>
      <c r="BB138" s="3">
        <f>AZ138+BA138</f>
        <v>3678.0994918014721</v>
      </c>
      <c r="BC138" s="3">
        <f>AR138*AW138</f>
        <v>1456.5288217762934</v>
      </c>
      <c r="BD138" s="3">
        <f>AR138*AX138</f>
        <v>1985.5961837344221</v>
      </c>
      <c r="BE138" s="3">
        <f>BC138+BD138</f>
        <v>3442.1250055107157</v>
      </c>
      <c r="BF138" s="11">
        <f>Z139</f>
        <v>43077</v>
      </c>
      <c r="BG138" s="13">
        <f>AVERAGE(AA138:AA140)</f>
        <v>45</v>
      </c>
      <c r="BH138" s="7">
        <f t="shared" ref="BH138" si="174">AVERAGE(AB138:AB140)</f>
        <v>1.17</v>
      </c>
      <c r="BI138" s="3">
        <f t="shared" ref="BI138" si="175">AVERAGE(AC138:AC140)</f>
        <v>81.599999999999994</v>
      </c>
      <c r="BJ138" s="3">
        <f t="shared" ref="BJ138" si="176">AVERAGE(AD138:AD140)</f>
        <v>32.700000000000003</v>
      </c>
      <c r="BK138" s="3">
        <f t="shared" ref="BK138" si="177">AVERAGE(AE138:AE140)</f>
        <v>6.1</v>
      </c>
      <c r="BL138" s="3">
        <f t="shared" ref="BL138" si="178">AVERAGE(AF138:AF140)</f>
        <v>8.8000000000000007</v>
      </c>
    </row>
    <row r="139" spans="1:64" x14ac:dyDescent="0.25">
      <c r="A139">
        <v>92</v>
      </c>
      <c r="B139" s="1" t="s">
        <v>144</v>
      </c>
      <c r="C139" s="1" t="s">
        <v>32</v>
      </c>
      <c r="D139" s="2">
        <v>43047</v>
      </c>
      <c r="E139" s="3">
        <v>21.3</v>
      </c>
      <c r="F139" s="4">
        <f t="shared" si="121"/>
        <v>4669.854645669292</v>
      </c>
      <c r="G139" s="7">
        <v>9.67</v>
      </c>
      <c r="H139" s="7">
        <v>154.66999999999999</v>
      </c>
      <c r="I139" s="7">
        <f t="shared" si="133"/>
        <v>145</v>
      </c>
      <c r="J139" s="7">
        <v>135.69</v>
      </c>
      <c r="K139" s="5">
        <f t="shared" si="122"/>
        <v>6.4206896551724153</v>
      </c>
      <c r="L139" s="4">
        <f t="shared" si="123"/>
        <v>4370.0177715232148</v>
      </c>
      <c r="M139" s="2">
        <v>43054</v>
      </c>
      <c r="N139" s="7">
        <v>9.2799999999999994</v>
      </c>
      <c r="O139" s="7">
        <v>3.44</v>
      </c>
      <c r="P139" s="7">
        <v>6.08</v>
      </c>
      <c r="Q139" s="6">
        <f t="shared" si="124"/>
        <v>0.35964912280701755</v>
      </c>
      <c r="R139" s="6">
        <f t="shared" si="125"/>
        <v>0.48245614035087725</v>
      </c>
      <c r="S139" s="6">
        <f t="shared" si="126"/>
        <v>0.1578947368421052</v>
      </c>
      <c r="T139" s="4">
        <f t="shared" si="127"/>
        <v>1679.5091269512366</v>
      </c>
      <c r="U139" s="4">
        <f t="shared" si="128"/>
        <v>2253.0000483492199</v>
      </c>
      <c r="V139" s="4">
        <f t="shared" si="129"/>
        <v>3932.5091753004563</v>
      </c>
      <c r="W139" s="4">
        <f t="shared" si="130"/>
        <v>1571.6730581794018</v>
      </c>
      <c r="X139" s="4">
        <f t="shared" si="131"/>
        <v>2108.3419073138321</v>
      </c>
      <c r="Y139" s="4">
        <f t="shared" si="132"/>
        <v>3680.0149654932338</v>
      </c>
      <c r="Z139" s="10">
        <v>43077</v>
      </c>
      <c r="AA139" s="12">
        <v>45</v>
      </c>
      <c r="AB139" s="5">
        <v>1.17</v>
      </c>
      <c r="AC139" s="4">
        <v>81.599999999999994</v>
      </c>
      <c r="AD139" s="4">
        <v>32.700000000000003</v>
      </c>
      <c r="AE139" s="4">
        <v>6.1</v>
      </c>
      <c r="AF139" s="4">
        <v>8.8000000000000007</v>
      </c>
      <c r="AK139" s="3"/>
      <c r="AL139" s="3"/>
      <c r="AM139" s="7"/>
      <c r="AN139" s="7"/>
      <c r="AO139" s="7"/>
      <c r="AP139" s="7"/>
      <c r="AQ139" s="7"/>
      <c r="AR139" s="3"/>
      <c r="AS139" s="3"/>
      <c r="AT139" s="7"/>
      <c r="AU139" s="7"/>
      <c r="AV139" s="7"/>
      <c r="AW139" s="9"/>
      <c r="AX139" s="9"/>
      <c r="AY139" s="9"/>
      <c r="AZ139" s="3"/>
      <c r="BA139" s="3"/>
      <c r="BB139" s="3"/>
      <c r="BC139" s="3"/>
      <c r="BD139" s="3"/>
      <c r="BE139" s="3"/>
      <c r="BG139" s="13"/>
      <c r="BH139" s="7"/>
      <c r="BI139" s="3"/>
      <c r="BJ139" s="3"/>
      <c r="BK139" s="3"/>
      <c r="BL139" s="3"/>
    </row>
    <row r="140" spans="1:64" x14ac:dyDescent="0.25">
      <c r="A140">
        <v>93</v>
      </c>
      <c r="B140" s="1" t="s">
        <v>145</v>
      </c>
      <c r="C140" s="1" t="s">
        <v>32</v>
      </c>
      <c r="D140" s="2">
        <v>43047</v>
      </c>
      <c r="E140" s="3">
        <v>19.5</v>
      </c>
      <c r="F140" s="4">
        <f t="shared" si="121"/>
        <v>4268.050708661417</v>
      </c>
      <c r="G140" s="7">
        <v>9.67</v>
      </c>
      <c r="H140" s="7">
        <v>109.64</v>
      </c>
      <c r="I140" s="7">
        <f t="shared" si="133"/>
        <v>99.97</v>
      </c>
      <c r="J140" s="7">
        <v>93.68</v>
      </c>
      <c r="K140" s="5">
        <f t="shared" si="122"/>
        <v>6.2918875662698728</v>
      </c>
      <c r="L140" s="4">
        <f t="shared" si="123"/>
        <v>3999.509756801056</v>
      </c>
      <c r="M140" s="2">
        <v>43054</v>
      </c>
      <c r="N140" s="7">
        <v>8.52</v>
      </c>
      <c r="O140" s="7">
        <v>3.12</v>
      </c>
      <c r="P140" s="7">
        <v>5.72</v>
      </c>
      <c r="Q140" s="6">
        <f t="shared" si="124"/>
        <v>0.35406698564593303</v>
      </c>
      <c r="R140" s="6">
        <f t="shared" si="125"/>
        <v>0.48325358851674644</v>
      </c>
      <c r="S140" s="6">
        <f t="shared" si="126"/>
        <v>0.16267942583732048</v>
      </c>
      <c r="T140" s="4">
        <f t="shared" si="127"/>
        <v>1511.1758489997362</v>
      </c>
      <c r="U140" s="4">
        <f t="shared" si="128"/>
        <v>2062.5508209320724</v>
      </c>
      <c r="V140" s="4">
        <f t="shared" si="129"/>
        <v>3573.7266699318088</v>
      </c>
      <c r="W140" s="4">
        <f t="shared" si="130"/>
        <v>1416.0943636520485</v>
      </c>
      <c r="X140" s="4">
        <f t="shared" si="131"/>
        <v>1932.7774422818502</v>
      </c>
      <c r="Y140" s="4">
        <f t="shared" si="132"/>
        <v>3348.8718059338989</v>
      </c>
      <c r="Z140" s="10"/>
      <c r="AA140" s="12"/>
      <c r="AB140" s="5"/>
      <c r="AC140" s="4"/>
      <c r="AD140" s="4"/>
      <c r="AE140" s="4"/>
      <c r="AF140" s="4"/>
      <c r="AK140" s="3"/>
      <c r="AL140" s="3"/>
      <c r="AM140" s="7"/>
      <c r="AN140" s="7"/>
      <c r="AO140" s="7"/>
      <c r="AP140" s="7"/>
      <c r="AQ140" s="7"/>
      <c r="AR140" s="3"/>
      <c r="AS140" s="3"/>
      <c r="AT140" s="7"/>
      <c r="AU140" s="7"/>
      <c r="AV140" s="7"/>
      <c r="AW140" s="9"/>
      <c r="AX140" s="9"/>
      <c r="AY140" s="9"/>
      <c r="AZ140" s="3"/>
      <c r="BA140" s="3"/>
      <c r="BB140" s="3"/>
      <c r="BC140" s="3"/>
      <c r="BD140" s="3"/>
      <c r="BE140" s="3"/>
      <c r="BG140" s="13"/>
      <c r="BH140" s="7"/>
      <c r="BI140" s="3"/>
      <c r="BJ140" s="3"/>
      <c r="BK140" s="3"/>
      <c r="BL140" s="3"/>
    </row>
    <row r="141" spans="1:64" x14ac:dyDescent="0.25">
      <c r="A141">
        <v>94</v>
      </c>
      <c r="B141" s="1" t="s">
        <v>146</v>
      </c>
      <c r="C141" s="1" t="s">
        <v>32</v>
      </c>
      <c r="D141" s="2">
        <v>43047</v>
      </c>
      <c r="E141" s="3">
        <v>20.3</v>
      </c>
      <c r="F141" s="4">
        <f t="shared" si="121"/>
        <v>4446.6302362204733</v>
      </c>
      <c r="G141" s="7">
        <v>9.64</v>
      </c>
      <c r="H141" s="7">
        <v>140.71</v>
      </c>
      <c r="I141" s="7">
        <f t="shared" si="133"/>
        <v>131.07</v>
      </c>
      <c r="J141" s="7">
        <v>123.91</v>
      </c>
      <c r="K141" s="5">
        <f t="shared" si="122"/>
        <v>5.4627298390173173</v>
      </c>
      <c r="L141" s="4">
        <f t="shared" si="123"/>
        <v>4203.7228394756912</v>
      </c>
      <c r="M141" s="2">
        <v>43054</v>
      </c>
      <c r="N141" s="7">
        <v>8.86</v>
      </c>
      <c r="O141" s="7">
        <v>3.26</v>
      </c>
      <c r="P141" s="7">
        <v>5.88</v>
      </c>
      <c r="Q141" s="6">
        <f t="shared" si="124"/>
        <v>0.35632183908045978</v>
      </c>
      <c r="R141" s="6">
        <f t="shared" si="125"/>
        <v>0.48275862068965525</v>
      </c>
      <c r="S141" s="6">
        <f t="shared" si="126"/>
        <v>0.16091954022988497</v>
      </c>
      <c r="T141" s="4">
        <f t="shared" si="127"/>
        <v>1584.4314634808584</v>
      </c>
      <c r="U141" s="4">
        <f t="shared" si="128"/>
        <v>2146.6490795547115</v>
      </c>
      <c r="V141" s="4">
        <f t="shared" si="129"/>
        <v>3731.0805430355699</v>
      </c>
      <c r="W141" s="4">
        <f t="shared" si="130"/>
        <v>1497.8782531465106</v>
      </c>
      <c r="X141" s="4">
        <f t="shared" si="131"/>
        <v>2029.3834397468856</v>
      </c>
      <c r="Y141" s="4">
        <f t="shared" si="132"/>
        <v>3527.2616928933962</v>
      </c>
      <c r="Z141" s="10"/>
      <c r="AA141" s="12"/>
      <c r="AB141" s="5"/>
      <c r="AC141" s="4"/>
      <c r="AD141" s="4"/>
      <c r="AE141" s="4"/>
      <c r="AF141" s="4"/>
      <c r="AH141" t="s">
        <v>278</v>
      </c>
      <c r="AI141" t="s">
        <v>32</v>
      </c>
      <c r="AJ141" s="8">
        <f>D141</f>
        <v>43047</v>
      </c>
      <c r="AK141" s="3">
        <f>SUM(E141:E143)</f>
        <v>60.5</v>
      </c>
      <c r="AL141" s="3">
        <f>(AK141-3*$A$35)*$A$36/(3*$A$37)*$A$38</f>
        <v>4416.8669816272968</v>
      </c>
      <c r="AM141" s="7">
        <f>SUM(G141:G143)</f>
        <v>28.950000000000003</v>
      </c>
      <c r="AN141" s="7">
        <f>SUM(H141:H143)</f>
        <v>433.71000000000004</v>
      </c>
      <c r="AO141" s="7">
        <f>AN141-AM141</f>
        <v>404.76000000000005</v>
      </c>
      <c r="AP141" s="7">
        <f>SUM(J141:J143)</f>
        <v>379.93</v>
      </c>
      <c r="AQ141" s="7">
        <f>(AO141-AP141)/AO141*100</f>
        <v>6.1344994564680402</v>
      </c>
      <c r="AR141" s="3">
        <f>AL141*(1-AQ141/100)</f>
        <v>4145.9143006464537</v>
      </c>
      <c r="AS141" s="11">
        <f>M141</f>
        <v>43054</v>
      </c>
      <c r="AT141" s="7">
        <f>SUM(N141:N143)</f>
        <v>26.330000000000002</v>
      </c>
      <c r="AU141" s="7">
        <f>SUM(O141:O143)</f>
        <v>9.84</v>
      </c>
      <c r="AV141" s="7">
        <f>SUM(P141:P143)</f>
        <v>17.52</v>
      </c>
      <c r="AW141" s="9">
        <f>(AU141-3*$A$39)/(AT141-3*$A$39)</f>
        <v>0.36208897485493224</v>
      </c>
      <c r="AX141" s="9">
        <f>(AV141-3*$A$40)/(AT141-3*$A$39)</f>
        <v>0.48278529980657642</v>
      </c>
      <c r="AY141" s="9">
        <f>1-AW141-AX141</f>
        <v>0.15512572533849128</v>
      </c>
      <c r="AZ141" s="3">
        <f>AL141*AW141</f>
        <v>1599.2988374480267</v>
      </c>
      <c r="BA141" s="3">
        <f>AL141*AX141</f>
        <v>2132.3984499307026</v>
      </c>
      <c r="BB141" s="3">
        <f>AZ141+BA141</f>
        <v>3731.697287378729</v>
      </c>
      <c r="BC141" s="3">
        <f>AR141*AW141</f>
        <v>1501.1898589574778</v>
      </c>
      <c r="BD141" s="3">
        <f>AR141*AX141</f>
        <v>2001.5864786099708</v>
      </c>
      <c r="BE141" s="3">
        <f>BC141+BD141</f>
        <v>3502.7763375674485</v>
      </c>
      <c r="BF141" s="11">
        <f>Z142</f>
        <v>43077</v>
      </c>
      <c r="BG141" s="13">
        <f>AVERAGE(AA141:AA143)</f>
        <v>47</v>
      </c>
      <c r="BH141" s="7">
        <f t="shared" ref="BH141" si="179">AVERAGE(AB141:AB143)</f>
        <v>1.1200000000000001</v>
      </c>
      <c r="BI141" s="3">
        <f t="shared" ref="BI141" si="180">AVERAGE(AC141:AC143)</f>
        <v>80.2</v>
      </c>
      <c r="BJ141" s="3">
        <f t="shared" ref="BJ141" si="181">AVERAGE(AD141:AD143)</f>
        <v>29.7</v>
      </c>
      <c r="BK141" s="3">
        <f t="shared" ref="BK141" si="182">AVERAGE(AE141:AE143)</f>
        <v>6</v>
      </c>
      <c r="BL141" s="3">
        <f t="shared" ref="BL141" si="183">AVERAGE(AF141:AF143)</f>
        <v>10.5</v>
      </c>
    </row>
    <row r="142" spans="1:64" x14ac:dyDescent="0.25">
      <c r="A142">
        <v>95</v>
      </c>
      <c r="B142" s="1" t="s">
        <v>147</v>
      </c>
      <c r="C142" s="1" t="s">
        <v>32</v>
      </c>
      <c r="D142" s="2">
        <v>43047</v>
      </c>
      <c r="E142" s="3">
        <v>20.2</v>
      </c>
      <c r="F142" s="4">
        <f t="shared" si="121"/>
        <v>4424.3077952755903</v>
      </c>
      <c r="G142" s="7">
        <v>9.66</v>
      </c>
      <c r="H142" s="7">
        <v>148.9</v>
      </c>
      <c r="I142" s="7">
        <f t="shared" si="133"/>
        <v>139.24</v>
      </c>
      <c r="J142" s="7">
        <v>130.86000000000001</v>
      </c>
      <c r="K142" s="5">
        <f t="shared" si="122"/>
        <v>6.0183855214018926</v>
      </c>
      <c r="L142" s="4">
        <f t="shared" si="123"/>
        <v>4158.0358955024685</v>
      </c>
      <c r="M142" s="2">
        <v>43054</v>
      </c>
      <c r="N142" s="7">
        <v>8.81</v>
      </c>
      <c r="O142" s="7">
        <v>3.34</v>
      </c>
      <c r="P142" s="7">
        <v>5.88</v>
      </c>
      <c r="Q142" s="6">
        <f t="shared" si="124"/>
        <v>0.36763005780346814</v>
      </c>
      <c r="R142" s="6">
        <f t="shared" si="125"/>
        <v>0.48554913294797686</v>
      </c>
      <c r="S142" s="6">
        <f t="shared" si="126"/>
        <v>0.14682080924855501</v>
      </c>
      <c r="T142" s="4">
        <f t="shared" si="127"/>
        <v>1626.5085305174998</v>
      </c>
      <c r="U142" s="4">
        <f t="shared" si="128"/>
        <v>2148.2188138910378</v>
      </c>
      <c r="V142" s="4">
        <f t="shared" si="129"/>
        <v>3774.7273444085376</v>
      </c>
      <c r="W142" s="4">
        <f t="shared" si="130"/>
        <v>1528.6189766124678</v>
      </c>
      <c r="X142" s="4">
        <f t="shared" si="131"/>
        <v>2018.9307238277881</v>
      </c>
      <c r="Y142" s="4">
        <f t="shared" si="132"/>
        <v>3547.5497004402559</v>
      </c>
      <c r="Z142" s="10">
        <v>43077</v>
      </c>
      <c r="AA142" s="12">
        <v>47</v>
      </c>
      <c r="AB142" s="5">
        <v>1.1200000000000001</v>
      </c>
      <c r="AC142" s="4">
        <v>80.2</v>
      </c>
      <c r="AD142" s="4">
        <v>29.7</v>
      </c>
      <c r="AE142" s="4">
        <v>6</v>
      </c>
      <c r="AF142" s="4">
        <v>10.5</v>
      </c>
      <c r="AK142" s="3"/>
      <c r="AL142" s="3"/>
      <c r="AM142" s="7"/>
      <c r="AN142" s="7"/>
      <c r="AO142" s="7"/>
      <c r="AP142" s="7"/>
      <c r="AQ142" s="7"/>
      <c r="AR142" s="3"/>
      <c r="AS142" s="3"/>
      <c r="AT142" s="7"/>
      <c r="AU142" s="7"/>
      <c r="AV142" s="7"/>
      <c r="AW142" s="9"/>
      <c r="AX142" s="9"/>
      <c r="AY142" s="9"/>
      <c r="AZ142" s="3"/>
      <c r="BA142" s="3"/>
      <c r="BB142" s="3"/>
      <c r="BC142" s="3"/>
      <c r="BD142" s="3"/>
      <c r="BE142" s="3"/>
      <c r="BG142" s="13"/>
      <c r="BH142" s="7"/>
      <c r="BI142" s="3"/>
      <c r="BJ142" s="3"/>
      <c r="BK142" s="3"/>
      <c r="BL142" s="3"/>
    </row>
    <row r="143" spans="1:64" x14ac:dyDescent="0.25">
      <c r="A143">
        <v>96</v>
      </c>
      <c r="B143" s="1" t="s">
        <v>148</v>
      </c>
      <c r="C143" s="1" t="s">
        <v>32</v>
      </c>
      <c r="D143" s="2">
        <v>43047</v>
      </c>
      <c r="E143" s="3">
        <v>20</v>
      </c>
      <c r="F143" s="4">
        <f t="shared" si="121"/>
        <v>4379.6629133858269</v>
      </c>
      <c r="G143" s="7">
        <v>9.65</v>
      </c>
      <c r="H143" s="7">
        <v>144.1</v>
      </c>
      <c r="I143" s="7">
        <f t="shared" si="133"/>
        <v>134.44999999999999</v>
      </c>
      <c r="J143" s="7">
        <v>125.16</v>
      </c>
      <c r="K143" s="5">
        <f t="shared" si="122"/>
        <v>6.9096318333953093</v>
      </c>
      <c r="L143" s="4">
        <f t="shared" si="123"/>
        <v>4077.044330527111</v>
      </c>
      <c r="M143" s="2">
        <v>43054</v>
      </c>
      <c r="N143" s="7">
        <v>8.66</v>
      </c>
      <c r="O143" s="7">
        <v>3.24</v>
      </c>
      <c r="P143" s="7">
        <v>5.76</v>
      </c>
      <c r="Q143" s="6">
        <f t="shared" si="124"/>
        <v>0.3623529411764706</v>
      </c>
      <c r="R143" s="6">
        <f t="shared" si="125"/>
        <v>0.48</v>
      </c>
      <c r="S143" s="6">
        <f t="shared" si="126"/>
        <v>0.15764705882352947</v>
      </c>
      <c r="T143" s="4">
        <f t="shared" si="127"/>
        <v>1586.9837380268643</v>
      </c>
      <c r="U143" s="4">
        <f t="shared" si="128"/>
        <v>2102.238198425197</v>
      </c>
      <c r="V143" s="4">
        <f t="shared" si="129"/>
        <v>3689.2219364520615</v>
      </c>
      <c r="W143" s="4">
        <f t="shared" si="130"/>
        <v>1477.3290044733533</v>
      </c>
      <c r="X143" s="4">
        <f t="shared" si="131"/>
        <v>1956.9812786530133</v>
      </c>
      <c r="Y143" s="4">
        <f t="shared" si="132"/>
        <v>3434.3102831263668</v>
      </c>
      <c r="Z143" s="10"/>
      <c r="AA143" s="12"/>
      <c r="AB143" s="5"/>
      <c r="AC143" s="4"/>
      <c r="AD143" s="4"/>
      <c r="AE143" s="4"/>
      <c r="AF143" s="4"/>
      <c r="AK143" s="3"/>
      <c r="AL143" s="3"/>
      <c r="AM143" s="7"/>
      <c r="AN143" s="7"/>
      <c r="AO143" s="7"/>
      <c r="AP143" s="7"/>
      <c r="AQ143" s="7"/>
      <c r="AR143" s="3"/>
      <c r="AS143" s="3"/>
      <c r="AT143" s="7"/>
      <c r="AU143" s="7"/>
      <c r="AV143" s="7"/>
      <c r="AW143" s="9"/>
      <c r="AX143" s="9"/>
      <c r="AY143" s="9"/>
      <c r="AZ143" s="3"/>
      <c r="BA143" s="3"/>
      <c r="BB143" s="3"/>
      <c r="BC143" s="3"/>
      <c r="BD143" s="3"/>
      <c r="BE143" s="3"/>
      <c r="BG143" s="13"/>
      <c r="BH143" s="7"/>
      <c r="BI143" s="3"/>
      <c r="BJ143" s="3"/>
      <c r="BK143" s="3"/>
      <c r="BL143" s="3"/>
    </row>
    <row r="144" spans="1:64" x14ac:dyDescent="0.25">
      <c r="A144">
        <v>97</v>
      </c>
      <c r="B144" s="1" t="s">
        <v>149</v>
      </c>
      <c r="C144" s="1" t="s">
        <v>32</v>
      </c>
      <c r="D144" s="2">
        <v>43047</v>
      </c>
      <c r="E144" s="3">
        <v>18.3</v>
      </c>
      <c r="F144" s="4">
        <f t="shared" si="121"/>
        <v>4000.1814173228349</v>
      </c>
      <c r="G144" s="7">
        <v>9.7200000000000006</v>
      </c>
      <c r="H144" s="7">
        <v>161.19999999999999</v>
      </c>
      <c r="I144" s="7">
        <f t="shared" si="133"/>
        <v>151.47999999999999</v>
      </c>
      <c r="J144" s="7">
        <v>142.34</v>
      </c>
      <c r="K144" s="5">
        <f t="shared" si="122"/>
        <v>6.0337998415632335</v>
      </c>
      <c r="L144" s="4">
        <f t="shared" si="123"/>
        <v>3758.8184773021676</v>
      </c>
      <c r="M144" s="2">
        <v>43054</v>
      </c>
      <c r="N144" s="7">
        <v>7.86</v>
      </c>
      <c r="O144" s="7">
        <v>2.84</v>
      </c>
      <c r="P144" s="7">
        <v>5.38</v>
      </c>
      <c r="Q144" s="6">
        <f t="shared" si="124"/>
        <v>0.348051948051948</v>
      </c>
      <c r="R144" s="6">
        <f t="shared" si="125"/>
        <v>0.48051948051948051</v>
      </c>
      <c r="S144" s="6">
        <f t="shared" si="126"/>
        <v>0.17142857142857154</v>
      </c>
      <c r="T144" s="4">
        <f t="shared" si="127"/>
        <v>1392.2709348604151</v>
      </c>
      <c r="U144" s="4">
        <f t="shared" si="128"/>
        <v>1922.1650966356478</v>
      </c>
      <c r="V144" s="4">
        <f t="shared" si="129"/>
        <v>3314.4360314960632</v>
      </c>
      <c r="W144" s="4">
        <f t="shared" si="130"/>
        <v>1308.2640933986763</v>
      </c>
      <c r="X144" s="4">
        <f t="shared" si="131"/>
        <v>1806.1855020802623</v>
      </c>
      <c r="Y144" s="4">
        <f t="shared" si="132"/>
        <v>3114.4495954789386</v>
      </c>
      <c r="Z144" s="10"/>
      <c r="AA144" s="12"/>
      <c r="AB144" s="5"/>
      <c r="AC144" s="4"/>
      <c r="AD144" s="4"/>
      <c r="AE144" s="4"/>
      <c r="AF144" s="4"/>
      <c r="AH144" t="s">
        <v>279</v>
      </c>
      <c r="AI144" t="str">
        <f>C144</f>
        <v>Machine</v>
      </c>
      <c r="AJ144" s="8">
        <f>D144</f>
        <v>43047</v>
      </c>
      <c r="AK144" s="3">
        <f>SUM(E144:E146)</f>
        <v>58.1</v>
      </c>
      <c r="AL144" s="3">
        <f>(AK144-3*$A$35)*$A$36/(3*$A$37)*$A$38</f>
        <v>4238.2874540682415</v>
      </c>
      <c r="AM144" s="7">
        <f>SUM(G144:G146)</f>
        <v>29.169999999999998</v>
      </c>
      <c r="AN144" s="7">
        <f>SUM(H144:H146)</f>
        <v>552.85</v>
      </c>
      <c r="AO144" s="7">
        <f>AN144-AM144</f>
        <v>523.68000000000006</v>
      </c>
      <c r="AP144" s="7">
        <f>SUM(J144:J146)</f>
        <v>492.76</v>
      </c>
      <c r="AQ144" s="7">
        <f>(AO144-AP144)/AO144*100</f>
        <v>5.904369080354428</v>
      </c>
      <c r="AR144" s="3">
        <f>AL144*(1-AQ144/100)</f>
        <v>3988.043320093695</v>
      </c>
      <c r="AS144" s="11">
        <f>M144</f>
        <v>43054</v>
      </c>
      <c r="AT144" s="7">
        <f>SUM(N144:N146)</f>
        <v>25.25</v>
      </c>
      <c r="AU144" s="7">
        <f>SUM(O144:O146)</f>
        <v>9.0799999999999983</v>
      </c>
      <c r="AV144" s="7">
        <f>SUM(P144:P146)</f>
        <v>17.04</v>
      </c>
      <c r="AW144" s="9">
        <f>(AU144-3*$A$39)/(AT144-3*$A$39)</f>
        <v>0.34719418651594663</v>
      </c>
      <c r="AX144" s="9">
        <f>(AV144-3*$A$40)/(AT144-3*$A$39)</f>
        <v>0.48445700444085588</v>
      </c>
      <c r="AY144" s="9">
        <f>1-AW144-AX144</f>
        <v>0.16834880904319743</v>
      </c>
      <c r="AZ144" s="3">
        <f>AL144*AW144</f>
        <v>1471.5087648359656</v>
      </c>
      <c r="BA144" s="3">
        <f>AL144*AX144</f>
        <v>2053.2680439571618</v>
      </c>
      <c r="BB144" s="3">
        <f>AZ144+BA144</f>
        <v>3524.7768087931272</v>
      </c>
      <c r="BC144" s="3">
        <f>AR144*AW144</f>
        <v>1384.6254563102855</v>
      </c>
      <c r="BD144" s="3">
        <f>AR144*AX144</f>
        <v>1932.0355204329569</v>
      </c>
      <c r="BE144" s="3">
        <f>BC144+BD144</f>
        <v>3316.6609767432424</v>
      </c>
      <c r="BF144" s="11">
        <f>Z145</f>
        <v>43077</v>
      </c>
      <c r="BG144" s="13">
        <f>AVERAGE(AA144:AA146)</f>
        <v>43</v>
      </c>
      <c r="BH144" s="7">
        <f t="shared" ref="BH144" si="184">AVERAGE(AB144:AB146)</f>
        <v>1.1499999999999999</v>
      </c>
      <c r="BI144" s="3">
        <f t="shared" ref="BI144" si="185">AVERAGE(AC144:AC146)</f>
        <v>80.8</v>
      </c>
      <c r="BJ144" s="3">
        <f t="shared" ref="BJ144" si="186">AVERAGE(AD144:AD146)</f>
        <v>32.6</v>
      </c>
      <c r="BK144" s="3">
        <f t="shared" ref="BK144" si="187">AVERAGE(AE144:AE146)</f>
        <v>6.1</v>
      </c>
      <c r="BL144" s="3">
        <f t="shared" ref="BL144" si="188">AVERAGE(AF144:AF146)</f>
        <v>9.5</v>
      </c>
    </row>
    <row r="145" spans="1:64" x14ac:dyDescent="0.25">
      <c r="A145">
        <v>98</v>
      </c>
      <c r="B145" s="1" t="s">
        <v>150</v>
      </c>
      <c r="C145" s="1" t="s">
        <v>32</v>
      </c>
      <c r="D145" s="2">
        <v>43047</v>
      </c>
      <c r="E145" s="3">
        <v>21.2</v>
      </c>
      <c r="F145" s="4">
        <f t="shared" si="121"/>
        <v>4647.532204724409</v>
      </c>
      <c r="G145" s="7">
        <v>9.75</v>
      </c>
      <c r="H145" s="7">
        <v>235.68</v>
      </c>
      <c r="I145" s="7">
        <f t="shared" si="133"/>
        <v>225.93</v>
      </c>
      <c r="J145" s="7">
        <v>213.19</v>
      </c>
      <c r="K145" s="5">
        <f t="shared" si="122"/>
        <v>5.6389147080954309</v>
      </c>
      <c r="L145" s="4">
        <f t="shared" si="123"/>
        <v>4385.4618276687324</v>
      </c>
      <c r="M145" s="2">
        <v>43054</v>
      </c>
      <c r="N145" s="7">
        <v>9.3000000000000007</v>
      </c>
      <c r="O145" s="7">
        <v>3.36</v>
      </c>
      <c r="P145" s="7">
        <v>6.18</v>
      </c>
      <c r="Q145" s="6">
        <f t="shared" si="124"/>
        <v>0.35010940919037192</v>
      </c>
      <c r="R145" s="6">
        <f t="shared" si="125"/>
        <v>0.49234135667396056</v>
      </c>
      <c r="S145" s="6">
        <f t="shared" si="126"/>
        <v>0.15754923413566752</v>
      </c>
      <c r="T145" s="4">
        <f t="shared" si="127"/>
        <v>1627.1447543892896</v>
      </c>
      <c r="U145" s="4">
        <f t="shared" si="128"/>
        <v>2288.1723108599385</v>
      </c>
      <c r="V145" s="4">
        <f t="shared" si="129"/>
        <v>3915.3170652492281</v>
      </c>
      <c r="W145" s="4">
        <f t="shared" si="130"/>
        <v>1535.3914495120287</v>
      </c>
      <c r="X145" s="4">
        <f t="shared" si="131"/>
        <v>2159.1442258762904</v>
      </c>
      <c r="Y145" s="4">
        <f t="shared" si="132"/>
        <v>3694.5356753883189</v>
      </c>
      <c r="Z145" s="10">
        <v>43077</v>
      </c>
      <c r="AA145" s="12">
        <v>43</v>
      </c>
      <c r="AB145" s="5">
        <v>1.1499999999999999</v>
      </c>
      <c r="AC145" s="4">
        <v>80.8</v>
      </c>
      <c r="AD145" s="4">
        <v>32.6</v>
      </c>
      <c r="AE145" s="4">
        <v>6.1</v>
      </c>
      <c r="AF145" s="4">
        <v>9.5</v>
      </c>
      <c r="AK145" s="3"/>
      <c r="AL145" s="3"/>
      <c r="AM145" s="7"/>
      <c r="AN145" s="7"/>
      <c r="AO145" s="7"/>
      <c r="AP145" s="7"/>
      <c r="AQ145" s="7"/>
      <c r="AR145" s="3"/>
      <c r="AS145" s="3"/>
      <c r="AT145" s="7"/>
      <c r="AU145" s="7"/>
      <c r="AV145" s="7"/>
      <c r="AW145" s="9"/>
      <c r="AX145" s="9"/>
      <c r="AY145" s="9"/>
      <c r="AZ145" s="3"/>
      <c r="BA145" s="3"/>
      <c r="BB145" s="3"/>
      <c r="BC145" s="3"/>
      <c r="BD145" s="3"/>
      <c r="BE145" s="3"/>
      <c r="BG145" s="13"/>
      <c r="BH145" s="7"/>
      <c r="BI145" s="3"/>
      <c r="BJ145" s="3"/>
      <c r="BK145" s="3"/>
      <c r="BL145" s="3"/>
    </row>
    <row r="146" spans="1:64" x14ac:dyDescent="0.25">
      <c r="A146">
        <v>99</v>
      </c>
      <c r="B146" s="1" t="s">
        <v>151</v>
      </c>
      <c r="C146" s="1" t="s">
        <v>32</v>
      </c>
      <c r="D146" s="2">
        <v>43047</v>
      </c>
      <c r="E146" s="3">
        <v>18.600000000000001</v>
      </c>
      <c r="F146" s="4">
        <f t="shared" si="121"/>
        <v>4067.1487401574814</v>
      </c>
      <c r="G146" s="7">
        <v>9.6999999999999993</v>
      </c>
      <c r="H146" s="7">
        <v>155.97</v>
      </c>
      <c r="I146" s="7">
        <f t="shared" si="133"/>
        <v>146.27000000000001</v>
      </c>
      <c r="J146" s="7">
        <v>137.22999999999999</v>
      </c>
      <c r="K146" s="5">
        <f t="shared" si="122"/>
        <v>6.1803514049360908</v>
      </c>
      <c r="L146" s="4">
        <f t="shared" si="123"/>
        <v>3815.7846558543179</v>
      </c>
      <c r="M146" s="2">
        <v>43054</v>
      </c>
      <c r="N146" s="7">
        <v>8.09</v>
      </c>
      <c r="O146" s="7">
        <v>2.88</v>
      </c>
      <c r="P146" s="7">
        <v>5.48</v>
      </c>
      <c r="Q146" s="6">
        <f t="shared" si="124"/>
        <v>0.34300126103404788</v>
      </c>
      <c r="R146" s="6">
        <f t="shared" si="125"/>
        <v>0.47919293820933173</v>
      </c>
      <c r="S146" s="6">
        <f t="shared" si="126"/>
        <v>0.17780580075662045</v>
      </c>
      <c r="T146" s="4">
        <f t="shared" si="127"/>
        <v>1395.0371466870552</v>
      </c>
      <c r="U146" s="4">
        <f t="shared" si="128"/>
        <v>1948.9489549304453</v>
      </c>
      <c r="V146" s="4">
        <f t="shared" si="129"/>
        <v>3343.9861016175005</v>
      </c>
      <c r="W146" s="4">
        <f t="shared" si="130"/>
        <v>1308.8189487924014</v>
      </c>
      <c r="X146" s="4">
        <f t="shared" si="131"/>
        <v>1828.4970608129142</v>
      </c>
      <c r="Y146" s="4">
        <f t="shared" si="132"/>
        <v>3137.3160096053157</v>
      </c>
      <c r="Z146" s="10"/>
      <c r="AA146" s="12"/>
      <c r="AB146" s="5"/>
      <c r="AC146" s="4"/>
      <c r="AD146" s="4"/>
      <c r="AE146" s="4"/>
      <c r="AF146" s="4"/>
      <c r="AK146" s="3"/>
      <c r="AL146" s="3"/>
      <c r="AM146" s="7"/>
      <c r="AN146" s="7"/>
      <c r="AO146" s="7"/>
      <c r="AP146" s="7"/>
      <c r="AQ146" s="7"/>
      <c r="AR146" s="3"/>
      <c r="AS146" s="3"/>
      <c r="AT146" s="7"/>
      <c r="AU146" s="7"/>
      <c r="AV146" s="7"/>
      <c r="AW146" s="9"/>
      <c r="AX146" s="9"/>
      <c r="AY146" s="9"/>
      <c r="AZ146" s="3"/>
      <c r="BA146" s="3"/>
      <c r="BB146" s="3"/>
      <c r="BC146" s="3"/>
      <c r="BD146" s="3"/>
      <c r="BE146" s="3"/>
      <c r="BG146" s="13"/>
      <c r="BH146" s="7"/>
      <c r="BI146" s="3"/>
      <c r="BJ146" s="3"/>
      <c r="BK146" s="3"/>
      <c r="BL146" s="3"/>
    </row>
    <row r="147" spans="1:64" x14ac:dyDescent="0.25">
      <c r="A147">
        <v>100</v>
      </c>
      <c r="B147" s="1" t="s">
        <v>152</v>
      </c>
      <c r="C147" s="1" t="s">
        <v>32</v>
      </c>
      <c r="D147" s="2">
        <v>43047</v>
      </c>
      <c r="E147" s="3">
        <v>18.5</v>
      </c>
      <c r="F147" s="4">
        <f t="shared" si="121"/>
        <v>4044.8262992125983</v>
      </c>
      <c r="G147" s="7">
        <v>9.67</v>
      </c>
      <c r="H147" s="7">
        <v>174.72</v>
      </c>
      <c r="I147" s="7">
        <f t="shared" si="133"/>
        <v>165.05</v>
      </c>
      <c r="J147" s="7">
        <v>154.72999999999999</v>
      </c>
      <c r="K147" s="5">
        <f t="shared" si="122"/>
        <v>6.2526507119054955</v>
      </c>
      <c r="L147" s="4">
        <f t="shared" si="123"/>
        <v>3791.9174388195411</v>
      </c>
      <c r="M147" s="2">
        <v>43054</v>
      </c>
      <c r="N147" s="7">
        <v>7.98</v>
      </c>
      <c r="O147" s="7">
        <v>2.84</v>
      </c>
      <c r="P147" s="7">
        <v>5.36</v>
      </c>
      <c r="Q147" s="6">
        <f t="shared" si="124"/>
        <v>0.3427109974424552</v>
      </c>
      <c r="R147" s="6">
        <f t="shared" si="125"/>
        <v>0.4705882352941177</v>
      </c>
      <c r="S147" s="6">
        <f t="shared" si="126"/>
        <v>0.18670076726342716</v>
      </c>
      <c r="T147" s="4">
        <f t="shared" si="127"/>
        <v>1386.2064554846243</v>
      </c>
      <c r="U147" s="4">
        <f t="shared" si="128"/>
        <v>1903.4476702176935</v>
      </c>
      <c r="V147" s="4">
        <f t="shared" si="129"/>
        <v>3289.6541257023177</v>
      </c>
      <c r="W147" s="4">
        <f t="shared" si="130"/>
        <v>1299.5318076772851</v>
      </c>
      <c r="X147" s="4">
        <f t="shared" si="131"/>
        <v>1784.4317359150784</v>
      </c>
      <c r="Y147" s="4">
        <f t="shared" si="132"/>
        <v>3083.9635435923637</v>
      </c>
      <c r="Z147" s="10"/>
      <c r="AA147" s="12"/>
      <c r="AB147" s="5"/>
      <c r="AC147" s="4"/>
      <c r="AD147" s="4"/>
      <c r="AE147" s="4"/>
      <c r="AF147" s="4"/>
      <c r="AH147" t="s">
        <v>280</v>
      </c>
      <c r="AI147" t="s">
        <v>32</v>
      </c>
      <c r="AJ147" s="8">
        <f>D147</f>
        <v>43047</v>
      </c>
      <c r="AK147" s="3">
        <f>SUM(E147:E149)</f>
        <v>54.5</v>
      </c>
      <c r="AL147" s="3">
        <f>(AK147-3*$A$35)*$A$36/(3*$A$37)*$A$38</f>
        <v>3970.4181627296584</v>
      </c>
      <c r="AM147" s="7">
        <f>SUM(G147:G149)</f>
        <v>29.01</v>
      </c>
      <c r="AN147" s="7">
        <f>SUM(H147:H149)</f>
        <v>563.25</v>
      </c>
      <c r="AO147" s="7">
        <f>AN147-AM147</f>
        <v>534.24</v>
      </c>
      <c r="AP147" s="7">
        <f>SUM(J147:J149)</f>
        <v>499.45</v>
      </c>
      <c r="AQ147" s="7">
        <f>(AO147-AP147)/AO147*100</f>
        <v>6.5120545073375293</v>
      </c>
      <c r="AR147" s="3">
        <f>AL147*(1-AQ147/100)</f>
        <v>3711.8623678034737</v>
      </c>
      <c r="AS147" s="11">
        <f>M147</f>
        <v>43054</v>
      </c>
      <c r="AT147" s="7">
        <f>SUM(N147:N149)</f>
        <v>23.54</v>
      </c>
      <c r="AU147" s="7">
        <f>SUM(O147:O149)</f>
        <v>8.379999999999999</v>
      </c>
      <c r="AV147" s="7">
        <f>SUM(P147:P149)</f>
        <v>15.940000000000001</v>
      </c>
      <c r="AW147" s="9">
        <f>(AU147-3*$A$39)/(AT147-3*$A$39)</f>
        <v>0.34258456201214221</v>
      </c>
      <c r="AX147" s="9">
        <f>(AV147-3*$A$40)/(AT147-3*$A$39)</f>
        <v>0.47267996530789258</v>
      </c>
      <c r="AY147" s="9">
        <f>1-AW147-AX147</f>
        <v>0.18473547267996526</v>
      </c>
      <c r="AZ147" s="3">
        <f>AL147*AW147</f>
        <v>1360.2039672837943</v>
      </c>
      <c r="BA147" s="3">
        <f>AL147*AX147</f>
        <v>1876.7371194168816</v>
      </c>
      <c r="BB147" s="3">
        <f>AZ147+BA147</f>
        <v>3236.9410867006759</v>
      </c>
      <c r="BC147" s="3">
        <f>AR147*AW147</f>
        <v>1271.6267435233062</v>
      </c>
      <c r="BD147" s="3">
        <f>AR147*AX147</f>
        <v>1754.522975241018</v>
      </c>
      <c r="BE147" s="3">
        <f>BC147+BD147</f>
        <v>3026.1497187643245</v>
      </c>
      <c r="BF147" s="11">
        <f>Z148</f>
        <v>43077</v>
      </c>
      <c r="BG147" s="13">
        <f>AVERAGE(AA147:AA149)</f>
        <v>38</v>
      </c>
      <c r="BH147" s="7">
        <f t="shared" ref="BH147" si="189">AVERAGE(AB147:AB149)</f>
        <v>1.1399999999999999</v>
      </c>
      <c r="BI147" s="3">
        <f t="shared" ref="BI147" si="190">AVERAGE(AC147:AC149)</f>
        <v>80.2</v>
      </c>
      <c r="BJ147" s="3">
        <f t="shared" ref="BJ147" si="191">AVERAGE(AD147:AD149)</f>
        <v>30.3</v>
      </c>
      <c r="BK147" s="3">
        <f t="shared" ref="BK147" si="192">AVERAGE(AE147:AE149)</f>
        <v>5.7</v>
      </c>
      <c r="BL147" s="3">
        <f t="shared" ref="BL147" si="193">AVERAGE(AF147:AF149)</f>
        <v>10.199999999999999</v>
      </c>
    </row>
    <row r="148" spans="1:64" x14ac:dyDescent="0.25">
      <c r="A148">
        <v>101</v>
      </c>
      <c r="B148" s="1" t="s">
        <v>153</v>
      </c>
      <c r="C148" s="1" t="s">
        <v>32</v>
      </c>
      <c r="D148" s="2">
        <v>43047</v>
      </c>
      <c r="E148" s="3">
        <v>17.899999999999999</v>
      </c>
      <c r="F148" s="4">
        <f t="shared" si="121"/>
        <v>3910.8916535433068</v>
      </c>
      <c r="G148" s="7">
        <v>9.68</v>
      </c>
      <c r="H148" s="7">
        <v>225.33</v>
      </c>
      <c r="I148" s="7">
        <f t="shared" si="133"/>
        <v>215.65</v>
      </c>
      <c r="J148" s="7">
        <v>201.04</v>
      </c>
      <c r="K148" s="5">
        <f t="shared" si="122"/>
        <v>6.7748666821238173</v>
      </c>
      <c r="L148" s="4">
        <f t="shared" si="123"/>
        <v>3645.9339579334401</v>
      </c>
      <c r="M148" s="2">
        <v>43054</v>
      </c>
      <c r="N148" s="7">
        <v>7.71</v>
      </c>
      <c r="O148" s="7">
        <v>2.74</v>
      </c>
      <c r="P148" s="7">
        <v>5.26</v>
      </c>
      <c r="Q148" s="6">
        <f t="shared" si="124"/>
        <v>0.34172185430463575</v>
      </c>
      <c r="R148" s="6">
        <f t="shared" si="125"/>
        <v>0.47417218543046358</v>
      </c>
      <c r="S148" s="6">
        <f t="shared" si="126"/>
        <v>0.18410596026490067</v>
      </c>
      <c r="T148" s="4">
        <f t="shared" si="127"/>
        <v>1336.4371478333419</v>
      </c>
      <c r="U148" s="4">
        <f t="shared" si="128"/>
        <v>1854.4360423423891</v>
      </c>
      <c r="V148" s="4">
        <f t="shared" si="129"/>
        <v>3190.873190175731</v>
      </c>
      <c r="W148" s="4">
        <f t="shared" si="130"/>
        <v>1245.895312777255</v>
      </c>
      <c r="X148" s="4">
        <f t="shared" si="131"/>
        <v>1728.8004727684392</v>
      </c>
      <c r="Y148" s="4">
        <f t="shared" si="132"/>
        <v>2974.695785545694</v>
      </c>
      <c r="Z148" s="10">
        <v>43077</v>
      </c>
      <c r="AA148" s="12">
        <v>38</v>
      </c>
      <c r="AB148" s="5">
        <v>1.1399999999999999</v>
      </c>
      <c r="AC148" s="4">
        <v>80.2</v>
      </c>
      <c r="AD148" s="4">
        <v>30.3</v>
      </c>
      <c r="AE148" s="4">
        <v>5.7</v>
      </c>
      <c r="AF148" s="4">
        <v>10.199999999999999</v>
      </c>
      <c r="AK148" s="3"/>
      <c r="AL148" s="3"/>
      <c r="AM148" s="7"/>
      <c r="AN148" s="7"/>
      <c r="AO148" s="7"/>
      <c r="AP148" s="7"/>
      <c r="AQ148" s="7"/>
      <c r="AR148" s="3"/>
      <c r="AS148" s="3"/>
      <c r="AT148" s="7"/>
      <c r="AU148" s="7"/>
      <c r="AV148" s="7"/>
      <c r="AW148" s="9"/>
      <c r="AX148" s="9"/>
      <c r="AY148" s="9"/>
      <c r="AZ148" s="3"/>
      <c r="BA148" s="3"/>
      <c r="BB148" s="3"/>
      <c r="BC148" s="3"/>
      <c r="BD148" s="3"/>
      <c r="BE148" s="3"/>
      <c r="BG148" s="13"/>
      <c r="BH148" s="7"/>
      <c r="BI148" s="3"/>
      <c r="BJ148" s="3"/>
      <c r="BK148" s="3"/>
      <c r="BL148" s="3"/>
    </row>
    <row r="149" spans="1:64" x14ac:dyDescent="0.25">
      <c r="A149">
        <v>102</v>
      </c>
      <c r="B149" s="1" t="s">
        <v>154</v>
      </c>
      <c r="C149" s="1" t="s">
        <v>32</v>
      </c>
      <c r="D149" s="2">
        <v>43047</v>
      </c>
      <c r="E149" s="3">
        <v>18.100000000000001</v>
      </c>
      <c r="F149" s="4">
        <f t="shared" si="121"/>
        <v>3955.5365354330711</v>
      </c>
      <c r="G149" s="7">
        <v>9.66</v>
      </c>
      <c r="H149" s="7">
        <v>163.19999999999999</v>
      </c>
      <c r="I149" s="7">
        <f t="shared" si="133"/>
        <v>153.54</v>
      </c>
      <c r="J149" s="7">
        <v>143.68</v>
      </c>
      <c r="K149" s="5">
        <f t="shared" si="122"/>
        <v>6.4217793408883592</v>
      </c>
      <c r="L149" s="4">
        <f t="shared" si="123"/>
        <v>3701.520707379339</v>
      </c>
      <c r="M149" s="2">
        <v>43054</v>
      </c>
      <c r="N149" s="7">
        <v>7.85</v>
      </c>
      <c r="O149" s="7">
        <v>2.8</v>
      </c>
      <c r="P149" s="7">
        <v>5.32</v>
      </c>
      <c r="Q149" s="6">
        <f t="shared" si="124"/>
        <v>0.34330299089726918</v>
      </c>
      <c r="R149" s="6">
        <f t="shared" si="125"/>
        <v>0.47334200260078035</v>
      </c>
      <c r="S149" s="6">
        <f t="shared" si="126"/>
        <v>0.18335500650195052</v>
      </c>
      <c r="T149" s="4">
        <f t="shared" si="127"/>
        <v>1357.9475232175953</v>
      </c>
      <c r="U149" s="4">
        <f t="shared" si="128"/>
        <v>1872.3215850424424</v>
      </c>
      <c r="V149" s="4">
        <f t="shared" si="129"/>
        <v>3230.2691082600377</v>
      </c>
      <c r="W149" s="4">
        <f t="shared" si="130"/>
        <v>1270.7431297115027</v>
      </c>
      <c r="X149" s="4">
        <f t="shared" si="131"/>
        <v>1752.0852242991934</v>
      </c>
      <c r="Y149" s="4">
        <f t="shared" si="132"/>
        <v>3022.8283540106959</v>
      </c>
      <c r="Z149" s="10"/>
      <c r="AA149" s="12"/>
      <c r="AB149" s="5"/>
      <c r="AC149" s="4"/>
      <c r="AD149" s="4"/>
      <c r="AE149" s="4"/>
      <c r="AF149" s="4"/>
      <c r="AK149" s="3"/>
      <c r="AL149" s="3"/>
      <c r="AM149" s="7"/>
      <c r="AN149" s="7"/>
      <c r="AO149" s="7"/>
      <c r="AP149" s="7"/>
      <c r="AQ149" s="7"/>
      <c r="AR149" s="3"/>
      <c r="AS149" s="3"/>
      <c r="AT149" s="7"/>
      <c r="AU149" s="7"/>
      <c r="AV149" s="7"/>
      <c r="AW149" s="9"/>
      <c r="AX149" s="9"/>
      <c r="AY149" s="9"/>
      <c r="AZ149" s="3"/>
      <c r="BA149" s="3"/>
      <c r="BB149" s="3"/>
      <c r="BC149" s="3"/>
      <c r="BD149" s="3"/>
      <c r="BE149" s="3"/>
      <c r="BG149" s="13"/>
      <c r="BH149" s="7"/>
      <c r="BI149" s="3"/>
      <c r="BJ149" s="3"/>
      <c r="BK149" s="3"/>
      <c r="BL149" s="3"/>
    </row>
    <row r="150" spans="1:64" x14ac:dyDescent="0.25">
      <c r="A150">
        <v>103</v>
      </c>
      <c r="B150" s="1" t="s">
        <v>155</v>
      </c>
      <c r="C150" s="1" t="s">
        <v>32</v>
      </c>
      <c r="D150" s="2">
        <v>43047</v>
      </c>
      <c r="E150" s="3">
        <v>20.2</v>
      </c>
      <c r="F150" s="4">
        <f t="shared" si="121"/>
        <v>4424.3077952755903</v>
      </c>
      <c r="G150" s="7">
        <v>9.68</v>
      </c>
      <c r="H150" s="7">
        <v>154.94</v>
      </c>
      <c r="I150" s="7">
        <f t="shared" si="133"/>
        <v>145.26</v>
      </c>
      <c r="J150" s="7">
        <v>136.65</v>
      </c>
      <c r="K150" s="5">
        <f t="shared" si="122"/>
        <v>5.9273027674514571</v>
      </c>
      <c r="L150" s="4">
        <f t="shared" si="123"/>
        <v>4162.0656768856497</v>
      </c>
      <c r="M150" s="2">
        <v>43054</v>
      </c>
      <c r="N150" s="7">
        <v>8.8000000000000007</v>
      </c>
      <c r="O150" s="7">
        <v>3.24</v>
      </c>
      <c r="P150" s="7">
        <v>5.8</v>
      </c>
      <c r="Q150" s="6">
        <f t="shared" si="124"/>
        <v>0.35648148148148145</v>
      </c>
      <c r="R150" s="6">
        <f t="shared" si="125"/>
        <v>0.47685185185185186</v>
      </c>
      <c r="S150" s="6">
        <f t="shared" si="126"/>
        <v>0.16666666666666674</v>
      </c>
      <c r="T150" s="4">
        <f t="shared" si="127"/>
        <v>1577.1837973899094</v>
      </c>
      <c r="U150" s="4">
        <f t="shared" si="128"/>
        <v>2109.7393653397489</v>
      </c>
      <c r="V150" s="4">
        <f t="shared" si="129"/>
        <v>3686.9231627296585</v>
      </c>
      <c r="W150" s="4">
        <f t="shared" si="130"/>
        <v>1483.6993385194214</v>
      </c>
      <c r="X150" s="4">
        <f t="shared" si="131"/>
        <v>1984.6887255519534</v>
      </c>
      <c r="Y150" s="4">
        <f t="shared" si="132"/>
        <v>3468.3880640713751</v>
      </c>
      <c r="Z150" s="10"/>
      <c r="AA150" s="12"/>
      <c r="AB150" s="5"/>
      <c r="AC150" s="4"/>
      <c r="AD150" s="4"/>
      <c r="AE150" s="4"/>
      <c r="AF150" s="4"/>
      <c r="AH150" t="s">
        <v>281</v>
      </c>
      <c r="AI150" t="s">
        <v>32</v>
      </c>
      <c r="AJ150" s="8">
        <f>D150</f>
        <v>43047</v>
      </c>
      <c r="AK150" s="3">
        <f>SUM(E150:E152)</f>
        <v>61.599999999999994</v>
      </c>
      <c r="AL150" s="3">
        <f>(AK150-3*$A$35)*$A$36/(3*$A$37)*$A$38</f>
        <v>4498.7159317585292</v>
      </c>
      <c r="AM150" s="7">
        <f>SUM(G150:G152)</f>
        <v>29.009999999999998</v>
      </c>
      <c r="AN150" s="7">
        <f>SUM(H150:H152)</f>
        <v>622.42000000000007</v>
      </c>
      <c r="AO150" s="7">
        <f>AN150-AM150</f>
        <v>593.41000000000008</v>
      </c>
      <c r="AP150" s="7">
        <f>SUM(J150:J152)</f>
        <v>558.39</v>
      </c>
      <c r="AQ150" s="7">
        <f>(AO150-AP150)/AO150*100</f>
        <v>5.9014846396252327</v>
      </c>
      <c r="AR150" s="3">
        <f>AL150*(1-AQ150/100)</f>
        <v>4233.2249020654262</v>
      </c>
      <c r="AS150" s="11">
        <f>M150</f>
        <v>43054</v>
      </c>
      <c r="AT150" s="7">
        <f>SUM(N150:N152)</f>
        <v>26.830000000000002</v>
      </c>
      <c r="AU150" s="7">
        <f>SUM(O150:O152)</f>
        <v>9.9</v>
      </c>
      <c r="AV150" s="7">
        <f>SUM(P150:P152)</f>
        <v>17.739999999999998</v>
      </c>
      <c r="AW150" s="9">
        <f>(AU150-3*$A$39)/(AT150-3*$A$39)</f>
        <v>0.35749525616698291</v>
      </c>
      <c r="AX150" s="9">
        <f>(AV150-3*$A$40)/(AT150-3*$A$39)</f>
        <v>0.48197343453510433</v>
      </c>
      <c r="AY150" s="9">
        <f>1-AW150-AX150</f>
        <v>0.16053130929791282</v>
      </c>
      <c r="AZ150" s="3">
        <f>AL150*AW150</f>
        <v>1608.2696044465026</v>
      </c>
      <c r="BA150" s="3">
        <f>AL150*AX150</f>
        <v>2168.2615686274503</v>
      </c>
      <c r="BB150" s="3">
        <f>AZ150+BA150</f>
        <v>3776.5311730739531</v>
      </c>
      <c r="BC150" s="3">
        <f>AR150*AW150</f>
        <v>1513.3578207763308</v>
      </c>
      <c r="BD150" s="3">
        <f>AR150*AX150</f>
        <v>2040.3019452080041</v>
      </c>
      <c r="BE150" s="3">
        <f>BC150+BD150</f>
        <v>3553.6597659843346</v>
      </c>
      <c r="BF150" s="11">
        <f>Z151</f>
        <v>43077</v>
      </c>
      <c r="BG150" s="13">
        <f>AVERAGE(AA150:AA152)</f>
        <v>46</v>
      </c>
      <c r="BH150" s="7">
        <f t="shared" ref="BH150" si="194">AVERAGE(AB150:AB152)</f>
        <v>1.1499999999999999</v>
      </c>
      <c r="BI150" s="3">
        <f t="shared" ref="BI150" si="195">AVERAGE(AC150:AC152)</f>
        <v>80.5</v>
      </c>
      <c r="BJ150" s="3">
        <f t="shared" ref="BJ150" si="196">AVERAGE(AD150:AD152)</f>
        <v>30.7</v>
      </c>
      <c r="BK150" s="3">
        <f t="shared" ref="BK150" si="197">AVERAGE(AE150:AE152)</f>
        <v>6</v>
      </c>
      <c r="BL150" s="3">
        <f t="shared" ref="BL150" si="198">AVERAGE(AF150:AF152)</f>
        <v>10</v>
      </c>
    </row>
    <row r="151" spans="1:64" x14ac:dyDescent="0.25">
      <c r="A151">
        <v>104</v>
      </c>
      <c r="B151" s="1" t="s">
        <v>156</v>
      </c>
      <c r="C151" s="1" t="s">
        <v>32</v>
      </c>
      <c r="D151" s="2">
        <v>43047</v>
      </c>
      <c r="E151" s="3">
        <v>21.1</v>
      </c>
      <c r="F151" s="4">
        <f t="shared" si="121"/>
        <v>4625.2097637795277</v>
      </c>
      <c r="G151" s="7">
        <v>9.66</v>
      </c>
      <c r="H151" s="7">
        <v>167.79</v>
      </c>
      <c r="I151" s="7">
        <f t="shared" si="133"/>
        <v>158.13</v>
      </c>
      <c r="J151" s="7">
        <v>148.9</v>
      </c>
      <c r="K151" s="5">
        <f t="shared" si="122"/>
        <v>5.8369695819894956</v>
      </c>
      <c r="L151" s="4">
        <f t="shared" si="123"/>
        <v>4355.2376767645083</v>
      </c>
      <c r="M151" s="2">
        <v>43054</v>
      </c>
      <c r="N151" s="7">
        <v>9.26</v>
      </c>
      <c r="O151" s="7">
        <v>3.44</v>
      </c>
      <c r="P151" s="7">
        <v>6.08</v>
      </c>
      <c r="Q151" s="6">
        <f t="shared" si="124"/>
        <v>0.36043956043956044</v>
      </c>
      <c r="R151" s="6">
        <f t="shared" si="125"/>
        <v>0.48351648351648358</v>
      </c>
      <c r="S151" s="6">
        <f t="shared" si="126"/>
        <v>0.15604395604395593</v>
      </c>
      <c r="T151" s="4">
        <f t="shared" si="127"/>
        <v>1667.1085741974562</v>
      </c>
      <c r="U151" s="4">
        <f t="shared" si="128"/>
        <v>2236.365160508783</v>
      </c>
      <c r="V151" s="4">
        <f t="shared" si="129"/>
        <v>3903.4737347062392</v>
      </c>
      <c r="W151" s="4">
        <f t="shared" si="130"/>
        <v>1569.7999538228119</v>
      </c>
      <c r="X151" s="4">
        <f t="shared" si="131"/>
        <v>2105.8292063476747</v>
      </c>
      <c r="Y151" s="4">
        <f t="shared" si="132"/>
        <v>3675.6291601704866</v>
      </c>
      <c r="Z151" s="10">
        <v>43077</v>
      </c>
      <c r="AA151" s="12">
        <v>46</v>
      </c>
      <c r="AB151" s="5">
        <v>1.1499999999999999</v>
      </c>
      <c r="AC151" s="4">
        <v>80.5</v>
      </c>
      <c r="AD151" s="4">
        <v>30.7</v>
      </c>
      <c r="AE151" s="4">
        <v>6</v>
      </c>
      <c r="AF151" s="4">
        <v>10</v>
      </c>
      <c r="AK151" s="3"/>
      <c r="AL151" s="3"/>
      <c r="AM151" s="7"/>
      <c r="AN151" s="7"/>
      <c r="AO151" s="7"/>
      <c r="AP151" s="7"/>
      <c r="AQ151" s="7"/>
      <c r="AR151" s="3"/>
      <c r="AS151" s="3"/>
      <c r="AT151" s="7"/>
      <c r="AU151" s="7"/>
      <c r="AV151" s="7"/>
      <c r="AW151" s="9"/>
      <c r="AX151" s="9"/>
      <c r="AY151" s="9"/>
      <c r="AZ151" s="3"/>
      <c r="BA151" s="3"/>
      <c r="BB151" s="3"/>
      <c r="BC151" s="3"/>
      <c r="BD151" s="3"/>
      <c r="BE151" s="3"/>
      <c r="BG151" s="13"/>
      <c r="BH151" s="7"/>
      <c r="BI151" s="3"/>
      <c r="BJ151" s="3"/>
      <c r="BK151" s="3"/>
      <c r="BL151" s="3"/>
    </row>
    <row r="152" spans="1:64" x14ac:dyDescent="0.25">
      <c r="A152">
        <v>105</v>
      </c>
      <c r="B152" s="1" t="s">
        <v>157</v>
      </c>
      <c r="C152" s="1" t="s">
        <v>32</v>
      </c>
      <c r="D152" s="2">
        <v>43047</v>
      </c>
      <c r="E152" s="3">
        <v>20.3</v>
      </c>
      <c r="F152" s="4">
        <f t="shared" si="121"/>
        <v>4446.6302362204733</v>
      </c>
      <c r="G152" s="7">
        <v>9.67</v>
      </c>
      <c r="H152" s="7">
        <v>299.69</v>
      </c>
      <c r="I152" s="7">
        <f t="shared" si="133"/>
        <v>290.02</v>
      </c>
      <c r="J152" s="7">
        <v>272.83999999999997</v>
      </c>
      <c r="K152" s="5">
        <f t="shared" si="122"/>
        <v>5.923729397972556</v>
      </c>
      <c r="L152" s="4">
        <f t="shared" si="123"/>
        <v>4183.2238936983449</v>
      </c>
      <c r="M152" s="2">
        <v>43054</v>
      </c>
      <c r="N152" s="7">
        <v>8.77</v>
      </c>
      <c r="O152" s="7">
        <v>3.22</v>
      </c>
      <c r="P152" s="7">
        <v>5.86</v>
      </c>
      <c r="Q152" s="6">
        <f t="shared" si="124"/>
        <v>0.35540069686411152</v>
      </c>
      <c r="R152" s="6">
        <f t="shared" si="125"/>
        <v>0.48548199767711975</v>
      </c>
      <c r="S152" s="6">
        <f t="shared" si="126"/>
        <v>0.15911730545876879</v>
      </c>
      <c r="T152" s="4">
        <f t="shared" si="127"/>
        <v>1580.335484649785</v>
      </c>
      <c r="U152" s="4">
        <f t="shared" si="128"/>
        <v>2158.7589300117984</v>
      </c>
      <c r="V152" s="4">
        <f t="shared" si="129"/>
        <v>3739.0944146615834</v>
      </c>
      <c r="W152" s="4">
        <f t="shared" si="130"/>
        <v>1486.7206869589938</v>
      </c>
      <c r="X152" s="4">
        <f t="shared" si="131"/>
        <v>2030.8798926433317</v>
      </c>
      <c r="Y152" s="4">
        <f t="shared" si="132"/>
        <v>3517.6005796023255</v>
      </c>
      <c r="Z152" s="10"/>
      <c r="AA152" s="12"/>
      <c r="AB152" s="5"/>
      <c r="AC152" s="4"/>
      <c r="AD152" s="4"/>
      <c r="AE152" s="4"/>
      <c r="AF152" s="4"/>
      <c r="AK152" s="3"/>
      <c r="AL152" s="3"/>
      <c r="AM152" s="7"/>
      <c r="AN152" s="7"/>
      <c r="AO152" s="7"/>
      <c r="AP152" s="7"/>
      <c r="AQ152" s="7"/>
      <c r="AR152" s="3"/>
      <c r="AS152" s="3"/>
      <c r="AT152" s="7"/>
      <c r="AU152" s="7"/>
      <c r="AV152" s="7"/>
      <c r="AW152" s="9"/>
      <c r="AX152" s="9"/>
      <c r="AY152" s="9"/>
      <c r="AZ152" s="3"/>
      <c r="BA152" s="3"/>
      <c r="BB152" s="3"/>
      <c r="BC152" s="3"/>
      <c r="BD152" s="3"/>
      <c r="BE152" s="3"/>
      <c r="BG152" s="13"/>
      <c r="BH152" s="7"/>
      <c r="BI152" s="3"/>
      <c r="BJ152" s="3"/>
      <c r="BK152" s="3"/>
      <c r="BL152" s="3"/>
    </row>
    <row r="153" spans="1:64" x14ac:dyDescent="0.25">
      <c r="A153">
        <v>106</v>
      </c>
      <c r="B153" s="1" t="s">
        <v>158</v>
      </c>
      <c r="C153" s="1" t="s">
        <v>32</v>
      </c>
      <c r="D153" s="2">
        <v>43047</v>
      </c>
      <c r="E153" s="3">
        <v>20</v>
      </c>
      <c r="F153" s="4">
        <f t="shared" si="121"/>
        <v>4379.6629133858269</v>
      </c>
      <c r="G153" s="7">
        <v>9.69</v>
      </c>
      <c r="H153" s="7">
        <v>305.51</v>
      </c>
      <c r="I153" s="7">
        <f t="shared" si="133"/>
        <v>295.82</v>
      </c>
      <c r="J153" s="7">
        <v>281.14</v>
      </c>
      <c r="K153" s="5">
        <f t="shared" si="122"/>
        <v>4.9624771820701801</v>
      </c>
      <c r="L153" s="4">
        <f t="shared" si="123"/>
        <v>4162.323140657465</v>
      </c>
      <c r="M153" s="2">
        <v>43054</v>
      </c>
      <c r="N153" s="7">
        <v>8.56</v>
      </c>
      <c r="O153" s="7">
        <v>3.16</v>
      </c>
      <c r="P153" s="7">
        <v>5.74</v>
      </c>
      <c r="Q153" s="6">
        <f t="shared" si="124"/>
        <v>0.35714285714285715</v>
      </c>
      <c r="R153" s="6">
        <f t="shared" si="125"/>
        <v>0.48333333333333339</v>
      </c>
      <c r="S153" s="6">
        <f t="shared" si="126"/>
        <v>0.1595238095238094</v>
      </c>
      <c r="T153" s="4">
        <f t="shared" si="127"/>
        <v>1564.1653262092238</v>
      </c>
      <c r="U153" s="4">
        <f t="shared" si="128"/>
        <v>2116.8370748031498</v>
      </c>
      <c r="V153" s="4">
        <f t="shared" si="129"/>
        <v>3681.0024010123734</v>
      </c>
      <c r="W153" s="4">
        <f t="shared" si="130"/>
        <v>1486.5439788062376</v>
      </c>
      <c r="X153" s="4">
        <f t="shared" si="131"/>
        <v>2011.7895179844418</v>
      </c>
      <c r="Y153" s="4">
        <f t="shared" si="132"/>
        <v>3498.3334967906794</v>
      </c>
      <c r="Z153" s="10"/>
      <c r="AA153" s="12"/>
      <c r="AB153" s="5"/>
      <c r="AC153" s="4"/>
      <c r="AD153" s="4"/>
      <c r="AE153" s="4"/>
      <c r="AF153" s="4"/>
      <c r="AH153" t="s">
        <v>282</v>
      </c>
      <c r="AI153" t="s">
        <v>32</v>
      </c>
      <c r="AJ153" s="8">
        <f>D153</f>
        <v>43047</v>
      </c>
      <c r="AK153" s="3">
        <f>SUM(E153:E155)</f>
        <v>58.3</v>
      </c>
      <c r="AL153" s="3">
        <f>(AK153-3*$A$35)*$A$36/(3*$A$37)*$A$38</f>
        <v>4253.1690813648293</v>
      </c>
      <c r="AM153" s="7">
        <f>SUM(G153:G155)</f>
        <v>28.98</v>
      </c>
      <c r="AN153" s="7">
        <f>SUM(H153:H155)</f>
        <v>716.66000000000008</v>
      </c>
      <c r="AO153" s="7">
        <f>AN153-AM153</f>
        <v>687.68000000000006</v>
      </c>
      <c r="AP153" s="7">
        <f>SUM(J153:J155)</f>
        <v>651.94999999999993</v>
      </c>
      <c r="AQ153" s="7">
        <f>(AO153-AP153)/AO153*100</f>
        <v>5.1957305723592553</v>
      </c>
      <c r="AR153" s="3">
        <f>AL153*(1-AQ153/100)</f>
        <v>4032.1858751102254</v>
      </c>
      <c r="AS153" s="11">
        <f>M153</f>
        <v>43054</v>
      </c>
      <c r="AT153" s="7">
        <f>SUM(N153:N155)</f>
        <v>25.18</v>
      </c>
      <c r="AU153" s="7">
        <f>SUM(O153:O155)</f>
        <v>9.42</v>
      </c>
      <c r="AV153" s="7">
        <f>SUM(P153:P155)</f>
        <v>17.04</v>
      </c>
      <c r="AW153" s="9">
        <f>(AU153-3*$A$39)/(AT153-3*$A$39)</f>
        <v>0.36194331983805667</v>
      </c>
      <c r="AX153" s="9">
        <f>(AV153-3*$A$40)/(AT153-3*$A$39)</f>
        <v>0.48582995951417007</v>
      </c>
      <c r="AY153" s="9">
        <f>1-AW153-AX153</f>
        <v>0.15222672064777332</v>
      </c>
      <c r="AZ153" s="3">
        <f>AL153*AW153</f>
        <v>1539.406137141764</v>
      </c>
      <c r="BA153" s="3">
        <f>AL153*AX153</f>
        <v>2066.316962606395</v>
      </c>
      <c r="BB153" s="3">
        <f>AZ153+BA153</f>
        <v>3605.7230997481593</v>
      </c>
      <c r="BC153" s="3">
        <f>AR153*AW153</f>
        <v>1459.4227418415148</v>
      </c>
      <c r="BD153" s="3">
        <f>AR153*AX153</f>
        <v>1958.9567004584092</v>
      </c>
      <c r="BE153" s="3">
        <f>BC153+BD153</f>
        <v>3418.379442299924</v>
      </c>
      <c r="BF153" s="11">
        <f>Z154</f>
        <v>43077</v>
      </c>
      <c r="BG153" s="13">
        <f>AVERAGE(AA153:AA155)</f>
        <v>48</v>
      </c>
      <c r="BH153" s="7">
        <f t="shared" ref="BH153" si="199">AVERAGE(AB153:AB155)</f>
        <v>1.0900000000000001</v>
      </c>
      <c r="BI153" s="3">
        <f t="shared" ref="BI153" si="200">AVERAGE(AC153:AC155)</f>
        <v>79.7</v>
      </c>
      <c r="BJ153" s="3">
        <f t="shared" ref="BJ153" si="201">AVERAGE(AD153:AD155)</f>
        <v>29.2</v>
      </c>
      <c r="BK153" s="3">
        <f t="shared" ref="BK153" si="202">AVERAGE(AE153:AE155)</f>
        <v>5.8</v>
      </c>
      <c r="BL153" s="3">
        <f t="shared" ref="BL153" si="203">AVERAGE(AF153:AF155)</f>
        <v>10.8</v>
      </c>
    </row>
    <row r="154" spans="1:64" x14ac:dyDescent="0.25">
      <c r="A154">
        <v>107</v>
      </c>
      <c r="B154" s="1" t="s">
        <v>159</v>
      </c>
      <c r="C154" s="1" t="s">
        <v>32</v>
      </c>
      <c r="D154" s="2">
        <v>43047</v>
      </c>
      <c r="E154" s="3">
        <v>17.100000000000001</v>
      </c>
      <c r="F154" s="4">
        <f t="shared" si="121"/>
        <v>3732.3121259842524</v>
      </c>
      <c r="G154" s="7">
        <v>9.65</v>
      </c>
      <c r="H154" s="7">
        <v>140.49</v>
      </c>
      <c r="I154" s="7">
        <f t="shared" si="133"/>
        <v>130.84</v>
      </c>
      <c r="J154" s="7">
        <v>124.08</v>
      </c>
      <c r="K154" s="5">
        <f t="shared" si="122"/>
        <v>5.1666157138489792</v>
      </c>
      <c r="L154" s="4">
        <f t="shared" si="123"/>
        <v>3539.4779011932592</v>
      </c>
      <c r="M154" s="2">
        <v>43054</v>
      </c>
      <c r="N154" s="7">
        <v>7.48</v>
      </c>
      <c r="O154" s="7">
        <v>2.8</v>
      </c>
      <c r="P154" s="7">
        <v>5.28</v>
      </c>
      <c r="Q154" s="6">
        <f t="shared" si="124"/>
        <v>0.36065573770491799</v>
      </c>
      <c r="R154" s="6">
        <f t="shared" si="125"/>
        <v>0.49180327868852464</v>
      </c>
      <c r="S154" s="6">
        <f t="shared" si="126"/>
        <v>0.14754098360655737</v>
      </c>
      <c r="T154" s="4">
        <f t="shared" si="127"/>
        <v>1346.0797831418613</v>
      </c>
      <c r="U154" s="4">
        <f t="shared" si="128"/>
        <v>1835.5633406479931</v>
      </c>
      <c r="V154" s="4">
        <f t="shared" si="129"/>
        <v>3181.6431237898541</v>
      </c>
      <c r="W154" s="4">
        <f t="shared" si="130"/>
        <v>1276.5330135451097</v>
      </c>
      <c r="X154" s="4">
        <f t="shared" si="131"/>
        <v>1740.7268366524227</v>
      </c>
      <c r="Y154" s="4">
        <f t="shared" si="132"/>
        <v>3017.2598501975326</v>
      </c>
      <c r="Z154" s="10">
        <v>43077</v>
      </c>
      <c r="AA154" s="12">
        <v>48</v>
      </c>
      <c r="AB154" s="5">
        <v>1.0900000000000001</v>
      </c>
      <c r="AC154" s="4">
        <v>79.7</v>
      </c>
      <c r="AD154" s="4">
        <v>29.2</v>
      </c>
      <c r="AE154" s="4">
        <v>5.8</v>
      </c>
      <c r="AF154" s="4">
        <v>10.8</v>
      </c>
      <c r="AK154" s="3"/>
      <c r="AL154" s="3"/>
      <c r="AM154" s="7"/>
      <c r="AN154" s="7"/>
      <c r="AO154" s="7"/>
      <c r="AP154" s="7"/>
      <c r="AQ154" s="7"/>
      <c r="AR154" s="3"/>
      <c r="AS154" s="3"/>
      <c r="AT154" s="7"/>
      <c r="AU154" s="7"/>
      <c r="AV154" s="7"/>
      <c r="AW154" s="9"/>
      <c r="AX154" s="9"/>
      <c r="AY154" s="9"/>
      <c r="AZ154" s="3"/>
      <c r="BA154" s="3"/>
      <c r="BB154" s="3"/>
      <c r="BC154" s="3"/>
      <c r="BD154" s="3"/>
      <c r="BE154" s="3"/>
      <c r="BG154" s="13"/>
      <c r="BH154" s="7"/>
      <c r="BI154" s="3"/>
      <c r="BJ154" s="3"/>
      <c r="BK154" s="3"/>
      <c r="BL154" s="3"/>
    </row>
    <row r="155" spans="1:64" x14ac:dyDescent="0.25">
      <c r="A155">
        <v>108</v>
      </c>
      <c r="B155" s="1" t="s">
        <v>160</v>
      </c>
      <c r="C155" s="1" t="s">
        <v>32</v>
      </c>
      <c r="D155" s="2">
        <v>43047</v>
      </c>
      <c r="E155" s="3">
        <v>21.2</v>
      </c>
      <c r="F155" s="4">
        <f t="shared" si="121"/>
        <v>4647.532204724409</v>
      </c>
      <c r="G155" s="7">
        <v>9.64</v>
      </c>
      <c r="H155" s="7">
        <v>270.66000000000003</v>
      </c>
      <c r="I155" s="7">
        <f t="shared" si="133"/>
        <v>261.02000000000004</v>
      </c>
      <c r="J155" s="7">
        <v>246.73</v>
      </c>
      <c r="K155" s="5">
        <f t="shared" si="122"/>
        <v>5.4746762700176417</v>
      </c>
      <c r="L155" s="4">
        <f t="shared" si="123"/>
        <v>4393.0948619709343</v>
      </c>
      <c r="M155" s="2">
        <v>43054</v>
      </c>
      <c r="N155" s="7">
        <v>9.14</v>
      </c>
      <c r="O155" s="7">
        <v>3.46</v>
      </c>
      <c r="P155" s="7">
        <v>6.02</v>
      </c>
      <c r="Q155" s="6">
        <f t="shared" si="124"/>
        <v>0.36748329621380843</v>
      </c>
      <c r="R155" s="6">
        <f t="shared" si="125"/>
        <v>0.48329621380846322</v>
      </c>
      <c r="S155" s="6">
        <f t="shared" si="126"/>
        <v>0.14922048997772841</v>
      </c>
      <c r="T155" s="4">
        <f t="shared" si="127"/>
        <v>1707.8904538519541</v>
      </c>
      <c r="U155" s="4">
        <f t="shared" si="128"/>
        <v>2246.1347180962066</v>
      </c>
      <c r="V155" s="4">
        <f t="shared" si="129"/>
        <v>3954.0251719481607</v>
      </c>
      <c r="W155" s="4">
        <f t="shared" si="130"/>
        <v>1614.3889804570247</v>
      </c>
      <c r="X155" s="4">
        <f t="shared" si="131"/>
        <v>2123.1661136919661</v>
      </c>
      <c r="Y155" s="4">
        <f t="shared" si="132"/>
        <v>3737.555094148991</v>
      </c>
      <c r="Z155" s="10"/>
      <c r="AA155" s="12"/>
      <c r="AB155" s="5"/>
      <c r="AC155" s="4"/>
      <c r="AD155" s="4"/>
      <c r="AE155" s="4"/>
      <c r="AF155" s="4"/>
      <c r="AK155" s="3"/>
      <c r="AL155" s="3"/>
      <c r="AM155" s="7"/>
      <c r="AN155" s="7"/>
      <c r="AO155" s="7"/>
      <c r="AP155" s="7"/>
      <c r="AQ155" s="7"/>
      <c r="AR155" s="3"/>
      <c r="AS155" s="3"/>
      <c r="AT155" s="7"/>
      <c r="AU155" s="7"/>
      <c r="AV155" s="7"/>
      <c r="AW155" s="9"/>
      <c r="AX155" s="9"/>
      <c r="AY155" s="9"/>
      <c r="AZ155" s="3"/>
      <c r="BA155" s="3"/>
      <c r="BB155" s="3"/>
      <c r="BC155" s="3"/>
      <c r="BD155" s="3"/>
      <c r="BE155" s="3"/>
      <c r="BG155" s="13"/>
      <c r="BH155" s="7"/>
      <c r="BI155" s="3"/>
      <c r="BJ155" s="3"/>
      <c r="BK155" s="3"/>
      <c r="BL155" s="3"/>
    </row>
    <row r="156" spans="1:64" x14ac:dyDescent="0.25">
      <c r="A156">
        <v>109</v>
      </c>
      <c r="B156" s="1" t="s">
        <v>161</v>
      </c>
      <c r="C156" s="1" t="s">
        <v>32</v>
      </c>
      <c r="D156" s="2">
        <v>43047</v>
      </c>
      <c r="E156" s="3">
        <v>20.3</v>
      </c>
      <c r="F156" s="4">
        <f t="shared" si="121"/>
        <v>4446.6302362204733</v>
      </c>
      <c r="G156" s="7">
        <v>9.73</v>
      </c>
      <c r="H156" s="7">
        <v>196.83</v>
      </c>
      <c r="I156" s="7">
        <f t="shared" si="133"/>
        <v>187.10000000000002</v>
      </c>
      <c r="J156" s="7">
        <v>176.75</v>
      </c>
      <c r="K156" s="5">
        <f t="shared" si="122"/>
        <v>5.5318011758418075</v>
      </c>
      <c r="L156" s="4">
        <f t="shared" si="123"/>
        <v>4200.6514925278916</v>
      </c>
      <c r="M156" s="2">
        <v>43054</v>
      </c>
      <c r="N156" s="7">
        <v>8.86</v>
      </c>
      <c r="O156" s="7">
        <v>3.24</v>
      </c>
      <c r="P156" s="7">
        <v>5.82</v>
      </c>
      <c r="Q156" s="6">
        <f t="shared" si="124"/>
        <v>0.35402298850574715</v>
      </c>
      <c r="R156" s="6">
        <f t="shared" si="125"/>
        <v>0.47586206896551736</v>
      </c>
      <c r="S156" s="6">
        <f t="shared" si="126"/>
        <v>0.17011494252873555</v>
      </c>
      <c r="T156" s="4">
        <f t="shared" si="127"/>
        <v>1574.2093250067883</v>
      </c>
      <c r="U156" s="4">
        <f t="shared" si="128"/>
        <v>2115.9826641325017</v>
      </c>
      <c r="V156" s="4">
        <f t="shared" si="129"/>
        <v>3690.1919891392899</v>
      </c>
      <c r="W156" s="4">
        <f t="shared" si="130"/>
        <v>1487.1271950558514</v>
      </c>
      <c r="X156" s="4">
        <f t="shared" si="131"/>
        <v>1998.9307102374109</v>
      </c>
      <c r="Y156" s="4">
        <f t="shared" si="132"/>
        <v>3486.0579052932626</v>
      </c>
      <c r="Z156" s="10"/>
      <c r="AA156" s="12"/>
      <c r="AB156" s="5"/>
      <c r="AC156" s="4"/>
      <c r="AD156" s="4"/>
      <c r="AE156" s="4"/>
      <c r="AF156" s="4"/>
      <c r="AH156" t="s">
        <v>283</v>
      </c>
      <c r="AI156" t="str">
        <f>C156</f>
        <v>Machine</v>
      </c>
      <c r="AJ156" s="8">
        <f>D156</f>
        <v>43047</v>
      </c>
      <c r="AK156" s="3">
        <f>SUM(E156:E158)</f>
        <v>63</v>
      </c>
      <c r="AL156" s="3">
        <f>(AK156-3*$A$35)*$A$36/(3*$A$37)*$A$38</f>
        <v>4602.8873228346456</v>
      </c>
      <c r="AM156" s="7">
        <f>SUM(G156:G158)</f>
        <v>29.18</v>
      </c>
      <c r="AN156" s="7">
        <f>SUM(H156:H158)</f>
        <v>526.69000000000005</v>
      </c>
      <c r="AO156" s="7">
        <f>AN156-AM156</f>
        <v>497.51000000000005</v>
      </c>
      <c r="AP156" s="7">
        <f>SUM(J156:J158)</f>
        <v>468.75</v>
      </c>
      <c r="AQ156" s="7">
        <f>(AO156-AP156)/AO156*100</f>
        <v>5.7807883258628063</v>
      </c>
      <c r="AR156" s="3">
        <f>AL156*(1-AQ156/100)</f>
        <v>4336.8041498236016</v>
      </c>
      <c r="AS156" s="11">
        <f>M156</f>
        <v>43054</v>
      </c>
      <c r="AT156" s="7">
        <f>SUM(N156:N158)</f>
        <v>27.599999999999998</v>
      </c>
      <c r="AU156" s="7">
        <f>SUM(O156:O158)</f>
        <v>10.039999999999999</v>
      </c>
      <c r="AV156" s="7">
        <f>SUM(P156:P158)</f>
        <v>18</v>
      </c>
      <c r="AW156" s="9">
        <f>(AU156-3*$A$39)/(AT156-3*$A$39)</f>
        <v>0.35250737463126841</v>
      </c>
      <c r="AX156" s="9">
        <f>(AV156-3*$A$40)/(AT156-3*$A$39)</f>
        <v>0.47787610619469034</v>
      </c>
      <c r="AY156" s="9">
        <f>1-AW156-AX156</f>
        <v>0.1696165191740413</v>
      </c>
      <c r="AZ156" s="3">
        <f>AL156*AW156</f>
        <v>1622.5517258959885</v>
      </c>
      <c r="BA156" s="3">
        <f>AL156*AX156</f>
        <v>2199.6098710891229</v>
      </c>
      <c r="BB156" s="3">
        <f>AZ156+BA156</f>
        <v>3822.1615969851114</v>
      </c>
      <c r="BC156" s="3">
        <f>AR156*AW156</f>
        <v>1528.7554451443079</v>
      </c>
      <c r="BD156" s="3">
        <f>AR156*AX156</f>
        <v>2072.4550804466771</v>
      </c>
      <c r="BE156" s="3">
        <f>BC156+BD156</f>
        <v>3601.2105255909851</v>
      </c>
      <c r="BF156" s="11">
        <f>Z157</f>
        <v>43077</v>
      </c>
      <c r="BG156" s="13">
        <f>AVERAGE(AA156:AA158)</f>
        <v>44</v>
      </c>
      <c r="BH156" s="7">
        <f t="shared" ref="BH156" si="204">AVERAGE(AB156:AB158)</f>
        <v>1.1100000000000001</v>
      </c>
      <c r="BI156" s="3">
        <f t="shared" ref="BI156" si="205">AVERAGE(AC156:AC158)</f>
        <v>80.8</v>
      </c>
      <c r="BJ156" s="3">
        <f t="shared" ref="BJ156" si="206">AVERAGE(AD156:AD158)</f>
        <v>31.6</v>
      </c>
      <c r="BK156" s="3">
        <f t="shared" ref="BK156" si="207">AVERAGE(AE156:AE158)</f>
        <v>6.2</v>
      </c>
      <c r="BL156" s="3">
        <f t="shared" ref="BL156" si="208">AVERAGE(AF156:AF158)</f>
        <v>10.3</v>
      </c>
    </row>
    <row r="157" spans="1:64" x14ac:dyDescent="0.25">
      <c r="A157">
        <v>110</v>
      </c>
      <c r="B157" s="1" t="s">
        <v>162</v>
      </c>
      <c r="C157" s="1" t="s">
        <v>32</v>
      </c>
      <c r="D157" s="2">
        <v>43047</v>
      </c>
      <c r="E157" s="3">
        <v>22</v>
      </c>
      <c r="F157" s="4">
        <f t="shared" si="121"/>
        <v>4826.1117322834643</v>
      </c>
      <c r="G157" s="7">
        <v>9.7100000000000009</v>
      </c>
      <c r="H157" s="7">
        <v>128.41999999999999</v>
      </c>
      <c r="I157" s="7">
        <f t="shared" si="133"/>
        <v>118.70999999999998</v>
      </c>
      <c r="J157" s="7">
        <v>110.51</v>
      </c>
      <c r="K157" s="5">
        <f t="shared" si="122"/>
        <v>6.9075899250273576</v>
      </c>
      <c r="L157" s="4">
        <f t="shared" si="123"/>
        <v>4492.7437244936882</v>
      </c>
      <c r="M157" s="2">
        <v>43054</v>
      </c>
      <c r="N157" s="7">
        <v>9.7200000000000006</v>
      </c>
      <c r="O157" s="7">
        <v>3.54</v>
      </c>
      <c r="P157" s="7">
        <v>6.3</v>
      </c>
      <c r="Q157" s="6">
        <f t="shared" si="124"/>
        <v>0.35355648535564849</v>
      </c>
      <c r="R157" s="6">
        <f t="shared" si="125"/>
        <v>0.48326359832635984</v>
      </c>
      <c r="S157" s="6">
        <f t="shared" si="126"/>
        <v>0.16317991631799161</v>
      </c>
      <c r="T157" s="4">
        <f t="shared" si="127"/>
        <v>1706.303101999802</v>
      </c>
      <c r="U157" s="4">
        <f t="shared" si="128"/>
        <v>2332.2841216683687</v>
      </c>
      <c r="V157" s="4">
        <f t="shared" si="129"/>
        <v>4038.5872236681707</v>
      </c>
      <c r="W157" s="4">
        <f t="shared" si="130"/>
        <v>1588.4386808356344</v>
      </c>
      <c r="X157" s="4">
        <f t="shared" si="131"/>
        <v>2171.1794986569917</v>
      </c>
      <c r="Y157" s="4">
        <f t="shared" si="132"/>
        <v>3759.618179492626</v>
      </c>
      <c r="Z157" s="10">
        <v>43077</v>
      </c>
      <c r="AA157" s="12">
        <v>44</v>
      </c>
      <c r="AB157" s="5">
        <v>1.1100000000000001</v>
      </c>
      <c r="AC157" s="4">
        <v>80.8</v>
      </c>
      <c r="AD157" s="4">
        <v>31.6</v>
      </c>
      <c r="AE157" s="4">
        <v>6.2</v>
      </c>
      <c r="AF157" s="4">
        <v>10.3</v>
      </c>
      <c r="AK157" s="3"/>
      <c r="AL157" s="3"/>
      <c r="AM157" s="7"/>
      <c r="AN157" s="7"/>
      <c r="AO157" s="7"/>
      <c r="AP157" s="7"/>
      <c r="AQ157" s="7"/>
      <c r="AR157" s="3"/>
      <c r="AS157" s="3"/>
      <c r="AT157" s="7"/>
      <c r="AU157" s="7"/>
      <c r="AV157" s="7"/>
      <c r="AW157" s="9"/>
      <c r="AX157" s="9"/>
      <c r="AY157" s="9"/>
      <c r="AZ157" s="3"/>
      <c r="BA157" s="3"/>
      <c r="BB157" s="3"/>
      <c r="BC157" s="3"/>
      <c r="BD157" s="3"/>
      <c r="BE157" s="3"/>
      <c r="BG157" s="13"/>
      <c r="BH157" s="7"/>
      <c r="BI157" s="3"/>
      <c r="BJ157" s="3"/>
      <c r="BK157" s="3"/>
      <c r="BL157" s="3"/>
    </row>
    <row r="158" spans="1:64" x14ac:dyDescent="0.25">
      <c r="A158">
        <v>111</v>
      </c>
      <c r="B158" s="1" t="s">
        <v>163</v>
      </c>
      <c r="C158" s="1" t="s">
        <v>32</v>
      </c>
      <c r="D158" s="2">
        <v>43047</v>
      </c>
      <c r="E158" s="3">
        <v>20.7</v>
      </c>
      <c r="F158" s="4">
        <f t="shared" si="121"/>
        <v>4535.92</v>
      </c>
      <c r="G158" s="7">
        <v>9.74</v>
      </c>
      <c r="H158" s="7">
        <v>201.44</v>
      </c>
      <c r="I158" s="7">
        <f t="shared" si="133"/>
        <v>191.7</v>
      </c>
      <c r="J158" s="7">
        <v>181.49</v>
      </c>
      <c r="K158" s="5">
        <f t="shared" si="122"/>
        <v>5.3260302556077104</v>
      </c>
      <c r="L158" s="4">
        <f t="shared" si="123"/>
        <v>4294.3355284298386</v>
      </c>
      <c r="M158" s="2">
        <v>43054</v>
      </c>
      <c r="N158" s="7">
        <v>9.02</v>
      </c>
      <c r="O158" s="7">
        <v>3.26</v>
      </c>
      <c r="P158" s="7">
        <v>5.88</v>
      </c>
      <c r="Q158" s="6">
        <f t="shared" si="124"/>
        <v>0.3498871331828442</v>
      </c>
      <c r="R158" s="6">
        <f t="shared" si="125"/>
        <v>0.47404063205417613</v>
      </c>
      <c r="S158" s="6">
        <f t="shared" si="126"/>
        <v>0.17607223476297973</v>
      </c>
      <c r="T158" s="4">
        <f t="shared" si="127"/>
        <v>1587.0600451467267</v>
      </c>
      <c r="U158" s="4">
        <f t="shared" si="128"/>
        <v>2150.2103837471786</v>
      </c>
      <c r="V158" s="4">
        <f t="shared" si="129"/>
        <v>3737.2704288939053</v>
      </c>
      <c r="W158" s="4">
        <f t="shared" si="130"/>
        <v>1502.5327469675506</v>
      </c>
      <c r="X158" s="4">
        <f t="shared" si="131"/>
        <v>2035.6895281495852</v>
      </c>
      <c r="Y158" s="4">
        <f t="shared" si="132"/>
        <v>3538.2222751171357</v>
      </c>
      <c r="Z158" s="10"/>
      <c r="AA158" s="12"/>
      <c r="AB158" s="5"/>
      <c r="AC158" s="4"/>
      <c r="AD158" s="4"/>
      <c r="AE158" s="4"/>
      <c r="AF158" s="4"/>
      <c r="AK158" s="3"/>
      <c r="AL158" s="3"/>
      <c r="AM158" s="7"/>
      <c r="AN158" s="7"/>
      <c r="AO158" s="7"/>
      <c r="AP158" s="7"/>
      <c r="AQ158" s="7"/>
      <c r="AR158" s="3"/>
      <c r="AS158" s="3"/>
      <c r="AT158" s="7"/>
      <c r="AU158" s="7"/>
      <c r="AV158" s="7"/>
      <c r="AW158" s="9"/>
      <c r="AX158" s="9"/>
      <c r="AY158" s="9"/>
      <c r="AZ158" s="3"/>
      <c r="BA158" s="3"/>
      <c r="BB158" s="3"/>
      <c r="BC158" s="3"/>
      <c r="BD158" s="3"/>
      <c r="BE158" s="3"/>
      <c r="BG158" s="13"/>
      <c r="BH158" s="7"/>
      <c r="BI158" s="3"/>
      <c r="BJ158" s="3"/>
      <c r="BK158" s="3"/>
      <c r="BL158" s="3"/>
    </row>
    <row r="159" spans="1:64" x14ac:dyDescent="0.25">
      <c r="A159">
        <v>112</v>
      </c>
      <c r="B159" s="1" t="s">
        <v>164</v>
      </c>
      <c r="C159" s="1" t="s">
        <v>32</v>
      </c>
      <c r="D159" s="2">
        <v>43047</v>
      </c>
      <c r="E159" s="3">
        <v>16.399999999999999</v>
      </c>
      <c r="F159" s="4">
        <f t="shared" si="121"/>
        <v>3576.0550393700787</v>
      </c>
      <c r="G159" s="7">
        <v>9.6999999999999993</v>
      </c>
      <c r="H159" s="7">
        <v>184.97</v>
      </c>
      <c r="I159" s="7">
        <f t="shared" si="133"/>
        <v>175.27</v>
      </c>
      <c r="J159" s="7">
        <v>165.98</v>
      </c>
      <c r="K159" s="5">
        <f t="shared" si="122"/>
        <v>5.3003936783248813</v>
      </c>
      <c r="L159" s="4">
        <f t="shared" si="123"/>
        <v>3386.5100441298887</v>
      </c>
      <c r="M159" s="2">
        <v>43054</v>
      </c>
      <c r="N159" s="7">
        <v>7.11</v>
      </c>
      <c r="O159" s="7">
        <v>2.52</v>
      </c>
      <c r="P159" s="7">
        <v>5</v>
      </c>
      <c r="Q159" s="6">
        <f t="shared" si="124"/>
        <v>0.33956834532374097</v>
      </c>
      <c r="R159" s="6">
        <f t="shared" si="125"/>
        <v>0.47769784172661872</v>
      </c>
      <c r="S159" s="6">
        <f t="shared" si="126"/>
        <v>0.18273381294964025</v>
      </c>
      <c r="T159" s="4">
        <f t="shared" si="127"/>
        <v>1214.3150925055229</v>
      </c>
      <c r="U159" s="4">
        <f t="shared" si="128"/>
        <v>1708.2737742026852</v>
      </c>
      <c r="V159" s="4">
        <f t="shared" si="129"/>
        <v>2922.5888667082081</v>
      </c>
      <c r="W159" s="4">
        <f t="shared" si="130"/>
        <v>1149.9516121074153</v>
      </c>
      <c r="X159" s="4">
        <f t="shared" si="131"/>
        <v>1617.7285390663642</v>
      </c>
      <c r="Y159" s="4">
        <f t="shared" si="132"/>
        <v>2767.6801511737794</v>
      </c>
      <c r="Z159" s="10"/>
      <c r="AA159" s="12"/>
      <c r="AB159" s="5"/>
      <c r="AC159" s="4"/>
      <c r="AD159" s="4"/>
      <c r="AE159" s="4"/>
      <c r="AF159" s="4"/>
      <c r="AH159" t="s">
        <v>284</v>
      </c>
      <c r="AI159" t="s">
        <v>32</v>
      </c>
      <c r="AJ159" s="8">
        <f>D159</f>
        <v>43047</v>
      </c>
      <c r="AK159" s="3">
        <f>SUM(E159:E161)</f>
        <v>52.5</v>
      </c>
      <c r="AL159" s="3">
        <f>(AK159-3*$A$35)*$A$36/(3*$A$37)*$A$38</f>
        <v>3821.6018897637791</v>
      </c>
      <c r="AM159" s="7">
        <f>SUM(G159:G161)</f>
        <v>29.13</v>
      </c>
      <c r="AN159" s="7">
        <f>SUM(H159:H161)</f>
        <v>488.70000000000005</v>
      </c>
      <c r="AO159" s="7">
        <f>AN159-AM159</f>
        <v>459.57000000000005</v>
      </c>
      <c r="AP159" s="7">
        <f>SUM(J159:J161)</f>
        <v>433.82</v>
      </c>
      <c r="AQ159" s="7">
        <f>(AO159-AP159)/AO159*100</f>
        <v>5.6030637334900133</v>
      </c>
      <c r="AR159" s="3">
        <f>AL159*(1-AQ159/100)</f>
        <v>3607.4751002400558</v>
      </c>
      <c r="AS159" s="11">
        <f>M159</f>
        <v>43054</v>
      </c>
      <c r="AT159" s="7">
        <f>SUM(N159:N161)</f>
        <v>22.91</v>
      </c>
      <c r="AU159" s="7">
        <f>SUM(O159:O161)</f>
        <v>8.2200000000000006</v>
      </c>
      <c r="AV159" s="7">
        <f>SUM(P159:P161)</f>
        <v>15.84</v>
      </c>
      <c r="AW159" s="9">
        <f>(AU159-3*$A$39)/(AT159-3*$A$39)</f>
        <v>0.34507356219349089</v>
      </c>
      <c r="AX159" s="9">
        <f>(AV159-3*$A$40)/(AT159-3*$A$39)</f>
        <v>0.48149799375835939</v>
      </c>
      <c r="AY159" s="9">
        <f>1-AW159-AX159</f>
        <v>0.17342844404814978</v>
      </c>
      <c r="AZ159" s="3">
        <f>AL159*AW159</f>
        <v>1318.7337773861639</v>
      </c>
      <c r="BA159" s="3">
        <f>AL159*AX159</f>
        <v>1840.0936428644145</v>
      </c>
      <c r="BB159" s="3">
        <f>AZ159+BA159</f>
        <v>3158.8274202505781</v>
      </c>
      <c r="BC159" s="3">
        <f>AR159*AW159</f>
        <v>1244.8442833641566</v>
      </c>
      <c r="BD159" s="3">
        <f>AR159*AX159</f>
        <v>1736.9920232988234</v>
      </c>
      <c r="BE159" s="3">
        <f>BC159+BD159</f>
        <v>2981.83630666298</v>
      </c>
      <c r="BF159" s="11">
        <f>Z160</f>
        <v>43077</v>
      </c>
      <c r="BG159" s="13">
        <f>AVERAGE(AA159:AA161)</f>
        <v>43</v>
      </c>
      <c r="BH159" s="7">
        <f t="shared" ref="BH159" si="209">AVERAGE(AB159:AB161)</f>
        <v>1.0900000000000001</v>
      </c>
      <c r="BI159" s="3">
        <f t="shared" ref="BI159" si="210">AVERAGE(AC159:AC161)</f>
        <v>78.900000000000006</v>
      </c>
      <c r="BJ159" s="3">
        <f t="shared" ref="BJ159" si="211">AVERAGE(AD159:AD161)</f>
        <v>32</v>
      </c>
      <c r="BK159" s="3">
        <f t="shared" ref="BK159" si="212">AVERAGE(AE159:AE161)</f>
        <v>6.2</v>
      </c>
      <c r="BL159" s="3">
        <f t="shared" ref="BL159" si="213">AVERAGE(AF159:AF161)</f>
        <v>11.4</v>
      </c>
    </row>
    <row r="160" spans="1:64" x14ac:dyDescent="0.25">
      <c r="A160">
        <v>113</v>
      </c>
      <c r="B160" s="1" t="s">
        <v>165</v>
      </c>
      <c r="C160" s="1" t="s">
        <v>32</v>
      </c>
      <c r="D160" s="2">
        <v>43047</v>
      </c>
      <c r="E160" s="3">
        <v>18</v>
      </c>
      <c r="F160" s="4">
        <f t="shared" si="121"/>
        <v>3933.2140944881894</v>
      </c>
      <c r="G160" s="7">
        <v>9.73</v>
      </c>
      <c r="H160" s="7">
        <v>161.38999999999999</v>
      </c>
      <c r="I160" s="7">
        <f t="shared" si="133"/>
        <v>151.66</v>
      </c>
      <c r="J160" s="7">
        <v>143.01</v>
      </c>
      <c r="K160" s="5">
        <f t="shared" si="122"/>
        <v>5.7035474086773084</v>
      </c>
      <c r="L160" s="4">
        <f t="shared" si="123"/>
        <v>3708.8813639242776</v>
      </c>
      <c r="M160" s="2">
        <v>43054</v>
      </c>
      <c r="N160" s="7">
        <v>7.84</v>
      </c>
      <c r="O160" s="7">
        <v>2.8</v>
      </c>
      <c r="P160" s="7">
        <v>5.38</v>
      </c>
      <c r="Q160" s="6">
        <f t="shared" si="124"/>
        <v>0.34374999999999994</v>
      </c>
      <c r="R160" s="6">
        <f t="shared" si="125"/>
        <v>0.48177083333333337</v>
      </c>
      <c r="S160" s="6">
        <f t="shared" si="126"/>
        <v>0.17447916666666663</v>
      </c>
      <c r="T160" s="4">
        <f t="shared" si="127"/>
        <v>1352.042344980315</v>
      </c>
      <c r="U160" s="4">
        <f t="shared" si="128"/>
        <v>1894.9078319799871</v>
      </c>
      <c r="V160" s="4">
        <f t="shared" si="129"/>
        <v>3246.9501769603021</v>
      </c>
      <c r="W160" s="4">
        <f t="shared" si="130"/>
        <v>1274.9279688489703</v>
      </c>
      <c r="X160" s="4">
        <f t="shared" si="131"/>
        <v>1786.8308654322693</v>
      </c>
      <c r="Y160" s="4">
        <f t="shared" si="132"/>
        <v>3061.7588342812396</v>
      </c>
      <c r="Z160" s="10">
        <v>43077</v>
      </c>
      <c r="AA160" s="12">
        <v>43</v>
      </c>
      <c r="AB160" s="5">
        <v>1.0900000000000001</v>
      </c>
      <c r="AC160" s="4">
        <v>78.900000000000006</v>
      </c>
      <c r="AD160" s="4">
        <v>32</v>
      </c>
      <c r="AE160" s="4">
        <v>6.2</v>
      </c>
      <c r="AF160" s="4">
        <v>11.4</v>
      </c>
      <c r="AK160" s="3"/>
      <c r="AL160" s="3"/>
      <c r="AM160" s="7"/>
      <c r="AN160" s="7"/>
      <c r="AO160" s="7"/>
      <c r="AP160" s="7"/>
      <c r="AQ160" s="7"/>
      <c r="AR160" s="3"/>
      <c r="AS160" s="3"/>
      <c r="AT160" s="7"/>
      <c r="AU160" s="7"/>
      <c r="AV160" s="7"/>
      <c r="AW160" s="9"/>
      <c r="AX160" s="9"/>
      <c r="AY160" s="9"/>
      <c r="AZ160" s="3"/>
      <c r="BA160" s="3"/>
      <c r="BB160" s="3"/>
      <c r="BC160" s="3"/>
      <c r="BD160" s="3"/>
      <c r="BE160" s="3"/>
      <c r="BG160" s="13"/>
      <c r="BH160" s="7"/>
      <c r="BI160" s="3"/>
      <c r="BJ160" s="3"/>
      <c r="BK160" s="3"/>
      <c r="BL160" s="3"/>
    </row>
    <row r="161" spans="1:64" x14ac:dyDescent="0.25">
      <c r="A161">
        <v>114</v>
      </c>
      <c r="B161" s="1" t="s">
        <v>166</v>
      </c>
      <c r="C161" s="1" t="s">
        <v>32</v>
      </c>
      <c r="D161" s="2">
        <v>43047</v>
      </c>
      <c r="E161" s="3">
        <v>18.100000000000001</v>
      </c>
      <c r="F161" s="4">
        <f t="shared" si="121"/>
        <v>3955.5365354330711</v>
      </c>
      <c r="G161" s="7">
        <v>9.6999999999999993</v>
      </c>
      <c r="H161" s="7">
        <v>142.34</v>
      </c>
      <c r="I161" s="7">
        <f t="shared" si="133"/>
        <v>132.64000000000001</v>
      </c>
      <c r="J161" s="7">
        <v>124.83</v>
      </c>
      <c r="K161" s="5">
        <f t="shared" si="122"/>
        <v>5.8881182147165374</v>
      </c>
      <c r="L161" s="4">
        <f t="shared" si="123"/>
        <v>3722.629868200469</v>
      </c>
      <c r="M161" s="2">
        <v>43054</v>
      </c>
      <c r="N161" s="7">
        <v>7.96</v>
      </c>
      <c r="O161" s="7">
        <v>2.9</v>
      </c>
      <c r="P161" s="7">
        <v>5.46</v>
      </c>
      <c r="Q161" s="6">
        <f t="shared" si="124"/>
        <v>0.35128205128205126</v>
      </c>
      <c r="R161" s="6">
        <f t="shared" si="125"/>
        <v>0.48461538461538467</v>
      </c>
      <c r="S161" s="6">
        <f t="shared" si="126"/>
        <v>0.16410256410256407</v>
      </c>
      <c r="T161" s="4">
        <f t="shared" si="127"/>
        <v>1389.5089880880275</v>
      </c>
      <c r="U161" s="4">
        <f t="shared" si="128"/>
        <v>1916.9138594791038</v>
      </c>
      <c r="V161" s="4">
        <f t="shared" si="129"/>
        <v>3306.4228475671316</v>
      </c>
      <c r="W161" s="4">
        <f t="shared" si="130"/>
        <v>1307.6930562652929</v>
      </c>
      <c r="X161" s="4">
        <f t="shared" si="131"/>
        <v>1804.0437053586891</v>
      </c>
      <c r="Y161" s="4">
        <f t="shared" si="132"/>
        <v>3111.7367616239817</v>
      </c>
      <c r="Z161" s="10"/>
      <c r="AA161" s="12"/>
      <c r="AB161" s="5"/>
      <c r="AC161" s="4"/>
      <c r="AD161" s="4"/>
      <c r="AE161" s="4"/>
      <c r="AF161" s="4"/>
      <c r="AK161" s="3"/>
      <c r="AL161" s="3"/>
      <c r="AM161" s="7"/>
      <c r="AN161" s="7"/>
      <c r="AO161" s="7"/>
      <c r="AP161" s="7"/>
      <c r="AQ161" s="7"/>
      <c r="AR161" s="3"/>
      <c r="AS161" s="3"/>
      <c r="AT161" s="7"/>
      <c r="AU161" s="7"/>
      <c r="AV161" s="7"/>
      <c r="AW161" s="9"/>
      <c r="AX161" s="9"/>
      <c r="AY161" s="9"/>
      <c r="AZ161" s="3"/>
      <c r="BA161" s="3"/>
      <c r="BB161" s="3"/>
      <c r="BC161" s="3"/>
      <c r="BD161" s="3"/>
      <c r="BE161" s="3"/>
      <c r="BG161" s="13"/>
      <c r="BH161" s="7"/>
      <c r="BI161" s="3"/>
      <c r="BJ161" s="3"/>
      <c r="BK161" s="3"/>
      <c r="BL161" s="3"/>
    </row>
    <row r="162" spans="1:64" x14ac:dyDescent="0.25">
      <c r="A162">
        <v>115</v>
      </c>
      <c r="B162" s="1" t="s">
        <v>167</v>
      </c>
      <c r="C162" s="1" t="s">
        <v>32</v>
      </c>
      <c r="D162" s="2">
        <v>43047</v>
      </c>
      <c r="E162" s="3">
        <v>11.1</v>
      </c>
      <c r="F162" s="4">
        <f t="shared" si="121"/>
        <v>2392.9656692913381</v>
      </c>
      <c r="G162" s="7">
        <v>9.74</v>
      </c>
      <c r="H162" s="7">
        <v>196.52</v>
      </c>
      <c r="I162" s="7">
        <f t="shared" si="133"/>
        <v>186.78</v>
      </c>
      <c r="J162" s="7">
        <v>177.28</v>
      </c>
      <c r="K162" s="5">
        <f t="shared" si="122"/>
        <v>5.0861976657029659</v>
      </c>
      <c r="L162" s="4">
        <f t="shared" si="123"/>
        <v>2271.2547052787686</v>
      </c>
      <c r="M162" s="2">
        <v>43054</v>
      </c>
      <c r="N162" s="7">
        <v>4.75</v>
      </c>
      <c r="O162" s="7">
        <v>1.72</v>
      </c>
      <c r="P162" s="7">
        <v>3.9</v>
      </c>
      <c r="Q162" s="6">
        <f t="shared" si="124"/>
        <v>0.33986928104575165</v>
      </c>
      <c r="R162" s="6">
        <f t="shared" si="125"/>
        <v>0.4836601307189542</v>
      </c>
      <c r="S162" s="6">
        <f t="shared" si="126"/>
        <v>0.17647058823529416</v>
      </c>
      <c r="T162" s="4">
        <f t="shared" si="127"/>
        <v>813.29552158921297</v>
      </c>
      <c r="U162" s="4">
        <f t="shared" si="128"/>
        <v>1157.3820884154184</v>
      </c>
      <c r="V162" s="4">
        <f t="shared" si="129"/>
        <v>1970.6776100046313</v>
      </c>
      <c r="W162" s="4">
        <f t="shared" si="130"/>
        <v>771.92970375487562</v>
      </c>
      <c r="X162" s="4">
        <f t="shared" si="131"/>
        <v>1098.5153476511689</v>
      </c>
      <c r="Y162" s="4">
        <f t="shared" si="132"/>
        <v>1870.4450514060445</v>
      </c>
      <c r="Z162" s="10"/>
      <c r="AA162" s="12"/>
      <c r="AB162" s="5"/>
      <c r="AC162" s="4"/>
      <c r="AD162" s="4"/>
      <c r="AE162" s="4"/>
      <c r="AF162" s="4"/>
      <c r="AH162" t="s">
        <v>285</v>
      </c>
      <c r="AI162" t="s">
        <v>32</v>
      </c>
      <c r="AJ162" s="8">
        <f>D162</f>
        <v>43047</v>
      </c>
      <c r="AK162" s="3">
        <f>SUM(E162:E164)</f>
        <v>36.799999999999997</v>
      </c>
      <c r="AL162" s="3">
        <f>(AK162-3*$A$35)*$A$36/(3*$A$37)*$A$38</f>
        <v>2653.3941469816273</v>
      </c>
      <c r="AM162" s="7">
        <f>SUM(G162:G164)</f>
        <v>29.11</v>
      </c>
      <c r="AN162" s="7">
        <f>SUM(H162:H164)</f>
        <v>535.31000000000006</v>
      </c>
      <c r="AO162" s="7">
        <f>AN162-AM162</f>
        <v>506.20000000000005</v>
      </c>
      <c r="AP162" s="7">
        <f>SUM(J162:J164)</f>
        <v>480.18</v>
      </c>
      <c r="AQ162" s="7">
        <f>(AO162-AP162)/AO162*100</f>
        <v>5.140260766495464</v>
      </c>
      <c r="AR162" s="3">
        <f>AL162*(1-AQ162/100)</f>
        <v>2517.0027686638437</v>
      </c>
      <c r="AS162" s="11">
        <f>M162</f>
        <v>43054</v>
      </c>
      <c r="AT162" s="7">
        <f>SUM(N162:N164)</f>
        <v>15.86</v>
      </c>
      <c r="AU162" s="7">
        <f>SUM(O162:O164)</f>
        <v>5.8</v>
      </c>
      <c r="AV162" s="7">
        <f>SUM(P162:P164)</f>
        <v>12.52</v>
      </c>
      <c r="AW162" s="9">
        <f>(AU162-3*$A$39)/(AT162-3*$A$39)</f>
        <v>0.34590377113133947</v>
      </c>
      <c r="AX162" s="9">
        <f>(AV162-3*$A$40)/(AT162-3*$A$39)</f>
        <v>0.48634590377113135</v>
      </c>
      <c r="AY162" s="9">
        <f>1-AW162-AX162</f>
        <v>0.16775032509752913</v>
      </c>
      <c r="AZ162" s="3">
        <f>AL162*AW162</f>
        <v>917.81904173876853</v>
      </c>
      <c r="BA162" s="3">
        <f>AL162*AX162</f>
        <v>1290.4673744748097</v>
      </c>
      <c r="BB162" s="3">
        <f>AZ162+BA162</f>
        <v>2208.2864162135784</v>
      </c>
      <c r="BC162" s="3">
        <f>AR162*AW162</f>
        <v>870.64074962884592</v>
      </c>
      <c r="BD162" s="3">
        <f>AR162*AX162</f>
        <v>1224.1339863202568</v>
      </c>
      <c r="BE162" s="3">
        <f>BC162+BD162</f>
        <v>2094.7747359491027</v>
      </c>
      <c r="BF162" s="11">
        <f>Z163</f>
        <v>43077</v>
      </c>
      <c r="BG162" s="13">
        <f>AVERAGE(AA162:AA164)</f>
        <v>48</v>
      </c>
      <c r="BH162" s="7">
        <f t="shared" ref="BH162" si="214">AVERAGE(AB162:AB164)</f>
        <v>1.07</v>
      </c>
      <c r="BI162" s="3">
        <f t="shared" ref="BI162" si="215">AVERAGE(AC162:AC164)</f>
        <v>80.099999999999994</v>
      </c>
      <c r="BJ162" s="3">
        <f t="shared" ref="BJ162" si="216">AVERAGE(AD162:AD164)</f>
        <v>29.4</v>
      </c>
      <c r="BK162" s="3">
        <f t="shared" ref="BK162" si="217">AVERAGE(AE162:AE164)</f>
        <v>5.8</v>
      </c>
      <c r="BL162" s="3">
        <f t="shared" ref="BL162" si="218">AVERAGE(AF162:AF164)</f>
        <v>10.5</v>
      </c>
    </row>
    <row r="163" spans="1:64" x14ac:dyDescent="0.25">
      <c r="A163">
        <v>116</v>
      </c>
      <c r="B163" s="1" t="s">
        <v>168</v>
      </c>
      <c r="C163" s="1" t="s">
        <v>32</v>
      </c>
      <c r="D163" s="2">
        <v>43047</v>
      </c>
      <c r="E163" s="3">
        <v>13</v>
      </c>
      <c r="F163" s="4">
        <f t="shared" si="121"/>
        <v>2817.0920472440939</v>
      </c>
      <c r="G163" s="7">
        <v>9.69</v>
      </c>
      <c r="H163" s="7">
        <v>213.9</v>
      </c>
      <c r="I163" s="7">
        <f t="shared" si="133"/>
        <v>204.21</v>
      </c>
      <c r="J163" s="7">
        <v>193.77</v>
      </c>
      <c r="K163" s="5">
        <f t="shared" si="122"/>
        <v>5.1123843102688395</v>
      </c>
      <c r="L163" s="4">
        <f t="shared" si="123"/>
        <v>2673.0714754149558</v>
      </c>
      <c r="M163" s="2">
        <v>43054</v>
      </c>
      <c r="N163" s="7">
        <v>5.58</v>
      </c>
      <c r="O163" s="7">
        <v>2.04</v>
      </c>
      <c r="P163" s="7">
        <v>4.3</v>
      </c>
      <c r="Q163" s="6">
        <f t="shared" si="124"/>
        <v>0.34686346863468637</v>
      </c>
      <c r="R163" s="6">
        <f t="shared" si="125"/>
        <v>0.48339483394833949</v>
      </c>
      <c r="S163" s="6">
        <f t="shared" si="126"/>
        <v>0.1697416974169742</v>
      </c>
      <c r="T163" s="4">
        <f t="shared" si="127"/>
        <v>977.14631897027618</v>
      </c>
      <c r="U163" s="4">
        <f t="shared" si="128"/>
        <v>1361.7677423947466</v>
      </c>
      <c r="V163" s="4">
        <f t="shared" si="129"/>
        <v>2338.9140613650229</v>
      </c>
      <c r="W163" s="4">
        <f t="shared" si="130"/>
        <v>927.19084387087037</v>
      </c>
      <c r="X163" s="4">
        <f t="shared" si="131"/>
        <v>1292.1489419902555</v>
      </c>
      <c r="Y163" s="4">
        <f t="shared" si="132"/>
        <v>2219.3397858611261</v>
      </c>
      <c r="Z163" s="10">
        <v>43077</v>
      </c>
      <c r="AA163" s="12">
        <v>48</v>
      </c>
      <c r="AB163" s="5">
        <v>1.07</v>
      </c>
      <c r="AC163" s="4">
        <v>80.099999999999994</v>
      </c>
      <c r="AD163" s="4">
        <v>29.4</v>
      </c>
      <c r="AE163" s="4">
        <v>5.8</v>
      </c>
      <c r="AF163" s="4">
        <v>10.5</v>
      </c>
      <c r="AK163" s="3"/>
      <c r="AL163" s="3"/>
      <c r="AM163" s="7"/>
      <c r="AN163" s="7"/>
      <c r="AO163" s="7"/>
      <c r="AP163" s="7"/>
      <c r="AQ163" s="7"/>
      <c r="AR163" s="3"/>
      <c r="AS163" s="3"/>
      <c r="AT163" s="7"/>
      <c r="AU163" s="7"/>
      <c r="AV163" s="7"/>
      <c r="AW163" s="9"/>
      <c r="AX163" s="9"/>
      <c r="AY163" s="9"/>
      <c r="AZ163" s="3"/>
      <c r="BA163" s="3"/>
      <c r="BB163" s="3"/>
      <c r="BC163" s="3"/>
      <c r="BD163" s="3"/>
      <c r="BE163" s="3"/>
      <c r="BG163" s="13"/>
      <c r="BH163" s="7"/>
      <c r="BI163" s="3"/>
      <c r="BJ163" s="3"/>
      <c r="BK163" s="3"/>
      <c r="BL163" s="3"/>
    </row>
    <row r="164" spans="1:64" x14ac:dyDescent="0.25">
      <c r="A164">
        <v>117</v>
      </c>
      <c r="B164" s="1" t="s">
        <v>169</v>
      </c>
      <c r="C164" s="1" t="s">
        <v>32</v>
      </c>
      <c r="D164" s="2">
        <v>43047</v>
      </c>
      <c r="E164" s="3">
        <v>12.7</v>
      </c>
      <c r="F164" s="4">
        <f t="shared" si="121"/>
        <v>2750.1247244094484</v>
      </c>
      <c r="G164" s="7">
        <v>9.68</v>
      </c>
      <c r="H164" s="7">
        <v>124.89</v>
      </c>
      <c r="I164" s="7">
        <f t="shared" si="133"/>
        <v>115.21000000000001</v>
      </c>
      <c r="J164" s="7">
        <v>109.13</v>
      </c>
      <c r="K164" s="5">
        <f t="shared" si="122"/>
        <v>5.2773196771113726</v>
      </c>
      <c r="L164" s="4">
        <f t="shared" si="123"/>
        <v>2604.9918511830838</v>
      </c>
      <c r="M164" s="2">
        <v>43054</v>
      </c>
      <c r="N164" s="7">
        <v>5.53</v>
      </c>
      <c r="O164" s="7">
        <v>2.04</v>
      </c>
      <c r="P164" s="7">
        <v>4.32</v>
      </c>
      <c r="Q164" s="6">
        <f t="shared" si="124"/>
        <v>0.3500931098696462</v>
      </c>
      <c r="R164" s="6">
        <f t="shared" si="125"/>
        <v>0.49162011173184367</v>
      </c>
      <c r="S164" s="6">
        <f t="shared" si="126"/>
        <v>0.15828677839851008</v>
      </c>
      <c r="T164" s="4">
        <f t="shared" si="127"/>
        <v>962.79971729790748</v>
      </c>
      <c r="U164" s="4">
        <f t="shared" si="128"/>
        <v>1352.0166242906787</v>
      </c>
      <c r="V164" s="4">
        <f t="shared" si="129"/>
        <v>2314.8163415885861</v>
      </c>
      <c r="W164" s="4">
        <f t="shared" si="130"/>
        <v>911.98969836577237</v>
      </c>
      <c r="X164" s="4">
        <f t="shared" si="131"/>
        <v>1280.66638493917</v>
      </c>
      <c r="Y164" s="4">
        <f t="shared" si="132"/>
        <v>2192.6560833049425</v>
      </c>
      <c r="Z164" s="10"/>
      <c r="AA164" s="12"/>
      <c r="AB164" s="5"/>
      <c r="AC164" s="4"/>
      <c r="AD164" s="4"/>
      <c r="AE164" s="4"/>
      <c r="AF164" s="4"/>
      <c r="AK164" s="3"/>
      <c r="AL164" s="3"/>
      <c r="AM164" s="7"/>
      <c r="AN164" s="7"/>
      <c r="AO164" s="7"/>
      <c r="AP164" s="7"/>
      <c r="AQ164" s="7"/>
      <c r="AR164" s="3"/>
      <c r="AS164" s="3"/>
      <c r="AT164" s="7"/>
      <c r="AU164" s="7"/>
      <c r="AV164" s="7"/>
      <c r="AW164" s="9"/>
      <c r="AX164" s="9"/>
      <c r="AY164" s="9"/>
      <c r="AZ164" s="3"/>
      <c r="BA164" s="3"/>
      <c r="BB164" s="3"/>
      <c r="BC164" s="3"/>
      <c r="BD164" s="3"/>
      <c r="BE164" s="3"/>
      <c r="BG164" s="13"/>
      <c r="BH164" s="7"/>
      <c r="BI164" s="3"/>
      <c r="BJ164" s="3"/>
      <c r="BK164" s="3"/>
      <c r="BL164" s="3"/>
    </row>
    <row r="165" spans="1:64" x14ac:dyDescent="0.25">
      <c r="A165">
        <v>118</v>
      </c>
      <c r="B165" s="1" t="s">
        <v>170</v>
      </c>
      <c r="C165" s="1" t="s">
        <v>32</v>
      </c>
      <c r="D165" s="2">
        <v>43047</v>
      </c>
      <c r="E165" s="3">
        <v>13.2</v>
      </c>
      <c r="F165" s="4">
        <f t="shared" si="121"/>
        <v>2861.7369291338578</v>
      </c>
      <c r="G165" s="7">
        <v>9.7200000000000006</v>
      </c>
      <c r="H165" s="7">
        <v>221.38</v>
      </c>
      <c r="I165" s="7">
        <f t="shared" si="133"/>
        <v>211.66</v>
      </c>
      <c r="J165" s="7">
        <v>200.53</v>
      </c>
      <c r="K165" s="5">
        <f t="shared" si="122"/>
        <v>5.2584333364830362</v>
      </c>
      <c r="L165" s="4">
        <f t="shared" si="123"/>
        <v>2711.2544004498372</v>
      </c>
      <c r="M165" s="2">
        <v>43054</v>
      </c>
      <c r="N165" s="7">
        <v>5.67</v>
      </c>
      <c r="O165" s="7">
        <v>2.06</v>
      </c>
      <c r="P165" s="7">
        <v>4.3600000000000003</v>
      </c>
      <c r="Q165" s="6">
        <f t="shared" si="124"/>
        <v>0.34482758620689657</v>
      </c>
      <c r="R165" s="6">
        <f t="shared" si="125"/>
        <v>0.48638838475499108</v>
      </c>
      <c r="S165" s="6">
        <f t="shared" si="126"/>
        <v>0.16878402903811235</v>
      </c>
      <c r="T165" s="4">
        <f t="shared" si="127"/>
        <v>986.80583763236484</v>
      </c>
      <c r="U165" s="4">
        <f t="shared" si="128"/>
        <v>1391.9156025551254</v>
      </c>
      <c r="V165" s="4">
        <f t="shared" si="129"/>
        <v>2378.7214401874903</v>
      </c>
      <c r="W165" s="4">
        <f t="shared" si="130"/>
        <v>934.91531049994398</v>
      </c>
      <c r="X165" s="4">
        <f t="shared" si="131"/>
        <v>1318.7226484946582</v>
      </c>
      <c r="Y165" s="4">
        <f t="shared" si="132"/>
        <v>2253.6379589946023</v>
      </c>
      <c r="Z165" s="10"/>
      <c r="AA165" s="12"/>
      <c r="AB165" s="5"/>
      <c r="AC165" s="4"/>
      <c r="AD165" s="4"/>
      <c r="AE165" s="4"/>
      <c r="AF165" s="4"/>
      <c r="AH165" t="s">
        <v>286</v>
      </c>
      <c r="AI165" t="s">
        <v>32</v>
      </c>
      <c r="AJ165" s="8">
        <f>D165</f>
        <v>43047</v>
      </c>
      <c r="AK165" s="3">
        <f>SUM(E165:E167)</f>
        <v>44.4</v>
      </c>
      <c r="AL165" s="3">
        <f>(AK165-3*$A$35)*$A$36/(3*$A$37)*$A$38</f>
        <v>3218.895984251968</v>
      </c>
      <c r="AM165" s="7">
        <f>SUM(G165:G167)</f>
        <v>29.1</v>
      </c>
      <c r="AN165" s="7">
        <f>SUM(H165:H167)</f>
        <v>658.81000000000006</v>
      </c>
      <c r="AO165" s="7">
        <f>AN165-AM165</f>
        <v>629.71</v>
      </c>
      <c r="AP165" s="7">
        <f>SUM(J165:J167)</f>
        <v>595.29</v>
      </c>
      <c r="AQ165" s="7">
        <f>(AO165-AP165)/AO165*100</f>
        <v>5.4660081624875057</v>
      </c>
      <c r="AR165" s="3">
        <f>AL165*(1-AQ165/100)</f>
        <v>3042.950867010773</v>
      </c>
      <c r="AS165" s="11">
        <f>M165</f>
        <v>43054</v>
      </c>
      <c r="AT165" s="7">
        <f>SUM(N165:N167)</f>
        <v>19.2</v>
      </c>
      <c r="AU165" s="7">
        <f>SUM(O165:O167)</f>
        <v>7</v>
      </c>
      <c r="AV165" s="7">
        <f>SUM(P165:P167)</f>
        <v>14.14</v>
      </c>
      <c r="AW165" s="9">
        <f>(AU165-3*$A$39)/(AT165-3*$A$39)</f>
        <v>0.34829059829059827</v>
      </c>
      <c r="AX165" s="9">
        <f>(AV165-3*$A$40)/(AT165-3*$A$39)</f>
        <v>0.48611111111111122</v>
      </c>
      <c r="AY165" s="9">
        <f>1-AW165-AX165</f>
        <v>0.16559829059829051</v>
      </c>
      <c r="AZ165" s="3">
        <f>AL165*AW165</f>
        <v>1121.111208190322</v>
      </c>
      <c r="BA165" s="3">
        <f>AL165*AX165</f>
        <v>1564.7411034558181</v>
      </c>
      <c r="BB165" s="3">
        <f>AZ165+BA165</f>
        <v>2685.8523116461402</v>
      </c>
      <c r="BC165" s="3">
        <f>AR165*AW165</f>
        <v>1059.8311780400768</v>
      </c>
      <c r="BD165" s="3">
        <f>AR165*AX165</f>
        <v>1479.212227019126</v>
      </c>
      <c r="BE165" s="3">
        <f>BC165+BD165</f>
        <v>2539.043405059203</v>
      </c>
      <c r="BF165" s="11">
        <f>Z166</f>
        <v>43077</v>
      </c>
      <c r="BG165" s="13">
        <f>AVERAGE(AA165:AA167)</f>
        <v>45</v>
      </c>
      <c r="BH165" s="7">
        <f t="shared" ref="BH165" si="219">AVERAGE(AB165:AB167)</f>
        <v>1.08</v>
      </c>
      <c r="BI165" s="3">
        <f t="shared" ref="BI165" si="220">AVERAGE(AC165:AC167)</f>
        <v>79.400000000000006</v>
      </c>
      <c r="BJ165" s="3">
        <f t="shared" ref="BJ165" si="221">AVERAGE(AD165:AD167)</f>
        <v>31.2</v>
      </c>
      <c r="BK165" s="3">
        <f t="shared" ref="BK165" si="222">AVERAGE(AE165:AE167)</f>
        <v>5.9</v>
      </c>
      <c r="BL165" s="3">
        <f t="shared" ref="BL165" si="223">AVERAGE(AF165:AF167)</f>
        <v>11.2</v>
      </c>
    </row>
    <row r="166" spans="1:64" x14ac:dyDescent="0.25">
      <c r="A166">
        <v>119</v>
      </c>
      <c r="B166" s="1" t="s">
        <v>171</v>
      </c>
      <c r="C166" s="1" t="s">
        <v>32</v>
      </c>
      <c r="D166" s="2">
        <v>43047</v>
      </c>
      <c r="E166" s="3">
        <v>14.8</v>
      </c>
      <c r="F166" s="4">
        <f t="shared" si="121"/>
        <v>3218.895984251968</v>
      </c>
      <c r="G166" s="7">
        <v>9.69</v>
      </c>
      <c r="H166" s="7">
        <v>212.35</v>
      </c>
      <c r="I166" s="7">
        <f t="shared" si="133"/>
        <v>202.66</v>
      </c>
      <c r="J166" s="7">
        <v>191.62</v>
      </c>
      <c r="K166" s="5">
        <f t="shared" si="122"/>
        <v>5.4475476166979142</v>
      </c>
      <c r="L166" s="4">
        <f t="shared" si="123"/>
        <v>3043.5450927778652</v>
      </c>
      <c r="M166" s="2">
        <v>43054</v>
      </c>
      <c r="N166" s="7">
        <v>6.43</v>
      </c>
      <c r="O166" s="7">
        <v>2.34</v>
      </c>
      <c r="P166" s="7">
        <v>4.78</v>
      </c>
      <c r="Q166" s="6">
        <f t="shared" si="124"/>
        <v>0.34768740031897927</v>
      </c>
      <c r="R166" s="6">
        <f t="shared" si="125"/>
        <v>0.49441786283891559</v>
      </c>
      <c r="S166" s="6">
        <f t="shared" si="126"/>
        <v>0.15789473684210514</v>
      </c>
      <c r="T166" s="4">
        <f t="shared" si="127"/>
        <v>1119.1695766617688</v>
      </c>
      <c r="U166" s="4">
        <f t="shared" si="128"/>
        <v>1591.4796732346258</v>
      </c>
      <c r="V166" s="4">
        <f t="shared" si="129"/>
        <v>2710.6492498963944</v>
      </c>
      <c r="W166" s="4">
        <f t="shared" si="130"/>
        <v>1058.2022810615224</v>
      </c>
      <c r="X166" s="4">
        <f t="shared" si="131"/>
        <v>1504.7830602251013</v>
      </c>
      <c r="Y166" s="4">
        <f t="shared" si="132"/>
        <v>2562.9853412866237</v>
      </c>
      <c r="Z166" s="10">
        <v>43077</v>
      </c>
      <c r="AA166" s="12">
        <v>45</v>
      </c>
      <c r="AB166" s="5">
        <v>1.08</v>
      </c>
      <c r="AC166" s="4">
        <v>79.400000000000006</v>
      </c>
      <c r="AD166" s="4">
        <v>31.2</v>
      </c>
      <c r="AE166" s="4">
        <v>5.9</v>
      </c>
      <c r="AF166" s="4">
        <v>11.2</v>
      </c>
      <c r="AK166" s="3"/>
      <c r="AL166" s="3"/>
      <c r="AM166" s="7"/>
      <c r="AN166" s="7"/>
      <c r="AO166" s="7"/>
      <c r="AP166" s="7"/>
      <c r="AQ166" s="7"/>
      <c r="AR166" s="3"/>
      <c r="AS166" s="3"/>
      <c r="AT166" s="7"/>
      <c r="AU166" s="7"/>
      <c r="AV166" s="7"/>
      <c r="AW166" s="9"/>
      <c r="AX166" s="9"/>
      <c r="AY166" s="9"/>
      <c r="AZ166" s="3"/>
      <c r="BA166" s="3"/>
      <c r="BB166" s="3"/>
      <c r="BC166" s="3"/>
      <c r="BD166" s="3"/>
      <c r="BE166" s="3"/>
      <c r="BG166" s="13"/>
      <c r="BH166" s="7"/>
      <c r="BI166" s="3"/>
      <c r="BJ166" s="3"/>
      <c r="BK166" s="3"/>
      <c r="BL166" s="3"/>
    </row>
    <row r="167" spans="1:64" x14ac:dyDescent="0.25">
      <c r="A167">
        <v>120</v>
      </c>
      <c r="B167" s="1" t="s">
        <v>172</v>
      </c>
      <c r="C167" s="1" t="s">
        <v>32</v>
      </c>
      <c r="D167" s="2">
        <v>43047</v>
      </c>
      <c r="E167" s="3">
        <v>16.399999999999999</v>
      </c>
      <c r="F167" s="4">
        <f t="shared" si="121"/>
        <v>3576.0550393700787</v>
      </c>
      <c r="G167" s="7">
        <v>9.69</v>
      </c>
      <c r="H167" s="7">
        <v>225.08</v>
      </c>
      <c r="I167" s="7">
        <f t="shared" si="133"/>
        <v>215.39000000000001</v>
      </c>
      <c r="J167" s="7">
        <v>203.14</v>
      </c>
      <c r="K167" s="5">
        <f t="shared" si="122"/>
        <v>5.687357816054611</v>
      </c>
      <c r="L167" s="4">
        <f t="shared" si="123"/>
        <v>3372.6719935820497</v>
      </c>
      <c r="M167" s="2">
        <v>43054</v>
      </c>
      <c r="N167" s="7">
        <v>7.1</v>
      </c>
      <c r="O167" s="7">
        <v>2.6</v>
      </c>
      <c r="P167" s="7">
        <v>5</v>
      </c>
      <c r="Q167" s="6">
        <f t="shared" si="124"/>
        <v>0.35158501440922191</v>
      </c>
      <c r="R167" s="6">
        <f t="shared" si="125"/>
        <v>0.47838616714697413</v>
      </c>
      <c r="S167" s="6">
        <f t="shared" si="126"/>
        <v>0.17002881844380402</v>
      </c>
      <c r="T167" s="4">
        <f t="shared" si="127"/>
        <v>1257.2873625450998</v>
      </c>
      <c r="U167" s="4">
        <f t="shared" si="128"/>
        <v>1710.7352637908737</v>
      </c>
      <c r="V167" s="4">
        <f t="shared" si="129"/>
        <v>2968.0226263359737</v>
      </c>
      <c r="W167" s="4">
        <f t="shared" si="130"/>
        <v>1185.7809314611241</v>
      </c>
      <c r="X167" s="4">
        <f t="shared" si="131"/>
        <v>1613.439628053661</v>
      </c>
      <c r="Y167" s="4">
        <f t="shared" si="132"/>
        <v>2799.2205595147852</v>
      </c>
      <c r="Z167" s="10"/>
      <c r="AA167" s="12"/>
      <c r="AB167" s="5"/>
      <c r="AC167" s="4"/>
      <c r="AD167" s="4"/>
      <c r="AE167" s="4"/>
      <c r="AF167" s="4"/>
      <c r="AK167" s="3"/>
      <c r="AL167" s="3"/>
      <c r="AM167" s="7"/>
      <c r="AN167" s="7"/>
      <c r="AO167" s="7"/>
      <c r="AP167" s="7"/>
      <c r="AQ167" s="7"/>
      <c r="AR167" s="3"/>
      <c r="AS167" s="3"/>
      <c r="AT167" s="7"/>
      <c r="AU167" s="7"/>
      <c r="AV167" s="7"/>
      <c r="AW167" s="9"/>
      <c r="AX167" s="9"/>
      <c r="AY167" s="9"/>
      <c r="AZ167" s="3"/>
      <c r="BA167" s="3"/>
      <c r="BB167" s="3"/>
      <c r="BC167" s="3"/>
      <c r="BD167" s="3"/>
      <c r="BE167" s="3"/>
      <c r="BG167" s="13"/>
      <c r="BH167" s="7"/>
      <c r="BI167" s="3"/>
      <c r="BJ167" s="3"/>
      <c r="BK167" s="3"/>
      <c r="BL167" s="3"/>
    </row>
    <row r="168" spans="1:64" x14ac:dyDescent="0.25">
      <c r="A168">
        <v>121</v>
      </c>
      <c r="B168" s="1" t="s">
        <v>173</v>
      </c>
      <c r="C168" s="1" t="s">
        <v>32</v>
      </c>
      <c r="D168" s="2">
        <v>43047</v>
      </c>
      <c r="E168" s="3">
        <v>13.4</v>
      </c>
      <c r="F168" s="4">
        <f t="shared" si="121"/>
        <v>2906.3818110236216</v>
      </c>
      <c r="G168" s="7">
        <v>9.66</v>
      </c>
      <c r="H168" s="7">
        <v>125.4</v>
      </c>
      <c r="I168" s="7">
        <f t="shared" si="133"/>
        <v>115.74000000000001</v>
      </c>
      <c r="J168" s="7">
        <v>108.57</v>
      </c>
      <c r="K168" s="5">
        <f t="shared" si="122"/>
        <v>6.1949196474857571</v>
      </c>
      <c r="L168" s="4">
        <f t="shared" si="123"/>
        <v>2726.3337931815672</v>
      </c>
      <c r="M168" s="2">
        <v>43054</v>
      </c>
      <c r="N168" s="7">
        <v>5.82</v>
      </c>
      <c r="O168" s="7">
        <v>1.98</v>
      </c>
      <c r="P168" s="7">
        <v>4.34</v>
      </c>
      <c r="Q168" s="6">
        <f t="shared" si="124"/>
        <v>0.32155477031802121</v>
      </c>
      <c r="R168" s="6">
        <f t="shared" si="125"/>
        <v>0.46996466431095407</v>
      </c>
      <c r="S168" s="6">
        <f t="shared" si="126"/>
        <v>0.20848056537102466</v>
      </c>
      <c r="T168" s="4">
        <f t="shared" si="127"/>
        <v>934.56093570017515</v>
      </c>
      <c r="U168" s="4">
        <f t="shared" si="128"/>
        <v>1365.896752177179</v>
      </c>
      <c r="V168" s="4">
        <f t="shared" si="129"/>
        <v>2300.4576878773541</v>
      </c>
      <c r="W168" s="4">
        <f t="shared" si="130"/>
        <v>876.66563667675837</v>
      </c>
      <c r="X168" s="4">
        <f t="shared" si="131"/>
        <v>1281.2805459121853</v>
      </c>
      <c r="Y168" s="4">
        <f t="shared" si="132"/>
        <v>2157.9461825889439</v>
      </c>
      <c r="Z168" s="10"/>
      <c r="AA168" s="12"/>
      <c r="AB168" s="5"/>
      <c r="AC168" s="4"/>
      <c r="AD168" s="4"/>
      <c r="AE168" s="4"/>
      <c r="AF168" s="4"/>
      <c r="AH168" t="s">
        <v>287</v>
      </c>
      <c r="AI168" t="str">
        <f>C168</f>
        <v>Machine</v>
      </c>
      <c r="AJ168" s="8">
        <f>D168</f>
        <v>43047</v>
      </c>
      <c r="AK168" s="3">
        <f>SUM(E168:E170)</f>
        <v>42.6</v>
      </c>
      <c r="AL168" s="3">
        <f>(AK168-3*$A$35)*$A$36/(3*$A$37)*$A$38</f>
        <v>3084.9613385826769</v>
      </c>
      <c r="AM168" s="7">
        <f>SUM(G168:G170)</f>
        <v>29.11</v>
      </c>
      <c r="AN168" s="7">
        <f>SUM(H168:H170)</f>
        <v>453.88</v>
      </c>
      <c r="AO168" s="7">
        <f>AN168-AM168</f>
        <v>424.77</v>
      </c>
      <c r="AP168" s="7">
        <f>SUM(J168:J170)</f>
        <v>399.8</v>
      </c>
      <c r="AQ168" s="7">
        <f>(AO168-AP168)/AO168*100</f>
        <v>5.8784754102219958</v>
      </c>
      <c r="AR168" s="3">
        <f>AL168*(1-AQ168/100)</f>
        <v>2903.6126448792388</v>
      </c>
      <c r="AS168" s="11">
        <f>M168</f>
        <v>43054</v>
      </c>
      <c r="AT168" s="7">
        <f>SUM(N168:N170)</f>
        <v>18.52</v>
      </c>
      <c r="AU168" s="7">
        <f>SUM(O168:O170)</f>
        <v>6.42</v>
      </c>
      <c r="AV168" s="7">
        <f>SUM(P168:P170)</f>
        <v>13.639999999999999</v>
      </c>
      <c r="AW168" s="9">
        <f>(AU168-3*$A$39)/(AT168-3*$A$39)</f>
        <v>0.32926829268292684</v>
      </c>
      <c r="AX168" s="9">
        <f>(AV168-3*$A$40)/(AT168-3*$A$39)</f>
        <v>0.47671840354767175</v>
      </c>
      <c r="AY168" s="9">
        <f>1-AW168-AX168</f>
        <v>0.19401330376940135</v>
      </c>
      <c r="AZ168" s="3">
        <f>AL168*AW168</f>
        <v>1015.7799529479546</v>
      </c>
      <c r="BA168" s="3">
        <f>AL168*AX168</f>
        <v>1470.6578443354222</v>
      </c>
      <c r="BB168" s="3">
        <f>AZ168+BA168</f>
        <v>2486.4377972833768</v>
      </c>
      <c r="BC168" s="3">
        <f>AR168*AW168</f>
        <v>956.06757819194456</v>
      </c>
      <c r="BD168" s="3">
        <f>AR168*AX168</f>
        <v>1384.2055845876635</v>
      </c>
      <c r="BE168" s="3">
        <f>BC168+BD168</f>
        <v>2340.2731627796079</v>
      </c>
      <c r="BF168" s="11">
        <f>Z169</f>
        <v>43077</v>
      </c>
      <c r="BG168" s="13">
        <f>AVERAGE(AA168:AA170)</f>
        <v>39</v>
      </c>
      <c r="BH168" s="7">
        <f t="shared" ref="BH168" si="224">AVERAGE(AB168:AB170)</f>
        <v>1.1399999999999999</v>
      </c>
      <c r="BI168" s="3">
        <f t="shared" ref="BI168" si="225">AVERAGE(AC168:AC170)</f>
        <v>79.3</v>
      </c>
      <c r="BJ168" s="3">
        <f t="shared" ref="BJ168" si="226">AVERAGE(AD168:AD170)</f>
        <v>32.200000000000003</v>
      </c>
      <c r="BK168" s="3">
        <f t="shared" ref="BK168" si="227">AVERAGE(AE168:AE170)</f>
        <v>6.2</v>
      </c>
      <c r="BL168" s="3">
        <f t="shared" ref="BL168" si="228">AVERAGE(AF168:AF170)</f>
        <v>10.5</v>
      </c>
    </row>
    <row r="169" spans="1:64" x14ac:dyDescent="0.25">
      <c r="A169">
        <v>122</v>
      </c>
      <c r="B169" s="1" t="s">
        <v>174</v>
      </c>
      <c r="C169" s="1" t="s">
        <v>32</v>
      </c>
      <c r="D169" s="2">
        <v>43047</v>
      </c>
      <c r="E169" s="3">
        <v>14.2</v>
      </c>
      <c r="F169" s="4">
        <f t="shared" si="121"/>
        <v>3084.9613385826769</v>
      </c>
      <c r="G169" s="7">
        <v>9.7100000000000009</v>
      </c>
      <c r="H169" s="7">
        <v>148.13</v>
      </c>
      <c r="I169" s="7">
        <f t="shared" si="133"/>
        <v>138.41999999999999</v>
      </c>
      <c r="J169" s="7">
        <v>130.52000000000001</v>
      </c>
      <c r="K169" s="5">
        <f t="shared" si="122"/>
        <v>5.7072677358763029</v>
      </c>
      <c r="L169" s="4">
        <f t="shared" si="123"/>
        <v>2908.8943354414901</v>
      </c>
      <c r="M169" s="2">
        <v>43054</v>
      </c>
      <c r="N169" s="7">
        <v>6.17</v>
      </c>
      <c r="O169" s="7">
        <v>2.16</v>
      </c>
      <c r="P169" s="7">
        <v>4.5599999999999996</v>
      </c>
      <c r="Q169" s="6">
        <f t="shared" si="124"/>
        <v>0.3327787021630616</v>
      </c>
      <c r="R169" s="6">
        <f t="shared" si="125"/>
        <v>0.47920133111480867</v>
      </c>
      <c r="S169" s="6">
        <f t="shared" si="126"/>
        <v>0.18801996672212973</v>
      </c>
      <c r="T169" s="4">
        <f t="shared" si="127"/>
        <v>1026.6094304767646</v>
      </c>
      <c r="U169" s="4">
        <f t="shared" si="128"/>
        <v>1478.3175798865407</v>
      </c>
      <c r="V169" s="4">
        <f t="shared" si="129"/>
        <v>2504.9270103633053</v>
      </c>
      <c r="W169" s="4">
        <f t="shared" si="130"/>
        <v>968.01808167770059</v>
      </c>
      <c r="X169" s="4">
        <f t="shared" si="131"/>
        <v>1393.9460376158888</v>
      </c>
      <c r="Y169" s="4">
        <f t="shared" si="132"/>
        <v>2361.9641192935896</v>
      </c>
      <c r="Z169" s="10">
        <v>43077</v>
      </c>
      <c r="AA169" s="12">
        <v>39</v>
      </c>
      <c r="AB169" s="5">
        <v>1.1399999999999999</v>
      </c>
      <c r="AC169" s="4">
        <v>79.3</v>
      </c>
      <c r="AD169" s="4">
        <v>32.200000000000003</v>
      </c>
      <c r="AE169" s="4">
        <v>6.2</v>
      </c>
      <c r="AF169" s="4">
        <v>10.5</v>
      </c>
      <c r="AK169" s="3"/>
      <c r="AL169" s="3"/>
      <c r="AM169" s="7"/>
      <c r="AN169" s="7"/>
      <c r="AO169" s="7"/>
      <c r="AP169" s="7"/>
      <c r="AQ169" s="7"/>
      <c r="AR169" s="3"/>
      <c r="AS169" s="3"/>
      <c r="AT169" s="7"/>
      <c r="AU169" s="7"/>
      <c r="AV169" s="7"/>
      <c r="AW169" s="9"/>
      <c r="AX169" s="9"/>
      <c r="AY169" s="9"/>
      <c r="AZ169" s="3"/>
      <c r="BA169" s="3"/>
      <c r="BB169" s="3"/>
      <c r="BC169" s="3"/>
      <c r="BD169" s="3"/>
      <c r="BE169" s="3"/>
      <c r="BG169" s="13"/>
      <c r="BH169" s="7"/>
      <c r="BI169" s="3"/>
      <c r="BJ169" s="3"/>
      <c r="BK169" s="3"/>
      <c r="BL169" s="3"/>
    </row>
    <row r="170" spans="1:64" x14ac:dyDescent="0.25">
      <c r="A170">
        <v>123</v>
      </c>
      <c r="B170" s="1" t="s">
        <v>175</v>
      </c>
      <c r="C170" s="1" t="s">
        <v>32</v>
      </c>
      <c r="D170" s="2">
        <v>43047</v>
      </c>
      <c r="E170" s="3">
        <v>15</v>
      </c>
      <c r="F170" s="4">
        <f t="shared" si="121"/>
        <v>3263.5408661417318</v>
      </c>
      <c r="G170" s="7">
        <v>9.74</v>
      </c>
      <c r="H170" s="7">
        <v>180.35</v>
      </c>
      <c r="I170" s="7">
        <f t="shared" si="133"/>
        <v>170.60999999999999</v>
      </c>
      <c r="J170" s="7">
        <v>160.71</v>
      </c>
      <c r="K170" s="5">
        <f t="shared" si="122"/>
        <v>5.8027079303674922</v>
      </c>
      <c r="L170" s="4">
        <f t="shared" si="123"/>
        <v>3074.1671214913417</v>
      </c>
      <c r="M170" s="2">
        <v>43054</v>
      </c>
      <c r="N170" s="7">
        <v>6.53</v>
      </c>
      <c r="O170" s="7">
        <v>2.2799999999999998</v>
      </c>
      <c r="P170" s="7">
        <v>4.74</v>
      </c>
      <c r="Q170" s="6">
        <f t="shared" si="124"/>
        <v>0.33281004709576134</v>
      </c>
      <c r="R170" s="6">
        <f t="shared" si="125"/>
        <v>0.4803767660910519</v>
      </c>
      <c r="S170" s="6">
        <f t="shared" si="126"/>
        <v>0.18681318681318676</v>
      </c>
      <c r="T170" s="4">
        <f t="shared" si="127"/>
        <v>1086.1391893595714</v>
      </c>
      <c r="U170" s="4">
        <f t="shared" si="128"/>
        <v>1567.7292072831556</v>
      </c>
      <c r="V170" s="4">
        <f t="shared" si="129"/>
        <v>2653.868396642727</v>
      </c>
      <c r="W170" s="4">
        <f t="shared" si="130"/>
        <v>1023.1137044837745</v>
      </c>
      <c r="X170" s="4">
        <f t="shared" si="131"/>
        <v>1476.7584602454485</v>
      </c>
      <c r="Y170" s="4">
        <f t="shared" si="132"/>
        <v>2499.8721647292232</v>
      </c>
      <c r="Z170" s="10"/>
      <c r="AA170" s="12"/>
      <c r="AB170" s="5"/>
      <c r="AC170" s="4"/>
      <c r="AD170" s="4"/>
      <c r="AE170" s="4"/>
      <c r="AF170" s="4"/>
      <c r="AK170" s="3"/>
      <c r="AL170" s="3"/>
      <c r="AM170" s="7"/>
      <c r="AN170" s="7"/>
      <c r="AO170" s="7"/>
      <c r="AP170" s="7"/>
      <c r="AQ170" s="7"/>
      <c r="AR170" s="3"/>
      <c r="AS170" s="3"/>
      <c r="AT170" s="7"/>
      <c r="AU170" s="7"/>
      <c r="AV170" s="7"/>
      <c r="AW170" s="9"/>
      <c r="AX170" s="9"/>
      <c r="AY170" s="9"/>
      <c r="AZ170" s="3"/>
      <c r="BA170" s="3"/>
      <c r="BB170" s="3"/>
      <c r="BC170" s="3"/>
      <c r="BD170" s="3"/>
      <c r="BE170" s="3"/>
      <c r="BG170" s="13"/>
      <c r="BH170" s="7"/>
      <c r="BI170" s="3"/>
      <c r="BJ170" s="3"/>
      <c r="BK170" s="3"/>
      <c r="BL170" s="3"/>
    </row>
    <row r="171" spans="1:64" x14ac:dyDescent="0.25">
      <c r="A171">
        <v>124</v>
      </c>
      <c r="B171" s="1" t="s">
        <v>176</v>
      </c>
      <c r="C171" s="1" t="s">
        <v>32</v>
      </c>
      <c r="D171" s="2">
        <v>43047</v>
      </c>
      <c r="E171" s="3">
        <v>17</v>
      </c>
      <c r="F171" s="4">
        <f t="shared" si="121"/>
        <v>3709.9896850393698</v>
      </c>
      <c r="G171" s="7">
        <v>9.7100000000000009</v>
      </c>
      <c r="H171" s="7">
        <v>172.66</v>
      </c>
      <c r="I171" s="7">
        <f t="shared" si="133"/>
        <v>162.94999999999999</v>
      </c>
      <c r="J171" s="7">
        <v>154.05000000000001</v>
      </c>
      <c r="K171" s="5">
        <f t="shared" si="122"/>
        <v>5.4617980975759295</v>
      </c>
      <c r="L171" s="4">
        <f t="shared" si="123"/>
        <v>3507.3575390016263</v>
      </c>
      <c r="M171" s="2">
        <v>43054</v>
      </c>
      <c r="N171" s="7">
        <v>7.42</v>
      </c>
      <c r="O171" s="7">
        <v>2.62</v>
      </c>
      <c r="P171" s="7">
        <v>5.14</v>
      </c>
      <c r="Q171" s="6">
        <f t="shared" si="124"/>
        <v>0.33884297520661155</v>
      </c>
      <c r="R171" s="6">
        <f t="shared" si="125"/>
        <v>0.47658402203856748</v>
      </c>
      <c r="S171" s="6">
        <f t="shared" si="126"/>
        <v>0.18457300275482097</v>
      </c>
      <c r="T171" s="4">
        <f t="shared" si="127"/>
        <v>1257.1039428645797</v>
      </c>
      <c r="U171" s="4">
        <f t="shared" si="128"/>
        <v>1768.121805817661</v>
      </c>
      <c r="V171" s="4">
        <f t="shared" si="129"/>
        <v>3025.2257486822409</v>
      </c>
      <c r="W171" s="4">
        <f t="shared" si="130"/>
        <v>1188.4434636286501</v>
      </c>
      <c r="X171" s="4">
        <f t="shared" si="131"/>
        <v>1671.5505626646868</v>
      </c>
      <c r="Y171" s="4">
        <f t="shared" si="132"/>
        <v>2859.9940262933369</v>
      </c>
      <c r="Z171" s="10"/>
      <c r="AA171" s="12"/>
      <c r="AB171" s="5"/>
      <c r="AC171" s="4"/>
      <c r="AD171" s="4"/>
      <c r="AE171" s="4"/>
      <c r="AF171" s="4"/>
      <c r="AH171" t="s">
        <v>288</v>
      </c>
      <c r="AI171" t="s">
        <v>32</v>
      </c>
      <c r="AJ171" s="8">
        <f>D171</f>
        <v>43047</v>
      </c>
      <c r="AK171" s="3">
        <f>SUM(E171:E173)</f>
        <v>49.8</v>
      </c>
      <c r="AL171" s="3">
        <f>(AK171-3*$A$35)*$A$36/(3*$A$37)*$A$38</f>
        <v>3620.6999212598421</v>
      </c>
      <c r="AM171" s="7">
        <f>SUM(G171:G173)</f>
        <v>29.1</v>
      </c>
      <c r="AN171" s="7">
        <f>SUM(H171:H173)</f>
        <v>411.55999999999995</v>
      </c>
      <c r="AO171" s="7">
        <f>AN171-AM171</f>
        <v>382.45999999999992</v>
      </c>
      <c r="AP171" s="7">
        <f>SUM(J171:J173)</f>
        <v>362.11</v>
      </c>
      <c r="AQ171" s="7">
        <f>(AO171-AP171)/AO171*100</f>
        <v>5.320817863305944</v>
      </c>
      <c r="AR171" s="3">
        <f>AL171*(1-AQ171/100)</f>
        <v>3428.0490730727438</v>
      </c>
      <c r="AS171" s="11">
        <f>M171</f>
        <v>43054</v>
      </c>
      <c r="AT171" s="7">
        <f>SUM(N171:N173)</f>
        <v>21.86</v>
      </c>
      <c r="AU171" s="7">
        <f>SUM(O171:O173)</f>
        <v>7.6999999999999993</v>
      </c>
      <c r="AV171" s="7">
        <f>SUM(P171:P173)</f>
        <v>15.239999999999998</v>
      </c>
      <c r="AW171" s="9">
        <f>(AU171-3*$A$39)/(AT171-3*$A$39)</f>
        <v>0.33769878391019642</v>
      </c>
      <c r="AX171" s="9">
        <f>(AV171-3*$A$40)/(AT171-3*$A$39)</f>
        <v>0.47708138447146864</v>
      </c>
      <c r="AY171" s="9">
        <f>1-AW171-AX171</f>
        <v>0.185219831618335</v>
      </c>
      <c r="AZ171" s="3">
        <f>AL171*AW171</f>
        <v>1222.7059603131927</v>
      </c>
      <c r="BA171" s="3">
        <f>AL171*AX171</f>
        <v>1727.368531190383</v>
      </c>
      <c r="BB171" s="3">
        <f>AZ171+BA171</f>
        <v>2950.0744915035757</v>
      </c>
      <c r="BC171" s="3">
        <f>AR171*AW171</f>
        <v>1157.6480031611416</v>
      </c>
      <c r="BD171" s="3">
        <f>AR171*AX171</f>
        <v>1635.4583978176793</v>
      </c>
      <c r="BE171" s="3">
        <f>BC171+BD171</f>
        <v>2793.1064009788206</v>
      </c>
      <c r="BF171" s="11">
        <f>Z172</f>
        <v>43077</v>
      </c>
      <c r="BG171" s="13">
        <f>AVERAGE(AA171:AA173)</f>
        <v>39</v>
      </c>
      <c r="BH171" s="7">
        <f t="shared" ref="BH171" si="229">AVERAGE(AB171:AB173)</f>
        <v>1.1299999999999999</v>
      </c>
      <c r="BI171" s="3">
        <f t="shared" ref="BI171" si="230">AVERAGE(AC171:AC173)</f>
        <v>81.099999999999994</v>
      </c>
      <c r="BJ171" s="3">
        <f t="shared" ref="BJ171" si="231">AVERAGE(AD171:AD173)</f>
        <v>32.200000000000003</v>
      </c>
      <c r="BK171" s="3">
        <f t="shared" ref="BK171" si="232">AVERAGE(AE171:AE173)</f>
        <v>6</v>
      </c>
      <c r="BL171" s="3">
        <f t="shared" ref="BL171" si="233">AVERAGE(AF171:AF173)</f>
        <v>9.6999999999999993</v>
      </c>
    </row>
    <row r="172" spans="1:64" x14ac:dyDescent="0.25">
      <c r="A172">
        <v>125</v>
      </c>
      <c r="B172" s="1" t="s">
        <v>177</v>
      </c>
      <c r="C172" s="1" t="s">
        <v>32</v>
      </c>
      <c r="D172" s="2">
        <v>43047</v>
      </c>
      <c r="E172" s="3">
        <v>14.8</v>
      </c>
      <c r="F172" s="4">
        <f t="shared" si="121"/>
        <v>3218.895984251968</v>
      </c>
      <c r="G172" s="7">
        <v>9.6999999999999993</v>
      </c>
      <c r="H172" s="7">
        <v>102.99</v>
      </c>
      <c r="I172" s="7">
        <f t="shared" si="133"/>
        <v>93.289999999999992</v>
      </c>
      <c r="J172" s="7">
        <v>88.57</v>
      </c>
      <c r="K172" s="5">
        <f t="shared" si="122"/>
        <v>5.0594919069568007</v>
      </c>
      <c r="L172" s="4">
        <f t="shared" si="123"/>
        <v>3056.0362024353822</v>
      </c>
      <c r="M172" s="2">
        <v>43054</v>
      </c>
      <c r="N172" s="7">
        <v>6.53</v>
      </c>
      <c r="O172" s="7">
        <v>2.2999999999999998</v>
      </c>
      <c r="P172" s="7">
        <v>4.74</v>
      </c>
      <c r="Q172" s="6">
        <f t="shared" si="124"/>
        <v>0.33594976452119302</v>
      </c>
      <c r="R172" s="6">
        <f t="shared" si="125"/>
        <v>0.4803767660910519</v>
      </c>
      <c r="S172" s="6">
        <f t="shared" si="126"/>
        <v>0.18367346938775503</v>
      </c>
      <c r="T172" s="4">
        <f t="shared" si="127"/>
        <v>1081.3873479276624</v>
      </c>
      <c r="U172" s="4">
        <f t="shared" si="128"/>
        <v>1546.2828432984338</v>
      </c>
      <c r="V172" s="4">
        <f t="shared" si="129"/>
        <v>2627.670191226096</v>
      </c>
      <c r="W172" s="4">
        <f t="shared" si="130"/>
        <v>1026.6746425764077</v>
      </c>
      <c r="X172" s="4">
        <f t="shared" si="131"/>
        <v>1468.048787983088</v>
      </c>
      <c r="Y172" s="4">
        <f t="shared" si="132"/>
        <v>2494.7234305594957</v>
      </c>
      <c r="Z172" s="10">
        <v>43077</v>
      </c>
      <c r="AA172" s="12">
        <v>39</v>
      </c>
      <c r="AB172" s="5">
        <v>1.1299999999999999</v>
      </c>
      <c r="AC172" s="4">
        <v>81.099999999999994</v>
      </c>
      <c r="AD172" s="4">
        <v>32.200000000000003</v>
      </c>
      <c r="AE172" s="4">
        <v>6</v>
      </c>
      <c r="AF172" s="4">
        <v>9.6999999999999993</v>
      </c>
      <c r="AK172" s="3"/>
      <c r="AL172" s="3"/>
      <c r="AM172" s="7"/>
      <c r="AN172" s="7"/>
      <c r="AO172" s="7"/>
      <c r="AP172" s="7"/>
      <c r="AQ172" s="7"/>
      <c r="AR172" s="3"/>
      <c r="AS172" s="3"/>
      <c r="AT172" s="7"/>
      <c r="AU172" s="7"/>
      <c r="AV172" s="7"/>
      <c r="AW172" s="9"/>
      <c r="AX172" s="9"/>
      <c r="AY172" s="9"/>
      <c r="AZ172" s="3"/>
      <c r="BA172" s="3"/>
      <c r="BB172" s="3"/>
      <c r="BC172" s="3"/>
      <c r="BD172" s="3"/>
      <c r="BE172" s="3"/>
      <c r="BG172" s="13"/>
      <c r="BH172" s="7"/>
      <c r="BI172" s="3"/>
      <c r="BJ172" s="3"/>
      <c r="BK172" s="3"/>
      <c r="BL172" s="3"/>
    </row>
    <row r="173" spans="1:64" x14ac:dyDescent="0.25">
      <c r="A173">
        <v>126</v>
      </c>
      <c r="B173" s="1" t="s">
        <v>178</v>
      </c>
      <c r="C173" s="1" t="s">
        <v>32</v>
      </c>
      <c r="D173" s="2">
        <v>43047</v>
      </c>
      <c r="E173" s="3">
        <v>18</v>
      </c>
      <c r="F173" s="4">
        <f t="shared" si="121"/>
        <v>3933.2140944881894</v>
      </c>
      <c r="G173" s="7">
        <v>9.69</v>
      </c>
      <c r="H173" s="7">
        <v>135.91</v>
      </c>
      <c r="I173" s="7">
        <f t="shared" si="133"/>
        <v>126.22</v>
      </c>
      <c r="J173" s="7">
        <v>119.49</v>
      </c>
      <c r="K173" s="5">
        <f t="shared" si="122"/>
        <v>5.3319600697195408</v>
      </c>
      <c r="L173" s="4">
        <f t="shared" si="123"/>
        <v>3723.496689513498</v>
      </c>
      <c r="M173" s="2">
        <v>43054</v>
      </c>
      <c r="N173" s="7">
        <v>7.91</v>
      </c>
      <c r="O173" s="7">
        <v>2.78</v>
      </c>
      <c r="P173" s="7">
        <v>5.36</v>
      </c>
      <c r="Q173" s="6">
        <f t="shared" si="124"/>
        <v>0.33806451612903221</v>
      </c>
      <c r="R173" s="6">
        <f t="shared" si="125"/>
        <v>0.47483870967741942</v>
      </c>
      <c r="S173" s="6">
        <f t="shared" si="126"/>
        <v>0.18709677419354837</v>
      </c>
      <c r="T173" s="4">
        <f t="shared" si="127"/>
        <v>1329.6801196850392</v>
      </c>
      <c r="U173" s="4">
        <f t="shared" si="128"/>
        <v>1867.6423055118114</v>
      </c>
      <c r="V173" s="4">
        <f t="shared" si="129"/>
        <v>3197.3224251968504</v>
      </c>
      <c r="W173" s="4">
        <f t="shared" si="130"/>
        <v>1258.7821066484339</v>
      </c>
      <c r="X173" s="4">
        <f t="shared" si="131"/>
        <v>1768.0603635367322</v>
      </c>
      <c r="Y173" s="4">
        <f t="shared" si="132"/>
        <v>3026.8424701851663</v>
      </c>
      <c r="Z173" s="10"/>
      <c r="AA173" s="12"/>
      <c r="AB173" s="5"/>
      <c r="AC173" s="4"/>
      <c r="AD173" s="4"/>
      <c r="AE173" s="4"/>
      <c r="AF173" s="4"/>
      <c r="AK173" s="3"/>
      <c r="AL173" s="3"/>
      <c r="AM173" s="7"/>
      <c r="AN173" s="7"/>
      <c r="AO173" s="7"/>
      <c r="AP173" s="7"/>
      <c r="AQ173" s="7"/>
      <c r="AR173" s="3"/>
      <c r="AS173" s="3"/>
      <c r="AT173" s="7"/>
      <c r="AU173" s="7"/>
      <c r="AV173" s="7"/>
      <c r="AW173" s="9"/>
      <c r="AX173" s="9"/>
      <c r="AY173" s="9"/>
      <c r="AZ173" s="3"/>
      <c r="BA173" s="3"/>
      <c r="BB173" s="3"/>
      <c r="BC173" s="3"/>
      <c r="BD173" s="3"/>
      <c r="BE173" s="3"/>
      <c r="BG173" s="13"/>
      <c r="BH173" s="7"/>
      <c r="BI173" s="3"/>
      <c r="BJ173" s="3"/>
      <c r="BK173" s="3"/>
      <c r="BL173" s="3"/>
    </row>
    <row r="174" spans="1:64" x14ac:dyDescent="0.25">
      <c r="A174">
        <v>127</v>
      </c>
      <c r="B174" s="1" t="s">
        <v>179</v>
      </c>
      <c r="C174" s="1" t="s">
        <v>32</v>
      </c>
      <c r="D174" s="2">
        <v>43047</v>
      </c>
      <c r="E174" s="3">
        <v>18.2</v>
      </c>
      <c r="F174" s="4">
        <f t="shared" si="121"/>
        <v>3977.8589763779528</v>
      </c>
      <c r="G174" s="7">
        <v>9.7100000000000009</v>
      </c>
      <c r="H174" s="7">
        <v>162.88</v>
      </c>
      <c r="I174" s="7">
        <f t="shared" si="133"/>
        <v>153.16999999999999</v>
      </c>
      <c r="J174" s="7">
        <v>145.84</v>
      </c>
      <c r="K174" s="5">
        <f t="shared" si="122"/>
        <v>4.7855324149637557</v>
      </c>
      <c r="L174" s="4">
        <f t="shared" si="123"/>
        <v>3787.4972456418404</v>
      </c>
      <c r="M174" s="2">
        <v>43054</v>
      </c>
      <c r="N174" s="7">
        <v>7.98</v>
      </c>
      <c r="O174" s="7">
        <v>2.9</v>
      </c>
      <c r="P174" s="7">
        <v>5.4</v>
      </c>
      <c r="Q174" s="6">
        <f t="shared" si="124"/>
        <v>0.35038363171355497</v>
      </c>
      <c r="R174" s="6">
        <f t="shared" si="125"/>
        <v>0.47570332480818422</v>
      </c>
      <c r="S174" s="6">
        <f t="shared" si="126"/>
        <v>0.17391304347826086</v>
      </c>
      <c r="T174" s="4">
        <f t="shared" si="127"/>
        <v>1393.7766745876713</v>
      </c>
      <c r="U174" s="4">
        <f t="shared" si="128"/>
        <v>1892.2807406810725</v>
      </c>
      <c r="V174" s="4">
        <f t="shared" si="129"/>
        <v>3286.0574152687441</v>
      </c>
      <c r="W174" s="4">
        <f t="shared" si="130"/>
        <v>1327.0770400330744</v>
      </c>
      <c r="X174" s="4">
        <f t="shared" si="131"/>
        <v>1801.7250324536635</v>
      </c>
      <c r="Y174" s="4">
        <f t="shared" si="132"/>
        <v>3128.8020724867379</v>
      </c>
      <c r="Z174" s="10"/>
      <c r="AA174" s="12"/>
      <c r="AB174" s="5"/>
      <c r="AC174" s="4"/>
      <c r="AD174" s="4"/>
      <c r="AE174" s="4"/>
      <c r="AF174" s="4"/>
      <c r="AH174" t="s">
        <v>289</v>
      </c>
      <c r="AI174" t="s">
        <v>32</v>
      </c>
      <c r="AJ174" s="8">
        <f>D174</f>
        <v>43047</v>
      </c>
      <c r="AK174" s="3">
        <f>SUM(E174:E176)</f>
        <v>54.7</v>
      </c>
      <c r="AL174" s="3">
        <f>(AK174-3*$A$35)*$A$36/(3*$A$37)*$A$38</f>
        <v>3985.2997900262467</v>
      </c>
      <c r="AM174" s="7">
        <f>SUM(G174:G176)</f>
        <v>29.14</v>
      </c>
      <c r="AN174" s="7">
        <f>SUM(H174:H176)</f>
        <v>465.98</v>
      </c>
      <c r="AO174" s="7">
        <f>AN174-AM174</f>
        <v>436.84000000000003</v>
      </c>
      <c r="AP174" s="7">
        <f>SUM(J174:J176)</f>
        <v>414.61</v>
      </c>
      <c r="AQ174" s="7">
        <f>(AO174-AP174)/AO174*100</f>
        <v>5.0888197051552089</v>
      </c>
      <c r="AR174" s="3">
        <f>AL174*(1-AQ174/100)</f>
        <v>3782.4950690018818</v>
      </c>
      <c r="AS174" s="11">
        <f>M174</f>
        <v>43054</v>
      </c>
      <c r="AT174" s="7">
        <f>SUM(N174:N176)</f>
        <v>24</v>
      </c>
      <c r="AU174" s="7">
        <f>SUM(O174:O176)</f>
        <v>8.86</v>
      </c>
      <c r="AV174" s="7">
        <f>SUM(P174:P176)</f>
        <v>16.3</v>
      </c>
      <c r="AW174" s="9">
        <f>(AU174-3*$A$39)/(AT174-3*$A$39)</f>
        <v>0.3562925170068027</v>
      </c>
      <c r="AX174" s="9">
        <f>(AV174-3*$A$40)/(AT174-3*$A$39)</f>
        <v>0.47874149659863952</v>
      </c>
      <c r="AY174" s="9">
        <f>1-AW174-AX174</f>
        <v>0.16496598639455773</v>
      </c>
      <c r="AZ174" s="3">
        <f>AL174*AW174</f>
        <v>1419.9324932151337</v>
      </c>
      <c r="BA174" s="3">
        <f>AL174*AX174</f>
        <v>1907.9283858714091</v>
      </c>
      <c r="BB174" s="3">
        <f>AZ174+BA174</f>
        <v>3327.8608790865428</v>
      </c>
      <c r="BC174" s="3">
        <f>AR174*AW174</f>
        <v>1347.6746887005004</v>
      </c>
      <c r="BD174" s="3">
        <f>AR174*AX174</f>
        <v>1810.837350210935</v>
      </c>
      <c r="BE174" s="3">
        <f>BC174+BD174</f>
        <v>3158.5120389114354</v>
      </c>
      <c r="BF174" s="11">
        <f>Z175</f>
        <v>43077</v>
      </c>
      <c r="BG174" s="13">
        <f>AVERAGE(AA174:AA176)</f>
        <v>49</v>
      </c>
      <c r="BH174" s="7">
        <f t="shared" ref="BH174" si="234">AVERAGE(AB174:AB176)</f>
        <v>1.1200000000000001</v>
      </c>
      <c r="BI174" s="3">
        <f t="shared" ref="BI174" si="235">AVERAGE(AC174:AC176)</f>
        <v>79.8</v>
      </c>
      <c r="BJ174" s="3">
        <f t="shared" ref="BJ174" si="236">AVERAGE(AD174:AD176)</f>
        <v>30.6</v>
      </c>
      <c r="BK174" s="3">
        <f t="shared" ref="BK174" si="237">AVERAGE(AE174:AE176)</f>
        <v>5.8</v>
      </c>
      <c r="BL174" s="3">
        <f t="shared" ref="BL174" si="238">AVERAGE(AF174:AF176)</f>
        <v>10.5</v>
      </c>
    </row>
    <row r="175" spans="1:64" x14ac:dyDescent="0.25">
      <c r="A175">
        <v>128</v>
      </c>
      <c r="B175" s="1" t="s">
        <v>180</v>
      </c>
      <c r="C175" s="1" t="s">
        <v>32</v>
      </c>
      <c r="D175" s="2">
        <v>43047</v>
      </c>
      <c r="E175" s="3">
        <v>18.8</v>
      </c>
      <c r="F175" s="4">
        <f t="shared" si="121"/>
        <v>4111.7936220472438</v>
      </c>
      <c r="G175" s="7">
        <v>9.7200000000000006</v>
      </c>
      <c r="H175" s="7">
        <v>129.94</v>
      </c>
      <c r="I175" s="7">
        <f t="shared" si="133"/>
        <v>120.22</v>
      </c>
      <c r="J175" s="7">
        <v>114.45</v>
      </c>
      <c r="K175" s="5">
        <f t="shared" si="122"/>
        <v>4.7995341873232373</v>
      </c>
      <c r="L175" s="4">
        <f t="shared" si="123"/>
        <v>3914.4466814449097</v>
      </c>
      <c r="M175" s="2">
        <v>43054</v>
      </c>
      <c r="N175" s="7">
        <v>8.27</v>
      </c>
      <c r="O175" s="7">
        <v>3.06</v>
      </c>
      <c r="P175" s="7">
        <v>5.58</v>
      </c>
      <c r="Q175" s="6">
        <f t="shared" si="124"/>
        <v>0.35758323057953145</v>
      </c>
      <c r="R175" s="6">
        <f t="shared" si="125"/>
        <v>0.48088779284833549</v>
      </c>
      <c r="S175" s="6">
        <f t="shared" si="126"/>
        <v>0.16152897657213305</v>
      </c>
      <c r="T175" s="4">
        <f t="shared" si="127"/>
        <v>1470.3084468479665</v>
      </c>
      <c r="U175" s="4">
        <f t="shared" si="128"/>
        <v>1977.311359554162</v>
      </c>
      <c r="V175" s="4">
        <f t="shared" si="129"/>
        <v>3447.6198064021282</v>
      </c>
      <c r="W175" s="4">
        <f t="shared" si="130"/>
        <v>1399.7404902823969</v>
      </c>
      <c r="X175" s="4">
        <f t="shared" si="131"/>
        <v>1882.409624862534</v>
      </c>
      <c r="Y175" s="4">
        <f t="shared" si="132"/>
        <v>3282.1501151449311</v>
      </c>
      <c r="Z175" s="10">
        <v>43077</v>
      </c>
      <c r="AA175" s="12">
        <v>49</v>
      </c>
      <c r="AB175" s="5">
        <v>1.1200000000000001</v>
      </c>
      <c r="AC175" s="4">
        <v>79.8</v>
      </c>
      <c r="AD175" s="4">
        <v>30.6</v>
      </c>
      <c r="AE175" s="4">
        <v>5.8</v>
      </c>
      <c r="AF175" s="4">
        <v>10.5</v>
      </c>
      <c r="AK175" s="3"/>
      <c r="AL175" s="3"/>
      <c r="AM175" s="7"/>
      <c r="AN175" s="7"/>
      <c r="AO175" s="7"/>
      <c r="AP175" s="7"/>
      <c r="AQ175" s="7"/>
      <c r="AR175" s="3"/>
      <c r="AS175" s="3"/>
      <c r="AT175" s="7"/>
      <c r="AU175" s="7"/>
      <c r="AV175" s="7"/>
      <c r="AW175" s="9"/>
      <c r="AX175" s="9"/>
      <c r="AY175" s="9"/>
      <c r="AZ175" s="3"/>
      <c r="BA175" s="3"/>
      <c r="BB175" s="3"/>
      <c r="BC175" s="3"/>
      <c r="BD175" s="3"/>
      <c r="BE175" s="3"/>
      <c r="BG175" s="13"/>
      <c r="BH175" s="7"/>
      <c r="BI175" s="3"/>
      <c r="BJ175" s="3"/>
      <c r="BK175" s="3"/>
      <c r="BL175" s="3"/>
    </row>
    <row r="176" spans="1:64" x14ac:dyDescent="0.25">
      <c r="A176">
        <v>129</v>
      </c>
      <c r="B176" s="1" t="s">
        <v>181</v>
      </c>
      <c r="C176" s="1" t="s">
        <v>32</v>
      </c>
      <c r="D176" s="2">
        <v>43047</v>
      </c>
      <c r="E176" s="3">
        <v>17.7</v>
      </c>
      <c r="F176" s="4">
        <f t="shared" si="121"/>
        <v>3866.2467716535439</v>
      </c>
      <c r="G176" s="7">
        <v>9.7100000000000009</v>
      </c>
      <c r="H176" s="7">
        <v>173.16</v>
      </c>
      <c r="I176" s="7">
        <f t="shared" si="133"/>
        <v>163.44999999999999</v>
      </c>
      <c r="J176" s="7">
        <v>154.32</v>
      </c>
      <c r="K176" s="5">
        <f t="shared" si="122"/>
        <v>5.5858060568981314</v>
      </c>
      <c r="L176" s="4">
        <f t="shared" si="123"/>
        <v>3650.2857253078914</v>
      </c>
      <c r="M176" s="2">
        <v>43054</v>
      </c>
      <c r="N176" s="7">
        <v>7.75</v>
      </c>
      <c r="O176" s="7">
        <v>2.9</v>
      </c>
      <c r="P176" s="7">
        <v>5.32</v>
      </c>
      <c r="Q176" s="6">
        <f t="shared" si="124"/>
        <v>0.36100131752305664</v>
      </c>
      <c r="R176" s="6">
        <f t="shared" si="125"/>
        <v>0.47957839262187096</v>
      </c>
      <c r="S176" s="6">
        <f t="shared" si="126"/>
        <v>0.15942028985507239</v>
      </c>
      <c r="T176" s="4">
        <f t="shared" si="127"/>
        <v>1395.7201784361937</v>
      </c>
      <c r="U176" s="4">
        <f t="shared" si="128"/>
        <v>1854.1684122291044</v>
      </c>
      <c r="V176" s="4">
        <f t="shared" si="129"/>
        <v>3249.8885906652981</v>
      </c>
      <c r="W176" s="4">
        <f t="shared" si="130"/>
        <v>1317.7579561717553</v>
      </c>
      <c r="X176" s="4">
        <f t="shared" si="131"/>
        <v>1750.598160753719</v>
      </c>
      <c r="Y176" s="4">
        <f t="shared" si="132"/>
        <v>3068.3561169254745</v>
      </c>
      <c r="Z176" s="10"/>
      <c r="AA176" s="12"/>
      <c r="AB176" s="5"/>
      <c r="AC176" s="4"/>
      <c r="AD176" s="4"/>
      <c r="AE176" s="4"/>
      <c r="AF176" s="4"/>
      <c r="AK176" s="3"/>
      <c r="AL176" s="3"/>
      <c r="AM176" s="7"/>
      <c r="AN176" s="7"/>
      <c r="AO176" s="7"/>
      <c r="AP176" s="7"/>
      <c r="AQ176" s="7"/>
      <c r="AR176" s="3"/>
      <c r="AS176" s="3"/>
      <c r="AT176" s="7"/>
      <c r="AU176" s="7"/>
      <c r="AV176" s="7"/>
      <c r="AW176" s="9"/>
      <c r="AX176" s="9"/>
      <c r="AY176" s="9"/>
      <c r="AZ176" s="3"/>
      <c r="BA176" s="3"/>
      <c r="BB176" s="3"/>
      <c r="BC176" s="3"/>
      <c r="BD176" s="3"/>
      <c r="BE176" s="3"/>
      <c r="BG176" s="13"/>
      <c r="BH176" s="7"/>
      <c r="BI176" s="3"/>
      <c r="BJ176" s="3"/>
      <c r="BK176" s="3"/>
      <c r="BL176" s="3"/>
    </row>
    <row r="177" spans="1:64" x14ac:dyDescent="0.25">
      <c r="A177">
        <v>130</v>
      </c>
      <c r="B177" s="1" t="s">
        <v>182</v>
      </c>
      <c r="C177" s="1" t="s">
        <v>32</v>
      </c>
      <c r="D177" s="2">
        <v>43047</v>
      </c>
      <c r="E177" s="3">
        <v>18.600000000000001</v>
      </c>
      <c r="F177" s="4">
        <f t="shared" ref="F177:F239" si="239">(E177-$A$35)*$A$36/$A$37*$A$38</f>
        <v>4067.1487401574814</v>
      </c>
      <c r="G177" s="7">
        <v>9.68</v>
      </c>
      <c r="H177" s="7">
        <v>159.25</v>
      </c>
      <c r="I177" s="7">
        <f t="shared" si="133"/>
        <v>149.57</v>
      </c>
      <c r="J177" s="7">
        <v>142.74</v>
      </c>
      <c r="K177" s="5">
        <f t="shared" ref="K177:K239" si="240">(I177-J177)/I177*100</f>
        <v>4.5664237480778125</v>
      </c>
      <c r="L177" s="4">
        <f t="shared" ref="L177:L239" si="241">F177*(1-K177/100)</f>
        <v>3881.4254942172829</v>
      </c>
      <c r="M177" s="2">
        <v>43054</v>
      </c>
      <c r="N177" s="7">
        <v>8.1300000000000008</v>
      </c>
      <c r="O177" s="7">
        <v>2.96</v>
      </c>
      <c r="P177" s="7">
        <v>5.48</v>
      </c>
      <c r="Q177" s="6">
        <f t="shared" ref="Q177:Q239" si="242">(O177-$A$39)/(N177-$A$39)</f>
        <v>0.35131744040150559</v>
      </c>
      <c r="R177" s="6">
        <f t="shared" ref="R177:R239" si="243">(P177-$A$40)/(N177-$A$39)</f>
        <v>0.47678795483061487</v>
      </c>
      <c r="S177" s="6">
        <f t="shared" ref="S177:S239" si="244">1-Q177-R177</f>
        <v>0.17189460476787954</v>
      </c>
      <c r="T177" s="4">
        <f t="shared" ref="T177:T239" si="245">F177*Q177</f>
        <v>1428.8602851243345</v>
      </c>
      <c r="U177" s="4">
        <f t="shared" ref="U177:U239" si="246">F177*R177</f>
        <v>1939.1675298115974</v>
      </c>
      <c r="V177" s="4">
        <f t="shared" ref="V177:V239" si="247">T177+U177</f>
        <v>3368.0278149359319</v>
      </c>
      <c r="W177" s="4">
        <f t="shared" ref="W177:W239" si="248">L177*Q177</f>
        <v>1363.6124697375647</v>
      </c>
      <c r="X177" s="4">
        <f t="shared" ref="X177:X239" si="249">L177*R177</f>
        <v>1850.616923215267</v>
      </c>
      <c r="Y177" s="4">
        <f t="shared" ref="Y177:Y239" si="250">W177+X177</f>
        <v>3214.2293929528314</v>
      </c>
      <c r="Z177" s="10"/>
      <c r="AA177" s="12"/>
      <c r="AB177" s="5"/>
      <c r="AC177" s="4"/>
      <c r="AD177" s="4"/>
      <c r="AE177" s="4"/>
      <c r="AF177" s="4"/>
      <c r="AH177" t="s">
        <v>290</v>
      </c>
      <c r="AI177" t="s">
        <v>32</v>
      </c>
      <c r="AJ177" s="8">
        <f>D177</f>
        <v>43047</v>
      </c>
      <c r="AK177" s="3">
        <f>SUM(E177:E179)</f>
        <v>49.5</v>
      </c>
      <c r="AL177" s="3">
        <f>(AK177-3*$A$35)*$A$36/(3*$A$37)*$A$38</f>
        <v>3598.3774803149604</v>
      </c>
      <c r="AM177" s="7">
        <f>SUM(G177:G179)</f>
        <v>29.14</v>
      </c>
      <c r="AN177" s="7">
        <f>SUM(H177:H179)</f>
        <v>497.96000000000004</v>
      </c>
      <c r="AO177" s="7">
        <f>AN177-AM177</f>
        <v>468.82000000000005</v>
      </c>
      <c r="AP177" s="7">
        <f>SUM(J177:J179)</f>
        <v>445.25</v>
      </c>
      <c r="AQ177" s="7">
        <f>(AO177-AP177)/AO177*100</f>
        <v>5.0275158909602933</v>
      </c>
      <c r="AR177" s="3">
        <f>AL177*(1-AQ177/100)</f>
        <v>3417.4684806753894</v>
      </c>
      <c r="AS177" s="11">
        <f>M177</f>
        <v>43054</v>
      </c>
      <c r="AT177" s="7">
        <f>SUM(N177:N179)</f>
        <v>21.66</v>
      </c>
      <c r="AU177" s="7">
        <f>SUM(O177:O179)</f>
        <v>8</v>
      </c>
      <c r="AV177" s="7">
        <f>SUM(P177:P179)</f>
        <v>15.32</v>
      </c>
      <c r="AW177" s="9">
        <f>(AU177-3*$A$39)/(AT177-3*$A$39)</f>
        <v>0.35505193578847966</v>
      </c>
      <c r="AX177" s="9">
        <f>(AV177-3*$A$40)/(AT177-3*$A$39)</f>
        <v>0.48536355051935792</v>
      </c>
      <c r="AY177" s="9">
        <f>1-AW177-AX177</f>
        <v>0.15958451369216248</v>
      </c>
      <c r="AZ177" s="3">
        <f>AL177*AW177</f>
        <v>1277.6108900834986</v>
      </c>
      <c r="BA177" s="3">
        <f>AL177*AX177</f>
        <v>1746.5212699545702</v>
      </c>
      <c r="BB177" s="3">
        <f>AZ177+BA177</f>
        <v>3024.1321600380688</v>
      </c>
      <c r="BC177" s="3">
        <f>AR177*AW177</f>
        <v>1213.3787995599114</v>
      </c>
      <c r="BD177" s="3">
        <f>AR177*AX177</f>
        <v>1658.7146355686027</v>
      </c>
      <c r="BE177" s="3">
        <f>BC177+BD177</f>
        <v>2872.0934351285141</v>
      </c>
      <c r="BF177" s="11">
        <f>Z178</f>
        <v>43077</v>
      </c>
      <c r="BG177" s="13">
        <f>AVERAGE(AA177:AA179)</f>
        <v>49</v>
      </c>
      <c r="BH177" s="7">
        <f t="shared" ref="BH177" si="251">AVERAGE(AB177:AB179)</f>
        <v>1.04</v>
      </c>
      <c r="BI177" s="3">
        <f t="shared" ref="BI177" si="252">AVERAGE(AC177:AC179)</f>
        <v>79.099999999999994</v>
      </c>
      <c r="BJ177" s="3">
        <f t="shared" ref="BJ177" si="253">AVERAGE(AD177:AD179)</f>
        <v>28.9</v>
      </c>
      <c r="BK177" s="3">
        <f t="shared" ref="BK177" si="254">AVERAGE(AE177:AE179)</f>
        <v>6.1</v>
      </c>
      <c r="BL177" s="3">
        <f t="shared" ref="BL177" si="255">AVERAGE(AF177:AF179)</f>
        <v>11.8</v>
      </c>
    </row>
    <row r="178" spans="1:64" x14ac:dyDescent="0.25">
      <c r="A178">
        <v>131</v>
      </c>
      <c r="B178" s="1" t="s">
        <v>183</v>
      </c>
      <c r="C178" s="1" t="s">
        <v>32</v>
      </c>
      <c r="D178" s="2">
        <v>43047</v>
      </c>
      <c r="E178" s="3">
        <v>13</v>
      </c>
      <c r="F178" s="4">
        <f t="shared" si="239"/>
        <v>2817.0920472440939</v>
      </c>
      <c r="G178" s="7">
        <v>9.7100000000000009</v>
      </c>
      <c r="H178" s="7">
        <v>144.11000000000001</v>
      </c>
      <c r="I178" s="7">
        <f t="shared" ref="I178:I239" si="256">H178-G178</f>
        <v>134.4</v>
      </c>
      <c r="J178" s="7">
        <v>127.93</v>
      </c>
      <c r="K178" s="5">
        <f t="shared" si="240"/>
        <v>4.813988095238094</v>
      </c>
      <c r="L178" s="4">
        <f t="shared" si="241"/>
        <v>2681.4775714578641</v>
      </c>
      <c r="M178" s="2">
        <v>43054</v>
      </c>
      <c r="N178" s="7">
        <v>5.68</v>
      </c>
      <c r="O178" s="7">
        <v>2.12</v>
      </c>
      <c r="P178" s="7">
        <v>4.38</v>
      </c>
      <c r="Q178" s="6">
        <f t="shared" si="242"/>
        <v>0.35507246376811602</v>
      </c>
      <c r="R178" s="6">
        <f t="shared" si="243"/>
        <v>0.48913043478260876</v>
      </c>
      <c r="S178" s="6">
        <f t="shared" si="244"/>
        <v>0.15579710144927528</v>
      </c>
      <c r="T178" s="4">
        <f t="shared" si="245"/>
        <v>1000.2718138765263</v>
      </c>
      <c r="U178" s="4">
        <f t="shared" si="246"/>
        <v>1377.925457891133</v>
      </c>
      <c r="V178" s="4">
        <f t="shared" si="247"/>
        <v>2378.197271767659</v>
      </c>
      <c r="W178" s="4">
        <f t="shared" si="248"/>
        <v>952.11884783648816</v>
      </c>
      <c r="X178" s="4">
        <f t="shared" si="249"/>
        <v>1311.5922903869989</v>
      </c>
      <c r="Y178" s="4">
        <f t="shared" si="250"/>
        <v>2263.7111382234871</v>
      </c>
      <c r="Z178" s="10">
        <v>43077</v>
      </c>
      <c r="AA178" s="12">
        <v>49</v>
      </c>
      <c r="AB178" s="5">
        <v>1.04</v>
      </c>
      <c r="AC178" s="4">
        <v>79.099999999999994</v>
      </c>
      <c r="AD178" s="4">
        <v>28.9</v>
      </c>
      <c r="AE178" s="4">
        <v>6.1</v>
      </c>
      <c r="AF178" s="4">
        <v>11.8</v>
      </c>
      <c r="AK178" s="3"/>
      <c r="AL178" s="3"/>
      <c r="AM178" s="7"/>
      <c r="AN178" s="7"/>
      <c r="AO178" s="7"/>
      <c r="AP178" s="7"/>
      <c r="AQ178" s="7"/>
      <c r="AR178" s="3"/>
      <c r="AS178" s="3"/>
      <c r="AT178" s="7"/>
      <c r="AU178" s="7"/>
      <c r="AV178" s="7"/>
      <c r="AW178" s="9"/>
      <c r="AX178" s="9"/>
      <c r="AY178" s="9"/>
      <c r="AZ178" s="3"/>
      <c r="BA178" s="3"/>
      <c r="BB178" s="3"/>
      <c r="BC178" s="3"/>
      <c r="BD178" s="3"/>
      <c r="BE178" s="3"/>
      <c r="BG178" s="13"/>
      <c r="BH178" s="7"/>
      <c r="BI178" s="3"/>
      <c r="BJ178" s="3"/>
      <c r="BK178" s="3"/>
      <c r="BL178" s="3"/>
    </row>
    <row r="179" spans="1:64" x14ac:dyDescent="0.25">
      <c r="A179">
        <v>132</v>
      </c>
      <c r="B179" s="1" t="s">
        <v>184</v>
      </c>
      <c r="C179" s="1" t="s">
        <v>32</v>
      </c>
      <c r="D179" s="2">
        <v>43047</v>
      </c>
      <c r="E179" s="3">
        <v>17.899999999999999</v>
      </c>
      <c r="F179" s="4">
        <f t="shared" si="239"/>
        <v>3910.8916535433068</v>
      </c>
      <c r="G179" s="7">
        <v>9.75</v>
      </c>
      <c r="H179" s="7">
        <v>194.6</v>
      </c>
      <c r="I179" s="7">
        <f t="shared" si="256"/>
        <v>184.85</v>
      </c>
      <c r="J179" s="7">
        <v>174.58</v>
      </c>
      <c r="K179" s="5">
        <f t="shared" si="240"/>
        <v>5.5558560995401578</v>
      </c>
      <c r="L179" s="4">
        <f t="shared" si="241"/>
        <v>3693.6081410635143</v>
      </c>
      <c r="M179" s="2">
        <v>43054</v>
      </c>
      <c r="N179" s="7">
        <v>7.85</v>
      </c>
      <c r="O179" s="7">
        <v>2.92</v>
      </c>
      <c r="P179" s="7">
        <v>5.46</v>
      </c>
      <c r="Q179" s="6">
        <f t="shared" si="242"/>
        <v>0.35890767230169052</v>
      </c>
      <c r="R179" s="6">
        <f t="shared" si="243"/>
        <v>0.49154746423927187</v>
      </c>
      <c r="S179" s="6">
        <f t="shared" si="244"/>
        <v>0.14954486345903761</v>
      </c>
      <c r="T179" s="4">
        <f t="shared" si="245"/>
        <v>1403.6490199973377</v>
      </c>
      <c r="U179" s="4">
        <f t="shared" si="246"/>
        <v>1922.3888752137455</v>
      </c>
      <c r="V179" s="4">
        <f t="shared" si="247"/>
        <v>3326.0378952110832</v>
      </c>
      <c r="W179" s="4">
        <f t="shared" si="248"/>
        <v>1325.66430030368</v>
      </c>
      <c r="X179" s="4">
        <f t="shared" si="249"/>
        <v>1815.5837156333012</v>
      </c>
      <c r="Y179" s="4">
        <f t="shared" si="250"/>
        <v>3141.2480159369811</v>
      </c>
      <c r="Z179" s="10"/>
      <c r="AA179" s="12"/>
      <c r="AB179" s="5"/>
      <c r="AC179" s="4"/>
      <c r="AD179" s="4"/>
      <c r="AE179" s="4"/>
      <c r="AF179" s="4"/>
      <c r="AK179" s="3"/>
      <c r="AL179" s="3"/>
      <c r="AM179" s="7"/>
      <c r="AN179" s="7"/>
      <c r="AO179" s="7"/>
      <c r="AP179" s="7"/>
      <c r="AQ179" s="7"/>
      <c r="AR179" s="3"/>
      <c r="AS179" s="3"/>
      <c r="AT179" s="7"/>
      <c r="AU179" s="7"/>
      <c r="AV179" s="7"/>
      <c r="AW179" s="9"/>
      <c r="AX179" s="9"/>
      <c r="AY179" s="9"/>
      <c r="AZ179" s="3"/>
      <c r="BA179" s="3"/>
      <c r="BB179" s="3"/>
      <c r="BC179" s="3"/>
      <c r="BD179" s="3"/>
      <c r="BE179" s="3"/>
      <c r="BG179" s="13"/>
      <c r="BH179" s="7"/>
      <c r="BI179" s="3"/>
      <c r="BJ179" s="3"/>
      <c r="BK179" s="3"/>
      <c r="BL179" s="3"/>
    </row>
    <row r="180" spans="1:64" x14ac:dyDescent="0.25">
      <c r="A180">
        <v>133</v>
      </c>
      <c r="B180" s="1" t="s">
        <v>185</v>
      </c>
      <c r="C180" s="1" t="s">
        <v>32</v>
      </c>
      <c r="D180" s="2">
        <v>43047</v>
      </c>
      <c r="E180" s="3">
        <v>22.1</v>
      </c>
      <c r="F180" s="4">
        <f t="shared" si="239"/>
        <v>4848.4341732283474</v>
      </c>
      <c r="G180" s="7">
        <v>9.73</v>
      </c>
      <c r="H180" s="7">
        <v>210.47</v>
      </c>
      <c r="I180" s="7">
        <f t="shared" si="256"/>
        <v>200.74</v>
      </c>
      <c r="J180" s="7">
        <v>189.98</v>
      </c>
      <c r="K180" s="5">
        <f t="shared" si="240"/>
        <v>5.3601673806914514</v>
      </c>
      <c r="L180" s="4">
        <f t="shared" si="241"/>
        <v>4588.5499862006645</v>
      </c>
      <c r="M180" s="2">
        <v>43054</v>
      </c>
      <c r="N180" s="7">
        <v>9.67</v>
      </c>
      <c r="O180" s="7">
        <v>3.42</v>
      </c>
      <c r="P180" s="7">
        <v>6.22</v>
      </c>
      <c r="Q180" s="6">
        <f t="shared" si="242"/>
        <v>0.34279705573080965</v>
      </c>
      <c r="R180" s="6">
        <f t="shared" si="243"/>
        <v>0.47739221871713988</v>
      </c>
      <c r="S180" s="6">
        <f t="shared" si="244"/>
        <v>0.17981072555205047</v>
      </c>
      <c r="T180" s="4">
        <f t="shared" si="245"/>
        <v>1662.0289594873198</v>
      </c>
      <c r="U180" s="4">
        <f t="shared" si="246"/>
        <v>2314.6047472614823</v>
      </c>
      <c r="V180" s="4">
        <f t="shared" si="247"/>
        <v>3976.6337067488021</v>
      </c>
      <c r="W180" s="4">
        <f t="shared" si="248"/>
        <v>1572.9414253432351</v>
      </c>
      <c r="X180" s="4">
        <f t="shared" si="249"/>
        <v>2190.5380586068368</v>
      </c>
      <c r="Y180" s="4">
        <f t="shared" si="250"/>
        <v>3763.4794839500719</v>
      </c>
      <c r="Z180" s="10"/>
      <c r="AA180" s="12"/>
      <c r="AB180" s="5"/>
      <c r="AC180" s="4"/>
      <c r="AD180" s="4"/>
      <c r="AE180" s="4"/>
      <c r="AF180" s="4"/>
      <c r="AH180" t="s">
        <v>292</v>
      </c>
      <c r="AI180" t="str">
        <f>C180</f>
        <v>Machine</v>
      </c>
      <c r="AJ180" s="8">
        <f>D180</f>
        <v>43047</v>
      </c>
      <c r="AK180" s="3">
        <f>SUM(E180:E182)</f>
        <v>64.300000000000011</v>
      </c>
      <c r="AL180" s="3">
        <f>(AK180-3*$A$35)*$A$36/(3*$A$37)*$A$38</f>
        <v>4699.6179002624676</v>
      </c>
      <c r="AM180" s="7">
        <f>SUM(G180:G182)</f>
        <v>29.190000000000005</v>
      </c>
      <c r="AN180" s="7">
        <f>SUM(H180:H182)</f>
        <v>554.48</v>
      </c>
      <c r="AO180" s="7">
        <f>AN180-AM180</f>
        <v>525.29</v>
      </c>
      <c r="AP180" s="7">
        <f>SUM(J180:J182)</f>
        <v>494.25</v>
      </c>
      <c r="AQ180" s="7">
        <f>(AO180-AP180)/AO180*100</f>
        <v>5.9091168687772404</v>
      </c>
      <c r="AR180" s="3">
        <f>AL180*(1-AQ180/100)</f>
        <v>4421.911986149983</v>
      </c>
      <c r="AS180" s="11">
        <f>M180</f>
        <v>43054</v>
      </c>
      <c r="AT180" s="7">
        <f>SUM(N180:N182)</f>
        <v>28.11</v>
      </c>
      <c r="AU180" s="7">
        <f>SUM(O180:O182)</f>
        <v>10.039999999999999</v>
      </c>
      <c r="AV180" s="7">
        <f>SUM(P180:P182)</f>
        <v>18.22</v>
      </c>
      <c r="AW180" s="9">
        <f>(AU180-3*$A$39)/(AT180-3*$A$39)</f>
        <v>0.3460007238508867</v>
      </c>
      <c r="AX180" s="9">
        <f>(AV180-3*$A$40)/(AT180-3*$A$39)</f>
        <v>0.47701773434672456</v>
      </c>
      <c r="AY180" s="9">
        <f>1-AW180-AX180</f>
        <v>0.17698154180238879</v>
      </c>
      <c r="AZ180" s="3">
        <f>AL180*AW180</f>
        <v>1626.071195313398</v>
      </c>
      <c r="BA180" s="3">
        <f>AL180*AX180</f>
        <v>2241.8010830785133</v>
      </c>
      <c r="BB180" s="3">
        <f>AZ180+BA180</f>
        <v>3867.8722783919111</v>
      </c>
      <c r="BC180" s="3">
        <f>AR180*AW180</f>
        <v>1529.9847480128062</v>
      </c>
      <c r="BD180" s="3">
        <f>AR180*AX180</f>
        <v>2109.3304371138897</v>
      </c>
      <c r="BE180" s="3">
        <f>BC180+BD180</f>
        <v>3639.3151851266957</v>
      </c>
      <c r="BF180" s="11">
        <f>Z181</f>
        <v>43077</v>
      </c>
      <c r="BG180" s="13">
        <f>AVERAGE(AA180:AA182)</f>
        <v>43</v>
      </c>
      <c r="BH180" s="7">
        <f t="shared" ref="BH180" si="257">AVERAGE(AB180:AB182)</f>
        <v>1.0900000000000001</v>
      </c>
      <c r="BI180" s="3">
        <f t="shared" ref="BI180" si="258">AVERAGE(AC180:AC182)</f>
        <v>79.3</v>
      </c>
      <c r="BJ180" s="3">
        <f t="shared" ref="BJ180" si="259">AVERAGE(AD180:AD182)</f>
        <v>30.7</v>
      </c>
      <c r="BK180" s="3">
        <f t="shared" ref="BK180" si="260">AVERAGE(AE180:AE182)</f>
        <v>6.2</v>
      </c>
      <c r="BL180" s="3">
        <f t="shared" ref="BL180" si="261">AVERAGE(AF180:AF182)</f>
        <v>10.9</v>
      </c>
    </row>
    <row r="181" spans="1:64" x14ac:dyDescent="0.25">
      <c r="A181">
        <v>134</v>
      </c>
      <c r="B181" s="1" t="s">
        <v>186</v>
      </c>
      <c r="C181" s="1" t="s">
        <v>32</v>
      </c>
      <c r="D181" s="2">
        <v>43047</v>
      </c>
      <c r="E181" s="3">
        <v>21.1</v>
      </c>
      <c r="F181" s="4">
        <f t="shared" si="239"/>
        <v>4625.2097637795277</v>
      </c>
      <c r="G181" s="7">
        <v>9.7200000000000006</v>
      </c>
      <c r="H181" s="7">
        <v>146.53</v>
      </c>
      <c r="I181" s="7">
        <f t="shared" si="256"/>
        <v>136.81</v>
      </c>
      <c r="J181" s="7">
        <v>129.36000000000001</v>
      </c>
      <c r="K181" s="5">
        <f t="shared" si="240"/>
        <v>5.445508369271244</v>
      </c>
      <c r="L181" s="4">
        <f t="shared" si="241"/>
        <v>4373.3435789965624</v>
      </c>
      <c r="M181" s="2">
        <v>43054</v>
      </c>
      <c r="N181" s="7">
        <v>9.26</v>
      </c>
      <c r="O181" s="7">
        <v>3.34</v>
      </c>
      <c r="P181" s="7">
        <v>6.06</v>
      </c>
      <c r="Q181" s="6">
        <f t="shared" si="242"/>
        <v>0.34945054945054943</v>
      </c>
      <c r="R181" s="6">
        <f t="shared" si="243"/>
        <v>0.48131868131868133</v>
      </c>
      <c r="S181" s="6">
        <f t="shared" si="244"/>
        <v>0.16923076923076924</v>
      </c>
      <c r="T181" s="4">
        <f t="shared" si="245"/>
        <v>1616.282093276802</v>
      </c>
      <c r="U181" s="4">
        <f t="shared" si="246"/>
        <v>2226.199864324652</v>
      </c>
      <c r="V181" s="4">
        <f t="shared" si="247"/>
        <v>3842.4819576014543</v>
      </c>
      <c r="W181" s="4">
        <f t="shared" si="248"/>
        <v>1528.2673166163811</v>
      </c>
      <c r="X181" s="4">
        <f t="shared" si="249"/>
        <v>2104.9719643961475</v>
      </c>
      <c r="Y181" s="4">
        <f t="shared" si="250"/>
        <v>3633.2392810125284</v>
      </c>
      <c r="Z181" s="10">
        <v>43077</v>
      </c>
      <c r="AA181" s="12">
        <v>43</v>
      </c>
      <c r="AB181" s="5">
        <v>1.0900000000000001</v>
      </c>
      <c r="AC181" s="4">
        <v>79.3</v>
      </c>
      <c r="AD181" s="4">
        <v>30.7</v>
      </c>
      <c r="AE181" s="4">
        <v>6.2</v>
      </c>
      <c r="AF181" s="4">
        <v>10.9</v>
      </c>
      <c r="AK181" s="3"/>
      <c r="AL181" s="3"/>
      <c r="AM181" s="7"/>
      <c r="AN181" s="7"/>
      <c r="AO181" s="7"/>
      <c r="AP181" s="7"/>
      <c r="AQ181" s="7"/>
      <c r="AR181" s="3"/>
      <c r="AS181" s="3"/>
      <c r="AT181" s="7"/>
      <c r="AU181" s="7"/>
      <c r="AV181" s="7"/>
      <c r="AW181" s="9"/>
      <c r="AX181" s="9"/>
      <c r="AY181" s="9"/>
      <c r="AZ181" s="3"/>
      <c r="BA181" s="3"/>
      <c r="BB181" s="3"/>
      <c r="BC181" s="3"/>
      <c r="BD181" s="3"/>
      <c r="BE181" s="3"/>
      <c r="BG181" s="13"/>
      <c r="BH181" s="7"/>
      <c r="BI181" s="3"/>
      <c r="BJ181" s="3"/>
      <c r="BK181" s="3"/>
      <c r="BL181" s="3"/>
    </row>
    <row r="182" spans="1:64" x14ac:dyDescent="0.25">
      <c r="A182">
        <v>135</v>
      </c>
      <c r="B182" s="1" t="s">
        <v>187</v>
      </c>
      <c r="C182" s="1" t="s">
        <v>32</v>
      </c>
      <c r="D182" s="2">
        <v>43047</v>
      </c>
      <c r="E182" s="3">
        <v>21.1</v>
      </c>
      <c r="F182" s="4">
        <f t="shared" si="239"/>
        <v>4625.2097637795277</v>
      </c>
      <c r="G182" s="7">
        <v>9.74</v>
      </c>
      <c r="H182" s="7">
        <v>197.48</v>
      </c>
      <c r="I182" s="7">
        <f t="shared" si="256"/>
        <v>187.73999999999998</v>
      </c>
      <c r="J182" s="7">
        <v>174.91</v>
      </c>
      <c r="K182" s="5">
        <f t="shared" si="240"/>
        <v>6.833919250026625</v>
      </c>
      <c r="L182" s="4">
        <f t="shared" si="241"/>
        <v>4309.126663378488</v>
      </c>
      <c r="M182" s="2">
        <v>43054</v>
      </c>
      <c r="N182" s="7">
        <v>9.18</v>
      </c>
      <c r="O182" s="7">
        <v>3.28</v>
      </c>
      <c r="P182" s="7">
        <v>5.94</v>
      </c>
      <c r="Q182" s="6">
        <f t="shared" si="242"/>
        <v>0.34589800443458979</v>
      </c>
      <c r="R182" s="6">
        <f t="shared" si="243"/>
        <v>0.4722838137472285</v>
      </c>
      <c r="S182" s="6">
        <f t="shared" si="244"/>
        <v>0.18181818181818166</v>
      </c>
      <c r="T182" s="4">
        <f t="shared" si="245"/>
        <v>1599.850827382719</v>
      </c>
      <c r="U182" s="4">
        <f t="shared" si="246"/>
        <v>2184.4117066187132</v>
      </c>
      <c r="V182" s="4">
        <f t="shared" si="247"/>
        <v>3784.262534001432</v>
      </c>
      <c r="W182" s="4">
        <f t="shared" si="248"/>
        <v>1490.5183137185013</v>
      </c>
      <c r="X182" s="4">
        <f t="shared" si="249"/>
        <v>2035.1307745002621</v>
      </c>
      <c r="Y182" s="4">
        <f t="shared" si="250"/>
        <v>3525.6490882187636</v>
      </c>
      <c r="Z182" s="10"/>
      <c r="AA182" s="12"/>
      <c r="AB182" s="5"/>
      <c r="AC182" s="4"/>
      <c r="AD182" s="4"/>
      <c r="AE182" s="4"/>
      <c r="AF182" s="4"/>
      <c r="AK182" s="3"/>
      <c r="AL182" s="3"/>
      <c r="AM182" s="7"/>
      <c r="AN182" s="7"/>
      <c r="AO182" s="7"/>
      <c r="AP182" s="7"/>
      <c r="AQ182" s="7"/>
      <c r="AR182" s="3"/>
      <c r="AS182" s="3"/>
      <c r="AT182" s="7"/>
      <c r="AU182" s="7"/>
      <c r="AV182" s="7"/>
      <c r="AW182" s="9"/>
      <c r="AX182" s="9"/>
      <c r="AY182" s="9"/>
      <c r="AZ182" s="3"/>
      <c r="BA182" s="3"/>
      <c r="BB182" s="3"/>
      <c r="BC182" s="3"/>
      <c r="BD182" s="3"/>
      <c r="BE182" s="3"/>
      <c r="BG182" s="13"/>
      <c r="BH182" s="7"/>
      <c r="BI182" s="3"/>
      <c r="BJ182" s="3"/>
      <c r="BK182" s="3"/>
      <c r="BL182" s="3"/>
    </row>
    <row r="183" spans="1:64" x14ac:dyDescent="0.25">
      <c r="A183">
        <v>136</v>
      </c>
      <c r="B183" s="1" t="s">
        <v>188</v>
      </c>
      <c r="C183" s="1" t="s">
        <v>32</v>
      </c>
      <c r="D183" s="2">
        <v>43047</v>
      </c>
      <c r="E183" s="3">
        <v>20.2</v>
      </c>
      <c r="F183" s="4">
        <f t="shared" si="239"/>
        <v>4424.3077952755903</v>
      </c>
      <c r="G183" s="7">
        <v>9.69</v>
      </c>
      <c r="H183" s="7">
        <v>161.88</v>
      </c>
      <c r="I183" s="7">
        <f t="shared" si="256"/>
        <v>152.19</v>
      </c>
      <c r="J183" s="7">
        <v>144.24</v>
      </c>
      <c r="K183" s="5">
        <f t="shared" si="240"/>
        <v>5.2237334910309405</v>
      </c>
      <c r="L183" s="4">
        <f t="shared" si="241"/>
        <v>4193.1937472274867</v>
      </c>
      <c r="M183" s="2">
        <v>43054</v>
      </c>
      <c r="N183" s="7">
        <v>8.82</v>
      </c>
      <c r="O183" s="7">
        <v>3.1</v>
      </c>
      <c r="P183" s="7">
        <v>5.78</v>
      </c>
      <c r="Q183" s="6">
        <f t="shared" si="242"/>
        <v>0.33949191685912239</v>
      </c>
      <c r="R183" s="6">
        <f t="shared" si="243"/>
        <v>0.47344110854503468</v>
      </c>
      <c r="S183" s="6">
        <f t="shared" si="244"/>
        <v>0.18706697459584293</v>
      </c>
      <c r="T183" s="4">
        <f t="shared" si="245"/>
        <v>1502.0167341928677</v>
      </c>
      <c r="U183" s="4">
        <f t="shared" si="246"/>
        <v>2094.6491871397138</v>
      </c>
      <c r="V183" s="4">
        <f t="shared" si="247"/>
        <v>3596.6659213325815</v>
      </c>
      <c r="W183" s="4">
        <f t="shared" si="248"/>
        <v>1423.5553830079457</v>
      </c>
      <c r="X183" s="4">
        <f t="shared" si="249"/>
        <v>1985.2302960314892</v>
      </c>
      <c r="Y183" s="4">
        <f t="shared" si="250"/>
        <v>3408.7856790394349</v>
      </c>
      <c r="Z183" s="10"/>
      <c r="AA183" s="12"/>
      <c r="AB183" s="5"/>
      <c r="AC183" s="4"/>
      <c r="AD183" s="4"/>
      <c r="AE183" s="4"/>
      <c r="AF183" s="4"/>
      <c r="AH183" t="s">
        <v>293</v>
      </c>
      <c r="AI183" t="s">
        <v>32</v>
      </c>
      <c r="AJ183" s="8">
        <f>D183</f>
        <v>43047</v>
      </c>
      <c r="AK183" s="3">
        <f>SUM(E183:E185)</f>
        <v>56.4</v>
      </c>
      <c r="AL183" s="3">
        <f>(AK183-3*$A$35)*$A$36/(3*$A$37)*$A$38</f>
        <v>4111.7936220472438</v>
      </c>
      <c r="AM183" s="7">
        <f>SUM(G183:G185)</f>
        <v>29.139999999999997</v>
      </c>
      <c r="AN183" s="7">
        <f>SUM(H183:H185)</f>
        <v>437.70999999999992</v>
      </c>
      <c r="AO183" s="7">
        <f>AN183-AM183</f>
        <v>408.56999999999994</v>
      </c>
      <c r="AP183" s="7">
        <f>SUM(J183:J185)</f>
        <v>387.20000000000005</v>
      </c>
      <c r="AQ183" s="7">
        <f>(AO183-AP183)/AO183*100</f>
        <v>5.2304378686638504</v>
      </c>
      <c r="AR183" s="3">
        <f>AL183*(1-AQ183/100)</f>
        <v>3896.72881135838</v>
      </c>
      <c r="AS183" s="11">
        <f>M183</f>
        <v>43054</v>
      </c>
      <c r="AT183" s="7">
        <f>SUM(N183:N185)</f>
        <v>24.66</v>
      </c>
      <c r="AU183" s="7">
        <f>SUM(O183:O185)</f>
        <v>8.7399999999999984</v>
      </c>
      <c r="AV183" s="7">
        <f>SUM(P183:P185)</f>
        <v>16.560000000000002</v>
      </c>
      <c r="AW183" s="9">
        <f>(AU183-3*$A$39)/(AT183-3*$A$39)</f>
        <v>0.34160463192721252</v>
      </c>
      <c r="AX183" s="9">
        <f>(AV183-3*$A$40)/(AT183-3*$A$39)</f>
        <v>0.47642679900744428</v>
      </c>
      <c r="AY183" s="9">
        <f>1-AW183-AX183</f>
        <v>0.18196856906534314</v>
      </c>
      <c r="AZ183" s="3">
        <f>AL183*AW183</f>
        <v>1404.6077468201088</v>
      </c>
      <c r="BA183" s="3">
        <f>AL183*AX183</f>
        <v>1958.9686735311936</v>
      </c>
      <c r="BB183" s="3">
        <f>AZ183+BA183</f>
        <v>3363.5764203513027</v>
      </c>
      <c r="BC183" s="3">
        <f>AR183*AW183</f>
        <v>1331.1406113242438</v>
      </c>
      <c r="BD183" s="3">
        <f>AR183*AX183</f>
        <v>1856.5060341955561</v>
      </c>
      <c r="BE183" s="3">
        <f>BC183+BD183</f>
        <v>3187.6466455197997</v>
      </c>
      <c r="BF183" s="11">
        <f>Z184</f>
        <v>43077</v>
      </c>
      <c r="BG183" s="13">
        <f>AVERAGE(AA183:AA185)</f>
        <v>41</v>
      </c>
      <c r="BH183" s="7">
        <f t="shared" ref="BH183" si="262">AVERAGE(AB183:AB185)</f>
        <v>1.1100000000000001</v>
      </c>
      <c r="BI183" s="3">
        <f t="shared" ref="BI183" si="263">AVERAGE(AC183:AC185)</f>
        <v>79.400000000000006</v>
      </c>
      <c r="BJ183" s="3">
        <f t="shared" ref="BJ183" si="264">AVERAGE(AD183:AD185)</f>
        <v>30.7</v>
      </c>
      <c r="BK183" s="3">
        <f t="shared" ref="BK183" si="265">AVERAGE(AE183:AE185)</f>
        <v>5.9</v>
      </c>
      <c r="BL183" s="3">
        <f t="shared" ref="BL183" si="266">AVERAGE(AF183:AF185)</f>
        <v>11.3</v>
      </c>
    </row>
    <row r="184" spans="1:64" x14ac:dyDescent="0.25">
      <c r="A184">
        <v>137</v>
      </c>
      <c r="B184" s="1" t="s">
        <v>189</v>
      </c>
      <c r="C184" s="1" t="s">
        <v>32</v>
      </c>
      <c r="D184" s="2">
        <v>43047</v>
      </c>
      <c r="E184" s="3">
        <v>18.100000000000001</v>
      </c>
      <c r="F184" s="4">
        <f t="shared" si="239"/>
        <v>3955.5365354330711</v>
      </c>
      <c r="G184" s="7">
        <v>9.75</v>
      </c>
      <c r="H184" s="7">
        <v>132.41999999999999</v>
      </c>
      <c r="I184" s="7">
        <f t="shared" si="256"/>
        <v>122.66999999999999</v>
      </c>
      <c r="J184" s="7">
        <v>116.73</v>
      </c>
      <c r="K184" s="5">
        <f t="shared" si="240"/>
        <v>4.8422597212032157</v>
      </c>
      <c r="L184" s="4">
        <f t="shared" si="241"/>
        <v>3763.9991830203185</v>
      </c>
      <c r="M184" s="2">
        <v>43054</v>
      </c>
      <c r="N184" s="7">
        <v>7.96</v>
      </c>
      <c r="O184" s="7">
        <v>2.84</v>
      </c>
      <c r="P184" s="7">
        <v>5.44</v>
      </c>
      <c r="Q184" s="6">
        <f t="shared" si="242"/>
        <v>0.34358974358974353</v>
      </c>
      <c r="R184" s="6">
        <f t="shared" si="243"/>
        <v>0.48205128205128217</v>
      </c>
      <c r="S184" s="6">
        <f t="shared" si="244"/>
        <v>0.17435897435897435</v>
      </c>
      <c r="T184" s="4">
        <f t="shared" si="245"/>
        <v>1359.0817839693113</v>
      </c>
      <c r="U184" s="4">
        <f t="shared" si="246"/>
        <v>1906.7714581061989</v>
      </c>
      <c r="V184" s="4">
        <f t="shared" si="247"/>
        <v>3265.85324207551</v>
      </c>
      <c r="W184" s="4">
        <f t="shared" si="248"/>
        <v>1293.2715141659553</v>
      </c>
      <c r="X184" s="4">
        <f t="shared" si="249"/>
        <v>1814.4406318149231</v>
      </c>
      <c r="Y184" s="4">
        <f t="shared" si="250"/>
        <v>3107.7121459808786</v>
      </c>
      <c r="Z184" s="10">
        <v>43077</v>
      </c>
      <c r="AA184" s="12">
        <v>41</v>
      </c>
      <c r="AB184" s="5">
        <v>1.1100000000000001</v>
      </c>
      <c r="AC184" s="4">
        <v>79.400000000000006</v>
      </c>
      <c r="AD184" s="4">
        <v>30.7</v>
      </c>
      <c r="AE184" s="4">
        <v>5.9</v>
      </c>
      <c r="AF184" s="4">
        <v>11.3</v>
      </c>
      <c r="AK184" s="3"/>
      <c r="AL184" s="3"/>
      <c r="AM184" s="7"/>
      <c r="AN184" s="7"/>
      <c r="AO184" s="7"/>
      <c r="AP184" s="7"/>
      <c r="AQ184" s="7"/>
      <c r="AR184" s="3"/>
      <c r="AS184" s="3"/>
      <c r="AT184" s="7"/>
      <c r="AU184" s="7"/>
      <c r="AV184" s="7"/>
      <c r="AW184" s="9"/>
      <c r="AX184" s="9"/>
      <c r="AY184" s="9"/>
      <c r="AZ184" s="3"/>
      <c r="BA184" s="3"/>
      <c r="BB184" s="3"/>
      <c r="BC184" s="3"/>
      <c r="BD184" s="3"/>
      <c r="BE184" s="3"/>
      <c r="BG184" s="13"/>
      <c r="BH184" s="7"/>
      <c r="BI184" s="3"/>
      <c r="BJ184" s="3"/>
      <c r="BK184" s="3"/>
      <c r="BL184" s="3"/>
    </row>
    <row r="185" spans="1:64" x14ac:dyDescent="0.25">
      <c r="A185">
        <v>138</v>
      </c>
      <c r="B185" s="1" t="s">
        <v>190</v>
      </c>
      <c r="C185" s="1" t="s">
        <v>32</v>
      </c>
      <c r="D185" s="2">
        <v>43047</v>
      </c>
      <c r="E185" s="3">
        <v>18.100000000000001</v>
      </c>
      <c r="F185" s="4">
        <f t="shared" si="239"/>
        <v>3955.5365354330711</v>
      </c>
      <c r="G185" s="7">
        <v>9.6999999999999993</v>
      </c>
      <c r="H185" s="7">
        <v>143.41</v>
      </c>
      <c r="I185" s="7">
        <f t="shared" si="256"/>
        <v>133.71</v>
      </c>
      <c r="J185" s="7">
        <v>126.23</v>
      </c>
      <c r="K185" s="5">
        <f t="shared" si="240"/>
        <v>5.5941963951836087</v>
      </c>
      <c r="L185" s="4">
        <f t="shared" si="241"/>
        <v>3734.2560531577037</v>
      </c>
      <c r="M185" s="2">
        <v>43054</v>
      </c>
      <c r="N185" s="7">
        <v>7.88</v>
      </c>
      <c r="O185" s="7">
        <v>2.8</v>
      </c>
      <c r="P185" s="7">
        <v>5.34</v>
      </c>
      <c r="Q185" s="6">
        <f t="shared" si="242"/>
        <v>0.34196891191709844</v>
      </c>
      <c r="R185" s="6">
        <f t="shared" si="243"/>
        <v>0.47409326424870468</v>
      </c>
      <c r="S185" s="6">
        <f t="shared" si="244"/>
        <v>0.18393782383419688</v>
      </c>
      <c r="T185" s="4">
        <f t="shared" si="245"/>
        <v>1352.6705250703767</v>
      </c>
      <c r="U185" s="4">
        <f t="shared" si="246"/>
        <v>1875.2932279384768</v>
      </c>
      <c r="V185" s="4">
        <f t="shared" si="247"/>
        <v>3227.9637530088535</v>
      </c>
      <c r="W185" s="4">
        <f t="shared" si="248"/>
        <v>1276.9994793181784</v>
      </c>
      <c r="X185" s="4">
        <f t="shared" si="249"/>
        <v>1770.3856417820202</v>
      </c>
      <c r="Y185" s="4">
        <f t="shared" si="250"/>
        <v>3047.3851211001984</v>
      </c>
      <c r="Z185" s="10"/>
      <c r="AA185" s="12"/>
      <c r="AB185" s="5"/>
      <c r="AC185" s="4"/>
      <c r="AD185" s="4"/>
      <c r="AE185" s="4"/>
      <c r="AF185" s="4"/>
      <c r="AK185" s="3"/>
      <c r="AL185" s="3"/>
      <c r="AM185" s="7"/>
      <c r="AN185" s="7"/>
      <c r="AO185" s="7"/>
      <c r="AP185" s="7"/>
      <c r="AQ185" s="7"/>
      <c r="AR185" s="3"/>
      <c r="AS185" s="3"/>
      <c r="AT185" s="7"/>
      <c r="AU185" s="7"/>
      <c r="AV185" s="7"/>
      <c r="AW185" s="9"/>
      <c r="AX185" s="9"/>
      <c r="AY185" s="9"/>
      <c r="AZ185" s="3"/>
      <c r="BA185" s="3"/>
      <c r="BB185" s="3"/>
      <c r="BC185" s="3"/>
      <c r="BD185" s="3"/>
      <c r="BE185" s="3"/>
      <c r="BG185" s="13"/>
      <c r="BH185" s="7"/>
      <c r="BI185" s="3"/>
      <c r="BJ185" s="3"/>
      <c r="BK185" s="3"/>
      <c r="BL185" s="3"/>
    </row>
    <row r="186" spans="1:64" x14ac:dyDescent="0.25">
      <c r="A186">
        <v>139</v>
      </c>
      <c r="B186" s="1" t="s">
        <v>191</v>
      </c>
      <c r="C186" s="1" t="s">
        <v>32</v>
      </c>
      <c r="D186" s="2">
        <v>43047</v>
      </c>
      <c r="E186" s="3">
        <v>17.100000000000001</v>
      </c>
      <c r="F186" s="4">
        <f t="shared" si="239"/>
        <v>3732.3121259842524</v>
      </c>
      <c r="G186" s="7">
        <v>9.7200000000000006</v>
      </c>
      <c r="H186" s="7">
        <v>145.93</v>
      </c>
      <c r="I186" s="7">
        <f t="shared" si="256"/>
        <v>136.21</v>
      </c>
      <c r="J186" s="7">
        <v>128.52000000000001</v>
      </c>
      <c r="K186" s="5">
        <f t="shared" si="240"/>
        <v>5.6456941487409127</v>
      </c>
      <c r="L186" s="4">
        <f t="shared" si="241"/>
        <v>3521.5971986748118</v>
      </c>
      <c r="M186" s="2">
        <v>43054</v>
      </c>
      <c r="N186" s="7">
        <v>7.48</v>
      </c>
      <c r="O186" s="7">
        <v>2.66</v>
      </c>
      <c r="P186" s="7">
        <v>5.2</v>
      </c>
      <c r="Q186" s="6">
        <f t="shared" si="242"/>
        <v>0.34153005464480873</v>
      </c>
      <c r="R186" s="6">
        <f t="shared" si="243"/>
        <v>0.48087431693989074</v>
      </c>
      <c r="S186" s="6">
        <f t="shared" si="244"/>
        <v>0.17759562841530047</v>
      </c>
      <c r="T186" s="4">
        <f t="shared" si="245"/>
        <v>1274.6967643388839</v>
      </c>
      <c r="U186" s="4">
        <f t="shared" si="246"/>
        <v>1794.7730441891488</v>
      </c>
      <c r="V186" s="4">
        <f t="shared" si="247"/>
        <v>3069.4698085280324</v>
      </c>
      <c r="W186" s="4">
        <f t="shared" si="248"/>
        <v>1202.7312837004138</v>
      </c>
      <c r="X186" s="4">
        <f t="shared" si="249"/>
        <v>1693.4456474501828</v>
      </c>
      <c r="Y186" s="4">
        <f t="shared" si="250"/>
        <v>2896.1769311505968</v>
      </c>
      <c r="Z186" s="10"/>
      <c r="AA186" s="12"/>
      <c r="AB186" s="5"/>
      <c r="AC186" s="4"/>
      <c r="AD186" s="4"/>
      <c r="AE186" s="4"/>
      <c r="AF186" s="4"/>
      <c r="AH186" t="s">
        <v>294</v>
      </c>
      <c r="AI186" t="s">
        <v>32</v>
      </c>
      <c r="AJ186" s="8">
        <f>D186</f>
        <v>43047</v>
      </c>
      <c r="AK186" s="3">
        <f>SUM(E186:E188)</f>
        <v>51.6</v>
      </c>
      <c r="AL186" s="3">
        <f>(AK186-3*$A$35)*$A$36/(3*$A$37)*$A$38</f>
        <v>3754.6345669291336</v>
      </c>
      <c r="AM186" s="7">
        <f>SUM(G186:G188)</f>
        <v>29.089999999999996</v>
      </c>
      <c r="AN186" s="7">
        <f>SUM(H186:H188)</f>
        <v>411.35</v>
      </c>
      <c r="AO186" s="7">
        <f>AN186-AM186</f>
        <v>382.26000000000005</v>
      </c>
      <c r="AP186" s="7">
        <f>SUM(J186:J188)</f>
        <v>360.73</v>
      </c>
      <c r="AQ186" s="7">
        <f>(AO186-AP186)/AO186*100</f>
        <v>5.6322921571705198</v>
      </c>
      <c r="AR186" s="3">
        <f>AL186*(1-AQ186/100)</f>
        <v>3543.1625786855707</v>
      </c>
      <c r="AS186" s="11">
        <f>M186</f>
        <v>43054</v>
      </c>
      <c r="AT186" s="7">
        <f>SUM(N186:N188)</f>
        <v>22.58</v>
      </c>
      <c r="AU186" s="7">
        <f>SUM(O186:O188)</f>
        <v>8.0399999999999991</v>
      </c>
      <c r="AV186" s="7">
        <f>SUM(P186:P188)</f>
        <v>15.66</v>
      </c>
      <c r="AW186" s="9">
        <f>(AU186-3*$A$39)/(AT186-3*$A$39)</f>
        <v>0.34208144796380086</v>
      </c>
      <c r="AX186" s="9">
        <f>(AV186-3*$A$40)/(AT186-3*$A$39)</f>
        <v>0.48054298642533944</v>
      </c>
      <c r="AY186" s="9">
        <f>1-AW186-AX186</f>
        <v>0.17737556561085976</v>
      </c>
      <c r="AZ186" s="3">
        <f>AL186*AW186</f>
        <v>1284.3908292300564</v>
      </c>
      <c r="BA186" s="3">
        <f>AL186*AX186</f>
        <v>1804.2633077279368</v>
      </c>
      <c r="BB186" s="3">
        <f>AZ186+BA186</f>
        <v>3088.6541369579932</v>
      </c>
      <c r="BC186" s="3">
        <f>AR186*AW186</f>
        <v>1212.0501852879145</v>
      </c>
      <c r="BD186" s="3">
        <f>AR186*AX186</f>
        <v>1702.6419269520709</v>
      </c>
      <c r="BE186" s="3">
        <f>BC186+BD186</f>
        <v>2914.6921122399854</v>
      </c>
      <c r="BF186" s="11">
        <f>Z187</f>
        <v>43077</v>
      </c>
      <c r="BG186" s="13">
        <f>AVERAGE(AA186:AA188)</f>
        <v>42</v>
      </c>
      <c r="BH186" s="7">
        <f t="shared" ref="BH186" si="267">AVERAGE(AB186:AB188)</f>
        <v>1.1299999999999999</v>
      </c>
      <c r="BI186" s="3">
        <f t="shared" ref="BI186" si="268">AVERAGE(AC186:AC188)</f>
        <v>78.3</v>
      </c>
      <c r="BJ186" s="3">
        <f t="shared" ref="BJ186" si="269">AVERAGE(AD186:AD188)</f>
        <v>30.3</v>
      </c>
      <c r="BK186" s="3">
        <f t="shared" ref="BK186" si="270">AVERAGE(AE186:AE188)</f>
        <v>6.2</v>
      </c>
      <c r="BL186" s="3">
        <f t="shared" ref="BL186" si="271">AVERAGE(AF186:AF188)</f>
        <v>11.4</v>
      </c>
    </row>
    <row r="187" spans="1:64" x14ac:dyDescent="0.25">
      <c r="A187">
        <v>140</v>
      </c>
      <c r="B187" s="1" t="s">
        <v>192</v>
      </c>
      <c r="C187" s="1" t="s">
        <v>32</v>
      </c>
      <c r="D187" s="2">
        <v>43047</v>
      </c>
      <c r="E187" s="3">
        <v>17.600000000000001</v>
      </c>
      <c r="F187" s="4">
        <f t="shared" si="239"/>
        <v>3843.9243307086617</v>
      </c>
      <c r="G187" s="7">
        <v>9.68</v>
      </c>
      <c r="H187" s="7">
        <v>130.43</v>
      </c>
      <c r="I187" s="7">
        <f t="shared" si="256"/>
        <v>120.75</v>
      </c>
      <c r="J187" s="7">
        <v>113.7</v>
      </c>
      <c r="K187" s="5">
        <f t="shared" si="240"/>
        <v>5.8385093167701836</v>
      </c>
      <c r="L187" s="4">
        <f t="shared" si="241"/>
        <v>3619.4964505306407</v>
      </c>
      <c r="M187" s="2">
        <v>43054</v>
      </c>
      <c r="N187" s="7">
        <v>7.77</v>
      </c>
      <c r="O187" s="7">
        <v>2.76</v>
      </c>
      <c r="P187" s="7">
        <v>5.36</v>
      </c>
      <c r="Q187" s="6">
        <f t="shared" si="242"/>
        <v>0.34165571616294349</v>
      </c>
      <c r="R187" s="6">
        <f t="shared" si="243"/>
        <v>0.48357424441524322</v>
      </c>
      <c r="S187" s="6">
        <f t="shared" si="244"/>
        <v>0.17477003942181335</v>
      </c>
      <c r="T187" s="4">
        <f t="shared" si="245"/>
        <v>1313.2987200844311</v>
      </c>
      <c r="U187" s="4">
        <f t="shared" si="246"/>
        <v>1858.8228038118107</v>
      </c>
      <c r="V187" s="4">
        <f t="shared" si="247"/>
        <v>3172.1215238962418</v>
      </c>
      <c r="W187" s="4">
        <f t="shared" si="248"/>
        <v>1236.6216519552779</v>
      </c>
      <c r="X187" s="4">
        <f t="shared" si="249"/>
        <v>1750.2952612290094</v>
      </c>
      <c r="Y187" s="4">
        <f t="shared" si="250"/>
        <v>2986.9169131842873</v>
      </c>
      <c r="Z187" s="10">
        <v>43077</v>
      </c>
      <c r="AA187" s="12">
        <v>42</v>
      </c>
      <c r="AB187" s="5">
        <v>1.1299999999999999</v>
      </c>
      <c r="AC187" s="4">
        <v>78.3</v>
      </c>
      <c r="AD187" s="4">
        <v>30.3</v>
      </c>
      <c r="AE187" s="4">
        <v>6.2</v>
      </c>
      <c r="AF187" s="4">
        <v>11.4</v>
      </c>
      <c r="AK187" s="3"/>
      <c r="AL187" s="3"/>
      <c r="AM187" s="7"/>
      <c r="AN187" s="7"/>
      <c r="AO187" s="7"/>
      <c r="AP187" s="7"/>
      <c r="AQ187" s="7"/>
      <c r="AR187" s="3"/>
      <c r="AS187" s="3"/>
      <c r="AT187" s="7"/>
      <c r="AU187" s="7"/>
      <c r="AV187" s="7"/>
      <c r="AW187" s="9"/>
      <c r="AX187" s="9"/>
      <c r="AY187" s="9"/>
      <c r="AZ187" s="3"/>
      <c r="BA187" s="3"/>
      <c r="BB187" s="3"/>
      <c r="BC187" s="3"/>
      <c r="BD187" s="3"/>
      <c r="BE187" s="3"/>
      <c r="BG187" s="13"/>
      <c r="BH187" s="7"/>
      <c r="BI187" s="3"/>
      <c r="BJ187" s="3"/>
      <c r="BK187" s="3"/>
      <c r="BL187" s="3"/>
    </row>
    <row r="188" spans="1:64" x14ac:dyDescent="0.25">
      <c r="A188">
        <v>141</v>
      </c>
      <c r="B188" s="1" t="s">
        <v>193</v>
      </c>
      <c r="C188" s="1" t="s">
        <v>32</v>
      </c>
      <c r="D188" s="2">
        <v>43047</v>
      </c>
      <c r="E188" s="3">
        <v>16.899999999999999</v>
      </c>
      <c r="F188" s="4">
        <f t="shared" si="239"/>
        <v>3687.6672440944881</v>
      </c>
      <c r="G188" s="7">
        <v>9.69</v>
      </c>
      <c r="H188" s="7">
        <v>134.99</v>
      </c>
      <c r="I188" s="7">
        <f t="shared" si="256"/>
        <v>125.30000000000001</v>
      </c>
      <c r="J188" s="7">
        <v>118.51</v>
      </c>
      <c r="K188" s="5">
        <f t="shared" si="240"/>
        <v>5.4189944134078258</v>
      </c>
      <c r="L188" s="4">
        <f t="shared" si="241"/>
        <v>3487.8327621519375</v>
      </c>
      <c r="M188" s="2">
        <v>43054</v>
      </c>
      <c r="N188" s="7">
        <v>7.33</v>
      </c>
      <c r="O188" s="7">
        <v>2.62</v>
      </c>
      <c r="P188" s="7">
        <v>5.0999999999999996</v>
      </c>
      <c r="Q188" s="6">
        <f t="shared" si="242"/>
        <v>0.34309623430962344</v>
      </c>
      <c r="R188" s="6">
        <f t="shared" si="243"/>
        <v>0.47698744769874474</v>
      </c>
      <c r="S188" s="6">
        <f t="shared" si="244"/>
        <v>0.17991631799163182</v>
      </c>
      <c r="T188" s="4">
        <f t="shared" si="245"/>
        <v>1265.2247448357657</v>
      </c>
      <c r="U188" s="4">
        <f t="shared" si="246"/>
        <v>1758.9709867228937</v>
      </c>
      <c r="V188" s="4">
        <f t="shared" si="247"/>
        <v>3024.1957315586596</v>
      </c>
      <c r="W188" s="4">
        <f t="shared" si="248"/>
        <v>1196.6622865960624</v>
      </c>
      <c r="X188" s="4">
        <f t="shared" si="249"/>
        <v>1663.6524472189158</v>
      </c>
      <c r="Y188" s="4">
        <f t="shared" si="250"/>
        <v>2860.3147338149784</v>
      </c>
      <c r="Z188" s="10"/>
      <c r="AA188" s="12"/>
      <c r="AB188" s="5"/>
      <c r="AC188" s="4"/>
      <c r="AD188" s="4"/>
      <c r="AE188" s="4"/>
      <c r="AF188" s="4"/>
      <c r="AK188" s="3"/>
      <c r="AL188" s="3"/>
      <c r="AM188" s="7"/>
      <c r="AN188" s="7"/>
      <c r="AO188" s="7"/>
      <c r="AP188" s="7"/>
      <c r="AQ188" s="7"/>
      <c r="AR188" s="3"/>
      <c r="AS188" s="3"/>
      <c r="AT188" s="7"/>
      <c r="AU188" s="7"/>
      <c r="AV188" s="7"/>
      <c r="AW188" s="9"/>
      <c r="AX188" s="9"/>
      <c r="AY188" s="9"/>
      <c r="AZ188" s="3"/>
      <c r="BA188" s="3"/>
      <c r="BB188" s="3"/>
      <c r="BC188" s="3"/>
      <c r="BD188" s="3"/>
      <c r="BE188" s="3"/>
      <c r="BG188" s="13"/>
      <c r="BH188" s="7"/>
      <c r="BI188" s="3"/>
      <c r="BJ188" s="3"/>
      <c r="BK188" s="3"/>
      <c r="BL188" s="3"/>
    </row>
    <row r="189" spans="1:64" x14ac:dyDescent="0.25">
      <c r="A189">
        <v>142</v>
      </c>
      <c r="B189" s="1" t="s">
        <v>194</v>
      </c>
      <c r="C189" s="1" t="s">
        <v>32</v>
      </c>
      <c r="D189" s="2">
        <v>43047</v>
      </c>
      <c r="E189" s="3">
        <v>19.8</v>
      </c>
      <c r="F189" s="4">
        <f t="shared" si="239"/>
        <v>4335.0180314960626</v>
      </c>
      <c r="G189" s="7">
        <v>9.68</v>
      </c>
      <c r="H189" s="7">
        <v>188.69</v>
      </c>
      <c r="I189" s="7">
        <f t="shared" si="256"/>
        <v>179.01</v>
      </c>
      <c r="J189" s="7">
        <v>169.47</v>
      </c>
      <c r="K189" s="5">
        <f t="shared" si="240"/>
        <v>5.3293112116641481</v>
      </c>
      <c r="L189" s="4">
        <f t="shared" si="241"/>
        <v>4103.9914295158806</v>
      </c>
      <c r="M189" s="2">
        <v>43054</v>
      </c>
      <c r="N189" s="7">
        <v>8.6999999999999993</v>
      </c>
      <c r="O189" s="7">
        <v>3.18</v>
      </c>
      <c r="P189" s="7">
        <v>5.7</v>
      </c>
      <c r="Q189" s="6">
        <f t="shared" si="242"/>
        <v>0.35362997658079631</v>
      </c>
      <c r="R189" s="6">
        <f t="shared" si="243"/>
        <v>0.47072599531615933</v>
      </c>
      <c r="S189" s="6">
        <f t="shared" si="244"/>
        <v>0.17564402810304436</v>
      </c>
      <c r="T189" s="4">
        <f t="shared" si="245"/>
        <v>1532.9923249552824</v>
      </c>
      <c r="U189" s="4">
        <f t="shared" si="246"/>
        <v>2040.6056775894817</v>
      </c>
      <c r="V189" s="4">
        <f t="shared" si="247"/>
        <v>3573.5980025447643</v>
      </c>
      <c r="W189" s="4">
        <f t="shared" si="248"/>
        <v>1451.2943931074897</v>
      </c>
      <c r="X189" s="4">
        <f t="shared" si="249"/>
        <v>1931.8554504278504</v>
      </c>
      <c r="Y189" s="4">
        <f t="shared" si="250"/>
        <v>3383.1498435353401</v>
      </c>
      <c r="Z189" s="10"/>
      <c r="AA189" s="12"/>
      <c r="AB189" s="5"/>
      <c r="AC189" s="4"/>
      <c r="AD189" s="4"/>
      <c r="AE189" s="4"/>
      <c r="AF189" s="4"/>
      <c r="AH189" t="s">
        <v>295</v>
      </c>
      <c r="AI189" t="s">
        <v>32</v>
      </c>
      <c r="AJ189" s="8">
        <f>D189</f>
        <v>43047</v>
      </c>
      <c r="AK189" s="3">
        <f>SUM(E189:E191)</f>
        <v>60.5</v>
      </c>
      <c r="AL189" s="3">
        <f>(AK189-3*$A$35)*$A$36/(3*$A$37)*$A$38</f>
        <v>4416.8669816272968</v>
      </c>
      <c r="AM189" s="7">
        <f>SUM(G189:G191)</f>
        <v>29</v>
      </c>
      <c r="AN189" s="7">
        <f>SUM(H189:H191)</f>
        <v>498.45</v>
      </c>
      <c r="AO189" s="7">
        <f>AN189-AM189</f>
        <v>469.45</v>
      </c>
      <c r="AP189" s="7">
        <f>SUM(J189:J191)</f>
        <v>444.90999999999997</v>
      </c>
      <c r="AQ189" s="7">
        <f>(AO189-AP189)/AO189*100</f>
        <v>5.2273937586537489</v>
      </c>
      <c r="AR189" s="3">
        <f>AL189*(1-AQ189/100)</f>
        <v>4185.979952701673</v>
      </c>
      <c r="AS189" s="11">
        <f>M189</f>
        <v>43054</v>
      </c>
      <c r="AT189" s="7">
        <f>SUM(N189:N191)</f>
        <v>18.009999999999998</v>
      </c>
      <c r="AU189" s="7">
        <f>SUM(O189:O191)</f>
        <v>6.6400000000000006</v>
      </c>
      <c r="AV189" s="7">
        <f>SUM(P189:P191)</f>
        <v>11.8</v>
      </c>
      <c r="AW189" s="9">
        <f>(AU189-2*$A$39)/(AT189-2*$A$39)</f>
        <v>0.35726399095534206</v>
      </c>
      <c r="AX189" s="9">
        <f>(AV189-2*$A$40)/(AT189-2*$A$39)</f>
        <v>0.4771057094403619</v>
      </c>
      <c r="AY189" s="9">
        <f>1-AW189-AX189</f>
        <v>0.16563029960429598</v>
      </c>
      <c r="AZ189" s="3">
        <f>AL189*AW189</f>
        <v>1577.9875253750436</v>
      </c>
      <c r="BA189" s="3">
        <f>AL189*AX189</f>
        <v>2107.3124547730013</v>
      </c>
      <c r="BB189" s="3">
        <f>AZ189+BA189</f>
        <v>3685.2999801480446</v>
      </c>
      <c r="BC189" s="3">
        <f>AR189*AW189</f>
        <v>1495.4999039612537</v>
      </c>
      <c r="BD189" s="3">
        <f>AR189*AX189</f>
        <v>1997.1549350368643</v>
      </c>
      <c r="BE189" s="3">
        <f>BC189+BD189</f>
        <v>3492.6548389981181</v>
      </c>
      <c r="BF189" s="11">
        <f>Z190</f>
        <v>43077</v>
      </c>
      <c r="BG189" s="13">
        <f>AVERAGE(AA189:AA191)</f>
        <v>47</v>
      </c>
      <c r="BH189" s="7">
        <f t="shared" ref="BH189" si="272">AVERAGE(AB189:AB191)</f>
        <v>1.1100000000000001</v>
      </c>
      <c r="BI189" s="3">
        <f t="shared" ref="BI189" si="273">AVERAGE(AC189:AC191)</f>
        <v>80.3</v>
      </c>
      <c r="BJ189" s="3">
        <f t="shared" ref="BJ189" si="274">AVERAGE(AD189:AD191)</f>
        <v>31.1</v>
      </c>
      <c r="BK189" s="3">
        <f t="shared" ref="BK189" si="275">AVERAGE(AE189:AE191)</f>
        <v>6.1</v>
      </c>
      <c r="BL189" s="3">
        <f t="shared" ref="BL189" si="276">AVERAGE(AF189:AF191)</f>
        <v>10.7</v>
      </c>
    </row>
    <row r="190" spans="1:64" x14ac:dyDescent="0.25">
      <c r="A190">
        <v>143</v>
      </c>
      <c r="B190" s="1" t="s">
        <v>195</v>
      </c>
      <c r="C190" s="1" t="s">
        <v>32</v>
      </c>
      <c r="D190" s="2">
        <v>43047</v>
      </c>
      <c r="E190" s="3">
        <v>19.5</v>
      </c>
      <c r="F190" s="4">
        <f t="shared" si="239"/>
        <v>4268.050708661417</v>
      </c>
      <c r="G190" s="7">
        <v>9.68</v>
      </c>
      <c r="H190" s="7">
        <v>169</v>
      </c>
      <c r="I190" s="7">
        <f t="shared" si="256"/>
        <v>159.32</v>
      </c>
      <c r="J190" s="7">
        <v>151.03</v>
      </c>
      <c r="K190" s="5">
        <f t="shared" si="240"/>
        <v>5.2033642982676325</v>
      </c>
      <c r="L190" s="4">
        <f t="shared" si="241"/>
        <v>4045.9684818549704</v>
      </c>
      <c r="M190" s="2">
        <v>43054</v>
      </c>
      <c r="N190" s="7"/>
      <c r="O190" s="7"/>
      <c r="P190" s="7"/>
      <c r="Q190" s="6"/>
      <c r="R190" s="6"/>
      <c r="S190" s="6"/>
      <c r="T190" s="4"/>
      <c r="U190" s="4"/>
      <c r="V190" s="4"/>
      <c r="W190" s="4"/>
      <c r="X190" s="4"/>
      <c r="Y190" s="4"/>
      <c r="Z190" s="10">
        <v>43077</v>
      </c>
      <c r="AA190" s="12">
        <v>47</v>
      </c>
      <c r="AB190" s="5">
        <v>1.1100000000000001</v>
      </c>
      <c r="AC190" s="4">
        <v>80.3</v>
      </c>
      <c r="AD190" s="4">
        <v>31.1</v>
      </c>
      <c r="AE190" s="4">
        <v>6.1</v>
      </c>
      <c r="AF190" s="4">
        <v>10.7</v>
      </c>
      <c r="AK190" s="3"/>
      <c r="AL190" s="3"/>
      <c r="AM190" s="7"/>
      <c r="AN190" s="7"/>
      <c r="AO190" s="7"/>
      <c r="AP190" s="7"/>
      <c r="AQ190" s="7"/>
      <c r="AR190" s="3"/>
      <c r="AS190" s="3"/>
      <c r="AT190" s="7"/>
      <c r="AU190" s="7"/>
      <c r="AV190" s="7"/>
      <c r="AW190" s="9"/>
      <c r="AX190" s="9"/>
      <c r="AY190" s="9"/>
      <c r="AZ190" s="3"/>
      <c r="BA190" s="3"/>
      <c r="BB190" s="3"/>
      <c r="BC190" s="3"/>
      <c r="BD190" s="3"/>
      <c r="BE190" s="3"/>
      <c r="BG190" s="13"/>
      <c r="BH190" s="7"/>
      <c r="BI190" s="3"/>
      <c r="BJ190" s="3"/>
      <c r="BK190" s="3"/>
      <c r="BL190" s="3"/>
    </row>
    <row r="191" spans="1:64" x14ac:dyDescent="0.25">
      <c r="A191">
        <v>144</v>
      </c>
      <c r="B191" s="1" t="s">
        <v>196</v>
      </c>
      <c r="C191" s="1" t="s">
        <v>32</v>
      </c>
      <c r="D191" s="2">
        <v>43047</v>
      </c>
      <c r="E191" s="3">
        <v>21.2</v>
      </c>
      <c r="F191" s="4">
        <f t="shared" si="239"/>
        <v>4647.532204724409</v>
      </c>
      <c r="G191" s="7">
        <v>9.64</v>
      </c>
      <c r="H191" s="7">
        <v>140.76</v>
      </c>
      <c r="I191" s="7">
        <f t="shared" si="256"/>
        <v>131.12</v>
      </c>
      <c r="J191" s="7">
        <v>124.41</v>
      </c>
      <c r="K191" s="5">
        <f t="shared" si="240"/>
        <v>5.117449664429536</v>
      </c>
      <c r="L191" s="4">
        <f t="shared" si="241"/>
        <v>4409.6970835094853</v>
      </c>
      <c r="M191" s="2">
        <v>43054</v>
      </c>
      <c r="N191" s="7">
        <v>9.31</v>
      </c>
      <c r="O191" s="7">
        <v>3.46</v>
      </c>
      <c r="P191" s="7">
        <v>6.1</v>
      </c>
      <c r="Q191" s="6">
        <f t="shared" si="242"/>
        <v>0.36065573770491799</v>
      </c>
      <c r="R191" s="6">
        <f t="shared" si="243"/>
        <v>0.48306010928961746</v>
      </c>
      <c r="S191" s="6">
        <f t="shared" si="244"/>
        <v>0.15628415300546455</v>
      </c>
      <c r="T191" s="4">
        <f t="shared" si="245"/>
        <v>1676.1591558022456</v>
      </c>
      <c r="U191" s="4">
        <f t="shared" si="246"/>
        <v>2245.0374147411899</v>
      </c>
      <c r="V191" s="4">
        <f t="shared" si="247"/>
        <v>3921.1965705434354</v>
      </c>
      <c r="W191" s="4">
        <f t="shared" si="248"/>
        <v>1590.3825547083388</v>
      </c>
      <c r="X191" s="4">
        <f t="shared" si="249"/>
        <v>2130.1487550941993</v>
      </c>
      <c r="Y191" s="4">
        <f t="shared" si="250"/>
        <v>3720.5313098025381</v>
      </c>
      <c r="Z191" s="10"/>
      <c r="AA191" s="12"/>
      <c r="AB191" s="5"/>
      <c r="AC191" s="4"/>
      <c r="AD191" s="4"/>
      <c r="AE191" s="4"/>
      <c r="AF191" s="4"/>
      <c r="AK191" s="3"/>
      <c r="AL191" s="3"/>
      <c r="AM191" s="7"/>
      <c r="AN191" s="7"/>
      <c r="AO191" s="7"/>
      <c r="AP191" s="7"/>
      <c r="AQ191" s="7"/>
      <c r="AR191" s="3"/>
      <c r="AS191" s="3"/>
      <c r="AT191" s="7"/>
      <c r="AU191" s="7"/>
      <c r="AV191" s="7"/>
      <c r="AW191" s="9"/>
      <c r="AX191" s="9"/>
      <c r="AY191" s="9"/>
      <c r="AZ191" s="3"/>
      <c r="BA191" s="3"/>
      <c r="BB191" s="3"/>
      <c r="BC191" s="3"/>
      <c r="BD191" s="3"/>
      <c r="BE191" s="3"/>
      <c r="BG191" s="13"/>
      <c r="BH191" s="7"/>
      <c r="BI191" s="3"/>
      <c r="BJ191" s="3"/>
      <c r="BK191" s="3"/>
      <c r="BL191" s="3"/>
    </row>
    <row r="192" spans="1:64" x14ac:dyDescent="0.25">
      <c r="A192">
        <v>145</v>
      </c>
      <c r="B192" s="1" t="s">
        <v>197</v>
      </c>
      <c r="C192" s="1" t="s">
        <v>32</v>
      </c>
      <c r="D192" s="2">
        <v>43047</v>
      </c>
      <c r="E192" s="3">
        <v>22.4</v>
      </c>
      <c r="F192" s="4">
        <f t="shared" si="239"/>
        <v>4915.401496062992</v>
      </c>
      <c r="G192" s="7">
        <v>9.68</v>
      </c>
      <c r="H192" s="7">
        <v>192.31</v>
      </c>
      <c r="I192" s="7">
        <f t="shared" si="256"/>
        <v>182.63</v>
      </c>
      <c r="J192" s="7">
        <v>172.79</v>
      </c>
      <c r="K192" s="5">
        <f t="shared" si="240"/>
        <v>5.3879428352406524</v>
      </c>
      <c r="L192" s="4">
        <f t="shared" si="241"/>
        <v>4650.562473332554</v>
      </c>
      <c r="M192" s="2">
        <v>43054</v>
      </c>
      <c r="N192" s="7">
        <v>9.77</v>
      </c>
      <c r="O192" s="7">
        <v>3.46</v>
      </c>
      <c r="P192" s="7">
        <v>6.2</v>
      </c>
      <c r="Q192" s="6">
        <f t="shared" si="242"/>
        <v>0.3433922996878252</v>
      </c>
      <c r="R192" s="6">
        <f t="shared" si="243"/>
        <v>0.47034339229968791</v>
      </c>
      <c r="S192" s="6">
        <f t="shared" si="244"/>
        <v>0.18626430801248695</v>
      </c>
      <c r="T192" s="4">
        <f t="shared" si="245"/>
        <v>1687.9110236220472</v>
      </c>
      <c r="U192" s="4">
        <f t="shared" si="246"/>
        <v>2311.9266141732287</v>
      </c>
      <c r="V192" s="4">
        <f t="shared" si="247"/>
        <v>3999.8376377952759</v>
      </c>
      <c r="W192" s="4">
        <f t="shared" si="248"/>
        <v>1596.9673425595659</v>
      </c>
      <c r="X192" s="4">
        <f t="shared" si="249"/>
        <v>2187.3613298088603</v>
      </c>
      <c r="Y192" s="4">
        <f t="shared" si="250"/>
        <v>3784.3286723684259</v>
      </c>
      <c r="Z192" s="10"/>
      <c r="AA192" s="12"/>
      <c r="AB192" s="5"/>
      <c r="AC192" s="4"/>
      <c r="AD192" s="4"/>
      <c r="AE192" s="4"/>
      <c r="AF192" s="4"/>
      <c r="AH192" t="s">
        <v>296</v>
      </c>
      <c r="AI192" t="str">
        <f>C192</f>
        <v>Machine</v>
      </c>
      <c r="AJ192" s="8">
        <f>D192</f>
        <v>43047</v>
      </c>
      <c r="AK192" s="3">
        <f>SUM(E192:E194)</f>
        <v>63.3</v>
      </c>
      <c r="AL192" s="3">
        <f>(AK192-3*$A$35)*$A$36/(3*$A$37)*$A$38</f>
        <v>4625.2097637795268</v>
      </c>
      <c r="AM192" s="7">
        <f>SUM(G192:G194)</f>
        <v>29.14</v>
      </c>
      <c r="AN192" s="7">
        <f>SUM(H192:H194)</f>
        <v>535.25</v>
      </c>
      <c r="AO192" s="7">
        <f>AN192-AM192</f>
        <v>506.11</v>
      </c>
      <c r="AP192" s="7">
        <f>SUM(J192:J194)</f>
        <v>477.90999999999997</v>
      </c>
      <c r="AQ192" s="7">
        <f>(AO192-AP192)/AO192*100</f>
        <v>5.5719112445911056</v>
      </c>
      <c r="AR192" s="3">
        <f>AL192*(1-AQ192/100)</f>
        <v>4367.4971808655691</v>
      </c>
      <c r="AS192" s="11">
        <f>M192</f>
        <v>43054</v>
      </c>
      <c r="AT192" s="7">
        <f>SUM(N192:N194)</f>
        <v>27.730000000000004</v>
      </c>
      <c r="AU192" s="7">
        <f>SUM(O192:O194)</f>
        <v>9.8600000000000012</v>
      </c>
      <c r="AV192" s="7">
        <f>SUM(P192:P194)</f>
        <v>18.04</v>
      </c>
      <c r="AW192" s="9">
        <f>(AU192-3*$A$39)/(AT192-3*$A$39)</f>
        <v>0.34422018348623851</v>
      </c>
      <c r="AX192" s="9">
        <f>(AV192-3*$A$40)/(AT192-3*$A$39)</f>
        <v>0.47706422018348615</v>
      </c>
      <c r="AY192" s="9">
        <f>1-AW192-AX192</f>
        <v>0.17871559633027534</v>
      </c>
      <c r="AZ192" s="3">
        <f>AL192*AW192</f>
        <v>1592.0905535505306</v>
      </c>
      <c r="BA192" s="3">
        <f>AL192*AX192</f>
        <v>2206.5220891425261</v>
      </c>
      <c r="BB192" s="3">
        <f>AZ192+BA192</f>
        <v>3798.6126426930568</v>
      </c>
      <c r="BC192" s="3">
        <f>AR192*AW192</f>
        <v>1503.3806809731757</v>
      </c>
      <c r="BD192" s="3">
        <f>AR192*AX192</f>
        <v>2083.576636743207</v>
      </c>
      <c r="BE192" s="3">
        <f>BC192+BD192</f>
        <v>3586.9573177163829</v>
      </c>
      <c r="BF192" s="11">
        <f>Z193</f>
        <v>43077</v>
      </c>
      <c r="BG192" s="13">
        <f>AVERAGE(AA192:AA194)</f>
        <v>42</v>
      </c>
      <c r="BH192" s="7">
        <f t="shared" ref="BH192" si="277">AVERAGE(AB192:AB194)</f>
        <v>1.1000000000000001</v>
      </c>
      <c r="BI192" s="3">
        <f t="shared" ref="BI192" si="278">AVERAGE(AC192:AC194)</f>
        <v>78.8</v>
      </c>
      <c r="BJ192" s="3">
        <f t="shared" ref="BJ192" si="279">AVERAGE(AD192:AD194)</f>
        <v>29.7</v>
      </c>
      <c r="BK192" s="3">
        <f t="shared" ref="BK192" si="280">AVERAGE(AE192:AE194)</f>
        <v>6.2</v>
      </c>
      <c r="BL192" s="3">
        <f t="shared" ref="BL192" si="281">AVERAGE(AF192:AF194)</f>
        <v>11.3</v>
      </c>
    </row>
    <row r="193" spans="1:64" x14ac:dyDescent="0.25">
      <c r="A193">
        <v>146</v>
      </c>
      <c r="B193" s="1" t="s">
        <v>198</v>
      </c>
      <c r="C193" s="1" t="s">
        <v>32</v>
      </c>
      <c r="D193" s="2">
        <v>43047</v>
      </c>
      <c r="E193" s="3">
        <v>20.100000000000001</v>
      </c>
      <c r="F193" s="4">
        <f t="shared" si="239"/>
        <v>4401.985354330709</v>
      </c>
      <c r="G193" s="7">
        <v>9.73</v>
      </c>
      <c r="H193" s="7">
        <v>177.12</v>
      </c>
      <c r="I193" s="7">
        <f t="shared" si="256"/>
        <v>167.39000000000001</v>
      </c>
      <c r="J193" s="7">
        <v>157.99</v>
      </c>
      <c r="K193" s="5">
        <f t="shared" si="240"/>
        <v>5.6156281737260318</v>
      </c>
      <c r="L193" s="4">
        <f t="shared" si="241"/>
        <v>4154.7862245696206</v>
      </c>
      <c r="M193" s="2">
        <v>43054</v>
      </c>
      <c r="N193" s="7">
        <v>8.83</v>
      </c>
      <c r="O193" s="7">
        <v>3.18</v>
      </c>
      <c r="P193" s="7">
        <v>5.88</v>
      </c>
      <c r="Q193" s="6">
        <f t="shared" si="242"/>
        <v>0.34832756632064593</v>
      </c>
      <c r="R193" s="6">
        <f t="shared" si="243"/>
        <v>0.48442906574394468</v>
      </c>
      <c r="S193" s="6">
        <f t="shared" si="244"/>
        <v>0.16724336793540934</v>
      </c>
      <c r="T193" s="4">
        <f t="shared" si="245"/>
        <v>1533.3328454531422</v>
      </c>
      <c r="U193" s="4">
        <f t="shared" si="246"/>
        <v>2132.4496526169528</v>
      </c>
      <c r="V193" s="4">
        <f t="shared" si="247"/>
        <v>3665.7824980700952</v>
      </c>
      <c r="W193" s="4">
        <f t="shared" si="248"/>
        <v>1447.2265741868807</v>
      </c>
      <c r="X193" s="4">
        <f t="shared" si="249"/>
        <v>2012.6992091340724</v>
      </c>
      <c r="Y193" s="4">
        <f t="shared" si="250"/>
        <v>3459.9257833209531</v>
      </c>
      <c r="Z193" s="10">
        <v>43077</v>
      </c>
      <c r="AA193" s="12">
        <v>42</v>
      </c>
      <c r="AB193" s="5">
        <v>1.1000000000000001</v>
      </c>
      <c r="AC193" s="4">
        <v>78.8</v>
      </c>
      <c r="AD193" s="4">
        <v>29.7</v>
      </c>
      <c r="AE193" s="4">
        <v>6.2</v>
      </c>
      <c r="AF193" s="4">
        <v>11.3</v>
      </c>
      <c r="AK193" s="3"/>
      <c r="AL193" s="3"/>
      <c r="AM193" s="7"/>
      <c r="AN193" s="7"/>
      <c r="AO193" s="7"/>
      <c r="AP193" s="7"/>
      <c r="AQ193" s="7"/>
      <c r="AR193" s="3"/>
      <c r="AS193" s="3"/>
      <c r="AT193" s="7"/>
      <c r="AU193" s="7"/>
      <c r="AV193" s="7"/>
      <c r="AW193" s="9"/>
      <c r="AX193" s="9"/>
      <c r="AY193" s="9"/>
      <c r="AZ193" s="3"/>
      <c r="BA193" s="3"/>
      <c r="BB193" s="3"/>
      <c r="BC193" s="3"/>
      <c r="BD193" s="3"/>
      <c r="BE193" s="3"/>
      <c r="BG193" s="13"/>
      <c r="BH193" s="7"/>
      <c r="BI193" s="3"/>
      <c r="BJ193" s="3"/>
      <c r="BK193" s="3"/>
      <c r="BL193" s="3"/>
    </row>
    <row r="194" spans="1:64" x14ac:dyDescent="0.25">
      <c r="A194">
        <v>147</v>
      </c>
      <c r="B194" s="1" t="s">
        <v>199</v>
      </c>
      <c r="C194" s="1" t="s">
        <v>32</v>
      </c>
      <c r="D194" s="2">
        <v>43047</v>
      </c>
      <c r="E194" s="3">
        <v>20.8</v>
      </c>
      <c r="F194" s="4">
        <f t="shared" si="239"/>
        <v>4558.2424409448822</v>
      </c>
      <c r="G194" s="7">
        <v>9.73</v>
      </c>
      <c r="H194" s="7">
        <v>165.82</v>
      </c>
      <c r="I194" s="7">
        <f t="shared" si="256"/>
        <v>156.09</v>
      </c>
      <c r="J194" s="7">
        <v>147.13</v>
      </c>
      <c r="K194" s="5">
        <f t="shared" si="240"/>
        <v>5.7402780447177966</v>
      </c>
      <c r="L194" s="4">
        <f t="shared" si="241"/>
        <v>4296.5866508823146</v>
      </c>
      <c r="M194" s="2">
        <v>43054</v>
      </c>
      <c r="N194" s="7">
        <v>9.1300000000000008</v>
      </c>
      <c r="O194" s="7">
        <v>3.22</v>
      </c>
      <c r="P194" s="7">
        <v>5.96</v>
      </c>
      <c r="Q194" s="6">
        <f t="shared" si="242"/>
        <v>0.34113712374581939</v>
      </c>
      <c r="R194" s="6">
        <f t="shared" si="243"/>
        <v>0.47714604236343366</v>
      </c>
      <c r="S194" s="6">
        <f t="shared" si="244"/>
        <v>0.18171683389074694</v>
      </c>
      <c r="T194" s="4">
        <f t="shared" si="245"/>
        <v>1554.9857156400601</v>
      </c>
      <c r="U194" s="4">
        <f t="shared" si="246"/>
        <v>2174.9473408298882</v>
      </c>
      <c r="V194" s="4">
        <f t="shared" si="247"/>
        <v>3729.9330564699485</v>
      </c>
      <c r="W194" s="4">
        <f t="shared" si="248"/>
        <v>1465.725212006676</v>
      </c>
      <c r="X194" s="4">
        <f t="shared" si="249"/>
        <v>2050.0993161400565</v>
      </c>
      <c r="Y194" s="4">
        <f t="shared" si="250"/>
        <v>3515.8245281467325</v>
      </c>
      <c r="Z194" s="10"/>
      <c r="AA194" s="12"/>
      <c r="AB194" s="5"/>
      <c r="AC194" s="4"/>
      <c r="AD194" s="4"/>
      <c r="AE194" s="4"/>
      <c r="AF194" s="4"/>
      <c r="AK194" s="3"/>
      <c r="AL194" s="3"/>
      <c r="AM194" s="7"/>
      <c r="AN194" s="7"/>
      <c r="AO194" s="7"/>
      <c r="AP194" s="7"/>
      <c r="AQ194" s="7"/>
      <c r="AR194" s="3"/>
      <c r="AS194" s="3"/>
      <c r="AT194" s="7"/>
      <c r="AU194" s="7"/>
      <c r="AV194" s="7"/>
      <c r="AW194" s="9"/>
      <c r="AX194" s="9"/>
      <c r="AY194" s="9"/>
      <c r="AZ194" s="3"/>
      <c r="BA194" s="3"/>
      <c r="BB194" s="3"/>
      <c r="BC194" s="3"/>
      <c r="BD194" s="3"/>
      <c r="BE194" s="3"/>
      <c r="BG194" s="13"/>
      <c r="BH194" s="7"/>
      <c r="BI194" s="3"/>
      <c r="BJ194" s="3"/>
      <c r="BK194" s="3"/>
      <c r="BL194" s="3"/>
    </row>
    <row r="195" spans="1:64" x14ac:dyDescent="0.25">
      <c r="A195">
        <v>148</v>
      </c>
      <c r="B195" s="1" t="s">
        <v>200</v>
      </c>
      <c r="C195" s="1" t="s">
        <v>32</v>
      </c>
      <c r="D195" s="2">
        <v>43047</v>
      </c>
      <c r="E195" s="3">
        <v>20.399999999999999</v>
      </c>
      <c r="F195" s="4">
        <f t="shared" si="239"/>
        <v>4468.9526771653536</v>
      </c>
      <c r="G195" s="7">
        <v>9.6999999999999993</v>
      </c>
      <c r="H195" s="7">
        <v>188.25</v>
      </c>
      <c r="I195" s="7">
        <f t="shared" si="256"/>
        <v>178.55</v>
      </c>
      <c r="J195" s="7">
        <v>169.08</v>
      </c>
      <c r="K195" s="5">
        <f t="shared" si="240"/>
        <v>5.3038364603752441</v>
      </c>
      <c r="L195" s="4">
        <f t="shared" si="241"/>
        <v>4231.9267356769424</v>
      </c>
      <c r="M195" s="2">
        <v>43054</v>
      </c>
      <c r="N195" s="7">
        <v>8.9600000000000009</v>
      </c>
      <c r="O195" s="7">
        <v>3.24</v>
      </c>
      <c r="P195" s="7">
        <v>5.9</v>
      </c>
      <c r="Q195" s="6">
        <f t="shared" si="242"/>
        <v>0.35</v>
      </c>
      <c r="R195" s="6">
        <f t="shared" si="243"/>
        <v>0.47954545454545455</v>
      </c>
      <c r="S195" s="6">
        <f t="shared" si="244"/>
        <v>0.17045454545454547</v>
      </c>
      <c r="T195" s="4">
        <f t="shared" si="245"/>
        <v>1564.1334370078737</v>
      </c>
      <c r="U195" s="4">
        <f t="shared" si="246"/>
        <v>2143.0659429133857</v>
      </c>
      <c r="V195" s="4">
        <f t="shared" si="247"/>
        <v>3707.1993799212596</v>
      </c>
      <c r="W195" s="4">
        <f t="shared" si="248"/>
        <v>1481.1743574869297</v>
      </c>
      <c r="X195" s="4">
        <f t="shared" si="249"/>
        <v>2029.401230063261</v>
      </c>
      <c r="Y195" s="4">
        <f t="shared" si="250"/>
        <v>3510.5755875501909</v>
      </c>
      <c r="Z195" s="10"/>
      <c r="AA195" s="12"/>
      <c r="AB195" s="5"/>
      <c r="AC195" s="4"/>
      <c r="AD195" s="4"/>
      <c r="AE195" s="4"/>
      <c r="AF195" s="4"/>
      <c r="AH195" t="s">
        <v>297</v>
      </c>
      <c r="AI195" t="s">
        <v>32</v>
      </c>
      <c r="AJ195" s="8">
        <f>D195</f>
        <v>43047</v>
      </c>
      <c r="AK195" s="3">
        <f>SUM(E195:E197)</f>
        <v>58.199999999999996</v>
      </c>
      <c r="AL195" s="3">
        <f>(AK195-3*$A$35)*$A$36/(3*$A$37)*$A$38</f>
        <v>4245.7282677165349</v>
      </c>
      <c r="AM195" s="7">
        <f>SUM(G195:G197)</f>
        <v>29.08</v>
      </c>
      <c r="AN195" s="7">
        <f>SUM(H195:H197)</f>
        <v>494.04999999999995</v>
      </c>
      <c r="AO195" s="7">
        <f>AN195-AM195</f>
        <v>464.96999999999997</v>
      </c>
      <c r="AP195" s="7">
        <f>SUM(J195:J197)</f>
        <v>440.42999999999995</v>
      </c>
      <c r="AQ195" s="7">
        <f>(AO195-AP195)/AO195*100</f>
        <v>5.2777598554745513</v>
      </c>
      <c r="AR195" s="3">
        <f>AL195*(1-AQ195/100)</f>
        <v>4021.6489256304567</v>
      </c>
      <c r="AS195" s="11">
        <f>M195</f>
        <v>43054</v>
      </c>
      <c r="AT195" s="7">
        <f>SUM(N195:N197)</f>
        <v>25.5</v>
      </c>
      <c r="AU195" s="7">
        <f>SUM(O195:O197)</f>
        <v>9.02</v>
      </c>
      <c r="AV195" s="7">
        <f>SUM(P195:P197)</f>
        <v>17.02</v>
      </c>
      <c r="AW195" s="9">
        <f>(AU195-3*$A$39)/(AT195-3*$A$39)</f>
        <v>0.34132693844924056</v>
      </c>
      <c r="AX195" s="9">
        <f>(AV195-3*$A$40)/(AT195-3*$A$39)</f>
        <v>0.47881694644284573</v>
      </c>
      <c r="AY195" s="9">
        <f>1-AW195-AX195</f>
        <v>0.17985611510791372</v>
      </c>
      <c r="AZ195" s="3">
        <f>AL195*AW195</f>
        <v>1449.1814311070825</v>
      </c>
      <c r="BA195" s="3">
        <f>AL195*AX195</f>
        <v>2032.9266445741043</v>
      </c>
      <c r="BB195" s="3">
        <f>AZ195+BA195</f>
        <v>3482.1080756811871</v>
      </c>
      <c r="BC195" s="3">
        <f>AR195*AW195</f>
        <v>1372.6971153031213</v>
      </c>
      <c r="BD195" s="3">
        <f>AR195*AX195</f>
        <v>1925.6336582355264</v>
      </c>
      <c r="BE195" s="3">
        <f>BC195+BD195</f>
        <v>3298.3307735386479</v>
      </c>
      <c r="BF195" s="11">
        <f>Z196</f>
        <v>43077</v>
      </c>
      <c r="BG195" s="13">
        <f>AVERAGE(AA195:AA197)</f>
        <v>41</v>
      </c>
      <c r="BH195" s="7">
        <f t="shared" ref="BH195" si="282">AVERAGE(AB195:AB197)</f>
        <v>1.1100000000000001</v>
      </c>
      <c r="BI195" s="3">
        <f t="shared" ref="BI195" si="283">AVERAGE(AC195:AC197)</f>
        <v>78.400000000000006</v>
      </c>
      <c r="BJ195" s="3">
        <f t="shared" ref="BJ195" si="284">AVERAGE(AD195:AD197)</f>
        <v>30.7</v>
      </c>
      <c r="BK195" s="3">
        <f t="shared" ref="BK195" si="285">AVERAGE(AE195:AE197)</f>
        <v>6.1</v>
      </c>
      <c r="BL195" s="3">
        <f t="shared" ref="BL195" si="286">AVERAGE(AF195:AF197)</f>
        <v>11.9</v>
      </c>
    </row>
    <row r="196" spans="1:64" x14ac:dyDescent="0.25">
      <c r="A196">
        <v>149</v>
      </c>
      <c r="B196" s="1" t="s">
        <v>201</v>
      </c>
      <c r="C196" s="1" t="s">
        <v>32</v>
      </c>
      <c r="D196" s="2">
        <v>43047</v>
      </c>
      <c r="E196" s="3">
        <v>18.2</v>
      </c>
      <c r="F196" s="4">
        <f t="shared" si="239"/>
        <v>3977.8589763779528</v>
      </c>
      <c r="G196" s="7">
        <v>9.6999999999999993</v>
      </c>
      <c r="H196" s="7">
        <v>150.02000000000001</v>
      </c>
      <c r="I196" s="7">
        <f t="shared" si="256"/>
        <v>140.32000000000002</v>
      </c>
      <c r="J196" s="7">
        <v>133.18</v>
      </c>
      <c r="K196" s="5">
        <f t="shared" si="240"/>
        <v>5.0883694412770906</v>
      </c>
      <c r="L196" s="4">
        <f t="shared" si="241"/>
        <v>3775.4508158068397</v>
      </c>
      <c r="M196" s="2">
        <v>43054</v>
      </c>
      <c r="N196" s="7">
        <v>7.97</v>
      </c>
      <c r="O196" s="7">
        <v>2.8</v>
      </c>
      <c r="P196" s="7">
        <v>5.46</v>
      </c>
      <c r="Q196" s="6">
        <f t="shared" si="242"/>
        <v>0.3380281690140845</v>
      </c>
      <c r="R196" s="6">
        <f t="shared" si="243"/>
        <v>0.48399487836107558</v>
      </c>
      <c r="S196" s="6">
        <f t="shared" si="244"/>
        <v>0.17797695262483992</v>
      </c>
      <c r="T196" s="4">
        <f t="shared" si="245"/>
        <v>1344.6283863812798</v>
      </c>
      <c r="U196" s="4">
        <f t="shared" si="246"/>
        <v>1925.2633714095598</v>
      </c>
      <c r="V196" s="4">
        <f t="shared" si="247"/>
        <v>3269.8917577908396</v>
      </c>
      <c r="W196" s="4">
        <f t="shared" si="248"/>
        <v>1276.2087264699176</v>
      </c>
      <c r="X196" s="4">
        <f t="shared" si="249"/>
        <v>1827.2988583546548</v>
      </c>
      <c r="Y196" s="4">
        <f t="shared" si="250"/>
        <v>3103.5075848245724</v>
      </c>
      <c r="Z196" s="10">
        <v>43077</v>
      </c>
      <c r="AA196" s="12">
        <v>41</v>
      </c>
      <c r="AB196" s="5">
        <v>1.1100000000000001</v>
      </c>
      <c r="AC196" s="4">
        <v>78.400000000000006</v>
      </c>
      <c r="AD196" s="4">
        <v>30.7</v>
      </c>
      <c r="AE196" s="4">
        <v>6.1</v>
      </c>
      <c r="AF196" s="4">
        <v>11.9</v>
      </c>
      <c r="AK196" s="3"/>
      <c r="AL196" s="3"/>
      <c r="AM196" s="7"/>
      <c r="AN196" s="7"/>
      <c r="AO196" s="7"/>
      <c r="AP196" s="7"/>
      <c r="AQ196" s="7"/>
      <c r="AR196" s="3"/>
      <c r="AS196" s="3"/>
      <c r="AT196" s="7"/>
      <c r="AU196" s="7"/>
      <c r="AV196" s="7"/>
      <c r="AW196" s="9"/>
      <c r="AX196" s="9"/>
      <c r="AY196" s="9"/>
      <c r="AZ196" s="3"/>
      <c r="BA196" s="3"/>
      <c r="BB196" s="3"/>
      <c r="BC196" s="3"/>
      <c r="BD196" s="3"/>
      <c r="BE196" s="3"/>
      <c r="BG196" s="13"/>
      <c r="BH196" s="7"/>
      <c r="BI196" s="3"/>
      <c r="BJ196" s="3"/>
      <c r="BK196" s="3"/>
      <c r="BL196" s="3"/>
    </row>
    <row r="197" spans="1:64" x14ac:dyDescent="0.25">
      <c r="A197">
        <v>150</v>
      </c>
      <c r="B197" s="1" t="s">
        <v>202</v>
      </c>
      <c r="C197" s="1" t="s">
        <v>32</v>
      </c>
      <c r="D197" s="2">
        <v>43047</v>
      </c>
      <c r="E197" s="3">
        <v>19.600000000000001</v>
      </c>
      <c r="F197" s="4">
        <f t="shared" si="239"/>
        <v>4290.3731496062992</v>
      </c>
      <c r="G197" s="7">
        <v>9.68</v>
      </c>
      <c r="H197" s="7">
        <v>155.78</v>
      </c>
      <c r="I197" s="7">
        <f t="shared" si="256"/>
        <v>146.1</v>
      </c>
      <c r="J197" s="7">
        <v>138.16999999999999</v>
      </c>
      <c r="K197" s="5">
        <f t="shared" si="240"/>
        <v>5.4277891854893952</v>
      </c>
      <c r="L197" s="4">
        <f t="shared" si="241"/>
        <v>4057.5007397748277</v>
      </c>
      <c r="M197" s="2">
        <v>43054</v>
      </c>
      <c r="N197" s="7">
        <v>8.57</v>
      </c>
      <c r="O197" s="7">
        <v>2.98</v>
      </c>
      <c r="P197" s="7">
        <v>5.66</v>
      </c>
      <c r="Q197" s="6">
        <f t="shared" si="242"/>
        <v>0.33531510107015455</v>
      </c>
      <c r="R197" s="6">
        <f t="shared" si="243"/>
        <v>0.47324613555291323</v>
      </c>
      <c r="S197" s="6">
        <f t="shared" si="244"/>
        <v>0.19143876337693227</v>
      </c>
      <c r="T197" s="4">
        <f t="shared" si="245"/>
        <v>1438.6269062889135</v>
      </c>
      <c r="U197" s="4">
        <f t="shared" si="246"/>
        <v>2030.4025131311619</v>
      </c>
      <c r="V197" s="4">
        <f t="shared" si="247"/>
        <v>3469.0294194200751</v>
      </c>
      <c r="W197" s="4">
        <f t="shared" si="248"/>
        <v>1360.5412706498232</v>
      </c>
      <c r="X197" s="4">
        <f t="shared" si="249"/>
        <v>1920.1965451015237</v>
      </c>
      <c r="Y197" s="4">
        <f t="shared" si="250"/>
        <v>3280.7378157513467</v>
      </c>
      <c r="Z197" s="10"/>
      <c r="AA197" s="12"/>
      <c r="AB197" s="5"/>
      <c r="AC197" s="4"/>
      <c r="AD197" s="4"/>
      <c r="AE197" s="4"/>
      <c r="AF197" s="4"/>
      <c r="AK197" s="3"/>
      <c r="AL197" s="3"/>
      <c r="AM197" s="7"/>
      <c r="AN197" s="7"/>
      <c r="AO197" s="7"/>
      <c r="AP197" s="7"/>
      <c r="AQ197" s="7"/>
      <c r="AR197" s="3"/>
      <c r="AS197" s="3"/>
      <c r="AT197" s="7"/>
      <c r="AU197" s="7"/>
      <c r="AV197" s="7"/>
      <c r="AW197" s="9"/>
      <c r="AX197" s="9"/>
      <c r="AY197" s="9"/>
      <c r="AZ197" s="3"/>
      <c r="BA197" s="3"/>
      <c r="BB197" s="3"/>
      <c r="BC197" s="3"/>
      <c r="BD197" s="3"/>
      <c r="BE197" s="3"/>
      <c r="BG197" s="13"/>
      <c r="BH197" s="7"/>
      <c r="BI197" s="3"/>
      <c r="BJ197" s="3"/>
      <c r="BK197" s="3"/>
      <c r="BL197" s="3"/>
    </row>
    <row r="198" spans="1:64" x14ac:dyDescent="0.25">
      <c r="A198">
        <v>151</v>
      </c>
      <c r="B198" s="1" t="s">
        <v>203</v>
      </c>
      <c r="C198" s="1" t="s">
        <v>32</v>
      </c>
      <c r="D198" s="2">
        <v>43047</v>
      </c>
      <c r="E198" s="3">
        <v>13.3</v>
      </c>
      <c r="F198" s="4">
        <f t="shared" si="239"/>
        <v>2884.0593700787404</v>
      </c>
      <c r="G198" s="7">
        <v>9.74</v>
      </c>
      <c r="H198" s="7">
        <v>195.99</v>
      </c>
      <c r="I198" s="7">
        <f t="shared" si="256"/>
        <v>186.25</v>
      </c>
      <c r="J198" s="7">
        <v>175.76</v>
      </c>
      <c r="K198" s="5">
        <f t="shared" si="240"/>
        <v>5.6322147651006755</v>
      </c>
      <c r="L198" s="4">
        <f t="shared" si="241"/>
        <v>2721.6229524028959</v>
      </c>
      <c r="M198" s="2">
        <v>43054</v>
      </c>
      <c r="N198" s="7">
        <v>5.72</v>
      </c>
      <c r="O198" s="7">
        <v>1.94</v>
      </c>
      <c r="P198" s="7">
        <v>4.28</v>
      </c>
      <c r="Q198" s="6">
        <f t="shared" si="242"/>
        <v>0.32014388489208634</v>
      </c>
      <c r="R198" s="6">
        <f t="shared" si="243"/>
        <v>0.46762589928057569</v>
      </c>
      <c r="S198" s="6">
        <f t="shared" si="244"/>
        <v>0.21223021582733798</v>
      </c>
      <c r="T198" s="4">
        <f t="shared" si="245"/>
        <v>923.31397099643129</v>
      </c>
      <c r="U198" s="4">
        <f t="shared" si="246"/>
        <v>1348.6608565116417</v>
      </c>
      <c r="V198" s="4">
        <f t="shared" si="247"/>
        <v>2271.9748275080728</v>
      </c>
      <c r="W198" s="4">
        <f t="shared" si="248"/>
        <v>871.31094519373289</v>
      </c>
      <c r="X198" s="4">
        <f t="shared" si="249"/>
        <v>1272.7013806200596</v>
      </c>
      <c r="Y198" s="4">
        <f t="shared" si="250"/>
        <v>2144.0123258137924</v>
      </c>
      <c r="Z198" s="10"/>
      <c r="AA198" s="12"/>
      <c r="AB198" s="5"/>
      <c r="AC198" s="4"/>
      <c r="AD198" s="4"/>
      <c r="AE198" s="4"/>
      <c r="AF198" s="4"/>
      <c r="AH198" t="s">
        <v>298</v>
      </c>
      <c r="AI198" t="s">
        <v>32</v>
      </c>
      <c r="AJ198" s="8">
        <f>D198</f>
        <v>43047</v>
      </c>
      <c r="AK198" s="3">
        <f>SUM(E198:E200)</f>
        <v>41.5</v>
      </c>
      <c r="AL198" s="3">
        <f>(AK198-3*$A$35)*$A$36/(3*$A$37)*$A$38</f>
        <v>3003.1123884514432</v>
      </c>
      <c r="AM198" s="7">
        <f>SUM(G198:G200)</f>
        <v>29.089999999999996</v>
      </c>
      <c r="AN198" s="7">
        <f>SUM(H198:H200)</f>
        <v>599.72</v>
      </c>
      <c r="AO198" s="7">
        <f>AN198-AM198</f>
        <v>570.63</v>
      </c>
      <c r="AP198" s="7">
        <f>SUM(J198:J200)</f>
        <v>539.55999999999995</v>
      </c>
      <c r="AQ198" s="7">
        <f>(AO198-AP198)/AO198*100</f>
        <v>5.4448591907190389</v>
      </c>
      <c r="AR198" s="3">
        <f>AL198*(1-AQ198/100)</f>
        <v>2839.5971475612228</v>
      </c>
      <c r="AS198" s="11">
        <f>M198</f>
        <v>43054</v>
      </c>
      <c r="AT198" s="7">
        <f>SUM(N198:N200)</f>
        <v>17.939999999999998</v>
      </c>
      <c r="AU198" s="7">
        <f>SUM(O198:O200)</f>
        <v>6.18</v>
      </c>
      <c r="AV198" s="7">
        <f>SUM(P198:P200)</f>
        <v>13.34</v>
      </c>
      <c r="AW198" s="9">
        <f>(AU198-3*$A$39)/(AT198-3*$A$39)</f>
        <v>0.32646048109965636</v>
      </c>
      <c r="AX198" s="9">
        <f>(AV198-3*$A$40)/(AT198-3*$A$39)</f>
        <v>0.47537227949599092</v>
      </c>
      <c r="AY198" s="9">
        <f>1-AW198-AX198</f>
        <v>0.19816723940435277</v>
      </c>
      <c r="AZ198" s="3">
        <f>AL198*AW198</f>
        <v>980.39751513019621</v>
      </c>
      <c r="BA198" s="3">
        <f>AL198*AX198</f>
        <v>1427.5963816808123</v>
      </c>
      <c r="BB198" s="3">
        <f>AZ198+BA198</f>
        <v>2407.9938968110087</v>
      </c>
      <c r="BC198" s="3">
        <f>AR198*AW198</f>
        <v>927.0162509220487</v>
      </c>
      <c r="BD198" s="3">
        <f>AR198*AX198</f>
        <v>1349.8657688864921</v>
      </c>
      <c r="BE198" s="3">
        <f>BC198+BD198</f>
        <v>2276.8820198085409</v>
      </c>
      <c r="BF198" s="11">
        <f>Z199</f>
        <v>43077</v>
      </c>
      <c r="BG198" s="13">
        <f>AVERAGE(AA198:AA200)</f>
        <v>38</v>
      </c>
      <c r="BH198" s="7">
        <f t="shared" ref="BH198" si="287">AVERAGE(AB198:AB200)</f>
        <v>1.18</v>
      </c>
      <c r="BI198" s="3">
        <f t="shared" ref="BI198" si="288">AVERAGE(AC198:AC200)</f>
        <v>80.599999999999994</v>
      </c>
      <c r="BJ198" s="3">
        <f t="shared" ref="BJ198" si="289">AVERAGE(AD198:AD200)</f>
        <v>31.9</v>
      </c>
      <c r="BK198" s="3">
        <f t="shared" ref="BK198" si="290">AVERAGE(AE198:AE200)</f>
        <v>5.9</v>
      </c>
      <c r="BL198" s="3">
        <f t="shared" ref="BL198" si="291">AVERAGE(AF198:AF200)</f>
        <v>9.8000000000000007</v>
      </c>
    </row>
    <row r="199" spans="1:64" x14ac:dyDescent="0.25">
      <c r="A199">
        <v>152</v>
      </c>
      <c r="B199" s="1" t="s">
        <v>204</v>
      </c>
      <c r="C199" s="1" t="s">
        <v>32</v>
      </c>
      <c r="D199" s="2">
        <v>43047</v>
      </c>
      <c r="E199" s="3">
        <v>12.4</v>
      </c>
      <c r="F199" s="4">
        <f t="shared" si="239"/>
        <v>2683.1574015748029</v>
      </c>
      <c r="G199" s="7">
        <v>9.66</v>
      </c>
      <c r="H199" s="7">
        <v>190.21</v>
      </c>
      <c r="I199" s="7">
        <f t="shared" si="256"/>
        <v>180.55</v>
      </c>
      <c r="J199" s="7">
        <v>170.52</v>
      </c>
      <c r="K199" s="5">
        <f t="shared" si="240"/>
        <v>5.5552478537801164</v>
      </c>
      <c r="L199" s="4">
        <f t="shared" si="241"/>
        <v>2534.101357610276</v>
      </c>
      <c r="M199" s="2">
        <v>43054</v>
      </c>
      <c r="N199" s="7">
        <v>5.32</v>
      </c>
      <c r="O199" s="7">
        <v>1.84</v>
      </c>
      <c r="P199" s="7">
        <v>4.12</v>
      </c>
      <c r="Q199" s="6">
        <f t="shared" si="242"/>
        <v>0.32558139534883723</v>
      </c>
      <c r="R199" s="6">
        <f t="shared" si="243"/>
        <v>0.47286821705426363</v>
      </c>
      <c r="S199" s="6">
        <f t="shared" si="244"/>
        <v>0.20155038759689914</v>
      </c>
      <c r="T199" s="4">
        <f t="shared" si="245"/>
        <v>873.58613074528466</v>
      </c>
      <c r="U199" s="4">
        <f t="shared" si="246"/>
        <v>1268.7798565586279</v>
      </c>
      <c r="V199" s="4">
        <f t="shared" si="247"/>
        <v>2142.3659873039123</v>
      </c>
      <c r="W199" s="4">
        <f t="shared" si="248"/>
        <v>825.0562559661364</v>
      </c>
      <c r="X199" s="4">
        <f t="shared" si="249"/>
        <v>1198.2959908079602</v>
      </c>
      <c r="Y199" s="4">
        <f t="shared" si="250"/>
        <v>2023.3522467740966</v>
      </c>
      <c r="Z199" s="10">
        <v>43077</v>
      </c>
      <c r="AA199" s="12">
        <v>38</v>
      </c>
      <c r="AB199" s="5">
        <v>1.18</v>
      </c>
      <c r="AC199" s="4">
        <v>80.599999999999994</v>
      </c>
      <c r="AD199" s="4">
        <v>31.9</v>
      </c>
      <c r="AE199" s="4">
        <v>5.9</v>
      </c>
      <c r="AF199" s="4">
        <v>9.8000000000000007</v>
      </c>
      <c r="AK199" s="3"/>
      <c r="AL199" s="3"/>
      <c r="AM199" s="7"/>
      <c r="AN199" s="7"/>
      <c r="AO199" s="7"/>
      <c r="AP199" s="7"/>
      <c r="AQ199" s="7"/>
      <c r="AR199" s="3"/>
      <c r="AS199" s="3"/>
      <c r="AT199" s="7"/>
      <c r="AU199" s="7"/>
      <c r="AV199" s="7"/>
      <c r="AW199" s="9"/>
      <c r="AX199" s="9"/>
      <c r="AY199" s="9"/>
      <c r="AZ199" s="3"/>
      <c r="BA199" s="3"/>
      <c r="BB199" s="3"/>
      <c r="BC199" s="3"/>
      <c r="BD199" s="3"/>
      <c r="BE199" s="3"/>
      <c r="BG199" s="13"/>
      <c r="BH199" s="7"/>
      <c r="BI199" s="3"/>
      <c r="BJ199" s="3"/>
      <c r="BK199" s="3"/>
      <c r="BL199" s="3"/>
    </row>
    <row r="200" spans="1:64" x14ac:dyDescent="0.25">
      <c r="A200">
        <v>153</v>
      </c>
      <c r="B200" s="1" t="s">
        <v>205</v>
      </c>
      <c r="C200" s="1" t="s">
        <v>32</v>
      </c>
      <c r="D200" s="2">
        <v>43047</v>
      </c>
      <c r="E200" s="3">
        <v>15.8</v>
      </c>
      <c r="F200" s="4">
        <f t="shared" si="239"/>
        <v>3442.1203937007872</v>
      </c>
      <c r="G200" s="7">
        <v>9.69</v>
      </c>
      <c r="H200" s="7">
        <v>213.52</v>
      </c>
      <c r="I200" s="7">
        <f t="shared" si="256"/>
        <v>203.83</v>
      </c>
      <c r="J200" s="7">
        <v>193.28</v>
      </c>
      <c r="K200" s="5">
        <f t="shared" si="240"/>
        <v>5.1758818623362659</v>
      </c>
      <c r="L200" s="4">
        <f t="shared" si="241"/>
        <v>3263.9603085634508</v>
      </c>
      <c r="M200" s="2">
        <v>43054</v>
      </c>
      <c r="N200" s="7">
        <v>6.9</v>
      </c>
      <c r="O200" s="7">
        <v>2.4</v>
      </c>
      <c r="P200" s="7">
        <v>4.9400000000000004</v>
      </c>
      <c r="Q200" s="6">
        <f t="shared" si="242"/>
        <v>0.33234421364985156</v>
      </c>
      <c r="R200" s="6">
        <f t="shared" si="243"/>
        <v>0.48367952522255203</v>
      </c>
      <c r="S200" s="6">
        <f t="shared" si="244"/>
        <v>0.18397626112759641</v>
      </c>
      <c r="T200" s="4">
        <f t="shared" si="245"/>
        <v>1143.9687955326056</v>
      </c>
      <c r="U200" s="4">
        <f t="shared" si="246"/>
        <v>1664.8831577840606</v>
      </c>
      <c r="V200" s="4">
        <f t="shared" si="247"/>
        <v>2808.8519533166664</v>
      </c>
      <c r="W200" s="4">
        <f t="shared" si="248"/>
        <v>1084.7583221338468</v>
      </c>
      <c r="X200" s="4">
        <f t="shared" si="249"/>
        <v>1578.7107723912243</v>
      </c>
      <c r="Y200" s="4">
        <f t="shared" si="250"/>
        <v>2663.4690945250713</v>
      </c>
      <c r="Z200" s="10"/>
      <c r="AA200" s="12"/>
      <c r="AB200" s="5"/>
      <c r="AC200" s="4"/>
      <c r="AD200" s="4"/>
      <c r="AE200" s="4"/>
      <c r="AF200" s="4"/>
      <c r="AK200" s="3"/>
      <c r="AL200" s="3"/>
      <c r="AM200" s="7"/>
      <c r="AN200" s="7"/>
      <c r="AO200" s="7"/>
      <c r="AP200" s="7"/>
      <c r="AQ200" s="7"/>
      <c r="AR200" s="3"/>
      <c r="AS200" s="3"/>
      <c r="AT200" s="7"/>
      <c r="AU200" s="7"/>
      <c r="AV200" s="7"/>
      <c r="AW200" s="9"/>
      <c r="AX200" s="9"/>
      <c r="AY200" s="9"/>
      <c r="AZ200" s="3"/>
      <c r="BA200" s="3"/>
      <c r="BB200" s="3"/>
      <c r="BC200" s="3"/>
      <c r="BD200" s="3"/>
      <c r="BE200" s="3"/>
      <c r="BG200" s="13"/>
      <c r="BH200" s="7"/>
      <c r="BI200" s="3"/>
      <c r="BJ200" s="3"/>
      <c r="BK200" s="3"/>
      <c r="BL200" s="3"/>
    </row>
    <row r="201" spans="1:64" x14ac:dyDescent="0.25">
      <c r="A201">
        <v>154</v>
      </c>
      <c r="B201" s="1" t="s">
        <v>206</v>
      </c>
      <c r="C201" s="1" t="s">
        <v>32</v>
      </c>
      <c r="D201" s="2">
        <v>43047</v>
      </c>
      <c r="E201" s="3">
        <v>18.7</v>
      </c>
      <c r="F201" s="4">
        <f t="shared" si="239"/>
        <v>4089.4711811023622</v>
      </c>
      <c r="G201" s="7">
        <v>9.6999999999999993</v>
      </c>
      <c r="H201" s="7">
        <v>175.94</v>
      </c>
      <c r="I201" s="7">
        <f t="shared" si="256"/>
        <v>166.24</v>
      </c>
      <c r="J201" s="7">
        <v>157.41999999999999</v>
      </c>
      <c r="K201" s="5">
        <f t="shared" si="240"/>
        <v>5.3055822906641126</v>
      </c>
      <c r="L201" s="4">
        <f t="shared" si="241"/>
        <v>3872.5009223359825</v>
      </c>
      <c r="M201" s="2">
        <v>43054</v>
      </c>
      <c r="N201" s="7">
        <v>8.1999999999999993</v>
      </c>
      <c r="O201" s="7">
        <v>2.92</v>
      </c>
      <c r="P201" s="7">
        <v>5.52</v>
      </c>
      <c r="Q201" s="6">
        <f t="shared" si="242"/>
        <v>0.34328358208955223</v>
      </c>
      <c r="R201" s="6">
        <f t="shared" si="243"/>
        <v>0.47761194029850751</v>
      </c>
      <c r="S201" s="6">
        <f t="shared" si="244"/>
        <v>0.17910447761194026</v>
      </c>
      <c r="T201" s="4">
        <f t="shared" si="245"/>
        <v>1403.8483159008108</v>
      </c>
      <c r="U201" s="4">
        <f t="shared" si="246"/>
        <v>1953.1802656011284</v>
      </c>
      <c r="V201" s="4">
        <f t="shared" si="247"/>
        <v>3357.0285815019392</v>
      </c>
      <c r="W201" s="4">
        <f t="shared" si="248"/>
        <v>1329.3659882645909</v>
      </c>
      <c r="X201" s="4">
        <f t="shared" si="249"/>
        <v>1849.5526793246486</v>
      </c>
      <c r="Y201" s="4">
        <f t="shared" si="250"/>
        <v>3178.9186675892397</v>
      </c>
      <c r="Z201" s="10"/>
      <c r="AA201" s="12"/>
      <c r="AB201" s="5"/>
      <c r="AC201" s="4"/>
      <c r="AD201" s="4"/>
      <c r="AE201" s="4"/>
      <c r="AF201" s="4"/>
      <c r="AH201" t="s">
        <v>299</v>
      </c>
      <c r="AI201" t="s">
        <v>32</v>
      </c>
      <c r="AJ201" s="8">
        <f>D201</f>
        <v>43047</v>
      </c>
      <c r="AK201" s="3">
        <f>SUM(E201:E203)</f>
        <v>55.099999999999994</v>
      </c>
      <c r="AL201" s="3">
        <f>(AK201-3*$A$35)*$A$36/(3*$A$37)*$A$38</f>
        <v>4015.0630446194218</v>
      </c>
      <c r="AM201" s="7">
        <f>SUM(G201:G203)</f>
        <v>29.1</v>
      </c>
      <c r="AN201" s="7">
        <f>SUM(H201:H203)</f>
        <v>603.5</v>
      </c>
      <c r="AO201" s="7">
        <f>AN201-AM201</f>
        <v>574.4</v>
      </c>
      <c r="AP201" s="7">
        <f>SUM(J201:J203)</f>
        <v>545.29</v>
      </c>
      <c r="AQ201" s="7">
        <f>(AO201-AP201)/AO201*100</f>
        <v>5.0678969359331498</v>
      </c>
      <c r="AR201" s="3">
        <f>AL201*(1-AQ201/100)</f>
        <v>3811.5837876053702</v>
      </c>
      <c r="AS201" s="11">
        <f>M201</f>
        <v>43054</v>
      </c>
      <c r="AT201" s="7">
        <f>SUM(N201:N203)</f>
        <v>24.04</v>
      </c>
      <c r="AU201" s="7">
        <f>SUM(O201:O203)</f>
        <v>8.64</v>
      </c>
      <c r="AV201" s="7">
        <f>SUM(P201:P203)</f>
        <v>16.38</v>
      </c>
      <c r="AW201" s="9">
        <f>(AU201-3*$A$39)/(AT201-3*$A$39)</f>
        <v>0.34634974533106966</v>
      </c>
      <c r="AX201" s="9">
        <f>(AV201-3*$A$40)/(AT201-3*$A$39)</f>
        <v>0.48132427843803061</v>
      </c>
      <c r="AY201" s="9">
        <f>1-AW201-AX201</f>
        <v>0.17232597623089974</v>
      </c>
      <c r="AZ201" s="3">
        <f>AL201*AW201</f>
        <v>1390.616062992126</v>
      </c>
      <c r="BA201" s="3">
        <f>AL201*AX201</f>
        <v>1932.5473228346455</v>
      </c>
      <c r="BB201" s="3">
        <f>AZ201+BA201</f>
        <v>3323.1633858267714</v>
      </c>
      <c r="BC201" s="3">
        <f>AR201*AW201</f>
        <v>1320.1410741451539</v>
      </c>
      <c r="BD201" s="3">
        <f>AR201*AX201</f>
        <v>1834.6078162752506</v>
      </c>
      <c r="BE201" s="3">
        <f>BC201+BD201</f>
        <v>3154.7488904204047</v>
      </c>
      <c r="BF201" s="11">
        <f>Z202</f>
        <v>43077</v>
      </c>
      <c r="BG201" s="13">
        <f>AVERAGE(AA201:AA203)</f>
        <v>41</v>
      </c>
      <c r="BH201" s="7">
        <f t="shared" ref="BH201" si="292">AVERAGE(AB201:AB203)</f>
        <v>1.1599999999999999</v>
      </c>
      <c r="BI201" s="3">
        <f t="shared" ref="BI201" si="293">AVERAGE(AC201:AC203)</f>
        <v>80.3</v>
      </c>
      <c r="BJ201" s="3">
        <f t="shared" ref="BJ201" si="294">AVERAGE(AD201:AD203)</f>
        <v>31.3</v>
      </c>
      <c r="BK201" s="3">
        <f t="shared" ref="BK201" si="295">AVERAGE(AE201:AE203)</f>
        <v>5.7</v>
      </c>
      <c r="BL201" s="3">
        <f t="shared" ref="BL201" si="296">AVERAGE(AF201:AF203)</f>
        <v>10.6</v>
      </c>
    </row>
    <row r="202" spans="1:64" x14ac:dyDescent="0.25">
      <c r="A202">
        <v>155</v>
      </c>
      <c r="B202" s="1" t="s">
        <v>207</v>
      </c>
      <c r="C202" s="1" t="s">
        <v>32</v>
      </c>
      <c r="D202" s="2">
        <v>43047</v>
      </c>
      <c r="E202" s="3">
        <v>19.899999999999999</v>
      </c>
      <c r="F202" s="4">
        <f t="shared" si="239"/>
        <v>4357.3404724409447</v>
      </c>
      <c r="G202" s="7">
        <v>9.68</v>
      </c>
      <c r="H202" s="7">
        <v>173.56</v>
      </c>
      <c r="I202" s="7">
        <f t="shared" si="256"/>
        <v>163.88</v>
      </c>
      <c r="J202" s="7">
        <v>155.69</v>
      </c>
      <c r="K202" s="5">
        <f t="shared" si="240"/>
        <v>4.9975591896509632</v>
      </c>
      <c r="L202" s="4">
        <f t="shared" si="241"/>
        <v>4139.5798032360917</v>
      </c>
      <c r="M202" s="2">
        <v>43054</v>
      </c>
      <c r="N202" s="7">
        <v>8.73</v>
      </c>
      <c r="O202" s="7">
        <v>3.12</v>
      </c>
      <c r="P202" s="7">
        <v>5.84</v>
      </c>
      <c r="Q202" s="6">
        <f t="shared" si="242"/>
        <v>0.34539089848308052</v>
      </c>
      <c r="R202" s="6">
        <f t="shared" si="243"/>
        <v>0.48541423570595099</v>
      </c>
      <c r="S202" s="6">
        <f t="shared" si="244"/>
        <v>0.16919486581096854</v>
      </c>
      <c r="T202" s="4">
        <f t="shared" si="245"/>
        <v>1504.9857407730685</v>
      </c>
      <c r="U202" s="4">
        <f t="shared" si="246"/>
        <v>2115.1150951405284</v>
      </c>
      <c r="V202" s="4">
        <f t="shared" si="247"/>
        <v>3620.1008359135967</v>
      </c>
      <c r="W202" s="4">
        <f t="shared" si="248"/>
        <v>1429.7731875821273</v>
      </c>
      <c r="X202" s="4">
        <f t="shared" si="249"/>
        <v>2009.4109663316385</v>
      </c>
      <c r="Y202" s="4">
        <f t="shared" si="250"/>
        <v>3439.1841539137658</v>
      </c>
      <c r="Z202" s="10">
        <v>43077</v>
      </c>
      <c r="AA202" s="12">
        <v>41</v>
      </c>
      <c r="AB202" s="5">
        <v>1.1599999999999999</v>
      </c>
      <c r="AC202" s="4">
        <v>80.3</v>
      </c>
      <c r="AD202" s="4">
        <v>31.3</v>
      </c>
      <c r="AE202" s="4">
        <v>5.7</v>
      </c>
      <c r="AF202" s="4">
        <v>10.6</v>
      </c>
      <c r="AK202" s="3"/>
      <c r="AL202" s="3"/>
      <c r="AM202" s="7"/>
      <c r="AN202" s="7"/>
      <c r="AO202" s="7"/>
      <c r="AP202" s="7"/>
      <c r="AQ202" s="7"/>
      <c r="AR202" s="3"/>
      <c r="AS202" s="3"/>
      <c r="AT202" s="7"/>
      <c r="AU202" s="7"/>
      <c r="AV202" s="7"/>
      <c r="AW202" s="9"/>
      <c r="AX202" s="9"/>
      <c r="AY202" s="9"/>
      <c r="AZ202" s="3"/>
      <c r="BA202" s="3"/>
      <c r="BB202" s="3"/>
      <c r="BC202" s="3"/>
      <c r="BD202" s="3"/>
      <c r="BE202" s="3"/>
      <c r="BG202" s="13"/>
      <c r="BH202" s="7"/>
      <c r="BI202" s="3"/>
      <c r="BJ202" s="3"/>
      <c r="BK202" s="3"/>
      <c r="BL202" s="3"/>
    </row>
    <row r="203" spans="1:64" x14ac:dyDescent="0.25">
      <c r="A203">
        <v>156</v>
      </c>
      <c r="B203" s="1" t="s">
        <v>208</v>
      </c>
      <c r="C203" s="1" t="s">
        <v>32</v>
      </c>
      <c r="D203" s="2">
        <v>43047</v>
      </c>
      <c r="E203" s="3">
        <v>16.5</v>
      </c>
      <c r="F203" s="4">
        <f t="shared" si="239"/>
        <v>3598.3774803149608</v>
      </c>
      <c r="G203" s="7">
        <v>9.7200000000000006</v>
      </c>
      <c r="H203" s="7">
        <v>254</v>
      </c>
      <c r="I203" s="7">
        <f t="shared" si="256"/>
        <v>244.28</v>
      </c>
      <c r="J203" s="7">
        <v>232.18</v>
      </c>
      <c r="K203" s="5">
        <f t="shared" si="240"/>
        <v>4.9533322416898615</v>
      </c>
      <c r="L203" s="4">
        <f t="shared" si="241"/>
        <v>3420.1378884048127</v>
      </c>
      <c r="M203" s="2">
        <v>43054</v>
      </c>
      <c r="N203" s="7">
        <v>7.11</v>
      </c>
      <c r="O203" s="7">
        <v>2.6</v>
      </c>
      <c r="P203" s="7">
        <v>5.0199999999999996</v>
      </c>
      <c r="Q203" s="6">
        <f t="shared" si="242"/>
        <v>0.35107913669064744</v>
      </c>
      <c r="R203" s="6">
        <f t="shared" si="243"/>
        <v>0.48057553956834531</v>
      </c>
      <c r="S203" s="6">
        <f t="shared" si="244"/>
        <v>0.1683453237410073</v>
      </c>
      <c r="T203" s="4">
        <f t="shared" si="245"/>
        <v>1263.3152592760437</v>
      </c>
      <c r="U203" s="4">
        <f t="shared" si="246"/>
        <v>1729.2921991729452</v>
      </c>
      <c r="V203" s="4">
        <f t="shared" si="247"/>
        <v>2992.6074584489888</v>
      </c>
      <c r="W203" s="4">
        <f t="shared" si="248"/>
        <v>1200.7390572241354</v>
      </c>
      <c r="X203" s="4">
        <f t="shared" si="249"/>
        <v>1643.6346111182841</v>
      </c>
      <c r="Y203" s="4">
        <f t="shared" si="250"/>
        <v>2844.3736683424195</v>
      </c>
      <c r="Z203" s="10"/>
      <c r="AA203" s="12"/>
      <c r="AB203" s="5"/>
      <c r="AC203" s="4"/>
      <c r="AD203" s="4"/>
      <c r="AE203" s="4"/>
      <c r="AF203" s="4"/>
      <c r="AK203" s="3"/>
      <c r="AL203" s="3"/>
      <c r="AM203" s="7"/>
      <c r="AN203" s="7"/>
      <c r="AO203" s="7"/>
      <c r="AP203" s="7"/>
      <c r="AQ203" s="7"/>
      <c r="AR203" s="3"/>
      <c r="AS203" s="3"/>
      <c r="AT203" s="7"/>
      <c r="AU203" s="7"/>
      <c r="AV203" s="7"/>
      <c r="AW203" s="9"/>
      <c r="AX203" s="9"/>
      <c r="AY203" s="9"/>
      <c r="AZ203" s="3"/>
      <c r="BA203" s="3"/>
      <c r="BB203" s="3"/>
      <c r="BC203" s="3"/>
      <c r="BD203" s="3"/>
      <c r="BE203" s="3"/>
      <c r="BG203" s="13"/>
      <c r="BH203" s="7"/>
      <c r="BI203" s="3"/>
      <c r="BJ203" s="3"/>
      <c r="BK203" s="3"/>
      <c r="BL203" s="3"/>
    </row>
    <row r="204" spans="1:64" x14ac:dyDescent="0.25">
      <c r="A204">
        <v>157</v>
      </c>
      <c r="B204" s="1" t="s">
        <v>209</v>
      </c>
      <c r="C204" s="1" t="s">
        <v>32</v>
      </c>
      <c r="D204" s="2">
        <v>43047</v>
      </c>
      <c r="E204" s="3">
        <v>18.3</v>
      </c>
      <c r="F204" s="4">
        <f t="shared" si="239"/>
        <v>4000.1814173228349</v>
      </c>
      <c r="G204" s="7">
        <v>9.68</v>
      </c>
      <c r="H204" s="7">
        <v>173.51</v>
      </c>
      <c r="I204" s="7">
        <f t="shared" si="256"/>
        <v>163.82999999999998</v>
      </c>
      <c r="J204" s="7">
        <v>154.63</v>
      </c>
      <c r="K204" s="5">
        <f t="shared" si="240"/>
        <v>5.6155771226271067</v>
      </c>
      <c r="L204" s="4">
        <f t="shared" si="241"/>
        <v>3775.5481447880734</v>
      </c>
      <c r="M204" s="2">
        <v>43054</v>
      </c>
      <c r="N204" s="7">
        <v>7.98</v>
      </c>
      <c r="O204" s="7">
        <v>2.82</v>
      </c>
      <c r="P204" s="7">
        <v>5.48</v>
      </c>
      <c r="Q204" s="6">
        <f t="shared" si="242"/>
        <v>0.34015345268542196</v>
      </c>
      <c r="R204" s="6">
        <f t="shared" si="243"/>
        <v>0.48593350383631723</v>
      </c>
      <c r="S204" s="6">
        <f t="shared" si="244"/>
        <v>0.17391304347826081</v>
      </c>
      <c r="T204" s="4">
        <f t="shared" si="245"/>
        <v>1360.675520470427</v>
      </c>
      <c r="U204" s="4">
        <f t="shared" si="246"/>
        <v>1943.8221721006107</v>
      </c>
      <c r="V204" s="4">
        <f t="shared" si="247"/>
        <v>3304.497692571038</v>
      </c>
      <c r="W204" s="4">
        <f t="shared" si="248"/>
        <v>1284.2657372297026</v>
      </c>
      <c r="X204" s="4">
        <f t="shared" si="249"/>
        <v>1834.6653388995755</v>
      </c>
      <c r="Y204" s="4">
        <f t="shared" si="250"/>
        <v>3118.9310761292782</v>
      </c>
      <c r="Z204" s="10"/>
      <c r="AA204" s="12"/>
      <c r="AB204" s="5"/>
      <c r="AC204" s="4"/>
      <c r="AD204" s="4"/>
      <c r="AE204" s="4"/>
      <c r="AF204" s="4"/>
      <c r="AH204" t="s">
        <v>300</v>
      </c>
      <c r="AI204" t="str">
        <f>C204</f>
        <v>Machine</v>
      </c>
      <c r="AJ204" s="8">
        <f>D204</f>
        <v>43047</v>
      </c>
      <c r="AK204" s="3">
        <f>SUM(E204:E206)</f>
        <v>55.8</v>
      </c>
      <c r="AL204" s="3">
        <f>(AK204-3*$A$35)*$A$36/(3*$A$37)*$A$38</f>
        <v>4067.1487401574796</v>
      </c>
      <c r="AM204" s="7">
        <f>SUM(G204:G206)</f>
        <v>29.12</v>
      </c>
      <c r="AN204" s="7">
        <f>SUM(H204:H206)</f>
        <v>463.09</v>
      </c>
      <c r="AO204" s="7">
        <f>AN204-AM204</f>
        <v>433.96999999999997</v>
      </c>
      <c r="AP204" s="7">
        <f>SUM(J204:J206)</f>
        <v>409.52</v>
      </c>
      <c r="AQ204" s="7">
        <f>(AO204-AP204)/AO204*100</f>
        <v>5.6340300020738736</v>
      </c>
      <c r="AR204" s="3">
        <f>AL204*(1-AQ204/100)</f>
        <v>3838.0043599080377</v>
      </c>
      <c r="AS204" s="11">
        <f>M204</f>
        <v>43054</v>
      </c>
      <c r="AT204" s="7">
        <f>SUM(N204:N206)</f>
        <v>24.41</v>
      </c>
      <c r="AU204" s="7">
        <f>SUM(O204:O206)</f>
        <v>8.7000000000000011</v>
      </c>
      <c r="AV204" s="7">
        <f>SUM(P204:P206)</f>
        <v>16.48</v>
      </c>
      <c r="AW204" s="9">
        <f>(AU204-3*$A$39)/(AT204-3*$A$39)</f>
        <v>0.34350188048474722</v>
      </c>
      <c r="AX204" s="9">
        <f>(AV204-3*$A$40)/(AT204-3*$A$39)</f>
        <v>0.47806101128290857</v>
      </c>
      <c r="AY204" s="9">
        <f>1-AW204-AX204</f>
        <v>0.17843710823234427</v>
      </c>
      <c r="AZ204" s="3">
        <f>AL204*AW204</f>
        <v>1397.0732404552648</v>
      </c>
      <c r="BA204" s="3">
        <f>AL204*AX204</f>
        <v>1944.3452397576923</v>
      </c>
      <c r="BB204" s="3">
        <f>AZ204+BA204</f>
        <v>3341.4184802129571</v>
      </c>
      <c r="BC204" s="3">
        <f>AR204*AW204</f>
        <v>1318.3617149370696</v>
      </c>
      <c r="BD204" s="3">
        <f>AR204*AX204</f>
        <v>1834.8002456058487</v>
      </c>
      <c r="BE204" s="3">
        <f>BC204+BD204</f>
        <v>3153.1619605429182</v>
      </c>
      <c r="BF204" s="11">
        <f>Z205</f>
        <v>43077</v>
      </c>
      <c r="BG204" s="13">
        <f>AVERAGE(AA204:AA206)</f>
        <v>49</v>
      </c>
      <c r="BH204" s="7">
        <f t="shared" ref="BH204" si="297">AVERAGE(AB204:AB206)</f>
        <v>1.04</v>
      </c>
      <c r="BI204" s="3">
        <f t="shared" ref="BI204" si="298">AVERAGE(AC204:AC206)</f>
        <v>78.7</v>
      </c>
      <c r="BJ204" s="3">
        <f t="shared" ref="BJ204" si="299">AVERAGE(AD204:AD206)</f>
        <v>28.2</v>
      </c>
      <c r="BK204" s="3">
        <f t="shared" ref="BK204" si="300">AVERAGE(AE204:AE206)</f>
        <v>6.1</v>
      </c>
      <c r="BL204" s="3">
        <f t="shared" ref="BL204" si="301">AVERAGE(AF204:AF206)</f>
        <v>12.1</v>
      </c>
    </row>
    <row r="205" spans="1:64" x14ac:dyDescent="0.25">
      <c r="A205">
        <v>158</v>
      </c>
      <c r="B205" s="1" t="s">
        <v>210</v>
      </c>
      <c r="C205" s="1" t="s">
        <v>32</v>
      </c>
      <c r="D205" s="2">
        <v>43047</v>
      </c>
      <c r="E205" s="3">
        <v>17.5</v>
      </c>
      <c r="F205" s="4">
        <f t="shared" si="239"/>
        <v>3821.6018897637791</v>
      </c>
      <c r="G205" s="7">
        <v>9.7100000000000009</v>
      </c>
      <c r="H205" s="7">
        <v>142.38999999999999</v>
      </c>
      <c r="I205" s="7">
        <f t="shared" si="256"/>
        <v>132.67999999999998</v>
      </c>
      <c r="J205" s="7">
        <v>125.67</v>
      </c>
      <c r="K205" s="5">
        <f t="shared" si="240"/>
        <v>5.2833886041603693</v>
      </c>
      <c r="L205" s="4">
        <f t="shared" si="241"/>
        <v>3619.6918110236224</v>
      </c>
      <c r="M205" s="2">
        <v>43054</v>
      </c>
      <c r="N205" s="7">
        <v>7.64</v>
      </c>
      <c r="O205" s="7">
        <v>2.74</v>
      </c>
      <c r="P205" s="7">
        <v>5.26</v>
      </c>
      <c r="Q205" s="6">
        <f t="shared" si="242"/>
        <v>0.34491978609625673</v>
      </c>
      <c r="R205" s="6">
        <f t="shared" si="243"/>
        <v>0.47860962566844922</v>
      </c>
      <c r="S205" s="6">
        <f t="shared" si="244"/>
        <v>0.17647058823529405</v>
      </c>
      <c r="T205" s="4">
        <f t="shared" si="245"/>
        <v>1318.1461063623733</v>
      </c>
      <c r="U205" s="4">
        <f t="shared" si="246"/>
        <v>1829.0554499136804</v>
      </c>
      <c r="V205" s="4">
        <f t="shared" si="247"/>
        <v>3147.2015562760535</v>
      </c>
      <c r="W205" s="4">
        <f t="shared" si="248"/>
        <v>1248.50332519264</v>
      </c>
      <c r="X205" s="4">
        <f t="shared" si="249"/>
        <v>1732.419342709167</v>
      </c>
      <c r="Y205" s="4">
        <f t="shared" si="250"/>
        <v>2980.922667901807</v>
      </c>
      <c r="Z205" s="10">
        <v>43077</v>
      </c>
      <c r="AA205" s="12">
        <v>49</v>
      </c>
      <c r="AB205" s="5">
        <v>1.04</v>
      </c>
      <c r="AC205" s="4">
        <v>78.7</v>
      </c>
      <c r="AD205" s="4">
        <v>28.2</v>
      </c>
      <c r="AE205" s="4">
        <v>6.1</v>
      </c>
      <c r="AF205" s="4">
        <v>12.1</v>
      </c>
      <c r="AK205" s="3"/>
      <c r="AL205" s="3"/>
      <c r="AM205" s="7"/>
      <c r="AN205" s="7"/>
      <c r="AO205" s="7"/>
      <c r="AP205" s="7"/>
      <c r="AQ205" s="7"/>
      <c r="AR205" s="3"/>
      <c r="AS205" s="3"/>
      <c r="AT205" s="7"/>
      <c r="AU205" s="7"/>
      <c r="AV205" s="7"/>
      <c r="AW205" s="9"/>
      <c r="AX205" s="9"/>
      <c r="AY205" s="9"/>
      <c r="AZ205" s="3"/>
      <c r="BA205" s="3"/>
      <c r="BB205" s="3"/>
      <c r="BC205" s="3"/>
      <c r="BD205" s="3"/>
      <c r="BE205" s="3"/>
      <c r="BG205" s="13"/>
      <c r="BH205" s="7"/>
      <c r="BI205" s="3"/>
      <c r="BJ205" s="3"/>
      <c r="BK205" s="3"/>
      <c r="BL205" s="3"/>
    </row>
    <row r="206" spans="1:64" x14ac:dyDescent="0.25">
      <c r="A206">
        <v>159</v>
      </c>
      <c r="B206" s="1" t="s">
        <v>211</v>
      </c>
      <c r="C206" s="1" t="s">
        <v>32</v>
      </c>
      <c r="D206" s="2">
        <v>43047</v>
      </c>
      <c r="E206" s="3">
        <v>20</v>
      </c>
      <c r="F206" s="4">
        <f t="shared" si="239"/>
        <v>4379.6629133858269</v>
      </c>
      <c r="G206" s="7">
        <v>9.73</v>
      </c>
      <c r="H206" s="7">
        <v>147.19</v>
      </c>
      <c r="I206" s="7">
        <f t="shared" si="256"/>
        <v>137.46</v>
      </c>
      <c r="J206" s="7">
        <v>129.22</v>
      </c>
      <c r="K206" s="5">
        <f t="shared" si="240"/>
        <v>5.9944711188709503</v>
      </c>
      <c r="L206" s="4">
        <f t="shared" si="241"/>
        <v>4117.1252849390112</v>
      </c>
      <c r="M206" s="2">
        <v>43054</v>
      </c>
      <c r="N206" s="7">
        <v>8.7899999999999991</v>
      </c>
      <c r="O206" s="7">
        <v>3.14</v>
      </c>
      <c r="P206" s="7">
        <v>5.74</v>
      </c>
      <c r="Q206" s="6">
        <f t="shared" si="242"/>
        <v>0.34530706836616459</v>
      </c>
      <c r="R206" s="6">
        <f t="shared" si="243"/>
        <v>0.47045191193511021</v>
      </c>
      <c r="S206" s="6">
        <f t="shared" si="244"/>
        <v>0.18424101969872525</v>
      </c>
      <c r="T206" s="4">
        <f t="shared" si="245"/>
        <v>1512.3285610532753</v>
      </c>
      <c r="U206" s="4">
        <f t="shared" si="246"/>
        <v>2060.4207912336574</v>
      </c>
      <c r="V206" s="4">
        <f t="shared" si="247"/>
        <v>3572.7493522869327</v>
      </c>
      <c r="W206" s="4">
        <f t="shared" si="248"/>
        <v>1421.6724622385</v>
      </c>
      <c r="X206" s="4">
        <f t="shared" si="249"/>
        <v>1936.9094619759433</v>
      </c>
      <c r="Y206" s="4">
        <f t="shared" si="250"/>
        <v>3358.5819242144435</v>
      </c>
      <c r="Z206" s="10"/>
      <c r="AA206" s="12"/>
      <c r="AB206" s="5"/>
      <c r="AC206" s="4"/>
      <c r="AD206" s="4"/>
      <c r="AE206" s="4"/>
      <c r="AF206" s="4"/>
      <c r="AK206" s="3"/>
      <c r="AL206" s="3"/>
      <c r="AM206" s="7"/>
      <c r="AN206" s="7"/>
      <c r="AO206" s="7"/>
      <c r="AP206" s="7"/>
      <c r="AQ206" s="7"/>
      <c r="AR206" s="3"/>
      <c r="AS206" s="3"/>
      <c r="AT206" s="7"/>
      <c r="AU206" s="7"/>
      <c r="AV206" s="7"/>
      <c r="AW206" s="9"/>
      <c r="AX206" s="9"/>
      <c r="AY206" s="9"/>
      <c r="AZ206" s="3"/>
      <c r="BA206" s="3"/>
      <c r="BB206" s="3"/>
      <c r="BC206" s="3"/>
      <c r="BD206" s="3"/>
      <c r="BE206" s="3"/>
      <c r="BG206" s="13"/>
      <c r="BH206" s="7"/>
      <c r="BI206" s="3"/>
      <c r="BJ206" s="3"/>
      <c r="BK206" s="3"/>
      <c r="BL206" s="3"/>
    </row>
    <row r="207" spans="1:64" x14ac:dyDescent="0.25">
      <c r="A207">
        <v>160</v>
      </c>
      <c r="B207" s="1" t="s">
        <v>212</v>
      </c>
      <c r="C207" s="1" t="s">
        <v>32</v>
      </c>
      <c r="D207" s="2">
        <v>43047</v>
      </c>
      <c r="E207" s="3">
        <v>22.8</v>
      </c>
      <c r="F207" s="4">
        <f t="shared" si="239"/>
        <v>5004.6912598425197</v>
      </c>
      <c r="G207" s="7">
        <v>9.68</v>
      </c>
      <c r="H207" s="7">
        <v>227.07</v>
      </c>
      <c r="I207" s="7">
        <f t="shared" si="256"/>
        <v>217.39</v>
      </c>
      <c r="J207" s="7">
        <v>206.08</v>
      </c>
      <c r="K207" s="5">
        <f t="shared" si="240"/>
        <v>5.2026312157872834</v>
      </c>
      <c r="L207" s="4">
        <f t="shared" si="241"/>
        <v>4744.3156301041754</v>
      </c>
      <c r="M207" s="2">
        <v>43054</v>
      </c>
      <c r="N207" s="7">
        <v>9.94</v>
      </c>
      <c r="O207" s="7">
        <v>3.62</v>
      </c>
      <c r="P207" s="7">
        <v>6.28</v>
      </c>
      <c r="Q207" s="6">
        <f t="shared" si="242"/>
        <v>0.35378323108384457</v>
      </c>
      <c r="R207" s="6">
        <f t="shared" si="243"/>
        <v>0.47034764826175879</v>
      </c>
      <c r="S207" s="6">
        <f t="shared" si="244"/>
        <v>0.17586912065439664</v>
      </c>
      <c r="T207" s="4">
        <f t="shared" si="245"/>
        <v>1770.5758444841633</v>
      </c>
      <c r="U207" s="4">
        <f t="shared" si="246"/>
        <v>2353.9447643431081</v>
      </c>
      <c r="V207" s="4">
        <f t="shared" si="247"/>
        <v>4124.5206088272716</v>
      </c>
      <c r="W207" s="4">
        <f t="shared" si="248"/>
        <v>1678.4593128998411</v>
      </c>
      <c r="X207" s="4">
        <f t="shared" si="249"/>
        <v>2231.477699231003</v>
      </c>
      <c r="Y207" s="4">
        <f t="shared" si="250"/>
        <v>3909.9370121308439</v>
      </c>
      <c r="Z207" s="10"/>
      <c r="AA207" s="12"/>
      <c r="AB207" s="5"/>
      <c r="AC207" s="4"/>
      <c r="AD207" s="4"/>
      <c r="AE207" s="4"/>
      <c r="AF207" s="4"/>
      <c r="AH207" t="s">
        <v>301</v>
      </c>
      <c r="AI207" t="s">
        <v>32</v>
      </c>
      <c r="AJ207" s="8">
        <f>D207</f>
        <v>43047</v>
      </c>
      <c r="AK207" s="3">
        <f>SUM(E207:E209)</f>
        <v>69</v>
      </c>
      <c r="AL207" s="3">
        <f>(AK207-3*$A$35)*$A$36/(3*$A$37)*$A$38</f>
        <v>5049.3361417322831</v>
      </c>
      <c r="AM207" s="7">
        <f>SUM(G207:G209)</f>
        <v>29.059999999999995</v>
      </c>
      <c r="AN207" s="7">
        <f>SUM(H207:H209)</f>
        <v>600.11</v>
      </c>
      <c r="AO207" s="7">
        <f>AN207-AM207</f>
        <v>571.05000000000007</v>
      </c>
      <c r="AP207" s="7">
        <f>SUM(J207:J209)</f>
        <v>541.31999999999994</v>
      </c>
      <c r="AQ207" s="7">
        <f>(AO207-AP207)/AO207*100</f>
        <v>5.2061991069083486</v>
      </c>
      <c r="AR207" s="3">
        <f>AL207*(1-AQ207/100)</f>
        <v>4786.4576486166161</v>
      </c>
      <c r="AS207" s="11">
        <f>M207</f>
        <v>43054</v>
      </c>
      <c r="AT207" s="7">
        <f>SUM(N207:N209)</f>
        <v>30.14</v>
      </c>
      <c r="AU207" s="7">
        <f>SUM(O207:O209)</f>
        <v>10.98</v>
      </c>
      <c r="AV207" s="7">
        <f>SUM(P207:P209)</f>
        <v>19.060000000000002</v>
      </c>
      <c r="AW207" s="9">
        <f>(AU207-3*$A$39)/(AT207-3*$A$39)</f>
        <v>0.35401213755900202</v>
      </c>
      <c r="AX207" s="9">
        <f>(AV207-3*$A$40)/(AT207-3*$A$39)</f>
        <v>0.47269049224544851</v>
      </c>
      <c r="AY207" s="9">
        <f>1-AW207-AX207</f>
        <v>0.17329737019554953</v>
      </c>
      <c r="AZ207" s="3">
        <f>AL207*AW207</f>
        <v>1787.5262807885695</v>
      </c>
      <c r="BA207" s="3">
        <f>AL207*AX207</f>
        <v>2386.7731863481667</v>
      </c>
      <c r="BB207" s="3">
        <f>AZ207+BA207</f>
        <v>4174.299467136736</v>
      </c>
      <c r="BC207" s="3">
        <f>AR207*AW207</f>
        <v>1694.4641035224029</v>
      </c>
      <c r="BD207" s="3">
        <f>AR207*AX207</f>
        <v>2262.5130220365804</v>
      </c>
      <c r="BE207" s="3">
        <f>BC207+BD207</f>
        <v>3956.9771255589831</v>
      </c>
      <c r="BF207" s="11">
        <f>Z208</f>
        <v>43077</v>
      </c>
      <c r="BG207" s="13">
        <f>AVERAGE(AA207:AA209)</f>
        <v>43</v>
      </c>
      <c r="BH207" s="7">
        <f t="shared" ref="BH207" si="302">AVERAGE(AB207:AB209)</f>
        <v>1.1599999999999999</v>
      </c>
      <c r="BI207" s="3">
        <f t="shared" ref="BI207" si="303">AVERAGE(AC207:AC209)</f>
        <v>83</v>
      </c>
      <c r="BJ207" s="3">
        <f t="shared" ref="BJ207" si="304">AVERAGE(AD207:AD209)</f>
        <v>31.8</v>
      </c>
      <c r="BK207" s="3">
        <f t="shared" ref="BK207" si="305">AVERAGE(AE207:AE209)</f>
        <v>6</v>
      </c>
      <c r="BL207" s="3">
        <f t="shared" ref="BL207" si="306">AVERAGE(AF207:AF209)</f>
        <v>8.9</v>
      </c>
    </row>
    <row r="208" spans="1:64" x14ac:dyDescent="0.25">
      <c r="A208">
        <v>161</v>
      </c>
      <c r="B208" s="1" t="s">
        <v>213</v>
      </c>
      <c r="C208" s="1" t="s">
        <v>32</v>
      </c>
      <c r="D208" s="2">
        <v>43047</v>
      </c>
      <c r="E208" s="3">
        <v>23.5</v>
      </c>
      <c r="F208" s="4">
        <f t="shared" si="239"/>
        <v>5160.9483464566929</v>
      </c>
      <c r="G208" s="7">
        <v>9.69</v>
      </c>
      <c r="H208" s="7">
        <v>209.58</v>
      </c>
      <c r="I208" s="7">
        <f t="shared" si="256"/>
        <v>199.89000000000001</v>
      </c>
      <c r="J208" s="7">
        <v>188.98</v>
      </c>
      <c r="K208" s="5">
        <f t="shared" si="240"/>
        <v>5.4580019010455869</v>
      </c>
      <c r="L208" s="4">
        <f t="shared" si="241"/>
        <v>4879.2636875951057</v>
      </c>
      <c r="M208" s="2">
        <v>43054</v>
      </c>
      <c r="N208" s="7">
        <v>10.220000000000001</v>
      </c>
      <c r="O208" s="7">
        <v>3.72</v>
      </c>
      <c r="P208" s="7">
        <v>6.44</v>
      </c>
      <c r="Q208" s="6">
        <f t="shared" si="242"/>
        <v>0.35387673956262422</v>
      </c>
      <c r="R208" s="6">
        <f t="shared" si="243"/>
        <v>0.47316103379721675</v>
      </c>
      <c r="S208" s="6">
        <f t="shared" si="244"/>
        <v>0.17296222664015903</v>
      </c>
      <c r="T208" s="4">
        <f t="shared" si="245"/>
        <v>1826.3395738952113</v>
      </c>
      <c r="U208" s="4">
        <f t="shared" si="246"/>
        <v>2441.9596549834851</v>
      </c>
      <c r="V208" s="4">
        <f t="shared" si="247"/>
        <v>4268.2992288786963</v>
      </c>
      <c r="W208" s="4">
        <f t="shared" si="248"/>
        <v>1726.6579252324627</v>
      </c>
      <c r="X208" s="4">
        <f t="shared" si="249"/>
        <v>2308.6774505917201</v>
      </c>
      <c r="Y208" s="4">
        <f t="shared" si="250"/>
        <v>4035.3353758241828</v>
      </c>
      <c r="Z208" s="10">
        <v>43077</v>
      </c>
      <c r="AA208" s="12">
        <v>43</v>
      </c>
      <c r="AB208" s="5">
        <v>1.1599999999999999</v>
      </c>
      <c r="AC208" s="4">
        <v>83</v>
      </c>
      <c r="AD208" s="4">
        <v>31.8</v>
      </c>
      <c r="AE208" s="4">
        <v>6</v>
      </c>
      <c r="AF208" s="4">
        <v>8.9</v>
      </c>
      <c r="AK208" s="3"/>
      <c r="AL208" s="3"/>
      <c r="AM208" s="7"/>
      <c r="AN208" s="7"/>
      <c r="AO208" s="7"/>
      <c r="AP208" s="7"/>
      <c r="AQ208" s="7"/>
      <c r="AR208" s="3"/>
      <c r="AS208" s="3"/>
      <c r="AT208" s="7"/>
      <c r="AU208" s="7"/>
      <c r="AV208" s="7"/>
      <c r="AW208" s="9"/>
      <c r="AX208" s="9"/>
      <c r="AY208" s="9"/>
      <c r="AZ208" s="3"/>
      <c r="BA208" s="3"/>
      <c r="BB208" s="3"/>
      <c r="BC208" s="3"/>
      <c r="BD208" s="3"/>
      <c r="BE208" s="3"/>
      <c r="BG208" s="13"/>
      <c r="BH208" s="7"/>
      <c r="BI208" s="3"/>
      <c r="BJ208" s="3"/>
      <c r="BK208" s="3"/>
      <c r="BL208" s="3"/>
    </row>
    <row r="209" spans="1:64" x14ac:dyDescent="0.25">
      <c r="A209">
        <v>162</v>
      </c>
      <c r="B209" s="1" t="s">
        <v>214</v>
      </c>
      <c r="C209" s="1" t="s">
        <v>32</v>
      </c>
      <c r="D209" s="2">
        <v>43047</v>
      </c>
      <c r="E209" s="3">
        <v>22.7</v>
      </c>
      <c r="F209" s="4">
        <f t="shared" si="239"/>
        <v>4982.3688188976375</v>
      </c>
      <c r="G209" s="7">
        <v>9.69</v>
      </c>
      <c r="H209" s="7">
        <v>163.46</v>
      </c>
      <c r="I209" s="7">
        <f t="shared" si="256"/>
        <v>153.77000000000001</v>
      </c>
      <c r="J209" s="7">
        <v>146.26</v>
      </c>
      <c r="K209" s="5">
        <f t="shared" si="240"/>
        <v>4.8839175391819074</v>
      </c>
      <c r="L209" s="4">
        <f t="shared" si="241"/>
        <v>4739.0340342847658</v>
      </c>
      <c r="M209" s="2">
        <v>43054</v>
      </c>
      <c r="N209" s="7">
        <v>9.98</v>
      </c>
      <c r="O209" s="7">
        <v>3.64</v>
      </c>
      <c r="P209" s="7">
        <v>6.34</v>
      </c>
      <c r="Q209" s="6">
        <f t="shared" si="242"/>
        <v>0.35437881873727084</v>
      </c>
      <c r="R209" s="6">
        <f t="shared" si="243"/>
        <v>0.47454175152749489</v>
      </c>
      <c r="S209" s="6">
        <f t="shared" si="244"/>
        <v>0.17107942973523427</v>
      </c>
      <c r="T209" s="4">
        <f t="shared" si="245"/>
        <v>1765.6459765543561</v>
      </c>
      <c r="U209" s="4">
        <f t="shared" si="246"/>
        <v>2364.3420260756611</v>
      </c>
      <c r="V209" s="4">
        <f t="shared" si="247"/>
        <v>4129.988002630017</v>
      </c>
      <c r="W209" s="4">
        <f t="shared" si="248"/>
        <v>1679.4132830255583</v>
      </c>
      <c r="X209" s="4">
        <f t="shared" si="249"/>
        <v>2248.869511177903</v>
      </c>
      <c r="Y209" s="4">
        <f t="shared" si="250"/>
        <v>3928.282794203461</v>
      </c>
      <c r="Z209" s="10"/>
      <c r="AA209" s="12"/>
      <c r="AB209" s="5"/>
      <c r="AC209" s="4"/>
      <c r="AD209" s="4"/>
      <c r="AE209" s="4"/>
      <c r="AF209" s="4"/>
      <c r="AK209" s="3"/>
      <c r="AL209" s="3"/>
      <c r="AM209" s="7"/>
      <c r="AN209" s="7"/>
      <c r="AO209" s="7"/>
      <c r="AP209" s="7"/>
      <c r="AQ209" s="7"/>
      <c r="AR209" s="3"/>
      <c r="AS209" s="3"/>
      <c r="AT209" s="7"/>
      <c r="AU209" s="7"/>
      <c r="AV209" s="7"/>
      <c r="AW209" s="9"/>
      <c r="AX209" s="9"/>
      <c r="AY209" s="9"/>
      <c r="AZ209" s="3"/>
      <c r="BA209" s="3"/>
      <c r="BB209" s="3"/>
      <c r="BC209" s="3"/>
      <c r="BD209" s="3"/>
      <c r="BE209" s="3"/>
      <c r="BG209" s="13"/>
      <c r="BH209" s="7"/>
      <c r="BI209" s="3"/>
      <c r="BJ209" s="3"/>
      <c r="BK209" s="3"/>
      <c r="BL209" s="3"/>
    </row>
    <row r="210" spans="1:64" x14ac:dyDescent="0.25">
      <c r="A210">
        <v>163</v>
      </c>
      <c r="B210" s="1" t="s">
        <v>215</v>
      </c>
      <c r="C210" s="1" t="s">
        <v>32</v>
      </c>
      <c r="D210" s="2">
        <v>43047</v>
      </c>
      <c r="E210" s="3">
        <v>11.4</v>
      </c>
      <c r="F210" s="4">
        <f t="shared" si="239"/>
        <v>2459.9329921259837</v>
      </c>
      <c r="G210" s="7">
        <v>9.6999999999999993</v>
      </c>
      <c r="H210" s="7">
        <v>195.16</v>
      </c>
      <c r="I210" s="7">
        <f t="shared" si="256"/>
        <v>185.46</v>
      </c>
      <c r="J210" s="7">
        <v>175.6</v>
      </c>
      <c r="K210" s="5">
        <f t="shared" si="240"/>
        <v>5.3165102987167119</v>
      </c>
      <c r="L210" s="4">
        <f t="shared" si="241"/>
        <v>2329.1504012580754</v>
      </c>
      <c r="M210" s="2">
        <v>43054</v>
      </c>
      <c r="N210" s="7">
        <v>4.88</v>
      </c>
      <c r="O210" s="7">
        <v>1.64</v>
      </c>
      <c r="P210" s="7">
        <v>3.88</v>
      </c>
      <c r="Q210" s="6">
        <f t="shared" si="242"/>
        <v>0.3135593220338983</v>
      </c>
      <c r="R210" s="6">
        <f t="shared" si="243"/>
        <v>0.46610169491525427</v>
      </c>
      <c r="S210" s="6">
        <f t="shared" si="244"/>
        <v>0.22033898305084737</v>
      </c>
      <c r="T210" s="4">
        <f t="shared" si="245"/>
        <v>771.3349212598423</v>
      </c>
      <c r="U210" s="4">
        <f t="shared" si="246"/>
        <v>1146.5789370078737</v>
      </c>
      <c r="V210" s="4">
        <f t="shared" si="247"/>
        <v>1917.913858267716</v>
      </c>
      <c r="W210" s="4">
        <f t="shared" si="248"/>
        <v>730.32682073346427</v>
      </c>
      <c r="X210" s="4">
        <f t="shared" si="249"/>
        <v>1085.6209497389334</v>
      </c>
      <c r="Y210" s="4">
        <f t="shared" si="250"/>
        <v>1815.9477704723977</v>
      </c>
      <c r="Z210" s="10"/>
      <c r="AA210" s="12"/>
      <c r="AB210" s="5"/>
      <c r="AC210" s="4"/>
      <c r="AD210" s="4"/>
      <c r="AE210" s="4"/>
      <c r="AF210" s="4"/>
      <c r="AH210" t="s">
        <v>302</v>
      </c>
      <c r="AI210" t="s">
        <v>32</v>
      </c>
      <c r="AJ210" s="8">
        <f>D210</f>
        <v>43047</v>
      </c>
      <c r="AK210" s="3">
        <f>SUM(E210:E212)</f>
        <v>33.400000000000006</v>
      </c>
      <c r="AL210" s="3">
        <f>(AK210-3*$A$35)*$A$36/(3*$A$37)*$A$38</f>
        <v>2400.406482939633</v>
      </c>
      <c r="AM210" s="7">
        <f>SUM(G210:G212)</f>
        <v>29.11</v>
      </c>
      <c r="AN210" s="7">
        <f>SUM(H210:H212)</f>
        <v>512.73</v>
      </c>
      <c r="AO210" s="7">
        <f>AN210-AM210</f>
        <v>483.62</v>
      </c>
      <c r="AP210" s="7">
        <f>SUM(J210:J212)</f>
        <v>456.43000000000006</v>
      </c>
      <c r="AQ210" s="7">
        <f>(AO210-AP210)/AO210*100</f>
        <v>5.6221827054298705</v>
      </c>
      <c r="AR210" s="3">
        <f>AL210*(1-AQ210/100)</f>
        <v>2265.4512447957836</v>
      </c>
      <c r="AS210" s="11">
        <f>M210</f>
        <v>43054</v>
      </c>
      <c r="AT210" s="7">
        <f>SUM(N210:N212)</f>
        <v>14.36</v>
      </c>
      <c r="AU210" s="7">
        <f>SUM(O210:O212)</f>
        <v>4.84</v>
      </c>
      <c r="AV210" s="7">
        <f>SUM(P210:P212)</f>
        <v>11.54</v>
      </c>
      <c r="AW210" s="9">
        <f>(AU210-3*$A$39)/(AT210-3*$A$39)</f>
        <v>0.3141210374639769</v>
      </c>
      <c r="AX210" s="9">
        <f>(AV210-3*$A$40)/(AT210-3*$A$39)</f>
        <v>0.4682997118155619</v>
      </c>
      <c r="AY210" s="9">
        <f>1-AW210-AX210</f>
        <v>0.21757925072046119</v>
      </c>
      <c r="AZ210" s="3">
        <f>AL210*AW210</f>
        <v>754.01817475625353</v>
      </c>
      <c r="BA210" s="3">
        <f>AL210*AX210</f>
        <v>1124.1096642008367</v>
      </c>
      <c r="BB210" s="3">
        <f>AZ210+BA210</f>
        <v>1878.1278389570903</v>
      </c>
      <c r="BC210" s="3">
        <f>AR210*AW210</f>
        <v>711.62589533930941</v>
      </c>
      <c r="BD210" s="3">
        <f>AR210*AX210</f>
        <v>1060.9101650700713</v>
      </c>
      <c r="BE210" s="3">
        <f>BC210+BD210</f>
        <v>1772.5360604093808</v>
      </c>
      <c r="BF210" s="11">
        <f>Z211</f>
        <v>43077</v>
      </c>
      <c r="BG210" s="13">
        <f>AVERAGE(AA210:AA212)</f>
        <v>34</v>
      </c>
      <c r="BH210" s="7">
        <f t="shared" ref="BH210" si="307">AVERAGE(AB210:AB212)</f>
        <v>1.1200000000000001</v>
      </c>
      <c r="BI210" s="3">
        <f t="shared" ref="BI210" si="308">AVERAGE(AC210:AC212)</f>
        <v>79.599999999999994</v>
      </c>
      <c r="BJ210" s="3">
        <f t="shared" ref="BJ210" si="309">AVERAGE(AD210:AD212)</f>
        <v>30.4</v>
      </c>
      <c r="BK210" s="3">
        <f t="shared" ref="BK210" si="310">AVERAGE(AE210:AE212)</f>
        <v>6.1</v>
      </c>
      <c r="BL210" s="3">
        <f t="shared" ref="BL210" si="311">AVERAGE(AF210:AF212)</f>
        <v>11.1</v>
      </c>
    </row>
    <row r="211" spans="1:64" x14ac:dyDescent="0.25">
      <c r="A211">
        <v>164</v>
      </c>
      <c r="B211" s="1" t="s">
        <v>216</v>
      </c>
      <c r="C211" s="1" t="s">
        <v>32</v>
      </c>
      <c r="D211" s="2">
        <v>43047</v>
      </c>
      <c r="E211" s="3">
        <v>10.3</v>
      </c>
      <c r="F211" s="4">
        <f t="shared" si="239"/>
        <v>2214.3861417322832</v>
      </c>
      <c r="G211" s="7">
        <v>9.7200000000000006</v>
      </c>
      <c r="H211" s="7">
        <v>167.37</v>
      </c>
      <c r="I211" s="7">
        <f t="shared" si="256"/>
        <v>157.65</v>
      </c>
      <c r="J211" s="7">
        <v>148.11000000000001</v>
      </c>
      <c r="K211" s="5">
        <f t="shared" si="240"/>
        <v>6.0513796384395757</v>
      </c>
      <c r="L211" s="4">
        <f t="shared" si="241"/>
        <v>2080.3852296350678</v>
      </c>
      <c r="M211" s="2">
        <v>43054</v>
      </c>
      <c r="N211" s="7">
        <v>4.42</v>
      </c>
      <c r="O211" s="7">
        <v>1.46</v>
      </c>
      <c r="P211" s="7">
        <v>3.64</v>
      </c>
      <c r="Q211" s="6">
        <f t="shared" si="242"/>
        <v>0.30516431924882631</v>
      </c>
      <c r="R211" s="6">
        <f t="shared" si="243"/>
        <v>0.46009389671361511</v>
      </c>
      <c r="S211" s="6">
        <f t="shared" si="244"/>
        <v>0.23474178403755863</v>
      </c>
      <c r="T211" s="4">
        <f t="shared" si="245"/>
        <v>675.75163949576722</v>
      </c>
      <c r="U211" s="4">
        <f t="shared" si="246"/>
        <v>1018.8255487782338</v>
      </c>
      <c r="V211" s="4">
        <f t="shared" si="247"/>
        <v>1694.5771882740009</v>
      </c>
      <c r="W211" s="4">
        <f t="shared" si="248"/>
        <v>634.85934237689867</v>
      </c>
      <c r="X211" s="4">
        <f t="shared" si="249"/>
        <v>957.17254696824739</v>
      </c>
      <c r="Y211" s="4">
        <f t="shared" si="250"/>
        <v>1592.0318893451461</v>
      </c>
      <c r="Z211" s="10">
        <v>43077</v>
      </c>
      <c r="AA211" s="12">
        <v>34</v>
      </c>
      <c r="AB211" s="5">
        <v>1.1200000000000001</v>
      </c>
      <c r="AC211" s="4">
        <v>79.599999999999994</v>
      </c>
      <c r="AD211" s="4">
        <v>30.4</v>
      </c>
      <c r="AE211" s="4">
        <v>6.1</v>
      </c>
      <c r="AF211" s="4">
        <v>11.1</v>
      </c>
      <c r="AK211" s="3"/>
      <c r="AL211" s="3"/>
      <c r="AM211" s="7"/>
      <c r="AN211" s="7"/>
      <c r="AO211" s="7"/>
      <c r="AP211" s="7"/>
      <c r="AQ211" s="7"/>
      <c r="AR211" s="3"/>
      <c r="AS211" s="3"/>
      <c r="AT211" s="7"/>
      <c r="AU211" s="7"/>
      <c r="AV211" s="7"/>
      <c r="AW211" s="9"/>
      <c r="AX211" s="9"/>
      <c r="AY211" s="9"/>
      <c r="AZ211" s="3"/>
      <c r="BA211" s="3"/>
      <c r="BB211" s="3"/>
      <c r="BC211" s="3"/>
      <c r="BD211" s="3"/>
      <c r="BE211" s="3"/>
      <c r="BG211" s="13"/>
      <c r="BH211" s="7"/>
      <c r="BI211" s="3"/>
      <c r="BJ211" s="3"/>
      <c r="BK211" s="3"/>
      <c r="BL211" s="3"/>
    </row>
    <row r="212" spans="1:64" x14ac:dyDescent="0.25">
      <c r="A212">
        <v>165</v>
      </c>
      <c r="B212" s="1" t="s">
        <v>217</v>
      </c>
      <c r="C212" s="1" t="s">
        <v>32</v>
      </c>
      <c r="D212" s="2">
        <v>43047</v>
      </c>
      <c r="E212" s="3">
        <v>11.7</v>
      </c>
      <c r="F212" s="4">
        <f t="shared" si="239"/>
        <v>2526.9003149606297</v>
      </c>
      <c r="G212" s="7">
        <v>9.69</v>
      </c>
      <c r="H212" s="7">
        <v>150.19999999999999</v>
      </c>
      <c r="I212" s="7">
        <f t="shared" si="256"/>
        <v>140.51</v>
      </c>
      <c r="J212" s="7">
        <v>132.72</v>
      </c>
      <c r="K212" s="5">
        <f t="shared" si="240"/>
        <v>5.544089388655606</v>
      </c>
      <c r="L212" s="4">
        <f t="shared" si="241"/>
        <v>2386.8067027369925</v>
      </c>
      <c r="M212" s="2">
        <v>43054</v>
      </c>
      <c r="N212" s="7">
        <v>5.0599999999999996</v>
      </c>
      <c r="O212" s="7">
        <v>1.74</v>
      </c>
      <c r="P212" s="7">
        <v>4.0199999999999996</v>
      </c>
      <c r="Q212" s="6">
        <f t="shared" si="242"/>
        <v>0.32244897959183677</v>
      </c>
      <c r="R212" s="6">
        <f t="shared" si="243"/>
        <v>0.47755102040816327</v>
      </c>
      <c r="S212" s="6">
        <f t="shared" si="244"/>
        <v>0.1999999999999999</v>
      </c>
      <c r="T212" s="4">
        <f t="shared" si="245"/>
        <v>814.79642808934602</v>
      </c>
      <c r="U212" s="4">
        <f t="shared" si="246"/>
        <v>1206.7238238791579</v>
      </c>
      <c r="V212" s="4">
        <f t="shared" si="247"/>
        <v>2021.520251968504</v>
      </c>
      <c r="W212" s="4">
        <f t="shared" si="248"/>
        <v>769.62338578049969</v>
      </c>
      <c r="X212" s="4">
        <f t="shared" si="249"/>
        <v>1139.8219764090943</v>
      </c>
      <c r="Y212" s="4">
        <f t="shared" si="250"/>
        <v>1909.4453621895941</v>
      </c>
      <c r="Z212" s="10"/>
      <c r="AA212" s="12"/>
      <c r="AB212" s="5"/>
      <c r="AC212" s="4"/>
      <c r="AD212" s="4"/>
      <c r="AE212" s="4"/>
      <c r="AF212" s="4"/>
      <c r="AK212" s="3"/>
      <c r="AL212" s="3"/>
      <c r="AM212" s="7"/>
      <c r="AN212" s="7"/>
      <c r="AO212" s="7"/>
      <c r="AP212" s="7"/>
      <c r="AQ212" s="7"/>
      <c r="AR212" s="3"/>
      <c r="AS212" s="3"/>
      <c r="AT212" s="7"/>
      <c r="AU212" s="7"/>
      <c r="AV212" s="7"/>
      <c r="AW212" s="9"/>
      <c r="AX212" s="9"/>
      <c r="AY212" s="9"/>
      <c r="AZ212" s="3"/>
      <c r="BA212" s="3"/>
      <c r="BB212" s="3"/>
      <c r="BC212" s="3"/>
      <c r="BD212" s="3"/>
      <c r="BE212" s="3"/>
      <c r="BG212" s="13"/>
      <c r="BH212" s="7"/>
      <c r="BI212" s="3"/>
      <c r="BJ212" s="3"/>
      <c r="BK212" s="3"/>
      <c r="BL212" s="3"/>
    </row>
    <row r="213" spans="1:64" x14ac:dyDescent="0.25">
      <c r="A213">
        <v>166</v>
      </c>
      <c r="B213" s="1" t="s">
        <v>218</v>
      </c>
      <c r="C213" s="1" t="s">
        <v>32</v>
      </c>
      <c r="D213" s="2">
        <v>43047</v>
      </c>
      <c r="E213" s="3">
        <v>16.8</v>
      </c>
      <c r="F213" s="4">
        <f t="shared" si="239"/>
        <v>3665.3448031496068</v>
      </c>
      <c r="G213" s="7">
        <v>9.73</v>
      </c>
      <c r="H213" s="7">
        <v>220.75</v>
      </c>
      <c r="I213" s="7">
        <f t="shared" si="256"/>
        <v>211.02</v>
      </c>
      <c r="J213" s="7">
        <v>201.48</v>
      </c>
      <c r="K213" s="5">
        <f t="shared" si="240"/>
        <v>4.5208984930338456</v>
      </c>
      <c r="L213" s="4">
        <f t="shared" si="241"/>
        <v>3499.638285179522</v>
      </c>
      <c r="M213" s="2">
        <v>43054</v>
      </c>
      <c r="N213" s="7">
        <v>7.26</v>
      </c>
      <c r="O213" s="7">
        <v>2.66</v>
      </c>
      <c r="P213" s="7">
        <v>5.0999999999999996</v>
      </c>
      <c r="Q213" s="6">
        <f t="shared" si="242"/>
        <v>0.35211267605633806</v>
      </c>
      <c r="R213" s="6">
        <f t="shared" si="243"/>
        <v>0.48169014084507045</v>
      </c>
      <c r="S213" s="6">
        <f t="shared" si="244"/>
        <v>0.16619718309859155</v>
      </c>
      <c r="T213" s="4">
        <f t="shared" si="245"/>
        <v>1290.6143673061997</v>
      </c>
      <c r="U213" s="4">
        <f t="shared" si="246"/>
        <v>1765.5604544748812</v>
      </c>
      <c r="V213" s="4">
        <f t="shared" si="247"/>
        <v>3056.1748217810809</v>
      </c>
      <c r="W213" s="4">
        <f t="shared" si="248"/>
        <v>1232.2670018237754</v>
      </c>
      <c r="X213" s="4">
        <f t="shared" si="249"/>
        <v>1685.7412584949248</v>
      </c>
      <c r="Y213" s="4">
        <f t="shared" si="250"/>
        <v>2918.0082603187002</v>
      </c>
      <c r="Z213" s="10"/>
      <c r="AA213" s="12"/>
      <c r="AB213" s="5"/>
      <c r="AC213" s="4"/>
      <c r="AD213" s="4"/>
      <c r="AE213" s="4"/>
      <c r="AF213" s="4"/>
      <c r="AH213" t="s">
        <v>303</v>
      </c>
      <c r="AI213" t="s">
        <v>32</v>
      </c>
      <c r="AJ213" s="8">
        <f>D213</f>
        <v>43047</v>
      </c>
      <c r="AK213" s="3">
        <f>SUM(E213:E215)</f>
        <v>54.7</v>
      </c>
      <c r="AL213" s="3">
        <f>(AK213-3*$A$35)*$A$36/(3*$A$37)*$A$38</f>
        <v>3985.2997900262467</v>
      </c>
      <c r="AM213" s="7">
        <f>SUM(G213:G215)</f>
        <v>29.180000000000003</v>
      </c>
      <c r="AN213" s="7">
        <f>SUM(H213:H215)</f>
        <v>601.23</v>
      </c>
      <c r="AO213" s="7">
        <f>AN213-AM213</f>
        <v>572.05000000000007</v>
      </c>
      <c r="AP213" s="7">
        <f>SUM(J213:J215)</f>
        <v>543.99</v>
      </c>
      <c r="AQ213" s="7">
        <f>(AO213-AP213)/AO213*100</f>
        <v>4.9051656323748016</v>
      </c>
      <c r="AR213" s="3">
        <f>AL213*(1-AQ213/100)</f>
        <v>3789.8142343787745</v>
      </c>
      <c r="AS213" s="11">
        <f>M213</f>
        <v>43054</v>
      </c>
      <c r="AT213" s="7">
        <f>SUM(N213:N215)</f>
        <v>23.73</v>
      </c>
      <c r="AU213" s="7">
        <f>SUM(O213:O215)</f>
        <v>8.66</v>
      </c>
      <c r="AV213" s="7">
        <f>SUM(P213:P215)</f>
        <v>16.28</v>
      </c>
      <c r="AW213" s="9">
        <f>(AU213-3*$A$39)/(AT213-3*$A$39)</f>
        <v>0.35182795698924729</v>
      </c>
      <c r="AX213" s="9">
        <f>(AV213-3*$A$40)/(AT213-3*$A$39)</f>
        <v>0.48344086021505384</v>
      </c>
      <c r="AY213" s="9">
        <f>1-AW213-AX213</f>
        <v>0.16473118279569887</v>
      </c>
      <c r="AZ213" s="3">
        <f>AL213*AW213</f>
        <v>1402.1398831146105</v>
      </c>
      <c r="BA213" s="3">
        <f>AL213*AX213</f>
        <v>1926.656758705162</v>
      </c>
      <c r="BB213" s="3">
        <f>AZ213+BA213</f>
        <v>3328.7966418197725</v>
      </c>
      <c r="BC213" s="3">
        <f>AR213*AW213</f>
        <v>1333.3625994502527</v>
      </c>
      <c r="BD213" s="3">
        <f>AR213*AX213</f>
        <v>1832.1510535233303</v>
      </c>
      <c r="BE213" s="3">
        <f>BC213+BD213</f>
        <v>3165.5136529735828</v>
      </c>
      <c r="BF213" s="11">
        <f>Z214</f>
        <v>43077</v>
      </c>
      <c r="BG213" s="13">
        <f>AVERAGE(AA213:AA215)</f>
        <v>45</v>
      </c>
      <c r="BH213" s="7">
        <f t="shared" ref="BH213" si="312">AVERAGE(AB213:AB215)</f>
        <v>1.1000000000000001</v>
      </c>
      <c r="BI213" s="3">
        <f t="shared" ref="BI213" si="313">AVERAGE(AC213:AC215)</f>
        <v>79</v>
      </c>
      <c r="BJ213" s="3">
        <f t="shared" ref="BJ213" si="314">AVERAGE(AD213:AD215)</f>
        <v>30.6</v>
      </c>
      <c r="BK213" s="3">
        <f t="shared" ref="BK213" si="315">AVERAGE(AE213:AE215)</f>
        <v>6.2</v>
      </c>
      <c r="BL213" s="3">
        <f t="shared" ref="BL213" si="316">AVERAGE(AF213:AF215)</f>
        <v>11.1</v>
      </c>
    </row>
    <row r="214" spans="1:64" x14ac:dyDescent="0.25">
      <c r="A214">
        <v>167</v>
      </c>
      <c r="B214" s="1" t="s">
        <v>219</v>
      </c>
      <c r="C214" s="1" t="s">
        <v>32</v>
      </c>
      <c r="D214" s="2">
        <v>43047</v>
      </c>
      <c r="E214" s="3">
        <v>18.3</v>
      </c>
      <c r="F214" s="4">
        <f t="shared" si="239"/>
        <v>4000.1814173228349</v>
      </c>
      <c r="G214" s="7">
        <v>9.7200000000000006</v>
      </c>
      <c r="H214" s="7">
        <v>188.28</v>
      </c>
      <c r="I214" s="7">
        <f t="shared" si="256"/>
        <v>178.56</v>
      </c>
      <c r="J214" s="7">
        <v>169.42</v>
      </c>
      <c r="K214" s="5">
        <f t="shared" si="240"/>
        <v>5.1187275985663163</v>
      </c>
      <c r="L214" s="4">
        <f t="shared" si="241"/>
        <v>3795.4230271216097</v>
      </c>
      <c r="M214" s="2">
        <v>43054</v>
      </c>
      <c r="N214" s="7">
        <v>7.97</v>
      </c>
      <c r="O214" s="7">
        <v>2.92</v>
      </c>
      <c r="P214" s="7">
        <v>5.5</v>
      </c>
      <c r="Q214" s="6">
        <f t="shared" si="242"/>
        <v>0.35339308578745199</v>
      </c>
      <c r="R214" s="6">
        <f t="shared" si="243"/>
        <v>0.4891165172855314</v>
      </c>
      <c r="S214" s="6">
        <f t="shared" si="244"/>
        <v>0.15749039692701661</v>
      </c>
      <c r="T214" s="4">
        <f t="shared" si="245"/>
        <v>1413.6364547773398</v>
      </c>
      <c r="U214" s="4">
        <f t="shared" si="246"/>
        <v>1956.5548033512459</v>
      </c>
      <c r="V214" s="4">
        <f t="shared" si="247"/>
        <v>3370.191258128586</v>
      </c>
      <c r="W214" s="4">
        <f t="shared" si="248"/>
        <v>1341.2762554232577</v>
      </c>
      <c r="X214" s="4">
        <f t="shared" si="249"/>
        <v>1856.4040926510309</v>
      </c>
      <c r="Y214" s="4">
        <f t="shared" si="250"/>
        <v>3197.6803480742883</v>
      </c>
      <c r="Z214" s="10">
        <v>43077</v>
      </c>
      <c r="AA214" s="12">
        <v>45</v>
      </c>
      <c r="AB214" s="5">
        <v>1.1000000000000001</v>
      </c>
      <c r="AC214" s="4">
        <v>79</v>
      </c>
      <c r="AD214" s="4">
        <v>30.6</v>
      </c>
      <c r="AE214" s="4">
        <v>6.2</v>
      </c>
      <c r="AF214" s="4">
        <v>11.1</v>
      </c>
      <c r="AK214" s="3"/>
      <c r="AL214" s="3"/>
      <c r="AM214" s="7"/>
      <c r="AN214" s="7"/>
      <c r="AO214" s="7"/>
      <c r="AP214" s="7"/>
      <c r="AQ214" s="7"/>
      <c r="AR214" s="3"/>
      <c r="AS214" s="3"/>
      <c r="AT214" s="7"/>
      <c r="AU214" s="7"/>
      <c r="AV214" s="7"/>
      <c r="AW214" s="9"/>
      <c r="AX214" s="9"/>
      <c r="AY214" s="9"/>
      <c r="AZ214" s="3"/>
      <c r="BA214" s="3"/>
      <c r="BB214" s="3"/>
      <c r="BC214" s="3"/>
      <c r="BD214" s="3"/>
      <c r="BE214" s="3"/>
      <c r="BG214" s="13"/>
      <c r="BH214" s="7"/>
      <c r="BI214" s="3"/>
      <c r="BJ214" s="3"/>
      <c r="BK214" s="3"/>
      <c r="BL214" s="3"/>
    </row>
    <row r="215" spans="1:64" x14ac:dyDescent="0.25">
      <c r="A215">
        <v>168</v>
      </c>
      <c r="B215" s="1" t="s">
        <v>220</v>
      </c>
      <c r="C215" s="1" t="s">
        <v>32</v>
      </c>
      <c r="D215" s="2">
        <v>43047</v>
      </c>
      <c r="E215" s="3">
        <v>19.600000000000001</v>
      </c>
      <c r="F215" s="4">
        <f t="shared" si="239"/>
        <v>4290.3731496062992</v>
      </c>
      <c r="G215" s="7">
        <v>9.73</v>
      </c>
      <c r="H215" s="7">
        <v>192.2</v>
      </c>
      <c r="I215" s="7">
        <f t="shared" si="256"/>
        <v>182.47</v>
      </c>
      <c r="J215" s="7">
        <v>173.09</v>
      </c>
      <c r="K215" s="5">
        <f t="shared" si="240"/>
        <v>5.1405710527757966</v>
      </c>
      <c r="L215" s="4">
        <f t="shared" si="241"/>
        <v>4069.8234694215726</v>
      </c>
      <c r="M215" s="2">
        <v>43054</v>
      </c>
      <c r="N215" s="7">
        <v>8.5</v>
      </c>
      <c r="O215" s="7">
        <v>3.08</v>
      </c>
      <c r="P215" s="7">
        <v>5.68</v>
      </c>
      <c r="Q215" s="6">
        <f t="shared" si="242"/>
        <v>0.3501199040767386</v>
      </c>
      <c r="R215" s="6">
        <f t="shared" si="243"/>
        <v>0.47961630695443647</v>
      </c>
      <c r="S215" s="6">
        <f t="shared" si="244"/>
        <v>0.17026378896882488</v>
      </c>
      <c r="T215" s="4">
        <f t="shared" si="245"/>
        <v>1502.1450355935724</v>
      </c>
      <c r="U215" s="4">
        <f t="shared" si="246"/>
        <v>2057.7329254706474</v>
      </c>
      <c r="V215" s="4">
        <f t="shared" si="247"/>
        <v>3559.8779610642196</v>
      </c>
      <c r="W215" s="4">
        <f t="shared" si="248"/>
        <v>1424.9262027231405</v>
      </c>
      <c r="X215" s="4">
        <f t="shared" si="249"/>
        <v>1951.9537023604664</v>
      </c>
      <c r="Y215" s="4">
        <f t="shared" si="250"/>
        <v>3376.8799050836069</v>
      </c>
      <c r="Z215" s="10"/>
      <c r="AA215" s="12"/>
      <c r="AB215" s="5"/>
      <c r="AC215" s="4"/>
      <c r="AD215" s="4"/>
      <c r="AE215" s="4"/>
      <c r="AF215" s="4"/>
      <c r="AK215" s="3"/>
      <c r="AL215" s="3"/>
      <c r="AM215" s="7"/>
      <c r="AN215" s="7"/>
      <c r="AO215" s="7"/>
      <c r="AP215" s="7"/>
      <c r="AQ215" s="7"/>
      <c r="AR215" s="3"/>
      <c r="AS215" s="3"/>
      <c r="AT215" s="7"/>
      <c r="AU215" s="7"/>
      <c r="AV215" s="7"/>
      <c r="AW215" s="9"/>
      <c r="AX215" s="9"/>
      <c r="AY215" s="9"/>
      <c r="AZ215" s="3"/>
      <c r="BA215" s="3"/>
      <c r="BB215" s="3"/>
      <c r="BC215" s="3"/>
      <c r="BD215" s="3"/>
      <c r="BE215" s="3"/>
      <c r="BG215" s="13"/>
      <c r="BH215" s="7"/>
      <c r="BI215" s="3"/>
      <c r="BJ215" s="3"/>
      <c r="BK215" s="3"/>
      <c r="BL215" s="3"/>
    </row>
    <row r="216" spans="1:64" x14ac:dyDescent="0.25">
      <c r="A216">
        <v>169</v>
      </c>
      <c r="B216" s="1" t="s">
        <v>221</v>
      </c>
      <c r="C216" s="1" t="s">
        <v>32</v>
      </c>
      <c r="D216" s="2">
        <v>43047</v>
      </c>
      <c r="E216" s="3">
        <v>22.8</v>
      </c>
      <c r="F216" s="4">
        <f t="shared" si="239"/>
        <v>5004.6912598425197</v>
      </c>
      <c r="G216" s="7">
        <v>9.7100000000000009</v>
      </c>
      <c r="H216" s="7">
        <v>185.48</v>
      </c>
      <c r="I216" s="7">
        <f t="shared" si="256"/>
        <v>175.76999999999998</v>
      </c>
      <c r="J216" s="7">
        <v>167.03</v>
      </c>
      <c r="K216" s="5">
        <f t="shared" si="240"/>
        <v>4.9724071229447473</v>
      </c>
      <c r="L216" s="4">
        <f t="shared" si="241"/>
        <v>4755.8376351567176</v>
      </c>
      <c r="M216" s="2">
        <v>43054</v>
      </c>
      <c r="N216" s="7">
        <v>9.98</v>
      </c>
      <c r="O216" s="7">
        <v>3.66</v>
      </c>
      <c r="P216" s="7">
        <v>6.38</v>
      </c>
      <c r="Q216" s="6">
        <f t="shared" si="242"/>
        <v>0.35641547861507128</v>
      </c>
      <c r="R216" s="6">
        <f t="shared" si="243"/>
        <v>0.47861507128309572</v>
      </c>
      <c r="S216" s="6">
        <f t="shared" si="244"/>
        <v>0.164969450101833</v>
      </c>
      <c r="T216" s="4">
        <f t="shared" si="245"/>
        <v>1783.7494306974356</v>
      </c>
      <c r="U216" s="4">
        <f t="shared" si="246"/>
        <v>2395.3206640794137</v>
      </c>
      <c r="V216" s="4">
        <f t="shared" si="247"/>
        <v>4179.0700947768491</v>
      </c>
      <c r="W216" s="4">
        <f t="shared" si="248"/>
        <v>1695.0541469499503</v>
      </c>
      <c r="X216" s="4">
        <f t="shared" si="249"/>
        <v>2276.2155687613617</v>
      </c>
      <c r="Y216" s="4">
        <f t="shared" si="250"/>
        <v>3971.2697157113121</v>
      </c>
      <c r="Z216" s="10"/>
      <c r="AA216" s="12"/>
      <c r="AB216" s="5"/>
      <c r="AC216" s="4"/>
      <c r="AD216" s="4"/>
      <c r="AE216" s="4"/>
      <c r="AF216" s="4"/>
      <c r="AH216" t="s">
        <v>291</v>
      </c>
      <c r="AI216" t="str">
        <f>C216</f>
        <v>Machine</v>
      </c>
      <c r="AJ216" s="8">
        <f>D216</f>
        <v>43047</v>
      </c>
      <c r="AK216" s="3">
        <f>SUM(E216:E218)</f>
        <v>61.6</v>
      </c>
      <c r="AL216" s="3">
        <f>(AK216-3*$A$35)*$A$36/(3*$A$37)*$A$38</f>
        <v>4498.7159317585301</v>
      </c>
      <c r="AM216" s="7">
        <f>SUM(G216:G218)</f>
        <v>29.119999999999997</v>
      </c>
      <c r="AN216" s="7">
        <f>SUM(H216:H218)</f>
        <v>538.53</v>
      </c>
      <c r="AO216" s="7">
        <f>AN216-AM216</f>
        <v>509.40999999999997</v>
      </c>
      <c r="AP216" s="7">
        <f>SUM(J216:J218)</f>
        <v>483.38</v>
      </c>
      <c r="AQ216" s="7">
        <f>(AO216-AP216)/AO216*100</f>
        <v>5.1098329439940269</v>
      </c>
      <c r="AR216" s="3">
        <f>AL216*(1-AQ216/100)</f>
        <v>4268.8390630208251</v>
      </c>
      <c r="AS216" s="11">
        <f>M216</f>
        <v>43054</v>
      </c>
      <c r="AT216" s="7">
        <f>SUM(N216:N218)</f>
        <v>26.709999999999997</v>
      </c>
      <c r="AU216" s="7">
        <f>SUM(O216:O218)</f>
        <v>9.7000000000000011</v>
      </c>
      <c r="AV216" s="7">
        <f>SUM(P216:P218)</f>
        <v>17.64</v>
      </c>
      <c r="AW216" s="9">
        <f>(AU216-3*$A$39)/(AT216-3*$A$39)</f>
        <v>0.35150590926420139</v>
      </c>
      <c r="AX216" s="9">
        <f>(AV216-3*$A$40)/(AT216-3*$A$39)</f>
        <v>0.48036599313762879</v>
      </c>
      <c r="AY216" s="9">
        <f>1-AW216-AX216</f>
        <v>0.16812809759816977</v>
      </c>
      <c r="AZ216" s="3">
        <f>AL216*AW216</f>
        <v>1581.325234114131</v>
      </c>
      <c r="BA216" s="3">
        <f>AL216*AX216</f>
        <v>2161.0301464032596</v>
      </c>
      <c r="BB216" s="3">
        <f>AZ216+BA216</f>
        <v>3742.3553805173906</v>
      </c>
      <c r="BC216" s="3">
        <f>AR216*AW216</f>
        <v>1500.5221563496766</v>
      </c>
      <c r="BD216" s="3">
        <f>AR216*AX216</f>
        <v>2050.6051160527036</v>
      </c>
      <c r="BE216" s="3">
        <f>BC216+BD216</f>
        <v>3551.1272724023802</v>
      </c>
      <c r="BF216" s="11">
        <f>Z217</f>
        <v>43077</v>
      </c>
      <c r="BG216" s="13">
        <f>AVERAGE(AA216:AA218)</f>
        <v>47</v>
      </c>
      <c r="BH216" s="7">
        <f t="shared" ref="BH216" si="317">AVERAGE(AB216:AB218)</f>
        <v>1.1000000000000001</v>
      </c>
      <c r="BI216" s="3">
        <f t="shared" ref="BI216" si="318">AVERAGE(AC216:AC218)</f>
        <v>80.2</v>
      </c>
      <c r="BJ216" s="3">
        <f t="shared" ref="BJ216" si="319">AVERAGE(AD216:AD218)</f>
        <v>30.4</v>
      </c>
      <c r="BK216" s="3">
        <f t="shared" ref="BK216" si="320">AVERAGE(AE216:AE218)</f>
        <v>5.8</v>
      </c>
      <c r="BL216" s="3">
        <f t="shared" ref="BL216" si="321">AVERAGE(AF216:AF218)</f>
        <v>10.1</v>
      </c>
    </row>
    <row r="217" spans="1:64" x14ac:dyDescent="0.25">
      <c r="A217">
        <v>170</v>
      </c>
      <c r="B217" s="1" t="s">
        <v>222</v>
      </c>
      <c r="C217" s="1" t="s">
        <v>32</v>
      </c>
      <c r="D217" s="2">
        <v>43047</v>
      </c>
      <c r="E217" s="3">
        <v>20.2</v>
      </c>
      <c r="F217" s="4">
        <f t="shared" si="239"/>
        <v>4424.3077952755903</v>
      </c>
      <c r="G217" s="7">
        <v>9.69</v>
      </c>
      <c r="H217" s="7">
        <v>173.2</v>
      </c>
      <c r="I217" s="7">
        <f t="shared" si="256"/>
        <v>163.51</v>
      </c>
      <c r="J217" s="7">
        <v>155.08000000000001</v>
      </c>
      <c r="K217" s="5">
        <f t="shared" si="240"/>
        <v>5.1556479726010513</v>
      </c>
      <c r="L217" s="4">
        <f t="shared" si="241"/>
        <v>4196.206060126834</v>
      </c>
      <c r="M217" s="2">
        <v>43054</v>
      </c>
      <c r="N217" s="7">
        <v>8.85</v>
      </c>
      <c r="O217" s="7">
        <v>3.22</v>
      </c>
      <c r="P217" s="7">
        <v>5.9</v>
      </c>
      <c r="Q217" s="6">
        <f t="shared" si="242"/>
        <v>0.35212888377445339</v>
      </c>
      <c r="R217" s="6">
        <f t="shared" si="243"/>
        <v>0.48561565017261232</v>
      </c>
      <c r="S217" s="6">
        <f t="shared" si="244"/>
        <v>0.16225546605293428</v>
      </c>
      <c r="T217" s="4">
        <f t="shared" si="245"/>
        <v>1557.9265654250064</v>
      </c>
      <c r="U217" s="4">
        <f t="shared" si="246"/>
        <v>2148.5131065665128</v>
      </c>
      <c r="V217" s="4">
        <f t="shared" si="247"/>
        <v>3706.4396719915194</v>
      </c>
      <c r="W217" s="4">
        <f t="shared" si="248"/>
        <v>1477.605356040059</v>
      </c>
      <c r="X217" s="4">
        <f t="shared" si="249"/>
        <v>2037.7433341467486</v>
      </c>
      <c r="Y217" s="4">
        <f t="shared" si="250"/>
        <v>3515.3486901868073</v>
      </c>
      <c r="Z217" s="10">
        <v>43077</v>
      </c>
      <c r="AA217" s="12">
        <v>47</v>
      </c>
      <c r="AB217" s="5">
        <v>1.1000000000000001</v>
      </c>
      <c r="AC217" s="4">
        <v>80.2</v>
      </c>
      <c r="AD217" s="4">
        <v>30.4</v>
      </c>
      <c r="AE217" s="4">
        <v>5.8</v>
      </c>
      <c r="AF217" s="4">
        <v>10.1</v>
      </c>
      <c r="AK217" s="3"/>
      <c r="AL217" s="3"/>
      <c r="AM217" s="7"/>
      <c r="AN217" s="7"/>
      <c r="AO217" s="7"/>
      <c r="AP217" s="7"/>
      <c r="AQ217" s="7"/>
      <c r="AR217" s="3"/>
      <c r="AS217" s="3"/>
      <c r="AT217" s="7"/>
      <c r="AU217" s="7"/>
      <c r="AV217" s="7"/>
      <c r="AW217" s="9"/>
      <c r="AX217" s="9"/>
      <c r="AY217" s="9"/>
      <c r="AZ217" s="3"/>
      <c r="BA217" s="3"/>
      <c r="BB217" s="3"/>
      <c r="BC217" s="3"/>
      <c r="BD217" s="3"/>
      <c r="BE217" s="3"/>
      <c r="BG217" s="13"/>
      <c r="BH217" s="7"/>
      <c r="BI217" s="3"/>
      <c r="BJ217" s="3"/>
      <c r="BK217" s="3"/>
      <c r="BL217" s="3"/>
    </row>
    <row r="218" spans="1:64" x14ac:dyDescent="0.25">
      <c r="A218">
        <v>171</v>
      </c>
      <c r="B218" s="1" t="s">
        <v>223</v>
      </c>
      <c r="C218" s="1" t="s">
        <v>32</v>
      </c>
      <c r="D218" s="2">
        <v>43047</v>
      </c>
      <c r="E218" s="3">
        <v>18.600000000000001</v>
      </c>
      <c r="F218" s="4">
        <f t="shared" si="239"/>
        <v>4067.1487401574814</v>
      </c>
      <c r="G218" s="7">
        <v>9.7200000000000006</v>
      </c>
      <c r="H218" s="7">
        <v>179.85</v>
      </c>
      <c r="I218" s="7">
        <f t="shared" si="256"/>
        <v>170.13</v>
      </c>
      <c r="J218" s="7">
        <v>161.27000000000001</v>
      </c>
      <c r="K218" s="5">
        <f t="shared" si="240"/>
        <v>5.2077822841356518</v>
      </c>
      <c r="L218" s="4">
        <f t="shared" si="241"/>
        <v>3855.3404885981136</v>
      </c>
      <c r="M218" s="2">
        <v>43054</v>
      </c>
      <c r="N218" s="7">
        <v>7.88</v>
      </c>
      <c r="O218" s="7">
        <v>2.82</v>
      </c>
      <c r="P218" s="7">
        <v>5.36</v>
      </c>
      <c r="Q218" s="6">
        <f t="shared" si="242"/>
        <v>0.34455958549222793</v>
      </c>
      <c r="R218" s="6">
        <f t="shared" si="243"/>
        <v>0.47668393782383428</v>
      </c>
      <c r="S218" s="6">
        <f t="shared" si="244"/>
        <v>0.17875647668393785</v>
      </c>
      <c r="T218" s="4">
        <f t="shared" si="245"/>
        <v>1401.3750840438988</v>
      </c>
      <c r="U218" s="4">
        <f t="shared" si="246"/>
        <v>1938.7444771735147</v>
      </c>
      <c r="V218" s="4">
        <f t="shared" si="247"/>
        <v>3340.1195612174133</v>
      </c>
      <c r="W218" s="4">
        <f t="shared" si="248"/>
        <v>1328.3945206827696</v>
      </c>
      <c r="X218" s="4">
        <f t="shared" si="249"/>
        <v>1837.778885756614</v>
      </c>
      <c r="Y218" s="4">
        <f t="shared" si="250"/>
        <v>3166.1734064393836</v>
      </c>
      <c r="Z218" s="10"/>
      <c r="AA218" s="12"/>
      <c r="AB218" s="5"/>
      <c r="AC218" s="4"/>
      <c r="AD218" s="4"/>
      <c r="AE218" s="4"/>
      <c r="AF218" s="4"/>
      <c r="AK218" s="3"/>
      <c r="AL218" s="3"/>
      <c r="AM218" s="7"/>
      <c r="AN218" s="7"/>
      <c r="AO218" s="7"/>
      <c r="AP218" s="7"/>
      <c r="AQ218" s="7"/>
      <c r="AR218" s="3"/>
      <c r="AS218" s="3"/>
      <c r="AT218" s="7"/>
      <c r="AU218" s="7"/>
      <c r="AV218" s="7"/>
      <c r="AW218" s="9"/>
      <c r="AX218" s="9"/>
      <c r="AY218" s="9"/>
      <c r="AZ218" s="3"/>
      <c r="BA218" s="3"/>
      <c r="BB218" s="3"/>
      <c r="BC218" s="3"/>
      <c r="BD218" s="3"/>
      <c r="BE218" s="3"/>
      <c r="BG218" s="13"/>
      <c r="BH218" s="7"/>
      <c r="BI218" s="3"/>
      <c r="BJ218" s="3"/>
      <c r="BK218" s="3"/>
      <c r="BL218" s="3"/>
    </row>
    <row r="219" spans="1:64" x14ac:dyDescent="0.25">
      <c r="A219">
        <v>172</v>
      </c>
      <c r="B219" s="1" t="s">
        <v>224</v>
      </c>
      <c r="C219" s="1" t="s">
        <v>32</v>
      </c>
      <c r="D219" s="2">
        <v>43047</v>
      </c>
      <c r="E219" s="3">
        <v>19.100000000000001</v>
      </c>
      <c r="F219" s="4">
        <f t="shared" si="239"/>
        <v>4178.7609448818912</v>
      </c>
      <c r="G219" s="7">
        <v>9.6999999999999993</v>
      </c>
      <c r="H219" s="7">
        <v>111.41</v>
      </c>
      <c r="I219" s="7">
        <f t="shared" si="256"/>
        <v>101.71</v>
      </c>
      <c r="J219" s="7">
        <v>96.73</v>
      </c>
      <c r="K219" s="5">
        <f t="shared" si="240"/>
        <v>4.8962737193982795</v>
      </c>
      <c r="L219" s="4">
        <f t="shared" si="241"/>
        <v>3974.15737094116</v>
      </c>
      <c r="M219" s="2">
        <v>43054</v>
      </c>
      <c r="N219" s="7">
        <v>8.4499999999999993</v>
      </c>
      <c r="O219" s="7">
        <v>3.02</v>
      </c>
      <c r="P219" s="7">
        <v>5.66</v>
      </c>
      <c r="Q219" s="6">
        <f t="shared" si="242"/>
        <v>0.34499396863691195</v>
      </c>
      <c r="R219" s="6">
        <f t="shared" si="243"/>
        <v>0.48009650180940905</v>
      </c>
      <c r="S219" s="6">
        <f t="shared" si="244"/>
        <v>0.17490952955367906</v>
      </c>
      <c r="T219" s="4">
        <f t="shared" si="245"/>
        <v>1441.6473223597357</v>
      </c>
      <c r="U219" s="4">
        <f t="shared" si="246"/>
        <v>2006.2085115355767</v>
      </c>
      <c r="V219" s="4">
        <f t="shared" si="247"/>
        <v>3447.8558338953126</v>
      </c>
      <c r="W219" s="4">
        <f t="shared" si="248"/>
        <v>1371.060323388627</v>
      </c>
      <c r="X219" s="4">
        <f t="shared" si="249"/>
        <v>1907.9790514289289</v>
      </c>
      <c r="Y219" s="4">
        <f t="shared" si="250"/>
        <v>3279.0393748175557</v>
      </c>
      <c r="Z219" s="10"/>
      <c r="AA219" s="12"/>
      <c r="AB219" s="5"/>
      <c r="AC219" s="4"/>
      <c r="AD219" s="4"/>
      <c r="AE219" s="4"/>
      <c r="AF219" s="4"/>
      <c r="AH219" t="s">
        <v>304</v>
      </c>
      <c r="AI219" t="s">
        <v>32</v>
      </c>
      <c r="AJ219" s="8">
        <f>D219</f>
        <v>43047</v>
      </c>
      <c r="AK219" s="3">
        <f>SUM(E219:E221)</f>
        <v>58.099999999999994</v>
      </c>
      <c r="AL219" s="3">
        <f>(AK219-3*$A$35)*$A$36/(3*$A$37)*$A$38</f>
        <v>4238.2874540682405</v>
      </c>
      <c r="AM219" s="7">
        <f>SUM(G219:G221)</f>
        <v>29.07</v>
      </c>
      <c r="AN219" s="7">
        <f>SUM(H219:H221)</f>
        <v>458.19</v>
      </c>
      <c r="AO219" s="7">
        <f>AN219-AM219</f>
        <v>429.12</v>
      </c>
      <c r="AP219" s="7">
        <f>SUM(J219:J221)</f>
        <v>407.51</v>
      </c>
      <c r="AQ219" s="7">
        <f>(AO219-AP219)/AO219*100</f>
        <v>5.0358873974645819</v>
      </c>
      <c r="AR219" s="3">
        <f>AL219*(1-AQ219/100)</f>
        <v>4024.8520703004956</v>
      </c>
      <c r="AS219" s="11">
        <f>M219</f>
        <v>43054</v>
      </c>
      <c r="AT219" s="7">
        <f>SUM(N219:N221)</f>
        <v>25.490000000000002</v>
      </c>
      <c r="AU219" s="7">
        <f>SUM(O219:O221)</f>
        <v>9.06</v>
      </c>
      <c r="AV219" s="7">
        <f>SUM(P219:P221)</f>
        <v>17.04</v>
      </c>
      <c r="AW219" s="9">
        <f>(AU219-3*$A$39)/(AT219-3*$A$39)</f>
        <v>0.34306277489004394</v>
      </c>
      <c r="AX219" s="9">
        <f>(AV219-3*$A$40)/(AT219-3*$A$39)</f>
        <v>0.47980807676929227</v>
      </c>
      <c r="AY219" s="9">
        <f>1-AW219-AX219</f>
        <v>0.17712914834066384</v>
      </c>
      <c r="AZ219" s="3">
        <f>AL219*AW219</f>
        <v>1453.9986547743104</v>
      </c>
      <c r="BA219" s="3">
        <f>AL219*AX219</f>
        <v>2033.5645521319027</v>
      </c>
      <c r="BB219" s="3">
        <f>AZ219+BA219</f>
        <v>3487.5632069062131</v>
      </c>
      <c r="BC219" s="3">
        <f>AR219*AW219</f>
        <v>1380.7769197592263</v>
      </c>
      <c r="BD219" s="3">
        <f>AR219*AX219</f>
        <v>1931.1565311317852</v>
      </c>
      <c r="BE219" s="3">
        <f>BC219+BD219</f>
        <v>3311.9334508910115</v>
      </c>
      <c r="BF219" s="11">
        <f>Z220</f>
        <v>43077</v>
      </c>
      <c r="BG219" s="13">
        <f>AVERAGE(AA219:AA221)</f>
        <v>44</v>
      </c>
      <c r="BH219" s="7">
        <f t="shared" ref="BH219" si="322">AVERAGE(AB219:AB221)</f>
        <v>1.1299999999999999</v>
      </c>
      <c r="BI219" s="3">
        <f t="shared" ref="BI219" si="323">AVERAGE(AC219:AC221)</f>
        <v>82</v>
      </c>
      <c r="BJ219" s="3">
        <f t="shared" ref="BJ219" si="324">AVERAGE(AD219:AD221)</f>
        <v>31</v>
      </c>
      <c r="BK219" s="3">
        <f t="shared" ref="BK219" si="325">AVERAGE(AE219:AE221)</f>
        <v>5.9</v>
      </c>
      <c r="BL219" s="3">
        <f t="shared" ref="BL219" si="326">AVERAGE(AF219:AF221)</f>
        <v>10.1</v>
      </c>
    </row>
    <row r="220" spans="1:64" x14ac:dyDescent="0.25">
      <c r="A220">
        <v>173</v>
      </c>
      <c r="B220" s="1" t="s">
        <v>225</v>
      </c>
      <c r="C220" s="1" t="s">
        <v>32</v>
      </c>
      <c r="D220" s="2">
        <v>43047</v>
      </c>
      <c r="E220" s="3">
        <v>18.7</v>
      </c>
      <c r="F220" s="4">
        <f t="shared" si="239"/>
        <v>4089.4711811023622</v>
      </c>
      <c r="G220" s="7">
        <v>9.68</v>
      </c>
      <c r="H220" s="7">
        <v>107.42</v>
      </c>
      <c r="I220" s="7">
        <f t="shared" si="256"/>
        <v>97.740000000000009</v>
      </c>
      <c r="J220" s="7">
        <v>92.83</v>
      </c>
      <c r="K220" s="5">
        <f t="shared" si="240"/>
        <v>5.0235318191119402</v>
      </c>
      <c r="L220" s="4">
        <f t="shared" si="241"/>
        <v>3884.0352950862721</v>
      </c>
      <c r="M220" s="2">
        <v>43054</v>
      </c>
      <c r="N220" s="7">
        <v>8.23</v>
      </c>
      <c r="O220" s="7">
        <v>2.96</v>
      </c>
      <c r="P220" s="7">
        <v>5.56</v>
      </c>
      <c r="Q220" s="6">
        <f t="shared" si="242"/>
        <v>0.34696406443618338</v>
      </c>
      <c r="R220" s="6">
        <f t="shared" si="243"/>
        <v>0.48079306071871125</v>
      </c>
      <c r="S220" s="6">
        <f t="shared" si="244"/>
        <v>0.17224287484510542</v>
      </c>
      <c r="T220" s="4">
        <f t="shared" si="245"/>
        <v>1418.899542389915</v>
      </c>
      <c r="U220" s="4">
        <f t="shared" si="246"/>
        <v>1966.1893658831677</v>
      </c>
      <c r="V220" s="4">
        <f t="shared" si="247"/>
        <v>3385.0889082730828</v>
      </c>
      <c r="W220" s="4">
        <f t="shared" si="248"/>
        <v>1347.6206723967239</v>
      </c>
      <c r="X220" s="4">
        <f t="shared" si="249"/>
        <v>1867.4172174640316</v>
      </c>
      <c r="Y220" s="4">
        <f t="shared" si="250"/>
        <v>3215.0378898607555</v>
      </c>
      <c r="Z220" s="10">
        <v>43077</v>
      </c>
      <c r="AA220" s="12">
        <v>44</v>
      </c>
      <c r="AB220" s="5">
        <v>1.1299999999999999</v>
      </c>
      <c r="AC220" s="4">
        <v>82</v>
      </c>
      <c r="AD220" s="4">
        <v>31</v>
      </c>
      <c r="AE220" s="4">
        <v>5.9</v>
      </c>
      <c r="AF220" s="4">
        <v>10.1</v>
      </c>
      <c r="AK220" s="3"/>
      <c r="AL220" s="3"/>
      <c r="AM220" s="7"/>
      <c r="AN220" s="7"/>
      <c r="AO220" s="7"/>
      <c r="AP220" s="7"/>
      <c r="AQ220" s="7"/>
      <c r="AR220" s="3"/>
      <c r="AS220" s="3"/>
      <c r="AT220" s="7"/>
      <c r="AU220" s="7"/>
      <c r="AV220" s="7"/>
      <c r="AW220" s="9"/>
      <c r="AX220" s="9"/>
      <c r="AY220" s="9"/>
      <c r="AZ220" s="3"/>
      <c r="BA220" s="3"/>
      <c r="BB220" s="3"/>
      <c r="BC220" s="3"/>
      <c r="BD220" s="3"/>
      <c r="BE220" s="3"/>
      <c r="BG220" s="13"/>
      <c r="BH220" s="7"/>
      <c r="BI220" s="3"/>
      <c r="BJ220" s="3"/>
      <c r="BK220" s="3"/>
      <c r="BL220" s="3"/>
    </row>
    <row r="221" spans="1:64" x14ac:dyDescent="0.25">
      <c r="A221">
        <v>174</v>
      </c>
      <c r="B221" s="1" t="s">
        <v>226</v>
      </c>
      <c r="C221" s="1" t="s">
        <v>32</v>
      </c>
      <c r="D221" s="2">
        <v>43047</v>
      </c>
      <c r="E221" s="3">
        <v>20.3</v>
      </c>
      <c r="F221" s="4">
        <f t="shared" si="239"/>
        <v>4446.6302362204733</v>
      </c>
      <c r="G221" s="7">
        <v>9.69</v>
      </c>
      <c r="H221" s="7">
        <v>239.36</v>
      </c>
      <c r="I221" s="7">
        <f t="shared" si="256"/>
        <v>229.67000000000002</v>
      </c>
      <c r="J221" s="7">
        <v>217.95</v>
      </c>
      <c r="K221" s="5">
        <f t="shared" si="240"/>
        <v>5.1029738320198668</v>
      </c>
      <c r="L221" s="4">
        <f t="shared" si="241"/>
        <v>4219.7198588594592</v>
      </c>
      <c r="M221" s="2">
        <v>43054</v>
      </c>
      <c r="N221" s="7">
        <v>8.81</v>
      </c>
      <c r="O221" s="7">
        <v>3.08</v>
      </c>
      <c r="P221" s="7">
        <v>5.82</v>
      </c>
      <c r="Q221" s="6">
        <f t="shared" si="242"/>
        <v>0.33757225433526011</v>
      </c>
      <c r="R221" s="6">
        <f t="shared" si="243"/>
        <v>0.47861271676300582</v>
      </c>
      <c r="S221" s="6">
        <f t="shared" si="244"/>
        <v>0.18381502890173401</v>
      </c>
      <c r="T221" s="4">
        <f t="shared" si="245"/>
        <v>1501.0589930362753</v>
      </c>
      <c r="U221" s="4">
        <f t="shared" si="246"/>
        <v>2128.213777798007</v>
      </c>
      <c r="V221" s="4">
        <f t="shared" si="247"/>
        <v>3629.2727708342823</v>
      </c>
      <c r="W221" s="4">
        <f t="shared" si="248"/>
        <v>1424.4603454184532</v>
      </c>
      <c r="X221" s="4">
        <f t="shared" si="249"/>
        <v>2019.6115856275333</v>
      </c>
      <c r="Y221" s="4">
        <f t="shared" si="250"/>
        <v>3444.0719310459863</v>
      </c>
      <c r="Z221" s="10"/>
      <c r="AA221" s="12"/>
      <c r="AB221" s="5"/>
      <c r="AC221" s="4"/>
      <c r="AD221" s="4"/>
      <c r="AE221" s="4"/>
      <c r="AF221" s="4"/>
      <c r="AK221" s="3"/>
      <c r="AL221" s="3"/>
      <c r="AM221" s="7"/>
      <c r="AN221" s="7"/>
      <c r="AO221" s="7"/>
      <c r="AP221" s="7"/>
      <c r="AQ221" s="7"/>
      <c r="AR221" s="3"/>
      <c r="AS221" s="3"/>
      <c r="AT221" s="7"/>
      <c r="AU221" s="7"/>
      <c r="AV221" s="7"/>
      <c r="AW221" s="9"/>
      <c r="AX221" s="9"/>
      <c r="AY221" s="9"/>
      <c r="AZ221" s="3"/>
      <c r="BA221" s="3"/>
      <c r="BB221" s="3"/>
      <c r="BC221" s="3"/>
      <c r="BD221" s="3"/>
      <c r="BE221" s="3"/>
      <c r="BG221" s="13"/>
      <c r="BH221" s="7"/>
      <c r="BI221" s="3"/>
      <c r="BJ221" s="3"/>
      <c r="BK221" s="3"/>
      <c r="BL221" s="3"/>
    </row>
    <row r="222" spans="1:64" x14ac:dyDescent="0.25">
      <c r="A222">
        <v>175</v>
      </c>
      <c r="B222" s="1" t="s">
        <v>227</v>
      </c>
      <c r="C222" s="1" t="s">
        <v>32</v>
      </c>
      <c r="D222" s="2">
        <v>43047</v>
      </c>
      <c r="E222" s="3">
        <v>21.5</v>
      </c>
      <c r="F222" s="4">
        <f t="shared" si="239"/>
        <v>4714.4995275590554</v>
      </c>
      <c r="G222" s="7">
        <v>9.6999999999999993</v>
      </c>
      <c r="H222" s="7">
        <v>121.73</v>
      </c>
      <c r="I222" s="7">
        <f t="shared" si="256"/>
        <v>112.03</v>
      </c>
      <c r="J222" s="7">
        <v>106.56</v>
      </c>
      <c r="K222" s="5">
        <f t="shared" si="240"/>
        <v>4.8826207265910906</v>
      </c>
      <c r="L222" s="4">
        <f t="shared" si="241"/>
        <v>4484.3083964714178</v>
      </c>
      <c r="M222" s="2">
        <v>43054</v>
      </c>
      <c r="N222" s="7">
        <v>9.5</v>
      </c>
      <c r="O222" s="7">
        <v>3.46</v>
      </c>
      <c r="P222" s="7">
        <v>6.14</v>
      </c>
      <c r="Q222" s="6">
        <f t="shared" si="242"/>
        <v>0.35331905781584583</v>
      </c>
      <c r="R222" s="6">
        <f t="shared" si="243"/>
        <v>0.47751605995717344</v>
      </c>
      <c r="S222" s="6">
        <f t="shared" si="244"/>
        <v>0.16916488222698073</v>
      </c>
      <c r="T222" s="4">
        <f t="shared" si="245"/>
        <v>1665.7225311504158</v>
      </c>
      <c r="U222" s="4">
        <f t="shared" si="246"/>
        <v>2251.2492390699558</v>
      </c>
      <c r="V222" s="4">
        <f t="shared" si="247"/>
        <v>3916.9717702203716</v>
      </c>
      <c r="W222" s="4">
        <f t="shared" si="248"/>
        <v>1584.3916175969678</v>
      </c>
      <c r="X222" s="4">
        <f t="shared" si="249"/>
        <v>2141.3292771159017</v>
      </c>
      <c r="Y222" s="4">
        <f t="shared" si="250"/>
        <v>3725.7208947128693</v>
      </c>
      <c r="Z222" s="10"/>
      <c r="AA222" s="12"/>
      <c r="AB222" s="5"/>
      <c r="AC222" s="4"/>
      <c r="AD222" s="4"/>
      <c r="AE222" s="4"/>
      <c r="AF222" s="4"/>
      <c r="AH222" t="s">
        <v>305</v>
      </c>
      <c r="AI222" t="s">
        <v>32</v>
      </c>
      <c r="AJ222" s="8">
        <f>D222</f>
        <v>43047</v>
      </c>
      <c r="AK222" s="3">
        <f>SUM(E222:E224)</f>
        <v>63.8</v>
      </c>
      <c r="AL222" s="3">
        <f>(AK222-3*$A$35)*$A$36/(3*$A$37)*$A$38</f>
        <v>4662.4138320209968</v>
      </c>
      <c r="AM222" s="7">
        <f>SUM(G222:G224)</f>
        <v>29.07</v>
      </c>
      <c r="AN222" s="7">
        <f>SUM(H222:H224)</f>
        <v>398.48</v>
      </c>
      <c r="AO222" s="7">
        <f>AN222-AM222</f>
        <v>369.41</v>
      </c>
      <c r="AP222" s="7">
        <f>SUM(J222:J224)</f>
        <v>350.3</v>
      </c>
      <c r="AQ222" s="7">
        <f>(AO222-AP222)/AO222*100</f>
        <v>5.1731138843019986</v>
      </c>
      <c r="AR222" s="3">
        <f>AL222*(1-AQ222/100)</f>
        <v>4421.2218547331022</v>
      </c>
      <c r="AS222" s="11">
        <f>M222</f>
        <v>43054</v>
      </c>
      <c r="AT222" s="7">
        <f>SUM(N222:N224)</f>
        <v>28.1</v>
      </c>
      <c r="AU222" s="7">
        <f>SUM(O222:O224)</f>
        <v>10.24</v>
      </c>
      <c r="AV222" s="7">
        <f>SUM(P222:P224)</f>
        <v>18.119999999999997</v>
      </c>
      <c r="AW222" s="9">
        <f>(AU222-3*$A$39)/(AT222-3*$A$39)</f>
        <v>0.35336712527154235</v>
      </c>
      <c r="AX222" s="9">
        <f>(AV222-3*$A$40)/(AT222-3*$A$39)</f>
        <v>0.47356987690079644</v>
      </c>
      <c r="AY222" s="9">
        <f>1-AW222-AX222</f>
        <v>0.17306299782766121</v>
      </c>
      <c r="AZ222" s="3">
        <f>AL222*AW222</f>
        <v>1647.5437726475354</v>
      </c>
      <c r="BA222" s="3">
        <f>AL222*AX222</f>
        <v>2207.9787444907543</v>
      </c>
      <c r="BB222" s="3">
        <f>AZ222+BA222</f>
        <v>3855.5225171382899</v>
      </c>
      <c r="BC222" s="3">
        <f>AR222*AW222</f>
        <v>1562.3144569947528</v>
      </c>
      <c r="BD222" s="3">
        <f>AR222*AX222</f>
        <v>2093.7574894970662</v>
      </c>
      <c r="BE222" s="3">
        <f>BC222+BD222</f>
        <v>3656.0719464918193</v>
      </c>
      <c r="BF222" s="11">
        <f>Z223</f>
        <v>43077</v>
      </c>
      <c r="BG222" s="13">
        <f>AVERAGE(AA222:AA224)</f>
        <v>42</v>
      </c>
      <c r="BH222" s="7">
        <f t="shared" ref="BH222" si="327">AVERAGE(AB222:AB224)</f>
        <v>1.1499999999999999</v>
      </c>
      <c r="BI222" s="3">
        <f t="shared" ref="BI222" si="328">AVERAGE(AC222:AC224)</f>
        <v>80.3</v>
      </c>
      <c r="BJ222" s="3">
        <f t="shared" ref="BJ222" si="329">AVERAGE(AD222:AD224)</f>
        <v>31</v>
      </c>
      <c r="BK222" s="3">
        <f t="shared" ref="BK222" si="330">AVERAGE(AE222:AE224)</f>
        <v>6</v>
      </c>
      <c r="BL222" s="3">
        <f t="shared" ref="BL222" si="331">AVERAGE(AF222:AF224)</f>
        <v>10</v>
      </c>
    </row>
    <row r="223" spans="1:64" x14ac:dyDescent="0.25">
      <c r="A223">
        <v>176</v>
      </c>
      <c r="B223" s="1" t="s">
        <v>228</v>
      </c>
      <c r="C223" s="1" t="s">
        <v>32</v>
      </c>
      <c r="D223" s="2">
        <v>43047</v>
      </c>
      <c r="E223" s="3">
        <v>20</v>
      </c>
      <c r="F223" s="4">
        <f t="shared" si="239"/>
        <v>4379.6629133858269</v>
      </c>
      <c r="G223" s="7">
        <v>9.6999999999999993</v>
      </c>
      <c r="H223" s="7">
        <v>164.41</v>
      </c>
      <c r="I223" s="7">
        <f t="shared" si="256"/>
        <v>154.71</v>
      </c>
      <c r="J223" s="7">
        <v>146.08000000000001</v>
      </c>
      <c r="K223" s="5">
        <f t="shared" si="240"/>
        <v>5.5781785275677045</v>
      </c>
      <c r="L223" s="4">
        <f t="shared" si="241"/>
        <v>4135.3574971714925</v>
      </c>
      <c r="M223" s="2">
        <v>43054</v>
      </c>
      <c r="N223" s="7">
        <v>8.77</v>
      </c>
      <c r="O223" s="7">
        <v>3.18</v>
      </c>
      <c r="P223" s="7">
        <v>5.76</v>
      </c>
      <c r="Q223" s="6">
        <f t="shared" si="242"/>
        <v>0.35075493612078978</v>
      </c>
      <c r="R223" s="6">
        <f t="shared" si="243"/>
        <v>0.47386759581881538</v>
      </c>
      <c r="S223" s="6">
        <f t="shared" si="244"/>
        <v>0.17537746806039484</v>
      </c>
      <c r="T223" s="4">
        <f t="shared" si="245"/>
        <v>1536.1883854152377</v>
      </c>
      <c r="U223" s="4">
        <f t="shared" si="246"/>
        <v>2075.3803352629702</v>
      </c>
      <c r="V223" s="4">
        <f t="shared" si="247"/>
        <v>3611.5687206782077</v>
      </c>
      <c r="W223" s="4">
        <f t="shared" si="248"/>
        <v>1450.497054757016</v>
      </c>
      <c r="X223" s="4">
        <f t="shared" si="249"/>
        <v>1959.6119150359687</v>
      </c>
      <c r="Y223" s="4">
        <f t="shared" si="250"/>
        <v>3410.1089697929847</v>
      </c>
      <c r="Z223" s="10">
        <v>43077</v>
      </c>
      <c r="AA223" s="12">
        <v>42</v>
      </c>
      <c r="AB223" s="5">
        <v>1.1499999999999999</v>
      </c>
      <c r="AC223" s="4">
        <v>80.3</v>
      </c>
      <c r="AD223" s="4">
        <v>31</v>
      </c>
      <c r="AE223" s="4">
        <v>6</v>
      </c>
      <c r="AF223" s="4">
        <v>10</v>
      </c>
      <c r="AK223" s="3"/>
      <c r="AL223" s="3"/>
      <c r="AM223" s="7"/>
      <c r="AN223" s="7"/>
      <c r="AO223" s="7"/>
      <c r="AP223" s="7"/>
      <c r="AQ223" s="7"/>
      <c r="AR223" s="3"/>
      <c r="AS223" s="3"/>
      <c r="AT223" s="7"/>
      <c r="AU223" s="7"/>
      <c r="AV223" s="7"/>
      <c r="AW223" s="9"/>
      <c r="AX223" s="9"/>
      <c r="AY223" s="9"/>
      <c r="AZ223" s="3"/>
      <c r="BA223" s="3"/>
      <c r="BB223" s="3"/>
      <c r="BC223" s="3"/>
      <c r="BD223" s="3"/>
      <c r="BE223" s="3"/>
      <c r="BG223" s="13"/>
      <c r="BH223" s="7"/>
      <c r="BI223" s="3"/>
      <c r="BJ223" s="3"/>
      <c r="BK223" s="3"/>
      <c r="BL223" s="3"/>
    </row>
    <row r="224" spans="1:64" x14ac:dyDescent="0.25">
      <c r="A224">
        <v>177</v>
      </c>
      <c r="B224" s="1" t="s">
        <v>229</v>
      </c>
      <c r="C224" s="1" t="s">
        <v>32</v>
      </c>
      <c r="D224" s="2">
        <v>43047</v>
      </c>
      <c r="E224" s="3">
        <v>22.3</v>
      </c>
      <c r="F224" s="4">
        <f t="shared" si="239"/>
        <v>4893.0790551181108</v>
      </c>
      <c r="G224" s="7">
        <v>9.67</v>
      </c>
      <c r="H224" s="7">
        <v>112.34</v>
      </c>
      <c r="I224" s="7">
        <f t="shared" si="256"/>
        <v>102.67</v>
      </c>
      <c r="J224" s="7">
        <v>97.66</v>
      </c>
      <c r="K224" s="5">
        <f t="shared" si="240"/>
        <v>4.8797116976721586</v>
      </c>
      <c r="L224" s="4">
        <f t="shared" si="241"/>
        <v>4654.3109040891659</v>
      </c>
      <c r="M224" s="2">
        <v>43054</v>
      </c>
      <c r="N224" s="7">
        <v>9.83</v>
      </c>
      <c r="O224" s="7">
        <v>3.6</v>
      </c>
      <c r="P224" s="7">
        <v>6.22</v>
      </c>
      <c r="Q224" s="6">
        <f t="shared" si="242"/>
        <v>0.35573940020682521</v>
      </c>
      <c r="R224" s="6">
        <f t="shared" si="243"/>
        <v>0.46949327817993797</v>
      </c>
      <c r="S224" s="6">
        <f t="shared" si="244"/>
        <v>0.17476732161323677</v>
      </c>
      <c r="T224" s="4">
        <f t="shared" si="245"/>
        <v>1740.6610082322957</v>
      </c>
      <c r="U224" s="4">
        <f t="shared" si="246"/>
        <v>2297.2677259809952</v>
      </c>
      <c r="V224" s="4">
        <f t="shared" si="247"/>
        <v>4037.9287342132911</v>
      </c>
      <c r="W224" s="4">
        <f t="shared" si="248"/>
        <v>1655.7217693967661</v>
      </c>
      <c r="X224" s="4">
        <f t="shared" si="249"/>
        <v>2185.1676840294535</v>
      </c>
      <c r="Y224" s="4">
        <f t="shared" si="250"/>
        <v>3840.8894534262199</v>
      </c>
      <c r="Z224" s="10"/>
      <c r="AA224" s="12"/>
      <c r="AB224" s="5"/>
      <c r="AC224" s="4"/>
      <c r="AD224" s="4"/>
      <c r="AE224" s="4"/>
      <c r="AF224" s="4"/>
      <c r="AK224" s="3"/>
      <c r="AL224" s="3"/>
      <c r="AM224" s="7"/>
      <c r="AN224" s="7"/>
      <c r="AO224" s="7"/>
      <c r="AP224" s="7"/>
      <c r="AQ224" s="7"/>
      <c r="AR224" s="3"/>
      <c r="AS224" s="3"/>
      <c r="AT224" s="7"/>
      <c r="AU224" s="7"/>
      <c r="AV224" s="7"/>
      <c r="AW224" s="9"/>
      <c r="AX224" s="9"/>
      <c r="AY224" s="9"/>
      <c r="AZ224" s="3"/>
      <c r="BA224" s="3"/>
      <c r="BB224" s="3"/>
      <c r="BC224" s="3"/>
      <c r="BD224" s="3"/>
      <c r="BE224" s="3"/>
      <c r="BG224" s="13"/>
      <c r="BH224" s="7"/>
      <c r="BI224" s="3"/>
      <c r="BJ224" s="3"/>
      <c r="BK224" s="3"/>
      <c r="BL224" s="3"/>
    </row>
    <row r="225" spans="1:64" x14ac:dyDescent="0.25">
      <c r="A225">
        <v>178</v>
      </c>
      <c r="B225" s="1" t="s">
        <v>230</v>
      </c>
      <c r="C225" s="1" t="s">
        <v>32</v>
      </c>
      <c r="D225" s="2">
        <v>43047</v>
      </c>
      <c r="E225" s="3">
        <v>19.5</v>
      </c>
      <c r="F225" s="4">
        <f t="shared" si="239"/>
        <v>4268.050708661417</v>
      </c>
      <c r="G225" s="7">
        <v>9.7200000000000006</v>
      </c>
      <c r="H225" s="7">
        <v>137.35</v>
      </c>
      <c r="I225" s="7">
        <f t="shared" si="256"/>
        <v>127.63</v>
      </c>
      <c r="J225" s="7">
        <v>121.53</v>
      </c>
      <c r="K225" s="5">
        <f t="shared" si="240"/>
        <v>4.7794405703988048</v>
      </c>
      <c r="L225" s="4">
        <f t="shared" si="241"/>
        <v>4064.0617615264596</v>
      </c>
      <c r="M225" s="2">
        <v>43054</v>
      </c>
      <c r="N225" s="7">
        <v>8.56</v>
      </c>
      <c r="O225" s="7">
        <v>3.12</v>
      </c>
      <c r="P225" s="7">
        <v>5.7</v>
      </c>
      <c r="Q225" s="6">
        <f t="shared" si="242"/>
        <v>0.35238095238095235</v>
      </c>
      <c r="R225" s="6">
        <f t="shared" si="243"/>
        <v>0.47857142857142859</v>
      </c>
      <c r="S225" s="6">
        <f t="shared" si="244"/>
        <v>0.16904761904761906</v>
      </c>
      <c r="T225" s="4">
        <f t="shared" si="245"/>
        <v>1503.9797735283087</v>
      </c>
      <c r="U225" s="4">
        <f t="shared" si="246"/>
        <v>2042.5671248593926</v>
      </c>
      <c r="V225" s="4">
        <f t="shared" si="247"/>
        <v>3546.5468983877013</v>
      </c>
      <c r="W225" s="4">
        <f t="shared" si="248"/>
        <v>1432.0979540617047</v>
      </c>
      <c r="X225" s="4">
        <f t="shared" si="249"/>
        <v>1944.9438430162343</v>
      </c>
      <c r="Y225" s="4">
        <f t="shared" si="250"/>
        <v>3377.041797077939</v>
      </c>
      <c r="Z225" s="10"/>
      <c r="AA225" s="12"/>
      <c r="AB225" s="5"/>
      <c r="AC225" s="4"/>
      <c r="AD225" s="4"/>
      <c r="AE225" s="4"/>
      <c r="AF225" s="4"/>
      <c r="AH225" t="s">
        <v>306</v>
      </c>
      <c r="AI225" t="s">
        <v>32</v>
      </c>
      <c r="AJ225" s="8">
        <f>D225</f>
        <v>43047</v>
      </c>
      <c r="AK225" s="3">
        <f>SUM(E225:E227)</f>
        <v>58.2</v>
      </c>
      <c r="AL225" s="3">
        <f>(AK225-3*$A$35)*$A$36/(3*$A$37)*$A$38</f>
        <v>4245.7282677165358</v>
      </c>
      <c r="AM225" s="7">
        <f>SUM(G225:G227)</f>
        <v>29.1</v>
      </c>
      <c r="AN225" s="7">
        <f>SUM(H225:H227)</f>
        <v>408.46999999999997</v>
      </c>
      <c r="AO225" s="7">
        <f>AN225-AM225</f>
        <v>379.36999999999995</v>
      </c>
      <c r="AP225" s="7">
        <f>SUM(J225:J227)</f>
        <v>360.58</v>
      </c>
      <c r="AQ225" s="7">
        <f>(AO225-AP225)/AO225*100</f>
        <v>4.9529483090386606</v>
      </c>
      <c r="AR225" s="3">
        <f>AL225*(1-AQ225/100)</f>
        <v>4035.4395412742933</v>
      </c>
      <c r="AS225" s="11">
        <f>M225</f>
        <v>43054</v>
      </c>
      <c r="AT225" s="7">
        <f>SUM(N225:N227)</f>
        <v>25.560000000000002</v>
      </c>
      <c r="AU225" s="7">
        <f>SUM(O225:O227)</f>
        <v>9.24</v>
      </c>
      <c r="AV225" s="7">
        <f>SUM(P225:P227)</f>
        <v>17.02</v>
      </c>
      <c r="AW225" s="9">
        <f>(AU225-3*$A$39)/(AT225-3*$A$39)</f>
        <v>0.34928229665071769</v>
      </c>
      <c r="AX225" s="9">
        <f>(AV225-3*$A$40)/(AT225-3*$A$39)</f>
        <v>0.47767145135566186</v>
      </c>
      <c r="AY225" s="9">
        <f>1-AW225-AX225</f>
        <v>0.1730462519936205</v>
      </c>
      <c r="AZ225" s="3">
        <f>AL225*AW225</f>
        <v>1482.9577203029048</v>
      </c>
      <c r="BA225" s="3">
        <f>AL225*AX225</f>
        <v>2028.0631837019178</v>
      </c>
      <c r="BB225" s="3">
        <f>AZ225+BA225</f>
        <v>3511.0209040048226</v>
      </c>
      <c r="BC225" s="3">
        <f>AR225*AW225</f>
        <v>1409.5075909714039</v>
      </c>
      <c r="BD225" s="3">
        <f>AR225*AX225</f>
        <v>1927.614262538518</v>
      </c>
      <c r="BE225" s="3">
        <f>BC225+BD225</f>
        <v>3337.1218535099219</v>
      </c>
      <c r="BF225" s="11">
        <f>Z226</f>
        <v>43077</v>
      </c>
      <c r="BG225" s="13">
        <f>AVERAGE(AA225:AA227)</f>
        <v>46</v>
      </c>
      <c r="BH225" s="7">
        <f t="shared" ref="BH225" si="332">AVERAGE(AB225:AB227)</f>
        <v>1.1200000000000001</v>
      </c>
      <c r="BI225" s="3">
        <f t="shared" ref="BI225" si="333">AVERAGE(AC225:AC227)</f>
        <v>79.099999999999994</v>
      </c>
      <c r="BJ225" s="3">
        <f t="shared" ref="BJ225" si="334">AVERAGE(AD225:AD227)</f>
        <v>31.7</v>
      </c>
      <c r="BK225" s="3">
        <f t="shared" ref="BK225" si="335">AVERAGE(AE225:AE227)</f>
        <v>6.1</v>
      </c>
      <c r="BL225" s="3">
        <f t="shared" ref="BL225" si="336">AVERAGE(AF225:AF227)</f>
        <v>10.199999999999999</v>
      </c>
    </row>
    <row r="226" spans="1:64" x14ac:dyDescent="0.25">
      <c r="A226">
        <v>179</v>
      </c>
      <c r="B226" s="1" t="s">
        <v>231</v>
      </c>
      <c r="C226" s="1" t="s">
        <v>32</v>
      </c>
      <c r="D226" s="2">
        <v>43047</v>
      </c>
      <c r="E226" s="3">
        <v>19.399999999999999</v>
      </c>
      <c r="F226" s="4">
        <f t="shared" si="239"/>
        <v>4245.7282677165349</v>
      </c>
      <c r="G226" s="7">
        <v>9.7100000000000009</v>
      </c>
      <c r="H226" s="7">
        <v>158.30000000000001</v>
      </c>
      <c r="I226" s="7">
        <f t="shared" si="256"/>
        <v>148.59</v>
      </c>
      <c r="J226" s="7">
        <v>141.13</v>
      </c>
      <c r="K226" s="5">
        <f t="shared" si="240"/>
        <v>5.0205262803688058</v>
      </c>
      <c r="L226" s="4">
        <f t="shared" si="241"/>
        <v>4032.5703642427789</v>
      </c>
      <c r="M226" s="2">
        <v>43054</v>
      </c>
      <c r="N226" s="7">
        <v>8.49</v>
      </c>
      <c r="O226" s="7">
        <v>3.12</v>
      </c>
      <c r="P226" s="7">
        <v>5.66</v>
      </c>
      <c r="Q226" s="6">
        <f t="shared" si="242"/>
        <v>0.35534213685474186</v>
      </c>
      <c r="R226" s="6">
        <f t="shared" si="243"/>
        <v>0.47779111644657868</v>
      </c>
      <c r="S226" s="6">
        <f t="shared" si="244"/>
        <v>0.16686674669867951</v>
      </c>
      <c r="T226" s="4">
        <f t="shared" si="245"/>
        <v>1508.686155154975</v>
      </c>
      <c r="U226" s="4">
        <f t="shared" si="246"/>
        <v>2028.5712491610816</v>
      </c>
      <c r="V226" s="4">
        <f t="shared" si="247"/>
        <v>3537.2574043160566</v>
      </c>
      <c r="W226" s="4">
        <f t="shared" si="248"/>
        <v>1432.9421702471338</v>
      </c>
      <c r="X226" s="4">
        <f t="shared" si="249"/>
        <v>1926.7262964809438</v>
      </c>
      <c r="Y226" s="4">
        <f t="shared" si="250"/>
        <v>3359.6684667280779</v>
      </c>
      <c r="Z226" s="10">
        <v>43077</v>
      </c>
      <c r="AA226" s="12">
        <v>46</v>
      </c>
      <c r="AB226" s="5">
        <v>1.1200000000000001</v>
      </c>
      <c r="AC226" s="4">
        <v>79.099999999999994</v>
      </c>
      <c r="AD226" s="4">
        <v>31.7</v>
      </c>
      <c r="AE226" s="4">
        <v>6.1</v>
      </c>
      <c r="AF226" s="4">
        <v>10.199999999999999</v>
      </c>
      <c r="AK226" s="3"/>
      <c r="AL226" s="3"/>
      <c r="AM226" s="7"/>
      <c r="AN226" s="7"/>
      <c r="AO226" s="7"/>
      <c r="AP226" s="7"/>
      <c r="AQ226" s="7"/>
      <c r="AR226" s="3"/>
      <c r="AS226" s="3"/>
      <c r="AT226" s="7"/>
      <c r="AU226" s="7"/>
      <c r="AV226" s="7"/>
      <c r="AW226" s="9"/>
      <c r="AX226" s="9"/>
      <c r="AY226" s="9"/>
      <c r="AZ226" s="3"/>
      <c r="BA226" s="3"/>
      <c r="BB226" s="3"/>
      <c r="BC226" s="3"/>
      <c r="BD226" s="3"/>
      <c r="BE226" s="3"/>
      <c r="BG226" s="13"/>
      <c r="BH226" s="7"/>
      <c r="BI226" s="3"/>
      <c r="BJ226" s="3"/>
      <c r="BK226" s="3"/>
      <c r="BL226" s="3"/>
    </row>
    <row r="227" spans="1:64" x14ac:dyDescent="0.25">
      <c r="A227">
        <v>180</v>
      </c>
      <c r="B227" s="1" t="s">
        <v>232</v>
      </c>
      <c r="C227" s="1" t="s">
        <v>32</v>
      </c>
      <c r="D227" s="2">
        <v>43047</v>
      </c>
      <c r="E227" s="3">
        <v>19.3</v>
      </c>
      <c r="F227" s="4">
        <f t="shared" si="239"/>
        <v>4223.4058267716537</v>
      </c>
      <c r="G227" s="7">
        <v>9.67</v>
      </c>
      <c r="H227" s="7">
        <v>112.82</v>
      </c>
      <c r="I227" s="7">
        <f t="shared" si="256"/>
        <v>103.14999999999999</v>
      </c>
      <c r="J227" s="7">
        <v>97.92</v>
      </c>
      <c r="K227" s="5">
        <f t="shared" si="240"/>
        <v>5.070285991274833</v>
      </c>
      <c r="L227" s="4">
        <f t="shared" si="241"/>
        <v>4009.2670727821655</v>
      </c>
      <c r="M227" s="2">
        <v>43054</v>
      </c>
      <c r="N227" s="7">
        <v>8.51</v>
      </c>
      <c r="O227" s="7">
        <v>3</v>
      </c>
      <c r="P227" s="7">
        <v>5.66</v>
      </c>
      <c r="Q227" s="6">
        <f t="shared" si="242"/>
        <v>0.34011976047904191</v>
      </c>
      <c r="R227" s="6">
        <f t="shared" si="243"/>
        <v>0.4766467065868264</v>
      </c>
      <c r="S227" s="6">
        <f t="shared" si="244"/>
        <v>0.18323353293413169</v>
      </c>
      <c r="T227" s="4">
        <f t="shared" si="245"/>
        <v>1436.4637782073648</v>
      </c>
      <c r="U227" s="4">
        <f t="shared" si="246"/>
        <v>2013.0724779103214</v>
      </c>
      <c r="V227" s="4">
        <f t="shared" si="247"/>
        <v>3449.5362561176862</v>
      </c>
      <c r="W227" s="4">
        <f t="shared" si="248"/>
        <v>1363.6309564911796</v>
      </c>
      <c r="X227" s="4">
        <f t="shared" si="249"/>
        <v>1911.0039460686253</v>
      </c>
      <c r="Y227" s="4">
        <f t="shared" si="250"/>
        <v>3274.6349025598047</v>
      </c>
      <c r="Z227" s="10"/>
      <c r="AA227" s="12"/>
      <c r="AB227" s="5"/>
      <c r="AC227" s="4"/>
      <c r="AD227" s="4"/>
      <c r="AE227" s="4"/>
      <c r="AF227" s="4"/>
      <c r="AK227" s="3"/>
      <c r="AL227" s="3"/>
      <c r="AM227" s="7"/>
      <c r="AN227" s="7"/>
      <c r="AO227" s="7"/>
      <c r="AP227" s="7"/>
      <c r="AQ227" s="7"/>
      <c r="AR227" s="3"/>
      <c r="AS227" s="3"/>
      <c r="AT227" s="7"/>
      <c r="AU227" s="7"/>
      <c r="AV227" s="7"/>
      <c r="AW227" s="9"/>
      <c r="AX227" s="9"/>
      <c r="AY227" s="9"/>
      <c r="AZ227" s="3"/>
      <c r="BA227" s="3"/>
      <c r="BB227" s="3"/>
      <c r="BC227" s="3"/>
      <c r="BD227" s="3"/>
      <c r="BE227" s="3"/>
      <c r="BG227" s="13"/>
      <c r="BH227" s="7"/>
      <c r="BI227" s="3"/>
      <c r="BJ227" s="3"/>
      <c r="BK227" s="3"/>
      <c r="BL227" s="3"/>
    </row>
    <row r="228" spans="1:64" x14ac:dyDescent="0.25">
      <c r="A228">
        <v>181</v>
      </c>
      <c r="B228" s="1" t="s">
        <v>233</v>
      </c>
      <c r="C228" s="1" t="s">
        <v>32</v>
      </c>
      <c r="D228" s="2">
        <v>43047</v>
      </c>
      <c r="E228" s="3">
        <v>19.600000000000001</v>
      </c>
      <c r="F228" s="4">
        <f t="shared" si="239"/>
        <v>4290.3731496062992</v>
      </c>
      <c r="G228" s="7">
        <v>9.6999999999999993</v>
      </c>
      <c r="H228" s="7">
        <v>198.52</v>
      </c>
      <c r="I228" s="7">
        <f t="shared" si="256"/>
        <v>188.82000000000002</v>
      </c>
      <c r="J228" s="7">
        <v>179.74</v>
      </c>
      <c r="K228" s="5">
        <f t="shared" si="240"/>
        <v>4.8088126257811732</v>
      </c>
      <c r="L228" s="4">
        <f t="shared" si="241"/>
        <v>4084.0571438949059</v>
      </c>
      <c r="M228" s="2">
        <v>43054</v>
      </c>
      <c r="N228" s="7">
        <v>8.5500000000000007</v>
      </c>
      <c r="O228" s="7">
        <v>3.18</v>
      </c>
      <c r="P228" s="7">
        <v>5.66</v>
      </c>
      <c r="Q228" s="6">
        <f t="shared" si="242"/>
        <v>0.3599523241954708</v>
      </c>
      <c r="R228" s="6">
        <f t="shared" si="243"/>
        <v>0.47437425506555425</v>
      </c>
      <c r="S228" s="6">
        <f t="shared" si="244"/>
        <v>0.16567342073897501</v>
      </c>
      <c r="T228" s="4">
        <f t="shared" si="245"/>
        <v>1544.3297868666298</v>
      </c>
      <c r="U228" s="4">
        <f t="shared" si="246"/>
        <v>2035.2425667977438</v>
      </c>
      <c r="V228" s="4">
        <f t="shared" si="247"/>
        <v>3579.5723536643736</v>
      </c>
      <c r="W228" s="4">
        <f t="shared" si="248"/>
        <v>1470.0658610920877</v>
      </c>
      <c r="X228" s="4">
        <f t="shared" si="249"/>
        <v>1937.3715652803012</v>
      </c>
      <c r="Y228" s="4">
        <f t="shared" si="250"/>
        <v>3407.4374263723889</v>
      </c>
      <c r="Z228" s="10"/>
      <c r="AA228" s="12"/>
      <c r="AB228" s="5"/>
      <c r="AC228" s="4"/>
      <c r="AD228" s="4"/>
      <c r="AE228" s="4"/>
      <c r="AF228" s="4"/>
      <c r="AH228" t="s">
        <v>307</v>
      </c>
      <c r="AI228" t="str">
        <f>C228</f>
        <v>Machine</v>
      </c>
      <c r="AJ228" s="8">
        <f>D228</f>
        <v>43047</v>
      </c>
      <c r="AK228" s="3">
        <f>SUM(E228:E230)</f>
        <v>57.2</v>
      </c>
      <c r="AL228" s="3">
        <f>(AK228-3*$A$35)*$A$36/(3*$A$37)*$A$38</f>
        <v>4171.3201312335959</v>
      </c>
      <c r="AM228" s="7">
        <f>SUM(G228:G230)</f>
        <v>29.11</v>
      </c>
      <c r="AN228" s="7">
        <f>SUM(H228:H230)</f>
        <v>595.58000000000004</v>
      </c>
      <c r="AO228" s="7">
        <f>AN228-AM228</f>
        <v>566.47</v>
      </c>
      <c r="AP228" s="7">
        <f>SUM(J228:J230)</f>
        <v>537.91999999999996</v>
      </c>
      <c r="AQ228" s="7">
        <f>(AO228-AP228)/AO228*100</f>
        <v>5.0399844651967562</v>
      </c>
      <c r="AR228" s="3">
        <f>AL228*(1-AQ228/100)</f>
        <v>3961.0862446257979</v>
      </c>
      <c r="AS228" s="11">
        <f>M228</f>
        <v>43054</v>
      </c>
      <c r="AT228" s="7">
        <f>SUM(N228:N230)</f>
        <v>24.910000000000004</v>
      </c>
      <c r="AU228" s="7">
        <f>SUM(O228:O230)</f>
        <v>9</v>
      </c>
      <c r="AV228" s="7">
        <f>SUM(P228:P230)</f>
        <v>16.66</v>
      </c>
      <c r="AW228" s="9">
        <f>(AU228-3*$A$39)/(AT228-3*$A$39)</f>
        <v>0.34875153499795325</v>
      </c>
      <c r="AX228" s="9">
        <f>(AV228-3*$A$40)/(AT228-3*$A$39)</f>
        <v>0.47564469914040114</v>
      </c>
      <c r="AY228" s="9">
        <f>1-AW228-AX228</f>
        <v>0.17560376586164556</v>
      </c>
      <c r="AZ228" s="3">
        <f>AL228*AW228</f>
        <v>1454.7542987355803</v>
      </c>
      <c r="BA228" s="3">
        <f>AL228*AX228</f>
        <v>1984.0663088389024</v>
      </c>
      <c r="BB228" s="3">
        <f>AZ228+BA228</f>
        <v>3438.8206075744829</v>
      </c>
      <c r="BC228" s="3">
        <f>AR228*AW228</f>
        <v>1381.4349080725251</v>
      </c>
      <c r="BD228" s="3">
        <f>AR228*AX228</f>
        <v>1884.0696750942191</v>
      </c>
      <c r="BE228" s="3">
        <f>BC228+BD228</f>
        <v>3265.5045831667439</v>
      </c>
      <c r="BF228" s="11">
        <f>Z229</f>
        <v>43077</v>
      </c>
      <c r="BG228" s="13">
        <f>AVERAGE(AA228:AA230)</f>
        <v>44</v>
      </c>
      <c r="BH228" s="7">
        <f t="shared" ref="BH228" si="337">AVERAGE(AB228:AB230)</f>
        <v>1.1299999999999999</v>
      </c>
      <c r="BI228" s="3">
        <f t="shared" ref="BI228" si="338">AVERAGE(AC228:AC230)</f>
        <v>80.599999999999994</v>
      </c>
      <c r="BJ228" s="3">
        <f t="shared" ref="BJ228" si="339">AVERAGE(AD228:AD230)</f>
        <v>31.1</v>
      </c>
      <c r="BK228" s="3">
        <f t="shared" ref="BK228" si="340">AVERAGE(AE228:AE230)</f>
        <v>5.9</v>
      </c>
      <c r="BL228" s="3">
        <f t="shared" ref="BL228" si="341">AVERAGE(AF228:AF230)</f>
        <v>9.6999999999999993</v>
      </c>
    </row>
    <row r="229" spans="1:64" x14ac:dyDescent="0.25">
      <c r="A229">
        <v>182</v>
      </c>
      <c r="B229" s="1" t="s">
        <v>234</v>
      </c>
      <c r="C229" s="1" t="s">
        <v>32</v>
      </c>
      <c r="D229" s="2">
        <v>43047</v>
      </c>
      <c r="E229" s="3">
        <v>18.899999999999999</v>
      </c>
      <c r="F229" s="4">
        <f t="shared" si="239"/>
        <v>4134.116062992126</v>
      </c>
      <c r="G229" s="7">
        <v>9.7100000000000009</v>
      </c>
      <c r="H229" s="7">
        <v>186.98</v>
      </c>
      <c r="I229" s="7">
        <f t="shared" si="256"/>
        <v>177.26999999999998</v>
      </c>
      <c r="J229" s="7">
        <v>168.66</v>
      </c>
      <c r="K229" s="5">
        <f t="shared" si="240"/>
        <v>4.8569977999661456</v>
      </c>
      <c r="L229" s="4">
        <f t="shared" si="241"/>
        <v>3933.3221367645515</v>
      </c>
      <c r="M229" s="2">
        <v>43054</v>
      </c>
      <c r="N229" s="7">
        <v>8.26</v>
      </c>
      <c r="O229" s="7">
        <v>2.98</v>
      </c>
      <c r="P229" s="7">
        <v>5.56</v>
      </c>
      <c r="Q229" s="6">
        <f t="shared" si="242"/>
        <v>0.34814814814814815</v>
      </c>
      <c r="R229" s="6">
        <f t="shared" si="243"/>
        <v>0.47901234567901235</v>
      </c>
      <c r="S229" s="6">
        <f t="shared" si="244"/>
        <v>0.17283950617283955</v>
      </c>
      <c r="T229" s="4">
        <f t="shared" si="245"/>
        <v>1439.2848515602216</v>
      </c>
      <c r="U229" s="4">
        <f t="shared" si="246"/>
        <v>1980.2926326431418</v>
      </c>
      <c r="V229" s="4">
        <f t="shared" si="247"/>
        <v>3419.5774842033634</v>
      </c>
      <c r="W229" s="4">
        <f t="shared" si="248"/>
        <v>1369.3788179846956</v>
      </c>
      <c r="X229" s="4">
        <f t="shared" si="249"/>
        <v>1884.1098630427728</v>
      </c>
      <c r="Y229" s="4">
        <f t="shared" si="250"/>
        <v>3253.4886810274684</v>
      </c>
      <c r="Z229" s="10">
        <v>43077</v>
      </c>
      <c r="AA229" s="12">
        <v>44</v>
      </c>
      <c r="AB229" s="5">
        <v>1.1299999999999999</v>
      </c>
      <c r="AC229" s="4">
        <v>80.599999999999994</v>
      </c>
      <c r="AD229" s="4">
        <v>31.1</v>
      </c>
      <c r="AE229" s="4">
        <v>5.9</v>
      </c>
      <c r="AF229" s="4">
        <v>9.6999999999999993</v>
      </c>
      <c r="AK229" s="3"/>
      <c r="AL229" s="3"/>
      <c r="AM229" s="7"/>
      <c r="AN229" s="7"/>
      <c r="AO229" s="7"/>
      <c r="AP229" s="7"/>
      <c r="AQ229" s="7"/>
      <c r="AR229" s="3"/>
      <c r="AS229" s="3"/>
      <c r="AT229" s="7"/>
      <c r="AU229" s="7"/>
      <c r="AV229" s="7"/>
      <c r="AW229" s="9"/>
      <c r="AX229" s="9"/>
      <c r="AY229" s="9"/>
      <c r="AZ229" s="3"/>
      <c r="BA229" s="3"/>
      <c r="BB229" s="3"/>
      <c r="BC229" s="3"/>
      <c r="BD229" s="3"/>
      <c r="BE229" s="3"/>
      <c r="BG229" s="13"/>
      <c r="BH229" s="7"/>
      <c r="BI229" s="3"/>
      <c r="BJ229" s="3"/>
      <c r="BK229" s="3"/>
      <c r="BL229" s="3"/>
    </row>
    <row r="230" spans="1:64" x14ac:dyDescent="0.25">
      <c r="A230">
        <v>183</v>
      </c>
      <c r="B230" s="1" t="s">
        <v>235</v>
      </c>
      <c r="C230" s="1" t="s">
        <v>32</v>
      </c>
      <c r="D230" s="2">
        <v>43047</v>
      </c>
      <c r="E230" s="3">
        <v>18.7</v>
      </c>
      <c r="F230" s="4">
        <f t="shared" si="239"/>
        <v>4089.4711811023622</v>
      </c>
      <c r="G230" s="7">
        <v>9.6999999999999993</v>
      </c>
      <c r="H230" s="7">
        <v>210.08</v>
      </c>
      <c r="I230" s="7">
        <f t="shared" si="256"/>
        <v>200.38000000000002</v>
      </c>
      <c r="J230" s="7">
        <v>189.52</v>
      </c>
      <c r="K230" s="5">
        <f t="shared" si="240"/>
        <v>5.4197025651262667</v>
      </c>
      <c r="L230" s="4">
        <f t="shared" si="241"/>
        <v>3867.8340066000578</v>
      </c>
      <c r="M230" s="2">
        <v>43054</v>
      </c>
      <c r="N230" s="7">
        <v>8.1</v>
      </c>
      <c r="O230" s="7">
        <v>2.84</v>
      </c>
      <c r="P230" s="7">
        <v>5.44</v>
      </c>
      <c r="Q230" s="6">
        <f t="shared" si="242"/>
        <v>0.33753148614609568</v>
      </c>
      <c r="R230" s="6">
        <f t="shared" si="243"/>
        <v>0.47355163727959709</v>
      </c>
      <c r="S230" s="6">
        <f t="shared" si="244"/>
        <v>0.18891687657430728</v>
      </c>
      <c r="T230" s="4">
        <f t="shared" si="245"/>
        <v>1380.3252853091094</v>
      </c>
      <c r="U230" s="4">
        <f t="shared" si="246"/>
        <v>1936.5757734187514</v>
      </c>
      <c r="V230" s="4">
        <f t="shared" si="247"/>
        <v>3316.9010587278608</v>
      </c>
      <c r="W230" s="4">
        <f t="shared" si="248"/>
        <v>1305.5157604141252</v>
      </c>
      <c r="X230" s="4">
        <f t="shared" si="249"/>
        <v>1831.6191265511613</v>
      </c>
      <c r="Y230" s="4">
        <f t="shared" si="250"/>
        <v>3137.1348869652866</v>
      </c>
      <c r="Z230" s="10"/>
      <c r="AA230" s="12"/>
      <c r="AB230" s="5"/>
      <c r="AC230" s="4"/>
      <c r="AD230" s="4"/>
      <c r="AE230" s="4"/>
      <c r="AF230" s="4"/>
      <c r="AK230" s="3"/>
      <c r="AL230" s="3"/>
      <c r="AM230" s="7"/>
      <c r="AN230" s="7"/>
      <c r="AO230" s="7"/>
      <c r="AP230" s="7"/>
      <c r="AQ230" s="7"/>
      <c r="AR230" s="3"/>
      <c r="AS230" s="3"/>
      <c r="AT230" s="7"/>
      <c r="AU230" s="7"/>
      <c r="AV230" s="7"/>
      <c r="AW230" s="9"/>
      <c r="AX230" s="9"/>
      <c r="AY230" s="9"/>
      <c r="AZ230" s="3"/>
      <c r="BA230" s="3"/>
      <c r="BB230" s="3"/>
      <c r="BC230" s="3"/>
      <c r="BD230" s="3"/>
      <c r="BE230" s="3"/>
      <c r="BG230" s="13"/>
      <c r="BH230" s="7"/>
      <c r="BI230" s="3"/>
      <c r="BJ230" s="3"/>
      <c r="BK230" s="3"/>
      <c r="BL230" s="3"/>
    </row>
    <row r="231" spans="1:64" x14ac:dyDescent="0.25">
      <c r="A231">
        <v>184</v>
      </c>
      <c r="B231" s="1" t="s">
        <v>236</v>
      </c>
      <c r="C231" s="1" t="s">
        <v>32</v>
      </c>
      <c r="D231" s="2">
        <v>43047</v>
      </c>
      <c r="E231" s="3">
        <v>22.6</v>
      </c>
      <c r="F231" s="4">
        <f t="shared" si="239"/>
        <v>4960.0463779527563</v>
      </c>
      <c r="G231" s="7">
        <v>9.65</v>
      </c>
      <c r="H231" s="7">
        <v>169.26</v>
      </c>
      <c r="I231" s="7">
        <f t="shared" si="256"/>
        <v>159.60999999999999</v>
      </c>
      <c r="J231" s="7">
        <v>152.31</v>
      </c>
      <c r="K231" s="5">
        <f t="shared" si="240"/>
        <v>4.5736482676523922</v>
      </c>
      <c r="L231" s="4">
        <f t="shared" si="241"/>
        <v>4733.1913027127648</v>
      </c>
      <c r="M231" s="2">
        <v>43054</v>
      </c>
      <c r="N231" s="7">
        <v>9.93</v>
      </c>
      <c r="O231" s="7">
        <v>3.48</v>
      </c>
      <c r="P231" s="7">
        <v>6.32</v>
      </c>
      <c r="Q231" s="6">
        <f t="shared" si="242"/>
        <v>0.3398157625383828</v>
      </c>
      <c r="R231" s="6">
        <f t="shared" si="243"/>
        <v>0.47492323439099293</v>
      </c>
      <c r="S231" s="6">
        <f t="shared" si="244"/>
        <v>0.18526100307062421</v>
      </c>
      <c r="T231" s="4">
        <f t="shared" si="245"/>
        <v>1685.5019421497595</v>
      </c>
      <c r="U231" s="4">
        <f t="shared" si="246"/>
        <v>2355.6412685466526</v>
      </c>
      <c r="V231" s="4">
        <f t="shared" si="247"/>
        <v>4041.1432106964121</v>
      </c>
      <c r="W231" s="4">
        <f t="shared" si="248"/>
        <v>1608.4130117713796</v>
      </c>
      <c r="X231" s="4">
        <f t="shared" si="249"/>
        <v>2247.9025224756638</v>
      </c>
      <c r="Y231" s="4">
        <f t="shared" si="250"/>
        <v>3856.3155342470436</v>
      </c>
      <c r="Z231" s="10"/>
      <c r="AA231" s="12"/>
      <c r="AB231" s="5"/>
      <c r="AC231" s="4"/>
      <c r="AD231" s="4"/>
      <c r="AE231" s="4"/>
      <c r="AF231" s="4"/>
      <c r="AH231" t="s">
        <v>308</v>
      </c>
      <c r="AI231" t="s">
        <v>32</v>
      </c>
      <c r="AJ231" s="8">
        <f>D231</f>
        <v>43047</v>
      </c>
      <c r="AK231" s="3">
        <f>SUM(E231:E233)</f>
        <v>63.2</v>
      </c>
      <c r="AL231" s="3">
        <f>(AK231-3*$A$35)*$A$36/(3*$A$37)*$A$38</f>
        <v>4617.7689501312334</v>
      </c>
      <c r="AM231" s="7">
        <f>SUM(G231:G233)</f>
        <v>29.019999999999996</v>
      </c>
      <c r="AN231" s="7">
        <f>SUM(H231:H233)</f>
        <v>545.06999999999994</v>
      </c>
      <c r="AO231" s="7">
        <f>AN231-AM231</f>
        <v>516.04999999999995</v>
      </c>
      <c r="AP231" s="7">
        <f>SUM(J231:J233)</f>
        <v>489.37</v>
      </c>
      <c r="AQ231" s="7">
        <f>(AO231-AP231)/AO231*100</f>
        <v>5.1700416626295809</v>
      </c>
      <c r="AR231" s="3">
        <f>AL231*(1-AQ231/100)</f>
        <v>4379.0283715254764</v>
      </c>
      <c r="AS231" s="11">
        <f>M231</f>
        <v>43054</v>
      </c>
      <c r="AT231" s="7">
        <f>SUM(N231:N233)</f>
        <v>27.630000000000003</v>
      </c>
      <c r="AU231" s="7">
        <f>SUM(O231:O233)</f>
        <v>9.6199999999999992</v>
      </c>
      <c r="AV231" s="7">
        <f>SUM(P231:P233)</f>
        <v>17.88</v>
      </c>
      <c r="AW231" s="9">
        <f>(AU231-3*$A$39)/(AT231-3*$A$39)</f>
        <v>0.33664825046040509</v>
      </c>
      <c r="AX231" s="9">
        <f>(AV231-3*$A$40)/(AT231-3*$A$39)</f>
        <v>0.47292817679558008</v>
      </c>
      <c r="AY231" s="9">
        <f>1-AW231-AX231</f>
        <v>0.19042357274401478</v>
      </c>
      <c r="AZ231" s="3">
        <f>AL231*AW231</f>
        <v>1554.5638380920614</v>
      </c>
      <c r="BA231" s="3">
        <f>AL231*AX231</f>
        <v>2183.873050448804</v>
      </c>
      <c r="BB231" s="3">
        <f>AZ231+BA231</f>
        <v>3738.4368885408653</v>
      </c>
      <c r="BC231" s="3">
        <f>AR231*AW231</f>
        <v>1474.1922399905284</v>
      </c>
      <c r="BD231" s="3">
        <f>AR231*AX231</f>
        <v>2070.9659038816617</v>
      </c>
      <c r="BE231" s="3">
        <f>BC231+BD231</f>
        <v>3545.1581438721901</v>
      </c>
      <c r="BF231" s="11">
        <f>Z232</f>
        <v>43077</v>
      </c>
      <c r="BG231" s="13">
        <f>AVERAGE(AA231:AA233)</f>
        <v>43</v>
      </c>
      <c r="BH231" s="7">
        <f t="shared" ref="BH231" si="342">AVERAGE(AB231:AB233)</f>
        <v>1.1499999999999999</v>
      </c>
      <c r="BI231" s="3">
        <f t="shared" ref="BI231" si="343">AVERAGE(AC231:AC233)</f>
        <v>80.400000000000006</v>
      </c>
      <c r="BJ231" s="3">
        <f t="shared" ref="BJ231" si="344">AVERAGE(AD231:AD233)</f>
        <v>32.5</v>
      </c>
      <c r="BK231" s="3">
        <f t="shared" ref="BK231" si="345">AVERAGE(AE231:AE233)</f>
        <v>5.8</v>
      </c>
      <c r="BL231" s="3">
        <f t="shared" ref="BL231" si="346">AVERAGE(AF231:AF233)</f>
        <v>9.9</v>
      </c>
    </row>
    <row r="232" spans="1:64" x14ac:dyDescent="0.25">
      <c r="A232">
        <v>185</v>
      </c>
      <c r="B232" s="1" t="s">
        <v>237</v>
      </c>
      <c r="C232" s="1" t="s">
        <v>32</v>
      </c>
      <c r="D232" s="2">
        <v>43047</v>
      </c>
      <c r="E232" s="3">
        <v>21</v>
      </c>
      <c r="F232" s="4">
        <f t="shared" si="239"/>
        <v>4602.8873228346465</v>
      </c>
      <c r="G232" s="7">
        <v>9.68</v>
      </c>
      <c r="H232" s="7">
        <v>224.43</v>
      </c>
      <c r="I232" s="7">
        <f t="shared" si="256"/>
        <v>214.75</v>
      </c>
      <c r="J232" s="7">
        <v>202.46</v>
      </c>
      <c r="K232" s="5">
        <f t="shared" si="240"/>
        <v>5.7229336437718246</v>
      </c>
      <c r="L232" s="4">
        <f t="shared" si="241"/>
        <v>4339.4671356512345</v>
      </c>
      <c r="M232" s="2">
        <v>43054</v>
      </c>
      <c r="N232" s="7">
        <v>9.17</v>
      </c>
      <c r="O232" s="7">
        <v>3.2</v>
      </c>
      <c r="P232" s="7">
        <v>5.92</v>
      </c>
      <c r="Q232" s="6">
        <f t="shared" si="242"/>
        <v>0.33740288568257493</v>
      </c>
      <c r="R232" s="6">
        <f t="shared" si="243"/>
        <v>0.4705882352941177</v>
      </c>
      <c r="S232" s="6">
        <f t="shared" si="244"/>
        <v>0.19200887902330738</v>
      </c>
      <c r="T232" s="4">
        <f t="shared" si="245"/>
        <v>1553.0274651961515</v>
      </c>
      <c r="U232" s="4">
        <f t="shared" si="246"/>
        <v>2166.0646225104219</v>
      </c>
      <c r="V232" s="4">
        <f t="shared" si="247"/>
        <v>3719.0920877065737</v>
      </c>
      <c r="W232" s="4">
        <f t="shared" si="248"/>
        <v>1464.1487338934244</v>
      </c>
      <c r="X232" s="4">
        <f t="shared" si="249"/>
        <v>2042.1021814829342</v>
      </c>
      <c r="Y232" s="4">
        <f t="shared" si="250"/>
        <v>3506.2509153763585</v>
      </c>
      <c r="Z232" s="10">
        <v>43077</v>
      </c>
      <c r="AA232" s="12">
        <v>43</v>
      </c>
      <c r="AB232" s="5">
        <v>1.1499999999999999</v>
      </c>
      <c r="AC232" s="4">
        <v>80.400000000000006</v>
      </c>
      <c r="AD232" s="4">
        <v>32.5</v>
      </c>
      <c r="AE232" s="4">
        <v>5.8</v>
      </c>
      <c r="AF232" s="4">
        <v>9.9</v>
      </c>
      <c r="AK232" s="3"/>
      <c r="AL232" s="3"/>
      <c r="AM232" s="7"/>
      <c r="AN232" s="7"/>
      <c r="AO232" s="7"/>
      <c r="AP232" s="7"/>
      <c r="AQ232" s="7"/>
      <c r="AR232" s="3"/>
      <c r="AS232" s="3"/>
      <c r="AT232" s="7"/>
      <c r="AU232" s="7"/>
      <c r="AV232" s="7"/>
      <c r="AW232" s="9"/>
      <c r="AX232" s="9"/>
      <c r="AY232" s="9"/>
      <c r="AZ232" s="3"/>
      <c r="BA232" s="3"/>
      <c r="BB232" s="3"/>
      <c r="BC232" s="3"/>
      <c r="BD232" s="3"/>
      <c r="BE232" s="3"/>
      <c r="BG232" s="13"/>
      <c r="BH232" s="7"/>
      <c r="BI232" s="3"/>
      <c r="BJ232" s="3"/>
      <c r="BK232" s="3"/>
      <c r="BL232" s="3"/>
    </row>
    <row r="233" spans="1:64" x14ac:dyDescent="0.25">
      <c r="A233">
        <v>186</v>
      </c>
      <c r="B233" s="1" t="s">
        <v>238</v>
      </c>
      <c r="C233" s="1" t="s">
        <v>32</v>
      </c>
      <c r="D233" s="2">
        <v>43047</v>
      </c>
      <c r="E233" s="3">
        <v>19.600000000000001</v>
      </c>
      <c r="F233" s="4">
        <f t="shared" si="239"/>
        <v>4290.3731496062992</v>
      </c>
      <c r="G233" s="7">
        <v>9.69</v>
      </c>
      <c r="H233" s="7">
        <v>151.38</v>
      </c>
      <c r="I233" s="7">
        <f t="shared" si="256"/>
        <v>141.69</v>
      </c>
      <c r="J233" s="7">
        <v>134.6</v>
      </c>
      <c r="K233" s="5">
        <f t="shared" si="240"/>
        <v>5.0038817136001157</v>
      </c>
      <c r="L233" s="4">
        <f t="shared" si="241"/>
        <v>4075.6879521279407</v>
      </c>
      <c r="M233" s="2">
        <v>43054</v>
      </c>
      <c r="N233" s="7">
        <v>8.5299999999999994</v>
      </c>
      <c r="O233" s="7">
        <v>2.94</v>
      </c>
      <c r="P233" s="7">
        <v>5.64</v>
      </c>
      <c r="Q233" s="6">
        <f t="shared" si="242"/>
        <v>0.33213859020310632</v>
      </c>
      <c r="R233" s="6">
        <f t="shared" si="243"/>
        <v>0.4731182795698925</v>
      </c>
      <c r="S233" s="6">
        <f t="shared" si="244"/>
        <v>0.19474313022700118</v>
      </c>
      <c r="T233" s="4">
        <f t="shared" si="245"/>
        <v>1424.9984893554972</v>
      </c>
      <c r="U233" s="4">
        <f t="shared" si="246"/>
        <v>2029.8539632545933</v>
      </c>
      <c r="V233" s="4">
        <f t="shared" si="247"/>
        <v>3454.8524526100905</v>
      </c>
      <c r="W233" s="4">
        <f t="shared" si="248"/>
        <v>1353.6932505275597</v>
      </c>
      <c r="X233" s="4">
        <f t="shared" si="249"/>
        <v>1928.2824719745097</v>
      </c>
      <c r="Y233" s="4">
        <f t="shared" si="250"/>
        <v>3281.9757225020694</v>
      </c>
      <c r="Z233" s="10"/>
      <c r="AA233" s="12"/>
      <c r="AB233" s="5"/>
      <c r="AC233" s="4"/>
      <c r="AD233" s="4"/>
      <c r="AE233" s="4"/>
      <c r="AF233" s="4"/>
      <c r="AK233" s="3"/>
      <c r="AL233" s="3"/>
      <c r="AM233" s="7"/>
      <c r="AN233" s="7"/>
      <c r="AO233" s="7"/>
      <c r="AP233" s="7"/>
      <c r="AQ233" s="7"/>
      <c r="AR233" s="3"/>
      <c r="AS233" s="3"/>
      <c r="AT233" s="7"/>
      <c r="AU233" s="7"/>
      <c r="AV233" s="7"/>
      <c r="AW233" s="9"/>
      <c r="AX233" s="9"/>
      <c r="AY233" s="9"/>
      <c r="AZ233" s="3"/>
      <c r="BA233" s="3"/>
      <c r="BB233" s="3"/>
      <c r="BC233" s="3"/>
      <c r="BD233" s="3"/>
      <c r="BE233" s="3"/>
      <c r="BG233" s="13"/>
      <c r="BH233" s="7"/>
      <c r="BI233" s="3"/>
      <c r="BJ233" s="3"/>
      <c r="BK233" s="3"/>
      <c r="BL233" s="3"/>
    </row>
    <row r="234" spans="1:64" x14ac:dyDescent="0.25">
      <c r="A234">
        <v>187</v>
      </c>
      <c r="B234" s="1" t="s">
        <v>239</v>
      </c>
      <c r="C234" s="1" t="s">
        <v>32</v>
      </c>
      <c r="D234" s="2">
        <v>43047</v>
      </c>
      <c r="E234" s="3">
        <v>18.7</v>
      </c>
      <c r="F234" s="4">
        <f t="shared" si="239"/>
        <v>4089.4711811023622</v>
      </c>
      <c r="G234" s="7">
        <v>9.69</v>
      </c>
      <c r="H234" s="7">
        <v>159.19</v>
      </c>
      <c r="I234" s="7">
        <f t="shared" si="256"/>
        <v>149.5</v>
      </c>
      <c r="J234" s="7">
        <v>141.81</v>
      </c>
      <c r="K234" s="5">
        <f t="shared" si="240"/>
        <v>5.1438127090300991</v>
      </c>
      <c r="L234" s="4">
        <f t="shared" si="241"/>
        <v>3879.1164427566955</v>
      </c>
      <c r="M234" s="2">
        <v>43054</v>
      </c>
      <c r="N234" s="7">
        <v>8.16</v>
      </c>
      <c r="O234" s="7">
        <v>2.86</v>
      </c>
      <c r="P234" s="7">
        <v>5.44</v>
      </c>
      <c r="Q234" s="6">
        <f t="shared" si="242"/>
        <v>0.33749999999999997</v>
      </c>
      <c r="R234" s="6">
        <f t="shared" si="243"/>
        <v>0.47000000000000008</v>
      </c>
      <c r="S234" s="6">
        <f t="shared" si="244"/>
        <v>0.1925</v>
      </c>
      <c r="T234" s="4">
        <f t="shared" si="245"/>
        <v>1380.1965236220472</v>
      </c>
      <c r="U234" s="4">
        <f t="shared" si="246"/>
        <v>1922.0514551181107</v>
      </c>
      <c r="V234" s="4">
        <f t="shared" si="247"/>
        <v>3302.247978740158</v>
      </c>
      <c r="W234" s="4">
        <f t="shared" si="248"/>
        <v>1309.2017994303847</v>
      </c>
      <c r="X234" s="4">
        <f t="shared" si="249"/>
        <v>1823.1847280956472</v>
      </c>
      <c r="Y234" s="4">
        <f t="shared" si="250"/>
        <v>3132.3865275260318</v>
      </c>
      <c r="Z234" s="10"/>
      <c r="AA234" s="12"/>
      <c r="AB234" s="5"/>
      <c r="AC234" s="4"/>
      <c r="AD234" s="4"/>
      <c r="AE234" s="4"/>
      <c r="AF234" s="4"/>
      <c r="AH234" t="s">
        <v>309</v>
      </c>
      <c r="AI234" t="s">
        <v>32</v>
      </c>
      <c r="AJ234" s="8">
        <f>D234</f>
        <v>43047</v>
      </c>
      <c r="AK234" s="3">
        <f>SUM(E234:E236)</f>
        <v>51.300000000000004</v>
      </c>
      <c r="AL234" s="3">
        <f>(AK234-3*$A$35)*$A$36/(3*$A$37)*$A$38</f>
        <v>3732.3121259842524</v>
      </c>
      <c r="AM234" s="7">
        <f>SUM(G234:G236)</f>
        <v>29.089999999999996</v>
      </c>
      <c r="AN234" s="7">
        <f>SUM(H234:H236)</f>
        <v>415.20000000000005</v>
      </c>
      <c r="AO234" s="7">
        <f>AN234-AM234</f>
        <v>386.11000000000007</v>
      </c>
      <c r="AP234" s="7">
        <f>SUM(J234:J236)</f>
        <v>365.7</v>
      </c>
      <c r="AQ234" s="7">
        <f>(AO234-AP234)/AO234*100</f>
        <v>5.2860583771464293</v>
      </c>
      <c r="AR234" s="3">
        <f>AL234*(1-AQ234/100)</f>
        <v>3535.0199281874097</v>
      </c>
      <c r="AS234" s="11">
        <f>M234</f>
        <v>43054</v>
      </c>
      <c r="AT234" s="7">
        <f>SUM(N234:N236)</f>
        <v>22.42</v>
      </c>
      <c r="AU234" s="7">
        <f>SUM(O234:O236)</f>
        <v>7.8</v>
      </c>
      <c r="AV234" s="7">
        <f>SUM(P234:P236)</f>
        <v>15.32</v>
      </c>
      <c r="AW234" s="9">
        <f>(AU234-3*$A$39)/(AT234-3*$A$39)</f>
        <v>0.33363719234275296</v>
      </c>
      <c r="AX234" s="9">
        <f>(AV234-3*$A$40)/(AT234-3*$A$39)</f>
        <v>0.46855059252506837</v>
      </c>
      <c r="AY234" s="9">
        <f>1-AW234-AX234</f>
        <v>0.19781221513217861</v>
      </c>
      <c r="AZ234" s="3">
        <f>AL234*AW234</f>
        <v>1245.2381386601971</v>
      </c>
      <c r="BA234" s="3">
        <f>AL234*AX234</f>
        <v>1748.7770581184191</v>
      </c>
      <c r="BB234" s="3">
        <f>AZ234+BA234</f>
        <v>2994.015196778616</v>
      </c>
      <c r="BC234" s="3">
        <f>AR234*AW234</f>
        <v>1179.4141237161275</v>
      </c>
      <c r="BD234" s="3">
        <f>AR234*AX234</f>
        <v>1656.3356819401354</v>
      </c>
      <c r="BE234" s="3">
        <f>BC234+BD234</f>
        <v>2835.7498056562627</v>
      </c>
      <c r="BF234" s="11">
        <f>Z235</f>
        <v>43077</v>
      </c>
      <c r="BG234" s="13">
        <f>AVERAGE(AA234:AA236)</f>
        <v>40</v>
      </c>
      <c r="BH234" s="7">
        <f t="shared" ref="BH234" si="347">AVERAGE(AB234:AB236)</f>
        <v>1.1299999999999999</v>
      </c>
      <c r="BI234" s="3">
        <f t="shared" ref="BI234" si="348">AVERAGE(AC234:AC236)</f>
        <v>78.900000000000006</v>
      </c>
      <c r="BJ234" s="3">
        <f t="shared" ref="BJ234" si="349">AVERAGE(AD234:AD236)</f>
        <v>30.2</v>
      </c>
      <c r="BK234" s="3">
        <f t="shared" ref="BK234" si="350">AVERAGE(AE234:AE236)</f>
        <v>6.2</v>
      </c>
      <c r="BL234" s="3">
        <f t="shared" ref="BL234" si="351">AVERAGE(AF234:AF236)</f>
        <v>11</v>
      </c>
    </row>
    <row r="235" spans="1:64" x14ac:dyDescent="0.25">
      <c r="A235">
        <v>188</v>
      </c>
      <c r="B235" s="1" t="s">
        <v>240</v>
      </c>
      <c r="C235" s="1" t="s">
        <v>32</v>
      </c>
      <c r="D235" s="2">
        <v>43047</v>
      </c>
      <c r="E235" s="3">
        <v>17.5</v>
      </c>
      <c r="F235" s="4">
        <f t="shared" si="239"/>
        <v>3821.6018897637791</v>
      </c>
      <c r="G235" s="7">
        <v>9.7100000000000009</v>
      </c>
      <c r="H235" s="7">
        <v>139.9</v>
      </c>
      <c r="I235" s="7">
        <f t="shared" si="256"/>
        <v>130.19</v>
      </c>
      <c r="J235" s="7">
        <v>123.45</v>
      </c>
      <c r="K235" s="5">
        <f t="shared" si="240"/>
        <v>5.1770489284891275</v>
      </c>
      <c r="L235" s="4">
        <f t="shared" si="241"/>
        <v>3623.7556900786431</v>
      </c>
      <c r="M235" s="2">
        <v>43054</v>
      </c>
      <c r="N235" s="7">
        <v>7.65</v>
      </c>
      <c r="O235" s="7">
        <v>2.68</v>
      </c>
      <c r="P235" s="7">
        <v>5.22</v>
      </c>
      <c r="Q235" s="6">
        <f t="shared" si="242"/>
        <v>0.3364485981308411</v>
      </c>
      <c r="R235" s="6">
        <f t="shared" si="243"/>
        <v>0.47263017356475301</v>
      </c>
      <c r="S235" s="6">
        <f t="shared" si="244"/>
        <v>0.19092122830440583</v>
      </c>
      <c r="T235" s="4">
        <f t="shared" si="245"/>
        <v>1285.7725984251967</v>
      </c>
      <c r="U235" s="4">
        <f t="shared" si="246"/>
        <v>1806.2043644544431</v>
      </c>
      <c r="V235" s="4">
        <f t="shared" si="247"/>
        <v>3091.9769628796398</v>
      </c>
      <c r="W235" s="4">
        <f t="shared" si="248"/>
        <v>1219.2075218956181</v>
      </c>
      <c r="X235" s="4">
        <f t="shared" si="249"/>
        <v>1712.6962807581303</v>
      </c>
      <c r="Y235" s="4">
        <f t="shared" si="250"/>
        <v>2931.9038026537482</v>
      </c>
      <c r="Z235" s="10">
        <v>43077</v>
      </c>
      <c r="AA235" s="12">
        <v>40</v>
      </c>
      <c r="AB235" s="5">
        <v>1.1299999999999999</v>
      </c>
      <c r="AC235" s="4">
        <v>78.900000000000006</v>
      </c>
      <c r="AD235" s="4">
        <v>30.2</v>
      </c>
      <c r="AE235" s="4">
        <v>6.2</v>
      </c>
      <c r="AF235" s="4">
        <v>11</v>
      </c>
      <c r="AK235" s="3"/>
      <c r="AL235" s="3"/>
      <c r="AM235" s="7"/>
      <c r="AN235" s="7"/>
      <c r="AO235" s="7"/>
      <c r="AP235" s="7"/>
      <c r="AQ235" s="7"/>
      <c r="AR235" s="3"/>
      <c r="AS235" s="3"/>
      <c r="AT235" s="7"/>
      <c r="AU235" s="7"/>
      <c r="AV235" s="7"/>
      <c r="AW235" s="9"/>
      <c r="AX235" s="9"/>
      <c r="AY235" s="9"/>
      <c r="AZ235" s="3"/>
      <c r="BA235" s="3"/>
      <c r="BB235" s="3"/>
      <c r="BC235" s="3"/>
      <c r="BD235" s="3"/>
      <c r="BE235" s="3"/>
      <c r="BG235" s="13"/>
      <c r="BH235" s="7"/>
      <c r="BI235" s="3"/>
      <c r="BJ235" s="3"/>
      <c r="BK235" s="3"/>
      <c r="BL235" s="3"/>
    </row>
    <row r="236" spans="1:64" x14ac:dyDescent="0.25">
      <c r="A236">
        <v>189</v>
      </c>
      <c r="B236" s="1" t="s">
        <v>241</v>
      </c>
      <c r="C236" s="1" t="s">
        <v>32</v>
      </c>
      <c r="D236" s="2">
        <v>43047</v>
      </c>
      <c r="E236" s="3">
        <v>15.1</v>
      </c>
      <c r="F236" s="4">
        <f t="shared" si="239"/>
        <v>3285.863307086614</v>
      </c>
      <c r="G236" s="7">
        <v>9.69</v>
      </c>
      <c r="H236" s="7">
        <v>116.11</v>
      </c>
      <c r="I236" s="7">
        <f t="shared" si="256"/>
        <v>106.42</v>
      </c>
      <c r="J236" s="7">
        <v>100.44</v>
      </c>
      <c r="K236" s="5">
        <f t="shared" si="240"/>
        <v>5.6192445029129896</v>
      </c>
      <c r="L236" s="4">
        <f t="shared" si="241"/>
        <v>3101.2226138299143</v>
      </c>
      <c r="M236" s="2">
        <v>43054</v>
      </c>
      <c r="N236" s="7">
        <v>6.61</v>
      </c>
      <c r="O236" s="7">
        <v>2.2599999999999998</v>
      </c>
      <c r="P236" s="7">
        <v>4.66</v>
      </c>
      <c r="Q236" s="6">
        <f t="shared" si="242"/>
        <v>0.32558139534883712</v>
      </c>
      <c r="R236" s="6">
        <f t="shared" si="243"/>
        <v>0.46201550387596907</v>
      </c>
      <c r="S236" s="6">
        <f t="shared" si="244"/>
        <v>0.21240310077519381</v>
      </c>
      <c r="T236" s="4">
        <f t="shared" si="245"/>
        <v>1069.8159604468042</v>
      </c>
      <c r="U236" s="4">
        <f t="shared" si="246"/>
        <v>1518.11979149118</v>
      </c>
      <c r="V236" s="4">
        <f t="shared" si="247"/>
        <v>2587.9357519379842</v>
      </c>
      <c r="W236" s="4">
        <f t="shared" si="248"/>
        <v>1009.7003858981113</v>
      </c>
      <c r="X236" s="4">
        <f t="shared" si="249"/>
        <v>1432.8129285601776</v>
      </c>
      <c r="Y236" s="4">
        <f t="shared" si="250"/>
        <v>2442.5133144582887</v>
      </c>
      <c r="Z236" s="10"/>
      <c r="AA236" s="12"/>
      <c r="AB236" s="5"/>
      <c r="AC236" s="4"/>
      <c r="AD236" s="4"/>
      <c r="AE236" s="4"/>
      <c r="AF236" s="4"/>
      <c r="AK236" s="3"/>
      <c r="AL236" s="3"/>
      <c r="AM236" s="7"/>
      <c r="AN236" s="7"/>
      <c r="AO236" s="7"/>
      <c r="AP236" s="7"/>
      <c r="AQ236" s="7"/>
      <c r="AR236" s="3"/>
      <c r="AS236" s="3"/>
      <c r="AT236" s="7"/>
      <c r="AU236" s="7"/>
      <c r="AV236" s="7"/>
      <c r="AW236" s="9"/>
      <c r="AX236" s="9"/>
      <c r="AY236" s="9"/>
      <c r="AZ236" s="3"/>
      <c r="BA236" s="3"/>
      <c r="BB236" s="3"/>
      <c r="BC236" s="3"/>
      <c r="BD236" s="3"/>
      <c r="BE236" s="3"/>
      <c r="BG236" s="13"/>
      <c r="BH236" s="7"/>
      <c r="BI236" s="3"/>
      <c r="BJ236" s="3"/>
      <c r="BK236" s="3"/>
      <c r="BL236" s="3"/>
    </row>
    <row r="237" spans="1:64" x14ac:dyDescent="0.25">
      <c r="A237">
        <v>190</v>
      </c>
      <c r="B237" s="1" t="s">
        <v>242</v>
      </c>
      <c r="C237" s="1" t="s">
        <v>32</v>
      </c>
      <c r="D237" s="2">
        <v>43047</v>
      </c>
      <c r="E237" s="3">
        <v>19.100000000000001</v>
      </c>
      <c r="F237" s="4">
        <f t="shared" si="239"/>
        <v>4178.7609448818912</v>
      </c>
      <c r="G237" s="7">
        <v>9.69</v>
      </c>
      <c r="H237" s="7">
        <v>169.7</v>
      </c>
      <c r="I237" s="7">
        <f t="shared" si="256"/>
        <v>160.01</v>
      </c>
      <c r="J237" s="7">
        <v>152.65</v>
      </c>
      <c r="K237" s="5">
        <f t="shared" si="240"/>
        <v>4.5997125179676184</v>
      </c>
      <c r="L237" s="4">
        <f t="shared" si="241"/>
        <v>3986.549954604217</v>
      </c>
      <c r="M237" s="2">
        <v>43054</v>
      </c>
      <c r="N237" s="7">
        <v>8.4</v>
      </c>
      <c r="O237" s="7">
        <v>2.94</v>
      </c>
      <c r="P237" s="7">
        <v>5.62</v>
      </c>
      <c r="Q237" s="6">
        <f t="shared" si="242"/>
        <v>0.33737864077669899</v>
      </c>
      <c r="R237" s="6">
        <f t="shared" si="243"/>
        <v>0.47815533980582525</v>
      </c>
      <c r="S237" s="6">
        <f t="shared" si="244"/>
        <v>0.18446601941747576</v>
      </c>
      <c r="T237" s="4">
        <f t="shared" si="245"/>
        <v>1409.8246877150068</v>
      </c>
      <c r="U237" s="4">
        <f t="shared" si="246"/>
        <v>1998.0968595673121</v>
      </c>
      <c r="V237" s="4">
        <f t="shared" si="247"/>
        <v>3407.9215472823189</v>
      </c>
      <c r="W237" s="4">
        <f t="shared" si="248"/>
        <v>1344.9768050727819</v>
      </c>
      <c r="X237" s="4">
        <f t="shared" si="249"/>
        <v>1906.1901481966765</v>
      </c>
      <c r="Y237" s="4">
        <f t="shared" si="250"/>
        <v>3251.1669532694586</v>
      </c>
      <c r="Z237" s="10"/>
      <c r="AA237" s="12"/>
      <c r="AB237" s="5"/>
      <c r="AC237" s="4"/>
      <c r="AD237" s="4"/>
      <c r="AE237" s="4"/>
      <c r="AF237" s="4"/>
      <c r="AH237" t="s">
        <v>310</v>
      </c>
      <c r="AI237" t="s">
        <v>32</v>
      </c>
      <c r="AJ237" s="8">
        <f>D237</f>
        <v>43047</v>
      </c>
      <c r="AK237" s="3">
        <f>SUM(E237:E239)</f>
        <v>55.5</v>
      </c>
      <c r="AL237" s="3">
        <f>(AK237-3*$A$35)*$A$36/(3*$A$37)*$A$38</f>
        <v>4044.8262992125983</v>
      </c>
      <c r="AM237" s="7">
        <f>SUM(G237:G239)</f>
        <v>29.099999999999998</v>
      </c>
      <c r="AN237" s="7">
        <f>SUM(H237:H239)</f>
        <v>440.80999999999995</v>
      </c>
      <c r="AO237" s="7">
        <f>AN237-AM237</f>
        <v>411.70999999999992</v>
      </c>
      <c r="AP237" s="7">
        <f>SUM(J237:J239)</f>
        <v>391.54</v>
      </c>
      <c r="AQ237" s="7">
        <f>(AO237-AP237)/AO237*100</f>
        <v>4.8990794491267895</v>
      </c>
      <c r="AR237" s="3">
        <f>AL237*(1-AQ237/100)</f>
        <v>3846.6670452349986</v>
      </c>
      <c r="AS237" s="11">
        <f>M237</f>
        <v>43054</v>
      </c>
      <c r="AT237" s="7">
        <f>SUM(N237:N239)</f>
        <v>24.35</v>
      </c>
      <c r="AU237" s="7">
        <f>SUM(O237:O239)</f>
        <v>8.4599999999999991</v>
      </c>
      <c r="AV237" s="7">
        <f>SUM(P237:P239)</f>
        <v>16.399999999999999</v>
      </c>
      <c r="AW237" s="9">
        <f>(AU237-3*$A$39)/(AT237-3*$A$39)</f>
        <v>0.33431085043988262</v>
      </c>
      <c r="AX237" s="9">
        <f>(AV237-3*$A$40)/(AT237-3*$A$39)</f>
        <v>0.4759111855886049</v>
      </c>
      <c r="AY237" s="9">
        <f>1-AW237-AX237</f>
        <v>0.18977796397151248</v>
      </c>
      <c r="AZ237" s="3">
        <f>AL237*AW237</f>
        <v>1352.229319971367</v>
      </c>
      <c r="BA237" s="3">
        <f>AL237*AX237</f>
        <v>1924.9780795582369</v>
      </c>
      <c r="BB237" s="3">
        <f>AZ237+BA237</f>
        <v>3277.2073995296041</v>
      </c>
      <c r="BC237" s="3">
        <f>AR237*AW237</f>
        <v>1285.9825312515827</v>
      </c>
      <c r="BD237" s="3">
        <f>AR237*AX237</f>
        <v>1830.671874062404</v>
      </c>
      <c r="BE237" s="3">
        <f>BC237+BD237</f>
        <v>3116.6544053139869</v>
      </c>
      <c r="BF237" s="11">
        <f>Z238</f>
        <v>43077</v>
      </c>
      <c r="BG237" s="13">
        <f>AVERAGE(AA237:AA239)</f>
        <v>37</v>
      </c>
      <c r="BH237" s="7">
        <f t="shared" ref="BH237" si="352">AVERAGE(AB237:AB239)</f>
        <v>1.1599999999999999</v>
      </c>
      <c r="BI237" s="3">
        <f t="shared" ref="BI237" si="353">AVERAGE(AC237:AC239)</f>
        <v>78.400000000000006</v>
      </c>
      <c r="BJ237" s="3">
        <f t="shared" ref="BJ237" si="354">AVERAGE(AD237:AD239)</f>
        <v>33.4</v>
      </c>
      <c r="BK237" s="3">
        <f t="shared" ref="BK237" si="355">AVERAGE(AE237:AE239)</f>
        <v>6.2</v>
      </c>
      <c r="BL237" s="3">
        <f t="shared" ref="BL237" si="356">AVERAGE(AF237:AF239)</f>
        <v>11.2</v>
      </c>
    </row>
    <row r="238" spans="1:64" x14ac:dyDescent="0.25">
      <c r="A238">
        <v>191</v>
      </c>
      <c r="B238" s="1" t="s">
        <v>243</v>
      </c>
      <c r="C238" s="1" t="s">
        <v>32</v>
      </c>
      <c r="D238" s="2">
        <v>43047</v>
      </c>
      <c r="E238" s="3">
        <v>17.7</v>
      </c>
      <c r="F238" s="4">
        <f t="shared" si="239"/>
        <v>3866.2467716535439</v>
      </c>
      <c r="G238" s="7">
        <v>9.7100000000000009</v>
      </c>
      <c r="H238" s="7">
        <v>151.44999999999999</v>
      </c>
      <c r="I238" s="7">
        <f t="shared" si="256"/>
        <v>141.73999999999998</v>
      </c>
      <c r="J238" s="7">
        <v>134.32</v>
      </c>
      <c r="K238" s="5">
        <f t="shared" si="240"/>
        <v>5.2349372089741699</v>
      </c>
      <c r="L238" s="4">
        <f t="shared" si="241"/>
        <v>3663.8511808134899</v>
      </c>
      <c r="M238" s="2">
        <v>43054</v>
      </c>
      <c r="N238" s="7">
        <v>7.72</v>
      </c>
      <c r="O238" s="7">
        <v>2.66</v>
      </c>
      <c r="P238" s="7">
        <v>5.28</v>
      </c>
      <c r="Q238" s="6">
        <f t="shared" si="242"/>
        <v>0.3306878306878307</v>
      </c>
      <c r="R238" s="6">
        <f t="shared" si="243"/>
        <v>0.47619047619047628</v>
      </c>
      <c r="S238" s="6">
        <f t="shared" si="244"/>
        <v>0.19312169312169303</v>
      </c>
      <c r="T238" s="4">
        <f t="shared" si="245"/>
        <v>1278.5207578219392</v>
      </c>
      <c r="U238" s="4">
        <f t="shared" si="246"/>
        <v>1841.0698912635926</v>
      </c>
      <c r="V238" s="4">
        <f t="shared" si="247"/>
        <v>3119.5906490855318</v>
      </c>
      <c r="W238" s="4">
        <f t="shared" si="248"/>
        <v>1211.59099894626</v>
      </c>
      <c r="X238" s="4">
        <f t="shared" si="249"/>
        <v>1744.6910384826147</v>
      </c>
      <c r="Y238" s="4">
        <f t="shared" si="250"/>
        <v>2956.2820374288749</v>
      </c>
      <c r="Z238" s="10">
        <v>43077</v>
      </c>
      <c r="AA238" s="12">
        <v>37</v>
      </c>
      <c r="AB238" s="5">
        <v>1.1599999999999999</v>
      </c>
      <c r="AC238" s="4">
        <v>78.400000000000006</v>
      </c>
      <c r="AD238" s="4">
        <v>33.4</v>
      </c>
      <c r="AE238" s="4">
        <v>6.2</v>
      </c>
      <c r="AF238" s="4">
        <v>11.2</v>
      </c>
      <c r="AK238" s="3"/>
      <c r="AL238" s="3"/>
      <c r="AM238" s="3"/>
      <c r="AN238" s="3"/>
      <c r="AO238" s="7"/>
      <c r="AP238" s="7"/>
      <c r="AQ238" s="7"/>
      <c r="AR238" s="3"/>
      <c r="AS238" s="3"/>
      <c r="AT238" s="7"/>
      <c r="AU238" s="7"/>
      <c r="AV238" s="7"/>
      <c r="AW238" s="9"/>
      <c r="AX238" s="9"/>
      <c r="AY238" s="9"/>
      <c r="AZ238" s="3"/>
      <c r="BA238" s="3"/>
      <c r="BB238" s="3"/>
      <c r="BC238" s="3"/>
      <c r="BD238" s="3"/>
      <c r="BE238" s="3"/>
      <c r="BG238" s="13"/>
      <c r="BH238" s="7"/>
      <c r="BI238" s="3"/>
      <c r="BJ238" s="3"/>
      <c r="BK238" s="3"/>
      <c r="BL238" s="3"/>
    </row>
    <row r="239" spans="1:64" x14ac:dyDescent="0.25">
      <c r="A239">
        <v>192</v>
      </c>
      <c r="B239" s="1" t="s">
        <v>244</v>
      </c>
      <c r="C239" s="1" t="s">
        <v>32</v>
      </c>
      <c r="D239" s="2">
        <v>43047</v>
      </c>
      <c r="E239" s="3">
        <v>18.7</v>
      </c>
      <c r="F239" s="4">
        <f t="shared" si="239"/>
        <v>4089.4711811023622</v>
      </c>
      <c r="G239" s="7">
        <v>9.6999999999999993</v>
      </c>
      <c r="H239" s="7">
        <v>119.66</v>
      </c>
      <c r="I239" s="7">
        <f t="shared" si="256"/>
        <v>109.96</v>
      </c>
      <c r="J239" s="7">
        <v>104.57</v>
      </c>
      <c r="K239" s="5">
        <f t="shared" si="240"/>
        <v>4.9017824663514018</v>
      </c>
      <c r="L239" s="4">
        <f t="shared" si="241"/>
        <v>3889.0141997805931</v>
      </c>
      <c r="M239" s="2">
        <v>43054</v>
      </c>
      <c r="N239" s="7">
        <v>8.23</v>
      </c>
      <c r="O239" s="7">
        <v>2.86</v>
      </c>
      <c r="P239" s="7">
        <v>5.5</v>
      </c>
      <c r="Q239" s="6">
        <f t="shared" si="242"/>
        <v>0.33457249070631967</v>
      </c>
      <c r="R239" s="6">
        <f t="shared" si="243"/>
        <v>0.47335811648079307</v>
      </c>
      <c r="S239" s="6">
        <f t="shared" si="244"/>
        <v>0.19206939281288726</v>
      </c>
      <c r="T239" s="4">
        <f t="shared" si="245"/>
        <v>1368.2245587331322</v>
      </c>
      <c r="U239" s="4">
        <f t="shared" si="246"/>
        <v>1935.7843756890984</v>
      </c>
      <c r="V239" s="4">
        <f t="shared" si="247"/>
        <v>3304.0089344222306</v>
      </c>
      <c r="W239" s="4">
        <f t="shared" si="248"/>
        <v>1301.1571672128377</v>
      </c>
      <c r="X239" s="4">
        <f t="shared" si="249"/>
        <v>1840.8964365752001</v>
      </c>
      <c r="Y239" s="4">
        <f t="shared" si="250"/>
        <v>3142.0536037880379</v>
      </c>
      <c r="Z239" s="10"/>
      <c r="AA239" s="12"/>
      <c r="AB239" s="5"/>
      <c r="AC239" s="4"/>
      <c r="AD239" s="4"/>
      <c r="AE239" s="4"/>
      <c r="AF239" s="4"/>
      <c r="AK239" s="3"/>
      <c r="AL239" s="3"/>
      <c r="AM239" s="3"/>
      <c r="AN239" s="3"/>
      <c r="AO239" s="7"/>
      <c r="AP239" s="7"/>
      <c r="AQ239" s="7"/>
      <c r="AR239" s="3"/>
      <c r="AS239" s="3"/>
      <c r="AT239" s="7"/>
      <c r="AU239" s="7"/>
      <c r="AV239" s="7"/>
      <c r="AW239" s="9"/>
      <c r="AX239" s="9"/>
      <c r="AY239" s="9"/>
      <c r="AZ239" s="3"/>
      <c r="BA239" s="3"/>
      <c r="BB239" s="3"/>
      <c r="BC239" s="3"/>
      <c r="BD239" s="3"/>
      <c r="BE239" s="3"/>
      <c r="BG239" s="13"/>
      <c r="BH239" s="7"/>
      <c r="BI239" s="3"/>
      <c r="BJ239" s="3"/>
      <c r="BK239" s="3"/>
      <c r="BL2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AE70"/>
  <sheetViews>
    <sheetView workbookViewId="0"/>
  </sheetViews>
  <sheetFormatPr defaultRowHeight="15" x14ac:dyDescent="0.25"/>
  <cols>
    <col min="3" max="5" width="10.5703125" bestFit="1" customWidth="1"/>
    <col min="7" max="7" width="10.5703125" bestFit="1" customWidth="1"/>
    <col min="10" max="10" width="10.5703125" bestFit="1" customWidth="1"/>
    <col min="12" max="12" width="10.5703125" bestFit="1" customWidth="1"/>
    <col min="16" max="16" width="9.5703125" bestFit="1" customWidth="1"/>
    <col min="23" max="23" width="10.5703125" bestFit="1" customWidth="1"/>
    <col min="25" max="25" width="10.5703125" bestFit="1" customWidth="1"/>
  </cols>
  <sheetData>
    <row r="1" spans="1:31" x14ac:dyDescent="0.25">
      <c r="A1" s="1"/>
      <c r="B1" s="1" t="s">
        <v>0</v>
      </c>
      <c r="C1" s="1" t="s">
        <v>0</v>
      </c>
      <c r="D1" t="s">
        <v>0</v>
      </c>
      <c r="E1" s="1" t="s">
        <v>0</v>
      </c>
      <c r="F1" t="s">
        <v>38</v>
      </c>
      <c r="G1" t="s">
        <v>38</v>
      </c>
      <c r="H1" t="s">
        <v>38</v>
      </c>
      <c r="I1" t="s">
        <v>38</v>
      </c>
      <c r="J1" s="1" t="s">
        <v>38</v>
      </c>
      <c r="K1" s="1" t="s">
        <v>38</v>
      </c>
      <c r="L1" s="1" t="s">
        <v>7</v>
      </c>
      <c r="M1" t="s">
        <v>7</v>
      </c>
      <c r="N1" t="s">
        <v>7</v>
      </c>
      <c r="O1" t="s">
        <v>7</v>
      </c>
      <c r="P1" s="1" t="s">
        <v>7</v>
      </c>
      <c r="Q1" s="1" t="s">
        <v>7</v>
      </c>
      <c r="R1" s="1" t="s">
        <v>7</v>
      </c>
      <c r="S1" s="1" t="s">
        <v>16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16</v>
      </c>
      <c r="Y1" s="1" t="s">
        <v>311</v>
      </c>
      <c r="Z1" s="1" t="s">
        <v>311</v>
      </c>
      <c r="AA1" s="1" t="s">
        <v>311</v>
      </c>
      <c r="AB1" s="1" t="s">
        <v>311</v>
      </c>
      <c r="AC1" s="1" t="s">
        <v>311</v>
      </c>
      <c r="AD1" s="1" t="s">
        <v>311</v>
      </c>
      <c r="AE1" s="1" t="s">
        <v>311</v>
      </c>
    </row>
    <row r="2" spans="1:31" x14ac:dyDescent="0.25">
      <c r="A2" s="1"/>
      <c r="B2" s="1"/>
      <c r="C2" s="1"/>
      <c r="E2" s="1"/>
      <c r="G2" t="s">
        <v>41</v>
      </c>
      <c r="H2" t="s">
        <v>42</v>
      </c>
      <c r="I2" t="s">
        <v>43</v>
      </c>
      <c r="J2" s="1"/>
      <c r="K2" s="1"/>
      <c r="L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/>
      <c r="B3" s="1"/>
      <c r="C3" s="1"/>
      <c r="D3" t="s">
        <v>1</v>
      </c>
      <c r="E3" s="1"/>
      <c r="F3" t="s">
        <v>39</v>
      </c>
      <c r="G3" t="s">
        <v>40</v>
      </c>
      <c r="H3" t="s">
        <v>8</v>
      </c>
      <c r="I3" t="s">
        <v>8</v>
      </c>
      <c r="J3" s="1"/>
      <c r="K3" s="1"/>
      <c r="L3" s="1" t="s">
        <v>24</v>
      </c>
      <c r="M3" t="s">
        <v>8</v>
      </c>
      <c r="N3" t="s">
        <v>10</v>
      </c>
      <c r="O3" t="s">
        <v>11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 t="s">
        <v>20</v>
      </c>
      <c r="B4" s="1" t="s">
        <v>21</v>
      </c>
      <c r="C4" s="1" t="s">
        <v>2</v>
      </c>
      <c r="D4" t="s">
        <v>34</v>
      </c>
      <c r="E4" s="1" t="s">
        <v>3</v>
      </c>
      <c r="F4" t="s">
        <v>40</v>
      </c>
      <c r="G4" t="s">
        <v>34</v>
      </c>
      <c r="H4" t="s">
        <v>37</v>
      </c>
      <c r="I4" t="s">
        <v>37</v>
      </c>
      <c r="J4" s="1" t="s">
        <v>44</v>
      </c>
      <c r="K4" s="1" t="s">
        <v>45</v>
      </c>
      <c r="L4" s="1" t="s">
        <v>25</v>
      </c>
      <c r="M4" t="s">
        <v>36</v>
      </c>
      <c r="N4" t="s">
        <v>36</v>
      </c>
      <c r="O4" t="s">
        <v>321</v>
      </c>
      <c r="P4" s="1" t="s">
        <v>12</v>
      </c>
      <c r="Q4" s="1" t="s">
        <v>13</v>
      </c>
      <c r="R4" s="1" t="s">
        <v>14</v>
      </c>
      <c r="S4" s="1" t="s">
        <v>17</v>
      </c>
      <c r="T4" s="1" t="s">
        <v>18</v>
      </c>
      <c r="U4" s="1" t="s">
        <v>19</v>
      </c>
      <c r="V4" s="1" t="s">
        <v>47</v>
      </c>
      <c r="W4" s="1" t="s">
        <v>48</v>
      </c>
      <c r="X4" s="1" t="s">
        <v>49</v>
      </c>
      <c r="Y4" s="1" t="s">
        <v>312</v>
      </c>
      <c r="Z4" s="1" t="s">
        <v>313</v>
      </c>
      <c r="AA4" s="1" t="s">
        <v>314</v>
      </c>
      <c r="AB4" s="1" t="s">
        <v>315</v>
      </c>
      <c r="AC4" s="1" t="s">
        <v>316</v>
      </c>
      <c r="AD4" s="1" t="s">
        <v>319</v>
      </c>
      <c r="AE4" s="1" t="s">
        <v>320</v>
      </c>
    </row>
    <row r="5" spans="1:31" x14ac:dyDescent="0.25">
      <c r="A5" s="1"/>
      <c r="B5" s="1"/>
      <c r="C5" s="1"/>
      <c r="D5" t="s">
        <v>33</v>
      </c>
      <c r="E5" s="1" t="s">
        <v>4</v>
      </c>
      <c r="F5" t="s">
        <v>9</v>
      </c>
      <c r="G5" t="s">
        <v>9</v>
      </c>
      <c r="H5" t="s">
        <v>9</v>
      </c>
      <c r="I5" t="s">
        <v>9</v>
      </c>
      <c r="J5" s="1" t="s">
        <v>46</v>
      </c>
      <c r="K5" s="5" t="s">
        <v>4</v>
      </c>
      <c r="L5" s="5"/>
      <c r="M5" s="7" t="s">
        <v>31</v>
      </c>
      <c r="N5" s="7" t="s">
        <v>31</v>
      </c>
      <c r="O5" s="7" t="s">
        <v>31</v>
      </c>
      <c r="P5" s="1" t="s">
        <v>15</v>
      </c>
      <c r="Q5" s="1" t="s">
        <v>15</v>
      </c>
      <c r="R5" s="1" t="s">
        <v>15</v>
      </c>
      <c r="S5" s="1" t="s">
        <v>4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/>
      <c r="Z5" s="1"/>
      <c r="AA5" s="1" t="s">
        <v>317</v>
      </c>
      <c r="AB5" s="1" t="s">
        <v>46</v>
      </c>
      <c r="AC5" s="1" t="s">
        <v>318</v>
      </c>
      <c r="AD5" s="1" t="s">
        <v>46</v>
      </c>
      <c r="AE5" s="1" t="s">
        <v>46</v>
      </c>
    </row>
    <row r="6" spans="1:31" x14ac:dyDescent="0.25">
      <c r="A6" s="1" t="s">
        <v>20</v>
      </c>
      <c r="B6" s="1" t="s">
        <v>21</v>
      </c>
      <c r="C6" s="1" t="s">
        <v>2</v>
      </c>
      <c r="E6" s="1" t="s">
        <v>3</v>
      </c>
      <c r="J6" s="1" t="s">
        <v>44</v>
      </c>
      <c r="K6" s="1" t="s">
        <v>45</v>
      </c>
      <c r="L6" s="1" t="s">
        <v>25</v>
      </c>
      <c r="P6" s="1" t="s">
        <v>12</v>
      </c>
      <c r="Q6" s="1" t="s">
        <v>13</v>
      </c>
      <c r="R6" s="1" t="s">
        <v>14</v>
      </c>
      <c r="S6" s="1" t="s">
        <v>17</v>
      </c>
      <c r="T6" s="1" t="s">
        <v>18</v>
      </c>
      <c r="U6" s="1" t="s">
        <v>19</v>
      </c>
      <c r="V6" s="1" t="s">
        <v>47</v>
      </c>
      <c r="W6" s="1" t="s">
        <v>48</v>
      </c>
      <c r="X6" s="1" t="s">
        <v>49</v>
      </c>
      <c r="Y6" s="1" t="s">
        <v>312</v>
      </c>
      <c r="Z6" s="1" t="s">
        <v>313</v>
      </c>
      <c r="AA6" s="1" t="s">
        <v>314</v>
      </c>
      <c r="AB6" s="1" t="s">
        <v>315</v>
      </c>
      <c r="AC6" s="1" t="s">
        <v>316</v>
      </c>
      <c r="AD6" s="1" t="s">
        <v>319</v>
      </c>
      <c r="AE6" s="1" t="s">
        <v>320</v>
      </c>
    </row>
    <row r="7" spans="1:31" x14ac:dyDescent="0.25">
      <c r="A7" s="1" t="s">
        <v>247</v>
      </c>
      <c r="B7" s="1" t="s">
        <v>32</v>
      </c>
      <c r="C7" s="10">
        <v>43047</v>
      </c>
      <c r="D7" s="3">
        <v>67.699999999999989</v>
      </c>
      <c r="E7" s="4">
        <v>4952.605564304461</v>
      </c>
      <c r="F7" s="7">
        <v>29.130000000000003</v>
      </c>
      <c r="G7" s="7">
        <v>586.36</v>
      </c>
      <c r="H7" s="7">
        <v>557.23</v>
      </c>
      <c r="I7" s="7">
        <v>505.60999999999996</v>
      </c>
      <c r="J7" s="5">
        <v>9.2636792706781872</v>
      </c>
      <c r="K7" s="4">
        <v>4493.8120692855337</v>
      </c>
      <c r="L7" s="10">
        <v>43054</v>
      </c>
      <c r="M7" s="7">
        <v>29.200000000000003</v>
      </c>
      <c r="N7" s="7">
        <v>11.040000000000001</v>
      </c>
      <c r="O7" s="7">
        <v>19.16</v>
      </c>
      <c r="P7" s="6">
        <v>0.36768802228412256</v>
      </c>
      <c r="Q7" s="6">
        <v>0.49164345403899723</v>
      </c>
      <c r="R7" s="6">
        <v>0.14066852367688021</v>
      </c>
      <c r="S7" s="4">
        <v>1821.0137450924481</v>
      </c>
      <c r="T7" s="4">
        <v>2434.9161061274021</v>
      </c>
      <c r="U7" s="4">
        <v>4255.9298512198502</v>
      </c>
      <c r="V7" s="4">
        <v>1652.3208722721183</v>
      </c>
      <c r="W7" s="4">
        <v>2209.3532875456731</v>
      </c>
      <c r="X7" s="4">
        <v>3861.6741598177914</v>
      </c>
      <c r="Y7" s="10">
        <v>43077</v>
      </c>
      <c r="Z7" s="12">
        <v>47</v>
      </c>
      <c r="AA7" s="5">
        <v>1.17</v>
      </c>
      <c r="AB7" s="4">
        <v>80.8</v>
      </c>
      <c r="AC7" s="4">
        <v>31.7</v>
      </c>
      <c r="AD7" s="4">
        <v>6.2</v>
      </c>
      <c r="AE7" s="4">
        <v>9.6</v>
      </c>
    </row>
    <row r="8" spans="1:31" x14ac:dyDescent="0.25">
      <c r="A8" s="1" t="s">
        <v>248</v>
      </c>
      <c r="B8" s="1" t="s">
        <v>32</v>
      </c>
      <c r="C8" s="10">
        <v>43047</v>
      </c>
      <c r="D8" s="3">
        <v>71.7</v>
      </c>
      <c r="E8" s="4">
        <v>5250.2381102362206</v>
      </c>
      <c r="F8" s="7">
        <v>29.150000000000002</v>
      </c>
      <c r="G8" s="7">
        <v>535.29999999999995</v>
      </c>
      <c r="H8" s="7">
        <v>506.15</v>
      </c>
      <c r="I8" s="7">
        <v>469.01</v>
      </c>
      <c r="J8" s="5">
        <v>7.3377457275511189</v>
      </c>
      <c r="K8" s="4">
        <v>4864.9889876161023</v>
      </c>
      <c r="L8" s="10">
        <v>43054</v>
      </c>
      <c r="M8" s="7">
        <v>31.03</v>
      </c>
      <c r="N8" s="7">
        <v>11.879999999999999</v>
      </c>
      <c r="O8" s="7">
        <v>20.079999999999998</v>
      </c>
      <c r="P8" s="6">
        <v>0.37315875613747951</v>
      </c>
      <c r="Q8" s="6">
        <v>0.49230769230769228</v>
      </c>
      <c r="R8" s="6">
        <v>0.13453355155482821</v>
      </c>
      <c r="S8" s="4">
        <v>1959.1723226413392</v>
      </c>
      <c r="T8" s="4">
        <v>2584.7326081162932</v>
      </c>
      <c r="U8" s="4">
        <v>4543.9049307576324</v>
      </c>
      <c r="V8" s="4">
        <v>1815.4132392413605</v>
      </c>
      <c r="W8" s="4">
        <v>2395.0715015956193</v>
      </c>
      <c r="X8" s="4">
        <v>4210.4847408369797</v>
      </c>
      <c r="Y8" s="10">
        <v>43077</v>
      </c>
      <c r="Z8" s="12">
        <v>44</v>
      </c>
      <c r="AA8" s="5">
        <v>1.18</v>
      </c>
      <c r="AB8" s="4">
        <v>81.400000000000006</v>
      </c>
      <c r="AC8" s="4">
        <v>32.700000000000003</v>
      </c>
      <c r="AD8" s="4">
        <v>6.1</v>
      </c>
      <c r="AE8" s="4">
        <v>8.8000000000000007</v>
      </c>
    </row>
    <row r="9" spans="1:31" x14ac:dyDescent="0.25">
      <c r="A9" s="1" t="s">
        <v>250</v>
      </c>
      <c r="B9" s="1" t="s">
        <v>32</v>
      </c>
      <c r="C9" s="10">
        <v>43047</v>
      </c>
      <c r="D9" s="3">
        <v>63.9</v>
      </c>
      <c r="E9" s="4">
        <v>4669.8546456692911</v>
      </c>
      <c r="F9" s="7">
        <v>29.099999999999998</v>
      </c>
      <c r="G9" s="7">
        <v>563.14</v>
      </c>
      <c r="H9" s="7">
        <v>534.04</v>
      </c>
      <c r="I9" s="7">
        <v>496.29999999999995</v>
      </c>
      <c r="J9" s="5">
        <v>7.0668863755523947</v>
      </c>
      <c r="K9" s="4">
        <v>4339.841323956387</v>
      </c>
      <c r="L9" s="10">
        <v>43054</v>
      </c>
      <c r="M9" s="7">
        <v>27.580000000000002</v>
      </c>
      <c r="N9" s="7">
        <v>10.54</v>
      </c>
      <c r="O9" s="7">
        <v>18.3</v>
      </c>
      <c r="P9" s="6">
        <v>0.37121771217712168</v>
      </c>
      <c r="Q9" s="6">
        <v>0.48929889298892992</v>
      </c>
      <c r="R9" s="6">
        <v>0.13948339483394845</v>
      </c>
      <c r="S9" s="4">
        <v>1733.5327577650576</v>
      </c>
      <c r="T9" s="4">
        <v>2284.9547085451959</v>
      </c>
      <c r="U9" s="4">
        <v>4018.4874663102537</v>
      </c>
      <c r="V9" s="4">
        <v>1611.0259674908207</v>
      </c>
      <c r="W9" s="4">
        <v>2123.4795555594724</v>
      </c>
      <c r="X9" s="4">
        <v>3734.505523050293</v>
      </c>
      <c r="Y9" s="10">
        <v>43077</v>
      </c>
      <c r="Z9" s="12">
        <v>47</v>
      </c>
      <c r="AA9" s="5">
        <v>1.1399999999999999</v>
      </c>
      <c r="AB9" s="4">
        <v>80.900000000000006</v>
      </c>
      <c r="AC9" s="4">
        <v>31.2</v>
      </c>
      <c r="AD9" s="4">
        <v>5.9</v>
      </c>
      <c r="AE9" s="4">
        <v>9.4</v>
      </c>
    </row>
    <row r="10" spans="1:31" x14ac:dyDescent="0.25">
      <c r="A10" s="1" t="s">
        <v>251</v>
      </c>
      <c r="B10" s="1" t="s">
        <v>32</v>
      </c>
      <c r="C10" s="10">
        <v>43047</v>
      </c>
      <c r="D10" s="3">
        <v>45.2</v>
      </c>
      <c r="E10" s="4">
        <v>3278.4224934383201</v>
      </c>
      <c r="F10" s="7">
        <v>29.119999999999997</v>
      </c>
      <c r="G10" s="7">
        <v>631.13</v>
      </c>
      <c r="H10" s="7">
        <v>602.01</v>
      </c>
      <c r="I10" s="7">
        <v>556</v>
      </c>
      <c r="J10" s="5">
        <v>7.6427301872061912</v>
      </c>
      <c r="K10" s="4">
        <v>3027.8615078681514</v>
      </c>
      <c r="L10" s="10">
        <v>43054</v>
      </c>
      <c r="M10" s="7">
        <v>19.27</v>
      </c>
      <c r="N10" s="7">
        <v>7.3</v>
      </c>
      <c r="O10" s="7">
        <v>14.34</v>
      </c>
      <c r="P10" s="6">
        <v>0.36295902075572117</v>
      </c>
      <c r="Q10" s="6">
        <v>0.49494411921234704</v>
      </c>
      <c r="R10" s="6">
        <v>0.14209686003193178</v>
      </c>
      <c r="S10" s="4">
        <v>1189.9330178419025</v>
      </c>
      <c r="T10" s="4">
        <v>1622.6359334207759</v>
      </c>
      <c r="U10" s="4">
        <v>2812.5689512626786</v>
      </c>
      <c r="V10" s="4">
        <v>1098.9896478797655</v>
      </c>
      <c r="W10" s="4">
        <v>1498.6222471087713</v>
      </c>
      <c r="X10" s="4">
        <v>2597.6118949885367</v>
      </c>
      <c r="Y10" s="10">
        <v>43077</v>
      </c>
      <c r="Z10" s="12">
        <v>50</v>
      </c>
      <c r="AA10" s="5">
        <v>1.03</v>
      </c>
      <c r="AB10" s="4">
        <v>79.3</v>
      </c>
      <c r="AC10" s="4">
        <v>28.2</v>
      </c>
      <c r="AD10" s="4">
        <v>6</v>
      </c>
      <c r="AE10" s="4">
        <v>11.3</v>
      </c>
    </row>
    <row r="11" spans="1:31" x14ac:dyDescent="0.25">
      <c r="A11" s="1" t="s">
        <v>252</v>
      </c>
      <c r="B11" s="1" t="s">
        <v>32</v>
      </c>
      <c r="C11" s="10">
        <v>43047</v>
      </c>
      <c r="D11" s="3">
        <v>80.5</v>
      </c>
      <c r="E11" s="4">
        <v>5905.0297112860881</v>
      </c>
      <c r="F11" s="7">
        <v>29.1</v>
      </c>
      <c r="G11" s="7">
        <v>682.51</v>
      </c>
      <c r="H11" s="7">
        <v>653.41</v>
      </c>
      <c r="I11" s="7">
        <v>609.83000000000004</v>
      </c>
      <c r="J11" s="5">
        <v>6.6696255031297236</v>
      </c>
      <c r="K11" s="4">
        <v>5511.1863436947633</v>
      </c>
      <c r="L11" s="10">
        <v>43054</v>
      </c>
      <c r="M11" s="7">
        <v>34.630000000000003</v>
      </c>
      <c r="N11" s="7">
        <v>13.52</v>
      </c>
      <c r="O11" s="7">
        <v>21.84</v>
      </c>
      <c r="P11" s="6">
        <v>0.38184480234260604</v>
      </c>
      <c r="Q11" s="6">
        <v>0.49194729136163978</v>
      </c>
      <c r="R11" s="6">
        <v>0.12620790629575424</v>
      </c>
      <c r="S11" s="4">
        <v>2254.8049029332524</v>
      </c>
      <c r="T11" s="4">
        <v>2904.963371877197</v>
      </c>
      <c r="U11" s="4">
        <v>5159.7682748104489</v>
      </c>
      <c r="V11" s="4">
        <v>2104.4178600813966</v>
      </c>
      <c r="W11" s="4">
        <v>2711.2131939698979</v>
      </c>
      <c r="X11" s="4">
        <v>4815.631054051295</v>
      </c>
      <c r="Y11" s="10">
        <v>43077</v>
      </c>
      <c r="Z11" s="12">
        <v>47</v>
      </c>
      <c r="AA11" s="5">
        <v>1.1599999999999999</v>
      </c>
      <c r="AB11" s="4">
        <v>80.8</v>
      </c>
      <c r="AC11" s="4">
        <v>31.2</v>
      </c>
      <c r="AD11" s="4">
        <v>6</v>
      </c>
      <c r="AE11" s="4">
        <v>9.3000000000000007</v>
      </c>
    </row>
    <row r="12" spans="1:31" x14ac:dyDescent="0.25">
      <c r="A12" s="1" t="s">
        <v>253</v>
      </c>
      <c r="B12" s="1" t="s">
        <v>32</v>
      </c>
      <c r="C12" s="10">
        <v>43047</v>
      </c>
      <c r="D12" s="3">
        <v>51.3</v>
      </c>
      <c r="E12" s="4">
        <v>3732.3121259842519</v>
      </c>
      <c r="F12" s="7">
        <v>29.21</v>
      </c>
      <c r="G12" s="7">
        <v>810.97</v>
      </c>
      <c r="H12" s="7">
        <v>781.76</v>
      </c>
      <c r="I12" s="7">
        <v>725.06</v>
      </c>
      <c r="J12" s="5">
        <v>7.2528653295129004</v>
      </c>
      <c r="K12" s="4">
        <v>3461.6125538095343</v>
      </c>
      <c r="L12" s="10">
        <v>43054</v>
      </c>
      <c r="M12" s="7">
        <v>21.62</v>
      </c>
      <c r="N12" s="7">
        <v>8.02</v>
      </c>
      <c r="O12" s="7">
        <v>15.6</v>
      </c>
      <c r="P12" s="6">
        <v>0.35666982024597915</v>
      </c>
      <c r="Q12" s="6">
        <v>0.49952696310312195</v>
      </c>
      <c r="R12" s="6">
        <v>0.1438032166508989</v>
      </c>
      <c r="S12" s="4">
        <v>1331.2030950766914</v>
      </c>
      <c r="T12" s="4">
        <v>1864.3905416458699</v>
      </c>
      <c r="U12" s="4">
        <v>3195.5936367225613</v>
      </c>
      <c r="V12" s="4">
        <v>1234.6527273284714</v>
      </c>
      <c r="W12" s="4">
        <v>1729.1688064441189</v>
      </c>
      <c r="X12" s="4">
        <v>2963.8215337725906</v>
      </c>
      <c r="Y12" s="10">
        <v>43077</v>
      </c>
      <c r="Z12" s="12">
        <v>40</v>
      </c>
      <c r="AA12" s="5">
        <v>1.1299999999999999</v>
      </c>
      <c r="AB12" s="4">
        <v>77.900000000000006</v>
      </c>
      <c r="AC12" s="4">
        <v>31.2</v>
      </c>
      <c r="AD12" s="4">
        <v>6</v>
      </c>
      <c r="AE12" s="4">
        <v>11.2</v>
      </c>
    </row>
    <row r="13" spans="1:31" x14ac:dyDescent="0.25">
      <c r="A13" s="1" t="s">
        <v>254</v>
      </c>
      <c r="B13" s="1" t="s">
        <v>32</v>
      </c>
      <c r="C13" s="10">
        <v>43047</v>
      </c>
      <c r="D13" s="3">
        <v>68.400000000000006</v>
      </c>
      <c r="E13" s="4">
        <v>5004.6912598425197</v>
      </c>
      <c r="F13" s="7">
        <v>29.130000000000003</v>
      </c>
      <c r="G13" s="7">
        <v>738.2</v>
      </c>
      <c r="H13" s="7">
        <v>709.07</v>
      </c>
      <c r="I13" s="7">
        <v>661.31999999999994</v>
      </c>
      <c r="J13" s="5">
        <v>6.7341729307402813</v>
      </c>
      <c r="K13" s="4">
        <v>4667.6666957550797</v>
      </c>
      <c r="L13" s="10">
        <v>43054</v>
      </c>
      <c r="M13" s="7">
        <v>29.459999999999997</v>
      </c>
      <c r="N13" s="7">
        <v>11.38</v>
      </c>
      <c r="O13" s="7">
        <v>19.240000000000002</v>
      </c>
      <c r="P13" s="6">
        <v>0.37612146307798489</v>
      </c>
      <c r="Q13" s="6">
        <v>0.48999309868875102</v>
      </c>
      <c r="R13" s="6">
        <v>0.1338854382332641</v>
      </c>
      <c r="S13" s="4">
        <v>1882.3717989055719</v>
      </c>
      <c r="T13" s="4">
        <v>2452.2641783907452</v>
      </c>
      <c r="U13" s="4">
        <v>4334.6359772963169</v>
      </c>
      <c r="V13" s="4">
        <v>1755.609626767784</v>
      </c>
      <c r="W13" s="4">
        <v>2287.1244678993153</v>
      </c>
      <c r="X13" s="4">
        <v>4042.7340946670993</v>
      </c>
      <c r="Y13" s="10">
        <v>43077</v>
      </c>
      <c r="Z13" s="12">
        <v>48</v>
      </c>
      <c r="AA13" s="5">
        <v>1.1399999999999999</v>
      </c>
      <c r="AB13" s="4">
        <v>80</v>
      </c>
      <c r="AC13" s="4">
        <v>30.7</v>
      </c>
      <c r="AD13" s="4">
        <v>5.9</v>
      </c>
      <c r="AE13" s="4">
        <v>10.3</v>
      </c>
    </row>
    <row r="14" spans="1:31" x14ac:dyDescent="0.25">
      <c r="A14" s="1" t="s">
        <v>255</v>
      </c>
      <c r="B14" s="1" t="s">
        <v>32</v>
      </c>
      <c r="C14" s="10">
        <v>43047</v>
      </c>
      <c r="D14" s="3">
        <v>71</v>
      </c>
      <c r="E14" s="4">
        <v>5198.1524146981628</v>
      </c>
      <c r="F14" s="7">
        <v>29.190000000000005</v>
      </c>
      <c r="G14" s="7">
        <v>447.18999999999994</v>
      </c>
      <c r="H14" s="7">
        <v>417.99999999999994</v>
      </c>
      <c r="I14" s="7">
        <v>392.15</v>
      </c>
      <c r="J14" s="5">
        <v>6.1842105263157823</v>
      </c>
      <c r="K14" s="4">
        <v>4876.6877258944614</v>
      </c>
      <c r="L14" s="10">
        <v>43054</v>
      </c>
      <c r="M14" s="7">
        <v>30.92</v>
      </c>
      <c r="N14" s="7">
        <v>11.959999999999999</v>
      </c>
      <c r="O14" s="7">
        <v>20.079999999999998</v>
      </c>
      <c r="P14" s="6">
        <v>0.37713534822601835</v>
      </c>
      <c r="Q14" s="6">
        <v>0.4940867279894875</v>
      </c>
      <c r="R14" s="6">
        <v>0.12877792378449415</v>
      </c>
      <c r="S14" s="4">
        <v>1960.4070210491097</v>
      </c>
      <c r="T14" s="4">
        <v>2568.3381181688687</v>
      </c>
      <c r="U14" s="4">
        <v>4528.7451392179782</v>
      </c>
      <c r="V14" s="4">
        <v>1839.1713236947573</v>
      </c>
      <c r="W14" s="4">
        <v>2409.5066819136891</v>
      </c>
      <c r="X14" s="4">
        <v>4248.6780056084463</v>
      </c>
      <c r="Y14" s="10">
        <v>43077</v>
      </c>
      <c r="Z14" s="12">
        <v>47</v>
      </c>
      <c r="AA14" s="5">
        <v>1.1200000000000001</v>
      </c>
      <c r="AB14" s="4">
        <v>80.099999999999994</v>
      </c>
      <c r="AC14" s="4">
        <v>31.3</v>
      </c>
      <c r="AD14" s="4">
        <v>5.9</v>
      </c>
      <c r="AE14" s="4">
        <v>10.3</v>
      </c>
    </row>
    <row r="15" spans="1:31" x14ac:dyDescent="0.25">
      <c r="A15" s="1" t="s">
        <v>256</v>
      </c>
      <c r="B15" s="1" t="s">
        <v>32</v>
      </c>
      <c r="C15" s="10">
        <v>43047</v>
      </c>
      <c r="D15" s="3">
        <v>70.899999999999991</v>
      </c>
      <c r="E15" s="4">
        <v>5190.7116010498676</v>
      </c>
      <c r="F15" s="7">
        <v>29.13</v>
      </c>
      <c r="G15" s="7">
        <v>416.96999999999997</v>
      </c>
      <c r="H15" s="7">
        <v>387.84</v>
      </c>
      <c r="I15" s="7">
        <v>360.29999999999995</v>
      </c>
      <c r="J15" s="5">
        <v>7.1008663366336693</v>
      </c>
      <c r="K15" s="4">
        <v>4822.1261083391792</v>
      </c>
      <c r="L15" s="10">
        <v>43054</v>
      </c>
      <c r="M15" s="7">
        <v>30.89</v>
      </c>
      <c r="N15" s="7">
        <v>11.620000000000001</v>
      </c>
      <c r="O15" s="7">
        <v>20.079999999999998</v>
      </c>
      <c r="P15" s="6">
        <v>0.36632686616244658</v>
      </c>
      <c r="Q15" s="6">
        <v>0.49457415323906606</v>
      </c>
      <c r="R15" s="6">
        <v>0.13909898059848735</v>
      </c>
      <c r="S15" s="4">
        <v>1901.4971139656536</v>
      </c>
      <c r="T15" s="4">
        <v>2567.1917947974353</v>
      </c>
      <c r="U15" s="4">
        <v>4468.6889087630889</v>
      </c>
      <c r="V15" s="4">
        <v>1766.4743455080059</v>
      </c>
      <c r="W15" s="4">
        <v>2384.8989368438424</v>
      </c>
      <c r="X15" s="4">
        <v>4151.3732823518485</v>
      </c>
      <c r="Y15" s="10">
        <v>43077</v>
      </c>
      <c r="Z15" s="12">
        <v>43</v>
      </c>
      <c r="AA15" s="5">
        <v>1.1499999999999999</v>
      </c>
      <c r="AB15" s="4">
        <v>81.099999999999994</v>
      </c>
      <c r="AC15" s="4">
        <v>31.8</v>
      </c>
      <c r="AD15" s="4">
        <v>6.2</v>
      </c>
      <c r="AE15" s="4">
        <v>9.3000000000000007</v>
      </c>
    </row>
    <row r="16" spans="1:31" x14ac:dyDescent="0.25">
      <c r="A16" s="1" t="s">
        <v>257</v>
      </c>
      <c r="B16" s="1" t="s">
        <v>32</v>
      </c>
      <c r="C16" s="10">
        <v>43047</v>
      </c>
      <c r="D16" s="3">
        <v>40.299999999999997</v>
      </c>
      <c r="E16" s="4">
        <v>2913.8226246719155</v>
      </c>
      <c r="F16" s="7">
        <v>29.150000000000002</v>
      </c>
      <c r="G16" s="7">
        <v>550.28</v>
      </c>
      <c r="H16" s="7">
        <v>521.13</v>
      </c>
      <c r="I16" s="7">
        <v>486.15</v>
      </c>
      <c r="J16" s="5">
        <v>6.7123366530424304</v>
      </c>
      <c r="K16" s="4">
        <v>2718.2370406314194</v>
      </c>
      <c r="L16" s="10">
        <v>43054</v>
      </c>
      <c r="M16" s="7">
        <v>17.310000000000002</v>
      </c>
      <c r="N16" s="7">
        <v>6.24</v>
      </c>
      <c r="O16" s="7">
        <v>13.34</v>
      </c>
      <c r="P16" s="6">
        <v>0.34224598930481276</v>
      </c>
      <c r="Q16" s="6">
        <v>0.49316696375519903</v>
      </c>
      <c r="R16" s="6">
        <v>0.16458704693998821</v>
      </c>
      <c r="S16" s="4">
        <v>997.24410683958581</v>
      </c>
      <c r="T16" s="4">
        <v>1437.0010567306535</v>
      </c>
      <c r="U16" s="4">
        <v>2434.2451635702391</v>
      </c>
      <c r="V16" s="4">
        <v>930.30572513588663</v>
      </c>
      <c r="W16" s="4">
        <v>1340.5447080951146</v>
      </c>
      <c r="X16" s="4">
        <v>2270.8504332310013</v>
      </c>
      <c r="Y16" s="10">
        <v>43077</v>
      </c>
      <c r="Z16" s="12">
        <v>42</v>
      </c>
      <c r="AA16" s="5">
        <v>1.1100000000000001</v>
      </c>
      <c r="AB16" s="4">
        <v>79.599999999999994</v>
      </c>
      <c r="AC16" s="4">
        <v>30.6</v>
      </c>
      <c r="AD16" s="4">
        <v>5.6</v>
      </c>
      <c r="AE16" s="4">
        <v>10.3</v>
      </c>
    </row>
    <row r="17" spans="1:31" x14ac:dyDescent="0.25">
      <c r="A17" s="1" t="s">
        <v>249</v>
      </c>
      <c r="B17" s="1" t="s">
        <v>32</v>
      </c>
      <c r="C17" s="10">
        <v>43047</v>
      </c>
      <c r="D17" s="3">
        <v>45</v>
      </c>
      <c r="E17" s="4">
        <v>3263.5408661417318</v>
      </c>
      <c r="F17" s="7">
        <v>29.16</v>
      </c>
      <c r="G17" s="7">
        <v>556.04</v>
      </c>
      <c r="H17" s="7">
        <v>526.88</v>
      </c>
      <c r="I17" s="7">
        <v>493</v>
      </c>
      <c r="J17" s="5">
        <v>6.4303067112055867</v>
      </c>
      <c r="K17" s="4">
        <v>3053.6851788032832</v>
      </c>
      <c r="L17" s="10">
        <v>43054</v>
      </c>
      <c r="M17" s="7">
        <v>19.38</v>
      </c>
      <c r="N17" s="7">
        <v>7.32</v>
      </c>
      <c r="O17" s="7">
        <v>14.28</v>
      </c>
      <c r="P17" s="6">
        <v>0.36190476190476195</v>
      </c>
      <c r="Q17" s="6">
        <v>0.48888888888888882</v>
      </c>
      <c r="R17" s="6">
        <v>0.14920634920634923</v>
      </c>
      <c r="S17" s="4">
        <v>1181.090980127484</v>
      </c>
      <c r="T17" s="4">
        <v>1595.5088678915131</v>
      </c>
      <c r="U17" s="4">
        <v>2776.5998480189974</v>
      </c>
      <c r="V17" s="4">
        <v>1105.1432075669027</v>
      </c>
      <c r="W17" s="4">
        <v>1492.9127540816048</v>
      </c>
      <c r="X17" s="4">
        <v>2598.0559616485075</v>
      </c>
      <c r="Y17" s="10">
        <v>43077</v>
      </c>
      <c r="Z17" s="12">
        <v>45</v>
      </c>
      <c r="AA17" s="5">
        <v>1.1000000000000001</v>
      </c>
      <c r="AB17" s="4">
        <v>79.400000000000006</v>
      </c>
      <c r="AC17" s="4">
        <v>31.4</v>
      </c>
      <c r="AD17" s="4">
        <v>6.1</v>
      </c>
      <c r="AE17" s="4">
        <v>10.9</v>
      </c>
    </row>
    <row r="18" spans="1:31" x14ac:dyDescent="0.25">
      <c r="A18" s="1" t="s">
        <v>258</v>
      </c>
      <c r="B18" s="1" t="s">
        <v>32</v>
      </c>
      <c r="C18" s="10">
        <v>43047</v>
      </c>
      <c r="D18" s="3">
        <v>67.7</v>
      </c>
      <c r="E18" s="4">
        <v>4952.605564304462</v>
      </c>
      <c r="F18" s="7">
        <v>29.2</v>
      </c>
      <c r="G18" s="7">
        <v>586.86</v>
      </c>
      <c r="H18" s="7">
        <v>557.66</v>
      </c>
      <c r="I18" s="7">
        <v>518.6</v>
      </c>
      <c r="J18" s="5">
        <v>7.0042678334468933</v>
      </c>
      <c r="K18" s="4">
        <v>4605.711805846383</v>
      </c>
      <c r="L18" s="10">
        <v>43054</v>
      </c>
      <c r="M18" s="7">
        <v>32.830000000000005</v>
      </c>
      <c r="N18" s="7">
        <v>12.64</v>
      </c>
      <c r="O18" s="7">
        <v>20.82</v>
      </c>
      <c r="P18" s="6">
        <v>0.375888717156105</v>
      </c>
      <c r="Q18" s="6">
        <v>0.48778979907264286</v>
      </c>
      <c r="R18" s="6">
        <v>0.13632148377125219</v>
      </c>
      <c r="S18" s="4">
        <v>1861.6285521465918</v>
      </c>
      <c r="T18" s="4">
        <v>2415.8304730981263</v>
      </c>
      <c r="U18" s="4">
        <v>4277.4590252447179</v>
      </c>
      <c r="V18" s="4">
        <v>1731.2351022903247</v>
      </c>
      <c r="W18" s="4">
        <v>2246.6192363603063</v>
      </c>
      <c r="X18" s="4">
        <v>3977.8543386506308</v>
      </c>
      <c r="Y18" s="10">
        <v>43077</v>
      </c>
      <c r="Z18" s="12">
        <v>48</v>
      </c>
      <c r="AA18" s="5">
        <v>1.1200000000000001</v>
      </c>
      <c r="AB18" s="4">
        <v>80.2</v>
      </c>
      <c r="AC18" s="4">
        <v>31</v>
      </c>
      <c r="AD18" s="4">
        <v>5.7</v>
      </c>
      <c r="AE18" s="4">
        <v>10.5</v>
      </c>
    </row>
    <row r="19" spans="1:31" x14ac:dyDescent="0.25">
      <c r="A19" s="1" t="s">
        <v>259</v>
      </c>
      <c r="B19" s="1" t="s">
        <v>32</v>
      </c>
      <c r="C19" s="10">
        <v>43047</v>
      </c>
      <c r="D19" s="3">
        <v>72.8</v>
      </c>
      <c r="E19" s="4">
        <v>5332.0870603674539</v>
      </c>
      <c r="F19" s="7">
        <v>29.139999999999997</v>
      </c>
      <c r="G19" s="7">
        <v>514.84</v>
      </c>
      <c r="H19" s="7">
        <v>485.70000000000005</v>
      </c>
      <c r="I19" s="7">
        <v>453.1</v>
      </c>
      <c r="J19" s="5">
        <v>6.7119621165328436</v>
      </c>
      <c r="K19" s="4">
        <v>4974.1993968550405</v>
      </c>
      <c r="L19" s="10">
        <v>43054</v>
      </c>
      <c r="M19" s="7">
        <v>31.699999999999996</v>
      </c>
      <c r="N19" s="7">
        <v>11.92</v>
      </c>
      <c r="O19" s="7">
        <v>20.439999999999998</v>
      </c>
      <c r="P19" s="6">
        <v>0.36643177450352343</v>
      </c>
      <c r="Q19" s="6">
        <v>0.4932735426008969</v>
      </c>
      <c r="R19" s="6">
        <v>0.14029468289557961</v>
      </c>
      <c r="S19" s="4">
        <v>1953.846123337722</v>
      </c>
      <c r="T19" s="4">
        <v>2630.1774737238566</v>
      </c>
      <c r="U19" s="4">
        <v>4584.0235970615786</v>
      </c>
      <c r="V19" s="4">
        <v>1822.7047117239485</v>
      </c>
      <c r="W19" s="4">
        <v>2453.6409580899303</v>
      </c>
      <c r="X19" s="4">
        <v>4276.3456698138789</v>
      </c>
      <c r="Y19" s="10">
        <v>43077</v>
      </c>
      <c r="Z19" s="12">
        <v>44</v>
      </c>
      <c r="AA19" s="5">
        <v>1.17</v>
      </c>
      <c r="AB19" s="4">
        <v>80.900000000000006</v>
      </c>
      <c r="AC19" s="4">
        <v>31.3</v>
      </c>
      <c r="AD19" s="4">
        <v>6</v>
      </c>
      <c r="AE19" s="4">
        <v>9</v>
      </c>
    </row>
    <row r="20" spans="1:31" x14ac:dyDescent="0.25">
      <c r="A20" s="1" t="s">
        <v>260</v>
      </c>
      <c r="B20" s="1" t="s">
        <v>32</v>
      </c>
      <c r="C20" s="10">
        <v>43047</v>
      </c>
      <c r="D20" s="3">
        <v>60.1</v>
      </c>
      <c r="E20" s="4">
        <v>4387.1037270341203</v>
      </c>
      <c r="F20" s="7">
        <v>29.14</v>
      </c>
      <c r="G20" s="7">
        <v>494.08000000000004</v>
      </c>
      <c r="H20" s="7">
        <v>464.94000000000005</v>
      </c>
      <c r="I20" s="7">
        <v>436.76</v>
      </c>
      <c r="J20" s="5">
        <v>6.0609971179077</v>
      </c>
      <c r="K20" s="4">
        <v>4121.2014965789613</v>
      </c>
      <c r="L20" s="10">
        <v>43054</v>
      </c>
      <c r="M20" s="7">
        <v>26.02</v>
      </c>
      <c r="N20" s="7">
        <v>9.66</v>
      </c>
      <c r="O20" s="7">
        <v>17.34</v>
      </c>
      <c r="P20" s="6">
        <v>0.35943617854346122</v>
      </c>
      <c r="Q20" s="6">
        <v>0.48159749412685987</v>
      </c>
      <c r="R20" s="6">
        <v>0.15896632732967891</v>
      </c>
      <c r="S20" s="4">
        <v>1576.8837985189202</v>
      </c>
      <c r="T20" s="4">
        <v>2112.81816141424</v>
      </c>
      <c r="U20" s="4">
        <v>3689.7019599331602</v>
      </c>
      <c r="V20" s="4">
        <v>1481.308916937935</v>
      </c>
      <c r="W20" s="4">
        <v>1984.7603135442923</v>
      </c>
      <c r="X20" s="4">
        <v>3466.0692304822273</v>
      </c>
      <c r="Y20" s="10">
        <v>43077</v>
      </c>
      <c r="Z20" s="12">
        <v>50</v>
      </c>
      <c r="AA20" s="5">
        <v>1.0900000000000001</v>
      </c>
      <c r="AB20" s="4">
        <v>79.400000000000006</v>
      </c>
      <c r="AC20" s="4">
        <v>30.4</v>
      </c>
      <c r="AD20" s="4">
        <v>6</v>
      </c>
      <c r="AE20" s="4">
        <v>10.6</v>
      </c>
    </row>
    <row r="21" spans="1:31" x14ac:dyDescent="0.25">
      <c r="A21" s="1" t="s">
        <v>261</v>
      </c>
      <c r="B21" s="1" t="s">
        <v>32</v>
      </c>
      <c r="C21" s="10">
        <v>43047</v>
      </c>
      <c r="D21" s="3">
        <v>69.3</v>
      </c>
      <c r="E21" s="4">
        <v>5071.6585826771643</v>
      </c>
      <c r="F21" s="7">
        <v>29.150000000000002</v>
      </c>
      <c r="G21" s="7">
        <v>572.21</v>
      </c>
      <c r="H21" s="7">
        <v>543.06000000000006</v>
      </c>
      <c r="I21" s="7">
        <v>507.33999999999992</v>
      </c>
      <c r="J21" s="5">
        <v>6.5775420763820094</v>
      </c>
      <c r="K21" s="4">
        <v>4738.0681054311344</v>
      </c>
      <c r="L21" s="10">
        <v>43054</v>
      </c>
      <c r="M21" s="7">
        <v>30.179999999999996</v>
      </c>
      <c r="N21" s="7">
        <v>11.24</v>
      </c>
      <c r="O21" s="7">
        <v>19.440000000000001</v>
      </c>
      <c r="P21" s="6">
        <v>0.36228956228956233</v>
      </c>
      <c r="Q21" s="6">
        <v>0.48484848484848497</v>
      </c>
      <c r="R21" s="6">
        <v>0.1528619528619527</v>
      </c>
      <c r="S21" s="4">
        <v>1837.4089680002119</v>
      </c>
      <c r="T21" s="4">
        <v>2458.9859794798381</v>
      </c>
      <c r="U21" s="4">
        <v>4296.3949474800502</v>
      </c>
      <c r="V21" s="4">
        <v>1716.5526200147815</v>
      </c>
      <c r="W21" s="4">
        <v>2297.2451420272173</v>
      </c>
      <c r="X21" s="4">
        <v>4013.7977620419988</v>
      </c>
      <c r="Y21" s="10">
        <v>43077</v>
      </c>
      <c r="Z21" s="12">
        <v>43</v>
      </c>
      <c r="AA21" s="5">
        <v>1.1100000000000001</v>
      </c>
      <c r="AB21" s="4">
        <v>80.5</v>
      </c>
      <c r="AC21" s="4">
        <v>30.1</v>
      </c>
      <c r="AD21" s="4">
        <v>6.2</v>
      </c>
      <c r="AE21" s="4">
        <v>9.8000000000000007</v>
      </c>
    </row>
    <row r="22" spans="1:31" x14ac:dyDescent="0.25">
      <c r="A22" s="1" t="s">
        <v>262</v>
      </c>
      <c r="B22" s="1" t="s">
        <v>32</v>
      </c>
      <c r="C22" s="10">
        <v>43047</v>
      </c>
      <c r="D22" s="3">
        <v>62.900000000000006</v>
      </c>
      <c r="E22" s="4">
        <v>4595.4465091863512</v>
      </c>
      <c r="F22" s="7">
        <v>29.119999999999997</v>
      </c>
      <c r="G22" s="7">
        <v>598.57000000000005</v>
      </c>
      <c r="H22" s="7">
        <v>569.45000000000005</v>
      </c>
      <c r="I22" s="7">
        <v>530.31999999999994</v>
      </c>
      <c r="J22" s="5">
        <v>6.8715427166564407</v>
      </c>
      <c r="K22" s="4">
        <v>4279.6684392865136</v>
      </c>
      <c r="L22" s="10">
        <v>43054</v>
      </c>
      <c r="M22" s="7">
        <v>17.439999999999998</v>
      </c>
      <c r="N22" s="7">
        <v>6.66</v>
      </c>
      <c r="O22" s="7">
        <v>11.84</v>
      </c>
      <c r="P22" s="6">
        <v>0.37032710280373837</v>
      </c>
      <c r="Q22" s="6">
        <v>0.49532710280373843</v>
      </c>
      <c r="R22" s="6">
        <v>0.1343457943925232</v>
      </c>
      <c r="S22" s="4">
        <v>1701.8183918365346</v>
      </c>
      <c r="T22" s="4">
        <v>2276.2492054848285</v>
      </c>
      <c r="U22" s="4">
        <v>3978.0675973213629</v>
      </c>
      <c r="V22" s="4">
        <v>1584.8772140815713</v>
      </c>
      <c r="W22" s="4">
        <v>2119.8357689923855</v>
      </c>
      <c r="X22" s="4">
        <v>3704.7129830739568</v>
      </c>
      <c r="Y22" s="10">
        <v>43077</v>
      </c>
      <c r="Z22" s="12">
        <v>48</v>
      </c>
      <c r="AA22" s="5">
        <v>1.0900000000000001</v>
      </c>
      <c r="AB22" s="4">
        <v>79.099999999999994</v>
      </c>
      <c r="AC22" s="4">
        <v>30.5</v>
      </c>
      <c r="AD22" s="4">
        <v>6</v>
      </c>
      <c r="AE22" s="4">
        <v>11</v>
      </c>
    </row>
    <row r="23" spans="1:31" x14ac:dyDescent="0.25">
      <c r="A23" s="1" t="s">
        <v>263</v>
      </c>
      <c r="B23" s="1" t="s">
        <v>32</v>
      </c>
      <c r="C23" s="10">
        <v>43047</v>
      </c>
      <c r="D23" s="3">
        <v>69.300000000000011</v>
      </c>
      <c r="E23" s="4">
        <v>5071.6585826771652</v>
      </c>
      <c r="F23" s="7">
        <v>29.08</v>
      </c>
      <c r="G23" s="7">
        <v>564.53</v>
      </c>
      <c r="H23" s="7">
        <v>535.44999999999993</v>
      </c>
      <c r="I23" s="7">
        <v>500.5</v>
      </c>
      <c r="J23" s="5">
        <v>6.5272200952469772</v>
      </c>
      <c r="K23" s="4">
        <v>4740.6202645063431</v>
      </c>
      <c r="L23" s="10">
        <v>43054</v>
      </c>
      <c r="M23" s="7">
        <v>30.07</v>
      </c>
      <c r="N23" s="7">
        <v>10.96</v>
      </c>
      <c r="O23" s="7">
        <v>19.5</v>
      </c>
      <c r="P23" s="6">
        <v>0.35417370733355863</v>
      </c>
      <c r="Q23" s="6">
        <v>0.48867860763771548</v>
      </c>
      <c r="R23" s="6">
        <v>0.15714768502872584</v>
      </c>
      <c r="S23" s="4">
        <v>1796.2481225568331</v>
      </c>
      <c r="T23" s="4">
        <v>2478.4110545965468</v>
      </c>
      <c r="U23" s="4">
        <v>4274.6591771533804</v>
      </c>
      <c r="V23" s="4">
        <v>1679.0030541408069</v>
      </c>
      <c r="W23" s="4">
        <v>2316.6397101980983</v>
      </c>
      <c r="X23" s="4">
        <v>3995.6427643389052</v>
      </c>
      <c r="Y23" s="10">
        <v>43077</v>
      </c>
      <c r="Z23" s="12">
        <v>41</v>
      </c>
      <c r="AA23" s="5">
        <v>1.18</v>
      </c>
      <c r="AB23" s="4">
        <v>81.099999999999994</v>
      </c>
      <c r="AC23" s="4">
        <v>34</v>
      </c>
      <c r="AD23" s="4">
        <v>6.1</v>
      </c>
      <c r="AE23" s="4">
        <v>8.6999999999999993</v>
      </c>
    </row>
    <row r="24" spans="1:31" x14ac:dyDescent="0.25">
      <c r="A24" s="1" t="s">
        <v>264</v>
      </c>
      <c r="B24" s="1" t="s">
        <v>32</v>
      </c>
      <c r="C24" s="10">
        <v>43047</v>
      </c>
      <c r="D24" s="3">
        <v>69</v>
      </c>
      <c r="E24" s="4">
        <v>5049.3361417322831</v>
      </c>
      <c r="F24" s="7">
        <v>29.01</v>
      </c>
      <c r="G24" s="7">
        <v>526.33000000000004</v>
      </c>
      <c r="H24" s="7">
        <v>497.32000000000005</v>
      </c>
      <c r="I24" s="7">
        <v>463.21999999999997</v>
      </c>
      <c r="J24" s="5">
        <v>6.8567521917477841</v>
      </c>
      <c r="K24" s="4">
        <v>4703.1156751653416</v>
      </c>
      <c r="L24" s="10">
        <v>43054</v>
      </c>
      <c r="M24" s="7">
        <v>30.110000000000003</v>
      </c>
      <c r="N24" s="7">
        <v>11.1</v>
      </c>
      <c r="O24" s="7">
        <v>19.34</v>
      </c>
      <c r="P24" s="6">
        <v>0.35842051974350314</v>
      </c>
      <c r="Q24" s="6">
        <v>0.4826189672629092</v>
      </c>
      <c r="R24" s="6">
        <v>0.15896051299358771</v>
      </c>
      <c r="S24" s="4">
        <v>1809.7856842793396</v>
      </c>
      <c r="T24" s="4">
        <v>2436.9053940861172</v>
      </c>
      <c r="U24" s="4">
        <v>4246.6910783654566</v>
      </c>
      <c r="V24" s="4">
        <v>1685.6931647065785</v>
      </c>
      <c r="W24" s="4">
        <v>2269.812830066297</v>
      </c>
      <c r="X24" s="4">
        <v>3955.5059947728755</v>
      </c>
      <c r="Y24" s="10">
        <v>43077</v>
      </c>
      <c r="Z24" s="12">
        <v>47</v>
      </c>
      <c r="AA24" s="5">
        <v>1.1599999999999999</v>
      </c>
      <c r="AB24" s="4">
        <v>81.400000000000006</v>
      </c>
      <c r="AC24" s="4">
        <v>31.6</v>
      </c>
      <c r="AD24" s="4">
        <v>5.8</v>
      </c>
      <c r="AE24" s="4">
        <v>9.1</v>
      </c>
    </row>
    <row r="25" spans="1:31" x14ac:dyDescent="0.25">
      <c r="A25" s="1" t="s">
        <v>265</v>
      </c>
      <c r="B25" s="1" t="s">
        <v>32</v>
      </c>
      <c r="C25" s="10">
        <v>43047</v>
      </c>
      <c r="D25" s="3">
        <v>66.7</v>
      </c>
      <c r="E25" s="4">
        <v>4878.1974278215221</v>
      </c>
      <c r="F25" s="7">
        <v>29.049999999999997</v>
      </c>
      <c r="G25" s="7">
        <v>562.19000000000005</v>
      </c>
      <c r="H25" s="7">
        <v>533.1400000000001</v>
      </c>
      <c r="I25" s="7">
        <v>498.14</v>
      </c>
      <c r="J25" s="5">
        <v>6.5648797689162528</v>
      </c>
      <c r="K25" s="4">
        <v>4557.9496317946741</v>
      </c>
      <c r="L25" s="10">
        <v>43054</v>
      </c>
      <c r="M25" s="7">
        <v>28.94</v>
      </c>
      <c r="N25" s="7">
        <v>10.78</v>
      </c>
      <c r="O25" s="7">
        <v>18.880000000000003</v>
      </c>
      <c r="P25" s="6">
        <v>0.36191145467322555</v>
      </c>
      <c r="Q25" s="6">
        <v>0.48629655657062554</v>
      </c>
      <c r="R25" s="6">
        <v>0.15179198875614885</v>
      </c>
      <c r="S25" s="4">
        <v>1765.4755272860743</v>
      </c>
      <c r="T25" s="4">
        <v>2372.2506114212888</v>
      </c>
      <c r="U25" s="4">
        <v>4137.7261387073631</v>
      </c>
      <c r="V25" s="4">
        <v>1649.5741815701033</v>
      </c>
      <c r="W25" s="4">
        <v>2216.5152109641008</v>
      </c>
      <c r="X25" s="4">
        <v>3866.0893925342043</v>
      </c>
      <c r="Y25" s="10">
        <v>43077</v>
      </c>
      <c r="Z25" s="12">
        <v>44</v>
      </c>
      <c r="AA25" s="5">
        <v>1.1499999999999999</v>
      </c>
      <c r="AB25" s="4">
        <v>80.8</v>
      </c>
      <c r="AC25" s="4">
        <v>32.200000000000003</v>
      </c>
      <c r="AD25" s="4">
        <v>6.1</v>
      </c>
      <c r="AE25" s="4">
        <v>9.8000000000000007</v>
      </c>
    </row>
    <row r="26" spans="1:31" x14ac:dyDescent="0.25">
      <c r="A26" s="1" t="s">
        <v>266</v>
      </c>
      <c r="B26" s="1" t="s">
        <v>32</v>
      </c>
      <c r="C26" s="10">
        <v>43047</v>
      </c>
      <c r="D26" s="3">
        <v>46.8</v>
      </c>
      <c r="E26" s="4">
        <v>3397.4755118110234</v>
      </c>
      <c r="F26" s="7">
        <v>29.020000000000003</v>
      </c>
      <c r="G26" s="7">
        <v>603.49</v>
      </c>
      <c r="H26" s="7">
        <v>574.47</v>
      </c>
      <c r="I26" s="7">
        <v>537.03</v>
      </c>
      <c r="J26" s="5">
        <v>6.5173116089613128</v>
      </c>
      <c r="K26" s="4">
        <v>3176.0514458681455</v>
      </c>
      <c r="L26" s="10">
        <v>43054</v>
      </c>
      <c r="M26" s="7">
        <v>20</v>
      </c>
      <c r="N26" s="7">
        <v>7.4600000000000009</v>
      </c>
      <c r="O26" s="7">
        <v>14.66</v>
      </c>
      <c r="P26" s="6">
        <v>0.3575819672131148</v>
      </c>
      <c r="Q26" s="6">
        <v>0.49282786885245911</v>
      </c>
      <c r="R26" s="6">
        <v>0.14959016393442603</v>
      </c>
      <c r="S26" s="4">
        <v>1214.8759770717697</v>
      </c>
      <c r="T26" s="4">
        <v>1674.3706159642445</v>
      </c>
      <c r="U26" s="4">
        <v>2889.246593036014</v>
      </c>
      <c r="V26" s="4">
        <v>1135.6987239835892</v>
      </c>
      <c r="W26" s="4">
        <v>1565.2466654329696</v>
      </c>
      <c r="X26" s="4">
        <v>2700.945389416559</v>
      </c>
      <c r="Y26" s="10">
        <v>43077</v>
      </c>
      <c r="Z26" s="12">
        <v>42</v>
      </c>
      <c r="AA26" s="5">
        <v>1.1100000000000001</v>
      </c>
      <c r="AB26" s="4">
        <v>80.900000000000006</v>
      </c>
      <c r="AC26" s="4">
        <v>30.2</v>
      </c>
      <c r="AD26" s="4">
        <v>5.8</v>
      </c>
      <c r="AE26" s="4">
        <v>9.5</v>
      </c>
    </row>
    <row r="27" spans="1:31" x14ac:dyDescent="0.25">
      <c r="A27" s="1" t="s">
        <v>267</v>
      </c>
      <c r="B27" s="1" t="s">
        <v>32</v>
      </c>
      <c r="C27" s="10">
        <v>43047</v>
      </c>
      <c r="D27" s="3">
        <v>66.3</v>
      </c>
      <c r="E27" s="4">
        <v>4848.4341732283456</v>
      </c>
      <c r="F27" s="7">
        <v>29.02</v>
      </c>
      <c r="G27" s="7">
        <v>463</v>
      </c>
      <c r="H27" s="7">
        <v>433.98</v>
      </c>
      <c r="I27" s="7">
        <v>406.3</v>
      </c>
      <c r="J27" s="5">
        <v>6.3781741094059647</v>
      </c>
      <c r="K27" s="4">
        <v>4539.192600079904</v>
      </c>
      <c r="L27" s="10">
        <v>43054</v>
      </c>
      <c r="M27" s="7">
        <v>29.009999999999998</v>
      </c>
      <c r="N27" s="7">
        <v>10.620000000000001</v>
      </c>
      <c r="O27" s="7">
        <v>18.939999999999998</v>
      </c>
      <c r="P27" s="6">
        <v>0.35541535226077819</v>
      </c>
      <c r="Q27" s="6">
        <v>0.48720644935155977</v>
      </c>
      <c r="R27" s="6">
        <v>0.15737819838766209</v>
      </c>
      <c r="S27" s="4">
        <v>1723.2079395911474</v>
      </c>
      <c r="T27" s="4">
        <v>2362.1883984533474</v>
      </c>
      <c r="U27" s="4">
        <v>4085.3963380444948</v>
      </c>
      <c r="V27" s="4">
        <v>1613.2987369369168</v>
      </c>
      <c r="W27" s="4">
        <v>2211.5239096078044</v>
      </c>
      <c r="X27" s="4">
        <v>3824.8226465447215</v>
      </c>
      <c r="Y27" s="10">
        <v>43077</v>
      </c>
      <c r="Z27" s="12">
        <v>43</v>
      </c>
      <c r="AA27" s="5">
        <v>1.1499999999999999</v>
      </c>
      <c r="AB27" s="4">
        <v>80.7</v>
      </c>
      <c r="AC27" s="4">
        <v>31.9</v>
      </c>
      <c r="AD27" s="4">
        <v>6</v>
      </c>
      <c r="AE27" s="4">
        <v>9.1</v>
      </c>
    </row>
    <row r="28" spans="1:31" x14ac:dyDescent="0.25">
      <c r="A28" s="1" t="s">
        <v>268</v>
      </c>
      <c r="B28" s="1" t="s">
        <v>32</v>
      </c>
      <c r="C28" s="10">
        <v>43047</v>
      </c>
      <c r="D28" s="3">
        <v>56.2</v>
      </c>
      <c r="E28" s="4">
        <v>4096.911994750657</v>
      </c>
      <c r="F28" s="7">
        <v>28.98</v>
      </c>
      <c r="G28" s="7">
        <v>506.41</v>
      </c>
      <c r="H28" s="7">
        <v>477.43</v>
      </c>
      <c r="I28" s="7">
        <v>446.87</v>
      </c>
      <c r="J28" s="5">
        <v>6.4009383574555434</v>
      </c>
      <c r="K28" s="4">
        <v>3834.6711834074649</v>
      </c>
      <c r="L28" s="10">
        <v>43054</v>
      </c>
      <c r="M28" s="7">
        <v>24.36</v>
      </c>
      <c r="N28" s="7">
        <v>8.9599999999999991</v>
      </c>
      <c r="O28" s="7">
        <v>16.62</v>
      </c>
      <c r="P28" s="6">
        <v>0.35510887772194299</v>
      </c>
      <c r="Q28" s="6">
        <v>0.48492462311557799</v>
      </c>
      <c r="R28" s="6">
        <v>0.15996649916247901</v>
      </c>
      <c r="S28" s="4">
        <v>1454.8498205814726</v>
      </c>
      <c r="T28" s="4">
        <v>1986.6935049921531</v>
      </c>
      <c r="U28" s="4">
        <v>3441.5433255736257</v>
      </c>
      <c r="V28" s="4">
        <v>1361.7257803724999</v>
      </c>
      <c r="W28" s="4">
        <v>1859.5264783860323</v>
      </c>
      <c r="X28" s="4">
        <v>3221.2522587585322</v>
      </c>
      <c r="Y28" s="10">
        <v>43077</v>
      </c>
      <c r="Z28" s="12">
        <v>46</v>
      </c>
      <c r="AA28" s="5">
        <v>1.1100000000000001</v>
      </c>
      <c r="AB28" s="4">
        <v>81.3</v>
      </c>
      <c r="AC28" s="4">
        <v>31.1</v>
      </c>
      <c r="AD28" s="4">
        <v>6.1</v>
      </c>
      <c r="AE28" s="4">
        <v>9.9</v>
      </c>
    </row>
    <row r="29" spans="1:31" x14ac:dyDescent="0.25">
      <c r="A29" s="1" t="s">
        <v>269</v>
      </c>
      <c r="B29" s="1" t="s">
        <v>32</v>
      </c>
      <c r="C29" s="10">
        <v>43047</v>
      </c>
      <c r="D29" s="3">
        <v>49.1</v>
      </c>
      <c r="E29" s="4">
        <v>3568.6142257217853</v>
      </c>
      <c r="F29" s="7">
        <v>28.98</v>
      </c>
      <c r="G29" s="7">
        <v>505.12</v>
      </c>
      <c r="H29" s="7">
        <v>476.14</v>
      </c>
      <c r="I29" s="7">
        <v>444.34000000000003</v>
      </c>
      <c r="J29" s="5">
        <v>6.6787079430419531</v>
      </c>
      <c r="K29" s="4">
        <v>3330.2769039719792</v>
      </c>
      <c r="L29" s="10">
        <v>43054</v>
      </c>
      <c r="M29" s="7">
        <v>21.25</v>
      </c>
      <c r="N29" s="7">
        <v>7.68</v>
      </c>
      <c r="O29" s="7">
        <v>15.100000000000001</v>
      </c>
      <c r="P29" s="6">
        <v>0.34665382763601343</v>
      </c>
      <c r="Q29" s="6">
        <v>0.48435243139143008</v>
      </c>
      <c r="R29" s="6">
        <v>0.16899374097255654</v>
      </c>
      <c r="S29" s="4">
        <v>1237.0737807027854</v>
      </c>
      <c r="T29" s="4">
        <v>1728.4669769263924</v>
      </c>
      <c r="U29" s="4">
        <v>2965.5407576291777</v>
      </c>
      <c r="V29" s="4">
        <v>1154.453235849699</v>
      </c>
      <c r="W29" s="4">
        <v>1613.0277156455522</v>
      </c>
      <c r="X29" s="4">
        <v>2767.4809514952512</v>
      </c>
      <c r="Y29" s="10">
        <v>43077</v>
      </c>
      <c r="Z29" s="12">
        <v>41</v>
      </c>
      <c r="AA29" s="5">
        <v>1.1499999999999999</v>
      </c>
      <c r="AB29" s="4">
        <v>80.599999999999994</v>
      </c>
      <c r="AC29" s="4">
        <v>31.4</v>
      </c>
      <c r="AD29" s="4">
        <v>6</v>
      </c>
      <c r="AE29" s="4">
        <v>10</v>
      </c>
    </row>
    <row r="30" spans="1:31" x14ac:dyDescent="0.25">
      <c r="A30" s="1" t="s">
        <v>270</v>
      </c>
      <c r="B30" s="1" t="s">
        <v>32</v>
      </c>
      <c r="C30" s="10">
        <v>43047</v>
      </c>
      <c r="D30" s="3">
        <v>46.5</v>
      </c>
      <c r="E30" s="4">
        <v>3375.1530708661421</v>
      </c>
      <c r="F30" s="7">
        <v>29.01</v>
      </c>
      <c r="G30" s="7">
        <v>498.32000000000005</v>
      </c>
      <c r="H30" s="7">
        <v>469.31000000000006</v>
      </c>
      <c r="I30" s="7">
        <v>439.34000000000003</v>
      </c>
      <c r="J30" s="5">
        <v>6.3859708934393096</v>
      </c>
      <c r="K30" s="4">
        <v>3159.6167781516074</v>
      </c>
      <c r="L30" s="10">
        <v>43054</v>
      </c>
      <c r="M30" s="7">
        <v>20.189999999999998</v>
      </c>
      <c r="N30" s="7">
        <v>7.4</v>
      </c>
      <c r="O30" s="7">
        <v>14.64</v>
      </c>
      <c r="P30" s="6">
        <v>0.35109081684424154</v>
      </c>
      <c r="Q30" s="6">
        <v>0.48706240487062419</v>
      </c>
      <c r="R30" s="6">
        <v>0.16184677828513433</v>
      </c>
      <c r="S30" s="4">
        <v>1184.9852486247441</v>
      </c>
      <c r="T30" s="4">
        <v>1643.9101715025354</v>
      </c>
      <c r="U30" s="4">
        <v>2828.8954201272795</v>
      </c>
      <c r="V30" s="4">
        <v>1109.3124355560185</v>
      </c>
      <c r="W30" s="4">
        <v>1538.9305464360953</v>
      </c>
      <c r="X30" s="4">
        <v>2648.2429819921135</v>
      </c>
      <c r="Y30" s="10">
        <v>43077</v>
      </c>
      <c r="Z30" s="12">
        <v>42</v>
      </c>
      <c r="AA30" s="5">
        <v>1.1599999999999999</v>
      </c>
      <c r="AB30" s="4">
        <v>81.099999999999994</v>
      </c>
      <c r="AC30" s="4">
        <v>32.9</v>
      </c>
      <c r="AD30" s="4">
        <v>5.9</v>
      </c>
      <c r="AE30" s="4">
        <v>9.1999999999999993</v>
      </c>
    </row>
    <row r="31" spans="1:31" x14ac:dyDescent="0.25">
      <c r="A31" s="1" t="s">
        <v>271</v>
      </c>
      <c r="B31" s="1" t="s">
        <v>32</v>
      </c>
      <c r="C31" s="10">
        <v>43047</v>
      </c>
      <c r="D31" s="3">
        <v>63</v>
      </c>
      <c r="E31" s="4">
        <v>4602.8873228346456</v>
      </c>
      <c r="F31" s="7">
        <v>29.11</v>
      </c>
      <c r="G31" s="7">
        <v>442.46999999999997</v>
      </c>
      <c r="H31" s="7">
        <v>413.35999999999996</v>
      </c>
      <c r="I31" s="7">
        <v>387.64</v>
      </c>
      <c r="J31" s="5">
        <v>6.2221792142442363</v>
      </c>
      <c r="K31" s="4">
        <v>4316.4874245781448</v>
      </c>
      <c r="L31" s="10">
        <v>43054</v>
      </c>
      <c r="M31" s="7">
        <v>27.59</v>
      </c>
      <c r="N31" s="7">
        <v>10.18</v>
      </c>
      <c r="O31" s="7">
        <v>18.22</v>
      </c>
      <c r="P31" s="6">
        <v>0.35780154924382146</v>
      </c>
      <c r="Q31" s="6">
        <v>0.48616746587974918</v>
      </c>
      <c r="R31" s="6">
        <v>0.15603098487642936</v>
      </c>
      <c r="S31" s="4">
        <v>1646.9202151049819</v>
      </c>
      <c r="T31" s="4">
        <v>2237.7740654725426</v>
      </c>
      <c r="U31" s="4">
        <v>3884.6942805775243</v>
      </c>
      <c r="V31" s="4">
        <v>1544.4458878055332</v>
      </c>
      <c r="W31" s="4">
        <v>2098.5357527089618</v>
      </c>
      <c r="X31" s="4">
        <v>3642.9816405144948</v>
      </c>
      <c r="Y31" s="10">
        <v>43077</v>
      </c>
      <c r="Z31" s="12">
        <v>47</v>
      </c>
      <c r="AA31" s="5">
        <v>1.1399999999999999</v>
      </c>
      <c r="AB31" s="4">
        <v>80.7</v>
      </c>
      <c r="AC31" s="4">
        <v>31.1</v>
      </c>
      <c r="AD31" s="4">
        <v>6</v>
      </c>
      <c r="AE31" s="4">
        <v>9.5</v>
      </c>
    </row>
    <row r="32" spans="1:31" x14ac:dyDescent="0.25">
      <c r="A32" s="1" t="s">
        <v>272</v>
      </c>
      <c r="B32" s="1" t="s">
        <v>32</v>
      </c>
      <c r="C32" s="10">
        <v>43047</v>
      </c>
      <c r="D32" s="3">
        <v>46.9</v>
      </c>
      <c r="E32" s="4">
        <v>3404.9163254593172</v>
      </c>
      <c r="F32" s="7">
        <v>29.119999999999997</v>
      </c>
      <c r="G32" s="7">
        <v>513.28</v>
      </c>
      <c r="H32" s="7">
        <v>484.15999999999997</v>
      </c>
      <c r="I32" s="7">
        <v>453.90999999999997</v>
      </c>
      <c r="J32" s="5">
        <v>6.2479345670852613</v>
      </c>
      <c r="K32" s="4">
        <v>3192.1793813806153</v>
      </c>
      <c r="L32" s="10">
        <v>43054</v>
      </c>
      <c r="M32" s="7">
        <v>20.23</v>
      </c>
      <c r="N32" s="7">
        <v>7.3000000000000007</v>
      </c>
      <c r="O32" s="7">
        <v>14.559999999999999</v>
      </c>
      <c r="P32" s="6">
        <v>0.34531645569620256</v>
      </c>
      <c r="Q32" s="6">
        <v>0.48202531645569618</v>
      </c>
      <c r="R32" s="6">
        <v>0.17265822784810131</v>
      </c>
      <c r="S32" s="4">
        <v>1175.7736374497492</v>
      </c>
      <c r="T32" s="4">
        <v>1641.2558692846935</v>
      </c>
      <c r="U32" s="4">
        <v>2817.0295067344427</v>
      </c>
      <c r="V32" s="4">
        <v>1102.3120699248504</v>
      </c>
      <c r="W32" s="4">
        <v>1538.7112764933395</v>
      </c>
      <c r="X32" s="4">
        <v>2641.0233464181902</v>
      </c>
      <c r="Y32" s="10">
        <v>43077</v>
      </c>
      <c r="Z32" s="12">
        <v>48</v>
      </c>
      <c r="AA32" s="5">
        <v>1.1200000000000001</v>
      </c>
      <c r="AB32" s="4">
        <v>80.2</v>
      </c>
      <c r="AC32" s="4">
        <v>30.7</v>
      </c>
      <c r="AD32" s="4">
        <v>5.9</v>
      </c>
      <c r="AE32" s="4">
        <v>9.9</v>
      </c>
    </row>
    <row r="33" spans="1:31" x14ac:dyDescent="0.25">
      <c r="A33" s="1" t="s">
        <v>273</v>
      </c>
      <c r="B33" s="1" t="s">
        <v>32</v>
      </c>
      <c r="C33" s="10">
        <v>43047</v>
      </c>
      <c r="D33" s="3">
        <v>62.9</v>
      </c>
      <c r="E33" s="4">
        <v>4595.4465091863512</v>
      </c>
      <c r="F33" s="7">
        <v>29.15</v>
      </c>
      <c r="G33" s="7">
        <v>571.46</v>
      </c>
      <c r="H33" s="7">
        <v>542.31000000000006</v>
      </c>
      <c r="I33" s="7">
        <v>509.34</v>
      </c>
      <c r="J33" s="5">
        <v>6.0795485976655561</v>
      </c>
      <c r="K33" s="4">
        <v>4316.0641053806421</v>
      </c>
      <c r="L33" s="10">
        <v>43054</v>
      </c>
      <c r="M33" s="7">
        <v>27.35</v>
      </c>
      <c r="N33" s="7">
        <v>10.06</v>
      </c>
      <c r="O33" s="7">
        <v>18.04</v>
      </c>
      <c r="P33" s="6">
        <v>0.3565314477112021</v>
      </c>
      <c r="Q33" s="6">
        <v>0.48381094157052473</v>
      </c>
      <c r="R33" s="6">
        <v>0.15965761071827322</v>
      </c>
      <c r="S33" s="4">
        <v>1638.4211967995998</v>
      </c>
      <c r="T33" s="4">
        <v>2223.3273025464296</v>
      </c>
      <c r="U33" s="4">
        <v>3861.7484993460293</v>
      </c>
      <c r="V33" s="4">
        <v>1538.8125839057147</v>
      </c>
      <c r="W33" s="4">
        <v>2088.1590387029528</v>
      </c>
      <c r="X33" s="4">
        <v>3626.9716226086675</v>
      </c>
      <c r="Y33" s="10">
        <v>43077</v>
      </c>
      <c r="Z33" s="12">
        <v>44</v>
      </c>
      <c r="AA33" s="5">
        <v>1.1599999999999999</v>
      </c>
      <c r="AB33" s="4">
        <v>81.599999999999994</v>
      </c>
      <c r="AC33" s="4">
        <v>32.299999999999997</v>
      </c>
      <c r="AD33" s="4">
        <v>6.1</v>
      </c>
      <c r="AE33" s="4">
        <v>9.1999999999999993</v>
      </c>
    </row>
    <row r="34" spans="1:31" x14ac:dyDescent="0.25">
      <c r="A34" s="1" t="s">
        <v>274</v>
      </c>
      <c r="B34" s="1" t="s">
        <v>32</v>
      </c>
      <c r="C34" s="10">
        <v>43047</v>
      </c>
      <c r="D34" s="3">
        <v>53.5</v>
      </c>
      <c r="E34" s="4">
        <v>3896.010026246719</v>
      </c>
      <c r="F34" s="7">
        <v>28.97</v>
      </c>
      <c r="G34" s="7">
        <v>545.47</v>
      </c>
      <c r="H34" s="7">
        <v>516.5</v>
      </c>
      <c r="I34" s="7">
        <v>486.14</v>
      </c>
      <c r="J34" s="5">
        <v>5.87802516940949</v>
      </c>
      <c r="K34" s="4">
        <v>3667.0015763012193</v>
      </c>
      <c r="L34" s="10">
        <v>43054</v>
      </c>
      <c r="M34" s="7">
        <v>23.229999999999997</v>
      </c>
      <c r="N34" s="7">
        <v>8.5399999999999991</v>
      </c>
      <c r="O34" s="7">
        <v>16.04</v>
      </c>
      <c r="P34" s="6">
        <v>0.35428571428571426</v>
      </c>
      <c r="Q34" s="6">
        <v>0.48351648351648358</v>
      </c>
      <c r="R34" s="6">
        <v>0.16219780219780211</v>
      </c>
      <c r="S34" s="4">
        <v>1380.3006950131232</v>
      </c>
      <c r="T34" s="4">
        <v>1883.7850676357764</v>
      </c>
      <c r="U34" s="4">
        <v>3264.0857626488996</v>
      </c>
      <c r="V34" s="4">
        <v>1299.1662727467176</v>
      </c>
      <c r="W34" s="4">
        <v>1773.0557072225679</v>
      </c>
      <c r="X34" s="4">
        <v>3072.2219799692857</v>
      </c>
      <c r="Y34" s="10">
        <v>43077</v>
      </c>
      <c r="Z34" s="12">
        <v>42</v>
      </c>
      <c r="AA34" s="5">
        <v>1.1499999999999999</v>
      </c>
      <c r="AB34" s="4">
        <v>81.400000000000006</v>
      </c>
      <c r="AC34" s="4">
        <v>31.9</v>
      </c>
      <c r="AD34" s="4">
        <v>6.1</v>
      </c>
      <c r="AE34" s="4">
        <v>9.5</v>
      </c>
    </row>
    <row r="35" spans="1:31" x14ac:dyDescent="0.25">
      <c r="A35" s="1" t="s">
        <v>275</v>
      </c>
      <c r="B35" s="1" t="s">
        <v>32</v>
      </c>
      <c r="C35" s="10">
        <v>43047</v>
      </c>
      <c r="D35" s="3">
        <v>59.600000000000009</v>
      </c>
      <c r="E35" s="4">
        <v>4349.8996587926513</v>
      </c>
      <c r="F35" s="7">
        <v>29.04</v>
      </c>
      <c r="G35" s="7">
        <v>511.05999999999995</v>
      </c>
      <c r="H35" s="7">
        <v>482.01999999999992</v>
      </c>
      <c r="I35" s="7">
        <v>451.94</v>
      </c>
      <c r="J35" s="5">
        <v>6.2404049624496771</v>
      </c>
      <c r="K35" s="4">
        <v>4078.4483046237733</v>
      </c>
      <c r="L35" s="10">
        <v>43054</v>
      </c>
      <c r="M35" s="7">
        <v>25.81</v>
      </c>
      <c r="N35" s="7">
        <v>9.34</v>
      </c>
      <c r="O35" s="7">
        <v>17.32</v>
      </c>
      <c r="P35" s="6">
        <v>0.34978286616660087</v>
      </c>
      <c r="Q35" s="6">
        <v>0.48480063166206089</v>
      </c>
      <c r="R35" s="6">
        <v>0.16541650217133819</v>
      </c>
      <c r="S35" s="4">
        <v>1521.5203701896128</v>
      </c>
      <c r="T35" s="4">
        <v>2108.8341022492605</v>
      </c>
      <c r="U35" s="4">
        <v>3630.354472438873</v>
      </c>
      <c r="V35" s="4">
        <v>1426.5713375036175</v>
      </c>
      <c r="W35" s="4">
        <v>1977.2343142826667</v>
      </c>
      <c r="X35" s="4">
        <v>3403.8056517862842</v>
      </c>
      <c r="Y35" s="10">
        <v>43077</v>
      </c>
      <c r="Z35" s="12">
        <v>43</v>
      </c>
      <c r="AA35" s="5">
        <v>1.1499999999999999</v>
      </c>
      <c r="AB35" s="4">
        <v>80.7</v>
      </c>
      <c r="AC35" s="4">
        <v>31.8</v>
      </c>
      <c r="AD35" s="4">
        <v>6.2</v>
      </c>
      <c r="AE35" s="4">
        <v>9.9</v>
      </c>
    </row>
    <row r="36" spans="1:31" x14ac:dyDescent="0.25">
      <c r="A36" s="1" t="s">
        <v>276</v>
      </c>
      <c r="B36" s="1" t="s">
        <v>32</v>
      </c>
      <c r="C36" s="10">
        <v>43047</v>
      </c>
      <c r="D36" s="3">
        <v>67.5</v>
      </c>
      <c r="E36" s="4">
        <v>4937.7239370078742</v>
      </c>
      <c r="F36" s="7">
        <v>29.089999999999996</v>
      </c>
      <c r="G36" s="7">
        <v>464.89</v>
      </c>
      <c r="H36" s="7">
        <v>435.8</v>
      </c>
      <c r="I36" s="7">
        <v>410.12</v>
      </c>
      <c r="J36" s="5">
        <v>5.892611289582379</v>
      </c>
      <c r="K36" s="4">
        <v>4646.7630588473367</v>
      </c>
      <c r="L36" s="10">
        <v>43054</v>
      </c>
      <c r="M36" s="7">
        <v>29.64</v>
      </c>
      <c r="N36" s="7">
        <v>10.82</v>
      </c>
      <c r="O36" s="7">
        <v>19.100000000000001</v>
      </c>
      <c r="P36" s="6">
        <v>0.35459533607681754</v>
      </c>
      <c r="Q36" s="6">
        <v>0.48216735253772297</v>
      </c>
      <c r="R36" s="6">
        <v>0.16323731138545955</v>
      </c>
      <c r="S36" s="4">
        <v>1750.8938788978537</v>
      </c>
      <c r="T36" s="4">
        <v>2380.8092782692293</v>
      </c>
      <c r="U36" s="4">
        <v>4131.7031571670832</v>
      </c>
      <c r="V36" s="4">
        <v>1647.720508521312</v>
      </c>
      <c r="W36" s="4">
        <v>2240.5174419545119</v>
      </c>
      <c r="X36" s="4">
        <v>3888.2379504758237</v>
      </c>
      <c r="Y36" s="10">
        <v>43077</v>
      </c>
      <c r="Z36" s="12">
        <v>44</v>
      </c>
      <c r="AA36" s="5">
        <v>1.1499999999999999</v>
      </c>
      <c r="AB36" s="4">
        <v>80</v>
      </c>
      <c r="AC36" s="4">
        <v>32.9</v>
      </c>
      <c r="AD36" s="4">
        <v>5.7</v>
      </c>
      <c r="AE36" s="4">
        <v>10.199999999999999</v>
      </c>
    </row>
    <row r="37" spans="1:31" x14ac:dyDescent="0.25">
      <c r="A37" s="1" t="s">
        <v>277</v>
      </c>
      <c r="B37" s="1" t="s">
        <v>32</v>
      </c>
      <c r="C37" s="10">
        <v>43047</v>
      </c>
      <c r="D37" s="3">
        <v>60</v>
      </c>
      <c r="E37" s="4">
        <v>4379.6629133858269</v>
      </c>
      <c r="F37" s="7">
        <v>28.97</v>
      </c>
      <c r="G37" s="7">
        <v>387</v>
      </c>
      <c r="H37" s="7">
        <v>358.03</v>
      </c>
      <c r="I37" s="7">
        <v>335.06</v>
      </c>
      <c r="J37" s="5">
        <v>6.4156634918861482</v>
      </c>
      <c r="K37" s="4">
        <v>4098.6784787840552</v>
      </c>
      <c r="L37" s="10">
        <v>43054</v>
      </c>
      <c r="M37" s="7">
        <v>26.2</v>
      </c>
      <c r="N37" s="7">
        <v>9.620000000000001</v>
      </c>
      <c r="O37" s="7">
        <v>17.5</v>
      </c>
      <c r="P37" s="6">
        <v>0.35536547433903581</v>
      </c>
      <c r="Q37" s="6">
        <v>0.48444790046656305</v>
      </c>
      <c r="R37" s="6">
        <v>0.16018662519440119</v>
      </c>
      <c r="S37" s="4">
        <v>1556.3809886604379</v>
      </c>
      <c r="T37" s="4">
        <v>2121.7185031410345</v>
      </c>
      <c r="U37" s="4">
        <v>3678.0994918014721</v>
      </c>
      <c r="V37" s="4">
        <v>1456.5288217762934</v>
      </c>
      <c r="W37" s="4">
        <v>1985.5961837344221</v>
      </c>
      <c r="X37" s="4">
        <v>3442.1250055107157</v>
      </c>
      <c r="Y37" s="10">
        <v>43077</v>
      </c>
      <c r="Z37" s="12">
        <v>45</v>
      </c>
      <c r="AA37" s="5">
        <v>1.17</v>
      </c>
      <c r="AB37" s="4">
        <v>81.599999999999994</v>
      </c>
      <c r="AC37" s="4">
        <v>32.700000000000003</v>
      </c>
      <c r="AD37" s="4">
        <v>6.1</v>
      </c>
      <c r="AE37" s="4">
        <v>8.8000000000000007</v>
      </c>
    </row>
    <row r="38" spans="1:31" x14ac:dyDescent="0.25">
      <c r="A38" s="1" t="s">
        <v>278</v>
      </c>
      <c r="B38" s="1" t="s">
        <v>32</v>
      </c>
      <c r="C38" s="10">
        <v>43047</v>
      </c>
      <c r="D38" s="3">
        <v>60.5</v>
      </c>
      <c r="E38" s="4">
        <v>4416.8669816272968</v>
      </c>
      <c r="F38" s="7">
        <v>28.950000000000003</v>
      </c>
      <c r="G38" s="7">
        <v>433.71000000000004</v>
      </c>
      <c r="H38" s="7">
        <v>404.76000000000005</v>
      </c>
      <c r="I38" s="7">
        <v>379.93</v>
      </c>
      <c r="J38" s="5">
        <v>6.1344994564680402</v>
      </c>
      <c r="K38" s="4">
        <v>4145.9143006464537</v>
      </c>
      <c r="L38" s="10">
        <v>43054</v>
      </c>
      <c r="M38" s="7">
        <v>26.330000000000002</v>
      </c>
      <c r="N38" s="7">
        <v>9.84</v>
      </c>
      <c r="O38" s="7">
        <v>17.52</v>
      </c>
      <c r="P38" s="6">
        <v>0.36208897485493224</v>
      </c>
      <c r="Q38" s="6">
        <v>0.48278529980657642</v>
      </c>
      <c r="R38" s="6">
        <v>0.15512572533849128</v>
      </c>
      <c r="S38" s="4">
        <v>1599.2988374480267</v>
      </c>
      <c r="T38" s="4">
        <v>2132.3984499307026</v>
      </c>
      <c r="U38" s="4">
        <v>3731.697287378729</v>
      </c>
      <c r="V38" s="4">
        <v>1501.1898589574778</v>
      </c>
      <c r="W38" s="4">
        <v>2001.5864786099708</v>
      </c>
      <c r="X38" s="4">
        <v>3502.7763375674485</v>
      </c>
      <c r="Y38" s="10">
        <v>43077</v>
      </c>
      <c r="Z38" s="12">
        <v>47</v>
      </c>
      <c r="AA38" s="5">
        <v>1.1200000000000001</v>
      </c>
      <c r="AB38" s="4">
        <v>80.2</v>
      </c>
      <c r="AC38" s="4">
        <v>29.7</v>
      </c>
      <c r="AD38" s="4">
        <v>6</v>
      </c>
      <c r="AE38" s="4">
        <v>10.5</v>
      </c>
    </row>
    <row r="39" spans="1:31" x14ac:dyDescent="0.25">
      <c r="A39" s="1" t="s">
        <v>279</v>
      </c>
      <c r="B39" s="1" t="s">
        <v>32</v>
      </c>
      <c r="C39" s="10">
        <v>43047</v>
      </c>
      <c r="D39" s="3">
        <v>58.1</v>
      </c>
      <c r="E39" s="4">
        <v>4238.2874540682415</v>
      </c>
      <c r="F39" s="7">
        <v>29.169999999999998</v>
      </c>
      <c r="G39" s="7">
        <v>552.85</v>
      </c>
      <c r="H39" s="7">
        <v>523.68000000000006</v>
      </c>
      <c r="I39" s="7">
        <v>492.76</v>
      </c>
      <c r="J39" s="5">
        <v>5.904369080354428</v>
      </c>
      <c r="K39" s="4">
        <v>3988.043320093695</v>
      </c>
      <c r="L39" s="10">
        <v>43054</v>
      </c>
      <c r="M39" s="7">
        <v>25.25</v>
      </c>
      <c r="N39" s="7">
        <v>9.0799999999999983</v>
      </c>
      <c r="O39" s="7">
        <v>17.04</v>
      </c>
      <c r="P39" s="6">
        <v>0.34719418651594663</v>
      </c>
      <c r="Q39" s="6">
        <v>0.48445700444085588</v>
      </c>
      <c r="R39" s="6">
        <v>0.16834880904319743</v>
      </c>
      <c r="S39" s="4">
        <v>1471.5087648359656</v>
      </c>
      <c r="T39" s="4">
        <v>2053.2680439571618</v>
      </c>
      <c r="U39" s="4">
        <v>3524.7768087931272</v>
      </c>
      <c r="V39" s="4">
        <v>1384.6254563102855</v>
      </c>
      <c r="W39" s="4">
        <v>1932.0355204329569</v>
      </c>
      <c r="X39" s="4">
        <v>3316.6609767432424</v>
      </c>
      <c r="Y39" s="10">
        <v>43077</v>
      </c>
      <c r="Z39" s="12">
        <v>43</v>
      </c>
      <c r="AA39" s="5">
        <v>1.1499999999999999</v>
      </c>
      <c r="AB39" s="4">
        <v>80.8</v>
      </c>
      <c r="AC39" s="4">
        <v>32.6</v>
      </c>
      <c r="AD39" s="4">
        <v>6.1</v>
      </c>
      <c r="AE39" s="4">
        <v>9.5</v>
      </c>
    </row>
    <row r="40" spans="1:31" x14ac:dyDescent="0.25">
      <c r="A40" s="1" t="s">
        <v>280</v>
      </c>
      <c r="B40" s="1" t="s">
        <v>32</v>
      </c>
      <c r="C40" s="10">
        <v>43047</v>
      </c>
      <c r="D40" s="3">
        <v>54.5</v>
      </c>
      <c r="E40" s="4">
        <v>3970.4181627296584</v>
      </c>
      <c r="F40" s="7">
        <v>29.01</v>
      </c>
      <c r="G40" s="7">
        <v>563.25</v>
      </c>
      <c r="H40" s="7">
        <v>534.24</v>
      </c>
      <c r="I40" s="7">
        <v>499.45</v>
      </c>
      <c r="J40" s="5">
        <v>6.5120545073375293</v>
      </c>
      <c r="K40" s="4">
        <v>3711.8623678034737</v>
      </c>
      <c r="L40" s="10">
        <v>43054</v>
      </c>
      <c r="M40" s="7">
        <v>23.54</v>
      </c>
      <c r="N40" s="7">
        <v>8.379999999999999</v>
      </c>
      <c r="O40" s="7">
        <v>15.940000000000001</v>
      </c>
      <c r="P40" s="6">
        <v>0.34258456201214221</v>
      </c>
      <c r="Q40" s="6">
        <v>0.47267996530789258</v>
      </c>
      <c r="R40" s="6">
        <v>0.18473547267996526</v>
      </c>
      <c r="S40" s="4">
        <v>1360.2039672837943</v>
      </c>
      <c r="T40" s="4">
        <v>1876.7371194168816</v>
      </c>
      <c r="U40" s="4">
        <v>3236.9410867006759</v>
      </c>
      <c r="V40" s="4">
        <v>1271.6267435233062</v>
      </c>
      <c r="W40" s="4">
        <v>1754.522975241018</v>
      </c>
      <c r="X40" s="4">
        <v>3026.1497187643245</v>
      </c>
      <c r="Y40" s="10">
        <v>43077</v>
      </c>
      <c r="Z40" s="12">
        <v>38</v>
      </c>
      <c r="AA40" s="5">
        <v>1.1399999999999999</v>
      </c>
      <c r="AB40" s="4">
        <v>80.2</v>
      </c>
      <c r="AC40" s="4">
        <v>30.3</v>
      </c>
      <c r="AD40" s="4">
        <v>5.7</v>
      </c>
      <c r="AE40" s="4">
        <v>10.199999999999999</v>
      </c>
    </row>
    <row r="41" spans="1:31" x14ac:dyDescent="0.25">
      <c r="A41" s="1" t="s">
        <v>281</v>
      </c>
      <c r="B41" s="1" t="s">
        <v>32</v>
      </c>
      <c r="C41" s="10">
        <v>43047</v>
      </c>
      <c r="D41" s="3">
        <v>61.599999999999994</v>
      </c>
      <c r="E41" s="4">
        <v>4498.7159317585292</v>
      </c>
      <c r="F41" s="7">
        <v>29.009999999999998</v>
      </c>
      <c r="G41" s="7">
        <v>622.42000000000007</v>
      </c>
      <c r="H41" s="7">
        <v>593.41000000000008</v>
      </c>
      <c r="I41" s="7">
        <v>558.39</v>
      </c>
      <c r="J41" s="5">
        <v>5.9014846396252327</v>
      </c>
      <c r="K41" s="4">
        <v>4233.2249020654262</v>
      </c>
      <c r="L41" s="10">
        <v>43054</v>
      </c>
      <c r="M41" s="7">
        <v>26.830000000000002</v>
      </c>
      <c r="N41" s="7">
        <v>9.9</v>
      </c>
      <c r="O41" s="7">
        <v>17.739999999999998</v>
      </c>
      <c r="P41" s="6">
        <v>0.35749525616698291</v>
      </c>
      <c r="Q41" s="6">
        <v>0.48197343453510433</v>
      </c>
      <c r="R41" s="6">
        <v>0.16053130929791282</v>
      </c>
      <c r="S41" s="4">
        <v>1608.2696044465026</v>
      </c>
      <c r="T41" s="4">
        <v>2168.2615686274503</v>
      </c>
      <c r="U41" s="4">
        <v>3776.5311730739531</v>
      </c>
      <c r="V41" s="4">
        <v>1513.3578207763308</v>
      </c>
      <c r="W41" s="4">
        <v>2040.3019452080041</v>
      </c>
      <c r="X41" s="4">
        <v>3553.6597659843346</v>
      </c>
      <c r="Y41" s="10">
        <v>43077</v>
      </c>
      <c r="Z41" s="12">
        <v>46</v>
      </c>
      <c r="AA41" s="5">
        <v>1.1499999999999999</v>
      </c>
      <c r="AB41" s="4">
        <v>80.5</v>
      </c>
      <c r="AC41" s="4">
        <v>30.7</v>
      </c>
      <c r="AD41" s="4">
        <v>6</v>
      </c>
      <c r="AE41" s="4">
        <v>10</v>
      </c>
    </row>
    <row r="42" spans="1:31" x14ac:dyDescent="0.25">
      <c r="A42" s="1" t="s">
        <v>282</v>
      </c>
      <c r="B42" s="1" t="s">
        <v>32</v>
      </c>
      <c r="C42" s="10">
        <v>43047</v>
      </c>
      <c r="D42" s="3">
        <v>58.3</v>
      </c>
      <c r="E42" s="4">
        <v>4253.1690813648293</v>
      </c>
      <c r="F42" s="7">
        <v>28.98</v>
      </c>
      <c r="G42" s="7">
        <v>716.66000000000008</v>
      </c>
      <c r="H42" s="7">
        <v>687.68000000000006</v>
      </c>
      <c r="I42" s="7">
        <v>651.94999999999993</v>
      </c>
      <c r="J42" s="5">
        <v>5.1957305723592553</v>
      </c>
      <c r="K42" s="4">
        <v>4032.1858751102254</v>
      </c>
      <c r="L42" s="10">
        <v>43054</v>
      </c>
      <c r="M42" s="7">
        <v>25.18</v>
      </c>
      <c r="N42" s="7">
        <v>9.42</v>
      </c>
      <c r="O42" s="7">
        <v>17.04</v>
      </c>
      <c r="P42" s="6">
        <v>0.36194331983805667</v>
      </c>
      <c r="Q42" s="6">
        <v>0.48582995951417007</v>
      </c>
      <c r="R42" s="6">
        <v>0.15222672064777332</v>
      </c>
      <c r="S42" s="4">
        <v>1539.406137141764</v>
      </c>
      <c r="T42" s="4">
        <v>2066.316962606395</v>
      </c>
      <c r="U42" s="4">
        <v>3605.7230997481593</v>
      </c>
      <c r="V42" s="4">
        <v>1459.4227418415148</v>
      </c>
      <c r="W42" s="4">
        <v>1958.9567004584092</v>
      </c>
      <c r="X42" s="4">
        <v>3418.379442299924</v>
      </c>
      <c r="Y42" s="10">
        <v>43077</v>
      </c>
      <c r="Z42" s="12">
        <v>48</v>
      </c>
      <c r="AA42" s="5">
        <v>1.0900000000000001</v>
      </c>
      <c r="AB42" s="4">
        <v>79.7</v>
      </c>
      <c r="AC42" s="4">
        <v>29.2</v>
      </c>
      <c r="AD42" s="4">
        <v>5.8</v>
      </c>
      <c r="AE42" s="4">
        <v>10.8</v>
      </c>
    </row>
    <row r="43" spans="1:31" x14ac:dyDescent="0.25">
      <c r="A43" s="1" t="s">
        <v>283</v>
      </c>
      <c r="B43" s="1" t="s">
        <v>32</v>
      </c>
      <c r="C43" s="10">
        <v>43047</v>
      </c>
      <c r="D43" s="3">
        <v>63</v>
      </c>
      <c r="E43" s="4">
        <v>4602.8873228346456</v>
      </c>
      <c r="F43" s="7">
        <v>29.18</v>
      </c>
      <c r="G43" s="7">
        <v>526.69000000000005</v>
      </c>
      <c r="H43" s="7">
        <v>497.51000000000005</v>
      </c>
      <c r="I43" s="7">
        <v>468.75</v>
      </c>
      <c r="J43" s="5">
        <v>5.7807883258628063</v>
      </c>
      <c r="K43" s="4">
        <v>4336.8041498236016</v>
      </c>
      <c r="L43" s="10">
        <v>43054</v>
      </c>
      <c r="M43" s="7">
        <v>27.599999999999998</v>
      </c>
      <c r="N43" s="7">
        <v>10.039999999999999</v>
      </c>
      <c r="O43" s="7">
        <v>18</v>
      </c>
      <c r="P43" s="6">
        <v>0.35250737463126841</v>
      </c>
      <c r="Q43" s="6">
        <v>0.47787610619469034</v>
      </c>
      <c r="R43" s="6">
        <v>0.1696165191740413</v>
      </c>
      <c r="S43" s="4">
        <v>1622.5517258959885</v>
      </c>
      <c r="T43" s="4">
        <v>2199.6098710891229</v>
      </c>
      <c r="U43" s="4">
        <v>3822.1615969851114</v>
      </c>
      <c r="V43" s="4">
        <v>1528.7554451443079</v>
      </c>
      <c r="W43" s="4">
        <v>2072.4550804466771</v>
      </c>
      <c r="X43" s="4">
        <v>3601.2105255909851</v>
      </c>
      <c r="Y43" s="10">
        <v>43077</v>
      </c>
      <c r="Z43" s="12">
        <v>44</v>
      </c>
      <c r="AA43" s="5">
        <v>1.1100000000000001</v>
      </c>
      <c r="AB43" s="4">
        <v>80.8</v>
      </c>
      <c r="AC43" s="4">
        <v>31.6</v>
      </c>
      <c r="AD43" s="4">
        <v>6.2</v>
      </c>
      <c r="AE43" s="4">
        <v>10.3</v>
      </c>
    </row>
    <row r="44" spans="1:31" x14ac:dyDescent="0.25">
      <c r="A44" s="1" t="s">
        <v>284</v>
      </c>
      <c r="B44" s="1" t="s">
        <v>32</v>
      </c>
      <c r="C44" s="10">
        <v>43047</v>
      </c>
      <c r="D44" s="3">
        <v>52.5</v>
      </c>
      <c r="E44" s="4">
        <v>3821.6018897637791</v>
      </c>
      <c r="F44" s="7">
        <v>29.13</v>
      </c>
      <c r="G44" s="7">
        <v>488.70000000000005</v>
      </c>
      <c r="H44" s="7">
        <v>459.57000000000005</v>
      </c>
      <c r="I44" s="7">
        <v>433.82</v>
      </c>
      <c r="J44" s="5">
        <v>5.6030637334900133</v>
      </c>
      <c r="K44" s="4">
        <v>3607.4751002400558</v>
      </c>
      <c r="L44" s="10">
        <v>43054</v>
      </c>
      <c r="M44" s="7">
        <v>22.91</v>
      </c>
      <c r="N44" s="7">
        <v>8.2200000000000006</v>
      </c>
      <c r="O44" s="7">
        <v>15.84</v>
      </c>
      <c r="P44" s="6">
        <v>0.34507356219349089</v>
      </c>
      <c r="Q44" s="6">
        <v>0.48149799375835939</v>
      </c>
      <c r="R44" s="6">
        <v>0.17342844404814978</v>
      </c>
      <c r="S44" s="4">
        <v>1318.7337773861639</v>
      </c>
      <c r="T44" s="4">
        <v>1840.0936428644145</v>
      </c>
      <c r="U44" s="4">
        <v>3158.8274202505781</v>
      </c>
      <c r="V44" s="4">
        <v>1244.8442833641566</v>
      </c>
      <c r="W44" s="4">
        <v>1736.9920232988234</v>
      </c>
      <c r="X44" s="4">
        <v>2981.83630666298</v>
      </c>
      <c r="Y44" s="10">
        <v>43077</v>
      </c>
      <c r="Z44" s="12">
        <v>43</v>
      </c>
      <c r="AA44" s="5">
        <v>1.0900000000000001</v>
      </c>
      <c r="AB44" s="4">
        <v>78.900000000000006</v>
      </c>
      <c r="AC44" s="4">
        <v>32</v>
      </c>
      <c r="AD44" s="4">
        <v>6.2</v>
      </c>
      <c r="AE44" s="4">
        <v>11.4</v>
      </c>
    </row>
    <row r="45" spans="1:31" x14ac:dyDescent="0.25">
      <c r="A45" s="1" t="s">
        <v>285</v>
      </c>
      <c r="B45" s="1" t="s">
        <v>32</v>
      </c>
      <c r="C45" s="10">
        <v>43047</v>
      </c>
      <c r="D45" s="3">
        <v>36.799999999999997</v>
      </c>
      <c r="E45" s="4">
        <v>2653.3941469816273</v>
      </c>
      <c r="F45" s="7">
        <v>29.11</v>
      </c>
      <c r="G45" s="7">
        <v>535.31000000000006</v>
      </c>
      <c r="H45" s="7">
        <v>506.20000000000005</v>
      </c>
      <c r="I45" s="7">
        <v>480.18</v>
      </c>
      <c r="J45" s="5">
        <v>5.140260766495464</v>
      </c>
      <c r="K45" s="4">
        <v>2517.0027686638437</v>
      </c>
      <c r="L45" s="10">
        <v>43054</v>
      </c>
      <c r="M45" s="7">
        <v>15.86</v>
      </c>
      <c r="N45" s="7">
        <v>5.8</v>
      </c>
      <c r="O45" s="7">
        <v>12.52</v>
      </c>
      <c r="P45" s="6">
        <v>0.34590377113133947</v>
      </c>
      <c r="Q45" s="6">
        <v>0.48634590377113135</v>
      </c>
      <c r="R45" s="6">
        <v>0.16775032509752913</v>
      </c>
      <c r="S45" s="4">
        <v>917.81904173876853</v>
      </c>
      <c r="T45" s="4">
        <v>1290.4673744748097</v>
      </c>
      <c r="U45" s="4">
        <v>2208.2864162135784</v>
      </c>
      <c r="V45" s="4">
        <v>870.64074962884592</v>
      </c>
      <c r="W45" s="4">
        <v>1224.1339863202568</v>
      </c>
      <c r="X45" s="4">
        <v>2094.7747359491027</v>
      </c>
      <c r="Y45" s="10">
        <v>43077</v>
      </c>
      <c r="Z45" s="12">
        <v>48</v>
      </c>
      <c r="AA45" s="5">
        <v>1.07</v>
      </c>
      <c r="AB45" s="4">
        <v>80.099999999999994</v>
      </c>
      <c r="AC45" s="4">
        <v>29.4</v>
      </c>
      <c r="AD45" s="4">
        <v>5.8</v>
      </c>
      <c r="AE45" s="4">
        <v>10.5</v>
      </c>
    </row>
    <row r="46" spans="1:31" x14ac:dyDescent="0.25">
      <c r="A46" s="1" t="s">
        <v>286</v>
      </c>
      <c r="B46" s="1" t="s">
        <v>32</v>
      </c>
      <c r="C46" s="10">
        <v>43047</v>
      </c>
      <c r="D46" s="3">
        <v>44.4</v>
      </c>
      <c r="E46" s="4">
        <v>3218.895984251968</v>
      </c>
      <c r="F46" s="7">
        <v>29.1</v>
      </c>
      <c r="G46" s="7">
        <v>658.81000000000006</v>
      </c>
      <c r="H46" s="7">
        <v>629.71</v>
      </c>
      <c r="I46" s="7">
        <v>595.29</v>
      </c>
      <c r="J46" s="5">
        <v>5.4660081624875057</v>
      </c>
      <c r="K46" s="4">
        <v>3042.950867010773</v>
      </c>
      <c r="L46" s="10">
        <v>43054</v>
      </c>
      <c r="M46" s="7">
        <v>19.2</v>
      </c>
      <c r="N46" s="7">
        <v>7</v>
      </c>
      <c r="O46" s="7">
        <v>14.14</v>
      </c>
      <c r="P46" s="6">
        <v>0.34829059829059827</v>
      </c>
      <c r="Q46" s="6">
        <v>0.48611111111111122</v>
      </c>
      <c r="R46" s="6">
        <v>0.16559829059829051</v>
      </c>
      <c r="S46" s="4">
        <v>1121.111208190322</v>
      </c>
      <c r="T46" s="4">
        <v>1564.7411034558181</v>
      </c>
      <c r="U46" s="4">
        <v>2685.8523116461402</v>
      </c>
      <c r="V46" s="4">
        <v>1059.8311780400768</v>
      </c>
      <c r="W46" s="4">
        <v>1479.212227019126</v>
      </c>
      <c r="X46" s="4">
        <v>2539.043405059203</v>
      </c>
      <c r="Y46" s="10">
        <v>43077</v>
      </c>
      <c r="Z46" s="12">
        <v>45</v>
      </c>
      <c r="AA46" s="5">
        <v>1.08</v>
      </c>
      <c r="AB46" s="4">
        <v>79.400000000000006</v>
      </c>
      <c r="AC46" s="4">
        <v>31.2</v>
      </c>
      <c r="AD46" s="4">
        <v>5.9</v>
      </c>
      <c r="AE46" s="4">
        <v>11.2</v>
      </c>
    </row>
    <row r="47" spans="1:31" x14ac:dyDescent="0.25">
      <c r="A47" s="1" t="s">
        <v>287</v>
      </c>
      <c r="B47" s="1" t="s">
        <v>32</v>
      </c>
      <c r="C47" s="10">
        <v>43047</v>
      </c>
      <c r="D47" s="3">
        <v>42.6</v>
      </c>
      <c r="E47" s="4">
        <v>3084.9613385826769</v>
      </c>
      <c r="F47" s="7">
        <v>29.11</v>
      </c>
      <c r="G47" s="7">
        <v>453.88</v>
      </c>
      <c r="H47" s="7">
        <v>424.77</v>
      </c>
      <c r="I47" s="7">
        <v>399.8</v>
      </c>
      <c r="J47" s="5">
        <v>5.8784754102219958</v>
      </c>
      <c r="K47" s="4">
        <v>2903.6126448792388</v>
      </c>
      <c r="L47" s="10">
        <v>43054</v>
      </c>
      <c r="M47" s="7">
        <v>18.52</v>
      </c>
      <c r="N47" s="7">
        <v>6.42</v>
      </c>
      <c r="O47" s="7">
        <v>13.639999999999999</v>
      </c>
      <c r="P47" s="6">
        <v>0.32926829268292684</v>
      </c>
      <c r="Q47" s="6">
        <v>0.47671840354767175</v>
      </c>
      <c r="R47" s="6">
        <v>0.19401330376940135</v>
      </c>
      <c r="S47" s="4">
        <v>1015.7799529479546</v>
      </c>
      <c r="T47" s="4">
        <v>1470.6578443354222</v>
      </c>
      <c r="U47" s="4">
        <v>2486.4377972833768</v>
      </c>
      <c r="V47" s="4">
        <v>956.06757819194456</v>
      </c>
      <c r="W47" s="4">
        <v>1384.2055845876635</v>
      </c>
      <c r="X47" s="4">
        <v>2340.2731627796079</v>
      </c>
      <c r="Y47" s="10">
        <v>43077</v>
      </c>
      <c r="Z47" s="12">
        <v>39</v>
      </c>
      <c r="AA47" s="5">
        <v>1.1399999999999999</v>
      </c>
      <c r="AB47" s="4">
        <v>79.3</v>
      </c>
      <c r="AC47" s="4">
        <v>32.200000000000003</v>
      </c>
      <c r="AD47" s="4">
        <v>6.2</v>
      </c>
      <c r="AE47" s="4">
        <v>10.5</v>
      </c>
    </row>
    <row r="48" spans="1:31" x14ac:dyDescent="0.25">
      <c r="A48" s="1" t="s">
        <v>288</v>
      </c>
      <c r="B48" s="1" t="s">
        <v>32</v>
      </c>
      <c r="C48" s="10">
        <v>43047</v>
      </c>
      <c r="D48" s="3">
        <v>49.8</v>
      </c>
      <c r="E48" s="4">
        <v>3620.6999212598421</v>
      </c>
      <c r="F48" s="7">
        <v>29.1</v>
      </c>
      <c r="G48" s="7">
        <v>411.55999999999995</v>
      </c>
      <c r="H48" s="7">
        <v>382.45999999999992</v>
      </c>
      <c r="I48" s="7">
        <v>362.11</v>
      </c>
      <c r="J48" s="5">
        <v>5.320817863305944</v>
      </c>
      <c r="K48" s="4">
        <v>3428.0490730727438</v>
      </c>
      <c r="L48" s="10">
        <v>43054</v>
      </c>
      <c r="M48" s="7">
        <v>21.86</v>
      </c>
      <c r="N48" s="7">
        <v>7.6999999999999993</v>
      </c>
      <c r="O48" s="7">
        <v>15.239999999999998</v>
      </c>
      <c r="P48" s="6">
        <v>0.33769878391019642</v>
      </c>
      <c r="Q48" s="6">
        <v>0.47708138447146864</v>
      </c>
      <c r="R48" s="6">
        <v>0.185219831618335</v>
      </c>
      <c r="S48" s="4">
        <v>1222.7059603131927</v>
      </c>
      <c r="T48" s="4">
        <v>1727.368531190383</v>
      </c>
      <c r="U48" s="4">
        <v>2950.0744915035757</v>
      </c>
      <c r="V48" s="4">
        <v>1157.6480031611416</v>
      </c>
      <c r="W48" s="4">
        <v>1635.4583978176793</v>
      </c>
      <c r="X48" s="4">
        <v>2793.1064009788206</v>
      </c>
      <c r="Y48" s="10">
        <v>43077</v>
      </c>
      <c r="Z48" s="12">
        <v>39</v>
      </c>
      <c r="AA48" s="5">
        <v>1.1299999999999999</v>
      </c>
      <c r="AB48" s="4">
        <v>81.099999999999994</v>
      </c>
      <c r="AC48" s="4">
        <v>32.200000000000003</v>
      </c>
      <c r="AD48" s="4">
        <v>6</v>
      </c>
      <c r="AE48" s="4">
        <v>9.6999999999999993</v>
      </c>
    </row>
    <row r="49" spans="1:31" x14ac:dyDescent="0.25">
      <c r="A49" s="1" t="s">
        <v>289</v>
      </c>
      <c r="B49" s="1" t="s">
        <v>32</v>
      </c>
      <c r="C49" s="10">
        <v>43047</v>
      </c>
      <c r="D49" s="3">
        <v>54.7</v>
      </c>
      <c r="E49" s="4">
        <v>3985.2997900262467</v>
      </c>
      <c r="F49" s="7">
        <v>29.14</v>
      </c>
      <c r="G49" s="7">
        <v>465.98</v>
      </c>
      <c r="H49" s="7">
        <v>436.84000000000003</v>
      </c>
      <c r="I49" s="7">
        <v>414.61</v>
      </c>
      <c r="J49" s="5">
        <v>5.0888197051552089</v>
      </c>
      <c r="K49" s="4">
        <v>3782.4950690018818</v>
      </c>
      <c r="L49" s="10">
        <v>43054</v>
      </c>
      <c r="M49" s="7">
        <v>24</v>
      </c>
      <c r="N49" s="7">
        <v>8.86</v>
      </c>
      <c r="O49" s="7">
        <v>16.3</v>
      </c>
      <c r="P49" s="6">
        <v>0.3562925170068027</v>
      </c>
      <c r="Q49" s="6">
        <v>0.47874149659863952</v>
      </c>
      <c r="R49" s="6">
        <v>0.16496598639455773</v>
      </c>
      <c r="S49" s="4">
        <v>1419.9324932151337</v>
      </c>
      <c r="T49" s="4">
        <v>1907.9283858714091</v>
      </c>
      <c r="U49" s="4">
        <v>3327.8608790865428</v>
      </c>
      <c r="V49" s="4">
        <v>1347.6746887005004</v>
      </c>
      <c r="W49" s="4">
        <v>1810.837350210935</v>
      </c>
      <c r="X49" s="4">
        <v>3158.5120389114354</v>
      </c>
      <c r="Y49" s="10">
        <v>43077</v>
      </c>
      <c r="Z49" s="12">
        <v>49</v>
      </c>
      <c r="AA49" s="5">
        <v>1.1200000000000001</v>
      </c>
      <c r="AB49" s="4">
        <v>79.8</v>
      </c>
      <c r="AC49" s="4">
        <v>30.6</v>
      </c>
      <c r="AD49" s="4">
        <v>5.8</v>
      </c>
      <c r="AE49" s="4">
        <v>10.5</v>
      </c>
    </row>
    <row r="50" spans="1:31" x14ac:dyDescent="0.25">
      <c r="A50" s="1" t="s">
        <v>290</v>
      </c>
      <c r="B50" s="1" t="s">
        <v>32</v>
      </c>
      <c r="C50" s="10">
        <v>43047</v>
      </c>
      <c r="D50" s="3">
        <v>49.5</v>
      </c>
      <c r="E50" s="4">
        <v>3598.3774803149604</v>
      </c>
      <c r="F50" s="7">
        <v>29.14</v>
      </c>
      <c r="G50" s="7">
        <v>497.96000000000004</v>
      </c>
      <c r="H50" s="7">
        <v>468.82000000000005</v>
      </c>
      <c r="I50" s="7">
        <v>445.25</v>
      </c>
      <c r="J50" s="5">
        <v>5.0275158909602933</v>
      </c>
      <c r="K50" s="4">
        <v>3417.4684806753894</v>
      </c>
      <c r="L50" s="10">
        <v>43054</v>
      </c>
      <c r="M50" s="7">
        <v>21.66</v>
      </c>
      <c r="N50" s="7">
        <v>8</v>
      </c>
      <c r="O50" s="7">
        <v>15.32</v>
      </c>
      <c r="P50" s="6">
        <v>0.35505193578847966</v>
      </c>
      <c r="Q50" s="6">
        <v>0.48536355051935792</v>
      </c>
      <c r="R50" s="6">
        <v>0.15958451369216248</v>
      </c>
      <c r="S50" s="4">
        <v>1277.6108900834986</v>
      </c>
      <c r="T50" s="4">
        <v>1746.5212699545702</v>
      </c>
      <c r="U50" s="4">
        <v>3024.1321600380688</v>
      </c>
      <c r="V50" s="4">
        <v>1213.3787995599114</v>
      </c>
      <c r="W50" s="4">
        <v>1658.7146355686027</v>
      </c>
      <c r="X50" s="4">
        <v>2872.0934351285141</v>
      </c>
      <c r="Y50" s="10">
        <v>43077</v>
      </c>
      <c r="Z50" s="12">
        <v>49</v>
      </c>
      <c r="AA50" s="5">
        <v>1.04</v>
      </c>
      <c r="AB50" s="4">
        <v>79.099999999999994</v>
      </c>
      <c r="AC50" s="4">
        <v>28.9</v>
      </c>
      <c r="AD50" s="4">
        <v>6.1</v>
      </c>
      <c r="AE50" s="4">
        <v>11.8</v>
      </c>
    </row>
    <row r="51" spans="1:31" x14ac:dyDescent="0.25">
      <c r="A51" s="1" t="s">
        <v>292</v>
      </c>
      <c r="B51" s="1" t="s">
        <v>32</v>
      </c>
      <c r="C51" s="10">
        <v>43047</v>
      </c>
      <c r="D51" s="3">
        <v>64.300000000000011</v>
      </c>
      <c r="E51" s="4">
        <v>4699.6179002624676</v>
      </c>
      <c r="F51" s="7">
        <v>29.190000000000005</v>
      </c>
      <c r="G51" s="7">
        <v>554.48</v>
      </c>
      <c r="H51" s="7">
        <v>525.29</v>
      </c>
      <c r="I51" s="7">
        <v>494.25</v>
      </c>
      <c r="J51" s="5">
        <v>5.9091168687772404</v>
      </c>
      <c r="K51" s="4">
        <v>4421.911986149983</v>
      </c>
      <c r="L51" s="10">
        <v>43054</v>
      </c>
      <c r="M51" s="7">
        <v>28.11</v>
      </c>
      <c r="N51" s="7">
        <v>10.039999999999999</v>
      </c>
      <c r="O51" s="7">
        <v>18.22</v>
      </c>
      <c r="P51" s="6">
        <v>0.3460007238508867</v>
      </c>
      <c r="Q51" s="6">
        <v>0.47701773434672456</v>
      </c>
      <c r="R51" s="6">
        <v>0.17698154180238879</v>
      </c>
      <c r="S51" s="4">
        <v>1626.071195313398</v>
      </c>
      <c r="T51" s="4">
        <v>2241.8010830785133</v>
      </c>
      <c r="U51" s="4">
        <v>3867.8722783919111</v>
      </c>
      <c r="V51" s="4">
        <v>1529.9847480128062</v>
      </c>
      <c r="W51" s="4">
        <v>2109.3304371138897</v>
      </c>
      <c r="X51" s="4">
        <v>3639.3151851266957</v>
      </c>
      <c r="Y51" s="10">
        <v>43077</v>
      </c>
      <c r="Z51" s="12">
        <v>43</v>
      </c>
      <c r="AA51" s="5">
        <v>1.0900000000000001</v>
      </c>
      <c r="AB51" s="4">
        <v>79.3</v>
      </c>
      <c r="AC51" s="4">
        <v>30.7</v>
      </c>
      <c r="AD51" s="4">
        <v>6.2</v>
      </c>
      <c r="AE51" s="4">
        <v>10.9</v>
      </c>
    </row>
    <row r="52" spans="1:31" x14ac:dyDescent="0.25">
      <c r="A52" s="1" t="s">
        <v>293</v>
      </c>
      <c r="B52" s="1" t="s">
        <v>32</v>
      </c>
      <c r="C52" s="10">
        <v>43047</v>
      </c>
      <c r="D52" s="3">
        <v>56.4</v>
      </c>
      <c r="E52" s="4">
        <v>4111.7936220472438</v>
      </c>
      <c r="F52" s="7">
        <v>29.139999999999997</v>
      </c>
      <c r="G52" s="7">
        <v>437.70999999999992</v>
      </c>
      <c r="H52" s="7">
        <v>408.56999999999994</v>
      </c>
      <c r="I52" s="7">
        <v>387.20000000000005</v>
      </c>
      <c r="J52" s="5">
        <v>5.2304378686638504</v>
      </c>
      <c r="K52" s="4">
        <v>3896.72881135838</v>
      </c>
      <c r="L52" s="10">
        <v>43054</v>
      </c>
      <c r="M52" s="7">
        <v>24.66</v>
      </c>
      <c r="N52" s="7">
        <v>8.7399999999999984</v>
      </c>
      <c r="O52" s="7">
        <v>16.560000000000002</v>
      </c>
      <c r="P52" s="6">
        <v>0.34160463192721252</v>
      </c>
      <c r="Q52" s="6">
        <v>0.47642679900744428</v>
      </c>
      <c r="R52" s="6">
        <v>0.18196856906534314</v>
      </c>
      <c r="S52" s="4">
        <v>1404.6077468201088</v>
      </c>
      <c r="T52" s="4">
        <v>1958.9686735311936</v>
      </c>
      <c r="U52" s="4">
        <v>3363.5764203513027</v>
      </c>
      <c r="V52" s="4">
        <v>1331.1406113242438</v>
      </c>
      <c r="W52" s="4">
        <v>1856.5060341955561</v>
      </c>
      <c r="X52" s="4">
        <v>3187.6466455197997</v>
      </c>
      <c r="Y52" s="10">
        <v>43077</v>
      </c>
      <c r="Z52" s="12">
        <v>41</v>
      </c>
      <c r="AA52" s="5">
        <v>1.1100000000000001</v>
      </c>
      <c r="AB52" s="4">
        <v>79.400000000000006</v>
      </c>
      <c r="AC52" s="4">
        <v>30.7</v>
      </c>
      <c r="AD52" s="4">
        <v>5.9</v>
      </c>
      <c r="AE52" s="4">
        <v>11.3</v>
      </c>
    </row>
    <row r="53" spans="1:31" x14ac:dyDescent="0.25">
      <c r="A53" s="1" t="s">
        <v>294</v>
      </c>
      <c r="B53" s="1" t="s">
        <v>32</v>
      </c>
      <c r="C53" s="10">
        <v>43047</v>
      </c>
      <c r="D53" s="3">
        <v>51.6</v>
      </c>
      <c r="E53" s="4">
        <v>3754.6345669291336</v>
      </c>
      <c r="F53" s="7">
        <v>29.089999999999996</v>
      </c>
      <c r="G53" s="7">
        <v>411.35</v>
      </c>
      <c r="H53" s="7">
        <v>382.26000000000005</v>
      </c>
      <c r="I53" s="7">
        <v>360.73</v>
      </c>
      <c r="J53" s="5">
        <v>5.6322921571705198</v>
      </c>
      <c r="K53" s="4">
        <v>3543.1625786855707</v>
      </c>
      <c r="L53" s="10">
        <v>43054</v>
      </c>
      <c r="M53" s="7">
        <v>22.58</v>
      </c>
      <c r="N53" s="7">
        <v>8.0399999999999991</v>
      </c>
      <c r="O53" s="7">
        <v>15.66</v>
      </c>
      <c r="P53" s="6">
        <v>0.34208144796380086</v>
      </c>
      <c r="Q53" s="6">
        <v>0.48054298642533944</v>
      </c>
      <c r="R53" s="6">
        <v>0.17737556561085976</v>
      </c>
      <c r="S53" s="4">
        <v>1284.3908292300564</v>
      </c>
      <c r="T53" s="4">
        <v>1804.2633077279368</v>
      </c>
      <c r="U53" s="4">
        <v>3088.6541369579932</v>
      </c>
      <c r="V53" s="4">
        <v>1212.0501852879145</v>
      </c>
      <c r="W53" s="4">
        <v>1702.6419269520709</v>
      </c>
      <c r="X53" s="4">
        <v>2914.6921122399854</v>
      </c>
      <c r="Y53" s="10">
        <v>43077</v>
      </c>
      <c r="Z53" s="12">
        <v>42</v>
      </c>
      <c r="AA53" s="5">
        <v>1.1299999999999999</v>
      </c>
      <c r="AB53" s="4">
        <v>78.3</v>
      </c>
      <c r="AC53" s="4">
        <v>30.3</v>
      </c>
      <c r="AD53" s="4">
        <v>6.2</v>
      </c>
      <c r="AE53" s="4">
        <v>11.4</v>
      </c>
    </row>
    <row r="54" spans="1:31" x14ac:dyDescent="0.25">
      <c r="A54" s="1" t="s">
        <v>295</v>
      </c>
      <c r="B54" s="1" t="s">
        <v>32</v>
      </c>
      <c r="C54" s="10">
        <v>43047</v>
      </c>
      <c r="D54" s="3">
        <v>60.5</v>
      </c>
      <c r="E54" s="4">
        <v>4416.8669816272968</v>
      </c>
      <c r="F54" s="7">
        <v>29</v>
      </c>
      <c r="G54" s="7">
        <v>498.45</v>
      </c>
      <c r="H54" s="7">
        <v>469.45</v>
      </c>
      <c r="I54" s="7">
        <v>444.90999999999997</v>
      </c>
      <c r="J54" s="5">
        <v>5.2273937586537489</v>
      </c>
      <c r="K54" s="4">
        <v>4185.979952701673</v>
      </c>
      <c r="L54" s="10">
        <v>43054</v>
      </c>
      <c r="M54" s="7">
        <v>18.009999999999998</v>
      </c>
      <c r="N54" s="7">
        <v>6.6400000000000006</v>
      </c>
      <c r="O54" s="7">
        <v>11.8</v>
      </c>
      <c r="P54" s="6">
        <v>0.35726399095534206</v>
      </c>
      <c r="Q54" s="6">
        <v>0.4771057094403619</v>
      </c>
      <c r="R54" s="6">
        <v>0.16563029960429598</v>
      </c>
      <c r="S54" s="4">
        <v>1577.9875253750436</v>
      </c>
      <c r="T54" s="4">
        <v>2107.3124547730013</v>
      </c>
      <c r="U54" s="4">
        <v>3685.2999801480446</v>
      </c>
      <c r="V54" s="4">
        <v>1495.4999039612537</v>
      </c>
      <c r="W54" s="4">
        <v>1997.1549350368643</v>
      </c>
      <c r="X54" s="4">
        <v>3492.6548389981181</v>
      </c>
      <c r="Y54" s="10">
        <v>43077</v>
      </c>
      <c r="Z54" s="12">
        <v>47</v>
      </c>
      <c r="AA54" s="5">
        <v>1.1100000000000001</v>
      </c>
      <c r="AB54" s="4">
        <v>80.3</v>
      </c>
      <c r="AC54" s="4">
        <v>31.1</v>
      </c>
      <c r="AD54" s="4">
        <v>6.1</v>
      </c>
      <c r="AE54" s="4">
        <v>10.7</v>
      </c>
    </row>
    <row r="55" spans="1:31" x14ac:dyDescent="0.25">
      <c r="A55" s="1" t="s">
        <v>296</v>
      </c>
      <c r="B55" s="1" t="s">
        <v>32</v>
      </c>
      <c r="C55" s="10">
        <v>43047</v>
      </c>
      <c r="D55" s="3">
        <v>63.3</v>
      </c>
      <c r="E55" s="4">
        <v>4625.2097637795268</v>
      </c>
      <c r="F55" s="7">
        <v>29.14</v>
      </c>
      <c r="G55" s="7">
        <v>535.25</v>
      </c>
      <c r="H55" s="7">
        <v>506.11</v>
      </c>
      <c r="I55" s="7">
        <v>477.90999999999997</v>
      </c>
      <c r="J55" s="5">
        <v>5.5719112445911056</v>
      </c>
      <c r="K55" s="4">
        <v>4367.4971808655691</v>
      </c>
      <c r="L55" s="10">
        <v>43054</v>
      </c>
      <c r="M55" s="7">
        <v>27.730000000000004</v>
      </c>
      <c r="N55" s="7">
        <v>9.8600000000000012</v>
      </c>
      <c r="O55" s="7">
        <v>18.04</v>
      </c>
      <c r="P55" s="6">
        <v>0.34422018348623851</v>
      </c>
      <c r="Q55" s="6">
        <v>0.47706422018348615</v>
      </c>
      <c r="R55" s="6">
        <v>0.17871559633027534</v>
      </c>
      <c r="S55" s="4">
        <v>1592.0905535505306</v>
      </c>
      <c r="T55" s="4">
        <v>2206.5220891425261</v>
      </c>
      <c r="U55" s="4">
        <v>3798.6126426930568</v>
      </c>
      <c r="V55" s="4">
        <v>1503.3806809731757</v>
      </c>
      <c r="W55" s="4">
        <v>2083.576636743207</v>
      </c>
      <c r="X55" s="4">
        <v>3586.9573177163829</v>
      </c>
      <c r="Y55" s="10">
        <v>43077</v>
      </c>
      <c r="Z55" s="12">
        <v>42</v>
      </c>
      <c r="AA55" s="5">
        <v>1.1000000000000001</v>
      </c>
      <c r="AB55" s="4">
        <v>78.8</v>
      </c>
      <c r="AC55" s="4">
        <v>29.7</v>
      </c>
      <c r="AD55" s="4">
        <v>6.2</v>
      </c>
      <c r="AE55" s="4">
        <v>11.3</v>
      </c>
    </row>
    <row r="56" spans="1:31" x14ac:dyDescent="0.25">
      <c r="A56" s="1" t="s">
        <v>297</v>
      </c>
      <c r="B56" s="1" t="s">
        <v>32</v>
      </c>
      <c r="C56" s="10">
        <v>43047</v>
      </c>
      <c r="D56" s="3">
        <v>58.199999999999996</v>
      </c>
      <c r="E56" s="4">
        <v>4245.7282677165349</v>
      </c>
      <c r="F56" s="7">
        <v>29.08</v>
      </c>
      <c r="G56" s="7">
        <v>494.04999999999995</v>
      </c>
      <c r="H56" s="7">
        <v>464.96999999999997</v>
      </c>
      <c r="I56" s="7">
        <v>440.42999999999995</v>
      </c>
      <c r="J56" s="5">
        <v>5.2777598554745513</v>
      </c>
      <c r="K56" s="4">
        <v>4021.6489256304567</v>
      </c>
      <c r="L56" s="10">
        <v>43054</v>
      </c>
      <c r="M56" s="7">
        <v>25.5</v>
      </c>
      <c r="N56" s="7">
        <v>9.02</v>
      </c>
      <c r="O56" s="7">
        <v>17.02</v>
      </c>
      <c r="P56" s="6">
        <v>0.34132693844924056</v>
      </c>
      <c r="Q56" s="6">
        <v>0.47881694644284573</v>
      </c>
      <c r="R56" s="6">
        <v>0.17985611510791372</v>
      </c>
      <c r="S56" s="4">
        <v>1449.1814311070825</v>
      </c>
      <c r="T56" s="4">
        <v>2032.9266445741043</v>
      </c>
      <c r="U56" s="4">
        <v>3482.1080756811871</v>
      </c>
      <c r="V56" s="4">
        <v>1372.6971153031213</v>
      </c>
      <c r="W56" s="4">
        <v>1925.6336582355264</v>
      </c>
      <c r="X56" s="4">
        <v>3298.3307735386479</v>
      </c>
      <c r="Y56" s="10">
        <v>43077</v>
      </c>
      <c r="Z56" s="12">
        <v>41</v>
      </c>
      <c r="AA56" s="5">
        <v>1.1100000000000001</v>
      </c>
      <c r="AB56" s="4">
        <v>78.400000000000006</v>
      </c>
      <c r="AC56" s="4">
        <v>30.7</v>
      </c>
      <c r="AD56" s="4">
        <v>6.1</v>
      </c>
      <c r="AE56" s="4">
        <v>11.9</v>
      </c>
    </row>
    <row r="57" spans="1:31" x14ac:dyDescent="0.25">
      <c r="A57" s="1" t="s">
        <v>298</v>
      </c>
      <c r="B57" s="1" t="s">
        <v>32</v>
      </c>
      <c r="C57" s="10">
        <v>43047</v>
      </c>
      <c r="D57" s="3">
        <v>41.5</v>
      </c>
      <c r="E57" s="4">
        <v>3003.1123884514432</v>
      </c>
      <c r="F57" s="7">
        <v>29.089999999999996</v>
      </c>
      <c r="G57" s="7">
        <v>599.72</v>
      </c>
      <c r="H57" s="7">
        <v>570.63</v>
      </c>
      <c r="I57" s="7">
        <v>539.55999999999995</v>
      </c>
      <c r="J57" s="5">
        <v>5.4448591907190389</v>
      </c>
      <c r="K57" s="4">
        <v>2839.5971475612228</v>
      </c>
      <c r="L57" s="10">
        <v>43054</v>
      </c>
      <c r="M57" s="7">
        <v>17.939999999999998</v>
      </c>
      <c r="N57" s="7">
        <v>6.18</v>
      </c>
      <c r="O57" s="7">
        <v>13.34</v>
      </c>
      <c r="P57" s="6">
        <v>0.32646048109965636</v>
      </c>
      <c r="Q57" s="6">
        <v>0.47537227949599092</v>
      </c>
      <c r="R57" s="6">
        <v>0.19816723940435277</v>
      </c>
      <c r="S57" s="4">
        <v>980.39751513019621</v>
      </c>
      <c r="T57" s="4">
        <v>1427.5963816808123</v>
      </c>
      <c r="U57" s="4">
        <v>2407.9938968110087</v>
      </c>
      <c r="V57" s="4">
        <v>927.0162509220487</v>
      </c>
      <c r="W57" s="4">
        <v>1349.8657688864921</v>
      </c>
      <c r="X57" s="4">
        <v>2276.8820198085409</v>
      </c>
      <c r="Y57" s="10">
        <v>43077</v>
      </c>
      <c r="Z57" s="12">
        <v>38</v>
      </c>
      <c r="AA57" s="5">
        <v>1.18</v>
      </c>
      <c r="AB57" s="4">
        <v>80.599999999999994</v>
      </c>
      <c r="AC57" s="4">
        <v>31.9</v>
      </c>
      <c r="AD57" s="4">
        <v>5.9</v>
      </c>
      <c r="AE57" s="4">
        <v>9.8000000000000007</v>
      </c>
    </row>
    <row r="58" spans="1:31" x14ac:dyDescent="0.25">
      <c r="A58" s="1" t="s">
        <v>299</v>
      </c>
      <c r="B58" s="1" t="s">
        <v>32</v>
      </c>
      <c r="C58" s="10">
        <v>43047</v>
      </c>
      <c r="D58" s="3">
        <v>55.099999999999994</v>
      </c>
      <c r="E58" s="4">
        <v>4015.0630446194218</v>
      </c>
      <c r="F58" s="7">
        <v>29.1</v>
      </c>
      <c r="G58" s="7">
        <v>603.5</v>
      </c>
      <c r="H58" s="7">
        <v>574.4</v>
      </c>
      <c r="I58" s="7">
        <v>545.29</v>
      </c>
      <c r="J58" s="5">
        <v>5.0678969359331498</v>
      </c>
      <c r="K58" s="4">
        <v>3811.5837876053702</v>
      </c>
      <c r="L58" s="10">
        <v>43054</v>
      </c>
      <c r="M58" s="7">
        <v>24.04</v>
      </c>
      <c r="N58" s="7">
        <v>8.64</v>
      </c>
      <c r="O58" s="7">
        <v>16.38</v>
      </c>
      <c r="P58" s="6">
        <v>0.34634974533106966</v>
      </c>
      <c r="Q58" s="6">
        <v>0.48132427843803061</v>
      </c>
      <c r="R58" s="6">
        <v>0.17232597623089974</v>
      </c>
      <c r="S58" s="4">
        <v>1390.616062992126</v>
      </c>
      <c r="T58" s="4">
        <v>1932.5473228346455</v>
      </c>
      <c r="U58" s="4">
        <v>3323.1633858267714</v>
      </c>
      <c r="V58" s="4">
        <v>1320.1410741451539</v>
      </c>
      <c r="W58" s="4">
        <v>1834.6078162752506</v>
      </c>
      <c r="X58" s="4">
        <v>3154.7488904204047</v>
      </c>
      <c r="Y58" s="10">
        <v>43077</v>
      </c>
      <c r="Z58" s="12">
        <v>41</v>
      </c>
      <c r="AA58" s="5">
        <v>1.1599999999999999</v>
      </c>
      <c r="AB58" s="4">
        <v>80.3</v>
      </c>
      <c r="AC58" s="4">
        <v>31.3</v>
      </c>
      <c r="AD58" s="4">
        <v>5.7</v>
      </c>
      <c r="AE58" s="4">
        <v>10.6</v>
      </c>
    </row>
    <row r="59" spans="1:31" x14ac:dyDescent="0.25">
      <c r="A59" s="1" t="s">
        <v>300</v>
      </c>
      <c r="B59" s="1" t="s">
        <v>32</v>
      </c>
      <c r="C59" s="10">
        <v>43047</v>
      </c>
      <c r="D59" s="3">
        <v>55.8</v>
      </c>
      <c r="E59" s="4">
        <v>4067.1487401574796</v>
      </c>
      <c r="F59" s="7">
        <v>29.12</v>
      </c>
      <c r="G59" s="7">
        <v>463.09</v>
      </c>
      <c r="H59" s="7">
        <v>433.96999999999997</v>
      </c>
      <c r="I59" s="7">
        <v>409.52</v>
      </c>
      <c r="J59" s="5">
        <v>5.6340300020738736</v>
      </c>
      <c r="K59" s="4">
        <v>3838.0043599080377</v>
      </c>
      <c r="L59" s="10">
        <v>43054</v>
      </c>
      <c r="M59" s="7">
        <v>24.41</v>
      </c>
      <c r="N59" s="7">
        <v>8.7000000000000011</v>
      </c>
      <c r="O59" s="7">
        <v>16.48</v>
      </c>
      <c r="P59" s="6">
        <v>0.34350188048474722</v>
      </c>
      <c r="Q59" s="6">
        <v>0.47806101128290857</v>
      </c>
      <c r="R59" s="6">
        <v>0.17843710823234427</v>
      </c>
      <c r="S59" s="4">
        <v>1397.0732404552648</v>
      </c>
      <c r="T59" s="4">
        <v>1944.3452397576923</v>
      </c>
      <c r="U59" s="4">
        <v>3341.4184802129571</v>
      </c>
      <c r="V59" s="4">
        <v>1318.3617149370696</v>
      </c>
      <c r="W59" s="4">
        <v>1834.8002456058487</v>
      </c>
      <c r="X59" s="4">
        <v>3153.1619605429182</v>
      </c>
      <c r="Y59" s="10">
        <v>43077</v>
      </c>
      <c r="Z59" s="12">
        <v>49</v>
      </c>
      <c r="AA59" s="5">
        <v>1.04</v>
      </c>
      <c r="AB59" s="4">
        <v>78.7</v>
      </c>
      <c r="AC59" s="4">
        <v>28.2</v>
      </c>
      <c r="AD59" s="4">
        <v>6.1</v>
      </c>
      <c r="AE59" s="4">
        <v>12.1</v>
      </c>
    </row>
    <row r="60" spans="1:31" x14ac:dyDescent="0.25">
      <c r="A60" s="1" t="s">
        <v>301</v>
      </c>
      <c r="B60" s="1" t="s">
        <v>32</v>
      </c>
      <c r="C60" s="10">
        <v>43047</v>
      </c>
      <c r="D60" s="3">
        <v>69</v>
      </c>
      <c r="E60" s="4">
        <v>5049.3361417322831</v>
      </c>
      <c r="F60" s="7">
        <v>29.059999999999995</v>
      </c>
      <c r="G60" s="7">
        <v>600.11</v>
      </c>
      <c r="H60" s="7">
        <v>571.05000000000007</v>
      </c>
      <c r="I60" s="7">
        <v>541.31999999999994</v>
      </c>
      <c r="J60" s="5">
        <v>5.2061991069083486</v>
      </c>
      <c r="K60" s="4">
        <v>4786.4576486166161</v>
      </c>
      <c r="L60" s="10">
        <v>43054</v>
      </c>
      <c r="M60" s="7">
        <v>30.14</v>
      </c>
      <c r="N60" s="7">
        <v>10.98</v>
      </c>
      <c r="O60" s="7">
        <v>19.060000000000002</v>
      </c>
      <c r="P60" s="6">
        <v>0.35401213755900202</v>
      </c>
      <c r="Q60" s="6">
        <v>0.47269049224544851</v>
      </c>
      <c r="R60" s="6">
        <v>0.17329737019554953</v>
      </c>
      <c r="S60" s="4">
        <v>1787.5262807885695</v>
      </c>
      <c r="T60" s="4">
        <v>2386.7731863481667</v>
      </c>
      <c r="U60" s="4">
        <v>4174.299467136736</v>
      </c>
      <c r="V60" s="4">
        <v>1694.4641035224029</v>
      </c>
      <c r="W60" s="4">
        <v>2262.5130220365804</v>
      </c>
      <c r="X60" s="4">
        <v>3956.9771255589831</v>
      </c>
      <c r="Y60" s="10">
        <v>43077</v>
      </c>
      <c r="Z60" s="12">
        <v>43</v>
      </c>
      <c r="AA60" s="5">
        <v>1.1599999999999999</v>
      </c>
      <c r="AB60" s="4">
        <v>83</v>
      </c>
      <c r="AC60" s="4">
        <v>31.8</v>
      </c>
      <c r="AD60" s="4">
        <v>6</v>
      </c>
      <c r="AE60" s="4">
        <v>8.9</v>
      </c>
    </row>
    <row r="61" spans="1:31" x14ac:dyDescent="0.25">
      <c r="A61" s="1" t="s">
        <v>302</v>
      </c>
      <c r="B61" s="1" t="s">
        <v>32</v>
      </c>
      <c r="C61" s="10">
        <v>43047</v>
      </c>
      <c r="D61" s="3">
        <v>33.400000000000006</v>
      </c>
      <c r="E61" s="4">
        <v>2400.406482939633</v>
      </c>
      <c r="F61" s="7">
        <v>29.11</v>
      </c>
      <c r="G61" s="7">
        <v>512.73</v>
      </c>
      <c r="H61" s="7">
        <v>483.62</v>
      </c>
      <c r="I61" s="7">
        <v>456.43000000000006</v>
      </c>
      <c r="J61" s="5">
        <v>5.6221827054298705</v>
      </c>
      <c r="K61" s="4">
        <v>2265.4512447957836</v>
      </c>
      <c r="L61" s="10">
        <v>43054</v>
      </c>
      <c r="M61" s="7">
        <v>14.36</v>
      </c>
      <c r="N61" s="7">
        <v>4.84</v>
      </c>
      <c r="O61" s="7">
        <v>11.54</v>
      </c>
      <c r="P61" s="6">
        <v>0.3141210374639769</v>
      </c>
      <c r="Q61" s="6">
        <v>0.4682997118155619</v>
      </c>
      <c r="R61" s="6">
        <v>0.21757925072046119</v>
      </c>
      <c r="S61" s="4">
        <v>754.01817475625353</v>
      </c>
      <c r="T61" s="4">
        <v>1124.1096642008367</v>
      </c>
      <c r="U61" s="4">
        <v>1878.1278389570903</v>
      </c>
      <c r="V61" s="4">
        <v>711.62589533930941</v>
      </c>
      <c r="W61" s="4">
        <v>1060.9101650700713</v>
      </c>
      <c r="X61" s="4">
        <v>1772.5360604093808</v>
      </c>
      <c r="Y61" s="10">
        <v>43077</v>
      </c>
      <c r="Z61" s="12">
        <v>34</v>
      </c>
      <c r="AA61" s="5">
        <v>1.1200000000000001</v>
      </c>
      <c r="AB61" s="4">
        <v>79.599999999999994</v>
      </c>
      <c r="AC61" s="4">
        <v>30.4</v>
      </c>
      <c r="AD61" s="4">
        <v>6.1</v>
      </c>
      <c r="AE61" s="4">
        <v>11.1</v>
      </c>
    </row>
    <row r="62" spans="1:31" x14ac:dyDescent="0.25">
      <c r="A62" s="1" t="s">
        <v>303</v>
      </c>
      <c r="B62" s="1" t="s">
        <v>32</v>
      </c>
      <c r="C62" s="10">
        <v>43047</v>
      </c>
      <c r="D62" s="3">
        <v>54.7</v>
      </c>
      <c r="E62" s="4">
        <v>3985.2997900262467</v>
      </c>
      <c r="F62" s="7">
        <v>29.180000000000003</v>
      </c>
      <c r="G62" s="7">
        <v>601.23</v>
      </c>
      <c r="H62" s="7">
        <v>572.05000000000007</v>
      </c>
      <c r="I62" s="7">
        <v>543.99</v>
      </c>
      <c r="J62" s="5">
        <v>4.9051656323748016</v>
      </c>
      <c r="K62" s="4">
        <v>3789.8142343787745</v>
      </c>
      <c r="L62" s="10">
        <v>43054</v>
      </c>
      <c r="M62" s="7">
        <v>23.73</v>
      </c>
      <c r="N62" s="7">
        <v>8.66</v>
      </c>
      <c r="O62" s="7">
        <v>16.28</v>
      </c>
      <c r="P62" s="6">
        <v>0.35182795698924729</v>
      </c>
      <c r="Q62" s="6">
        <v>0.48344086021505384</v>
      </c>
      <c r="R62" s="6">
        <v>0.16473118279569887</v>
      </c>
      <c r="S62" s="4">
        <v>1402.1398831146105</v>
      </c>
      <c r="T62" s="4">
        <v>1926.656758705162</v>
      </c>
      <c r="U62" s="4">
        <v>3328.7966418197725</v>
      </c>
      <c r="V62" s="4">
        <v>1333.3625994502527</v>
      </c>
      <c r="W62" s="4">
        <v>1832.1510535233303</v>
      </c>
      <c r="X62" s="4">
        <v>3165.5136529735828</v>
      </c>
      <c r="Y62" s="10">
        <v>43077</v>
      </c>
      <c r="Z62" s="12">
        <v>45</v>
      </c>
      <c r="AA62" s="5">
        <v>1.1000000000000001</v>
      </c>
      <c r="AB62" s="4">
        <v>79</v>
      </c>
      <c r="AC62" s="4">
        <v>30.6</v>
      </c>
      <c r="AD62" s="4">
        <v>6.2</v>
      </c>
      <c r="AE62" s="4">
        <v>11.1</v>
      </c>
    </row>
    <row r="63" spans="1:31" x14ac:dyDescent="0.25">
      <c r="A63" s="1" t="s">
        <v>291</v>
      </c>
      <c r="B63" s="1" t="s">
        <v>32</v>
      </c>
      <c r="C63" s="10">
        <v>43047</v>
      </c>
      <c r="D63" s="3">
        <v>61.6</v>
      </c>
      <c r="E63" s="4">
        <v>4498.7159317585301</v>
      </c>
      <c r="F63" s="7">
        <v>29.119999999999997</v>
      </c>
      <c r="G63" s="7">
        <v>538.53</v>
      </c>
      <c r="H63" s="7">
        <v>509.40999999999997</v>
      </c>
      <c r="I63" s="7">
        <v>483.38</v>
      </c>
      <c r="J63" s="5">
        <v>5.1098329439940269</v>
      </c>
      <c r="K63" s="4">
        <v>4268.8390630208251</v>
      </c>
      <c r="L63" s="10">
        <v>43054</v>
      </c>
      <c r="M63" s="7">
        <v>26.709999999999997</v>
      </c>
      <c r="N63" s="7">
        <v>9.7000000000000011</v>
      </c>
      <c r="O63" s="7">
        <v>17.64</v>
      </c>
      <c r="P63" s="6">
        <v>0.35150590926420139</v>
      </c>
      <c r="Q63" s="6">
        <v>0.48036599313762879</v>
      </c>
      <c r="R63" s="6">
        <v>0.16812809759816977</v>
      </c>
      <c r="S63" s="4">
        <v>1581.325234114131</v>
      </c>
      <c r="T63" s="4">
        <v>2161.0301464032596</v>
      </c>
      <c r="U63" s="4">
        <v>3742.3553805173906</v>
      </c>
      <c r="V63" s="4">
        <v>1500.5221563496766</v>
      </c>
      <c r="W63" s="4">
        <v>2050.6051160527036</v>
      </c>
      <c r="X63" s="4">
        <v>3551.1272724023802</v>
      </c>
      <c r="Y63" s="10">
        <v>43077</v>
      </c>
      <c r="Z63" s="12">
        <v>47</v>
      </c>
      <c r="AA63" s="5">
        <v>1.1000000000000001</v>
      </c>
      <c r="AB63" s="4">
        <v>80.2</v>
      </c>
      <c r="AC63" s="4">
        <v>30.4</v>
      </c>
      <c r="AD63" s="4">
        <v>5.8</v>
      </c>
      <c r="AE63" s="4">
        <v>10.1</v>
      </c>
    </row>
    <row r="64" spans="1:31" x14ac:dyDescent="0.25">
      <c r="A64" s="1" t="s">
        <v>304</v>
      </c>
      <c r="B64" s="1" t="s">
        <v>32</v>
      </c>
      <c r="C64" s="10">
        <v>43047</v>
      </c>
      <c r="D64" s="3">
        <v>58.099999999999994</v>
      </c>
      <c r="E64" s="4">
        <v>4238.2874540682405</v>
      </c>
      <c r="F64" s="7">
        <v>29.07</v>
      </c>
      <c r="G64" s="7">
        <v>458.19</v>
      </c>
      <c r="H64" s="7">
        <v>429.12</v>
      </c>
      <c r="I64" s="7">
        <v>407.51</v>
      </c>
      <c r="J64" s="5">
        <v>5.0358873974645819</v>
      </c>
      <c r="K64" s="4">
        <v>4024.8520703004956</v>
      </c>
      <c r="L64" s="10">
        <v>43054</v>
      </c>
      <c r="M64" s="7">
        <v>25.490000000000002</v>
      </c>
      <c r="N64" s="7">
        <v>9.06</v>
      </c>
      <c r="O64" s="7">
        <v>17.04</v>
      </c>
      <c r="P64" s="6">
        <v>0.34306277489004394</v>
      </c>
      <c r="Q64" s="6">
        <v>0.47980807676929227</v>
      </c>
      <c r="R64" s="6">
        <v>0.17712914834066384</v>
      </c>
      <c r="S64" s="4">
        <v>1453.9986547743104</v>
      </c>
      <c r="T64" s="4">
        <v>2033.5645521319027</v>
      </c>
      <c r="U64" s="4">
        <v>3487.5632069062131</v>
      </c>
      <c r="V64" s="4">
        <v>1380.7769197592263</v>
      </c>
      <c r="W64" s="4">
        <v>1931.1565311317852</v>
      </c>
      <c r="X64" s="4">
        <v>3311.9334508910115</v>
      </c>
      <c r="Y64" s="10">
        <v>43077</v>
      </c>
      <c r="Z64" s="12">
        <v>44</v>
      </c>
      <c r="AA64" s="5">
        <v>1.1299999999999999</v>
      </c>
      <c r="AB64" s="4">
        <v>82</v>
      </c>
      <c r="AC64" s="4">
        <v>31</v>
      </c>
      <c r="AD64" s="4">
        <v>5.9</v>
      </c>
      <c r="AE64" s="4">
        <v>10.1</v>
      </c>
    </row>
    <row r="65" spans="1:31" x14ac:dyDescent="0.25">
      <c r="A65" s="1" t="s">
        <v>305</v>
      </c>
      <c r="B65" s="1" t="s">
        <v>32</v>
      </c>
      <c r="C65" s="10">
        <v>43047</v>
      </c>
      <c r="D65" s="3">
        <v>63.8</v>
      </c>
      <c r="E65" s="4">
        <v>4662.4138320209968</v>
      </c>
      <c r="F65" s="7">
        <v>29.07</v>
      </c>
      <c r="G65" s="7">
        <v>398.48</v>
      </c>
      <c r="H65" s="7">
        <v>369.41</v>
      </c>
      <c r="I65" s="7">
        <v>350.3</v>
      </c>
      <c r="J65" s="5">
        <v>5.1731138843019986</v>
      </c>
      <c r="K65" s="4">
        <v>4421.2218547331022</v>
      </c>
      <c r="L65" s="10">
        <v>43054</v>
      </c>
      <c r="M65" s="7">
        <v>28.1</v>
      </c>
      <c r="N65" s="7">
        <v>10.24</v>
      </c>
      <c r="O65" s="7">
        <v>18.119999999999997</v>
      </c>
      <c r="P65" s="6">
        <v>0.35336712527154235</v>
      </c>
      <c r="Q65" s="6">
        <v>0.47356987690079644</v>
      </c>
      <c r="R65" s="6">
        <v>0.17306299782766121</v>
      </c>
      <c r="S65" s="4">
        <v>1647.5437726475354</v>
      </c>
      <c r="T65" s="4">
        <v>2207.9787444907543</v>
      </c>
      <c r="U65" s="4">
        <v>3855.5225171382899</v>
      </c>
      <c r="V65" s="4">
        <v>1562.3144569947528</v>
      </c>
      <c r="W65" s="4">
        <v>2093.7574894970662</v>
      </c>
      <c r="X65" s="4">
        <v>3656.0719464918193</v>
      </c>
      <c r="Y65" s="10">
        <v>43077</v>
      </c>
      <c r="Z65" s="12">
        <v>42</v>
      </c>
      <c r="AA65" s="5">
        <v>1.1499999999999999</v>
      </c>
      <c r="AB65" s="4">
        <v>80.3</v>
      </c>
      <c r="AC65" s="4">
        <v>31</v>
      </c>
      <c r="AD65" s="4">
        <v>6</v>
      </c>
      <c r="AE65" s="4">
        <v>10</v>
      </c>
    </row>
    <row r="66" spans="1:31" x14ac:dyDescent="0.25">
      <c r="A66" s="1" t="s">
        <v>306</v>
      </c>
      <c r="B66" s="1" t="s">
        <v>32</v>
      </c>
      <c r="C66" s="10">
        <v>43047</v>
      </c>
      <c r="D66" s="3">
        <v>58.2</v>
      </c>
      <c r="E66" s="4">
        <v>4245.7282677165358</v>
      </c>
      <c r="F66" s="7">
        <v>29.1</v>
      </c>
      <c r="G66" s="7">
        <v>408.46999999999997</v>
      </c>
      <c r="H66" s="7">
        <v>379.36999999999995</v>
      </c>
      <c r="I66" s="7">
        <v>360.58</v>
      </c>
      <c r="J66" s="5">
        <v>4.9529483090386606</v>
      </c>
      <c r="K66" s="4">
        <v>4035.4395412742933</v>
      </c>
      <c r="L66" s="10">
        <v>43054</v>
      </c>
      <c r="M66" s="7">
        <v>25.560000000000002</v>
      </c>
      <c r="N66" s="7">
        <v>9.24</v>
      </c>
      <c r="O66" s="7">
        <v>17.02</v>
      </c>
      <c r="P66" s="6">
        <v>0.34928229665071769</v>
      </c>
      <c r="Q66" s="6">
        <v>0.47767145135566186</v>
      </c>
      <c r="R66" s="6">
        <v>0.1730462519936205</v>
      </c>
      <c r="S66" s="4">
        <v>1482.9577203029048</v>
      </c>
      <c r="T66" s="4">
        <v>2028.0631837019178</v>
      </c>
      <c r="U66" s="4">
        <v>3511.0209040048226</v>
      </c>
      <c r="V66" s="4">
        <v>1409.5075909714039</v>
      </c>
      <c r="W66" s="4">
        <v>1927.614262538518</v>
      </c>
      <c r="X66" s="4">
        <v>3337.1218535099219</v>
      </c>
      <c r="Y66" s="10">
        <v>43077</v>
      </c>
      <c r="Z66" s="12">
        <v>46</v>
      </c>
      <c r="AA66" s="5">
        <v>1.1200000000000001</v>
      </c>
      <c r="AB66" s="4">
        <v>79.099999999999994</v>
      </c>
      <c r="AC66" s="4">
        <v>31.7</v>
      </c>
      <c r="AD66" s="4">
        <v>6.1</v>
      </c>
      <c r="AE66" s="4">
        <v>10.199999999999999</v>
      </c>
    </row>
    <row r="67" spans="1:31" x14ac:dyDescent="0.25">
      <c r="A67" s="1" t="s">
        <v>307</v>
      </c>
      <c r="B67" s="1" t="s">
        <v>32</v>
      </c>
      <c r="C67" s="10">
        <v>43047</v>
      </c>
      <c r="D67" s="3">
        <v>57.2</v>
      </c>
      <c r="E67" s="4">
        <v>4171.3201312335959</v>
      </c>
      <c r="F67" s="7">
        <v>29.11</v>
      </c>
      <c r="G67" s="7">
        <v>595.58000000000004</v>
      </c>
      <c r="H67" s="7">
        <v>566.47</v>
      </c>
      <c r="I67" s="7">
        <v>537.91999999999996</v>
      </c>
      <c r="J67" s="5">
        <v>5.0399844651967562</v>
      </c>
      <c r="K67" s="4">
        <v>3961.0862446257979</v>
      </c>
      <c r="L67" s="10">
        <v>43054</v>
      </c>
      <c r="M67" s="7">
        <v>24.910000000000004</v>
      </c>
      <c r="N67" s="7">
        <v>9</v>
      </c>
      <c r="O67" s="7">
        <v>16.66</v>
      </c>
      <c r="P67" s="6">
        <v>0.34875153499795325</v>
      </c>
      <c r="Q67" s="6">
        <v>0.47564469914040114</v>
      </c>
      <c r="R67" s="6">
        <v>0.17560376586164556</v>
      </c>
      <c r="S67" s="4">
        <v>1454.7542987355803</v>
      </c>
      <c r="T67" s="4">
        <v>1984.0663088389024</v>
      </c>
      <c r="U67" s="4">
        <v>3438.8206075744829</v>
      </c>
      <c r="V67" s="4">
        <v>1381.4349080725251</v>
      </c>
      <c r="W67" s="4">
        <v>1884.0696750942191</v>
      </c>
      <c r="X67" s="4">
        <v>3265.5045831667439</v>
      </c>
      <c r="Y67" s="10">
        <v>43077</v>
      </c>
      <c r="Z67" s="12">
        <v>44</v>
      </c>
      <c r="AA67" s="5">
        <v>1.1299999999999999</v>
      </c>
      <c r="AB67" s="4">
        <v>80.599999999999994</v>
      </c>
      <c r="AC67" s="4">
        <v>31.1</v>
      </c>
      <c r="AD67" s="4">
        <v>5.9</v>
      </c>
      <c r="AE67" s="4">
        <v>9.6999999999999993</v>
      </c>
    </row>
    <row r="68" spans="1:31" x14ac:dyDescent="0.25">
      <c r="A68" s="1" t="s">
        <v>308</v>
      </c>
      <c r="B68" s="1" t="s">
        <v>32</v>
      </c>
      <c r="C68" s="10">
        <v>43047</v>
      </c>
      <c r="D68" s="3">
        <v>63.2</v>
      </c>
      <c r="E68" s="4">
        <v>4617.7689501312334</v>
      </c>
      <c r="F68" s="7">
        <v>29.019999999999996</v>
      </c>
      <c r="G68" s="7">
        <v>545.06999999999994</v>
      </c>
      <c r="H68" s="7">
        <v>516.04999999999995</v>
      </c>
      <c r="I68" s="7">
        <v>489.37</v>
      </c>
      <c r="J68" s="5">
        <v>5.1700416626295809</v>
      </c>
      <c r="K68" s="4">
        <v>4379.0283715254764</v>
      </c>
      <c r="L68" s="10">
        <v>43054</v>
      </c>
      <c r="M68" s="7">
        <v>27.630000000000003</v>
      </c>
      <c r="N68" s="7">
        <v>9.6199999999999992</v>
      </c>
      <c r="O68" s="7">
        <v>17.88</v>
      </c>
      <c r="P68" s="6">
        <v>0.33664825046040509</v>
      </c>
      <c r="Q68" s="6">
        <v>0.47292817679558008</v>
      </c>
      <c r="R68" s="6">
        <v>0.19042357274401478</v>
      </c>
      <c r="S68" s="4">
        <v>1554.5638380920614</v>
      </c>
      <c r="T68" s="4">
        <v>2183.873050448804</v>
      </c>
      <c r="U68" s="4">
        <v>3738.4368885408653</v>
      </c>
      <c r="V68" s="4">
        <v>1474.1922399905284</v>
      </c>
      <c r="W68" s="4">
        <v>2070.9659038816617</v>
      </c>
      <c r="X68" s="4">
        <v>3545.1581438721901</v>
      </c>
      <c r="Y68" s="10">
        <v>43077</v>
      </c>
      <c r="Z68" s="12">
        <v>43</v>
      </c>
      <c r="AA68" s="5">
        <v>1.1499999999999999</v>
      </c>
      <c r="AB68" s="4">
        <v>80.400000000000006</v>
      </c>
      <c r="AC68" s="4">
        <v>32.5</v>
      </c>
      <c r="AD68" s="4">
        <v>5.8</v>
      </c>
      <c r="AE68" s="4">
        <v>9.9</v>
      </c>
    </row>
    <row r="69" spans="1:31" x14ac:dyDescent="0.25">
      <c r="A69" s="1" t="s">
        <v>309</v>
      </c>
      <c r="B69" s="1" t="s">
        <v>32</v>
      </c>
      <c r="C69" s="10">
        <v>43047</v>
      </c>
      <c r="D69" s="3">
        <v>51.300000000000004</v>
      </c>
      <c r="E69" s="4">
        <v>3732.3121259842524</v>
      </c>
      <c r="F69" s="7">
        <v>29.089999999999996</v>
      </c>
      <c r="G69" s="7">
        <v>415.20000000000005</v>
      </c>
      <c r="H69" s="7">
        <v>386.11000000000007</v>
      </c>
      <c r="I69" s="7">
        <v>365.7</v>
      </c>
      <c r="J69" s="5">
        <v>5.2860583771464293</v>
      </c>
      <c r="K69" s="4">
        <v>3535.0199281874097</v>
      </c>
      <c r="L69" s="10">
        <v>43054</v>
      </c>
      <c r="M69" s="7">
        <v>22.42</v>
      </c>
      <c r="N69" s="7">
        <v>7.8</v>
      </c>
      <c r="O69" s="7">
        <v>15.32</v>
      </c>
      <c r="P69" s="6">
        <v>0.33363719234275296</v>
      </c>
      <c r="Q69" s="6">
        <v>0.46855059252506837</v>
      </c>
      <c r="R69" s="6">
        <v>0.19781221513217861</v>
      </c>
      <c r="S69" s="4">
        <v>1245.2381386601971</v>
      </c>
      <c r="T69" s="4">
        <v>1748.7770581184191</v>
      </c>
      <c r="U69" s="4">
        <v>2994.015196778616</v>
      </c>
      <c r="V69" s="4">
        <v>1179.4141237161275</v>
      </c>
      <c r="W69" s="4">
        <v>1656.3356819401354</v>
      </c>
      <c r="X69" s="4">
        <v>2835.7498056562627</v>
      </c>
      <c r="Y69" s="10">
        <v>43077</v>
      </c>
      <c r="Z69" s="12">
        <v>40</v>
      </c>
      <c r="AA69" s="5">
        <v>1.1299999999999999</v>
      </c>
      <c r="AB69" s="4">
        <v>78.900000000000006</v>
      </c>
      <c r="AC69" s="4">
        <v>30.2</v>
      </c>
      <c r="AD69" s="4">
        <v>6.2</v>
      </c>
      <c r="AE69" s="4">
        <v>11</v>
      </c>
    </row>
    <row r="70" spans="1:31" x14ac:dyDescent="0.25">
      <c r="A70" s="1" t="s">
        <v>310</v>
      </c>
      <c r="B70" s="1" t="s">
        <v>32</v>
      </c>
      <c r="C70" s="10">
        <v>43047</v>
      </c>
      <c r="D70" s="3">
        <v>55.5</v>
      </c>
      <c r="E70" s="4">
        <v>4044.8262992125983</v>
      </c>
      <c r="F70" s="7">
        <v>29.099999999999998</v>
      </c>
      <c r="G70" s="7">
        <v>440.80999999999995</v>
      </c>
      <c r="H70" s="7">
        <v>411.70999999999992</v>
      </c>
      <c r="I70" s="7">
        <v>391.54</v>
      </c>
      <c r="J70" s="5">
        <v>4.8990794491267895</v>
      </c>
      <c r="K70" s="4">
        <v>3846.6670452349986</v>
      </c>
      <c r="L70" s="10">
        <v>43054</v>
      </c>
      <c r="M70" s="7">
        <v>24.35</v>
      </c>
      <c r="N70" s="7">
        <v>8.4599999999999991</v>
      </c>
      <c r="O70" s="7">
        <v>16.399999999999999</v>
      </c>
      <c r="P70" s="6">
        <v>0.33431085043988262</v>
      </c>
      <c r="Q70" s="6">
        <v>0.4759111855886049</v>
      </c>
      <c r="R70" s="6">
        <v>0.18977796397151248</v>
      </c>
      <c r="S70" s="4">
        <v>1352.229319971367</v>
      </c>
      <c r="T70" s="4">
        <v>1924.9780795582369</v>
      </c>
      <c r="U70" s="4">
        <v>3277.2073995296041</v>
      </c>
      <c r="V70" s="4">
        <v>1285.9825312515827</v>
      </c>
      <c r="W70" s="4">
        <v>1830.671874062404</v>
      </c>
      <c r="X70" s="4">
        <v>3116.6544053139869</v>
      </c>
      <c r="Y70" s="10">
        <v>43077</v>
      </c>
      <c r="Z70" s="12">
        <v>37</v>
      </c>
      <c r="AA70" s="5">
        <v>1.1599999999999999</v>
      </c>
      <c r="AB70" s="4">
        <v>78.400000000000006</v>
      </c>
      <c r="AC70" s="4">
        <v>33.4</v>
      </c>
      <c r="AD70" s="4">
        <v>6.2</v>
      </c>
      <c r="AE70" s="4">
        <v>11.2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1FE4-90AE-4056-9E9C-7B7AF5765130}">
  <dimension ref="A1:M197"/>
  <sheetViews>
    <sheetView workbookViewId="0"/>
  </sheetViews>
  <sheetFormatPr defaultRowHeight="15" x14ac:dyDescent="0.25"/>
  <sheetData>
    <row r="1" spans="1:13" x14ac:dyDescent="0.25">
      <c r="B1" t="s">
        <v>341</v>
      </c>
      <c r="C1" t="s">
        <v>341</v>
      </c>
    </row>
    <row r="2" spans="1:13" x14ac:dyDescent="0.25">
      <c r="B2" t="s">
        <v>342</v>
      </c>
      <c r="C2" t="s">
        <v>342</v>
      </c>
    </row>
    <row r="4" spans="1:13" x14ac:dyDescent="0.25">
      <c r="B4" t="s">
        <v>339</v>
      </c>
      <c r="C4" t="s">
        <v>340</v>
      </c>
    </row>
    <row r="5" spans="1:13" x14ac:dyDescent="0.25">
      <c r="A5" t="s">
        <v>27</v>
      </c>
      <c r="B5" t="s">
        <v>4</v>
      </c>
      <c r="C5" t="s">
        <v>4</v>
      </c>
    </row>
    <row r="6" spans="1:13" x14ac:dyDescent="0.25">
      <c r="A6" t="s">
        <v>53</v>
      </c>
      <c r="B6">
        <v>1580.787</v>
      </c>
      <c r="C6">
        <v>2214.9949999999999</v>
      </c>
    </row>
    <row r="7" spans="1:13" x14ac:dyDescent="0.25">
      <c r="A7" t="s">
        <v>54</v>
      </c>
      <c r="B7">
        <v>1726.722</v>
      </c>
      <c r="C7">
        <v>2206.88</v>
      </c>
      <c r="M7">
        <v>0</v>
      </c>
    </row>
    <row r="8" spans="1:13" x14ac:dyDescent="0.25">
      <c r="A8" t="s">
        <v>55</v>
      </c>
      <c r="B8">
        <v>1657.0519999999999</v>
      </c>
      <c r="C8">
        <v>2218.9270000000001</v>
      </c>
      <c r="M8">
        <v>3000</v>
      </c>
    </row>
    <row r="9" spans="1:13" x14ac:dyDescent="0.25">
      <c r="A9" t="s">
        <v>56</v>
      </c>
      <c r="B9">
        <v>1885.058</v>
      </c>
      <c r="C9">
        <v>2475.3290000000002</v>
      </c>
    </row>
    <row r="10" spans="1:13" x14ac:dyDescent="0.25">
      <c r="A10" t="s">
        <v>57</v>
      </c>
      <c r="B10">
        <v>1792.8810000000001</v>
      </c>
      <c r="C10">
        <v>2303.7550000000001</v>
      </c>
    </row>
    <row r="11" spans="1:13" x14ac:dyDescent="0.25">
      <c r="A11" t="s">
        <v>58</v>
      </c>
      <c r="B11">
        <v>1771.575</v>
      </c>
      <c r="C11">
        <v>2409.723</v>
      </c>
    </row>
    <row r="12" spans="1:13" x14ac:dyDescent="0.25">
      <c r="A12" t="s">
        <v>59</v>
      </c>
      <c r="B12">
        <v>1778.731</v>
      </c>
      <c r="C12">
        <v>2330.424</v>
      </c>
    </row>
    <row r="13" spans="1:13" x14ac:dyDescent="0.25">
      <c r="A13" t="s">
        <v>60</v>
      </c>
      <c r="B13">
        <v>1556.212</v>
      </c>
      <c r="C13">
        <v>2039.508</v>
      </c>
    </row>
    <row r="14" spans="1:13" x14ac:dyDescent="0.25">
      <c r="A14" t="s">
        <v>61</v>
      </c>
      <c r="B14">
        <v>1499.722</v>
      </c>
      <c r="C14">
        <v>2002.855</v>
      </c>
    </row>
    <row r="15" spans="1:13" x14ac:dyDescent="0.25">
      <c r="A15" t="s">
        <v>62</v>
      </c>
      <c r="B15">
        <v>1135.923</v>
      </c>
      <c r="C15">
        <v>1555.9290000000001</v>
      </c>
    </row>
    <row r="16" spans="1:13" x14ac:dyDescent="0.25">
      <c r="A16" t="s">
        <v>63</v>
      </c>
      <c r="B16">
        <v>1017.133</v>
      </c>
      <c r="C16">
        <v>1375.5519999999999</v>
      </c>
    </row>
    <row r="17" spans="1:13" x14ac:dyDescent="0.25">
      <c r="A17" t="s">
        <v>64</v>
      </c>
      <c r="B17">
        <v>1149.991</v>
      </c>
      <c r="C17">
        <v>1572.6369999999999</v>
      </c>
    </row>
    <row r="18" spans="1:13" x14ac:dyDescent="0.25">
      <c r="A18" t="s">
        <v>65</v>
      </c>
      <c r="B18">
        <v>2141.4290000000001</v>
      </c>
      <c r="C18">
        <v>2732.502</v>
      </c>
    </row>
    <row r="19" spans="1:13" x14ac:dyDescent="0.25">
      <c r="A19" t="s">
        <v>66</v>
      </c>
      <c r="B19">
        <v>2182.587</v>
      </c>
      <c r="C19">
        <v>2774.31</v>
      </c>
    </row>
    <row r="20" spans="1:13" x14ac:dyDescent="0.25">
      <c r="A20" t="s">
        <v>67</v>
      </c>
      <c r="B20">
        <v>1992.6790000000001</v>
      </c>
      <c r="C20">
        <v>2631.11</v>
      </c>
    </row>
    <row r="21" spans="1:13" x14ac:dyDescent="0.25">
      <c r="A21" t="s">
        <v>68</v>
      </c>
      <c r="B21">
        <v>1342.8050000000001</v>
      </c>
      <c r="C21">
        <v>1862.2850000000001</v>
      </c>
    </row>
    <row r="22" spans="1:13" x14ac:dyDescent="0.25">
      <c r="A22" t="s">
        <v>69</v>
      </c>
      <c r="B22">
        <v>1157.3330000000001</v>
      </c>
      <c r="C22">
        <v>1637.92</v>
      </c>
      <c r="M22">
        <v>0</v>
      </c>
    </row>
    <row r="23" spans="1:13" x14ac:dyDescent="0.25">
      <c r="A23" t="s">
        <v>70</v>
      </c>
      <c r="B23">
        <v>1204.327</v>
      </c>
      <c r="C23">
        <v>1688.0329999999999</v>
      </c>
      <c r="M23">
        <v>3000</v>
      </c>
    </row>
    <row r="24" spans="1:13" x14ac:dyDescent="0.25">
      <c r="A24" t="s">
        <v>71</v>
      </c>
      <c r="B24">
        <v>1819.8409999999999</v>
      </c>
      <c r="C24">
        <v>2352.241</v>
      </c>
    </row>
    <row r="25" spans="1:13" x14ac:dyDescent="0.25">
      <c r="A25" t="s">
        <v>72</v>
      </c>
      <c r="B25">
        <v>1689.77</v>
      </c>
      <c r="C25">
        <v>2204.4699999999998</v>
      </c>
    </row>
    <row r="26" spans="1:13" x14ac:dyDescent="0.25">
      <c r="A26" t="s">
        <v>73</v>
      </c>
      <c r="B26">
        <v>1760.914</v>
      </c>
      <c r="C26">
        <v>2309.3960000000002</v>
      </c>
    </row>
    <row r="27" spans="1:13" x14ac:dyDescent="0.25">
      <c r="A27" t="s">
        <v>74</v>
      </c>
      <c r="B27">
        <v>1967.17</v>
      </c>
      <c r="C27">
        <v>2581.3110000000001</v>
      </c>
    </row>
    <row r="28" spans="1:13" x14ac:dyDescent="0.25">
      <c r="A28" t="s">
        <v>75</v>
      </c>
      <c r="B28">
        <v>1820.856</v>
      </c>
      <c r="C28">
        <v>2331.4670000000001</v>
      </c>
    </row>
    <row r="29" spans="1:13" x14ac:dyDescent="0.25">
      <c r="A29" t="s">
        <v>76</v>
      </c>
      <c r="B29">
        <v>1729.501</v>
      </c>
      <c r="C29">
        <v>2315.61</v>
      </c>
    </row>
    <row r="30" spans="1:13" x14ac:dyDescent="0.25">
      <c r="A30" t="s">
        <v>77</v>
      </c>
      <c r="B30">
        <v>1666.9670000000001</v>
      </c>
      <c r="C30">
        <v>2263.665</v>
      </c>
    </row>
    <row r="31" spans="1:13" x14ac:dyDescent="0.25">
      <c r="A31" t="s">
        <v>78</v>
      </c>
      <c r="B31">
        <v>1832.16</v>
      </c>
      <c r="C31">
        <v>2503.6320000000001</v>
      </c>
    </row>
    <row r="32" spans="1:13" x14ac:dyDescent="0.25">
      <c r="A32" t="s">
        <v>79</v>
      </c>
      <c r="B32">
        <v>1800.953</v>
      </c>
      <c r="C32">
        <v>2388.6320000000001</v>
      </c>
    </row>
    <row r="33" spans="1:3" x14ac:dyDescent="0.25">
      <c r="A33" t="s">
        <v>80</v>
      </c>
      <c r="B33">
        <v>1064.2260000000001</v>
      </c>
      <c r="C33">
        <v>1495.6679999999999</v>
      </c>
    </row>
    <row r="34" spans="1:3" x14ac:dyDescent="0.25">
      <c r="A34" t="s">
        <v>81</v>
      </c>
      <c r="B34">
        <v>911.72080000000005</v>
      </c>
      <c r="C34">
        <v>1303.8589999999999</v>
      </c>
    </row>
    <row r="35" spans="1:3" x14ac:dyDescent="0.25">
      <c r="A35" t="s">
        <v>82</v>
      </c>
      <c r="B35">
        <v>815.9393</v>
      </c>
      <c r="C35">
        <v>1223.9090000000001</v>
      </c>
    </row>
    <row r="36" spans="1:3" x14ac:dyDescent="0.25">
      <c r="A36" t="s">
        <v>83</v>
      </c>
      <c r="B36">
        <v>1049.297</v>
      </c>
      <c r="C36">
        <v>1431.751</v>
      </c>
    </row>
    <row r="37" spans="1:3" x14ac:dyDescent="0.25">
      <c r="A37" t="s">
        <v>84</v>
      </c>
      <c r="B37">
        <v>1195.558</v>
      </c>
      <c r="C37">
        <v>1613.5170000000001</v>
      </c>
    </row>
    <row r="38" spans="1:3" x14ac:dyDescent="0.25">
      <c r="A38" t="s">
        <v>85</v>
      </c>
      <c r="B38">
        <v>1065.856</v>
      </c>
      <c r="C38">
        <v>1427.4860000000001</v>
      </c>
    </row>
    <row r="39" spans="1:3" x14ac:dyDescent="0.25">
      <c r="A39" t="s">
        <v>86</v>
      </c>
      <c r="B39">
        <v>1695.3109999999999</v>
      </c>
      <c r="C39">
        <v>2197.2739999999999</v>
      </c>
    </row>
    <row r="40" spans="1:3" x14ac:dyDescent="0.25">
      <c r="A40" t="s">
        <v>87</v>
      </c>
      <c r="B40">
        <v>1593.0160000000001</v>
      </c>
      <c r="C40">
        <v>2078.6909999999998</v>
      </c>
    </row>
    <row r="41" spans="1:3" x14ac:dyDescent="0.25">
      <c r="A41" t="s">
        <v>88</v>
      </c>
      <c r="B41">
        <v>1922.106</v>
      </c>
      <c r="C41">
        <v>2487.8589999999999</v>
      </c>
    </row>
    <row r="42" spans="1:3" x14ac:dyDescent="0.25">
      <c r="A42" t="s">
        <v>89</v>
      </c>
      <c r="B42">
        <v>1851.0419999999999</v>
      </c>
      <c r="C42">
        <v>2534.5030000000002</v>
      </c>
    </row>
    <row r="43" spans="1:3" x14ac:dyDescent="0.25">
      <c r="A43" t="s">
        <v>90</v>
      </c>
      <c r="B43">
        <v>1826.6559999999999</v>
      </c>
      <c r="C43">
        <v>2432.337</v>
      </c>
    </row>
    <row r="44" spans="1:3" x14ac:dyDescent="0.25">
      <c r="A44" t="s">
        <v>91</v>
      </c>
      <c r="B44">
        <v>1794.5840000000001</v>
      </c>
      <c r="C44">
        <v>2399.1759999999999</v>
      </c>
    </row>
    <row r="45" spans="1:3" x14ac:dyDescent="0.25">
      <c r="A45" t="s">
        <v>92</v>
      </c>
      <c r="B45">
        <v>1555.6869999999999</v>
      </c>
      <c r="C45">
        <v>2074.2489999999998</v>
      </c>
    </row>
    <row r="46" spans="1:3" x14ac:dyDescent="0.25">
      <c r="A46" t="s">
        <v>93</v>
      </c>
      <c r="B46">
        <v>1503.951</v>
      </c>
      <c r="C46">
        <v>2005.268</v>
      </c>
    </row>
    <row r="47" spans="1:3" x14ac:dyDescent="0.25">
      <c r="A47" t="s">
        <v>94</v>
      </c>
      <c r="B47">
        <v>1383.8219999999999</v>
      </c>
      <c r="C47">
        <v>1874.54</v>
      </c>
    </row>
    <row r="48" spans="1:3" x14ac:dyDescent="0.25">
      <c r="A48" t="s">
        <v>95</v>
      </c>
      <c r="B48">
        <v>1841.45</v>
      </c>
      <c r="C48">
        <v>2419.9160000000002</v>
      </c>
    </row>
    <row r="49" spans="1:3" x14ac:dyDescent="0.25">
      <c r="A49" t="s">
        <v>96</v>
      </c>
      <c r="B49">
        <v>1716.221</v>
      </c>
      <c r="C49">
        <v>2307.6880000000001</v>
      </c>
    </row>
    <row r="50" spans="1:3" x14ac:dyDescent="0.25">
      <c r="A50" t="s">
        <v>97</v>
      </c>
      <c r="B50">
        <v>1591.0730000000001</v>
      </c>
      <c r="C50">
        <v>2161.9870000000001</v>
      </c>
    </row>
    <row r="51" spans="1:3" x14ac:dyDescent="0.25">
      <c r="A51" t="s">
        <v>98</v>
      </c>
      <c r="B51">
        <v>1670.3130000000001</v>
      </c>
      <c r="C51">
        <v>2210.2919999999999</v>
      </c>
    </row>
    <row r="52" spans="1:3" x14ac:dyDescent="0.25">
      <c r="A52" t="s">
        <v>99</v>
      </c>
      <c r="B52">
        <v>1632.787</v>
      </c>
      <c r="C52">
        <v>2202.8139999999999</v>
      </c>
    </row>
    <row r="53" spans="1:3" x14ac:dyDescent="0.25">
      <c r="A53" t="s">
        <v>100</v>
      </c>
      <c r="B53">
        <v>1456.521</v>
      </c>
      <c r="C53">
        <v>1928.9069999999999</v>
      </c>
    </row>
    <row r="54" spans="1:3" x14ac:dyDescent="0.25">
      <c r="A54" t="s">
        <v>101</v>
      </c>
      <c r="B54">
        <v>1737.1759999999999</v>
      </c>
      <c r="C54">
        <v>2341.8290000000002</v>
      </c>
    </row>
    <row r="55" spans="1:3" x14ac:dyDescent="0.25">
      <c r="A55" t="s">
        <v>102</v>
      </c>
      <c r="B55">
        <v>1627.8679999999999</v>
      </c>
      <c r="C55">
        <v>2321.3969999999999</v>
      </c>
    </row>
    <row r="56" spans="1:3" x14ac:dyDescent="0.25">
      <c r="A56" t="s">
        <v>103</v>
      </c>
      <c r="B56">
        <v>1671.472</v>
      </c>
      <c r="C56">
        <v>2286.2669999999998</v>
      </c>
    </row>
    <row r="57" spans="1:3" x14ac:dyDescent="0.25">
      <c r="A57" t="s">
        <v>104</v>
      </c>
      <c r="B57">
        <v>1504.934</v>
      </c>
      <c r="C57">
        <v>2038.943</v>
      </c>
    </row>
    <row r="58" spans="1:3" x14ac:dyDescent="0.25">
      <c r="A58" t="s">
        <v>105</v>
      </c>
      <c r="B58">
        <v>1762.39</v>
      </c>
      <c r="C58">
        <v>2327.8620000000001</v>
      </c>
    </row>
    <row r="59" spans="1:3" x14ac:dyDescent="0.25">
      <c r="A59" t="s">
        <v>106</v>
      </c>
      <c r="B59">
        <v>1787.1610000000001</v>
      </c>
      <c r="C59">
        <v>2439.6170000000002</v>
      </c>
    </row>
    <row r="60" spans="1:3" x14ac:dyDescent="0.25">
      <c r="A60" t="s">
        <v>107</v>
      </c>
      <c r="B60">
        <v>1672.2829999999999</v>
      </c>
      <c r="C60">
        <v>2255.194</v>
      </c>
    </row>
    <row r="61" spans="1:3" x14ac:dyDescent="0.25">
      <c r="A61" t="s">
        <v>108</v>
      </c>
      <c r="B61">
        <v>1631.3019999999999</v>
      </c>
      <c r="C61">
        <v>2136.2280000000001</v>
      </c>
    </row>
    <row r="62" spans="1:3" x14ac:dyDescent="0.25">
      <c r="A62" t="s">
        <v>109</v>
      </c>
      <c r="B62">
        <v>1645.3</v>
      </c>
      <c r="C62">
        <v>2257.5050000000001</v>
      </c>
    </row>
    <row r="63" spans="1:3" x14ac:dyDescent="0.25">
      <c r="A63" t="s">
        <v>110</v>
      </c>
      <c r="B63">
        <v>1205.0250000000001</v>
      </c>
      <c r="C63">
        <v>1661.768</v>
      </c>
    </row>
    <row r="64" spans="1:3" x14ac:dyDescent="0.25">
      <c r="A64" t="s">
        <v>111</v>
      </c>
      <c r="B64">
        <v>1017.129</v>
      </c>
      <c r="C64">
        <v>1414.2940000000001</v>
      </c>
    </row>
    <row r="65" spans="1:3" x14ac:dyDescent="0.25">
      <c r="A65" t="s">
        <v>112</v>
      </c>
      <c r="B65">
        <v>1187.895</v>
      </c>
      <c r="C65">
        <v>1623.4570000000001</v>
      </c>
    </row>
    <row r="66" spans="1:3" x14ac:dyDescent="0.25">
      <c r="A66" t="s">
        <v>113</v>
      </c>
      <c r="B66">
        <v>1587.576</v>
      </c>
      <c r="C66">
        <v>2173.4679999999998</v>
      </c>
    </row>
    <row r="67" spans="1:3" x14ac:dyDescent="0.25">
      <c r="A67" t="s">
        <v>114</v>
      </c>
      <c r="B67">
        <v>1681.5450000000001</v>
      </c>
      <c r="C67">
        <v>2290.38</v>
      </c>
    </row>
    <row r="68" spans="1:3" x14ac:dyDescent="0.25">
      <c r="A68" t="s">
        <v>115</v>
      </c>
      <c r="B68">
        <v>1573.145</v>
      </c>
      <c r="C68">
        <v>2173.8000000000002</v>
      </c>
    </row>
    <row r="69" spans="1:3" x14ac:dyDescent="0.25">
      <c r="A69" t="s">
        <v>116</v>
      </c>
      <c r="B69">
        <v>1435.1020000000001</v>
      </c>
      <c r="C69">
        <v>1951.7380000000001</v>
      </c>
    </row>
    <row r="70" spans="1:3" x14ac:dyDescent="0.25">
      <c r="A70" t="s">
        <v>117</v>
      </c>
      <c r="B70">
        <v>1371.4269999999999</v>
      </c>
      <c r="C70">
        <v>1850.9469999999999</v>
      </c>
    </row>
    <row r="71" spans="1:3" x14ac:dyDescent="0.25">
      <c r="A71" t="s">
        <v>118</v>
      </c>
      <c r="B71">
        <v>1279.0630000000001</v>
      </c>
      <c r="C71">
        <v>1777.018</v>
      </c>
    </row>
    <row r="72" spans="1:3" x14ac:dyDescent="0.25">
      <c r="A72" t="s">
        <v>119</v>
      </c>
      <c r="B72">
        <v>1255.2249999999999</v>
      </c>
      <c r="C72">
        <v>1743.9</v>
      </c>
    </row>
    <row r="73" spans="1:3" x14ac:dyDescent="0.25">
      <c r="A73" t="s">
        <v>120</v>
      </c>
      <c r="B73">
        <v>1166.748</v>
      </c>
      <c r="C73">
        <v>1639.2329999999999</v>
      </c>
    </row>
    <row r="74" spans="1:3" x14ac:dyDescent="0.25">
      <c r="A74" t="s">
        <v>121</v>
      </c>
      <c r="B74">
        <v>1041.989</v>
      </c>
      <c r="C74">
        <v>1456.856</v>
      </c>
    </row>
    <row r="75" spans="1:3" x14ac:dyDescent="0.25">
      <c r="A75" t="s">
        <v>122</v>
      </c>
      <c r="B75">
        <v>1119.7449999999999</v>
      </c>
      <c r="C75">
        <v>1573.4349999999999</v>
      </c>
    </row>
    <row r="76" spans="1:3" x14ac:dyDescent="0.25">
      <c r="A76" t="s">
        <v>123</v>
      </c>
      <c r="B76">
        <v>1274.9390000000001</v>
      </c>
      <c r="C76">
        <v>1754.239</v>
      </c>
    </row>
    <row r="77" spans="1:3" x14ac:dyDescent="0.25">
      <c r="A77" t="s">
        <v>124</v>
      </c>
      <c r="B77">
        <v>936.82039999999995</v>
      </c>
      <c r="C77">
        <v>1294.164</v>
      </c>
    </row>
    <row r="78" spans="1:3" x14ac:dyDescent="0.25">
      <c r="A78" t="s">
        <v>125</v>
      </c>
      <c r="B78">
        <v>1538.2080000000001</v>
      </c>
      <c r="C78">
        <v>2082.7910000000002</v>
      </c>
    </row>
    <row r="79" spans="1:3" x14ac:dyDescent="0.25">
      <c r="A79" t="s">
        <v>126</v>
      </c>
      <c r="B79">
        <v>1544.9849999999999</v>
      </c>
      <c r="C79">
        <v>2126.739</v>
      </c>
    </row>
    <row r="80" spans="1:3" x14ac:dyDescent="0.25">
      <c r="A80" t="s">
        <v>127</v>
      </c>
      <c r="B80">
        <v>1553.963</v>
      </c>
      <c r="C80">
        <v>2091.1350000000002</v>
      </c>
    </row>
    <row r="81" spans="1:3" x14ac:dyDescent="0.25">
      <c r="A81" t="s">
        <v>128</v>
      </c>
      <c r="B81">
        <v>1158.8720000000001</v>
      </c>
      <c r="C81">
        <v>1610.636</v>
      </c>
    </row>
    <row r="82" spans="1:3" x14ac:dyDescent="0.25">
      <c r="A82" t="s">
        <v>129</v>
      </c>
      <c r="B82">
        <v>977.82180000000005</v>
      </c>
      <c r="C82">
        <v>1390.0409999999999</v>
      </c>
    </row>
    <row r="83" spans="1:3" x14ac:dyDescent="0.25">
      <c r="A83" t="s">
        <v>130</v>
      </c>
      <c r="B83">
        <v>1167.6600000000001</v>
      </c>
      <c r="C83">
        <v>1611.5640000000001</v>
      </c>
    </row>
    <row r="84" spans="1:3" x14ac:dyDescent="0.25">
      <c r="A84" t="s">
        <v>131</v>
      </c>
      <c r="B84">
        <v>1388.2429999999999</v>
      </c>
      <c r="C84">
        <v>1937.7550000000001</v>
      </c>
    </row>
    <row r="85" spans="1:3" x14ac:dyDescent="0.25">
      <c r="A85" t="s">
        <v>132</v>
      </c>
      <c r="B85">
        <v>1591.18</v>
      </c>
      <c r="C85">
        <v>2140.86</v>
      </c>
    </row>
    <row r="86" spans="1:3" x14ac:dyDescent="0.25">
      <c r="A86" t="s">
        <v>133</v>
      </c>
      <c r="B86">
        <v>1640.2760000000001</v>
      </c>
      <c r="C86">
        <v>2190.2510000000002</v>
      </c>
    </row>
    <row r="87" spans="1:3" x14ac:dyDescent="0.25">
      <c r="A87" t="s">
        <v>134</v>
      </c>
      <c r="B87">
        <v>1312.778</v>
      </c>
      <c r="C87">
        <v>1814.723</v>
      </c>
    </row>
    <row r="88" spans="1:3" x14ac:dyDescent="0.25">
      <c r="A88" t="s">
        <v>135</v>
      </c>
      <c r="B88">
        <v>1369.69</v>
      </c>
      <c r="C88">
        <v>1851.9760000000001</v>
      </c>
    </row>
    <row r="89" spans="1:3" x14ac:dyDescent="0.25">
      <c r="A89" t="s">
        <v>136</v>
      </c>
      <c r="B89">
        <v>1216.2719999999999</v>
      </c>
      <c r="C89">
        <v>1654.13</v>
      </c>
    </row>
    <row r="90" spans="1:3" x14ac:dyDescent="0.25">
      <c r="A90" t="s">
        <v>137</v>
      </c>
      <c r="B90">
        <v>1460.375</v>
      </c>
      <c r="C90">
        <v>2065.663</v>
      </c>
    </row>
    <row r="91" spans="1:3" x14ac:dyDescent="0.25">
      <c r="A91" t="s">
        <v>138</v>
      </c>
      <c r="B91">
        <v>1305.626</v>
      </c>
      <c r="C91">
        <v>1827.876</v>
      </c>
    </row>
    <row r="92" spans="1:3" x14ac:dyDescent="0.25">
      <c r="A92" t="s">
        <v>139</v>
      </c>
      <c r="B92">
        <v>1514.71</v>
      </c>
      <c r="C92">
        <v>2039.0319999999999</v>
      </c>
    </row>
    <row r="93" spans="1:3" x14ac:dyDescent="0.25">
      <c r="A93" t="s">
        <v>140</v>
      </c>
      <c r="B93">
        <v>1693.992</v>
      </c>
      <c r="C93">
        <v>2341.1350000000002</v>
      </c>
    </row>
    <row r="94" spans="1:3" x14ac:dyDescent="0.25">
      <c r="A94" t="s">
        <v>141</v>
      </c>
      <c r="B94">
        <v>1656.58</v>
      </c>
      <c r="C94">
        <v>2244.0889999999999</v>
      </c>
    </row>
    <row r="95" spans="1:3" x14ac:dyDescent="0.25">
      <c r="A95" t="s">
        <v>142</v>
      </c>
      <c r="B95">
        <v>1594.83</v>
      </c>
      <c r="C95">
        <v>2139.1729999999998</v>
      </c>
    </row>
    <row r="96" spans="1:3" x14ac:dyDescent="0.25">
      <c r="A96" t="s">
        <v>143</v>
      </c>
      <c r="B96">
        <v>1382.1559999999999</v>
      </c>
      <c r="C96">
        <v>1915.954</v>
      </c>
    </row>
    <row r="97" spans="1:3" x14ac:dyDescent="0.25">
      <c r="A97" t="s">
        <v>144</v>
      </c>
      <c r="B97">
        <v>1571.673</v>
      </c>
      <c r="C97">
        <v>2108.3420000000001</v>
      </c>
    </row>
    <row r="98" spans="1:3" x14ac:dyDescent="0.25">
      <c r="A98" t="s">
        <v>145</v>
      </c>
      <c r="B98">
        <v>1416.0940000000001</v>
      </c>
      <c r="C98">
        <v>1932.777</v>
      </c>
    </row>
    <row r="99" spans="1:3" x14ac:dyDescent="0.25">
      <c r="A99" t="s">
        <v>146</v>
      </c>
      <c r="B99">
        <v>1497.8779999999999</v>
      </c>
      <c r="C99">
        <v>2029.383</v>
      </c>
    </row>
    <row r="100" spans="1:3" x14ac:dyDescent="0.25">
      <c r="A100" t="s">
        <v>147</v>
      </c>
      <c r="B100">
        <v>1528.6189999999999</v>
      </c>
      <c r="C100">
        <v>2018.931</v>
      </c>
    </row>
    <row r="101" spans="1:3" x14ac:dyDescent="0.25">
      <c r="A101" t="s">
        <v>148</v>
      </c>
      <c r="B101">
        <v>1477.329</v>
      </c>
      <c r="C101">
        <v>1956.981</v>
      </c>
    </row>
    <row r="102" spans="1:3" x14ac:dyDescent="0.25">
      <c r="A102" t="s">
        <v>149</v>
      </c>
      <c r="B102">
        <v>1308.2639999999999</v>
      </c>
      <c r="C102">
        <v>1806.1859999999999</v>
      </c>
    </row>
    <row r="103" spans="1:3" x14ac:dyDescent="0.25">
      <c r="A103" t="s">
        <v>150</v>
      </c>
      <c r="B103">
        <v>1535.3910000000001</v>
      </c>
      <c r="C103">
        <v>2159.1439999999998</v>
      </c>
    </row>
    <row r="104" spans="1:3" x14ac:dyDescent="0.25">
      <c r="A104" t="s">
        <v>151</v>
      </c>
      <c r="B104">
        <v>1308.819</v>
      </c>
      <c r="C104">
        <v>1828.4970000000001</v>
      </c>
    </row>
    <row r="105" spans="1:3" x14ac:dyDescent="0.25">
      <c r="A105" t="s">
        <v>152</v>
      </c>
      <c r="B105">
        <v>1299.5319999999999</v>
      </c>
      <c r="C105">
        <v>1784.432</v>
      </c>
    </row>
    <row r="106" spans="1:3" x14ac:dyDescent="0.25">
      <c r="A106" t="s">
        <v>153</v>
      </c>
      <c r="B106">
        <v>1245.895</v>
      </c>
      <c r="C106">
        <v>1728.8</v>
      </c>
    </row>
    <row r="107" spans="1:3" x14ac:dyDescent="0.25">
      <c r="A107" t="s">
        <v>154</v>
      </c>
      <c r="B107">
        <v>1270.7429999999999</v>
      </c>
      <c r="C107">
        <v>1752.085</v>
      </c>
    </row>
    <row r="108" spans="1:3" x14ac:dyDescent="0.25">
      <c r="A108" t="s">
        <v>155</v>
      </c>
      <c r="B108">
        <v>1483.6990000000001</v>
      </c>
      <c r="C108">
        <v>1984.6890000000001</v>
      </c>
    </row>
    <row r="109" spans="1:3" x14ac:dyDescent="0.25">
      <c r="A109" t="s">
        <v>156</v>
      </c>
      <c r="B109">
        <v>1569.8</v>
      </c>
      <c r="C109">
        <v>2105.8290000000002</v>
      </c>
    </row>
    <row r="110" spans="1:3" x14ac:dyDescent="0.25">
      <c r="A110" t="s">
        <v>157</v>
      </c>
      <c r="B110">
        <v>1486.721</v>
      </c>
      <c r="C110">
        <v>2030.88</v>
      </c>
    </row>
    <row r="111" spans="1:3" x14ac:dyDescent="0.25">
      <c r="A111" t="s">
        <v>158</v>
      </c>
      <c r="B111">
        <v>1486.5440000000001</v>
      </c>
      <c r="C111">
        <v>2011.79</v>
      </c>
    </row>
    <row r="112" spans="1:3" x14ac:dyDescent="0.25">
      <c r="A112" t="s">
        <v>159</v>
      </c>
      <c r="B112">
        <v>1276.5329999999999</v>
      </c>
      <c r="C112">
        <v>1740.7270000000001</v>
      </c>
    </row>
    <row r="113" spans="1:3" x14ac:dyDescent="0.25">
      <c r="A113" t="s">
        <v>160</v>
      </c>
      <c r="B113">
        <v>1614.3889999999999</v>
      </c>
      <c r="C113">
        <v>2123.1660000000002</v>
      </c>
    </row>
    <row r="114" spans="1:3" x14ac:dyDescent="0.25">
      <c r="A114" t="s">
        <v>161</v>
      </c>
      <c r="B114">
        <v>1487.127</v>
      </c>
      <c r="C114">
        <v>1998.931</v>
      </c>
    </row>
    <row r="115" spans="1:3" x14ac:dyDescent="0.25">
      <c r="A115" t="s">
        <v>162</v>
      </c>
      <c r="B115">
        <v>1588.4390000000001</v>
      </c>
      <c r="C115">
        <v>2171.1790000000001</v>
      </c>
    </row>
    <row r="116" spans="1:3" x14ac:dyDescent="0.25">
      <c r="A116" t="s">
        <v>163</v>
      </c>
      <c r="B116">
        <v>1502.5329999999999</v>
      </c>
      <c r="C116">
        <v>2035.69</v>
      </c>
    </row>
    <row r="117" spans="1:3" x14ac:dyDescent="0.25">
      <c r="A117" t="s">
        <v>164</v>
      </c>
      <c r="B117">
        <v>1149.952</v>
      </c>
      <c r="C117">
        <v>1617.729</v>
      </c>
    </row>
    <row r="118" spans="1:3" x14ac:dyDescent="0.25">
      <c r="A118" t="s">
        <v>165</v>
      </c>
      <c r="B118">
        <v>1274.9280000000001</v>
      </c>
      <c r="C118">
        <v>1786.8309999999999</v>
      </c>
    </row>
    <row r="119" spans="1:3" x14ac:dyDescent="0.25">
      <c r="A119" t="s">
        <v>166</v>
      </c>
      <c r="B119">
        <v>1307.693</v>
      </c>
      <c r="C119">
        <v>1804.0440000000001</v>
      </c>
    </row>
    <row r="120" spans="1:3" x14ac:dyDescent="0.25">
      <c r="A120" t="s">
        <v>167</v>
      </c>
      <c r="B120">
        <v>771.92970000000003</v>
      </c>
      <c r="C120">
        <v>1098.5150000000001</v>
      </c>
    </row>
    <row r="121" spans="1:3" x14ac:dyDescent="0.25">
      <c r="A121" t="s">
        <v>168</v>
      </c>
      <c r="B121">
        <v>927.19079999999997</v>
      </c>
      <c r="C121">
        <v>1292.1489999999999</v>
      </c>
    </row>
    <row r="122" spans="1:3" x14ac:dyDescent="0.25">
      <c r="A122" t="s">
        <v>169</v>
      </c>
      <c r="B122">
        <v>911.98969999999997</v>
      </c>
      <c r="C122">
        <v>1280.6659999999999</v>
      </c>
    </row>
    <row r="123" spans="1:3" x14ac:dyDescent="0.25">
      <c r="A123" t="s">
        <v>170</v>
      </c>
      <c r="B123">
        <v>934.9153</v>
      </c>
      <c r="C123">
        <v>1318.723</v>
      </c>
    </row>
    <row r="124" spans="1:3" x14ac:dyDescent="0.25">
      <c r="A124" t="s">
        <v>171</v>
      </c>
      <c r="B124">
        <v>1058.202</v>
      </c>
      <c r="C124">
        <v>1504.7829999999999</v>
      </c>
    </row>
    <row r="125" spans="1:3" x14ac:dyDescent="0.25">
      <c r="A125" t="s">
        <v>172</v>
      </c>
      <c r="B125">
        <v>1185.7809999999999</v>
      </c>
      <c r="C125">
        <v>1613.44</v>
      </c>
    </row>
    <row r="126" spans="1:3" x14ac:dyDescent="0.25">
      <c r="A126" t="s">
        <v>173</v>
      </c>
      <c r="B126">
        <v>876.66560000000004</v>
      </c>
      <c r="C126">
        <v>1281.2809999999999</v>
      </c>
    </row>
    <row r="127" spans="1:3" x14ac:dyDescent="0.25">
      <c r="A127" t="s">
        <v>174</v>
      </c>
      <c r="B127">
        <v>968.0181</v>
      </c>
      <c r="C127">
        <v>1393.9459999999999</v>
      </c>
    </row>
    <row r="128" spans="1:3" x14ac:dyDescent="0.25">
      <c r="A128" t="s">
        <v>175</v>
      </c>
      <c r="B128">
        <v>1023.114</v>
      </c>
      <c r="C128">
        <v>1476.758</v>
      </c>
    </row>
    <row r="129" spans="1:3" x14ac:dyDescent="0.25">
      <c r="A129" t="s">
        <v>176</v>
      </c>
      <c r="B129">
        <v>1188.443</v>
      </c>
      <c r="C129">
        <v>1671.5509999999999</v>
      </c>
    </row>
    <row r="130" spans="1:3" x14ac:dyDescent="0.25">
      <c r="A130" t="s">
        <v>177</v>
      </c>
      <c r="B130">
        <v>1026.675</v>
      </c>
      <c r="C130">
        <v>1468.049</v>
      </c>
    </row>
    <row r="131" spans="1:3" x14ac:dyDescent="0.25">
      <c r="A131" t="s">
        <v>178</v>
      </c>
      <c r="B131">
        <v>1258.7819999999999</v>
      </c>
      <c r="C131">
        <v>1768.06</v>
      </c>
    </row>
    <row r="132" spans="1:3" x14ac:dyDescent="0.25">
      <c r="A132" t="s">
        <v>179</v>
      </c>
      <c r="B132">
        <v>1327.077</v>
      </c>
      <c r="C132">
        <v>1801.7249999999999</v>
      </c>
    </row>
    <row r="133" spans="1:3" x14ac:dyDescent="0.25">
      <c r="A133" t="s">
        <v>180</v>
      </c>
      <c r="B133">
        <v>1399.74</v>
      </c>
      <c r="C133">
        <v>1882.41</v>
      </c>
    </row>
    <row r="134" spans="1:3" x14ac:dyDescent="0.25">
      <c r="A134" t="s">
        <v>181</v>
      </c>
      <c r="B134">
        <v>1317.758</v>
      </c>
      <c r="C134">
        <v>1750.598</v>
      </c>
    </row>
    <row r="135" spans="1:3" x14ac:dyDescent="0.25">
      <c r="A135" t="s">
        <v>182</v>
      </c>
      <c r="B135">
        <v>1363.6120000000001</v>
      </c>
      <c r="C135">
        <v>1850.617</v>
      </c>
    </row>
    <row r="136" spans="1:3" x14ac:dyDescent="0.25">
      <c r="A136" t="s">
        <v>183</v>
      </c>
      <c r="B136">
        <v>952.11879999999996</v>
      </c>
      <c r="C136">
        <v>1311.5920000000001</v>
      </c>
    </row>
    <row r="137" spans="1:3" x14ac:dyDescent="0.25">
      <c r="A137" t="s">
        <v>184</v>
      </c>
      <c r="B137">
        <v>1325.664</v>
      </c>
      <c r="C137">
        <v>1815.5840000000001</v>
      </c>
    </row>
    <row r="138" spans="1:3" x14ac:dyDescent="0.25">
      <c r="A138" t="s">
        <v>185</v>
      </c>
      <c r="B138">
        <v>1572.941</v>
      </c>
      <c r="C138">
        <v>2190.538</v>
      </c>
    </row>
    <row r="139" spans="1:3" x14ac:dyDescent="0.25">
      <c r="A139" t="s">
        <v>186</v>
      </c>
      <c r="B139">
        <v>1528.2670000000001</v>
      </c>
      <c r="C139">
        <v>2104.9720000000002</v>
      </c>
    </row>
    <row r="140" spans="1:3" x14ac:dyDescent="0.25">
      <c r="A140" t="s">
        <v>187</v>
      </c>
      <c r="B140">
        <v>1490.518</v>
      </c>
      <c r="C140">
        <v>2035.1310000000001</v>
      </c>
    </row>
    <row r="141" spans="1:3" x14ac:dyDescent="0.25">
      <c r="A141" t="s">
        <v>188</v>
      </c>
      <c r="B141">
        <v>1423.5550000000001</v>
      </c>
      <c r="C141">
        <v>1985.23</v>
      </c>
    </row>
    <row r="142" spans="1:3" x14ac:dyDescent="0.25">
      <c r="A142" t="s">
        <v>189</v>
      </c>
      <c r="B142">
        <v>1293.2719999999999</v>
      </c>
      <c r="C142">
        <v>1814.441</v>
      </c>
    </row>
    <row r="143" spans="1:3" x14ac:dyDescent="0.25">
      <c r="A143" t="s">
        <v>190</v>
      </c>
      <c r="B143">
        <v>1276.999</v>
      </c>
      <c r="C143">
        <v>1770.386</v>
      </c>
    </row>
    <row r="144" spans="1:3" x14ac:dyDescent="0.25">
      <c r="A144" t="s">
        <v>191</v>
      </c>
      <c r="B144">
        <v>1202.731</v>
      </c>
      <c r="C144">
        <v>1693.4459999999999</v>
      </c>
    </row>
    <row r="145" spans="1:3" x14ac:dyDescent="0.25">
      <c r="A145" t="s">
        <v>192</v>
      </c>
      <c r="B145">
        <v>1236.6220000000001</v>
      </c>
      <c r="C145">
        <v>1750.2950000000001</v>
      </c>
    </row>
    <row r="146" spans="1:3" x14ac:dyDescent="0.25">
      <c r="A146" t="s">
        <v>193</v>
      </c>
      <c r="B146">
        <v>1196.662</v>
      </c>
      <c r="C146">
        <v>1663.652</v>
      </c>
    </row>
    <row r="147" spans="1:3" x14ac:dyDescent="0.25">
      <c r="A147" t="s">
        <v>194</v>
      </c>
      <c r="B147">
        <v>1451.2940000000001</v>
      </c>
      <c r="C147">
        <v>1931.855</v>
      </c>
    </row>
    <row r="148" spans="1:3" x14ac:dyDescent="0.25">
      <c r="A148" t="s">
        <v>195</v>
      </c>
      <c r="B148">
        <v>1520.2449999999999</v>
      </c>
      <c r="C148">
        <v>2780.701</v>
      </c>
    </row>
    <row r="149" spans="1:3" x14ac:dyDescent="0.25">
      <c r="A149" t="s">
        <v>196</v>
      </c>
      <c r="B149">
        <v>1590.383</v>
      </c>
      <c r="C149">
        <v>2130.1489999999999</v>
      </c>
    </row>
    <row r="150" spans="1:3" x14ac:dyDescent="0.25">
      <c r="A150" t="s">
        <v>197</v>
      </c>
      <c r="B150">
        <v>1596.9670000000001</v>
      </c>
      <c r="C150">
        <v>2187.3609999999999</v>
      </c>
    </row>
    <row r="151" spans="1:3" x14ac:dyDescent="0.25">
      <c r="A151" t="s">
        <v>198</v>
      </c>
      <c r="B151">
        <v>1447.2270000000001</v>
      </c>
      <c r="C151">
        <v>2012.6990000000001</v>
      </c>
    </row>
    <row r="152" spans="1:3" x14ac:dyDescent="0.25">
      <c r="A152" t="s">
        <v>199</v>
      </c>
      <c r="B152">
        <v>1465.7249999999999</v>
      </c>
      <c r="C152">
        <v>2050.0990000000002</v>
      </c>
    </row>
    <row r="153" spans="1:3" x14ac:dyDescent="0.25">
      <c r="A153" t="s">
        <v>200</v>
      </c>
      <c r="B153">
        <v>1481.174</v>
      </c>
      <c r="C153">
        <v>2029.4010000000001</v>
      </c>
    </row>
    <row r="154" spans="1:3" x14ac:dyDescent="0.25">
      <c r="A154" t="s">
        <v>201</v>
      </c>
      <c r="B154">
        <v>1276.2090000000001</v>
      </c>
      <c r="C154">
        <v>1827.299</v>
      </c>
    </row>
    <row r="155" spans="1:3" x14ac:dyDescent="0.25">
      <c r="A155" t="s">
        <v>202</v>
      </c>
      <c r="B155">
        <v>1360.5409999999999</v>
      </c>
      <c r="C155">
        <v>1920.1969999999999</v>
      </c>
    </row>
    <row r="156" spans="1:3" x14ac:dyDescent="0.25">
      <c r="A156" t="s">
        <v>203</v>
      </c>
      <c r="B156">
        <v>871.31089999999995</v>
      </c>
      <c r="C156">
        <v>1272.701</v>
      </c>
    </row>
    <row r="157" spans="1:3" x14ac:dyDescent="0.25">
      <c r="A157" t="s">
        <v>204</v>
      </c>
      <c r="B157">
        <v>825.05629999999996</v>
      </c>
      <c r="C157">
        <v>1198.296</v>
      </c>
    </row>
    <row r="158" spans="1:3" x14ac:dyDescent="0.25">
      <c r="A158" t="s">
        <v>205</v>
      </c>
      <c r="B158">
        <v>1084.758</v>
      </c>
      <c r="C158">
        <v>1578.711</v>
      </c>
    </row>
    <row r="159" spans="1:3" x14ac:dyDescent="0.25">
      <c r="A159" t="s">
        <v>206</v>
      </c>
      <c r="B159">
        <v>1329.366</v>
      </c>
      <c r="C159">
        <v>1849.5530000000001</v>
      </c>
    </row>
    <row r="160" spans="1:3" x14ac:dyDescent="0.25">
      <c r="A160" t="s">
        <v>207</v>
      </c>
      <c r="B160">
        <v>1429.7729999999999</v>
      </c>
      <c r="C160">
        <v>2009.4110000000001</v>
      </c>
    </row>
    <row r="161" spans="1:3" x14ac:dyDescent="0.25">
      <c r="A161" t="s">
        <v>208</v>
      </c>
      <c r="B161">
        <v>1200.739</v>
      </c>
      <c r="C161">
        <v>1643.635</v>
      </c>
    </row>
    <row r="162" spans="1:3" x14ac:dyDescent="0.25">
      <c r="A162" t="s">
        <v>209</v>
      </c>
      <c r="B162">
        <v>1284.2660000000001</v>
      </c>
      <c r="C162">
        <v>1834.665</v>
      </c>
    </row>
    <row r="163" spans="1:3" x14ac:dyDescent="0.25">
      <c r="A163" t="s">
        <v>210</v>
      </c>
      <c r="B163">
        <v>1248.5029999999999</v>
      </c>
      <c r="C163">
        <v>1732.4190000000001</v>
      </c>
    </row>
    <row r="164" spans="1:3" x14ac:dyDescent="0.25">
      <c r="A164" t="s">
        <v>211</v>
      </c>
      <c r="B164">
        <v>1421.672</v>
      </c>
      <c r="C164">
        <v>1936.9090000000001</v>
      </c>
    </row>
    <row r="165" spans="1:3" x14ac:dyDescent="0.25">
      <c r="A165" t="s">
        <v>212</v>
      </c>
      <c r="B165">
        <v>1678.4590000000001</v>
      </c>
      <c r="C165">
        <v>2231.4780000000001</v>
      </c>
    </row>
    <row r="166" spans="1:3" x14ac:dyDescent="0.25">
      <c r="A166" t="s">
        <v>213</v>
      </c>
      <c r="B166">
        <v>1726.6579999999999</v>
      </c>
      <c r="C166">
        <v>2308.6770000000001</v>
      </c>
    </row>
    <row r="167" spans="1:3" x14ac:dyDescent="0.25">
      <c r="A167" t="s">
        <v>214</v>
      </c>
      <c r="B167">
        <v>1679.413</v>
      </c>
      <c r="C167">
        <v>2248.87</v>
      </c>
    </row>
    <row r="168" spans="1:3" x14ac:dyDescent="0.25">
      <c r="A168" t="s">
        <v>215</v>
      </c>
      <c r="B168">
        <v>730.32680000000005</v>
      </c>
      <c r="C168">
        <v>1085.6210000000001</v>
      </c>
    </row>
    <row r="169" spans="1:3" x14ac:dyDescent="0.25">
      <c r="A169" t="s">
        <v>216</v>
      </c>
      <c r="B169">
        <v>634.85929999999996</v>
      </c>
      <c r="C169">
        <v>957.17250000000001</v>
      </c>
    </row>
    <row r="170" spans="1:3" x14ac:dyDescent="0.25">
      <c r="A170" t="s">
        <v>217</v>
      </c>
      <c r="B170">
        <v>769.62339999999995</v>
      </c>
      <c r="C170">
        <v>1139.8219999999999</v>
      </c>
    </row>
    <row r="171" spans="1:3" x14ac:dyDescent="0.25">
      <c r="A171" t="s">
        <v>218</v>
      </c>
      <c r="B171">
        <v>1232.2670000000001</v>
      </c>
      <c r="C171">
        <v>1685.741</v>
      </c>
    </row>
    <row r="172" spans="1:3" x14ac:dyDescent="0.25">
      <c r="A172" t="s">
        <v>219</v>
      </c>
      <c r="B172">
        <v>1341.2760000000001</v>
      </c>
      <c r="C172">
        <v>1856.404</v>
      </c>
    </row>
    <row r="173" spans="1:3" x14ac:dyDescent="0.25">
      <c r="A173" t="s">
        <v>220</v>
      </c>
      <c r="B173">
        <v>1424.9259999999999</v>
      </c>
      <c r="C173">
        <v>1951.954</v>
      </c>
    </row>
    <row r="174" spans="1:3" x14ac:dyDescent="0.25">
      <c r="A174" t="s">
        <v>221</v>
      </c>
      <c r="B174">
        <v>1695.0540000000001</v>
      </c>
      <c r="C174">
        <v>2276.2159999999999</v>
      </c>
    </row>
    <row r="175" spans="1:3" x14ac:dyDescent="0.25">
      <c r="A175" t="s">
        <v>222</v>
      </c>
      <c r="B175">
        <v>1477.605</v>
      </c>
      <c r="C175">
        <v>2037.7429999999999</v>
      </c>
    </row>
    <row r="176" spans="1:3" x14ac:dyDescent="0.25">
      <c r="A176" t="s">
        <v>223</v>
      </c>
      <c r="B176">
        <v>1328.395</v>
      </c>
      <c r="C176">
        <v>1837.779</v>
      </c>
    </row>
    <row r="177" spans="1:3" x14ac:dyDescent="0.25">
      <c r="A177" t="s">
        <v>224</v>
      </c>
      <c r="B177">
        <v>1371.06</v>
      </c>
      <c r="C177">
        <v>1907.979</v>
      </c>
    </row>
    <row r="178" spans="1:3" x14ac:dyDescent="0.25">
      <c r="A178" t="s">
        <v>225</v>
      </c>
      <c r="B178">
        <v>1347.6210000000001</v>
      </c>
      <c r="C178">
        <v>1867.4169999999999</v>
      </c>
    </row>
    <row r="179" spans="1:3" x14ac:dyDescent="0.25">
      <c r="A179" t="s">
        <v>226</v>
      </c>
      <c r="B179">
        <v>1424.46</v>
      </c>
      <c r="C179">
        <v>2019.6120000000001</v>
      </c>
    </row>
    <row r="180" spans="1:3" x14ac:dyDescent="0.25">
      <c r="A180" t="s">
        <v>227</v>
      </c>
      <c r="B180">
        <v>1584.3920000000001</v>
      </c>
      <c r="C180">
        <v>2141.3290000000002</v>
      </c>
    </row>
    <row r="181" spans="1:3" x14ac:dyDescent="0.25">
      <c r="A181" t="s">
        <v>228</v>
      </c>
      <c r="B181">
        <v>1450.4970000000001</v>
      </c>
      <c r="C181">
        <v>1959.6120000000001</v>
      </c>
    </row>
    <row r="182" spans="1:3" x14ac:dyDescent="0.25">
      <c r="A182" t="s">
        <v>229</v>
      </c>
      <c r="B182">
        <v>1655.722</v>
      </c>
      <c r="C182">
        <v>2185.1680000000001</v>
      </c>
    </row>
    <row r="183" spans="1:3" x14ac:dyDescent="0.25">
      <c r="A183" t="s">
        <v>230</v>
      </c>
      <c r="B183">
        <v>1432.098</v>
      </c>
      <c r="C183">
        <v>1944.944</v>
      </c>
    </row>
    <row r="184" spans="1:3" x14ac:dyDescent="0.25">
      <c r="A184" t="s">
        <v>231</v>
      </c>
      <c r="B184">
        <v>1432.942</v>
      </c>
      <c r="C184">
        <v>1926.7260000000001</v>
      </c>
    </row>
    <row r="185" spans="1:3" x14ac:dyDescent="0.25">
      <c r="A185" t="s">
        <v>232</v>
      </c>
      <c r="B185">
        <v>1363.6310000000001</v>
      </c>
      <c r="C185">
        <v>1911.0039999999999</v>
      </c>
    </row>
    <row r="186" spans="1:3" x14ac:dyDescent="0.25">
      <c r="A186" t="s">
        <v>233</v>
      </c>
      <c r="B186">
        <v>1470.066</v>
      </c>
      <c r="C186">
        <v>1937.3720000000001</v>
      </c>
    </row>
    <row r="187" spans="1:3" x14ac:dyDescent="0.25">
      <c r="A187" t="s">
        <v>234</v>
      </c>
      <c r="B187">
        <v>1369.3789999999999</v>
      </c>
      <c r="C187">
        <v>1884.11</v>
      </c>
    </row>
    <row r="188" spans="1:3" x14ac:dyDescent="0.25">
      <c r="A188" t="s">
        <v>235</v>
      </c>
      <c r="B188">
        <v>1305.5160000000001</v>
      </c>
      <c r="C188">
        <v>1831.6189999999999</v>
      </c>
    </row>
    <row r="189" spans="1:3" x14ac:dyDescent="0.25">
      <c r="A189" t="s">
        <v>236</v>
      </c>
      <c r="B189">
        <v>1608.413</v>
      </c>
      <c r="C189">
        <v>2247.9029999999998</v>
      </c>
    </row>
    <row r="190" spans="1:3" x14ac:dyDescent="0.25">
      <c r="A190" t="s">
        <v>237</v>
      </c>
      <c r="B190">
        <v>1464.1489999999999</v>
      </c>
      <c r="C190">
        <v>2042.1020000000001</v>
      </c>
    </row>
    <row r="191" spans="1:3" x14ac:dyDescent="0.25">
      <c r="A191" t="s">
        <v>238</v>
      </c>
      <c r="B191">
        <v>1353.693</v>
      </c>
      <c r="C191">
        <v>1928.2819999999999</v>
      </c>
    </row>
    <row r="192" spans="1:3" x14ac:dyDescent="0.25">
      <c r="A192" t="s">
        <v>239</v>
      </c>
      <c r="B192">
        <v>1309.202</v>
      </c>
      <c r="C192">
        <v>1823.1849999999999</v>
      </c>
    </row>
    <row r="193" spans="1:3" x14ac:dyDescent="0.25">
      <c r="A193" t="s">
        <v>240</v>
      </c>
      <c r="B193">
        <v>1219.2080000000001</v>
      </c>
      <c r="C193">
        <v>1712.6959999999999</v>
      </c>
    </row>
    <row r="194" spans="1:3" x14ac:dyDescent="0.25">
      <c r="A194" t="s">
        <v>241</v>
      </c>
      <c r="B194">
        <v>1009.7</v>
      </c>
      <c r="C194">
        <v>1432.8130000000001</v>
      </c>
    </row>
    <row r="195" spans="1:3" x14ac:dyDescent="0.25">
      <c r="A195" t="s">
        <v>242</v>
      </c>
      <c r="B195">
        <v>1344.9770000000001</v>
      </c>
      <c r="C195">
        <v>1906.19</v>
      </c>
    </row>
    <row r="196" spans="1:3" x14ac:dyDescent="0.25">
      <c r="A196" t="s">
        <v>243</v>
      </c>
      <c r="B196">
        <v>1211.5909999999999</v>
      </c>
      <c r="C196">
        <v>1744.691</v>
      </c>
    </row>
    <row r="197" spans="1:3" x14ac:dyDescent="0.25">
      <c r="A197" t="s">
        <v>244</v>
      </c>
      <c r="B197">
        <v>1301.1569999999999</v>
      </c>
      <c r="C197">
        <v>1840.896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D2E1-39BD-498E-B8DF-535C8F54F77D}">
  <dimension ref="A1:N203"/>
  <sheetViews>
    <sheetView topLeftCell="E1" zoomScaleNormal="100" workbookViewId="0">
      <selection activeCell="L8" sqref="L8"/>
    </sheetView>
  </sheetViews>
  <sheetFormatPr defaultRowHeight="14.25" x14ac:dyDescent="0.2"/>
  <cols>
    <col min="1" max="1" width="9.140625" style="14"/>
    <col min="2" max="2" width="5.42578125" style="14" customWidth="1"/>
    <col min="3" max="3" width="4.7109375" style="14" customWidth="1"/>
    <col min="4" max="4" width="9.140625" style="15"/>
    <col min="5" max="5" width="8" style="14" customWidth="1"/>
    <col min="6" max="6" width="21.42578125" style="14" customWidth="1"/>
    <col min="7" max="16384" width="9.140625" style="14"/>
  </cols>
  <sheetData>
    <row r="1" spans="1:12" ht="15.75" x14ac:dyDescent="0.25">
      <c r="A1" s="73" t="s">
        <v>414</v>
      </c>
      <c r="B1" s="72" t="s">
        <v>413</v>
      </c>
      <c r="C1" s="42"/>
      <c r="E1" s="67" t="s">
        <v>412</v>
      </c>
      <c r="F1" s="66" t="s">
        <v>411</v>
      </c>
      <c r="G1" s="17"/>
      <c r="H1" s="16"/>
      <c r="L1" s="14" t="s">
        <v>410</v>
      </c>
    </row>
    <row r="2" spans="1:12" ht="18" customHeight="1" x14ac:dyDescent="0.25">
      <c r="A2" s="72"/>
      <c r="B2" s="71"/>
      <c r="C2" s="70"/>
      <c r="D2" s="67"/>
      <c r="E2" s="69"/>
      <c r="F2" s="68"/>
      <c r="H2" s="18"/>
      <c r="I2" s="18"/>
      <c r="J2" s="17"/>
      <c r="K2" s="16"/>
      <c r="L2" s="16" t="s">
        <v>409</v>
      </c>
    </row>
    <row r="3" spans="1:12" ht="15.75" x14ac:dyDescent="0.25">
      <c r="B3" s="56" t="s">
        <v>408</v>
      </c>
      <c r="D3" s="66" t="s">
        <v>407</v>
      </c>
      <c r="E3" s="67"/>
      <c r="F3" s="66"/>
      <c r="G3" s="16"/>
      <c r="I3" s="18"/>
      <c r="J3" s="18"/>
      <c r="K3" s="17"/>
      <c r="L3" s="14" t="s">
        <v>406</v>
      </c>
    </row>
    <row r="4" spans="1:12" ht="30" customHeight="1" x14ac:dyDescent="0.2">
      <c r="B4" s="65" t="s">
        <v>405</v>
      </c>
      <c r="C4" s="63"/>
      <c r="D4" s="63"/>
      <c r="E4" s="64"/>
      <c r="F4" s="63"/>
      <c r="H4" s="18"/>
      <c r="I4" s="18"/>
      <c r="J4" s="17"/>
      <c r="K4" s="16"/>
      <c r="L4" s="14" t="s">
        <v>404</v>
      </c>
    </row>
    <row r="5" spans="1:12" ht="35.1" customHeight="1" x14ac:dyDescent="0.2">
      <c r="B5" s="62" t="s">
        <v>403</v>
      </c>
      <c r="C5" s="42"/>
      <c r="E5" s="42"/>
      <c r="F5" s="60"/>
      <c r="H5" s="18"/>
      <c r="I5" s="18"/>
      <c r="J5" s="17"/>
      <c r="K5" s="16"/>
      <c r="L5" s="14" t="s">
        <v>402</v>
      </c>
    </row>
    <row r="6" spans="1:12" ht="35.1" customHeight="1" x14ac:dyDescent="0.2">
      <c r="B6" s="160" t="s">
        <v>401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</row>
    <row r="7" spans="1:12" x14ac:dyDescent="0.2">
      <c r="B7" s="61" t="s">
        <v>400</v>
      </c>
      <c r="E7" s="42"/>
      <c r="F7" s="60"/>
      <c r="H7" s="18"/>
      <c r="I7" s="18"/>
      <c r="J7" s="17"/>
      <c r="K7" s="16"/>
    </row>
    <row r="8" spans="1:12" x14ac:dyDescent="0.2">
      <c r="B8" s="59" t="s">
        <v>399</v>
      </c>
      <c r="C8" s="42"/>
      <c r="E8" s="42"/>
      <c r="F8" s="58"/>
      <c r="G8" s="57"/>
      <c r="I8" s="18"/>
      <c r="J8" s="17"/>
      <c r="K8" s="16"/>
    </row>
    <row r="9" spans="1:12" ht="24" customHeight="1" x14ac:dyDescent="0.25">
      <c r="B9" s="56"/>
      <c r="C9" s="42"/>
      <c r="E9" s="42"/>
      <c r="F9" s="55"/>
      <c r="G9" s="54"/>
      <c r="H9" s="18"/>
      <c r="I9" s="18"/>
      <c r="J9" s="17"/>
      <c r="K9" s="53"/>
    </row>
    <row r="10" spans="1:12" ht="24.75" thickBot="1" x14ac:dyDescent="0.4">
      <c r="B10" s="156" t="s">
        <v>398</v>
      </c>
      <c r="C10" s="156"/>
      <c r="D10" s="52" t="s">
        <v>397</v>
      </c>
      <c r="E10" s="51" t="s">
        <v>396</v>
      </c>
      <c r="F10" s="50" t="s">
        <v>395</v>
      </c>
      <c r="G10" s="49"/>
      <c r="H10" s="48"/>
      <c r="I10" s="47" t="s">
        <v>394</v>
      </c>
      <c r="J10" s="46"/>
      <c r="K10" s="45"/>
      <c r="L10" s="44" t="s">
        <v>393</v>
      </c>
    </row>
    <row r="11" spans="1:12" ht="17.25" customHeight="1" x14ac:dyDescent="0.2">
      <c r="A11" s="24"/>
      <c r="B11" s="34" t="s">
        <v>390</v>
      </c>
      <c r="C11" s="33">
        <v>1</v>
      </c>
      <c r="D11" s="32" t="s">
        <v>354</v>
      </c>
      <c r="E11" s="31" t="s">
        <v>359</v>
      </c>
      <c r="F11" s="30">
        <v>21.9</v>
      </c>
      <c r="G11" s="15"/>
      <c r="H11" s="18"/>
      <c r="I11" s="18" t="s">
        <v>392</v>
      </c>
      <c r="J11" s="42">
        <v>60</v>
      </c>
      <c r="K11" s="41">
        <f>AVERAGEIFS(F$11:F$205,$E$11:$E$205, "60-60")</f>
        <v>16.358333333333334</v>
      </c>
    </row>
    <row r="12" spans="1:12" ht="15.75" x14ac:dyDescent="0.2">
      <c r="A12" s="24"/>
      <c r="B12" s="35"/>
      <c r="C12" s="28"/>
      <c r="D12" s="27" t="s">
        <v>355</v>
      </c>
      <c r="E12" s="26" t="s">
        <v>359</v>
      </c>
      <c r="F12" s="25">
        <v>23.2</v>
      </c>
      <c r="G12" s="15"/>
      <c r="H12" s="18"/>
      <c r="I12" s="18" t="s">
        <v>392</v>
      </c>
      <c r="J12" s="42">
        <v>80</v>
      </c>
      <c r="K12" s="41">
        <f>AVERAGEIFS(F$11:F$205,$E$11:$E$205, "60-80")</f>
        <v>16.283333333333335</v>
      </c>
    </row>
    <row r="13" spans="1:12" ht="16.5" thickBot="1" x14ac:dyDescent="0.25">
      <c r="A13" s="24"/>
      <c r="B13" s="23"/>
      <c r="C13" s="22"/>
      <c r="D13" s="21" t="s">
        <v>356</v>
      </c>
      <c r="E13" s="20" t="s">
        <v>359</v>
      </c>
      <c r="F13" s="19">
        <v>22.6</v>
      </c>
      <c r="G13" s="15"/>
      <c r="H13" s="18"/>
      <c r="I13" s="18" t="s">
        <v>392</v>
      </c>
      <c r="J13" s="42">
        <v>100</v>
      </c>
      <c r="K13" s="41">
        <f>AVERAGEIFS(F$11:F$205,$E$11:$E$205, "60-100")</f>
        <v>14.783333333333337</v>
      </c>
    </row>
    <row r="14" spans="1:12" ht="15.75" x14ac:dyDescent="0.2">
      <c r="A14" s="24"/>
      <c r="B14" s="34" t="s">
        <v>390</v>
      </c>
      <c r="C14" s="33">
        <v>2</v>
      </c>
      <c r="D14" s="32" t="s">
        <v>354</v>
      </c>
      <c r="E14" s="31" t="s">
        <v>361</v>
      </c>
      <c r="F14" s="30">
        <v>24.9</v>
      </c>
      <c r="G14" s="15"/>
      <c r="H14" s="18"/>
      <c r="I14" s="18" t="s">
        <v>392</v>
      </c>
      <c r="J14" s="42">
        <v>120</v>
      </c>
      <c r="K14" s="41">
        <f>AVERAGEIFS(F$11:F$205,$E$11:$E$205, "60-120")</f>
        <v>14.700000000000001</v>
      </c>
    </row>
    <row r="15" spans="1:12" ht="15.75" x14ac:dyDescent="0.2">
      <c r="A15" s="24"/>
      <c r="B15" s="29"/>
      <c r="C15" s="28"/>
      <c r="D15" s="27" t="s">
        <v>355</v>
      </c>
      <c r="E15" s="26" t="s">
        <v>361</v>
      </c>
      <c r="F15" s="25">
        <v>23</v>
      </c>
      <c r="G15" s="15"/>
      <c r="H15" s="18"/>
      <c r="I15" s="18"/>
      <c r="J15" s="17"/>
      <c r="K15" s="16"/>
    </row>
    <row r="16" spans="1:12" ht="16.5" thickBot="1" x14ac:dyDescent="0.25">
      <c r="A16" s="24"/>
      <c r="B16" s="23"/>
      <c r="C16" s="22"/>
      <c r="D16" s="21" t="s">
        <v>356</v>
      </c>
      <c r="E16" s="20" t="s">
        <v>361</v>
      </c>
      <c r="F16" s="19">
        <v>23.8</v>
      </c>
      <c r="G16" s="15"/>
      <c r="H16" s="18"/>
      <c r="I16" s="18" t="s">
        <v>391</v>
      </c>
      <c r="J16" s="42">
        <v>60</v>
      </c>
      <c r="K16" s="41">
        <f>AVERAGEIFS(F$11:F$205,$E$11:$E$205, "80-60")</f>
        <v>18.608333333333338</v>
      </c>
    </row>
    <row r="17" spans="1:11" ht="15.75" x14ac:dyDescent="0.2">
      <c r="A17" s="24"/>
      <c r="B17" s="34" t="s">
        <v>390</v>
      </c>
      <c r="C17" s="33">
        <v>3</v>
      </c>
      <c r="D17" s="32" t="s">
        <v>354</v>
      </c>
      <c r="E17" s="31" t="s">
        <v>371</v>
      </c>
      <c r="F17" s="30">
        <v>23.2</v>
      </c>
      <c r="G17" s="15"/>
      <c r="H17" s="18"/>
      <c r="I17" s="18" t="s">
        <v>391</v>
      </c>
      <c r="J17" s="42">
        <v>80</v>
      </c>
      <c r="K17" s="41">
        <f>AVERAGEIFS(F$11:F$205,$E$11:$E$205, "80-80")</f>
        <v>20.216666666666665</v>
      </c>
    </row>
    <row r="18" spans="1:11" ht="15.75" x14ac:dyDescent="0.2">
      <c r="A18" s="24"/>
      <c r="B18" s="29"/>
      <c r="C18" s="28"/>
      <c r="D18" s="27" t="s">
        <v>355</v>
      </c>
      <c r="E18" s="26" t="s">
        <v>371</v>
      </c>
      <c r="F18" s="25">
        <v>20.7</v>
      </c>
      <c r="G18" s="15"/>
      <c r="H18" s="18"/>
      <c r="I18" s="18" t="s">
        <v>391</v>
      </c>
      <c r="J18" s="42">
        <v>100</v>
      </c>
      <c r="K18" s="41">
        <f>AVERAGEIFS(F$11:F$205,$E$11:$E$205, "80-100")</f>
        <v>19.741666666666667</v>
      </c>
    </row>
    <row r="19" spans="1:11" ht="16.5" thickBot="1" x14ac:dyDescent="0.25">
      <c r="A19" s="24"/>
      <c r="B19" s="23"/>
      <c r="C19" s="22"/>
      <c r="D19" s="21" t="s">
        <v>356</v>
      </c>
      <c r="E19" s="20" t="s">
        <v>371</v>
      </c>
      <c r="F19" s="19">
        <v>20</v>
      </c>
      <c r="G19" s="15"/>
      <c r="H19" s="18"/>
      <c r="I19" s="18" t="s">
        <v>391</v>
      </c>
      <c r="J19" s="42">
        <v>120</v>
      </c>
      <c r="K19" s="41">
        <f>AVERAGEIFS(F$11:F$205,$E$11:$E$205, "80-120")</f>
        <v>19.033333333333331</v>
      </c>
    </row>
    <row r="20" spans="1:11" ht="15.75" x14ac:dyDescent="0.2">
      <c r="A20" s="24"/>
      <c r="B20" s="34" t="s">
        <v>390</v>
      </c>
      <c r="C20" s="33">
        <v>4</v>
      </c>
      <c r="D20" s="32" t="s">
        <v>354</v>
      </c>
      <c r="E20" s="31" t="s">
        <v>364</v>
      </c>
      <c r="F20" s="30">
        <v>15.6</v>
      </c>
      <c r="G20" s="15"/>
      <c r="H20" s="18"/>
      <c r="I20" s="18"/>
      <c r="J20" s="17"/>
      <c r="K20" s="16"/>
    </row>
    <row r="21" spans="1:11" ht="15.75" x14ac:dyDescent="0.2">
      <c r="A21" s="24"/>
      <c r="B21" s="29"/>
      <c r="C21" s="28"/>
      <c r="D21" s="27" t="s">
        <v>355</v>
      </c>
      <c r="E21" s="26" t="s">
        <v>364</v>
      </c>
      <c r="F21" s="25">
        <v>14</v>
      </c>
      <c r="G21" s="15"/>
      <c r="H21" s="18"/>
      <c r="I21" s="18" t="s">
        <v>389</v>
      </c>
      <c r="J21" s="42">
        <v>60</v>
      </c>
      <c r="K21" s="41">
        <f>AVERAGEIFS(F$11:F$205,$E$11:$E$205, "100-60")</f>
        <v>21.441666666666666</v>
      </c>
    </row>
    <row r="22" spans="1:11" ht="16.5" thickBot="1" x14ac:dyDescent="0.25">
      <c r="A22" s="24"/>
      <c r="B22" s="23"/>
      <c r="C22" s="22"/>
      <c r="D22" s="21" t="s">
        <v>356</v>
      </c>
      <c r="E22" s="20" t="s">
        <v>364</v>
      </c>
      <c r="F22" s="19">
        <v>15.6</v>
      </c>
      <c r="G22" s="15"/>
      <c r="H22" s="18"/>
      <c r="I22" s="18" t="s">
        <v>389</v>
      </c>
      <c r="J22" s="42">
        <v>80</v>
      </c>
      <c r="K22" s="41">
        <f>AVERAGEIFS(F$11:F$205,$E$11:$E$205, "100-80")</f>
        <v>20.116666666666667</v>
      </c>
    </row>
    <row r="23" spans="1:11" ht="15.75" x14ac:dyDescent="0.2">
      <c r="A23" s="24"/>
      <c r="B23" s="34" t="s">
        <v>387</v>
      </c>
      <c r="C23" s="33">
        <v>4</v>
      </c>
      <c r="D23" s="32" t="s">
        <v>356</v>
      </c>
      <c r="E23" s="31" t="s">
        <v>358</v>
      </c>
      <c r="F23" s="30">
        <v>22.6</v>
      </c>
      <c r="G23" s="15"/>
      <c r="H23" s="18"/>
      <c r="I23" s="18" t="s">
        <v>389</v>
      </c>
      <c r="J23" s="42">
        <v>100</v>
      </c>
      <c r="K23" s="41">
        <f>AVERAGEIFS(F$11:F$205,$E$11:$E$205, "100-100")</f>
        <v>21.074999999999999</v>
      </c>
    </row>
    <row r="24" spans="1:11" ht="15.75" x14ac:dyDescent="0.2">
      <c r="A24" s="24"/>
      <c r="B24" s="35"/>
      <c r="C24" s="28"/>
      <c r="D24" s="27" t="s">
        <v>355</v>
      </c>
      <c r="E24" s="26" t="s">
        <v>358</v>
      </c>
      <c r="F24" s="25">
        <v>23.1</v>
      </c>
      <c r="G24" s="15"/>
      <c r="H24" s="18"/>
      <c r="I24" s="18" t="s">
        <v>389</v>
      </c>
      <c r="J24" s="42">
        <v>120</v>
      </c>
      <c r="K24" s="41">
        <f>AVERAGEIFS(F$11:F$205,$E$11:$E$205, "100-120")</f>
        <v>20.874999999999996</v>
      </c>
    </row>
    <row r="25" spans="1:11" ht="16.5" thickBot="1" x14ac:dyDescent="0.25">
      <c r="A25" s="24"/>
      <c r="B25" s="23"/>
      <c r="C25" s="22"/>
      <c r="D25" s="21" t="s">
        <v>354</v>
      </c>
      <c r="E25" s="20" t="s">
        <v>358</v>
      </c>
      <c r="F25" s="19">
        <v>25.3</v>
      </c>
      <c r="G25" s="15"/>
      <c r="H25" s="18"/>
      <c r="I25" s="18"/>
      <c r="J25" s="17"/>
      <c r="K25" s="16"/>
    </row>
    <row r="26" spans="1:11" ht="15.75" x14ac:dyDescent="0.2">
      <c r="A26" s="24"/>
      <c r="B26" s="34" t="s">
        <v>387</v>
      </c>
      <c r="C26" s="33">
        <v>3</v>
      </c>
      <c r="D26" s="32" t="s">
        <v>356</v>
      </c>
      <c r="E26" s="31" t="s">
        <v>365</v>
      </c>
      <c r="F26" s="30">
        <v>23.1</v>
      </c>
      <c r="G26" s="15"/>
      <c r="H26" s="18"/>
      <c r="I26" s="18" t="s">
        <v>388</v>
      </c>
      <c r="J26" s="42">
        <v>60</v>
      </c>
      <c r="K26" s="43">
        <f>AVERAGEIFS(F$11:F$205,$E$11:$E$205, "120-60")</f>
        <v>20.333333333333332</v>
      </c>
    </row>
    <row r="27" spans="1:11" ht="15.75" x14ac:dyDescent="0.2">
      <c r="A27" s="24"/>
      <c r="B27" s="29"/>
      <c r="C27" s="28"/>
      <c r="D27" s="27" t="s">
        <v>355</v>
      </c>
      <c r="E27" s="26" t="s">
        <v>365</v>
      </c>
      <c r="F27" s="25">
        <v>21.8</v>
      </c>
      <c r="G27" s="15"/>
      <c r="H27" s="18"/>
      <c r="I27" s="18" t="s">
        <v>388</v>
      </c>
      <c r="J27" s="42">
        <v>80</v>
      </c>
      <c r="K27" s="41">
        <f>AVERAGEIFS(F$11:F$205,$E$11:$E$205, "120-80")</f>
        <v>21.258333333333333</v>
      </c>
    </row>
    <row r="28" spans="1:11" ht="16.5" thickBot="1" x14ac:dyDescent="0.25">
      <c r="A28" s="24"/>
      <c r="B28" s="23"/>
      <c r="C28" s="22"/>
      <c r="D28" s="21" t="s">
        <v>354</v>
      </c>
      <c r="E28" s="20" t="s">
        <v>365</v>
      </c>
      <c r="F28" s="19">
        <v>23.5</v>
      </c>
      <c r="G28" s="15"/>
      <c r="H28" s="18"/>
      <c r="I28" s="18" t="s">
        <v>388</v>
      </c>
      <c r="J28" s="42">
        <v>100</v>
      </c>
      <c r="K28" s="41">
        <f>AVERAGEIFS(F$11:F$205,$E$11:$E$205, "120-100")</f>
        <v>22.258333333333329</v>
      </c>
    </row>
    <row r="29" spans="1:11" ht="15.75" x14ac:dyDescent="0.2">
      <c r="A29" s="24"/>
      <c r="B29" s="34" t="s">
        <v>387</v>
      </c>
      <c r="C29" s="33">
        <v>2</v>
      </c>
      <c r="D29" s="32" t="s">
        <v>356</v>
      </c>
      <c r="E29" s="31" t="s">
        <v>369</v>
      </c>
      <c r="F29" s="30">
        <v>16.7</v>
      </c>
      <c r="G29" s="15"/>
      <c r="H29" s="18"/>
      <c r="I29" s="18" t="s">
        <v>388</v>
      </c>
      <c r="J29" s="42">
        <v>120</v>
      </c>
      <c r="K29" s="41">
        <f>AVERAGEIFS(F$11:F$205,$E$11:$E$205, "120-120")</f>
        <v>22.166666666666668</v>
      </c>
    </row>
    <row r="30" spans="1:11" ht="15.75" x14ac:dyDescent="0.2">
      <c r="A30" s="24"/>
      <c r="B30" s="29"/>
      <c r="C30" s="28"/>
      <c r="D30" s="27" t="s">
        <v>355</v>
      </c>
      <c r="E30" s="26" t="s">
        <v>369</v>
      </c>
      <c r="F30" s="25">
        <v>16.2</v>
      </c>
      <c r="G30" s="15"/>
      <c r="H30" s="18"/>
      <c r="I30" s="18"/>
      <c r="J30" s="17"/>
      <c r="K30" s="16"/>
    </row>
    <row r="31" spans="1:11" ht="16.5" thickBot="1" x14ac:dyDescent="0.25">
      <c r="A31" s="24"/>
      <c r="B31" s="23"/>
      <c r="C31" s="22"/>
      <c r="D31" s="21" t="s">
        <v>354</v>
      </c>
      <c r="E31" s="20" t="s">
        <v>369</v>
      </c>
      <c r="F31" s="19">
        <v>18.399999999999999</v>
      </c>
      <c r="G31" s="15"/>
      <c r="H31" s="18"/>
      <c r="I31" s="18"/>
      <c r="J31" s="17"/>
      <c r="K31" s="16"/>
    </row>
    <row r="32" spans="1:11" ht="15.75" x14ac:dyDescent="0.2">
      <c r="A32" s="24"/>
      <c r="B32" s="34" t="s">
        <v>387</v>
      </c>
      <c r="C32" s="33">
        <v>1</v>
      </c>
      <c r="D32" s="32" t="s">
        <v>356</v>
      </c>
      <c r="E32" s="31" t="s">
        <v>353</v>
      </c>
      <c r="F32" s="30">
        <v>26</v>
      </c>
      <c r="G32" s="15"/>
      <c r="H32" s="18"/>
      <c r="I32" s="18"/>
      <c r="J32" s="17"/>
      <c r="K32" s="16"/>
    </row>
    <row r="33" spans="1:14" ht="15.75" x14ac:dyDescent="0.2">
      <c r="A33" s="24"/>
      <c r="B33" s="29"/>
      <c r="C33" s="28"/>
      <c r="D33" s="27" t="s">
        <v>355</v>
      </c>
      <c r="E33" s="26" t="s">
        <v>353</v>
      </c>
      <c r="F33" s="25">
        <v>27.2</v>
      </c>
      <c r="G33" s="15"/>
      <c r="H33" s="18"/>
      <c r="I33" s="18"/>
      <c r="J33" s="17"/>
      <c r="K33" s="16"/>
    </row>
    <row r="34" spans="1:14" ht="16.5" thickBot="1" x14ac:dyDescent="0.25">
      <c r="A34" s="24"/>
      <c r="B34" s="23"/>
      <c r="C34" s="22"/>
      <c r="D34" s="21" t="s">
        <v>354</v>
      </c>
      <c r="E34" s="20" t="s">
        <v>353</v>
      </c>
      <c r="F34" s="19">
        <v>27.3</v>
      </c>
      <c r="G34" s="15"/>
      <c r="H34" s="18"/>
      <c r="I34" s="18"/>
      <c r="J34" s="17"/>
      <c r="K34" s="16"/>
    </row>
    <row r="35" spans="1:14" ht="15.75" x14ac:dyDescent="0.2">
      <c r="A35" s="24"/>
      <c r="B35" s="34" t="s">
        <v>386</v>
      </c>
      <c r="C35" s="33">
        <v>1</v>
      </c>
      <c r="D35" s="32" t="s">
        <v>354</v>
      </c>
      <c r="E35" s="31" t="s">
        <v>368</v>
      </c>
      <c r="F35" s="30">
        <v>22.7</v>
      </c>
      <c r="G35" s="15"/>
      <c r="H35" s="39"/>
      <c r="I35" s="38"/>
      <c r="J35" s="37"/>
      <c r="K35" s="36"/>
    </row>
    <row r="36" spans="1:14" ht="15.75" x14ac:dyDescent="0.2">
      <c r="A36" s="24"/>
      <c r="B36" s="35"/>
      <c r="C36" s="28"/>
      <c r="D36" s="27" t="s">
        <v>355</v>
      </c>
      <c r="E36" s="26" t="s">
        <v>368</v>
      </c>
      <c r="F36" s="25">
        <v>24.4</v>
      </c>
      <c r="G36" s="15"/>
      <c r="H36" s="39"/>
      <c r="I36" s="38"/>
      <c r="J36" s="37"/>
      <c r="K36" s="36"/>
    </row>
    <row r="37" spans="1:14" ht="16.5" thickBot="1" x14ac:dyDescent="0.25">
      <c r="A37" s="24"/>
      <c r="B37" s="23"/>
      <c r="C37" s="22"/>
      <c r="D37" s="21" t="s">
        <v>356</v>
      </c>
      <c r="E37" s="20" t="s">
        <v>368</v>
      </c>
      <c r="F37" s="19">
        <v>23.8</v>
      </c>
      <c r="G37" s="15"/>
      <c r="H37" s="39"/>
      <c r="I37" s="38"/>
      <c r="J37" s="37"/>
      <c r="K37" s="36"/>
    </row>
    <row r="38" spans="1:14" ht="15.75" x14ac:dyDescent="0.2">
      <c r="A38" s="24"/>
      <c r="B38" s="34" t="s">
        <v>386</v>
      </c>
      <c r="C38" s="33">
        <v>2</v>
      </c>
      <c r="D38" s="32" t="s">
        <v>354</v>
      </c>
      <c r="E38" s="31" t="s">
        <v>366</v>
      </c>
      <c r="F38" s="30">
        <v>15.1</v>
      </c>
      <c r="G38" s="15"/>
      <c r="H38" s="39"/>
      <c r="I38" s="38"/>
      <c r="J38" s="37"/>
      <c r="K38" s="36"/>
    </row>
    <row r="39" spans="1:14" ht="15.75" x14ac:dyDescent="0.2">
      <c r="A39" s="24"/>
      <c r="B39" s="29"/>
      <c r="C39" s="28"/>
      <c r="D39" s="27" t="s">
        <v>355</v>
      </c>
      <c r="E39" s="26" t="s">
        <v>366</v>
      </c>
      <c r="F39" s="25">
        <v>12.9</v>
      </c>
      <c r="G39" s="15"/>
      <c r="H39" s="39"/>
      <c r="I39" s="38"/>
      <c r="J39" s="37"/>
      <c r="K39" s="36"/>
    </row>
    <row r="40" spans="1:14" ht="16.5" thickBot="1" x14ac:dyDescent="0.25">
      <c r="A40" s="24"/>
      <c r="B40" s="23"/>
      <c r="C40" s="22"/>
      <c r="D40" s="21" t="s">
        <v>356</v>
      </c>
      <c r="E40" s="20" t="s">
        <v>366</v>
      </c>
      <c r="F40" s="19">
        <v>12.3</v>
      </c>
      <c r="G40" s="15"/>
      <c r="H40" s="39"/>
      <c r="I40" s="38"/>
      <c r="J40" s="37"/>
      <c r="K40" s="36"/>
    </row>
    <row r="41" spans="1:14" ht="15.75" x14ac:dyDescent="0.2">
      <c r="A41" s="24"/>
      <c r="B41" s="34" t="s">
        <v>386</v>
      </c>
      <c r="C41" s="33">
        <v>3</v>
      </c>
      <c r="D41" s="32" t="s">
        <v>354</v>
      </c>
      <c r="E41" s="31" t="s">
        <v>373</v>
      </c>
      <c r="F41" s="30">
        <v>14.4</v>
      </c>
      <c r="G41" s="15"/>
      <c r="H41" s="39"/>
      <c r="I41" s="38"/>
      <c r="J41" s="37"/>
      <c r="K41" s="36"/>
    </row>
    <row r="42" spans="1:14" ht="15.75" x14ac:dyDescent="0.2">
      <c r="A42" s="24"/>
      <c r="B42" s="29"/>
      <c r="C42" s="28"/>
      <c r="D42" s="27" t="s">
        <v>355</v>
      </c>
      <c r="E42" s="26" t="s">
        <v>373</v>
      </c>
      <c r="F42" s="25">
        <v>16</v>
      </c>
      <c r="G42" s="15"/>
      <c r="H42" s="39"/>
      <c r="I42" s="38"/>
      <c r="J42" s="37"/>
      <c r="K42" s="36"/>
    </row>
    <row r="43" spans="1:14" ht="16.5" thickBot="1" x14ac:dyDescent="0.25">
      <c r="A43" s="24"/>
      <c r="B43" s="23"/>
      <c r="C43" s="22"/>
      <c r="D43" s="21" t="s">
        <v>356</v>
      </c>
      <c r="E43" s="20" t="s">
        <v>373</v>
      </c>
      <c r="F43" s="19">
        <v>14.6</v>
      </c>
      <c r="G43" s="15"/>
      <c r="H43" s="39"/>
      <c r="I43" s="38"/>
      <c r="J43" s="37"/>
      <c r="K43" s="36"/>
    </row>
    <row r="44" spans="1:14" ht="15.75" x14ac:dyDescent="0.2">
      <c r="A44" s="24"/>
      <c r="B44" s="34" t="s">
        <v>386</v>
      </c>
      <c r="C44" s="33">
        <v>4</v>
      </c>
      <c r="D44" s="32" t="s">
        <v>354</v>
      </c>
      <c r="E44" s="31" t="s">
        <v>363</v>
      </c>
      <c r="F44" s="30">
        <v>22.2</v>
      </c>
      <c r="G44" s="15"/>
      <c r="H44" s="39"/>
      <c r="I44" s="38"/>
      <c r="J44" s="37"/>
      <c r="K44" s="36"/>
    </row>
    <row r="45" spans="1:14" ht="15.75" x14ac:dyDescent="0.2">
      <c r="A45" s="24"/>
      <c r="B45" s="29"/>
      <c r="C45" s="28"/>
      <c r="D45" s="27" t="s">
        <v>355</v>
      </c>
      <c r="E45" s="26" t="s">
        <v>363</v>
      </c>
      <c r="F45" s="25">
        <v>20.7</v>
      </c>
      <c r="G45" s="15"/>
      <c r="H45" s="39"/>
      <c r="I45" s="38"/>
      <c r="J45" s="37"/>
      <c r="K45" s="36"/>
    </row>
    <row r="46" spans="1:14" ht="16.5" thickBot="1" x14ac:dyDescent="0.25">
      <c r="A46" s="24"/>
      <c r="B46" s="23"/>
      <c r="C46" s="22"/>
      <c r="D46" s="21" t="s">
        <v>356</v>
      </c>
      <c r="E46" s="20" t="s">
        <v>363</v>
      </c>
      <c r="F46" s="40">
        <v>24.8</v>
      </c>
      <c r="G46" s="157" t="s">
        <v>385</v>
      </c>
      <c r="H46" s="158"/>
      <c r="I46" s="158"/>
      <c r="J46" s="158"/>
      <c r="K46" s="158"/>
      <c r="L46" s="158"/>
      <c r="M46" s="158"/>
      <c r="N46" s="158"/>
    </row>
    <row r="47" spans="1:14" ht="15.75" x14ac:dyDescent="0.2">
      <c r="A47" s="24"/>
      <c r="B47" s="34" t="s">
        <v>384</v>
      </c>
      <c r="C47" s="33">
        <v>4</v>
      </c>
      <c r="D47" s="32" t="s">
        <v>356</v>
      </c>
      <c r="E47" s="31" t="s">
        <v>375</v>
      </c>
      <c r="F47" s="30">
        <v>19.2</v>
      </c>
      <c r="G47" s="159"/>
      <c r="H47" s="158"/>
      <c r="I47" s="158"/>
      <c r="J47" s="158"/>
      <c r="K47" s="158"/>
      <c r="L47" s="158"/>
      <c r="M47" s="158"/>
      <c r="N47" s="158"/>
    </row>
    <row r="48" spans="1:14" ht="15.75" x14ac:dyDescent="0.2">
      <c r="A48" s="24"/>
      <c r="B48" s="35"/>
      <c r="C48" s="28"/>
      <c r="D48" s="27" t="s">
        <v>355</v>
      </c>
      <c r="E48" s="26" t="s">
        <v>375</v>
      </c>
      <c r="F48" s="25">
        <v>21.4</v>
      </c>
      <c r="G48" s="15"/>
      <c r="H48" s="39"/>
      <c r="I48" s="38"/>
      <c r="J48" s="37"/>
      <c r="K48" s="36"/>
    </row>
    <row r="49" spans="1:11" ht="16.5" thickBot="1" x14ac:dyDescent="0.25">
      <c r="A49" s="24"/>
      <c r="B49" s="23"/>
      <c r="C49" s="22"/>
      <c r="D49" s="21" t="s">
        <v>354</v>
      </c>
      <c r="E49" s="20" t="s">
        <v>375</v>
      </c>
      <c r="F49" s="19">
        <v>22.3</v>
      </c>
      <c r="G49" s="15"/>
      <c r="H49" s="39"/>
      <c r="I49" s="38"/>
      <c r="J49" s="37"/>
      <c r="K49" s="36"/>
    </row>
    <row r="50" spans="1:11" ht="15.75" x14ac:dyDescent="0.2">
      <c r="A50" s="24"/>
      <c r="B50" s="34" t="s">
        <v>384</v>
      </c>
      <c r="C50" s="33">
        <v>3</v>
      </c>
      <c r="D50" s="32" t="s">
        <v>356</v>
      </c>
      <c r="E50" s="31" t="s">
        <v>360</v>
      </c>
      <c r="F50" s="30">
        <v>21.9</v>
      </c>
      <c r="G50" s="15"/>
      <c r="H50" s="39"/>
      <c r="I50" s="38"/>
      <c r="J50" s="37"/>
      <c r="K50" s="36"/>
    </row>
    <row r="51" spans="1:11" ht="15.75" x14ac:dyDescent="0.2">
      <c r="A51" s="24"/>
      <c r="B51" s="29"/>
      <c r="C51" s="28"/>
      <c r="D51" s="27" t="s">
        <v>355</v>
      </c>
      <c r="E51" s="26" t="s">
        <v>360</v>
      </c>
      <c r="F51" s="25">
        <v>22.9</v>
      </c>
      <c r="G51" s="15"/>
      <c r="H51" s="39"/>
      <c r="I51" s="38"/>
      <c r="J51" s="37"/>
      <c r="K51" s="36"/>
    </row>
    <row r="52" spans="1:11" ht="16.5" thickBot="1" x14ac:dyDescent="0.25">
      <c r="A52" s="24"/>
      <c r="B52" s="23"/>
      <c r="C52" s="22"/>
      <c r="D52" s="21" t="s">
        <v>354</v>
      </c>
      <c r="E52" s="20" t="s">
        <v>360</v>
      </c>
      <c r="F52" s="19">
        <v>24.5</v>
      </c>
      <c r="G52" s="15"/>
      <c r="H52" s="39"/>
      <c r="I52" s="38"/>
      <c r="J52" s="37"/>
      <c r="K52" s="36"/>
    </row>
    <row r="53" spans="1:11" ht="15.75" x14ac:dyDescent="0.2">
      <c r="A53" s="24"/>
      <c r="B53" s="34" t="s">
        <v>384</v>
      </c>
      <c r="C53" s="33">
        <v>2</v>
      </c>
      <c r="D53" s="32" t="s">
        <v>356</v>
      </c>
      <c r="E53" s="31" t="s">
        <v>370</v>
      </c>
      <c r="F53" s="30">
        <v>19.100000000000001</v>
      </c>
      <c r="G53" s="15"/>
      <c r="H53" s="39"/>
      <c r="I53" s="38"/>
      <c r="J53" s="37"/>
      <c r="K53" s="36"/>
    </row>
    <row r="54" spans="1:11" ht="15.75" x14ac:dyDescent="0.2">
      <c r="A54" s="24"/>
      <c r="B54" s="29"/>
      <c r="C54" s="28"/>
      <c r="D54" s="27" t="s">
        <v>355</v>
      </c>
      <c r="E54" s="26" t="s">
        <v>370</v>
      </c>
      <c r="F54" s="25">
        <v>20.399999999999999</v>
      </c>
      <c r="G54" s="15"/>
      <c r="H54" s="39"/>
      <c r="I54" s="38"/>
      <c r="J54" s="37"/>
      <c r="K54" s="36"/>
    </row>
    <row r="55" spans="1:11" ht="16.5" thickBot="1" x14ac:dyDescent="0.25">
      <c r="A55" s="24"/>
      <c r="B55" s="23"/>
      <c r="C55" s="22"/>
      <c r="D55" s="21" t="s">
        <v>354</v>
      </c>
      <c r="E55" s="20" t="s">
        <v>370</v>
      </c>
      <c r="F55" s="19">
        <v>20.6</v>
      </c>
      <c r="G55" s="15"/>
      <c r="H55" s="39"/>
      <c r="I55" s="38"/>
      <c r="J55" s="37"/>
      <c r="K55" s="36"/>
    </row>
    <row r="56" spans="1:11" ht="15.75" x14ac:dyDescent="0.2">
      <c r="A56" s="24"/>
      <c r="B56" s="34" t="s">
        <v>384</v>
      </c>
      <c r="C56" s="33">
        <v>1</v>
      </c>
      <c r="D56" s="32" t="s">
        <v>356</v>
      </c>
      <c r="E56" s="31" t="s">
        <v>374</v>
      </c>
      <c r="F56" s="30">
        <v>23.9</v>
      </c>
      <c r="G56" s="15"/>
      <c r="H56" s="39"/>
      <c r="I56" s="38"/>
      <c r="J56" s="37"/>
      <c r="K56" s="36"/>
    </row>
    <row r="57" spans="1:11" ht="15.75" x14ac:dyDescent="0.2">
      <c r="A57" s="24"/>
      <c r="B57" s="29"/>
      <c r="C57" s="28"/>
      <c r="D57" s="27" t="s">
        <v>355</v>
      </c>
      <c r="E57" s="26" t="s">
        <v>374</v>
      </c>
      <c r="F57" s="25">
        <v>24.2</v>
      </c>
      <c r="G57" s="15"/>
      <c r="H57" s="39"/>
      <c r="I57" s="38"/>
      <c r="J57" s="37"/>
      <c r="K57" s="36"/>
    </row>
    <row r="58" spans="1:11" ht="16.5" thickBot="1" x14ac:dyDescent="0.25">
      <c r="A58" s="24"/>
      <c r="B58" s="23"/>
      <c r="C58" s="22"/>
      <c r="D58" s="21" t="s">
        <v>354</v>
      </c>
      <c r="E58" s="20" t="s">
        <v>374</v>
      </c>
      <c r="F58" s="19">
        <v>24.7</v>
      </c>
      <c r="G58" s="15"/>
      <c r="H58" s="39"/>
      <c r="I58" s="38"/>
      <c r="J58" s="37"/>
      <c r="K58" s="36"/>
    </row>
    <row r="59" spans="1:11" ht="15.75" x14ac:dyDescent="0.2">
      <c r="A59" s="24"/>
      <c r="B59" s="34" t="s">
        <v>383</v>
      </c>
      <c r="C59" s="33">
        <v>1</v>
      </c>
      <c r="D59" s="32" t="s">
        <v>354</v>
      </c>
      <c r="E59" s="31" t="s">
        <v>360</v>
      </c>
      <c r="F59" s="30">
        <v>23.4</v>
      </c>
      <c r="G59" s="15"/>
      <c r="H59" s="39"/>
      <c r="I59" s="38"/>
      <c r="J59" s="37"/>
      <c r="K59" s="36"/>
    </row>
    <row r="60" spans="1:11" ht="15.75" x14ac:dyDescent="0.2">
      <c r="A60" s="24"/>
      <c r="B60" s="35"/>
      <c r="C60" s="28"/>
      <c r="D60" s="27" t="s">
        <v>355</v>
      </c>
      <c r="E60" s="26" t="s">
        <v>360</v>
      </c>
      <c r="F60" s="25">
        <v>22.8</v>
      </c>
      <c r="G60" s="15"/>
      <c r="H60" s="18"/>
      <c r="I60" s="18"/>
      <c r="J60" s="17"/>
      <c r="K60" s="16"/>
    </row>
    <row r="61" spans="1:11" ht="16.5" thickBot="1" x14ac:dyDescent="0.25">
      <c r="A61" s="24"/>
      <c r="B61" s="23"/>
      <c r="C61" s="22"/>
      <c r="D61" s="21" t="s">
        <v>356</v>
      </c>
      <c r="E61" s="20" t="s">
        <v>360</v>
      </c>
      <c r="F61" s="19">
        <v>23.1</v>
      </c>
      <c r="G61" s="15"/>
      <c r="H61" s="18"/>
      <c r="I61" s="18"/>
      <c r="J61" s="17"/>
      <c r="K61" s="16"/>
    </row>
    <row r="62" spans="1:11" ht="15.75" x14ac:dyDescent="0.2">
      <c r="A62" s="24"/>
      <c r="B62" s="34" t="s">
        <v>383</v>
      </c>
      <c r="C62" s="33">
        <v>2</v>
      </c>
      <c r="D62" s="32" t="s">
        <v>354</v>
      </c>
      <c r="E62" s="31" t="s">
        <v>365</v>
      </c>
      <c r="F62" s="30">
        <v>21</v>
      </c>
      <c r="G62" s="15"/>
      <c r="H62" s="18"/>
      <c r="I62" s="18"/>
      <c r="J62" s="17"/>
      <c r="K62" s="16"/>
    </row>
    <row r="63" spans="1:11" ht="15.75" x14ac:dyDescent="0.2">
      <c r="A63" s="24"/>
      <c r="B63" s="29"/>
      <c r="C63" s="28"/>
      <c r="D63" s="27" t="s">
        <v>355</v>
      </c>
      <c r="E63" s="26" t="s">
        <v>365</v>
      </c>
      <c r="F63" s="25">
        <v>23.5</v>
      </c>
      <c r="G63" s="15"/>
      <c r="H63" s="18"/>
      <c r="I63" s="18"/>
      <c r="J63" s="17"/>
      <c r="K63" s="16"/>
    </row>
    <row r="64" spans="1:11" ht="16.5" thickBot="1" x14ac:dyDescent="0.25">
      <c r="A64" s="24"/>
      <c r="B64" s="23"/>
      <c r="C64" s="22"/>
      <c r="D64" s="21" t="s">
        <v>356</v>
      </c>
      <c r="E64" s="20" t="s">
        <v>365</v>
      </c>
      <c r="F64" s="19">
        <v>24.5</v>
      </c>
      <c r="G64" s="15"/>
      <c r="H64" s="18"/>
      <c r="I64" s="18"/>
      <c r="J64" s="17"/>
      <c r="K64" s="16"/>
    </row>
    <row r="65" spans="1:11" ht="15.75" x14ac:dyDescent="0.2">
      <c r="A65" s="24"/>
      <c r="B65" s="34" t="s">
        <v>383</v>
      </c>
      <c r="C65" s="33">
        <v>3</v>
      </c>
      <c r="D65" s="32" t="s">
        <v>354</v>
      </c>
      <c r="E65" s="31" t="s">
        <v>368</v>
      </c>
      <c r="F65" s="30">
        <v>22.8</v>
      </c>
      <c r="G65" s="15"/>
      <c r="H65" s="18"/>
      <c r="I65" s="18"/>
      <c r="J65" s="17"/>
      <c r="K65" s="16"/>
    </row>
    <row r="66" spans="1:11" ht="15.75" x14ac:dyDescent="0.2">
      <c r="A66" s="24"/>
      <c r="B66" s="29"/>
      <c r="C66" s="28"/>
      <c r="D66" s="27" t="s">
        <v>355</v>
      </c>
      <c r="E66" s="26" t="s">
        <v>368</v>
      </c>
      <c r="F66" s="25">
        <v>21.3</v>
      </c>
      <c r="G66" s="15"/>
      <c r="H66" s="18"/>
      <c r="I66" s="18"/>
      <c r="J66" s="17"/>
      <c r="K66" s="16"/>
    </row>
    <row r="67" spans="1:11" ht="16.5" thickBot="1" x14ac:dyDescent="0.25">
      <c r="A67" s="24"/>
      <c r="B67" s="23"/>
      <c r="C67" s="22"/>
      <c r="D67" s="21" t="s">
        <v>356</v>
      </c>
      <c r="E67" s="20" t="s">
        <v>368</v>
      </c>
      <c r="F67" s="19">
        <v>22.6</v>
      </c>
      <c r="G67" s="15"/>
      <c r="H67" s="18"/>
      <c r="I67" s="18"/>
      <c r="J67" s="17"/>
      <c r="K67" s="16"/>
    </row>
    <row r="68" spans="1:11" ht="15.75" x14ac:dyDescent="0.2">
      <c r="A68" s="24"/>
      <c r="B68" s="34" t="s">
        <v>383</v>
      </c>
      <c r="C68" s="33">
        <v>4</v>
      </c>
      <c r="D68" s="32" t="s">
        <v>354</v>
      </c>
      <c r="E68" s="31" t="s">
        <v>366</v>
      </c>
      <c r="F68" s="30">
        <v>16.8</v>
      </c>
      <c r="G68" s="15"/>
      <c r="H68" s="18"/>
      <c r="I68" s="18"/>
      <c r="J68" s="17"/>
      <c r="K68" s="16"/>
    </row>
    <row r="69" spans="1:11" ht="15.75" x14ac:dyDescent="0.2">
      <c r="A69" s="24"/>
      <c r="B69" s="29"/>
      <c r="C69" s="28"/>
      <c r="D69" s="27" t="s">
        <v>355</v>
      </c>
      <c r="E69" s="26" t="s">
        <v>366</v>
      </c>
      <c r="F69" s="25">
        <v>14.2</v>
      </c>
      <c r="G69" s="15"/>
      <c r="H69" s="18"/>
      <c r="I69" s="18"/>
      <c r="J69" s="17"/>
      <c r="K69" s="16"/>
    </row>
    <row r="70" spans="1:11" ht="16.5" thickBot="1" x14ac:dyDescent="0.25">
      <c r="A70" s="24"/>
      <c r="B70" s="23"/>
      <c r="C70" s="22"/>
      <c r="D70" s="21" t="s">
        <v>356</v>
      </c>
      <c r="E70" s="20" t="s">
        <v>366</v>
      </c>
      <c r="F70" s="19">
        <v>15.8</v>
      </c>
      <c r="G70" s="15"/>
      <c r="H70" s="18"/>
      <c r="I70" s="18"/>
      <c r="J70" s="17"/>
      <c r="K70" s="16"/>
    </row>
    <row r="71" spans="1:11" ht="15.75" x14ac:dyDescent="0.2">
      <c r="A71" s="24"/>
      <c r="B71" s="34" t="s">
        <v>382</v>
      </c>
      <c r="C71" s="33">
        <v>4</v>
      </c>
      <c r="D71" s="32" t="s">
        <v>356</v>
      </c>
      <c r="E71" s="31" t="s">
        <v>373</v>
      </c>
      <c r="F71" s="30">
        <v>13</v>
      </c>
      <c r="G71" s="15"/>
      <c r="H71" s="18"/>
      <c r="I71" s="18"/>
      <c r="J71" s="17"/>
      <c r="K71" s="16"/>
    </row>
    <row r="72" spans="1:11" ht="15.75" x14ac:dyDescent="0.2">
      <c r="A72" s="24"/>
      <c r="B72" s="35"/>
      <c r="C72" s="28"/>
      <c r="D72" s="27" t="s">
        <v>355</v>
      </c>
      <c r="E72" s="26" t="s">
        <v>373</v>
      </c>
      <c r="F72" s="25">
        <v>17.600000000000001</v>
      </c>
      <c r="G72" s="15"/>
      <c r="H72" s="18"/>
      <c r="I72" s="18"/>
      <c r="J72" s="17"/>
      <c r="K72" s="16"/>
    </row>
    <row r="73" spans="1:11" ht="16.5" thickBot="1" x14ac:dyDescent="0.25">
      <c r="A73" s="24"/>
      <c r="B73" s="23"/>
      <c r="C73" s="22"/>
      <c r="D73" s="21" t="s">
        <v>354</v>
      </c>
      <c r="E73" s="20" t="s">
        <v>373</v>
      </c>
      <c r="F73" s="19">
        <v>15.9</v>
      </c>
      <c r="G73" s="15"/>
      <c r="H73" s="18"/>
      <c r="I73" s="18"/>
      <c r="J73" s="17"/>
      <c r="K73" s="16"/>
    </row>
    <row r="74" spans="1:11" ht="15.75" x14ac:dyDescent="0.2">
      <c r="A74" s="24"/>
      <c r="B74" s="34" t="s">
        <v>382</v>
      </c>
      <c r="C74" s="33">
        <v>3</v>
      </c>
      <c r="D74" s="32" t="s">
        <v>356</v>
      </c>
      <c r="E74" s="31" t="s">
        <v>369</v>
      </c>
      <c r="F74" s="30">
        <v>15.1</v>
      </c>
      <c r="G74" s="15"/>
      <c r="H74" s="18"/>
      <c r="I74" s="18"/>
      <c r="J74" s="17"/>
      <c r="K74" s="16"/>
    </row>
    <row r="75" spans="1:11" ht="15.75" x14ac:dyDescent="0.2">
      <c r="A75" s="24"/>
      <c r="B75" s="29"/>
      <c r="C75" s="28"/>
      <c r="D75" s="27" t="s">
        <v>355</v>
      </c>
      <c r="E75" s="26" t="s">
        <v>369</v>
      </c>
      <c r="F75" s="25">
        <v>16.5</v>
      </c>
      <c r="G75" s="15"/>
      <c r="H75" s="18"/>
      <c r="I75" s="18"/>
      <c r="J75" s="17"/>
      <c r="K75" s="16"/>
    </row>
    <row r="76" spans="1:11" ht="16.5" thickBot="1" x14ac:dyDescent="0.25">
      <c r="A76" s="24"/>
      <c r="B76" s="23"/>
      <c r="C76" s="22"/>
      <c r="D76" s="21" t="s">
        <v>354</v>
      </c>
      <c r="E76" s="20" t="s">
        <v>369</v>
      </c>
      <c r="F76" s="19">
        <v>17.5</v>
      </c>
      <c r="G76" s="15"/>
      <c r="H76" s="18"/>
      <c r="I76" s="18"/>
      <c r="J76" s="17"/>
      <c r="K76" s="16"/>
    </row>
    <row r="77" spans="1:11" ht="15.75" x14ac:dyDescent="0.2">
      <c r="A77" s="24"/>
      <c r="B77" s="34" t="s">
        <v>382</v>
      </c>
      <c r="C77" s="33">
        <v>2</v>
      </c>
      <c r="D77" s="32" t="s">
        <v>356</v>
      </c>
      <c r="E77" s="31" t="s">
        <v>364</v>
      </c>
      <c r="F77" s="30">
        <v>18.100000000000001</v>
      </c>
      <c r="G77" s="15"/>
      <c r="H77" s="18"/>
      <c r="I77" s="18"/>
      <c r="J77" s="17"/>
      <c r="K77" s="16"/>
    </row>
    <row r="78" spans="1:11" ht="15.75" x14ac:dyDescent="0.2">
      <c r="A78" s="24"/>
      <c r="B78" s="29"/>
      <c r="C78" s="28"/>
      <c r="D78" s="27" t="s">
        <v>355</v>
      </c>
      <c r="E78" s="26" t="s">
        <v>364</v>
      </c>
      <c r="F78" s="25">
        <v>18.5</v>
      </c>
      <c r="G78" s="15"/>
      <c r="H78" s="18"/>
      <c r="I78" s="18"/>
      <c r="J78" s="17"/>
      <c r="K78" s="16"/>
    </row>
    <row r="79" spans="1:11" ht="16.5" thickBot="1" x14ac:dyDescent="0.25">
      <c r="A79" s="24"/>
      <c r="B79" s="23"/>
      <c r="C79" s="22"/>
      <c r="D79" s="21" t="s">
        <v>354</v>
      </c>
      <c r="E79" s="20" t="s">
        <v>364</v>
      </c>
      <c r="F79" s="19">
        <v>19.600000000000001</v>
      </c>
      <c r="G79" s="15"/>
      <c r="H79" s="18"/>
      <c r="I79" s="18"/>
      <c r="J79" s="17"/>
      <c r="K79" s="16"/>
    </row>
    <row r="80" spans="1:11" ht="15.75" x14ac:dyDescent="0.2">
      <c r="A80" s="24"/>
      <c r="B80" s="34" t="s">
        <v>382</v>
      </c>
      <c r="C80" s="33">
        <v>1</v>
      </c>
      <c r="D80" s="32" t="s">
        <v>356</v>
      </c>
      <c r="E80" s="31" t="s">
        <v>371</v>
      </c>
      <c r="F80" s="30">
        <v>21.5</v>
      </c>
      <c r="G80" s="15"/>
      <c r="H80" s="18"/>
      <c r="I80" s="18"/>
      <c r="J80" s="17"/>
      <c r="K80" s="16"/>
    </row>
    <row r="81" spans="1:11" ht="15.75" x14ac:dyDescent="0.2">
      <c r="A81" s="24"/>
      <c r="B81" s="29"/>
      <c r="C81" s="28"/>
      <c r="D81" s="27" t="s">
        <v>355</v>
      </c>
      <c r="E81" s="26" t="s">
        <v>371</v>
      </c>
      <c r="F81" s="25">
        <v>22.7</v>
      </c>
      <c r="G81" s="15"/>
      <c r="H81" s="18"/>
      <c r="I81" s="18"/>
      <c r="J81" s="17"/>
      <c r="K81" s="16"/>
    </row>
    <row r="82" spans="1:11" ht="16.5" thickBot="1" x14ac:dyDescent="0.25">
      <c r="A82" s="24"/>
      <c r="B82" s="23"/>
      <c r="C82" s="22"/>
      <c r="D82" s="21" t="s">
        <v>354</v>
      </c>
      <c r="E82" s="20" t="s">
        <v>371</v>
      </c>
      <c r="F82" s="19">
        <v>22.1</v>
      </c>
      <c r="G82" s="15"/>
      <c r="H82" s="18"/>
      <c r="I82" s="18"/>
      <c r="J82" s="17"/>
      <c r="K82" s="16"/>
    </row>
    <row r="83" spans="1:11" ht="15.75" x14ac:dyDescent="0.2">
      <c r="A83" s="24"/>
      <c r="B83" s="34" t="s">
        <v>381</v>
      </c>
      <c r="C83" s="33">
        <v>1</v>
      </c>
      <c r="D83" s="32" t="s">
        <v>354</v>
      </c>
      <c r="E83" s="31" t="s">
        <v>363</v>
      </c>
      <c r="F83" s="30">
        <v>21</v>
      </c>
      <c r="G83" s="15"/>
      <c r="H83" s="18"/>
      <c r="I83" s="18"/>
      <c r="J83" s="17"/>
      <c r="K83" s="16"/>
    </row>
    <row r="84" spans="1:11" ht="15.75" x14ac:dyDescent="0.2">
      <c r="A84" s="24"/>
      <c r="B84" s="35"/>
      <c r="C84" s="28"/>
      <c r="D84" s="27" t="s">
        <v>355</v>
      </c>
      <c r="E84" s="26" t="s">
        <v>363</v>
      </c>
      <c r="F84" s="25">
        <v>21</v>
      </c>
      <c r="G84" s="15"/>
      <c r="H84" s="39"/>
      <c r="I84" s="38"/>
      <c r="J84" s="37"/>
      <c r="K84" s="36"/>
    </row>
    <row r="85" spans="1:11" ht="16.5" thickBot="1" x14ac:dyDescent="0.25">
      <c r="A85" s="24"/>
      <c r="B85" s="23"/>
      <c r="C85" s="22"/>
      <c r="D85" s="21" t="s">
        <v>356</v>
      </c>
      <c r="E85" s="20" t="s">
        <v>363</v>
      </c>
      <c r="F85" s="19">
        <v>21</v>
      </c>
      <c r="G85" s="15"/>
      <c r="H85" s="39"/>
      <c r="I85" s="38"/>
      <c r="J85" s="37"/>
      <c r="K85" s="36"/>
    </row>
    <row r="86" spans="1:11" ht="15.75" x14ac:dyDescent="0.2">
      <c r="A86" s="24"/>
      <c r="B86" s="34" t="s">
        <v>381</v>
      </c>
      <c r="C86" s="33">
        <v>2</v>
      </c>
      <c r="D86" s="32" t="s">
        <v>354</v>
      </c>
      <c r="E86" s="31" t="s">
        <v>370</v>
      </c>
      <c r="F86" s="30">
        <v>16.2</v>
      </c>
      <c r="G86" s="15"/>
      <c r="H86" s="39"/>
      <c r="I86" s="38"/>
      <c r="J86" s="37"/>
      <c r="K86" s="36"/>
    </row>
    <row r="87" spans="1:11" ht="15.75" x14ac:dyDescent="0.2">
      <c r="A87" s="24"/>
      <c r="B87" s="29"/>
      <c r="C87" s="28"/>
      <c r="D87" s="27" t="s">
        <v>355</v>
      </c>
      <c r="E87" s="26" t="s">
        <v>370</v>
      </c>
      <c r="F87" s="25">
        <v>14.1</v>
      </c>
      <c r="G87" s="15"/>
      <c r="H87" s="39"/>
      <c r="I87" s="38"/>
      <c r="J87" s="37"/>
      <c r="K87" s="36"/>
    </row>
    <row r="88" spans="1:11" ht="16.5" thickBot="1" x14ac:dyDescent="0.25">
      <c r="A88" s="24"/>
      <c r="B88" s="23"/>
      <c r="C88" s="22"/>
      <c r="D88" s="21" t="s">
        <v>356</v>
      </c>
      <c r="E88" s="20" t="s">
        <v>370</v>
      </c>
      <c r="F88" s="19">
        <v>16.600000000000001</v>
      </c>
      <c r="G88" s="15"/>
      <c r="H88" s="39"/>
      <c r="I88" s="38"/>
      <c r="J88" s="37"/>
      <c r="K88" s="36"/>
    </row>
    <row r="89" spans="1:11" ht="15.75" x14ac:dyDescent="0.2">
      <c r="A89" s="24"/>
      <c r="B89" s="34" t="s">
        <v>381</v>
      </c>
      <c r="C89" s="33">
        <v>3</v>
      </c>
      <c r="D89" s="32" t="s">
        <v>354</v>
      </c>
      <c r="E89" s="31" t="s">
        <v>353</v>
      </c>
      <c r="F89" s="30">
        <v>19.2</v>
      </c>
      <c r="G89" s="15"/>
      <c r="H89" s="39"/>
      <c r="I89" s="38"/>
      <c r="J89" s="37"/>
      <c r="K89" s="36"/>
    </row>
    <row r="90" spans="1:11" ht="15.75" x14ac:dyDescent="0.2">
      <c r="A90" s="24"/>
      <c r="B90" s="29"/>
      <c r="C90" s="28"/>
      <c r="D90" s="27" t="s">
        <v>355</v>
      </c>
      <c r="E90" s="26" t="s">
        <v>353</v>
      </c>
      <c r="F90" s="25">
        <v>21.3</v>
      </c>
      <c r="G90" s="15"/>
      <c r="H90" s="39"/>
      <c r="I90" s="38"/>
      <c r="J90" s="37"/>
      <c r="K90" s="36"/>
    </row>
    <row r="91" spans="1:11" ht="16.5" thickBot="1" x14ac:dyDescent="0.25">
      <c r="A91" s="24"/>
      <c r="B91" s="23"/>
      <c r="C91" s="22"/>
      <c r="D91" s="21" t="s">
        <v>356</v>
      </c>
      <c r="E91" s="20" t="s">
        <v>353</v>
      </c>
      <c r="F91" s="19">
        <v>22.4</v>
      </c>
      <c r="G91" s="15"/>
      <c r="H91" s="39"/>
      <c r="I91" s="38"/>
      <c r="J91" s="37"/>
      <c r="K91" s="36"/>
    </row>
    <row r="92" spans="1:11" ht="15.75" x14ac:dyDescent="0.2">
      <c r="A92" s="24"/>
      <c r="B92" s="34" t="s">
        <v>381</v>
      </c>
      <c r="C92" s="33">
        <v>4</v>
      </c>
      <c r="D92" s="32" t="s">
        <v>354</v>
      </c>
      <c r="E92" s="31" t="s">
        <v>374</v>
      </c>
      <c r="F92" s="30">
        <v>18.3</v>
      </c>
      <c r="G92" s="15"/>
      <c r="H92" s="39"/>
      <c r="I92" s="38"/>
      <c r="J92" s="37"/>
      <c r="K92" s="36"/>
    </row>
    <row r="93" spans="1:11" ht="15.75" x14ac:dyDescent="0.2">
      <c r="A93" s="24"/>
      <c r="B93" s="29"/>
      <c r="C93" s="28"/>
      <c r="D93" s="27" t="s">
        <v>355</v>
      </c>
      <c r="E93" s="26" t="s">
        <v>374</v>
      </c>
      <c r="F93" s="25">
        <v>18.399999999999999</v>
      </c>
      <c r="G93" s="15"/>
      <c r="H93" s="39"/>
      <c r="I93" s="38"/>
      <c r="J93" s="37"/>
      <c r="K93" s="36"/>
    </row>
    <row r="94" spans="1:11" ht="16.5" thickBot="1" x14ac:dyDescent="0.25">
      <c r="A94" s="24"/>
      <c r="B94" s="23"/>
      <c r="C94" s="22"/>
      <c r="D94" s="21" t="s">
        <v>356</v>
      </c>
      <c r="E94" s="20" t="s">
        <v>374</v>
      </c>
      <c r="F94" s="19">
        <v>16.8</v>
      </c>
      <c r="G94" s="15"/>
      <c r="H94" s="39"/>
      <c r="I94" s="38"/>
      <c r="J94" s="37"/>
      <c r="K94" s="36"/>
    </row>
    <row r="95" spans="1:11" ht="15.75" x14ac:dyDescent="0.2">
      <c r="A95" s="24"/>
      <c r="B95" s="34" t="s">
        <v>380</v>
      </c>
      <c r="C95" s="33">
        <v>4</v>
      </c>
      <c r="D95" s="32" t="s">
        <v>356</v>
      </c>
      <c r="E95" s="31" t="s">
        <v>375</v>
      </c>
      <c r="F95" s="30">
        <v>20</v>
      </c>
      <c r="G95" s="15"/>
      <c r="H95" s="39"/>
      <c r="I95" s="38"/>
      <c r="J95" s="37"/>
      <c r="K95" s="36"/>
    </row>
    <row r="96" spans="1:11" ht="15.75" x14ac:dyDescent="0.2">
      <c r="A96" s="24"/>
      <c r="B96" s="35"/>
      <c r="C96" s="28"/>
      <c r="D96" s="27" t="s">
        <v>355</v>
      </c>
      <c r="E96" s="26" t="s">
        <v>375</v>
      </c>
      <c r="F96" s="25">
        <v>20.2</v>
      </c>
      <c r="G96" s="15"/>
      <c r="H96" s="39"/>
      <c r="I96" s="38"/>
      <c r="J96" s="37"/>
      <c r="K96" s="36"/>
    </row>
    <row r="97" spans="1:11" ht="16.5" thickBot="1" x14ac:dyDescent="0.25">
      <c r="A97" s="24"/>
      <c r="B97" s="23"/>
      <c r="C97" s="22"/>
      <c r="D97" s="21" t="s">
        <v>354</v>
      </c>
      <c r="E97" s="20" t="s">
        <v>375</v>
      </c>
      <c r="F97" s="19">
        <v>20.3</v>
      </c>
      <c r="G97" s="15"/>
      <c r="H97" s="39"/>
      <c r="I97" s="38"/>
      <c r="J97" s="37"/>
      <c r="K97" s="36"/>
    </row>
    <row r="98" spans="1:11" ht="15.75" x14ac:dyDescent="0.2">
      <c r="A98" s="24"/>
      <c r="B98" s="34" t="s">
        <v>380</v>
      </c>
      <c r="C98" s="33">
        <v>3</v>
      </c>
      <c r="D98" s="32" t="s">
        <v>356</v>
      </c>
      <c r="E98" s="31" t="s">
        <v>361</v>
      </c>
      <c r="F98" s="30">
        <v>19.5</v>
      </c>
      <c r="G98" s="15"/>
      <c r="H98" s="39"/>
      <c r="I98" s="38"/>
      <c r="J98" s="37"/>
      <c r="K98" s="36"/>
    </row>
    <row r="99" spans="1:11" ht="15.75" x14ac:dyDescent="0.2">
      <c r="A99" s="24"/>
      <c r="B99" s="29"/>
      <c r="C99" s="28"/>
      <c r="D99" s="27" t="s">
        <v>355</v>
      </c>
      <c r="E99" s="26" t="s">
        <v>361</v>
      </c>
      <c r="F99" s="25">
        <v>21.3</v>
      </c>
      <c r="G99" s="15"/>
      <c r="H99" s="39"/>
      <c r="I99" s="38"/>
      <c r="J99" s="37"/>
      <c r="K99" s="36"/>
    </row>
    <row r="100" spans="1:11" ht="16.5" thickBot="1" x14ac:dyDescent="0.25">
      <c r="A100" s="24"/>
      <c r="B100" s="23"/>
      <c r="C100" s="22"/>
      <c r="D100" s="21" t="s">
        <v>354</v>
      </c>
      <c r="E100" s="20" t="s">
        <v>361</v>
      </c>
      <c r="F100" s="19">
        <v>19.2</v>
      </c>
      <c r="G100" s="15"/>
      <c r="H100" s="39"/>
      <c r="I100" s="38"/>
      <c r="J100" s="37"/>
      <c r="K100" s="36"/>
    </row>
    <row r="101" spans="1:11" ht="15.75" x14ac:dyDescent="0.2">
      <c r="A101" s="24"/>
      <c r="B101" s="34" t="s">
        <v>380</v>
      </c>
      <c r="C101" s="33">
        <v>2</v>
      </c>
      <c r="D101" s="32" t="s">
        <v>356</v>
      </c>
      <c r="E101" s="31" t="s">
        <v>358</v>
      </c>
      <c r="F101" s="30">
        <v>21.8</v>
      </c>
      <c r="G101" s="15"/>
      <c r="H101" s="39"/>
      <c r="I101" s="38"/>
      <c r="J101" s="37"/>
      <c r="K101" s="36"/>
    </row>
    <row r="102" spans="1:11" ht="15.75" x14ac:dyDescent="0.2">
      <c r="A102" s="24"/>
      <c r="B102" s="29"/>
      <c r="C102" s="28"/>
      <c r="D102" s="27" t="s">
        <v>355</v>
      </c>
      <c r="E102" s="26" t="s">
        <v>358</v>
      </c>
      <c r="F102" s="25">
        <v>22.4</v>
      </c>
      <c r="G102" s="15"/>
      <c r="H102" s="39"/>
      <c r="I102" s="38"/>
      <c r="J102" s="37"/>
      <c r="K102" s="36"/>
    </row>
    <row r="103" spans="1:11" ht="16.5" thickBot="1" x14ac:dyDescent="0.25">
      <c r="A103" s="24"/>
      <c r="B103" s="23"/>
      <c r="C103" s="22"/>
      <c r="D103" s="21" t="s">
        <v>354</v>
      </c>
      <c r="E103" s="20" t="s">
        <v>358</v>
      </c>
      <c r="F103" s="19">
        <v>23.3</v>
      </c>
      <c r="G103" s="15"/>
      <c r="H103" s="39"/>
      <c r="I103" s="38"/>
      <c r="J103" s="37"/>
      <c r="K103" s="36"/>
    </row>
    <row r="104" spans="1:11" ht="15.75" x14ac:dyDescent="0.2">
      <c r="A104" s="24"/>
      <c r="B104" s="34" t="s">
        <v>380</v>
      </c>
      <c r="C104" s="33">
        <v>1</v>
      </c>
      <c r="D104" s="32" t="s">
        <v>356</v>
      </c>
      <c r="E104" s="31" t="s">
        <v>359</v>
      </c>
      <c r="F104" s="30">
        <v>20.7</v>
      </c>
      <c r="G104" s="15"/>
      <c r="H104" s="39"/>
      <c r="I104" s="38"/>
      <c r="J104" s="37"/>
      <c r="K104" s="36"/>
    </row>
    <row r="105" spans="1:11" ht="15.75" x14ac:dyDescent="0.2">
      <c r="A105" s="24"/>
      <c r="B105" s="29"/>
      <c r="C105" s="28"/>
      <c r="D105" s="27" t="s">
        <v>355</v>
      </c>
      <c r="E105" s="26" t="s">
        <v>359</v>
      </c>
      <c r="F105" s="25">
        <v>18.3</v>
      </c>
      <c r="G105" s="15"/>
      <c r="H105" s="39"/>
      <c r="I105" s="38"/>
      <c r="J105" s="37"/>
      <c r="K105" s="36"/>
    </row>
    <row r="106" spans="1:11" ht="16.5" thickBot="1" x14ac:dyDescent="0.25">
      <c r="A106" s="24"/>
      <c r="B106" s="23"/>
      <c r="C106" s="22"/>
      <c r="D106" s="21" t="s">
        <v>354</v>
      </c>
      <c r="E106" s="20" t="s">
        <v>359</v>
      </c>
      <c r="F106" s="19">
        <v>20.6</v>
      </c>
      <c r="G106" s="15"/>
      <c r="H106" s="39"/>
      <c r="I106" s="38"/>
      <c r="J106" s="37"/>
      <c r="K106" s="36"/>
    </row>
    <row r="107" spans="1:11" ht="15.75" x14ac:dyDescent="0.2">
      <c r="A107" s="24"/>
      <c r="B107" s="34" t="s">
        <v>379</v>
      </c>
      <c r="C107" s="33">
        <v>1</v>
      </c>
      <c r="D107" s="32" t="s">
        <v>354</v>
      </c>
      <c r="E107" s="31" t="s">
        <v>374</v>
      </c>
      <c r="F107" s="30">
        <v>18.3</v>
      </c>
      <c r="G107" s="15"/>
      <c r="H107" s="39"/>
      <c r="I107" s="38"/>
      <c r="J107" s="37"/>
      <c r="K107" s="36"/>
    </row>
    <row r="108" spans="1:11" ht="15.75" x14ac:dyDescent="0.2">
      <c r="A108" s="24"/>
      <c r="B108" s="35"/>
      <c r="C108" s="28"/>
      <c r="D108" s="27" t="s">
        <v>355</v>
      </c>
      <c r="E108" s="26" t="s">
        <v>374</v>
      </c>
      <c r="F108" s="25">
        <v>21.2</v>
      </c>
      <c r="G108" s="15"/>
      <c r="H108" s="18"/>
      <c r="I108" s="18"/>
      <c r="J108" s="17"/>
      <c r="K108" s="16"/>
    </row>
    <row r="109" spans="1:11" ht="16.5" thickBot="1" x14ac:dyDescent="0.25">
      <c r="A109" s="24"/>
      <c r="B109" s="23"/>
      <c r="C109" s="22"/>
      <c r="D109" s="21" t="s">
        <v>356</v>
      </c>
      <c r="E109" s="20" t="s">
        <v>374</v>
      </c>
      <c r="F109" s="19">
        <v>18.600000000000001</v>
      </c>
      <c r="G109" s="15"/>
      <c r="H109" s="18"/>
      <c r="I109" s="18"/>
      <c r="J109" s="17"/>
      <c r="K109" s="16"/>
    </row>
    <row r="110" spans="1:11" ht="15.75" x14ac:dyDescent="0.2">
      <c r="A110" s="24"/>
      <c r="B110" s="34" t="s">
        <v>379</v>
      </c>
      <c r="C110" s="33">
        <v>2</v>
      </c>
      <c r="D110" s="32" t="s">
        <v>354</v>
      </c>
      <c r="E110" s="31" t="s">
        <v>353</v>
      </c>
      <c r="F110" s="30">
        <v>18.5</v>
      </c>
      <c r="G110" s="15"/>
      <c r="H110" s="18"/>
      <c r="I110" s="18"/>
      <c r="J110" s="17"/>
      <c r="K110" s="16"/>
    </row>
    <row r="111" spans="1:11" ht="15.75" x14ac:dyDescent="0.2">
      <c r="A111" s="24"/>
      <c r="B111" s="29"/>
      <c r="C111" s="28"/>
      <c r="D111" s="27" t="s">
        <v>355</v>
      </c>
      <c r="E111" s="26" t="s">
        <v>353</v>
      </c>
      <c r="F111" s="25">
        <v>17.899999999999999</v>
      </c>
      <c r="G111" s="15"/>
      <c r="H111" s="18"/>
      <c r="I111" s="18"/>
      <c r="J111" s="17"/>
      <c r="K111" s="16"/>
    </row>
    <row r="112" spans="1:11" ht="16.5" thickBot="1" x14ac:dyDescent="0.25">
      <c r="A112" s="24"/>
      <c r="B112" s="23"/>
      <c r="C112" s="22"/>
      <c r="D112" s="21" t="s">
        <v>356</v>
      </c>
      <c r="E112" s="20" t="s">
        <v>353</v>
      </c>
      <c r="F112" s="19">
        <v>18.100000000000001</v>
      </c>
      <c r="G112" s="15"/>
      <c r="H112" s="18"/>
      <c r="I112" s="18"/>
      <c r="J112" s="17"/>
      <c r="K112" s="16"/>
    </row>
    <row r="113" spans="1:11" ht="15.75" x14ac:dyDescent="0.2">
      <c r="A113" s="24"/>
      <c r="B113" s="34" t="s">
        <v>379</v>
      </c>
      <c r="C113" s="33">
        <v>3</v>
      </c>
      <c r="D113" s="32" t="s">
        <v>354</v>
      </c>
      <c r="E113" s="31" t="s">
        <v>370</v>
      </c>
      <c r="F113" s="30">
        <v>20.2</v>
      </c>
      <c r="G113" s="15"/>
      <c r="H113" s="18"/>
      <c r="I113" s="18"/>
      <c r="J113" s="17"/>
      <c r="K113" s="16"/>
    </row>
    <row r="114" spans="1:11" ht="15.75" x14ac:dyDescent="0.2">
      <c r="A114" s="24"/>
      <c r="B114" s="29"/>
      <c r="C114" s="28"/>
      <c r="D114" s="27" t="s">
        <v>355</v>
      </c>
      <c r="E114" s="26" t="s">
        <v>370</v>
      </c>
      <c r="F114" s="25">
        <v>21.1</v>
      </c>
      <c r="G114" s="15"/>
      <c r="H114" s="18"/>
      <c r="I114" s="18"/>
      <c r="J114" s="17"/>
      <c r="K114" s="16"/>
    </row>
    <row r="115" spans="1:11" ht="16.5" thickBot="1" x14ac:dyDescent="0.25">
      <c r="A115" s="24"/>
      <c r="B115" s="23"/>
      <c r="C115" s="22"/>
      <c r="D115" s="21" t="s">
        <v>356</v>
      </c>
      <c r="E115" s="20" t="s">
        <v>370</v>
      </c>
      <c r="F115" s="19">
        <v>20.3</v>
      </c>
      <c r="G115" s="15"/>
      <c r="H115" s="18"/>
      <c r="I115" s="18"/>
      <c r="J115" s="17"/>
      <c r="K115" s="16"/>
    </row>
    <row r="116" spans="1:11" ht="15.75" x14ac:dyDescent="0.2">
      <c r="A116" s="24"/>
      <c r="B116" s="34" t="s">
        <v>379</v>
      </c>
      <c r="C116" s="33">
        <v>4</v>
      </c>
      <c r="D116" s="32" t="s">
        <v>354</v>
      </c>
      <c r="E116" s="31" t="s">
        <v>365</v>
      </c>
      <c r="F116" s="30">
        <v>20</v>
      </c>
      <c r="G116" s="15"/>
      <c r="H116" s="18"/>
      <c r="I116" s="18"/>
      <c r="J116" s="17"/>
      <c r="K116" s="16"/>
    </row>
    <row r="117" spans="1:11" ht="15.75" x14ac:dyDescent="0.2">
      <c r="A117" s="24"/>
      <c r="B117" s="29"/>
      <c r="C117" s="28"/>
      <c r="D117" s="27" t="s">
        <v>355</v>
      </c>
      <c r="E117" s="26" t="s">
        <v>365</v>
      </c>
      <c r="F117" s="25">
        <v>17.100000000000001</v>
      </c>
      <c r="G117" s="15"/>
      <c r="H117" s="18"/>
      <c r="I117" s="18"/>
      <c r="J117" s="17"/>
      <c r="K117" s="16"/>
    </row>
    <row r="118" spans="1:11" ht="16.5" thickBot="1" x14ac:dyDescent="0.25">
      <c r="A118" s="24"/>
      <c r="B118" s="23"/>
      <c r="C118" s="22"/>
      <c r="D118" s="21" t="s">
        <v>356</v>
      </c>
      <c r="E118" s="20" t="s">
        <v>365</v>
      </c>
      <c r="F118" s="19">
        <v>21.2</v>
      </c>
      <c r="G118" s="15"/>
      <c r="H118" s="18"/>
      <c r="I118" s="18"/>
      <c r="J118" s="17"/>
      <c r="K118" s="16"/>
    </row>
    <row r="119" spans="1:11" ht="15.75" x14ac:dyDescent="0.2">
      <c r="A119" s="24"/>
      <c r="B119" s="34" t="s">
        <v>378</v>
      </c>
      <c r="C119" s="33">
        <v>4</v>
      </c>
      <c r="D119" s="32" t="s">
        <v>356</v>
      </c>
      <c r="E119" s="31" t="s">
        <v>373</v>
      </c>
      <c r="F119" s="30">
        <v>16.399999999999999</v>
      </c>
      <c r="G119" s="15"/>
      <c r="H119" s="18"/>
      <c r="I119" s="18"/>
      <c r="J119" s="17"/>
      <c r="K119" s="16"/>
    </row>
    <row r="120" spans="1:11" ht="15.75" x14ac:dyDescent="0.2">
      <c r="A120" s="24"/>
      <c r="B120" s="35"/>
      <c r="C120" s="28"/>
      <c r="D120" s="27" t="s">
        <v>355</v>
      </c>
      <c r="E120" s="26" t="s">
        <v>373</v>
      </c>
      <c r="F120" s="25">
        <v>14.8</v>
      </c>
      <c r="G120" s="15"/>
      <c r="H120" s="18"/>
      <c r="I120" s="18"/>
      <c r="J120" s="17"/>
      <c r="K120" s="16"/>
    </row>
    <row r="121" spans="1:11" ht="16.5" thickBot="1" x14ac:dyDescent="0.25">
      <c r="A121" s="24"/>
      <c r="B121" s="23"/>
      <c r="C121" s="22"/>
      <c r="D121" s="21" t="s">
        <v>354</v>
      </c>
      <c r="E121" s="20" t="s">
        <v>373</v>
      </c>
      <c r="F121" s="19">
        <v>13.2</v>
      </c>
      <c r="G121" s="15"/>
      <c r="H121" s="18"/>
      <c r="I121" s="18"/>
      <c r="J121" s="17"/>
      <c r="K121" s="16"/>
    </row>
    <row r="122" spans="1:11" ht="15.75" x14ac:dyDescent="0.2">
      <c r="A122" s="24"/>
      <c r="B122" s="34" t="s">
        <v>378</v>
      </c>
      <c r="C122" s="33">
        <v>3</v>
      </c>
      <c r="D122" s="32" t="s">
        <v>356</v>
      </c>
      <c r="E122" s="31" t="s">
        <v>364</v>
      </c>
      <c r="F122" s="30">
        <v>12.7</v>
      </c>
      <c r="G122" s="15"/>
      <c r="H122" s="18"/>
      <c r="I122" s="18"/>
      <c r="J122" s="17"/>
      <c r="K122" s="16"/>
    </row>
    <row r="123" spans="1:11" ht="15.75" x14ac:dyDescent="0.2">
      <c r="A123" s="24"/>
      <c r="B123" s="29"/>
      <c r="C123" s="28"/>
      <c r="D123" s="27" t="s">
        <v>355</v>
      </c>
      <c r="E123" s="26" t="s">
        <v>364</v>
      </c>
      <c r="F123" s="25">
        <v>13</v>
      </c>
      <c r="G123" s="15"/>
      <c r="H123" s="18"/>
      <c r="I123" s="18"/>
      <c r="J123" s="17"/>
      <c r="K123" s="16"/>
    </row>
    <row r="124" spans="1:11" ht="16.5" thickBot="1" x14ac:dyDescent="0.25">
      <c r="A124" s="24"/>
      <c r="B124" s="23"/>
      <c r="C124" s="22"/>
      <c r="D124" s="21" t="s">
        <v>354</v>
      </c>
      <c r="E124" s="20" t="s">
        <v>364</v>
      </c>
      <c r="F124" s="19">
        <v>11.1</v>
      </c>
      <c r="G124" s="15"/>
      <c r="H124" s="18"/>
      <c r="I124" s="18"/>
      <c r="J124" s="17"/>
      <c r="K124" s="16"/>
    </row>
    <row r="125" spans="1:11" ht="15.75" x14ac:dyDescent="0.2">
      <c r="A125" s="24"/>
      <c r="B125" s="34" t="s">
        <v>378</v>
      </c>
      <c r="C125" s="33">
        <v>2</v>
      </c>
      <c r="D125" s="32" t="s">
        <v>356</v>
      </c>
      <c r="E125" s="31" t="s">
        <v>366</v>
      </c>
      <c r="F125" s="30">
        <v>18.100000000000001</v>
      </c>
      <c r="G125" s="15"/>
      <c r="H125" s="18"/>
      <c r="I125" s="18"/>
      <c r="J125" s="17"/>
      <c r="K125" s="16"/>
    </row>
    <row r="126" spans="1:11" ht="15.75" x14ac:dyDescent="0.2">
      <c r="A126" s="24"/>
      <c r="B126" s="29"/>
      <c r="C126" s="28"/>
      <c r="D126" s="27" t="s">
        <v>355</v>
      </c>
      <c r="E126" s="26" t="s">
        <v>366</v>
      </c>
      <c r="F126" s="25">
        <v>18</v>
      </c>
      <c r="G126" s="15"/>
      <c r="H126" s="18"/>
      <c r="I126" s="18"/>
      <c r="J126" s="17"/>
      <c r="K126" s="16"/>
    </row>
    <row r="127" spans="1:11" ht="16.5" thickBot="1" x14ac:dyDescent="0.25">
      <c r="A127" s="24"/>
      <c r="B127" s="23"/>
      <c r="C127" s="22"/>
      <c r="D127" s="21" t="s">
        <v>354</v>
      </c>
      <c r="E127" s="20" t="s">
        <v>366</v>
      </c>
      <c r="F127" s="19">
        <v>16.399999999999999</v>
      </c>
      <c r="G127" s="15"/>
      <c r="H127" s="18"/>
      <c r="I127" s="18"/>
      <c r="J127" s="17"/>
      <c r="K127" s="16"/>
    </row>
    <row r="128" spans="1:11" ht="15.75" x14ac:dyDescent="0.2">
      <c r="A128" s="24"/>
      <c r="B128" s="34" t="s">
        <v>378</v>
      </c>
      <c r="C128" s="33">
        <v>1</v>
      </c>
      <c r="D128" s="32" t="s">
        <v>356</v>
      </c>
      <c r="E128" s="31" t="s">
        <v>361</v>
      </c>
      <c r="F128" s="30">
        <v>20.7</v>
      </c>
      <c r="G128" s="15"/>
      <c r="H128" s="18"/>
      <c r="I128" s="18"/>
      <c r="J128" s="17"/>
      <c r="K128" s="16"/>
    </row>
    <row r="129" spans="1:11" ht="15.75" x14ac:dyDescent="0.2">
      <c r="A129" s="24"/>
      <c r="B129" s="29"/>
      <c r="C129" s="28"/>
      <c r="D129" s="27" t="s">
        <v>355</v>
      </c>
      <c r="E129" s="26" t="s">
        <v>361</v>
      </c>
      <c r="F129" s="25">
        <v>22</v>
      </c>
      <c r="G129" s="15"/>
      <c r="H129" s="18"/>
      <c r="I129" s="18"/>
      <c r="J129" s="17"/>
      <c r="K129" s="16"/>
    </row>
    <row r="130" spans="1:11" ht="16.5" thickBot="1" x14ac:dyDescent="0.25">
      <c r="A130" s="24"/>
      <c r="B130" s="23"/>
      <c r="C130" s="22"/>
      <c r="D130" s="21" t="s">
        <v>354</v>
      </c>
      <c r="E130" s="20" t="s">
        <v>361</v>
      </c>
      <c r="F130" s="19">
        <v>20.3</v>
      </c>
      <c r="G130" s="15"/>
      <c r="H130" s="18"/>
      <c r="I130" s="18"/>
      <c r="J130" s="17"/>
      <c r="K130" s="16"/>
    </row>
    <row r="131" spans="1:11" ht="15.75" x14ac:dyDescent="0.2">
      <c r="A131" s="24"/>
      <c r="B131" s="34" t="s">
        <v>377</v>
      </c>
      <c r="C131" s="33">
        <v>1</v>
      </c>
      <c r="D131" s="32" t="s">
        <v>354</v>
      </c>
      <c r="E131" s="31" t="s">
        <v>369</v>
      </c>
      <c r="F131" s="30">
        <v>13.4</v>
      </c>
      <c r="G131" s="15"/>
      <c r="H131" s="18"/>
      <c r="I131" s="18"/>
      <c r="J131" s="17"/>
      <c r="K131" s="16"/>
    </row>
    <row r="132" spans="1:11" ht="15.75" x14ac:dyDescent="0.2">
      <c r="A132" s="24"/>
      <c r="B132" s="35"/>
      <c r="C132" s="28"/>
      <c r="D132" s="27" t="s">
        <v>355</v>
      </c>
      <c r="E132" s="26" t="s">
        <v>369</v>
      </c>
      <c r="F132" s="25">
        <v>14.2</v>
      </c>
      <c r="G132" s="15"/>
      <c r="H132" s="39"/>
      <c r="I132" s="38"/>
      <c r="J132" s="37"/>
      <c r="K132" s="36"/>
    </row>
    <row r="133" spans="1:11" ht="16.5" thickBot="1" x14ac:dyDescent="0.25">
      <c r="A133" s="24"/>
      <c r="B133" s="23"/>
      <c r="C133" s="22"/>
      <c r="D133" s="21" t="s">
        <v>356</v>
      </c>
      <c r="E133" s="20" t="s">
        <v>369</v>
      </c>
      <c r="F133" s="19">
        <v>15</v>
      </c>
      <c r="G133" s="15"/>
      <c r="H133" s="39"/>
      <c r="I133" s="38"/>
      <c r="J133" s="37"/>
      <c r="K133" s="36"/>
    </row>
    <row r="134" spans="1:11" ht="15.75" x14ac:dyDescent="0.2">
      <c r="A134" s="24"/>
      <c r="B134" s="34" t="s">
        <v>377</v>
      </c>
      <c r="C134" s="33">
        <v>2</v>
      </c>
      <c r="D134" s="32" t="s">
        <v>354</v>
      </c>
      <c r="E134" s="31" t="s">
        <v>359</v>
      </c>
      <c r="F134" s="30">
        <v>17</v>
      </c>
      <c r="G134" s="15"/>
      <c r="H134" s="39"/>
      <c r="I134" s="38"/>
      <c r="J134" s="37"/>
      <c r="K134" s="36"/>
    </row>
    <row r="135" spans="1:11" ht="15.75" x14ac:dyDescent="0.2">
      <c r="A135" s="24"/>
      <c r="B135" s="29"/>
      <c r="C135" s="28"/>
      <c r="D135" s="27" t="s">
        <v>355</v>
      </c>
      <c r="E135" s="26" t="s">
        <v>359</v>
      </c>
      <c r="F135" s="25">
        <v>14.8</v>
      </c>
      <c r="G135" s="15"/>
      <c r="H135" s="39"/>
      <c r="I135" s="38"/>
      <c r="J135" s="37"/>
      <c r="K135" s="36"/>
    </row>
    <row r="136" spans="1:11" ht="16.5" thickBot="1" x14ac:dyDescent="0.25">
      <c r="A136" s="24"/>
      <c r="B136" s="23"/>
      <c r="C136" s="22"/>
      <c r="D136" s="21" t="s">
        <v>356</v>
      </c>
      <c r="E136" s="20" t="s">
        <v>359</v>
      </c>
      <c r="F136" s="19">
        <v>18</v>
      </c>
      <c r="G136" s="15"/>
      <c r="H136" s="39"/>
      <c r="I136" s="38"/>
      <c r="J136" s="37"/>
      <c r="K136" s="36"/>
    </row>
    <row r="137" spans="1:11" ht="15.75" x14ac:dyDescent="0.2">
      <c r="A137" s="24"/>
      <c r="B137" s="34" t="s">
        <v>377</v>
      </c>
      <c r="C137" s="33">
        <v>3</v>
      </c>
      <c r="D137" s="32" t="s">
        <v>354</v>
      </c>
      <c r="E137" s="31" t="s">
        <v>375</v>
      </c>
      <c r="F137" s="30">
        <v>18.2</v>
      </c>
      <c r="G137" s="15"/>
      <c r="H137" s="39"/>
      <c r="I137" s="38"/>
      <c r="J137" s="37"/>
      <c r="K137" s="36"/>
    </row>
    <row r="138" spans="1:11" ht="15.75" x14ac:dyDescent="0.2">
      <c r="A138" s="24"/>
      <c r="B138" s="29"/>
      <c r="C138" s="28"/>
      <c r="D138" s="27" t="s">
        <v>355</v>
      </c>
      <c r="E138" s="26" t="s">
        <v>375</v>
      </c>
      <c r="F138" s="25">
        <v>18.8</v>
      </c>
      <c r="G138" s="15"/>
      <c r="H138" s="39"/>
      <c r="I138" s="38"/>
      <c r="J138" s="37"/>
      <c r="K138" s="36"/>
    </row>
    <row r="139" spans="1:11" ht="16.5" thickBot="1" x14ac:dyDescent="0.25">
      <c r="A139" s="24"/>
      <c r="B139" s="23"/>
      <c r="C139" s="22"/>
      <c r="D139" s="21" t="s">
        <v>356</v>
      </c>
      <c r="E139" s="20" t="s">
        <v>375</v>
      </c>
      <c r="F139" s="19">
        <v>17.7</v>
      </c>
      <c r="G139" s="15"/>
      <c r="H139" s="39"/>
      <c r="I139" s="38"/>
      <c r="J139" s="37"/>
      <c r="K139" s="36"/>
    </row>
    <row r="140" spans="1:11" ht="15.75" x14ac:dyDescent="0.2">
      <c r="A140" s="24"/>
      <c r="B140" s="34" t="s">
        <v>377</v>
      </c>
      <c r="C140" s="33">
        <v>4</v>
      </c>
      <c r="D140" s="32" t="s">
        <v>354</v>
      </c>
      <c r="E140" s="31" t="s">
        <v>363</v>
      </c>
      <c r="F140" s="30">
        <v>18.600000000000001</v>
      </c>
      <c r="G140" s="15"/>
      <c r="H140" s="39"/>
      <c r="I140" s="38"/>
      <c r="J140" s="37"/>
      <c r="K140" s="36"/>
    </row>
    <row r="141" spans="1:11" ht="15.75" x14ac:dyDescent="0.2">
      <c r="A141" s="24"/>
      <c r="B141" s="29"/>
      <c r="C141" s="28"/>
      <c r="D141" s="27" t="s">
        <v>355</v>
      </c>
      <c r="E141" s="26" t="s">
        <v>363</v>
      </c>
      <c r="F141" s="25">
        <v>13</v>
      </c>
      <c r="G141" s="15"/>
      <c r="H141" s="39"/>
      <c r="I141" s="38"/>
      <c r="J141" s="37"/>
      <c r="K141" s="36"/>
    </row>
    <row r="142" spans="1:11" ht="16.5" thickBot="1" x14ac:dyDescent="0.25">
      <c r="A142" s="24"/>
      <c r="B142" s="23"/>
      <c r="C142" s="22"/>
      <c r="D142" s="21" t="s">
        <v>356</v>
      </c>
      <c r="E142" s="20" t="s">
        <v>363</v>
      </c>
      <c r="F142" s="19">
        <v>17.899999999999999</v>
      </c>
      <c r="G142" s="15"/>
      <c r="H142" s="39"/>
      <c r="I142" s="38"/>
      <c r="J142" s="37"/>
      <c r="K142" s="36"/>
    </row>
    <row r="143" spans="1:11" ht="15.75" x14ac:dyDescent="0.2">
      <c r="A143" s="24"/>
      <c r="B143" s="34" t="s">
        <v>376</v>
      </c>
      <c r="C143" s="33">
        <v>4</v>
      </c>
      <c r="D143" s="32" t="s">
        <v>356</v>
      </c>
      <c r="E143" s="31" t="s">
        <v>368</v>
      </c>
      <c r="F143" s="30">
        <v>21.2</v>
      </c>
      <c r="G143" s="15"/>
      <c r="H143" s="39"/>
      <c r="I143" s="38"/>
      <c r="J143" s="37"/>
      <c r="K143" s="36"/>
    </row>
    <row r="144" spans="1:11" ht="15.75" x14ac:dyDescent="0.2">
      <c r="A144" s="24"/>
      <c r="B144" s="35"/>
      <c r="C144" s="28"/>
      <c r="D144" s="27" t="s">
        <v>355</v>
      </c>
      <c r="E144" s="26" t="s">
        <v>368</v>
      </c>
      <c r="F144" s="25">
        <v>19.5</v>
      </c>
      <c r="G144" s="15"/>
      <c r="H144" s="39"/>
      <c r="I144" s="38"/>
      <c r="J144" s="37"/>
      <c r="K144" s="36"/>
    </row>
    <row r="145" spans="1:11" ht="16.5" thickBot="1" x14ac:dyDescent="0.25">
      <c r="A145" s="24"/>
      <c r="B145" s="23"/>
      <c r="C145" s="22"/>
      <c r="D145" s="21" t="s">
        <v>354</v>
      </c>
      <c r="E145" s="20" t="s">
        <v>368</v>
      </c>
      <c r="F145" s="19">
        <v>19.8</v>
      </c>
      <c r="G145" s="15"/>
      <c r="H145" s="39"/>
      <c r="I145" s="38"/>
      <c r="J145" s="37"/>
      <c r="K145" s="36"/>
    </row>
    <row r="146" spans="1:11" ht="15.75" x14ac:dyDescent="0.2">
      <c r="A146" s="24"/>
      <c r="B146" s="34" t="s">
        <v>376</v>
      </c>
      <c r="C146" s="33">
        <v>3</v>
      </c>
      <c r="D146" s="32" t="s">
        <v>356</v>
      </c>
      <c r="E146" s="31" t="s">
        <v>371</v>
      </c>
      <c r="F146" s="30">
        <v>16.899999999999999</v>
      </c>
      <c r="G146" s="15"/>
      <c r="H146" s="39"/>
      <c r="I146" s="38"/>
      <c r="J146" s="37"/>
      <c r="K146" s="36"/>
    </row>
    <row r="147" spans="1:11" ht="15.75" x14ac:dyDescent="0.2">
      <c r="A147" s="24"/>
      <c r="B147" s="29"/>
      <c r="C147" s="28"/>
      <c r="D147" s="27" t="s">
        <v>355</v>
      </c>
      <c r="E147" s="26" t="s">
        <v>371</v>
      </c>
      <c r="F147" s="25">
        <v>17.600000000000001</v>
      </c>
      <c r="G147" s="15"/>
      <c r="H147" s="39"/>
      <c r="I147" s="38"/>
      <c r="J147" s="37"/>
      <c r="K147" s="36"/>
    </row>
    <row r="148" spans="1:11" ht="16.5" thickBot="1" x14ac:dyDescent="0.25">
      <c r="A148" s="24"/>
      <c r="B148" s="23"/>
      <c r="C148" s="22"/>
      <c r="D148" s="21" t="s">
        <v>354</v>
      </c>
      <c r="E148" s="20" t="s">
        <v>371</v>
      </c>
      <c r="F148" s="19">
        <v>17.100000000000001</v>
      </c>
      <c r="G148" s="15"/>
      <c r="H148" s="39"/>
      <c r="I148" s="38"/>
      <c r="J148" s="37"/>
      <c r="K148" s="36"/>
    </row>
    <row r="149" spans="1:11" ht="15.75" x14ac:dyDescent="0.2">
      <c r="A149" s="24"/>
      <c r="B149" s="34" t="s">
        <v>376</v>
      </c>
      <c r="C149" s="33">
        <v>2</v>
      </c>
      <c r="D149" s="32" t="s">
        <v>356</v>
      </c>
      <c r="E149" s="31" t="s">
        <v>360</v>
      </c>
      <c r="F149" s="30">
        <v>18.100000000000001</v>
      </c>
      <c r="G149" s="15"/>
      <c r="H149" s="39"/>
      <c r="I149" s="38"/>
      <c r="J149" s="37"/>
      <c r="K149" s="36"/>
    </row>
    <row r="150" spans="1:11" ht="15.75" x14ac:dyDescent="0.2">
      <c r="A150" s="24"/>
      <c r="B150" s="29"/>
      <c r="C150" s="28"/>
      <c r="D150" s="27" t="s">
        <v>355</v>
      </c>
      <c r="E150" s="26" t="s">
        <v>360</v>
      </c>
      <c r="F150" s="25">
        <v>18.100000000000001</v>
      </c>
      <c r="G150" s="15"/>
      <c r="H150" s="39"/>
      <c r="I150" s="38"/>
      <c r="J150" s="37"/>
      <c r="K150" s="36"/>
    </row>
    <row r="151" spans="1:11" ht="16.5" thickBot="1" x14ac:dyDescent="0.25">
      <c r="A151" s="24"/>
      <c r="B151" s="23"/>
      <c r="C151" s="22"/>
      <c r="D151" s="21" t="s">
        <v>354</v>
      </c>
      <c r="E151" s="20" t="s">
        <v>360</v>
      </c>
      <c r="F151" s="19">
        <v>20.2</v>
      </c>
      <c r="G151" s="15"/>
      <c r="H151" s="39"/>
      <c r="I151" s="38"/>
      <c r="J151" s="37"/>
      <c r="K151" s="36"/>
    </row>
    <row r="152" spans="1:11" ht="15.75" x14ac:dyDescent="0.2">
      <c r="A152" s="24"/>
      <c r="B152" s="34" t="s">
        <v>376</v>
      </c>
      <c r="C152" s="33">
        <v>1</v>
      </c>
      <c r="D152" s="32" t="s">
        <v>356</v>
      </c>
      <c r="E152" s="31" t="s">
        <v>358</v>
      </c>
      <c r="F152" s="30">
        <v>21.1</v>
      </c>
      <c r="G152" s="15"/>
      <c r="H152" s="39"/>
      <c r="I152" s="38"/>
      <c r="J152" s="37"/>
      <c r="K152" s="36"/>
    </row>
    <row r="153" spans="1:11" ht="15.75" x14ac:dyDescent="0.2">
      <c r="A153" s="24"/>
      <c r="B153" s="29"/>
      <c r="C153" s="28"/>
      <c r="D153" s="27" t="s">
        <v>355</v>
      </c>
      <c r="E153" s="26" t="s">
        <v>358</v>
      </c>
      <c r="F153" s="25">
        <v>21.1</v>
      </c>
      <c r="G153" s="15"/>
      <c r="H153" s="39"/>
      <c r="I153" s="38"/>
      <c r="J153" s="37"/>
      <c r="K153" s="36"/>
    </row>
    <row r="154" spans="1:11" ht="16.5" thickBot="1" x14ac:dyDescent="0.25">
      <c r="A154" s="24"/>
      <c r="B154" s="23"/>
      <c r="C154" s="22"/>
      <c r="D154" s="21" t="s">
        <v>354</v>
      </c>
      <c r="E154" s="20" t="s">
        <v>358</v>
      </c>
      <c r="F154" s="19">
        <v>22.1</v>
      </c>
      <c r="G154" s="15"/>
      <c r="H154" s="39"/>
      <c r="I154" s="38"/>
      <c r="J154" s="37"/>
      <c r="K154" s="36"/>
    </row>
    <row r="155" spans="1:11" ht="15.75" x14ac:dyDescent="0.2">
      <c r="A155" s="24"/>
      <c r="B155" s="34" t="s">
        <v>372</v>
      </c>
      <c r="C155" s="33">
        <v>1</v>
      </c>
      <c r="D155" s="32" t="s">
        <v>354</v>
      </c>
      <c r="E155" s="31" t="s">
        <v>375</v>
      </c>
      <c r="F155" s="30">
        <v>22.4</v>
      </c>
      <c r="G155" s="15"/>
      <c r="H155" s="39"/>
      <c r="I155" s="38"/>
      <c r="J155" s="37"/>
      <c r="K155" s="36"/>
    </row>
    <row r="156" spans="1:11" ht="15.75" x14ac:dyDescent="0.2">
      <c r="A156" s="24"/>
      <c r="B156" s="35"/>
      <c r="C156" s="28"/>
      <c r="D156" s="27" t="s">
        <v>355</v>
      </c>
      <c r="E156" s="26" t="s">
        <v>375</v>
      </c>
      <c r="F156" s="25">
        <v>20.100000000000001</v>
      </c>
      <c r="G156" s="15"/>
      <c r="H156" s="18"/>
      <c r="I156" s="18"/>
      <c r="J156" s="17"/>
      <c r="K156" s="16"/>
    </row>
    <row r="157" spans="1:11" ht="16.5" thickBot="1" x14ac:dyDescent="0.25">
      <c r="A157" s="24"/>
      <c r="B157" s="23"/>
      <c r="C157" s="22"/>
      <c r="D157" s="21" t="s">
        <v>356</v>
      </c>
      <c r="E157" s="20" t="s">
        <v>375</v>
      </c>
      <c r="F157" s="19">
        <v>20.8</v>
      </c>
      <c r="G157" s="15"/>
      <c r="H157" s="18"/>
      <c r="I157" s="18"/>
      <c r="J157" s="17"/>
      <c r="K157" s="16"/>
    </row>
    <row r="158" spans="1:11" ht="15.75" x14ac:dyDescent="0.2">
      <c r="A158" s="24"/>
      <c r="B158" s="34" t="s">
        <v>372</v>
      </c>
      <c r="C158" s="33">
        <v>2</v>
      </c>
      <c r="D158" s="32" t="s">
        <v>354</v>
      </c>
      <c r="E158" s="31" t="s">
        <v>374</v>
      </c>
      <c r="F158" s="30">
        <v>20.399999999999999</v>
      </c>
      <c r="G158" s="15"/>
      <c r="H158" s="18"/>
      <c r="I158" s="18"/>
      <c r="J158" s="17"/>
      <c r="K158" s="16"/>
    </row>
    <row r="159" spans="1:11" ht="15.75" x14ac:dyDescent="0.2">
      <c r="A159" s="24"/>
      <c r="B159" s="29"/>
      <c r="C159" s="28"/>
      <c r="D159" s="27" t="s">
        <v>355</v>
      </c>
      <c r="E159" s="26" t="s">
        <v>374</v>
      </c>
      <c r="F159" s="25">
        <v>18.2</v>
      </c>
      <c r="G159" s="15"/>
      <c r="H159" s="18"/>
      <c r="I159" s="18"/>
      <c r="J159" s="17"/>
      <c r="K159" s="16"/>
    </row>
    <row r="160" spans="1:11" ht="16.5" thickBot="1" x14ac:dyDescent="0.25">
      <c r="A160" s="24"/>
      <c r="B160" s="23"/>
      <c r="C160" s="22"/>
      <c r="D160" s="21" t="s">
        <v>356</v>
      </c>
      <c r="E160" s="20" t="s">
        <v>374</v>
      </c>
      <c r="F160" s="19">
        <v>19.600000000000001</v>
      </c>
      <c r="G160" s="15"/>
      <c r="H160" s="18"/>
      <c r="I160" s="18"/>
      <c r="J160" s="17"/>
      <c r="K160" s="16"/>
    </row>
    <row r="161" spans="1:11" ht="15.75" x14ac:dyDescent="0.2">
      <c r="A161" s="24"/>
      <c r="B161" s="34" t="s">
        <v>372</v>
      </c>
      <c r="C161" s="33">
        <v>3</v>
      </c>
      <c r="D161" s="32" t="s">
        <v>354</v>
      </c>
      <c r="E161" s="31" t="s">
        <v>373</v>
      </c>
      <c r="F161" s="30">
        <v>13.3</v>
      </c>
      <c r="G161" s="15"/>
      <c r="H161" s="18"/>
      <c r="I161" s="18"/>
      <c r="J161" s="17"/>
      <c r="K161" s="16"/>
    </row>
    <row r="162" spans="1:11" ht="15.75" x14ac:dyDescent="0.2">
      <c r="A162" s="24"/>
      <c r="B162" s="29"/>
      <c r="C162" s="28"/>
      <c r="D162" s="27" t="s">
        <v>355</v>
      </c>
      <c r="E162" s="26" t="s">
        <v>373</v>
      </c>
      <c r="F162" s="25">
        <v>12.4</v>
      </c>
      <c r="G162" s="15"/>
      <c r="H162" s="18"/>
      <c r="I162" s="18"/>
      <c r="J162" s="17"/>
      <c r="K162" s="16"/>
    </row>
    <row r="163" spans="1:11" ht="16.5" thickBot="1" x14ac:dyDescent="0.25">
      <c r="A163" s="24"/>
      <c r="B163" s="23"/>
      <c r="C163" s="22"/>
      <c r="D163" s="21" t="s">
        <v>356</v>
      </c>
      <c r="E163" s="20" t="s">
        <v>373</v>
      </c>
      <c r="F163" s="19">
        <v>15.8</v>
      </c>
      <c r="G163" s="15"/>
      <c r="H163" s="18"/>
      <c r="I163" s="18"/>
      <c r="J163" s="17"/>
      <c r="K163" s="16"/>
    </row>
    <row r="164" spans="1:11" ht="15.75" x14ac:dyDescent="0.2">
      <c r="A164" s="24"/>
      <c r="B164" s="34" t="s">
        <v>372</v>
      </c>
      <c r="C164" s="33">
        <v>4</v>
      </c>
      <c r="D164" s="32" t="s">
        <v>354</v>
      </c>
      <c r="E164" s="31" t="s">
        <v>371</v>
      </c>
      <c r="F164" s="30">
        <v>18.7</v>
      </c>
      <c r="G164" s="15"/>
      <c r="H164" s="18"/>
      <c r="I164" s="18"/>
      <c r="J164" s="17"/>
      <c r="K164" s="16"/>
    </row>
    <row r="165" spans="1:11" ht="15.75" x14ac:dyDescent="0.2">
      <c r="A165" s="24"/>
      <c r="B165" s="29"/>
      <c r="C165" s="28"/>
      <c r="D165" s="27" t="s">
        <v>355</v>
      </c>
      <c r="E165" s="26" t="s">
        <v>371</v>
      </c>
      <c r="F165" s="25">
        <v>19.899999999999999</v>
      </c>
      <c r="G165" s="15"/>
      <c r="H165" s="18"/>
      <c r="I165" s="18"/>
      <c r="J165" s="17"/>
      <c r="K165" s="16"/>
    </row>
    <row r="166" spans="1:11" ht="16.5" thickBot="1" x14ac:dyDescent="0.25">
      <c r="A166" s="24"/>
      <c r="B166" s="23"/>
      <c r="C166" s="22"/>
      <c r="D166" s="21" t="s">
        <v>356</v>
      </c>
      <c r="E166" s="20" t="s">
        <v>371</v>
      </c>
      <c r="F166" s="19">
        <v>16.5</v>
      </c>
      <c r="G166" s="15"/>
      <c r="H166" s="18"/>
      <c r="I166" s="18"/>
      <c r="J166" s="17"/>
      <c r="K166" s="16"/>
    </row>
    <row r="167" spans="1:11" ht="15.75" x14ac:dyDescent="0.2">
      <c r="A167" s="24"/>
      <c r="B167" s="34" t="s">
        <v>367</v>
      </c>
      <c r="C167" s="33">
        <v>4</v>
      </c>
      <c r="D167" s="32" t="s">
        <v>356</v>
      </c>
      <c r="E167" s="31" t="s">
        <v>370</v>
      </c>
      <c r="F167" s="30">
        <v>19.600000000000001</v>
      </c>
      <c r="G167" s="15"/>
      <c r="H167" s="18"/>
      <c r="I167" s="18"/>
      <c r="J167" s="17"/>
      <c r="K167" s="16"/>
    </row>
    <row r="168" spans="1:11" ht="15.75" x14ac:dyDescent="0.2">
      <c r="A168" s="24"/>
      <c r="B168" s="35"/>
      <c r="C168" s="28"/>
      <c r="D168" s="27" t="s">
        <v>355</v>
      </c>
      <c r="E168" s="26" t="s">
        <v>370</v>
      </c>
      <c r="F168" s="25">
        <v>18.3</v>
      </c>
      <c r="G168" s="15"/>
      <c r="H168" s="18"/>
      <c r="I168" s="18"/>
      <c r="J168" s="17"/>
      <c r="K168" s="16"/>
    </row>
    <row r="169" spans="1:11" ht="16.5" thickBot="1" x14ac:dyDescent="0.25">
      <c r="A169" s="24"/>
      <c r="B169" s="23"/>
      <c r="C169" s="22"/>
      <c r="D169" s="21" t="s">
        <v>354</v>
      </c>
      <c r="E169" s="20" t="s">
        <v>370</v>
      </c>
      <c r="F169" s="19">
        <v>16.8</v>
      </c>
      <c r="G169" s="15"/>
      <c r="H169" s="18"/>
      <c r="I169" s="18"/>
      <c r="J169" s="17"/>
      <c r="K169" s="16"/>
    </row>
    <row r="170" spans="1:11" ht="15.75" x14ac:dyDescent="0.2">
      <c r="A170" s="24"/>
      <c r="B170" s="34" t="s">
        <v>367</v>
      </c>
      <c r="C170" s="33">
        <v>3</v>
      </c>
      <c r="D170" s="32" t="s">
        <v>356</v>
      </c>
      <c r="E170" s="31" t="s">
        <v>369</v>
      </c>
      <c r="F170" s="30">
        <v>11.7</v>
      </c>
      <c r="G170" s="15"/>
      <c r="H170" s="18"/>
      <c r="I170" s="18"/>
      <c r="J170" s="17"/>
      <c r="K170" s="16"/>
    </row>
    <row r="171" spans="1:11" ht="15.75" x14ac:dyDescent="0.2">
      <c r="A171" s="24"/>
      <c r="B171" s="29"/>
      <c r="C171" s="28"/>
      <c r="D171" s="27" t="s">
        <v>355</v>
      </c>
      <c r="E171" s="26" t="s">
        <v>369</v>
      </c>
      <c r="F171" s="25">
        <v>10.3</v>
      </c>
      <c r="G171" s="15"/>
      <c r="H171" s="18"/>
      <c r="I171" s="18"/>
      <c r="J171" s="17"/>
      <c r="K171" s="16"/>
    </row>
    <row r="172" spans="1:11" ht="16.5" thickBot="1" x14ac:dyDescent="0.25">
      <c r="A172" s="24"/>
      <c r="B172" s="23"/>
      <c r="C172" s="22"/>
      <c r="D172" s="21" t="s">
        <v>354</v>
      </c>
      <c r="E172" s="20" t="s">
        <v>369</v>
      </c>
      <c r="F172" s="19">
        <v>11.4</v>
      </c>
      <c r="G172" s="15"/>
      <c r="H172" s="18"/>
      <c r="I172" s="18"/>
      <c r="J172" s="17"/>
      <c r="K172" s="16"/>
    </row>
    <row r="173" spans="1:11" ht="15.75" x14ac:dyDescent="0.2">
      <c r="A173" s="24"/>
      <c r="B173" s="34" t="s">
        <v>367</v>
      </c>
      <c r="C173" s="33">
        <v>2</v>
      </c>
      <c r="D173" s="32" t="s">
        <v>356</v>
      </c>
      <c r="E173" s="31" t="s">
        <v>368</v>
      </c>
      <c r="F173" s="30">
        <v>22.7</v>
      </c>
      <c r="G173" s="15"/>
      <c r="H173" s="18"/>
      <c r="I173" s="18"/>
      <c r="J173" s="17"/>
      <c r="K173" s="16"/>
    </row>
    <row r="174" spans="1:11" ht="15.75" x14ac:dyDescent="0.2">
      <c r="A174" s="24"/>
      <c r="B174" s="29"/>
      <c r="C174" s="28"/>
      <c r="D174" s="27" t="s">
        <v>355</v>
      </c>
      <c r="E174" s="26" t="s">
        <v>368</v>
      </c>
      <c r="F174" s="25">
        <v>23.5</v>
      </c>
      <c r="G174" s="15"/>
      <c r="H174" s="18"/>
      <c r="I174" s="18"/>
      <c r="J174" s="17"/>
      <c r="K174" s="16"/>
    </row>
    <row r="175" spans="1:11" ht="16.5" thickBot="1" x14ac:dyDescent="0.25">
      <c r="A175" s="24"/>
      <c r="B175" s="23"/>
      <c r="C175" s="22"/>
      <c r="D175" s="21" t="s">
        <v>354</v>
      </c>
      <c r="E175" s="20" t="s">
        <v>368</v>
      </c>
      <c r="F175" s="19">
        <v>22.8</v>
      </c>
      <c r="G175" s="15"/>
      <c r="H175" s="18"/>
      <c r="I175" s="18"/>
      <c r="J175" s="17"/>
      <c r="K175" s="16"/>
    </row>
    <row r="176" spans="1:11" ht="15.75" x14ac:dyDescent="0.2">
      <c r="A176" s="24"/>
      <c r="B176" s="34" t="s">
        <v>367</v>
      </c>
      <c r="C176" s="33">
        <v>1</v>
      </c>
      <c r="D176" s="32" t="s">
        <v>356</v>
      </c>
      <c r="E176" s="31" t="s">
        <v>366</v>
      </c>
      <c r="F176" s="30">
        <v>20</v>
      </c>
      <c r="G176" s="15"/>
      <c r="H176" s="18"/>
      <c r="I176" s="18"/>
      <c r="J176" s="17"/>
      <c r="K176" s="16"/>
    </row>
    <row r="177" spans="1:11" ht="15.75" x14ac:dyDescent="0.2">
      <c r="A177" s="24"/>
      <c r="B177" s="29"/>
      <c r="C177" s="28"/>
      <c r="D177" s="27" t="s">
        <v>355</v>
      </c>
      <c r="E177" s="26" t="s">
        <v>366</v>
      </c>
      <c r="F177" s="25">
        <v>17.5</v>
      </c>
      <c r="G177" s="15"/>
      <c r="H177" s="18"/>
      <c r="I177" s="18"/>
      <c r="J177" s="17"/>
      <c r="K177" s="16"/>
    </row>
    <row r="178" spans="1:11" ht="16.5" thickBot="1" x14ac:dyDescent="0.25">
      <c r="A178" s="24"/>
      <c r="B178" s="23"/>
      <c r="C178" s="22"/>
      <c r="D178" s="21" t="s">
        <v>354</v>
      </c>
      <c r="E178" s="20" t="s">
        <v>366</v>
      </c>
      <c r="F178" s="19">
        <v>18.3</v>
      </c>
      <c r="G178" s="15"/>
      <c r="H178" s="18"/>
      <c r="I178" s="18"/>
      <c r="J178" s="17"/>
      <c r="K178" s="16"/>
    </row>
    <row r="179" spans="1:11" ht="15.75" x14ac:dyDescent="0.2">
      <c r="A179" s="24"/>
      <c r="B179" s="34" t="s">
        <v>362</v>
      </c>
      <c r="C179" s="33">
        <v>1</v>
      </c>
      <c r="D179" s="32" t="s">
        <v>354</v>
      </c>
      <c r="E179" s="31" t="s">
        <v>365</v>
      </c>
      <c r="F179" s="30">
        <v>22.8</v>
      </c>
      <c r="G179" s="15"/>
      <c r="H179" s="18"/>
      <c r="I179" s="18"/>
      <c r="J179" s="17"/>
      <c r="K179" s="16"/>
    </row>
    <row r="180" spans="1:11" ht="15.75" x14ac:dyDescent="0.2">
      <c r="A180" s="24"/>
      <c r="B180" s="35"/>
      <c r="C180" s="28"/>
      <c r="D180" s="27" t="s">
        <v>355</v>
      </c>
      <c r="E180" s="26" t="s">
        <v>365</v>
      </c>
      <c r="F180" s="25">
        <v>20.2</v>
      </c>
      <c r="G180" s="15"/>
      <c r="H180" s="18"/>
      <c r="I180" s="18"/>
      <c r="J180" s="17"/>
      <c r="K180" s="16"/>
    </row>
    <row r="181" spans="1:11" ht="16.5" thickBot="1" x14ac:dyDescent="0.25">
      <c r="A181" s="24"/>
      <c r="B181" s="23"/>
      <c r="C181" s="22"/>
      <c r="D181" s="21" t="s">
        <v>356</v>
      </c>
      <c r="E181" s="20" t="s">
        <v>365</v>
      </c>
      <c r="F181" s="19">
        <v>18.600000000000001</v>
      </c>
      <c r="G181" s="15"/>
      <c r="H181" s="18"/>
      <c r="I181" s="18"/>
      <c r="J181" s="17"/>
      <c r="K181" s="16"/>
    </row>
    <row r="182" spans="1:11" ht="15.75" x14ac:dyDescent="0.2">
      <c r="A182" s="24"/>
      <c r="B182" s="34" t="s">
        <v>362</v>
      </c>
      <c r="C182" s="33">
        <v>2</v>
      </c>
      <c r="D182" s="32" t="s">
        <v>354</v>
      </c>
      <c r="E182" s="31" t="s">
        <v>364</v>
      </c>
      <c r="F182" s="30">
        <v>19.100000000000001</v>
      </c>
      <c r="G182" s="15"/>
      <c r="H182" s="18"/>
      <c r="I182" s="18"/>
      <c r="J182" s="17"/>
      <c r="K182" s="16"/>
    </row>
    <row r="183" spans="1:11" ht="15.75" x14ac:dyDescent="0.2">
      <c r="A183" s="24"/>
      <c r="B183" s="29"/>
      <c r="C183" s="28"/>
      <c r="D183" s="27" t="s">
        <v>355</v>
      </c>
      <c r="E183" s="26" t="s">
        <v>364</v>
      </c>
      <c r="F183" s="25">
        <v>18.7</v>
      </c>
      <c r="G183" s="15"/>
      <c r="H183" s="18"/>
      <c r="I183" s="18"/>
      <c r="J183" s="17"/>
      <c r="K183" s="16"/>
    </row>
    <row r="184" spans="1:11" ht="16.5" thickBot="1" x14ac:dyDescent="0.25">
      <c r="A184" s="24"/>
      <c r="B184" s="23"/>
      <c r="C184" s="22"/>
      <c r="D184" s="21" t="s">
        <v>356</v>
      </c>
      <c r="E184" s="20" t="s">
        <v>364</v>
      </c>
      <c r="F184" s="19">
        <v>20.3</v>
      </c>
      <c r="G184" s="15"/>
      <c r="H184" s="18"/>
      <c r="I184" s="18"/>
      <c r="J184" s="17"/>
      <c r="K184" s="16"/>
    </row>
    <row r="185" spans="1:11" ht="15.75" x14ac:dyDescent="0.2">
      <c r="A185" s="24"/>
      <c r="B185" s="34" t="s">
        <v>362</v>
      </c>
      <c r="C185" s="33">
        <v>3</v>
      </c>
      <c r="D185" s="32" t="s">
        <v>354</v>
      </c>
      <c r="E185" s="31" t="s">
        <v>363</v>
      </c>
      <c r="F185" s="30">
        <v>21.5</v>
      </c>
      <c r="G185" s="15"/>
      <c r="H185" s="18"/>
      <c r="I185" s="18"/>
      <c r="J185" s="17"/>
      <c r="K185" s="16"/>
    </row>
    <row r="186" spans="1:11" ht="15.75" x14ac:dyDescent="0.2">
      <c r="A186" s="24"/>
      <c r="B186" s="29"/>
      <c r="C186" s="28"/>
      <c r="D186" s="27" t="s">
        <v>355</v>
      </c>
      <c r="E186" s="26" t="s">
        <v>363</v>
      </c>
      <c r="F186" s="25">
        <v>20</v>
      </c>
      <c r="G186" s="15"/>
      <c r="H186" s="18"/>
      <c r="I186" s="18"/>
      <c r="J186" s="17"/>
      <c r="K186" s="16"/>
    </row>
    <row r="187" spans="1:11" ht="16.5" thickBot="1" x14ac:dyDescent="0.25">
      <c r="A187" s="24"/>
      <c r="B187" s="23"/>
      <c r="C187" s="22"/>
      <c r="D187" s="21" t="s">
        <v>356</v>
      </c>
      <c r="E187" s="20" t="s">
        <v>363</v>
      </c>
      <c r="F187" s="19">
        <v>22.3</v>
      </c>
      <c r="G187" s="15"/>
      <c r="H187" s="18"/>
      <c r="I187" s="18"/>
      <c r="J187" s="17"/>
      <c r="K187" s="16"/>
    </row>
    <row r="188" spans="1:11" ht="15.75" x14ac:dyDescent="0.2">
      <c r="A188" s="24"/>
      <c r="B188" s="34" t="s">
        <v>362</v>
      </c>
      <c r="C188" s="33">
        <v>4</v>
      </c>
      <c r="D188" s="32" t="s">
        <v>354</v>
      </c>
      <c r="E188" s="31" t="s">
        <v>361</v>
      </c>
      <c r="F188" s="30">
        <v>19.5</v>
      </c>
      <c r="G188" s="15"/>
      <c r="H188" s="18"/>
      <c r="I188" s="18"/>
      <c r="J188" s="17"/>
      <c r="K188" s="16"/>
    </row>
    <row r="189" spans="1:11" ht="15.75" x14ac:dyDescent="0.2">
      <c r="A189" s="24"/>
      <c r="B189" s="29"/>
      <c r="C189" s="28"/>
      <c r="D189" s="27" t="s">
        <v>355</v>
      </c>
      <c r="E189" s="26" t="s">
        <v>361</v>
      </c>
      <c r="F189" s="25">
        <v>19.399999999999999</v>
      </c>
      <c r="G189" s="15"/>
      <c r="H189" s="18"/>
      <c r="I189" s="18"/>
      <c r="J189" s="17"/>
      <c r="K189" s="16"/>
    </row>
    <row r="190" spans="1:11" ht="16.5" thickBot="1" x14ac:dyDescent="0.25">
      <c r="A190" s="24"/>
      <c r="B190" s="23"/>
      <c r="C190" s="22"/>
      <c r="D190" s="21" t="s">
        <v>356</v>
      </c>
      <c r="E190" s="20" t="s">
        <v>361</v>
      </c>
      <c r="F190" s="19">
        <v>19.3</v>
      </c>
      <c r="G190" s="15"/>
      <c r="H190" s="18"/>
      <c r="I190" s="18"/>
      <c r="J190" s="17"/>
      <c r="K190" s="16"/>
    </row>
    <row r="191" spans="1:11" ht="15.75" x14ac:dyDescent="0.2">
      <c r="A191" s="24"/>
      <c r="B191" s="34" t="s">
        <v>357</v>
      </c>
      <c r="C191" s="33">
        <v>4</v>
      </c>
      <c r="D191" s="32" t="s">
        <v>356</v>
      </c>
      <c r="E191" s="31" t="s">
        <v>360</v>
      </c>
      <c r="F191" s="30">
        <v>18.7</v>
      </c>
      <c r="G191" s="15"/>
      <c r="H191" s="18"/>
      <c r="I191" s="18"/>
      <c r="J191" s="17"/>
      <c r="K191" s="16"/>
    </row>
    <row r="192" spans="1:11" ht="15.75" x14ac:dyDescent="0.2">
      <c r="A192" s="24"/>
      <c r="B192" s="35"/>
      <c r="C192" s="28"/>
      <c r="D192" s="27" t="s">
        <v>355</v>
      </c>
      <c r="E192" s="26" t="s">
        <v>360</v>
      </c>
      <c r="F192" s="25">
        <v>17.7</v>
      </c>
      <c r="G192" s="15"/>
      <c r="H192" s="18"/>
      <c r="I192" s="18"/>
      <c r="J192" s="17"/>
      <c r="K192" s="16"/>
    </row>
    <row r="193" spans="1:11" ht="16.5" thickBot="1" x14ac:dyDescent="0.25">
      <c r="A193" s="24"/>
      <c r="B193" s="23"/>
      <c r="C193" s="22"/>
      <c r="D193" s="21" t="s">
        <v>354</v>
      </c>
      <c r="E193" s="20" t="s">
        <v>360</v>
      </c>
      <c r="F193" s="19">
        <v>19.100000000000001</v>
      </c>
      <c r="G193" s="15"/>
      <c r="H193" s="18"/>
      <c r="I193" s="18"/>
      <c r="J193" s="17"/>
      <c r="K193" s="16"/>
    </row>
    <row r="194" spans="1:11" ht="15.75" x14ac:dyDescent="0.2">
      <c r="A194" s="24"/>
      <c r="B194" s="34" t="s">
        <v>357</v>
      </c>
      <c r="C194" s="33">
        <v>3</v>
      </c>
      <c r="D194" s="32" t="s">
        <v>356</v>
      </c>
      <c r="E194" s="31" t="s">
        <v>359</v>
      </c>
      <c r="F194" s="30">
        <v>15.1</v>
      </c>
      <c r="G194" s="15"/>
      <c r="H194" s="18"/>
      <c r="I194" s="18"/>
      <c r="J194" s="17"/>
      <c r="K194" s="16"/>
    </row>
    <row r="195" spans="1:11" ht="15.75" x14ac:dyDescent="0.2">
      <c r="A195" s="24"/>
      <c r="B195" s="29"/>
      <c r="C195" s="28"/>
      <c r="D195" s="27" t="s">
        <v>355</v>
      </c>
      <c r="E195" s="26" t="s">
        <v>359</v>
      </c>
      <c r="F195" s="25">
        <v>17.5</v>
      </c>
      <c r="G195" s="15"/>
      <c r="H195" s="18"/>
      <c r="I195" s="18"/>
      <c r="J195" s="17"/>
      <c r="K195" s="16"/>
    </row>
    <row r="196" spans="1:11" ht="16.5" thickBot="1" x14ac:dyDescent="0.25">
      <c r="A196" s="24"/>
      <c r="B196" s="23"/>
      <c r="C196" s="22"/>
      <c r="D196" s="21" t="s">
        <v>354</v>
      </c>
      <c r="E196" s="20" t="s">
        <v>359</v>
      </c>
      <c r="F196" s="19">
        <v>18.7</v>
      </c>
      <c r="G196" s="15"/>
      <c r="H196" s="18"/>
      <c r="I196" s="18"/>
      <c r="J196" s="17"/>
      <c r="K196" s="16"/>
    </row>
    <row r="197" spans="1:11" ht="15.75" x14ac:dyDescent="0.2">
      <c r="A197" s="24"/>
      <c r="B197" s="34" t="s">
        <v>357</v>
      </c>
      <c r="C197" s="33">
        <v>2</v>
      </c>
      <c r="D197" s="32" t="s">
        <v>356</v>
      </c>
      <c r="E197" s="31" t="s">
        <v>358</v>
      </c>
      <c r="F197" s="30">
        <v>19.600000000000001</v>
      </c>
      <c r="G197" s="15"/>
      <c r="H197" s="18"/>
      <c r="I197" s="18"/>
      <c r="J197" s="17"/>
      <c r="K197" s="16"/>
    </row>
    <row r="198" spans="1:11" ht="15.75" x14ac:dyDescent="0.2">
      <c r="A198" s="24"/>
      <c r="B198" s="29"/>
      <c r="C198" s="28"/>
      <c r="D198" s="27" t="s">
        <v>355</v>
      </c>
      <c r="E198" s="26" t="s">
        <v>358</v>
      </c>
      <c r="F198" s="25">
        <v>21</v>
      </c>
      <c r="G198" s="15"/>
      <c r="H198" s="18"/>
      <c r="I198" s="18"/>
      <c r="J198" s="17"/>
      <c r="K198" s="16"/>
    </row>
    <row r="199" spans="1:11" ht="16.5" thickBot="1" x14ac:dyDescent="0.25">
      <c r="A199" s="24"/>
      <c r="B199" s="23"/>
      <c r="C199" s="22"/>
      <c r="D199" s="21" t="s">
        <v>354</v>
      </c>
      <c r="E199" s="20" t="s">
        <v>358</v>
      </c>
      <c r="F199" s="19">
        <v>22.6</v>
      </c>
      <c r="G199" s="15"/>
      <c r="H199" s="18"/>
      <c r="I199" s="18"/>
      <c r="J199" s="17"/>
      <c r="K199" s="16"/>
    </row>
    <row r="200" spans="1:11" ht="15.75" x14ac:dyDescent="0.2">
      <c r="A200" s="24"/>
      <c r="B200" s="34" t="s">
        <v>357</v>
      </c>
      <c r="C200" s="33">
        <v>1</v>
      </c>
      <c r="D200" s="32" t="s">
        <v>356</v>
      </c>
      <c r="E200" s="31" t="s">
        <v>353</v>
      </c>
      <c r="F200" s="30">
        <v>18.7</v>
      </c>
      <c r="G200" s="15"/>
      <c r="H200" s="18"/>
      <c r="I200" s="18"/>
      <c r="J200" s="17"/>
      <c r="K200" s="16"/>
    </row>
    <row r="201" spans="1:11" ht="15.75" x14ac:dyDescent="0.2">
      <c r="A201" s="24"/>
      <c r="B201" s="29"/>
      <c r="C201" s="28"/>
      <c r="D201" s="27" t="s">
        <v>355</v>
      </c>
      <c r="E201" s="26" t="s">
        <v>353</v>
      </c>
      <c r="F201" s="25">
        <v>18.899999999999999</v>
      </c>
      <c r="G201" s="15"/>
      <c r="H201" s="18"/>
      <c r="I201" s="18"/>
      <c r="J201" s="17"/>
      <c r="K201" s="16"/>
    </row>
    <row r="202" spans="1:11" ht="16.5" thickBot="1" x14ac:dyDescent="0.25">
      <c r="A202" s="24"/>
      <c r="B202" s="23"/>
      <c r="C202" s="22"/>
      <c r="D202" s="21" t="s">
        <v>354</v>
      </c>
      <c r="E202" s="20" t="s">
        <v>353</v>
      </c>
      <c r="F202" s="19">
        <v>19.600000000000001</v>
      </c>
      <c r="G202" s="15"/>
      <c r="H202" s="18"/>
      <c r="I202" s="18"/>
      <c r="J202" s="17"/>
      <c r="K202" s="16"/>
    </row>
    <row r="203" spans="1:11" x14ac:dyDescent="0.2">
      <c r="G203" s="15"/>
      <c r="H203" s="18"/>
      <c r="I203" s="18"/>
      <c r="J203" s="17"/>
      <c r="K203" s="16"/>
    </row>
  </sheetData>
  <mergeCells count="3">
    <mergeCell ref="B10:C10"/>
    <mergeCell ref="G46:N47"/>
    <mergeCell ref="B6:L6"/>
  </mergeCells>
  <pageMargins left="0.7" right="0.7" top="0.5" bottom="0.25" header="0" footer="0.3"/>
  <pageSetup scale="125" orientation="portrait" r:id="rId1"/>
  <rowBreaks count="5" manualBreakCount="5">
    <brk id="22" max="5" man="1"/>
    <brk id="58" max="5" man="1"/>
    <brk id="94" max="5" man="1"/>
    <brk id="130" max="5" man="1"/>
    <brk id="166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4A85-4A7D-4503-9D02-7155C7810237}">
  <dimension ref="A1:P209"/>
  <sheetViews>
    <sheetView topLeftCell="C1" zoomScale="85" zoomScaleNormal="85" workbookViewId="0">
      <selection activeCell="L158" sqref="L158"/>
    </sheetView>
  </sheetViews>
  <sheetFormatPr defaultRowHeight="14.25" x14ac:dyDescent="0.2"/>
  <cols>
    <col min="1" max="1" width="8.7109375" style="14" customWidth="1"/>
    <col min="2" max="2" width="4.28515625" style="14" customWidth="1"/>
    <col min="3" max="3" width="3.140625" style="14" customWidth="1"/>
    <col min="4" max="4" width="8.28515625" style="14" customWidth="1"/>
    <col min="5" max="5" width="6.28515625" style="14" customWidth="1"/>
    <col min="6" max="6" width="12.85546875" style="14" hidden="1" customWidth="1"/>
    <col min="7" max="7" width="29" style="14" customWidth="1"/>
    <col min="8" max="11" width="20.140625" style="14" customWidth="1"/>
    <col min="12" max="12" width="13.7109375" style="14" customWidth="1"/>
    <col min="13" max="16384" width="9.140625" style="14"/>
  </cols>
  <sheetData>
    <row r="1" spans="1:14" ht="18.75" x14ac:dyDescent="0.3">
      <c r="A1" s="119">
        <v>2017</v>
      </c>
      <c r="B1" s="115" t="s">
        <v>446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4" ht="18.75" x14ac:dyDescent="0.3">
      <c r="A2" s="118"/>
      <c r="B2" s="115" t="s">
        <v>445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4" ht="10.15" customHeight="1" x14ac:dyDescent="0.3">
      <c r="A3" s="116"/>
      <c r="B3" s="117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1:14" ht="18.75" x14ac:dyDescent="0.3">
      <c r="A4" s="116"/>
      <c r="B4" s="115" t="s">
        <v>444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14" ht="7.9" customHeight="1" x14ac:dyDescent="0.25">
      <c r="A5" s="114"/>
      <c r="B5" s="92"/>
      <c r="C5" s="109"/>
      <c r="D5" s="92"/>
      <c r="E5" s="92"/>
      <c r="F5" s="92"/>
      <c r="G5" s="92"/>
      <c r="H5" s="92"/>
      <c r="I5" s="92"/>
      <c r="J5" s="92"/>
      <c r="K5" s="92"/>
      <c r="L5" s="92"/>
      <c r="M5" s="92"/>
    </row>
    <row r="6" spans="1:14" ht="15" x14ac:dyDescent="0.25">
      <c r="A6" s="109"/>
      <c r="B6" s="109" t="s">
        <v>443</v>
      </c>
      <c r="C6" s="109"/>
      <c r="D6" s="109"/>
      <c r="E6" s="109"/>
      <c r="F6" s="109"/>
      <c r="G6" s="109"/>
      <c r="H6" s="109"/>
      <c r="I6" s="109"/>
      <c r="J6" s="109" t="s">
        <v>442</v>
      </c>
      <c r="K6" s="92"/>
    </row>
    <row r="7" spans="1:14" ht="15" x14ac:dyDescent="0.25">
      <c r="A7" s="109"/>
      <c r="B7" s="109" t="s">
        <v>441</v>
      </c>
      <c r="C7" s="109"/>
      <c r="D7" s="109"/>
      <c r="E7" s="109"/>
      <c r="F7" s="109"/>
      <c r="G7" s="109"/>
      <c r="H7" s="109"/>
      <c r="I7" s="109"/>
      <c r="J7" s="109" t="s">
        <v>440</v>
      </c>
      <c r="K7" s="92"/>
    </row>
    <row r="8" spans="1:14" ht="15" x14ac:dyDescent="0.25">
      <c r="A8" s="109"/>
      <c r="B8" s="109" t="s">
        <v>439</v>
      </c>
      <c r="C8" s="109"/>
      <c r="D8" s="109"/>
      <c r="E8" s="109"/>
      <c r="F8" s="109"/>
      <c r="G8" s="109"/>
      <c r="H8" s="109"/>
      <c r="I8" s="109"/>
      <c r="J8" s="109" t="s">
        <v>438</v>
      </c>
      <c r="K8" s="92"/>
    </row>
    <row r="9" spans="1:14" ht="15" x14ac:dyDescent="0.25">
      <c r="A9" s="109"/>
      <c r="B9" s="113" t="s">
        <v>437</v>
      </c>
      <c r="C9" s="109"/>
      <c r="D9" s="109"/>
      <c r="E9" s="109"/>
      <c r="F9" s="109"/>
      <c r="G9" s="109"/>
      <c r="H9" s="109"/>
      <c r="I9" s="109"/>
      <c r="J9" s="109"/>
      <c r="K9" s="109"/>
      <c r="L9" s="92"/>
    </row>
    <row r="10" spans="1:14" ht="15" x14ac:dyDescent="0.25">
      <c r="A10" s="112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92"/>
    </row>
    <row r="11" spans="1:14" ht="18.600000000000001" customHeight="1" x14ac:dyDescent="0.25">
      <c r="B11" s="104"/>
      <c r="C11" s="104"/>
      <c r="E11" s="110" t="s">
        <v>436</v>
      </c>
      <c r="F11" s="110"/>
      <c r="G11" s="109" t="s">
        <v>435</v>
      </c>
      <c r="H11" s="111"/>
      <c r="I11" s="107"/>
      <c r="J11" s="111"/>
      <c r="K11" s="104"/>
      <c r="L11" s="104"/>
      <c r="M11" s="104"/>
    </row>
    <row r="12" spans="1:14" ht="18.600000000000001" customHeight="1" x14ac:dyDescent="0.25">
      <c r="B12" s="104"/>
      <c r="C12" s="104"/>
      <c r="E12" s="110"/>
      <c r="F12" s="110"/>
      <c r="G12" s="109" t="s">
        <v>434</v>
      </c>
      <c r="H12" s="111"/>
      <c r="I12" s="107"/>
      <c r="J12" s="111"/>
      <c r="K12" s="104"/>
      <c r="L12" s="104"/>
      <c r="M12" s="104"/>
    </row>
    <row r="13" spans="1:14" ht="18.600000000000001" customHeight="1" x14ac:dyDescent="0.25">
      <c r="B13" s="104"/>
      <c r="C13" s="104"/>
      <c r="E13" s="110"/>
      <c r="F13" s="110"/>
      <c r="G13" s="109" t="s">
        <v>433</v>
      </c>
      <c r="H13" s="111"/>
      <c r="I13" s="107"/>
      <c r="J13" s="111"/>
      <c r="K13" s="104"/>
      <c r="L13" s="104"/>
      <c r="M13" s="104"/>
    </row>
    <row r="14" spans="1:14" ht="18.600000000000001" customHeight="1" x14ac:dyDescent="0.25">
      <c r="B14" s="104"/>
      <c r="C14" s="104"/>
      <c r="E14" s="110" t="s">
        <v>432</v>
      </c>
      <c r="F14" s="110"/>
      <c r="G14" s="109" t="s">
        <v>431</v>
      </c>
      <c r="H14" s="108" t="s">
        <v>430</v>
      </c>
      <c r="I14" s="107"/>
      <c r="J14" s="106" t="s">
        <v>429</v>
      </c>
      <c r="K14" s="105" t="s">
        <v>428</v>
      </c>
      <c r="L14" s="104"/>
      <c r="M14" s="104"/>
    </row>
    <row r="15" spans="1:14" ht="33.75" thickBot="1" x14ac:dyDescent="0.35">
      <c r="B15" s="162" t="s">
        <v>398</v>
      </c>
      <c r="C15" s="162"/>
      <c r="D15" s="51" t="s">
        <v>427</v>
      </c>
      <c r="E15" s="103" t="s">
        <v>396</v>
      </c>
      <c r="F15" s="102" t="s">
        <v>426</v>
      </c>
      <c r="G15" s="101" t="s">
        <v>425</v>
      </c>
      <c r="H15" s="100" t="s">
        <v>424</v>
      </c>
      <c r="I15" s="99" t="s">
        <v>423</v>
      </c>
      <c r="J15" s="99" t="s">
        <v>422</v>
      </c>
      <c r="K15" s="99" t="s">
        <v>421</v>
      </c>
      <c r="L15" s="99" t="s">
        <v>420</v>
      </c>
      <c r="M15" s="98"/>
      <c r="N15" s="92"/>
    </row>
    <row r="16" spans="1:14" ht="22.15" customHeight="1" x14ac:dyDescent="0.25">
      <c r="B16" s="89" t="s">
        <v>390</v>
      </c>
      <c r="C16" s="88">
        <v>1</v>
      </c>
      <c r="D16" s="87" t="s">
        <v>354</v>
      </c>
      <c r="E16" s="31" t="s">
        <v>359</v>
      </c>
      <c r="F16" s="31"/>
      <c r="G16" s="86">
        <v>9.52</v>
      </c>
      <c r="H16" s="90">
        <v>3.62</v>
      </c>
      <c r="I16" s="86">
        <v>6.36</v>
      </c>
      <c r="J16" s="97">
        <f>((H16-0.28)/(G16-0.16))*100</f>
        <v>35.683760683760681</v>
      </c>
      <c r="K16" s="97">
        <f t="shared" ref="K16:K47" si="0">((I16-1.68)/(G16-0.16))*100</f>
        <v>50.000000000000014</v>
      </c>
      <c r="L16" s="97">
        <f>(((G16-0.16)-(H16-0.28)-(I16-1.68))/(G16-0.16))*100</f>
        <v>14.316239316239306</v>
      </c>
      <c r="M16" s="96" t="s">
        <v>419</v>
      </c>
      <c r="N16" s="92"/>
    </row>
    <row r="17" spans="2:15" ht="22.15" customHeight="1" x14ac:dyDescent="0.25">
      <c r="B17" s="18"/>
      <c r="C17" s="83"/>
      <c r="D17" s="82" t="s">
        <v>355</v>
      </c>
      <c r="E17" s="26" t="s">
        <v>359</v>
      </c>
      <c r="F17" s="26"/>
      <c r="G17" s="81">
        <v>9.94</v>
      </c>
      <c r="H17" s="95">
        <v>3.9</v>
      </c>
      <c r="I17" s="81">
        <v>6.46</v>
      </c>
      <c r="J17" s="94">
        <f t="shared" ref="J17:J60" si="1">((H17-0.16)/(G17-0.16))*100</f>
        <v>38.241308793456028</v>
      </c>
      <c r="K17" s="94">
        <f t="shared" si="0"/>
        <v>48.875255623721884</v>
      </c>
      <c r="L17" s="94">
        <f t="shared" ref="L17:L60" si="2">(((G17-0.16)-(H17-0.16)-(I17-1.68))/(G17-0.16))*100</f>
        <v>12.883435582822075</v>
      </c>
      <c r="M17" s="93" t="s">
        <v>418</v>
      </c>
      <c r="N17" s="92"/>
    </row>
    <row r="18" spans="2:15" ht="22.15" customHeight="1" thickBot="1" x14ac:dyDescent="0.25">
      <c r="B18" s="79"/>
      <c r="C18" s="78"/>
      <c r="D18" s="77" t="s">
        <v>356</v>
      </c>
      <c r="E18" s="20" t="s">
        <v>359</v>
      </c>
      <c r="F18" s="20"/>
      <c r="G18" s="76">
        <v>9.74</v>
      </c>
      <c r="H18" s="76">
        <v>3.64</v>
      </c>
      <c r="I18" s="76">
        <v>6.34</v>
      </c>
      <c r="J18" s="75">
        <f t="shared" si="1"/>
        <v>36.325678496868477</v>
      </c>
      <c r="K18" s="75">
        <f t="shared" si="0"/>
        <v>48.643006263048015</v>
      </c>
      <c r="L18" s="75">
        <f t="shared" si="2"/>
        <v>15.031315240083501</v>
      </c>
      <c r="M18" s="165" t="s">
        <v>417</v>
      </c>
      <c r="N18" s="166"/>
      <c r="O18" s="166"/>
    </row>
    <row r="19" spans="2:15" ht="22.15" customHeight="1" x14ac:dyDescent="0.2">
      <c r="B19" s="89" t="s">
        <v>390</v>
      </c>
      <c r="C19" s="88">
        <v>2</v>
      </c>
      <c r="D19" s="87" t="s">
        <v>354</v>
      </c>
      <c r="E19" s="31" t="s">
        <v>361</v>
      </c>
      <c r="F19" s="31"/>
      <c r="G19" s="86">
        <v>10.82</v>
      </c>
      <c r="H19" s="86">
        <v>4.12</v>
      </c>
      <c r="I19" s="86">
        <v>6.88</v>
      </c>
      <c r="J19" s="85">
        <f t="shared" si="1"/>
        <v>37.148217636022515</v>
      </c>
      <c r="K19" s="85">
        <f t="shared" si="0"/>
        <v>48.780487804878049</v>
      </c>
      <c r="L19" s="85">
        <f t="shared" si="2"/>
        <v>14.071294559099437</v>
      </c>
      <c r="M19" s="165"/>
      <c r="N19" s="166"/>
      <c r="O19" s="166"/>
    </row>
    <row r="20" spans="2:15" ht="22.15" customHeight="1" x14ac:dyDescent="0.25">
      <c r="B20" s="84"/>
      <c r="C20" s="83"/>
      <c r="D20" s="82" t="s">
        <v>355</v>
      </c>
      <c r="E20" s="26" t="s">
        <v>361</v>
      </c>
      <c r="F20" s="26"/>
      <c r="G20" s="81">
        <v>9.84</v>
      </c>
      <c r="H20" s="81">
        <v>3.88</v>
      </c>
      <c r="I20" s="81">
        <v>6.46</v>
      </c>
      <c r="J20" s="80">
        <f t="shared" si="1"/>
        <v>38.429752066115704</v>
      </c>
      <c r="K20" s="80">
        <f t="shared" si="0"/>
        <v>49.380165289256198</v>
      </c>
      <c r="L20" s="80">
        <f t="shared" si="2"/>
        <v>12.190082644628095</v>
      </c>
      <c r="M20" s="92"/>
      <c r="N20" s="92"/>
    </row>
    <row r="21" spans="2:15" ht="22.15" customHeight="1" thickBot="1" x14ac:dyDescent="0.3">
      <c r="B21" s="79"/>
      <c r="C21" s="78"/>
      <c r="D21" s="77" t="s">
        <v>356</v>
      </c>
      <c r="E21" s="20" t="s">
        <v>361</v>
      </c>
      <c r="F21" s="20"/>
      <c r="G21" s="76">
        <v>10.37</v>
      </c>
      <c r="H21" s="76">
        <v>3.88</v>
      </c>
      <c r="I21" s="76">
        <v>6.74</v>
      </c>
      <c r="J21" s="75">
        <f t="shared" si="1"/>
        <v>36.434867776689522</v>
      </c>
      <c r="K21" s="75">
        <f t="shared" si="0"/>
        <v>49.559255631733606</v>
      </c>
      <c r="L21" s="75">
        <f t="shared" si="2"/>
        <v>14.005876591576873</v>
      </c>
      <c r="M21" s="92"/>
      <c r="N21" s="92"/>
    </row>
    <row r="22" spans="2:15" ht="22.15" customHeight="1" x14ac:dyDescent="0.25">
      <c r="B22" s="89" t="s">
        <v>390</v>
      </c>
      <c r="C22" s="88">
        <v>3</v>
      </c>
      <c r="D22" s="87" t="s">
        <v>354</v>
      </c>
      <c r="E22" s="31" t="s">
        <v>371</v>
      </c>
      <c r="F22" s="31"/>
      <c r="G22" s="86">
        <v>10.130000000000001</v>
      </c>
      <c r="H22" s="86">
        <v>3.9</v>
      </c>
      <c r="I22" s="86">
        <v>6.58</v>
      </c>
      <c r="J22" s="85">
        <f t="shared" si="1"/>
        <v>37.512537612838507</v>
      </c>
      <c r="K22" s="85">
        <f t="shared" si="0"/>
        <v>49.147442326980944</v>
      </c>
      <c r="L22" s="85">
        <f t="shared" si="2"/>
        <v>13.340020060180541</v>
      </c>
      <c r="M22" s="92"/>
      <c r="N22" s="92"/>
    </row>
    <row r="23" spans="2:15" ht="22.15" customHeight="1" x14ac:dyDescent="0.25">
      <c r="B23" s="84"/>
      <c r="C23" s="83"/>
      <c r="D23" s="82" t="s">
        <v>355</v>
      </c>
      <c r="E23" s="26" t="s">
        <v>371</v>
      </c>
      <c r="F23" s="26"/>
      <c r="G23" s="81">
        <v>8.86</v>
      </c>
      <c r="H23" s="81">
        <v>3.38</v>
      </c>
      <c r="I23" s="81">
        <v>5.9</v>
      </c>
      <c r="J23" s="80">
        <f t="shared" si="1"/>
        <v>37.011494252873561</v>
      </c>
      <c r="K23" s="80">
        <f t="shared" si="0"/>
        <v>48.505747126436795</v>
      </c>
      <c r="L23" s="80">
        <f t="shared" si="2"/>
        <v>14.482758620689642</v>
      </c>
      <c r="M23" s="92"/>
      <c r="N23" s="92"/>
    </row>
    <row r="24" spans="2:15" ht="22.15" customHeight="1" thickBot="1" x14ac:dyDescent="0.3">
      <c r="B24" s="79"/>
      <c r="C24" s="78"/>
      <c r="D24" s="77" t="s">
        <v>356</v>
      </c>
      <c r="E24" s="20" t="s">
        <v>371</v>
      </c>
      <c r="F24" s="20"/>
      <c r="G24" s="76">
        <v>8.59</v>
      </c>
      <c r="H24" s="76">
        <v>3.26</v>
      </c>
      <c r="I24" s="76">
        <v>5.82</v>
      </c>
      <c r="J24" s="75">
        <f t="shared" si="1"/>
        <v>36.773428232502965</v>
      </c>
      <c r="K24" s="75">
        <f t="shared" si="0"/>
        <v>49.110320284697515</v>
      </c>
      <c r="L24" s="75">
        <f t="shared" si="2"/>
        <v>14.11625148279952</v>
      </c>
      <c r="M24" s="92"/>
      <c r="N24" s="92"/>
    </row>
    <row r="25" spans="2:15" ht="22.15" customHeight="1" x14ac:dyDescent="0.25">
      <c r="B25" s="89" t="s">
        <v>390</v>
      </c>
      <c r="C25" s="88">
        <v>4</v>
      </c>
      <c r="D25" s="87" t="s">
        <v>354</v>
      </c>
      <c r="E25" s="31" t="s">
        <v>364</v>
      </c>
      <c r="F25" s="31"/>
      <c r="G25" s="86">
        <v>6.78</v>
      </c>
      <c r="H25" s="86">
        <v>2.54</v>
      </c>
      <c r="I25" s="86">
        <v>4.9400000000000004</v>
      </c>
      <c r="J25" s="85">
        <f t="shared" si="1"/>
        <v>35.951661631419938</v>
      </c>
      <c r="K25" s="85">
        <f t="shared" si="0"/>
        <v>49.24471299093657</v>
      </c>
      <c r="L25" s="85">
        <f t="shared" si="2"/>
        <v>14.803625377643497</v>
      </c>
      <c r="M25" s="92"/>
      <c r="N25" s="92"/>
    </row>
    <row r="26" spans="2:15" ht="22.15" customHeight="1" x14ac:dyDescent="0.25">
      <c r="B26" s="84"/>
      <c r="C26" s="83"/>
      <c r="D26" s="82" t="s">
        <v>355</v>
      </c>
      <c r="E26" s="26" t="s">
        <v>364</v>
      </c>
      <c r="F26" s="26"/>
      <c r="G26" s="81">
        <v>5.88</v>
      </c>
      <c r="H26" s="81">
        <v>2.2599999999999998</v>
      </c>
      <c r="I26" s="81">
        <v>4.5199999999999996</v>
      </c>
      <c r="J26" s="80">
        <f t="shared" si="1"/>
        <v>36.713286713286706</v>
      </c>
      <c r="K26" s="80">
        <f t="shared" si="0"/>
        <v>49.650349650349654</v>
      </c>
      <c r="L26" s="80">
        <f t="shared" si="2"/>
        <v>13.63636363636364</v>
      </c>
      <c r="M26" s="92"/>
      <c r="N26" s="92"/>
    </row>
    <row r="27" spans="2:15" ht="22.15" customHeight="1" thickBot="1" x14ac:dyDescent="0.3">
      <c r="B27" s="79"/>
      <c r="C27" s="78"/>
      <c r="D27" s="77" t="s">
        <v>356</v>
      </c>
      <c r="E27" s="20" t="s">
        <v>364</v>
      </c>
      <c r="F27" s="20"/>
      <c r="G27" s="76">
        <v>6.61</v>
      </c>
      <c r="H27" s="76">
        <v>2.5</v>
      </c>
      <c r="I27" s="76">
        <v>4.88</v>
      </c>
      <c r="J27" s="75">
        <f t="shared" si="1"/>
        <v>36.279069767441854</v>
      </c>
      <c r="K27" s="75">
        <f t="shared" si="0"/>
        <v>49.612403100775197</v>
      </c>
      <c r="L27" s="75">
        <f t="shared" si="2"/>
        <v>14.108527131782948</v>
      </c>
      <c r="M27" s="92"/>
      <c r="N27" s="92"/>
    </row>
    <row r="28" spans="2:15" ht="22.15" customHeight="1" x14ac:dyDescent="0.25">
      <c r="B28" s="89" t="s">
        <v>387</v>
      </c>
      <c r="C28" s="88">
        <v>1</v>
      </c>
      <c r="D28" s="87" t="s">
        <v>354</v>
      </c>
      <c r="E28" s="31" t="s">
        <v>358</v>
      </c>
      <c r="F28" s="31"/>
      <c r="G28" s="86">
        <v>11.7</v>
      </c>
      <c r="H28" s="86">
        <v>4.58</v>
      </c>
      <c r="I28" s="86">
        <v>7.32</v>
      </c>
      <c r="J28" s="85">
        <f t="shared" si="1"/>
        <v>38.301559792027732</v>
      </c>
      <c r="K28" s="85">
        <f t="shared" si="0"/>
        <v>48.873483535528607</v>
      </c>
      <c r="L28" s="85">
        <f t="shared" si="2"/>
        <v>12.824956672443664</v>
      </c>
      <c r="M28" s="92"/>
      <c r="N28" s="92"/>
    </row>
    <row r="29" spans="2:15" ht="22.15" customHeight="1" x14ac:dyDescent="0.25">
      <c r="B29" s="84"/>
      <c r="C29" s="83"/>
      <c r="D29" s="82" t="s">
        <v>355</v>
      </c>
      <c r="E29" s="26" t="s">
        <v>358</v>
      </c>
      <c r="F29" s="26"/>
      <c r="G29" s="81">
        <v>11.72</v>
      </c>
      <c r="H29" s="81">
        <v>4.66</v>
      </c>
      <c r="I29" s="81">
        <v>7.4</v>
      </c>
      <c r="J29" s="80">
        <f t="shared" si="1"/>
        <v>38.927335640138402</v>
      </c>
      <c r="K29" s="80">
        <f t="shared" si="0"/>
        <v>49.48096885813149</v>
      </c>
      <c r="L29" s="80">
        <f t="shared" si="2"/>
        <v>11.591695501730102</v>
      </c>
      <c r="M29" s="92"/>
      <c r="N29" s="92"/>
    </row>
    <row r="30" spans="2:15" ht="22.15" customHeight="1" thickBot="1" x14ac:dyDescent="0.3">
      <c r="B30" s="79"/>
      <c r="C30" s="78"/>
      <c r="D30" s="77" t="s">
        <v>356</v>
      </c>
      <c r="E30" s="20" t="s">
        <v>358</v>
      </c>
      <c r="F30" s="20"/>
      <c r="G30" s="76">
        <v>11.21</v>
      </c>
      <c r="H30" s="76">
        <v>4.28</v>
      </c>
      <c r="I30" s="76">
        <v>7.12</v>
      </c>
      <c r="J30" s="75">
        <f t="shared" si="1"/>
        <v>37.28506787330317</v>
      </c>
      <c r="K30" s="75">
        <f t="shared" si="0"/>
        <v>49.230769230769234</v>
      </c>
      <c r="L30" s="75">
        <f t="shared" si="2"/>
        <v>13.484162895927604</v>
      </c>
      <c r="M30" s="92"/>
      <c r="N30" s="92"/>
    </row>
    <row r="31" spans="2:15" ht="22.15" customHeight="1" x14ac:dyDescent="0.25">
      <c r="B31" s="89" t="s">
        <v>387</v>
      </c>
      <c r="C31" s="88">
        <v>2</v>
      </c>
      <c r="D31" s="87" t="s">
        <v>354</v>
      </c>
      <c r="E31" s="31" t="s">
        <v>365</v>
      </c>
      <c r="F31" s="31"/>
      <c r="G31" s="86">
        <v>7.8</v>
      </c>
      <c r="H31" s="86">
        <v>2.9</v>
      </c>
      <c r="I31" s="86">
        <v>5.48</v>
      </c>
      <c r="J31" s="85">
        <f t="shared" si="1"/>
        <v>35.863874345549732</v>
      </c>
      <c r="K31" s="85">
        <f t="shared" si="0"/>
        <v>49.738219895287969</v>
      </c>
      <c r="L31" s="85">
        <f t="shared" si="2"/>
        <v>14.397905759162299</v>
      </c>
      <c r="M31" s="92"/>
      <c r="N31" s="92"/>
    </row>
    <row r="32" spans="2:15" ht="22.15" customHeight="1" x14ac:dyDescent="0.25">
      <c r="B32" s="84"/>
      <c r="C32" s="83"/>
      <c r="D32" s="82" t="s">
        <v>355</v>
      </c>
      <c r="E32" s="26" t="s">
        <v>365</v>
      </c>
      <c r="F32" s="26"/>
      <c r="G32" s="81">
        <v>6.79</v>
      </c>
      <c r="H32" s="81">
        <v>2.52</v>
      </c>
      <c r="I32" s="81">
        <v>5.0199999999999996</v>
      </c>
      <c r="J32" s="80">
        <f t="shared" si="1"/>
        <v>35.595776772247362</v>
      </c>
      <c r="K32" s="80">
        <f t="shared" si="0"/>
        <v>50.37707390648567</v>
      </c>
      <c r="L32" s="80">
        <f t="shared" si="2"/>
        <v>14.027149321266963</v>
      </c>
      <c r="M32" s="92"/>
      <c r="N32" s="92"/>
    </row>
    <row r="33" spans="2:14" ht="22.15" customHeight="1" thickBot="1" x14ac:dyDescent="0.3">
      <c r="B33" s="79"/>
      <c r="C33" s="78"/>
      <c r="D33" s="77" t="s">
        <v>356</v>
      </c>
      <c r="E33" s="20" t="s">
        <v>365</v>
      </c>
      <c r="F33" s="20"/>
      <c r="G33" s="76">
        <v>7.03</v>
      </c>
      <c r="H33" s="76">
        <v>2.6</v>
      </c>
      <c r="I33" s="76">
        <v>5.0999999999999996</v>
      </c>
      <c r="J33" s="75">
        <f t="shared" si="1"/>
        <v>35.516739446870446</v>
      </c>
      <c r="K33" s="75">
        <f t="shared" si="0"/>
        <v>49.78165938864629</v>
      </c>
      <c r="L33" s="75">
        <f t="shared" si="2"/>
        <v>14.701601164483257</v>
      </c>
      <c r="M33" s="92"/>
      <c r="N33" s="92"/>
    </row>
    <row r="34" spans="2:14" ht="22.15" customHeight="1" x14ac:dyDescent="0.25">
      <c r="B34" s="89" t="s">
        <v>387</v>
      </c>
      <c r="C34" s="88">
        <v>3</v>
      </c>
      <c r="D34" s="87" t="s">
        <v>354</v>
      </c>
      <c r="E34" s="31" t="s">
        <v>369</v>
      </c>
      <c r="F34" s="31"/>
      <c r="G34" s="86">
        <v>10.14</v>
      </c>
      <c r="H34" s="86">
        <v>3.92</v>
      </c>
      <c r="I34" s="86">
        <v>6.54</v>
      </c>
      <c r="J34" s="85">
        <f t="shared" si="1"/>
        <v>37.675350701402806</v>
      </c>
      <c r="K34" s="85">
        <f t="shared" si="0"/>
        <v>48.697394789579157</v>
      </c>
      <c r="L34" s="85">
        <f t="shared" si="2"/>
        <v>13.627254509018039</v>
      </c>
      <c r="M34" s="92"/>
      <c r="N34" s="92"/>
    </row>
    <row r="35" spans="2:14" ht="22.15" customHeight="1" x14ac:dyDescent="0.25">
      <c r="B35" s="84"/>
      <c r="C35" s="83"/>
      <c r="D35" s="82" t="s">
        <v>355</v>
      </c>
      <c r="E35" s="26" t="s">
        <v>369</v>
      </c>
      <c r="F35" s="26"/>
      <c r="G35" s="81">
        <v>9.3699999999999992</v>
      </c>
      <c r="H35" s="81">
        <v>3.64</v>
      </c>
      <c r="I35" s="81">
        <v>6.22</v>
      </c>
      <c r="J35" s="80">
        <f t="shared" si="1"/>
        <v>37.785016286644954</v>
      </c>
      <c r="K35" s="80">
        <f t="shared" si="0"/>
        <v>49.294245385450601</v>
      </c>
      <c r="L35" s="80">
        <f t="shared" si="2"/>
        <v>12.920738327904438</v>
      </c>
      <c r="M35" s="92"/>
      <c r="N35" s="92"/>
    </row>
    <row r="36" spans="2:14" ht="22.15" customHeight="1" thickBot="1" x14ac:dyDescent="0.3">
      <c r="B36" s="79"/>
      <c r="C36" s="78"/>
      <c r="D36" s="77" t="s">
        <v>356</v>
      </c>
      <c r="E36" s="20" t="s">
        <v>369</v>
      </c>
      <c r="F36" s="20"/>
      <c r="G36" s="76">
        <v>9.9499999999999993</v>
      </c>
      <c r="H36" s="76">
        <v>3.82</v>
      </c>
      <c r="I36" s="76">
        <v>6.48</v>
      </c>
      <c r="J36" s="75">
        <f t="shared" si="1"/>
        <v>37.385086823289072</v>
      </c>
      <c r="K36" s="75">
        <f t="shared" si="0"/>
        <v>49.029622063329938</v>
      </c>
      <c r="L36" s="75">
        <f t="shared" si="2"/>
        <v>13.585291113380984</v>
      </c>
      <c r="M36" s="92"/>
      <c r="N36" s="92"/>
    </row>
    <row r="37" spans="2:14" ht="22.15" customHeight="1" x14ac:dyDescent="0.25">
      <c r="B37" s="89" t="s">
        <v>387</v>
      </c>
      <c r="C37" s="88">
        <v>4</v>
      </c>
      <c r="D37" s="87" t="s">
        <v>354</v>
      </c>
      <c r="E37" s="31" t="s">
        <v>353</v>
      </c>
      <c r="F37" s="31"/>
      <c r="G37" s="86">
        <v>11.05</v>
      </c>
      <c r="H37" s="86">
        <v>4.26</v>
      </c>
      <c r="I37" s="86">
        <v>7.06</v>
      </c>
      <c r="J37" s="85">
        <f t="shared" si="1"/>
        <v>37.649219467401281</v>
      </c>
      <c r="K37" s="85">
        <f t="shared" si="0"/>
        <v>49.403122130394856</v>
      </c>
      <c r="L37" s="85">
        <f t="shared" si="2"/>
        <v>12.947658402203865</v>
      </c>
      <c r="M37" s="92"/>
      <c r="N37" s="92"/>
    </row>
    <row r="38" spans="2:14" ht="22.15" customHeight="1" x14ac:dyDescent="0.25">
      <c r="B38" s="84"/>
      <c r="C38" s="83"/>
      <c r="D38" s="82" t="s">
        <v>355</v>
      </c>
      <c r="E38" s="26" t="s">
        <v>353</v>
      </c>
      <c r="F38" s="26"/>
      <c r="G38" s="81">
        <v>10</v>
      </c>
      <c r="H38" s="81">
        <v>3.94</v>
      </c>
      <c r="I38" s="81">
        <v>6.52</v>
      </c>
      <c r="J38" s="80">
        <f t="shared" si="1"/>
        <v>38.414634146341463</v>
      </c>
      <c r="K38" s="80">
        <f t="shared" si="0"/>
        <v>49.1869918699187</v>
      </c>
      <c r="L38" s="80">
        <f t="shared" si="2"/>
        <v>12.398373983739845</v>
      </c>
      <c r="M38" s="92"/>
      <c r="N38" s="92"/>
    </row>
    <row r="39" spans="2:14" ht="22.15" customHeight="1" thickBot="1" x14ac:dyDescent="0.3">
      <c r="B39" s="79"/>
      <c r="C39" s="78"/>
      <c r="D39" s="77" t="s">
        <v>356</v>
      </c>
      <c r="E39" s="20" t="s">
        <v>353</v>
      </c>
      <c r="F39" s="20"/>
      <c r="G39" s="76">
        <v>9.8699999999999992</v>
      </c>
      <c r="H39" s="76">
        <v>3.76</v>
      </c>
      <c r="I39" s="76">
        <v>6.5</v>
      </c>
      <c r="J39" s="75">
        <f t="shared" si="1"/>
        <v>37.075180226570545</v>
      </c>
      <c r="K39" s="75">
        <f t="shared" si="0"/>
        <v>49.639546858908353</v>
      </c>
      <c r="L39" s="75">
        <f t="shared" si="2"/>
        <v>13.285272914521103</v>
      </c>
      <c r="M39" s="92"/>
      <c r="N39" s="92"/>
    </row>
    <row r="40" spans="2:14" ht="22.15" customHeight="1" x14ac:dyDescent="0.25">
      <c r="B40" s="89" t="s">
        <v>386</v>
      </c>
      <c r="C40" s="88">
        <v>1</v>
      </c>
      <c r="D40" s="87" t="s">
        <v>354</v>
      </c>
      <c r="E40" s="31" t="s">
        <v>368</v>
      </c>
      <c r="F40" s="31"/>
      <c r="G40" s="86">
        <v>9.92</v>
      </c>
      <c r="H40" s="86">
        <v>3.68</v>
      </c>
      <c r="I40" s="86">
        <v>6.46</v>
      </c>
      <c r="J40" s="85">
        <f t="shared" si="1"/>
        <v>36.065573770491802</v>
      </c>
      <c r="K40" s="85">
        <f t="shared" si="0"/>
        <v>48.975409836065573</v>
      </c>
      <c r="L40" s="85">
        <f t="shared" si="2"/>
        <v>14.959016393442623</v>
      </c>
      <c r="M40" s="92"/>
      <c r="N40" s="92"/>
    </row>
    <row r="41" spans="2:14" ht="22.15" customHeight="1" x14ac:dyDescent="0.25">
      <c r="B41" s="84"/>
      <c r="C41" s="83"/>
      <c r="D41" s="82" t="s">
        <v>355</v>
      </c>
      <c r="E41" s="26" t="s">
        <v>368</v>
      </c>
      <c r="F41" s="26"/>
      <c r="G41" s="81">
        <v>10.57</v>
      </c>
      <c r="H41" s="81">
        <v>3.98</v>
      </c>
      <c r="I41" s="81">
        <v>6.9</v>
      </c>
      <c r="J41" s="80">
        <f t="shared" si="1"/>
        <v>36.695485110470699</v>
      </c>
      <c r="K41" s="80">
        <f t="shared" si="0"/>
        <v>50.144092219020173</v>
      </c>
      <c r="L41" s="80">
        <f t="shared" si="2"/>
        <v>13.160422670509117</v>
      </c>
      <c r="M41" s="92"/>
      <c r="N41" s="92"/>
    </row>
    <row r="42" spans="2:14" ht="22.15" customHeight="1" thickBot="1" x14ac:dyDescent="0.3">
      <c r="B42" s="79"/>
      <c r="C42" s="78"/>
      <c r="D42" s="77" t="s">
        <v>356</v>
      </c>
      <c r="E42" s="20" t="s">
        <v>368</v>
      </c>
      <c r="F42" s="20"/>
      <c r="G42" s="76">
        <v>10.4</v>
      </c>
      <c r="H42" s="76">
        <v>3.96</v>
      </c>
      <c r="I42" s="76">
        <v>6.72</v>
      </c>
      <c r="J42" s="75">
        <f t="shared" si="1"/>
        <v>37.109375</v>
      </c>
      <c r="K42" s="75">
        <f t="shared" si="0"/>
        <v>49.21875</v>
      </c>
      <c r="L42" s="75">
        <f t="shared" si="2"/>
        <v>13.671875000000004</v>
      </c>
      <c r="M42" s="92"/>
      <c r="N42" s="92"/>
    </row>
    <row r="43" spans="2:14" ht="22.15" customHeight="1" x14ac:dyDescent="0.25">
      <c r="B43" s="89" t="s">
        <v>386</v>
      </c>
      <c r="C43" s="88">
        <v>2</v>
      </c>
      <c r="D43" s="87" t="s">
        <v>354</v>
      </c>
      <c r="E43" s="31" t="s">
        <v>366</v>
      </c>
      <c r="F43" s="31"/>
      <c r="G43" s="86">
        <v>6.56</v>
      </c>
      <c r="H43" s="86">
        <v>2.38</v>
      </c>
      <c r="I43" s="86">
        <v>4.8</v>
      </c>
      <c r="J43" s="85">
        <f t="shared" si="1"/>
        <v>34.6875</v>
      </c>
      <c r="K43" s="85">
        <f t="shared" si="0"/>
        <v>48.750000000000007</v>
      </c>
      <c r="L43" s="85">
        <f t="shared" si="2"/>
        <v>16.562499999999993</v>
      </c>
      <c r="M43" s="92"/>
      <c r="N43" s="92"/>
    </row>
    <row r="44" spans="2:14" ht="22.15" customHeight="1" x14ac:dyDescent="0.25">
      <c r="B44" s="84"/>
      <c r="C44" s="83"/>
      <c r="D44" s="82" t="s">
        <v>355</v>
      </c>
      <c r="E44" s="26" t="s">
        <v>366</v>
      </c>
      <c r="F44" s="26"/>
      <c r="G44" s="81">
        <v>5.51</v>
      </c>
      <c r="H44" s="81">
        <v>2.02</v>
      </c>
      <c r="I44" s="81">
        <v>4.34</v>
      </c>
      <c r="J44" s="80">
        <f t="shared" si="1"/>
        <v>34.766355140186924</v>
      </c>
      <c r="K44" s="80">
        <f t="shared" si="0"/>
        <v>49.719626168224309</v>
      </c>
      <c r="L44" s="80">
        <f t="shared" si="2"/>
        <v>15.51401869158877</v>
      </c>
      <c r="M44" s="92"/>
      <c r="N44" s="92"/>
    </row>
    <row r="45" spans="2:14" ht="22.15" customHeight="1" thickBot="1" x14ac:dyDescent="0.3">
      <c r="B45" s="79"/>
      <c r="C45" s="78"/>
      <c r="D45" s="77" t="s">
        <v>356</v>
      </c>
      <c r="E45" s="20" t="s">
        <v>366</v>
      </c>
      <c r="F45" s="20"/>
      <c r="G45" s="76">
        <v>5.24</v>
      </c>
      <c r="H45" s="76">
        <v>1.84</v>
      </c>
      <c r="I45" s="76">
        <v>4.2</v>
      </c>
      <c r="J45" s="75">
        <f t="shared" si="1"/>
        <v>33.070866141732289</v>
      </c>
      <c r="K45" s="75">
        <f t="shared" si="0"/>
        <v>49.606299212598429</v>
      </c>
      <c r="L45" s="75">
        <f t="shared" si="2"/>
        <v>17.322834645669278</v>
      </c>
      <c r="M45" s="92"/>
      <c r="N45" s="92"/>
    </row>
    <row r="46" spans="2:14" ht="22.15" customHeight="1" x14ac:dyDescent="0.25">
      <c r="B46" s="89" t="s">
        <v>386</v>
      </c>
      <c r="C46" s="88">
        <v>3</v>
      </c>
      <c r="D46" s="87" t="s">
        <v>354</v>
      </c>
      <c r="E46" s="31" t="s">
        <v>373</v>
      </c>
      <c r="F46" s="31"/>
      <c r="G46" s="86">
        <v>6.16</v>
      </c>
      <c r="H46" s="86">
        <v>2.2999999999999998</v>
      </c>
      <c r="I46" s="86">
        <v>4.5999999999999996</v>
      </c>
      <c r="J46" s="85">
        <f t="shared" si="1"/>
        <v>35.666666666666664</v>
      </c>
      <c r="K46" s="85">
        <f t="shared" si="0"/>
        <v>48.666666666666664</v>
      </c>
      <c r="L46" s="85">
        <f t="shared" si="2"/>
        <v>15.666666666666673</v>
      </c>
      <c r="M46" s="92"/>
      <c r="N46" s="92"/>
    </row>
    <row r="47" spans="2:14" ht="22.15" customHeight="1" x14ac:dyDescent="0.2">
      <c r="B47" s="84"/>
      <c r="C47" s="83"/>
      <c r="D47" s="82" t="s">
        <v>355</v>
      </c>
      <c r="E47" s="26" t="s">
        <v>373</v>
      </c>
      <c r="F47" s="26"/>
      <c r="G47" s="81">
        <v>6.88</v>
      </c>
      <c r="H47" s="81">
        <v>2.62</v>
      </c>
      <c r="I47" s="81">
        <v>5</v>
      </c>
      <c r="J47" s="80">
        <f t="shared" si="1"/>
        <v>36.607142857142861</v>
      </c>
      <c r="K47" s="80">
        <f t="shared" si="0"/>
        <v>49.404761904761912</v>
      </c>
      <c r="L47" s="80">
        <f t="shared" si="2"/>
        <v>13.98809523809523</v>
      </c>
    </row>
    <row r="48" spans="2:14" ht="22.15" customHeight="1" thickBot="1" x14ac:dyDescent="0.25">
      <c r="B48" s="79"/>
      <c r="C48" s="78"/>
      <c r="D48" s="77" t="s">
        <v>356</v>
      </c>
      <c r="E48" s="20" t="s">
        <v>373</v>
      </c>
      <c r="F48" s="20"/>
      <c r="G48" s="76">
        <v>6.34</v>
      </c>
      <c r="H48" s="76">
        <v>2.4</v>
      </c>
      <c r="I48" s="76">
        <v>4.68</v>
      </c>
      <c r="J48" s="75">
        <f t="shared" si="1"/>
        <v>36.24595469255663</v>
      </c>
      <c r="K48" s="75">
        <f t="shared" ref="K48:K79" si="3">((I48-1.68)/(G48-0.16))*100</f>
        <v>48.543689320388353</v>
      </c>
      <c r="L48" s="75">
        <f t="shared" si="2"/>
        <v>15.210355987055015</v>
      </c>
    </row>
    <row r="49" spans="2:12" ht="22.15" customHeight="1" x14ac:dyDescent="0.2">
      <c r="B49" s="89" t="s">
        <v>386</v>
      </c>
      <c r="C49" s="88">
        <v>4</v>
      </c>
      <c r="D49" s="87" t="s">
        <v>354</v>
      </c>
      <c r="E49" s="31" t="s">
        <v>363</v>
      </c>
      <c r="F49" s="31"/>
      <c r="G49" s="86">
        <v>9.64</v>
      </c>
      <c r="H49" s="86">
        <v>3.74</v>
      </c>
      <c r="I49" s="86">
        <v>6.32</v>
      </c>
      <c r="J49" s="85">
        <f t="shared" si="1"/>
        <v>37.763713080168777</v>
      </c>
      <c r="K49" s="85">
        <f t="shared" si="3"/>
        <v>48.945147679324897</v>
      </c>
      <c r="L49" s="85">
        <f t="shared" si="2"/>
        <v>13.291139240506325</v>
      </c>
    </row>
    <row r="50" spans="2:12" ht="22.15" customHeight="1" x14ac:dyDescent="0.2">
      <c r="B50" s="84"/>
      <c r="C50" s="83"/>
      <c r="D50" s="82" t="s">
        <v>355</v>
      </c>
      <c r="E50" s="26" t="s">
        <v>363</v>
      </c>
      <c r="F50" s="26"/>
      <c r="G50" s="81">
        <v>8.8800000000000008</v>
      </c>
      <c r="H50" s="81">
        <v>3.44</v>
      </c>
      <c r="I50" s="81">
        <v>5.96</v>
      </c>
      <c r="J50" s="80">
        <f t="shared" si="1"/>
        <v>37.614678899082563</v>
      </c>
      <c r="K50" s="80">
        <f t="shared" si="3"/>
        <v>49.082568807339449</v>
      </c>
      <c r="L50" s="80">
        <f t="shared" si="2"/>
        <v>13.302752293577994</v>
      </c>
    </row>
    <row r="51" spans="2:12" ht="22.15" customHeight="1" thickBot="1" x14ac:dyDescent="0.25">
      <c r="B51" s="79"/>
      <c r="C51" s="78"/>
      <c r="D51" s="77" t="s">
        <v>356</v>
      </c>
      <c r="E51" s="20" t="s">
        <v>363</v>
      </c>
      <c r="F51" s="20"/>
      <c r="G51" s="76">
        <v>14.31</v>
      </c>
      <c r="H51" s="76">
        <v>5.46</v>
      </c>
      <c r="I51" s="76">
        <v>8.5399999999999991</v>
      </c>
      <c r="J51" s="75">
        <f t="shared" si="1"/>
        <v>37.455830388692576</v>
      </c>
      <c r="K51" s="75">
        <f t="shared" si="3"/>
        <v>48.480565371024731</v>
      </c>
      <c r="L51" s="75">
        <f t="shared" si="2"/>
        <v>14.063604240282698</v>
      </c>
    </row>
    <row r="52" spans="2:12" ht="22.15" customHeight="1" x14ac:dyDescent="0.2">
      <c r="B52" s="89" t="s">
        <v>384</v>
      </c>
      <c r="C52" s="88">
        <v>1</v>
      </c>
      <c r="D52" s="87" t="s">
        <v>354</v>
      </c>
      <c r="E52" s="31" t="s">
        <v>375</v>
      </c>
      <c r="F52" s="31"/>
      <c r="G52" s="86">
        <v>10.88</v>
      </c>
      <c r="H52" s="86">
        <v>4.0599999999999996</v>
      </c>
      <c r="I52" s="86">
        <v>7.02</v>
      </c>
      <c r="J52" s="85">
        <f t="shared" si="1"/>
        <v>36.380597014925364</v>
      </c>
      <c r="K52" s="85">
        <f t="shared" si="3"/>
        <v>49.81343283582089</v>
      </c>
      <c r="L52" s="85">
        <f t="shared" si="2"/>
        <v>13.805970149253744</v>
      </c>
    </row>
    <row r="53" spans="2:12" ht="22.15" customHeight="1" x14ac:dyDescent="0.2">
      <c r="B53" s="84"/>
      <c r="C53" s="83"/>
      <c r="D53" s="82" t="s">
        <v>355</v>
      </c>
      <c r="E53" s="26" t="s">
        <v>375</v>
      </c>
      <c r="F53" s="26"/>
      <c r="G53" s="81">
        <v>10.45</v>
      </c>
      <c r="H53" s="81">
        <v>3.96</v>
      </c>
      <c r="I53" s="81">
        <v>6.74</v>
      </c>
      <c r="J53" s="80">
        <f t="shared" si="1"/>
        <v>36.929057337220605</v>
      </c>
      <c r="K53" s="80">
        <f t="shared" si="3"/>
        <v>49.173955296404287</v>
      </c>
      <c r="L53" s="80">
        <f t="shared" si="2"/>
        <v>13.896987366375111</v>
      </c>
    </row>
    <row r="54" spans="2:12" ht="22.15" customHeight="1" thickBot="1" x14ac:dyDescent="0.25">
      <c r="B54" s="79"/>
      <c r="C54" s="78"/>
      <c r="D54" s="77" t="s">
        <v>356</v>
      </c>
      <c r="E54" s="20" t="s">
        <v>375</v>
      </c>
      <c r="F54" s="20"/>
      <c r="G54" s="76">
        <v>10.37</v>
      </c>
      <c r="H54" s="76">
        <v>3.9</v>
      </c>
      <c r="I54" s="76">
        <v>6.68</v>
      </c>
      <c r="J54" s="75">
        <f t="shared" si="1"/>
        <v>36.630754162585703</v>
      </c>
      <c r="K54" s="75">
        <f t="shared" si="3"/>
        <v>48.971596474045057</v>
      </c>
      <c r="L54" s="75">
        <f t="shared" si="2"/>
        <v>14.397649363369236</v>
      </c>
    </row>
    <row r="55" spans="2:12" ht="22.15" customHeight="1" x14ac:dyDescent="0.2">
      <c r="B55" s="89" t="s">
        <v>384</v>
      </c>
      <c r="C55" s="88">
        <v>2</v>
      </c>
      <c r="D55" s="87" t="s">
        <v>354</v>
      </c>
      <c r="E55" s="31" t="s">
        <v>360</v>
      </c>
      <c r="F55" s="31"/>
      <c r="G55" s="86">
        <v>9.02</v>
      </c>
      <c r="H55" s="86">
        <v>3.4</v>
      </c>
      <c r="I55" s="86">
        <v>6</v>
      </c>
      <c r="J55" s="85">
        <f t="shared" si="1"/>
        <v>36.568848758465009</v>
      </c>
      <c r="K55" s="85">
        <f t="shared" si="3"/>
        <v>48.758465011286688</v>
      </c>
      <c r="L55" s="85">
        <f t="shared" si="2"/>
        <v>14.672686230248297</v>
      </c>
    </row>
    <row r="56" spans="2:12" ht="22.15" customHeight="1" x14ac:dyDescent="0.2">
      <c r="B56" s="84"/>
      <c r="C56" s="83"/>
      <c r="D56" s="82" t="s">
        <v>355</v>
      </c>
      <c r="E56" s="26" t="s">
        <v>360</v>
      </c>
      <c r="F56" s="26"/>
      <c r="G56" s="81">
        <v>8.84</v>
      </c>
      <c r="H56" s="81">
        <v>3.28</v>
      </c>
      <c r="I56" s="81">
        <v>5.84</v>
      </c>
      <c r="J56" s="80">
        <f t="shared" si="1"/>
        <v>35.944700460829495</v>
      </c>
      <c r="K56" s="80">
        <f t="shared" si="3"/>
        <v>47.926267281105993</v>
      </c>
      <c r="L56" s="80">
        <f t="shared" si="2"/>
        <v>16.12903225806452</v>
      </c>
    </row>
    <row r="57" spans="2:12" ht="22.15" customHeight="1" thickBot="1" x14ac:dyDescent="0.25">
      <c r="B57" s="79"/>
      <c r="C57" s="78"/>
      <c r="D57" s="77" t="s">
        <v>356</v>
      </c>
      <c r="E57" s="20" t="s">
        <v>360</v>
      </c>
      <c r="F57" s="20"/>
      <c r="G57" s="76">
        <v>8.16</v>
      </c>
      <c r="H57" s="76">
        <v>2.98</v>
      </c>
      <c r="I57" s="76">
        <v>5.5</v>
      </c>
      <c r="J57" s="75">
        <f t="shared" si="1"/>
        <v>35.25</v>
      </c>
      <c r="K57" s="75">
        <f t="shared" si="3"/>
        <v>47.75</v>
      </c>
      <c r="L57" s="75">
        <f t="shared" si="2"/>
        <v>16.999999999999993</v>
      </c>
    </row>
    <row r="58" spans="2:12" ht="22.15" customHeight="1" x14ac:dyDescent="0.2">
      <c r="B58" s="89" t="s">
        <v>384</v>
      </c>
      <c r="C58" s="88">
        <v>3</v>
      </c>
      <c r="D58" s="87" t="s">
        <v>354</v>
      </c>
      <c r="E58" s="31" t="s">
        <v>370</v>
      </c>
      <c r="F58" s="31"/>
      <c r="G58" s="86">
        <v>10.62</v>
      </c>
      <c r="H58" s="86">
        <v>3.98</v>
      </c>
      <c r="I58" s="86">
        <v>6.7</v>
      </c>
      <c r="J58" s="85">
        <f t="shared" si="1"/>
        <v>36.520076481835567</v>
      </c>
      <c r="K58" s="85">
        <f t="shared" si="3"/>
        <v>47.992351816443602</v>
      </c>
      <c r="L58" s="85">
        <f t="shared" si="2"/>
        <v>15.487571701720826</v>
      </c>
    </row>
    <row r="59" spans="2:12" ht="22.15" customHeight="1" x14ac:dyDescent="0.2">
      <c r="B59" s="84"/>
      <c r="C59" s="83"/>
      <c r="D59" s="82" t="s">
        <v>355</v>
      </c>
      <c r="E59" s="26" t="s">
        <v>370</v>
      </c>
      <c r="F59" s="26"/>
      <c r="G59" s="81">
        <v>9.86</v>
      </c>
      <c r="H59" s="81">
        <v>3.7</v>
      </c>
      <c r="I59" s="81">
        <v>6.44</v>
      </c>
      <c r="J59" s="80">
        <f t="shared" si="1"/>
        <v>36.494845360824748</v>
      </c>
      <c r="K59" s="80">
        <f t="shared" si="3"/>
        <v>49.072164948453619</v>
      </c>
      <c r="L59" s="80">
        <f t="shared" si="2"/>
        <v>14.432989690721637</v>
      </c>
    </row>
    <row r="60" spans="2:12" ht="22.15" customHeight="1" thickBot="1" x14ac:dyDescent="0.25">
      <c r="B60" s="79"/>
      <c r="C60" s="78"/>
      <c r="D60" s="77" t="s">
        <v>356</v>
      </c>
      <c r="E60" s="20" t="s">
        <v>370</v>
      </c>
      <c r="F60" s="20"/>
      <c r="G60" s="76">
        <v>9.6999999999999993</v>
      </c>
      <c r="H60" s="76">
        <v>3.56</v>
      </c>
      <c r="I60" s="76">
        <v>6.3</v>
      </c>
      <c r="J60" s="75">
        <f t="shared" si="1"/>
        <v>35.639412997903563</v>
      </c>
      <c r="K60" s="75">
        <f t="shared" si="3"/>
        <v>48.427672955974849</v>
      </c>
      <c r="L60" s="75">
        <f t="shared" si="2"/>
        <v>15.93291404612158</v>
      </c>
    </row>
    <row r="61" spans="2:12" ht="22.15" customHeight="1" x14ac:dyDescent="0.2">
      <c r="B61" s="89" t="s">
        <v>384</v>
      </c>
      <c r="C61" s="88">
        <v>4</v>
      </c>
      <c r="D61" s="87" t="s">
        <v>354</v>
      </c>
      <c r="E61" s="31" t="s">
        <v>374</v>
      </c>
      <c r="F61" s="31"/>
      <c r="G61" s="86">
        <v>9.67</v>
      </c>
      <c r="H61" s="91" t="s">
        <v>416</v>
      </c>
      <c r="I61" s="86">
        <v>6.34</v>
      </c>
      <c r="J61" s="85"/>
      <c r="K61" s="85">
        <f t="shared" si="3"/>
        <v>49.001051524710832</v>
      </c>
      <c r="L61" s="85"/>
    </row>
    <row r="62" spans="2:12" ht="22.15" customHeight="1" x14ac:dyDescent="0.2">
      <c r="B62" s="84"/>
      <c r="C62" s="83"/>
      <c r="D62" s="82" t="s">
        <v>355</v>
      </c>
      <c r="E62" s="26" t="s">
        <v>374</v>
      </c>
      <c r="F62" s="26"/>
      <c r="G62" s="81">
        <v>9.2799999999999994</v>
      </c>
      <c r="H62" s="81">
        <v>3.54</v>
      </c>
      <c r="I62" s="81">
        <v>6.24</v>
      </c>
      <c r="J62" s="80">
        <f t="shared" ref="J62:J93" si="4">((H62-0.16)/(G62-0.16))*100</f>
        <v>37.061403508771932</v>
      </c>
      <c r="K62" s="80">
        <f t="shared" si="3"/>
        <v>50.000000000000014</v>
      </c>
      <c r="L62" s="80">
        <f t="shared" ref="L62:L93" si="5">(((G62-0.16)-(H62-0.16)-(I62-1.68))/(G62-0.16))*100</f>
        <v>12.938596491228058</v>
      </c>
    </row>
    <row r="63" spans="2:12" ht="22.15" customHeight="1" thickBot="1" x14ac:dyDescent="0.25">
      <c r="B63" s="79"/>
      <c r="C63" s="78"/>
      <c r="D63" s="77" t="s">
        <v>356</v>
      </c>
      <c r="E63" s="20" t="s">
        <v>374</v>
      </c>
      <c r="F63" s="20"/>
      <c r="G63" s="76">
        <v>8.16</v>
      </c>
      <c r="H63" s="76">
        <v>3.12</v>
      </c>
      <c r="I63" s="76">
        <v>5.6</v>
      </c>
      <c r="J63" s="75">
        <f t="shared" si="4"/>
        <v>37</v>
      </c>
      <c r="K63" s="75">
        <f t="shared" si="3"/>
        <v>49</v>
      </c>
      <c r="L63" s="75">
        <f t="shared" si="5"/>
        <v>14.000000000000002</v>
      </c>
    </row>
    <row r="64" spans="2:12" ht="22.15" customHeight="1" x14ac:dyDescent="0.2">
      <c r="B64" s="89" t="s">
        <v>383</v>
      </c>
      <c r="C64" s="88">
        <v>1</v>
      </c>
      <c r="D64" s="87" t="s">
        <v>354</v>
      </c>
      <c r="E64" s="31" t="s">
        <v>360</v>
      </c>
      <c r="F64" s="31"/>
      <c r="G64" s="86">
        <v>10.19</v>
      </c>
      <c r="H64" s="86">
        <v>3.78</v>
      </c>
      <c r="I64" s="86">
        <v>6.56</v>
      </c>
      <c r="J64" s="85">
        <f t="shared" si="4"/>
        <v>36.091724825523428</v>
      </c>
      <c r="K64" s="85">
        <f t="shared" si="3"/>
        <v>48.65403788634098</v>
      </c>
      <c r="L64" s="85">
        <f t="shared" si="5"/>
        <v>15.254237288135597</v>
      </c>
    </row>
    <row r="65" spans="2:12" ht="22.15" customHeight="1" x14ac:dyDescent="0.2">
      <c r="B65" s="18"/>
      <c r="C65" s="83"/>
      <c r="D65" s="82" t="s">
        <v>355</v>
      </c>
      <c r="E65" s="26" t="s">
        <v>360</v>
      </c>
      <c r="F65" s="26"/>
      <c r="G65" s="81">
        <v>9.89</v>
      </c>
      <c r="H65" s="81">
        <v>3.54</v>
      </c>
      <c r="I65" s="81">
        <v>6.5</v>
      </c>
      <c r="J65" s="80">
        <f t="shared" si="4"/>
        <v>34.737923946557039</v>
      </c>
      <c r="K65" s="80">
        <f t="shared" si="3"/>
        <v>49.537512846865368</v>
      </c>
      <c r="L65" s="80">
        <f t="shared" si="5"/>
        <v>15.724563206577596</v>
      </c>
    </row>
    <row r="66" spans="2:12" ht="22.15" customHeight="1" thickBot="1" x14ac:dyDescent="0.25">
      <c r="B66" s="79"/>
      <c r="C66" s="78"/>
      <c r="D66" s="77" t="s">
        <v>356</v>
      </c>
      <c r="E66" s="20" t="s">
        <v>360</v>
      </c>
      <c r="F66" s="20"/>
      <c r="G66" s="76">
        <v>9.99</v>
      </c>
      <c r="H66" s="76">
        <v>3.64</v>
      </c>
      <c r="I66" s="76">
        <v>6.44</v>
      </c>
      <c r="J66" s="75">
        <f t="shared" si="4"/>
        <v>35.401831129196339</v>
      </c>
      <c r="K66" s="75">
        <f t="shared" si="3"/>
        <v>48.423194303153615</v>
      </c>
      <c r="L66" s="75">
        <f t="shared" si="5"/>
        <v>16.17497456765004</v>
      </c>
    </row>
    <row r="67" spans="2:12" ht="22.15" customHeight="1" x14ac:dyDescent="0.2">
      <c r="B67" s="89" t="s">
        <v>383</v>
      </c>
      <c r="C67" s="88">
        <v>2</v>
      </c>
      <c r="D67" s="87" t="s">
        <v>354</v>
      </c>
      <c r="E67" s="31" t="s">
        <v>365</v>
      </c>
      <c r="F67" s="31"/>
      <c r="G67" s="86">
        <v>9</v>
      </c>
      <c r="H67" s="86">
        <v>3.26</v>
      </c>
      <c r="I67" s="86">
        <v>5.88</v>
      </c>
      <c r="J67" s="85">
        <f t="shared" si="4"/>
        <v>35.067873303167417</v>
      </c>
      <c r="K67" s="85">
        <f t="shared" si="3"/>
        <v>47.511312217194572</v>
      </c>
      <c r="L67" s="85">
        <f t="shared" si="5"/>
        <v>17.420814479638011</v>
      </c>
    </row>
    <row r="68" spans="2:12" ht="22.15" customHeight="1" x14ac:dyDescent="0.2">
      <c r="B68" s="84"/>
      <c r="C68" s="83"/>
      <c r="D68" s="82" t="s">
        <v>355</v>
      </c>
      <c r="E68" s="26" t="s">
        <v>365</v>
      </c>
      <c r="F68" s="26"/>
      <c r="G68" s="81">
        <v>10.31</v>
      </c>
      <c r="H68" s="81">
        <v>3.9</v>
      </c>
      <c r="I68" s="81">
        <v>6.62</v>
      </c>
      <c r="J68" s="80">
        <f t="shared" si="4"/>
        <v>36.847290640394085</v>
      </c>
      <c r="K68" s="80">
        <f t="shared" si="3"/>
        <v>48.669950738916256</v>
      </c>
      <c r="L68" s="80">
        <f t="shared" si="5"/>
        <v>14.482758620689653</v>
      </c>
    </row>
    <row r="69" spans="2:12" ht="22.15" customHeight="1" thickBot="1" x14ac:dyDescent="0.25">
      <c r="B69" s="79"/>
      <c r="C69" s="78"/>
      <c r="D69" s="77" t="s">
        <v>356</v>
      </c>
      <c r="E69" s="20" t="s">
        <v>365</v>
      </c>
      <c r="F69" s="20"/>
      <c r="G69" s="76">
        <v>10.8</v>
      </c>
      <c r="H69" s="76">
        <v>3.94</v>
      </c>
      <c r="I69" s="76">
        <v>6.84</v>
      </c>
      <c r="J69" s="75">
        <f t="shared" si="4"/>
        <v>35.526315789473678</v>
      </c>
      <c r="K69" s="75">
        <f t="shared" si="3"/>
        <v>48.496240601503757</v>
      </c>
      <c r="L69" s="75">
        <f t="shared" si="5"/>
        <v>15.977443609022565</v>
      </c>
    </row>
    <row r="70" spans="2:12" ht="22.15" customHeight="1" x14ac:dyDescent="0.2">
      <c r="B70" s="89" t="s">
        <v>383</v>
      </c>
      <c r="C70" s="88">
        <v>3</v>
      </c>
      <c r="D70" s="87" t="s">
        <v>354</v>
      </c>
      <c r="E70" s="31" t="s">
        <v>368</v>
      </c>
      <c r="F70" s="31"/>
      <c r="G70" s="86">
        <v>9.98</v>
      </c>
      <c r="H70" s="86">
        <v>3.66</v>
      </c>
      <c r="I70" s="86">
        <v>6.4</v>
      </c>
      <c r="J70" s="85">
        <f t="shared" si="4"/>
        <v>35.641547861507128</v>
      </c>
      <c r="K70" s="85">
        <f t="shared" si="3"/>
        <v>48.065173116089618</v>
      </c>
      <c r="L70" s="85">
        <f t="shared" si="5"/>
        <v>16.293279022403254</v>
      </c>
    </row>
    <row r="71" spans="2:12" ht="22.15" customHeight="1" x14ac:dyDescent="0.2">
      <c r="B71" s="84"/>
      <c r="C71" s="83"/>
      <c r="D71" s="82" t="s">
        <v>355</v>
      </c>
      <c r="E71" s="26" t="s">
        <v>368</v>
      </c>
      <c r="F71" s="26"/>
      <c r="G71" s="81">
        <v>9.1199999999999992</v>
      </c>
      <c r="H71" s="81">
        <v>3.52</v>
      </c>
      <c r="I71" s="81">
        <v>6.08</v>
      </c>
      <c r="J71" s="80">
        <f t="shared" si="4"/>
        <v>37.5</v>
      </c>
      <c r="K71" s="80">
        <f t="shared" si="3"/>
        <v>49.107142857142868</v>
      </c>
      <c r="L71" s="80">
        <f t="shared" si="5"/>
        <v>13.392857142857137</v>
      </c>
    </row>
    <row r="72" spans="2:12" ht="22.15" customHeight="1" thickBot="1" x14ac:dyDescent="0.25">
      <c r="B72" s="79"/>
      <c r="C72" s="78"/>
      <c r="D72" s="77" t="s">
        <v>356</v>
      </c>
      <c r="E72" s="20" t="s">
        <v>368</v>
      </c>
      <c r="F72" s="20"/>
      <c r="G72" s="76">
        <v>9.84</v>
      </c>
      <c r="H72" s="76">
        <v>3.6</v>
      </c>
      <c r="I72" s="76">
        <v>6.4</v>
      </c>
      <c r="J72" s="75">
        <f t="shared" si="4"/>
        <v>35.537190082644628</v>
      </c>
      <c r="K72" s="75">
        <f t="shared" si="3"/>
        <v>48.760330578512409</v>
      </c>
      <c r="L72" s="75">
        <f t="shared" si="5"/>
        <v>15.70247933884297</v>
      </c>
    </row>
    <row r="73" spans="2:12" ht="22.15" customHeight="1" x14ac:dyDescent="0.2">
      <c r="B73" s="89" t="s">
        <v>383</v>
      </c>
      <c r="C73" s="88">
        <v>4</v>
      </c>
      <c r="D73" s="87" t="s">
        <v>354</v>
      </c>
      <c r="E73" s="31" t="s">
        <v>366</v>
      </c>
      <c r="F73" s="31"/>
      <c r="G73" s="86">
        <v>7.25</v>
      </c>
      <c r="H73" s="86">
        <v>2.64</v>
      </c>
      <c r="I73" s="86">
        <v>5.0999999999999996</v>
      </c>
      <c r="J73" s="85">
        <f t="shared" si="4"/>
        <v>34.978843441466857</v>
      </c>
      <c r="K73" s="85">
        <f t="shared" si="3"/>
        <v>48.236953455571232</v>
      </c>
      <c r="L73" s="85">
        <f t="shared" si="5"/>
        <v>16.784203102961911</v>
      </c>
    </row>
    <row r="74" spans="2:12" ht="22.15" customHeight="1" x14ac:dyDescent="0.2">
      <c r="B74" s="84"/>
      <c r="C74" s="83"/>
      <c r="D74" s="82" t="s">
        <v>355</v>
      </c>
      <c r="E74" s="26" t="s">
        <v>366</v>
      </c>
      <c r="F74" s="26"/>
      <c r="G74" s="81">
        <v>6.08</v>
      </c>
      <c r="H74" s="81">
        <v>2.2599999999999998</v>
      </c>
      <c r="I74" s="81">
        <v>4.5999999999999996</v>
      </c>
      <c r="J74" s="80">
        <f t="shared" si="4"/>
        <v>35.472972972972968</v>
      </c>
      <c r="K74" s="80">
        <f t="shared" si="3"/>
        <v>49.324324324324323</v>
      </c>
      <c r="L74" s="80">
        <f t="shared" si="5"/>
        <v>15.202702702702709</v>
      </c>
    </row>
    <row r="75" spans="2:12" ht="22.15" customHeight="1" thickBot="1" x14ac:dyDescent="0.25">
      <c r="B75" s="79"/>
      <c r="C75" s="78"/>
      <c r="D75" s="77" t="s">
        <v>356</v>
      </c>
      <c r="E75" s="20" t="s">
        <v>366</v>
      </c>
      <c r="F75" s="20"/>
      <c r="G75" s="76">
        <v>6.67</v>
      </c>
      <c r="H75" s="76">
        <v>2.56</v>
      </c>
      <c r="I75" s="76">
        <v>4.96</v>
      </c>
      <c r="J75" s="75">
        <f t="shared" si="4"/>
        <v>36.866359447004612</v>
      </c>
      <c r="K75" s="75">
        <f t="shared" si="3"/>
        <v>50.384024577572973</v>
      </c>
      <c r="L75" s="75">
        <f t="shared" si="5"/>
        <v>12.749615975422415</v>
      </c>
    </row>
    <row r="76" spans="2:12" ht="22.15" customHeight="1" x14ac:dyDescent="0.2">
      <c r="B76" s="89" t="s">
        <v>382</v>
      </c>
      <c r="C76" s="88">
        <v>1</v>
      </c>
      <c r="D76" s="87" t="s">
        <v>354</v>
      </c>
      <c r="E76" s="31" t="s">
        <v>373</v>
      </c>
      <c r="F76" s="31"/>
      <c r="G76" s="86">
        <v>9.7200000000000006</v>
      </c>
      <c r="H76" s="86">
        <v>3.52</v>
      </c>
      <c r="I76" s="86">
        <v>6.28</v>
      </c>
      <c r="J76" s="85">
        <f t="shared" si="4"/>
        <v>35.146443514644346</v>
      </c>
      <c r="K76" s="85">
        <f t="shared" si="3"/>
        <v>48.117154811715487</v>
      </c>
      <c r="L76" s="85">
        <f t="shared" si="5"/>
        <v>16.736401673640174</v>
      </c>
    </row>
    <row r="77" spans="2:12" ht="22.15" customHeight="1" x14ac:dyDescent="0.2">
      <c r="B77" s="84"/>
      <c r="C77" s="83"/>
      <c r="D77" s="82" t="s">
        <v>355</v>
      </c>
      <c r="E77" s="26" t="s">
        <v>373</v>
      </c>
      <c r="F77" s="26"/>
      <c r="G77" s="81">
        <v>9.82</v>
      </c>
      <c r="H77" s="81">
        <v>3.64</v>
      </c>
      <c r="I77" s="81">
        <v>6.42</v>
      </c>
      <c r="J77" s="80">
        <f t="shared" si="4"/>
        <v>36.024844720496894</v>
      </c>
      <c r="K77" s="80">
        <f t="shared" si="3"/>
        <v>49.068322981366464</v>
      </c>
      <c r="L77" s="80">
        <f t="shared" si="5"/>
        <v>14.90683229813664</v>
      </c>
    </row>
    <row r="78" spans="2:12" ht="22.15" customHeight="1" thickBot="1" x14ac:dyDescent="0.25">
      <c r="B78" s="79"/>
      <c r="C78" s="78"/>
      <c r="D78" s="77" t="s">
        <v>356</v>
      </c>
      <c r="E78" s="20" t="s">
        <v>373</v>
      </c>
      <c r="F78" s="20"/>
      <c r="G78" s="76">
        <v>9.4700000000000006</v>
      </c>
      <c r="H78" s="76">
        <v>3.46</v>
      </c>
      <c r="I78" s="76">
        <v>6.24</v>
      </c>
      <c r="J78" s="75">
        <f t="shared" si="4"/>
        <v>35.445757250268521</v>
      </c>
      <c r="K78" s="75">
        <f t="shared" si="3"/>
        <v>48.979591836734699</v>
      </c>
      <c r="L78" s="75">
        <f t="shared" si="5"/>
        <v>15.574650912996779</v>
      </c>
    </row>
    <row r="79" spans="2:12" ht="22.15" customHeight="1" x14ac:dyDescent="0.2">
      <c r="B79" s="89" t="s">
        <v>382</v>
      </c>
      <c r="C79" s="88">
        <v>2</v>
      </c>
      <c r="D79" s="87" t="s">
        <v>354</v>
      </c>
      <c r="E79" s="31" t="s">
        <v>369</v>
      </c>
      <c r="F79" s="31"/>
      <c r="G79" s="86">
        <v>8.58</v>
      </c>
      <c r="H79" s="86">
        <v>3.16</v>
      </c>
      <c r="I79" s="86">
        <v>5.76</v>
      </c>
      <c r="J79" s="85">
        <f t="shared" si="4"/>
        <v>35.629453681710217</v>
      </c>
      <c r="K79" s="85">
        <f t="shared" si="3"/>
        <v>48.456057007125892</v>
      </c>
      <c r="L79" s="85">
        <f t="shared" si="5"/>
        <v>15.914489311163893</v>
      </c>
    </row>
    <row r="80" spans="2:12" ht="22.15" customHeight="1" x14ac:dyDescent="0.2">
      <c r="B80" s="84"/>
      <c r="C80" s="83"/>
      <c r="D80" s="82" t="s">
        <v>355</v>
      </c>
      <c r="E80" s="26" t="s">
        <v>369</v>
      </c>
      <c r="F80" s="26"/>
      <c r="G80" s="81">
        <v>8.0399999999999991</v>
      </c>
      <c r="H80" s="81">
        <v>3.02</v>
      </c>
      <c r="I80" s="81">
        <v>5.54</v>
      </c>
      <c r="J80" s="80">
        <f t="shared" si="4"/>
        <v>36.294416243654823</v>
      </c>
      <c r="K80" s="80">
        <f t="shared" ref="K80:K111" si="6">((I80-1.68)/(G80-0.16))*100</f>
        <v>48.984771573604071</v>
      </c>
      <c r="L80" s="80">
        <f t="shared" si="5"/>
        <v>14.720812182741108</v>
      </c>
    </row>
    <row r="81" spans="2:12" ht="22.15" customHeight="1" thickBot="1" x14ac:dyDescent="0.25">
      <c r="B81" s="79"/>
      <c r="C81" s="78"/>
      <c r="D81" s="77" t="s">
        <v>356</v>
      </c>
      <c r="E81" s="20" t="s">
        <v>369</v>
      </c>
      <c r="F81" s="20"/>
      <c r="G81" s="76">
        <v>7.74</v>
      </c>
      <c r="H81" s="76">
        <v>2.78</v>
      </c>
      <c r="I81" s="76">
        <v>5.32</v>
      </c>
      <c r="J81" s="75">
        <f t="shared" si="4"/>
        <v>34.564643799472286</v>
      </c>
      <c r="K81" s="75">
        <f t="shared" si="6"/>
        <v>48.021108179419528</v>
      </c>
      <c r="L81" s="75">
        <f t="shared" si="5"/>
        <v>17.414248021108182</v>
      </c>
    </row>
    <row r="82" spans="2:12" ht="22.15" customHeight="1" x14ac:dyDescent="0.2">
      <c r="B82" s="89" t="s">
        <v>382</v>
      </c>
      <c r="C82" s="88">
        <v>3</v>
      </c>
      <c r="D82" s="87" t="s">
        <v>354</v>
      </c>
      <c r="E82" s="31" t="s">
        <v>364</v>
      </c>
      <c r="F82" s="31"/>
      <c r="G82" s="86">
        <v>7.64</v>
      </c>
      <c r="H82" s="86">
        <v>2.78</v>
      </c>
      <c r="I82" s="86">
        <v>5.32</v>
      </c>
      <c r="J82" s="85">
        <f t="shared" si="4"/>
        <v>35.026737967914436</v>
      </c>
      <c r="K82" s="85">
        <f t="shared" si="6"/>
        <v>48.663101604278083</v>
      </c>
      <c r="L82" s="85">
        <f t="shared" si="5"/>
        <v>16.310160427807471</v>
      </c>
    </row>
    <row r="83" spans="2:12" ht="22.15" customHeight="1" x14ac:dyDescent="0.2">
      <c r="B83" s="84"/>
      <c r="C83" s="83"/>
      <c r="D83" s="82" t="s">
        <v>355</v>
      </c>
      <c r="E83" s="26" t="s">
        <v>364</v>
      </c>
      <c r="F83" s="26"/>
      <c r="G83" s="81">
        <v>7.12</v>
      </c>
      <c r="H83" s="81">
        <v>2.58</v>
      </c>
      <c r="I83" s="81">
        <v>5.08</v>
      </c>
      <c r="J83" s="80">
        <f t="shared" si="4"/>
        <v>34.770114942528735</v>
      </c>
      <c r="K83" s="80">
        <f t="shared" si="6"/>
        <v>48.850574712643684</v>
      </c>
      <c r="L83" s="80">
        <f t="shared" si="5"/>
        <v>16.379310344827584</v>
      </c>
    </row>
    <row r="84" spans="2:12" ht="22.15" customHeight="1" thickBot="1" x14ac:dyDescent="0.25">
      <c r="B84" s="79"/>
      <c r="C84" s="78"/>
      <c r="D84" s="77" t="s">
        <v>356</v>
      </c>
      <c r="E84" s="20" t="s">
        <v>364</v>
      </c>
      <c r="F84" s="20"/>
      <c r="G84" s="76">
        <v>6.49</v>
      </c>
      <c r="H84" s="76">
        <v>2.3199999999999998</v>
      </c>
      <c r="I84" s="76">
        <v>4.7</v>
      </c>
      <c r="J84" s="75">
        <f t="shared" si="4"/>
        <v>34.123222748815166</v>
      </c>
      <c r="K84" s="75">
        <f t="shared" si="6"/>
        <v>47.70932069510269</v>
      </c>
      <c r="L84" s="75">
        <f t="shared" si="5"/>
        <v>18.16745655608214</v>
      </c>
    </row>
    <row r="85" spans="2:12" ht="22.15" customHeight="1" x14ac:dyDescent="0.2">
      <c r="B85" s="89" t="s">
        <v>382</v>
      </c>
      <c r="C85" s="88">
        <v>4</v>
      </c>
      <c r="D85" s="87" t="s">
        <v>354</v>
      </c>
      <c r="E85" s="31" t="s">
        <v>371</v>
      </c>
      <c r="F85" s="31"/>
      <c r="G85" s="86">
        <v>6.9</v>
      </c>
      <c r="H85" s="86">
        <v>2.48</v>
      </c>
      <c r="I85" s="86">
        <v>4.9400000000000004</v>
      </c>
      <c r="J85" s="85">
        <f t="shared" si="4"/>
        <v>34.421364985163201</v>
      </c>
      <c r="K85" s="85">
        <f t="shared" si="6"/>
        <v>48.367952522255202</v>
      </c>
      <c r="L85" s="85">
        <f t="shared" si="5"/>
        <v>17.21068249258159</v>
      </c>
    </row>
    <row r="86" spans="2:12" ht="22.15" customHeight="1" x14ac:dyDescent="0.2">
      <c r="B86" s="84"/>
      <c r="C86" s="83"/>
      <c r="D86" s="82" t="s">
        <v>355</v>
      </c>
      <c r="E86" s="26" t="s">
        <v>371</v>
      </c>
      <c r="F86" s="26"/>
      <c r="G86" s="81">
        <v>7.69</v>
      </c>
      <c r="H86" s="81">
        <v>2.82</v>
      </c>
      <c r="I86" s="81">
        <v>5.34</v>
      </c>
      <c r="J86" s="80">
        <f t="shared" si="4"/>
        <v>35.325365205843291</v>
      </c>
      <c r="K86" s="80">
        <f t="shared" si="6"/>
        <v>48.605577689243027</v>
      </c>
      <c r="L86" s="80">
        <f t="shared" si="5"/>
        <v>16.069057104913689</v>
      </c>
    </row>
    <row r="87" spans="2:12" ht="22.15" customHeight="1" thickBot="1" x14ac:dyDescent="0.25">
      <c r="B87" s="79"/>
      <c r="C87" s="78"/>
      <c r="D87" s="77" t="s">
        <v>356</v>
      </c>
      <c r="E87" s="20" t="s">
        <v>371</v>
      </c>
      <c r="F87" s="20"/>
      <c r="G87" s="76">
        <v>5.6</v>
      </c>
      <c r="H87" s="76">
        <v>2.1</v>
      </c>
      <c r="I87" s="76">
        <v>4.3600000000000003</v>
      </c>
      <c r="J87" s="75">
        <f t="shared" si="4"/>
        <v>35.661764705882362</v>
      </c>
      <c r="K87" s="75">
        <f t="shared" si="6"/>
        <v>49.264705882352956</v>
      </c>
      <c r="L87" s="75">
        <f t="shared" si="5"/>
        <v>15.07352941176468</v>
      </c>
    </row>
    <row r="88" spans="2:12" ht="22.15" customHeight="1" x14ac:dyDescent="0.2">
      <c r="B88" s="89" t="s">
        <v>381</v>
      </c>
      <c r="C88" s="88">
        <v>1</v>
      </c>
      <c r="D88" s="87" t="s">
        <v>354</v>
      </c>
      <c r="E88" s="31" t="s">
        <v>363</v>
      </c>
      <c r="F88" s="31"/>
      <c r="G88" s="86">
        <v>9.15</v>
      </c>
      <c r="H88" s="86">
        <v>3.38</v>
      </c>
      <c r="I88" s="86">
        <v>6.04</v>
      </c>
      <c r="J88" s="85">
        <f t="shared" si="4"/>
        <v>35.817575083426021</v>
      </c>
      <c r="K88" s="85">
        <f t="shared" si="6"/>
        <v>48.49833147942158</v>
      </c>
      <c r="L88" s="85">
        <f t="shared" si="5"/>
        <v>15.684093437152393</v>
      </c>
    </row>
    <row r="89" spans="2:12" ht="22.15" customHeight="1" x14ac:dyDescent="0.2">
      <c r="B89" s="84"/>
      <c r="C89" s="83"/>
      <c r="D89" s="82" t="s">
        <v>355</v>
      </c>
      <c r="E89" s="26" t="s">
        <v>363</v>
      </c>
      <c r="F89" s="26"/>
      <c r="G89" s="81">
        <v>9.24</v>
      </c>
      <c r="H89" s="81">
        <v>3.4</v>
      </c>
      <c r="I89" s="81">
        <v>6.14</v>
      </c>
      <c r="J89" s="80">
        <f t="shared" si="4"/>
        <v>35.682819383259911</v>
      </c>
      <c r="K89" s="80">
        <f t="shared" si="6"/>
        <v>49.118942731277535</v>
      </c>
      <c r="L89" s="80">
        <f t="shared" si="5"/>
        <v>15.198237885462554</v>
      </c>
    </row>
    <row r="90" spans="2:12" ht="22.15" customHeight="1" thickBot="1" x14ac:dyDescent="0.25">
      <c r="B90" s="79"/>
      <c r="C90" s="78"/>
      <c r="D90" s="77" t="s">
        <v>356</v>
      </c>
      <c r="E90" s="20" t="s">
        <v>363</v>
      </c>
      <c r="F90" s="20"/>
      <c r="G90" s="76">
        <v>9.1999999999999993</v>
      </c>
      <c r="H90" s="76">
        <v>3.4</v>
      </c>
      <c r="I90" s="76">
        <v>6.04</v>
      </c>
      <c r="J90" s="75">
        <f t="shared" si="4"/>
        <v>35.840707964601769</v>
      </c>
      <c r="K90" s="75">
        <f t="shared" si="6"/>
        <v>48.230088495575231</v>
      </c>
      <c r="L90" s="75">
        <f t="shared" si="5"/>
        <v>15.929203539822995</v>
      </c>
    </row>
    <row r="91" spans="2:12" ht="22.15" customHeight="1" x14ac:dyDescent="0.2">
      <c r="B91" s="89" t="s">
        <v>381</v>
      </c>
      <c r="C91" s="88">
        <v>2</v>
      </c>
      <c r="D91" s="87" t="s">
        <v>354</v>
      </c>
      <c r="E91" s="31" t="s">
        <v>370</v>
      </c>
      <c r="F91" s="31"/>
      <c r="G91" s="86">
        <v>6.96</v>
      </c>
      <c r="H91" s="86">
        <v>2.52</v>
      </c>
      <c r="I91" s="86">
        <v>4.96</v>
      </c>
      <c r="J91" s="85">
        <f t="shared" si="4"/>
        <v>34.705882352941174</v>
      </c>
      <c r="K91" s="85">
        <f t="shared" si="6"/>
        <v>48.235294117647065</v>
      </c>
      <c r="L91" s="85">
        <f t="shared" si="5"/>
        <v>17.058823529411754</v>
      </c>
    </row>
    <row r="92" spans="2:12" ht="22.15" customHeight="1" x14ac:dyDescent="0.2">
      <c r="B92" s="84"/>
      <c r="C92" s="83"/>
      <c r="D92" s="82" t="s">
        <v>355</v>
      </c>
      <c r="E92" s="26" t="s">
        <v>370</v>
      </c>
      <c r="F92" s="26"/>
      <c r="G92" s="81">
        <v>6.08</v>
      </c>
      <c r="H92" s="81">
        <v>2.2000000000000002</v>
      </c>
      <c r="I92" s="81">
        <v>4.58</v>
      </c>
      <c r="J92" s="80">
        <f t="shared" si="4"/>
        <v>34.45945945945946</v>
      </c>
      <c r="K92" s="80">
        <f t="shared" si="6"/>
        <v>48.986486486486491</v>
      </c>
      <c r="L92" s="80">
        <f t="shared" si="5"/>
        <v>16.554054054054046</v>
      </c>
    </row>
    <row r="93" spans="2:12" ht="22.15" customHeight="1" thickBot="1" x14ac:dyDescent="0.25">
      <c r="B93" s="79"/>
      <c r="C93" s="78"/>
      <c r="D93" s="77" t="s">
        <v>356</v>
      </c>
      <c r="E93" s="20" t="s">
        <v>370</v>
      </c>
      <c r="F93" s="20"/>
      <c r="G93" s="76">
        <v>7.19</v>
      </c>
      <c r="H93" s="76">
        <v>2.58</v>
      </c>
      <c r="I93" s="76">
        <v>5.0199999999999996</v>
      </c>
      <c r="J93" s="75">
        <f t="shared" si="4"/>
        <v>34.423897581792318</v>
      </c>
      <c r="K93" s="75">
        <f t="shared" si="6"/>
        <v>47.510668563300143</v>
      </c>
      <c r="L93" s="75">
        <f t="shared" si="5"/>
        <v>18.065433854907546</v>
      </c>
    </row>
    <row r="94" spans="2:12" ht="22.15" customHeight="1" x14ac:dyDescent="0.2">
      <c r="B94" s="89" t="s">
        <v>381</v>
      </c>
      <c r="C94" s="88">
        <v>3</v>
      </c>
      <c r="D94" s="87" t="s">
        <v>354</v>
      </c>
      <c r="E94" s="31" t="s">
        <v>353</v>
      </c>
      <c r="F94" s="31"/>
      <c r="G94" s="86">
        <v>8.3699999999999992</v>
      </c>
      <c r="H94" s="86">
        <v>3.04</v>
      </c>
      <c r="I94" s="86">
        <v>5.7</v>
      </c>
      <c r="J94" s="85">
        <f t="shared" ref="J94:J125" si="7">((H94-0.16)/(G94-0.16))*100</f>
        <v>35.079171741778318</v>
      </c>
      <c r="K94" s="85">
        <f t="shared" si="6"/>
        <v>48.964677222898914</v>
      </c>
      <c r="L94" s="85">
        <f t="shared" ref="L94:L125" si="8">(((G94-0.16)-(H94-0.16)-(I94-1.68))/(G94-0.16))*100</f>
        <v>15.956151035322764</v>
      </c>
    </row>
    <row r="95" spans="2:12" ht="22.15" customHeight="1" x14ac:dyDescent="0.2">
      <c r="B95" s="84"/>
      <c r="C95" s="83"/>
      <c r="D95" s="82" t="s">
        <v>355</v>
      </c>
      <c r="E95" s="26" t="s">
        <v>353</v>
      </c>
      <c r="F95" s="26"/>
      <c r="G95" s="81">
        <v>9.3000000000000007</v>
      </c>
      <c r="H95" s="81">
        <v>3.46</v>
      </c>
      <c r="I95" s="81">
        <v>6.12</v>
      </c>
      <c r="J95" s="80">
        <f t="shared" si="7"/>
        <v>36.105032822757103</v>
      </c>
      <c r="K95" s="80">
        <f t="shared" si="6"/>
        <v>48.577680525164112</v>
      </c>
      <c r="L95" s="80">
        <f t="shared" si="8"/>
        <v>15.317286652078776</v>
      </c>
    </row>
    <row r="96" spans="2:12" ht="22.15" customHeight="1" thickBot="1" x14ac:dyDescent="0.25">
      <c r="B96" s="79"/>
      <c r="C96" s="78"/>
      <c r="D96" s="77" t="s">
        <v>356</v>
      </c>
      <c r="E96" s="20" t="s">
        <v>353</v>
      </c>
      <c r="F96" s="20"/>
      <c r="G96" s="76">
        <v>9.68</v>
      </c>
      <c r="H96" s="76">
        <v>3.56</v>
      </c>
      <c r="I96" s="76">
        <v>6.22</v>
      </c>
      <c r="J96" s="75">
        <f t="shared" si="7"/>
        <v>35.714285714285715</v>
      </c>
      <c r="K96" s="75">
        <f t="shared" si="6"/>
        <v>47.689075630252105</v>
      </c>
      <c r="L96" s="75">
        <f t="shared" si="8"/>
        <v>16.596638655462176</v>
      </c>
    </row>
    <row r="97" spans="2:12" ht="22.15" customHeight="1" x14ac:dyDescent="0.2">
      <c r="B97" s="89" t="s">
        <v>381</v>
      </c>
      <c r="C97" s="88">
        <v>4</v>
      </c>
      <c r="D97" s="87" t="s">
        <v>354</v>
      </c>
      <c r="E97" s="31" t="s">
        <v>374</v>
      </c>
      <c r="F97" s="31"/>
      <c r="G97" s="86">
        <v>7.96</v>
      </c>
      <c r="H97" s="86">
        <v>2.88</v>
      </c>
      <c r="I97" s="86">
        <v>5.44</v>
      </c>
      <c r="J97" s="85">
        <f t="shared" si="7"/>
        <v>34.871794871794869</v>
      </c>
      <c r="K97" s="85">
        <f t="shared" si="6"/>
        <v>48.205128205128219</v>
      </c>
      <c r="L97" s="85">
        <f t="shared" si="8"/>
        <v>16.923076923076916</v>
      </c>
    </row>
    <row r="98" spans="2:12" ht="22.15" customHeight="1" x14ac:dyDescent="0.2">
      <c r="B98" s="84"/>
      <c r="C98" s="83"/>
      <c r="D98" s="82" t="s">
        <v>355</v>
      </c>
      <c r="E98" s="26" t="s">
        <v>374</v>
      </c>
      <c r="F98" s="26"/>
      <c r="G98" s="81">
        <v>8.0299999999999994</v>
      </c>
      <c r="H98" s="81">
        <v>3</v>
      </c>
      <c r="I98" s="81">
        <v>5.52</v>
      </c>
      <c r="J98" s="80">
        <f t="shared" si="7"/>
        <v>36.086404066073705</v>
      </c>
      <c r="K98" s="80">
        <f t="shared" si="6"/>
        <v>48.792884371029224</v>
      </c>
      <c r="L98" s="80">
        <f t="shared" si="8"/>
        <v>15.120711562897075</v>
      </c>
    </row>
    <row r="99" spans="2:12" ht="22.15" customHeight="1" thickBot="1" x14ac:dyDescent="0.25">
      <c r="B99" s="79"/>
      <c r="C99" s="78"/>
      <c r="D99" s="77" t="s">
        <v>356</v>
      </c>
      <c r="E99" s="20" t="s">
        <v>374</v>
      </c>
      <c r="F99" s="20"/>
      <c r="G99" s="76">
        <v>7.24</v>
      </c>
      <c r="H99" s="76">
        <v>2.66</v>
      </c>
      <c r="I99" s="76">
        <v>5.08</v>
      </c>
      <c r="J99" s="75">
        <f t="shared" si="7"/>
        <v>35.310734463276837</v>
      </c>
      <c r="K99" s="75">
        <f t="shared" si="6"/>
        <v>48.022598870056505</v>
      </c>
      <c r="L99" s="75">
        <f t="shared" si="8"/>
        <v>16.666666666666664</v>
      </c>
    </row>
    <row r="100" spans="2:12" ht="22.15" customHeight="1" x14ac:dyDescent="0.2">
      <c r="B100" s="89" t="s">
        <v>380</v>
      </c>
      <c r="C100" s="88">
        <v>1</v>
      </c>
      <c r="D100" s="87" t="s">
        <v>354</v>
      </c>
      <c r="E100" s="31" t="s">
        <v>375</v>
      </c>
      <c r="F100" s="31"/>
      <c r="G100" s="86">
        <v>8.92</v>
      </c>
      <c r="H100" s="86">
        <v>3.2</v>
      </c>
      <c r="I100" s="86">
        <v>5.98</v>
      </c>
      <c r="J100" s="85">
        <f t="shared" si="7"/>
        <v>34.70319634703197</v>
      </c>
      <c r="K100" s="85">
        <f t="shared" si="6"/>
        <v>49.086757990867589</v>
      </c>
      <c r="L100" s="85">
        <f t="shared" si="8"/>
        <v>16.210045662100448</v>
      </c>
    </row>
    <row r="101" spans="2:12" ht="22.15" customHeight="1" x14ac:dyDescent="0.2">
      <c r="B101" s="84"/>
      <c r="C101" s="83"/>
      <c r="D101" s="82" t="s">
        <v>355</v>
      </c>
      <c r="E101" s="26" t="s">
        <v>375</v>
      </c>
      <c r="F101" s="26"/>
      <c r="G101" s="81">
        <v>7.94</v>
      </c>
      <c r="H101" s="81">
        <v>2.86</v>
      </c>
      <c r="I101" s="81">
        <v>5.46</v>
      </c>
      <c r="J101" s="80">
        <f t="shared" si="7"/>
        <v>34.704370179948576</v>
      </c>
      <c r="K101" s="80">
        <f t="shared" si="6"/>
        <v>48.586118251928021</v>
      </c>
      <c r="L101" s="80">
        <f t="shared" si="8"/>
        <v>16.709511568123389</v>
      </c>
    </row>
    <row r="102" spans="2:12" ht="22.15" customHeight="1" thickBot="1" x14ac:dyDescent="0.25">
      <c r="B102" s="79"/>
      <c r="C102" s="78"/>
      <c r="D102" s="77" t="s">
        <v>356</v>
      </c>
      <c r="E102" s="20" t="s">
        <v>375</v>
      </c>
      <c r="F102" s="20"/>
      <c r="G102" s="76">
        <v>8.9499999999999993</v>
      </c>
      <c r="H102" s="76">
        <v>3.28</v>
      </c>
      <c r="I102" s="76">
        <v>5.88</v>
      </c>
      <c r="J102" s="75">
        <f t="shared" si="7"/>
        <v>35.494880546075088</v>
      </c>
      <c r="K102" s="75">
        <f t="shared" si="6"/>
        <v>47.781569965870311</v>
      </c>
      <c r="L102" s="75">
        <f t="shared" si="8"/>
        <v>16.723549488054605</v>
      </c>
    </row>
    <row r="103" spans="2:12" ht="22.15" customHeight="1" x14ac:dyDescent="0.2">
      <c r="B103" s="89" t="s">
        <v>380</v>
      </c>
      <c r="C103" s="88">
        <v>2</v>
      </c>
      <c r="D103" s="87" t="s">
        <v>354</v>
      </c>
      <c r="E103" s="31" t="s">
        <v>361</v>
      </c>
      <c r="F103" s="31"/>
      <c r="G103" s="86">
        <v>10.3</v>
      </c>
      <c r="H103" s="86">
        <v>3.72</v>
      </c>
      <c r="I103" s="86">
        <v>6.6</v>
      </c>
      <c r="J103" s="85">
        <f t="shared" si="7"/>
        <v>35.108481262327409</v>
      </c>
      <c r="K103" s="85">
        <f t="shared" si="6"/>
        <v>48.520710059171599</v>
      </c>
      <c r="L103" s="85">
        <f t="shared" si="8"/>
        <v>16.370808678500985</v>
      </c>
    </row>
    <row r="104" spans="2:12" ht="22.15" customHeight="1" x14ac:dyDescent="0.2">
      <c r="B104" s="84"/>
      <c r="C104" s="83"/>
      <c r="D104" s="82" t="s">
        <v>355</v>
      </c>
      <c r="E104" s="26" t="s">
        <v>361</v>
      </c>
      <c r="F104" s="26"/>
      <c r="G104" s="81">
        <v>9.77</v>
      </c>
      <c r="H104" s="81">
        <v>3.6</v>
      </c>
      <c r="I104" s="81">
        <v>6.34</v>
      </c>
      <c r="J104" s="80">
        <f t="shared" si="7"/>
        <v>35.796045785639954</v>
      </c>
      <c r="K104" s="80">
        <f t="shared" si="6"/>
        <v>48.491155046826229</v>
      </c>
      <c r="L104" s="80">
        <f t="shared" si="8"/>
        <v>15.712799167533817</v>
      </c>
    </row>
    <row r="105" spans="2:12" ht="22.15" customHeight="1" thickBot="1" x14ac:dyDescent="0.25">
      <c r="B105" s="79"/>
      <c r="C105" s="78"/>
      <c r="D105" s="77" t="s">
        <v>356</v>
      </c>
      <c r="E105" s="20" t="s">
        <v>361</v>
      </c>
      <c r="F105" s="20"/>
      <c r="G105" s="76">
        <v>9.57</v>
      </c>
      <c r="H105" s="76">
        <v>3.5</v>
      </c>
      <c r="I105" s="76">
        <v>6.16</v>
      </c>
      <c r="J105" s="75">
        <f t="shared" si="7"/>
        <v>35.494155154091388</v>
      </c>
      <c r="K105" s="75">
        <f t="shared" si="6"/>
        <v>47.608926673751334</v>
      </c>
      <c r="L105" s="75">
        <f t="shared" si="8"/>
        <v>16.896918172157278</v>
      </c>
    </row>
    <row r="106" spans="2:12" ht="22.15" customHeight="1" x14ac:dyDescent="0.2">
      <c r="B106" s="89" t="s">
        <v>380</v>
      </c>
      <c r="C106" s="88">
        <v>3</v>
      </c>
      <c r="D106" s="87" t="s">
        <v>354</v>
      </c>
      <c r="E106" s="31" t="s">
        <v>358</v>
      </c>
      <c r="F106" s="31"/>
      <c r="G106" s="86">
        <v>8.4</v>
      </c>
      <c r="H106" s="86">
        <v>3.06</v>
      </c>
      <c r="I106" s="86">
        <v>5.7</v>
      </c>
      <c r="J106" s="85">
        <f t="shared" si="7"/>
        <v>35.194174757281552</v>
      </c>
      <c r="K106" s="85">
        <f t="shared" si="6"/>
        <v>48.786407766990294</v>
      </c>
      <c r="L106" s="85">
        <f t="shared" si="8"/>
        <v>16.019417475728147</v>
      </c>
    </row>
    <row r="107" spans="2:12" ht="22.15" customHeight="1" x14ac:dyDescent="0.2">
      <c r="B107" s="84"/>
      <c r="C107" s="83"/>
      <c r="D107" s="82" t="s">
        <v>355</v>
      </c>
      <c r="E107" s="26" t="s">
        <v>358</v>
      </c>
      <c r="F107" s="26"/>
      <c r="G107" s="81">
        <v>9.2799999999999994</v>
      </c>
      <c r="H107" s="81">
        <v>3.44</v>
      </c>
      <c r="I107" s="81">
        <v>6.08</v>
      </c>
      <c r="J107" s="80">
        <f t="shared" si="7"/>
        <v>35.964912280701753</v>
      </c>
      <c r="K107" s="80">
        <f t="shared" si="6"/>
        <v>48.245614035087726</v>
      </c>
      <c r="L107" s="80">
        <f t="shared" si="8"/>
        <v>15.789473684210522</v>
      </c>
    </row>
    <row r="108" spans="2:12" ht="22.15" customHeight="1" thickBot="1" x14ac:dyDescent="0.25">
      <c r="B108" s="79"/>
      <c r="C108" s="78"/>
      <c r="D108" s="77" t="s">
        <v>356</v>
      </c>
      <c r="E108" s="20" t="s">
        <v>358</v>
      </c>
      <c r="F108" s="20"/>
      <c r="G108" s="76">
        <v>8.52</v>
      </c>
      <c r="H108" s="76">
        <v>3.12</v>
      </c>
      <c r="I108" s="76">
        <v>5.72</v>
      </c>
      <c r="J108" s="75">
        <f t="shared" si="7"/>
        <v>35.406698564593306</v>
      </c>
      <c r="K108" s="75">
        <f t="shared" si="6"/>
        <v>48.325358851674643</v>
      </c>
      <c r="L108" s="75">
        <f t="shared" si="8"/>
        <v>16.267942583732051</v>
      </c>
    </row>
    <row r="109" spans="2:12" ht="22.15" customHeight="1" x14ac:dyDescent="0.2">
      <c r="B109" s="89" t="s">
        <v>380</v>
      </c>
      <c r="C109" s="88">
        <v>4</v>
      </c>
      <c r="D109" s="87" t="s">
        <v>354</v>
      </c>
      <c r="E109" s="31" t="s">
        <v>359</v>
      </c>
      <c r="F109" s="31"/>
      <c r="G109" s="86">
        <v>8.86</v>
      </c>
      <c r="H109" s="86">
        <v>3.26</v>
      </c>
      <c r="I109" s="86">
        <v>5.88</v>
      </c>
      <c r="J109" s="85">
        <f t="shared" si="7"/>
        <v>35.632183908045981</v>
      </c>
      <c r="K109" s="85">
        <f t="shared" si="6"/>
        <v>48.275862068965523</v>
      </c>
      <c r="L109" s="85">
        <f t="shared" si="8"/>
        <v>16.091954022988499</v>
      </c>
    </row>
    <row r="110" spans="2:12" ht="22.15" customHeight="1" x14ac:dyDescent="0.2">
      <c r="B110" s="84"/>
      <c r="C110" s="83"/>
      <c r="D110" s="82" t="s">
        <v>355</v>
      </c>
      <c r="E110" s="26" t="s">
        <v>359</v>
      </c>
      <c r="F110" s="26"/>
      <c r="G110" s="81">
        <v>8.81</v>
      </c>
      <c r="H110" s="81">
        <v>3.34</v>
      </c>
      <c r="I110" s="81">
        <v>5.88</v>
      </c>
      <c r="J110" s="80">
        <f t="shared" si="7"/>
        <v>36.763005780346816</v>
      </c>
      <c r="K110" s="80">
        <f t="shared" si="6"/>
        <v>48.554913294797686</v>
      </c>
      <c r="L110" s="80">
        <f t="shared" si="8"/>
        <v>14.682080924855494</v>
      </c>
    </row>
    <row r="111" spans="2:12" ht="22.15" customHeight="1" thickBot="1" x14ac:dyDescent="0.25">
      <c r="B111" s="79"/>
      <c r="C111" s="78"/>
      <c r="D111" s="77" t="s">
        <v>356</v>
      </c>
      <c r="E111" s="20" t="s">
        <v>359</v>
      </c>
      <c r="F111" s="20"/>
      <c r="G111" s="76">
        <v>8.66</v>
      </c>
      <c r="H111" s="76">
        <v>3.24</v>
      </c>
      <c r="I111" s="76">
        <v>5.76</v>
      </c>
      <c r="J111" s="75">
        <f t="shared" si="7"/>
        <v>36.235294117647058</v>
      </c>
      <c r="K111" s="75">
        <f t="shared" si="6"/>
        <v>48</v>
      </c>
      <c r="L111" s="75">
        <f t="shared" si="8"/>
        <v>15.764705882352938</v>
      </c>
    </row>
    <row r="112" spans="2:12" ht="22.15" customHeight="1" x14ac:dyDescent="0.2">
      <c r="B112" s="89" t="s">
        <v>379</v>
      </c>
      <c r="C112" s="88">
        <v>1</v>
      </c>
      <c r="D112" s="87" t="s">
        <v>354</v>
      </c>
      <c r="E112" s="31" t="s">
        <v>374</v>
      </c>
      <c r="F112" s="31"/>
      <c r="G112" s="86">
        <v>7.86</v>
      </c>
      <c r="H112" s="86">
        <v>2.84</v>
      </c>
      <c r="I112" s="86">
        <v>5.38</v>
      </c>
      <c r="J112" s="85">
        <f t="shared" si="7"/>
        <v>34.805194805194802</v>
      </c>
      <c r="K112" s="85">
        <f t="shared" ref="K112:K143" si="9">((I112-1.68)/(G112-0.16))*100</f>
        <v>48.051948051948052</v>
      </c>
      <c r="L112" s="85">
        <f t="shared" si="8"/>
        <v>17.142857142857146</v>
      </c>
    </row>
    <row r="113" spans="2:12" ht="22.15" customHeight="1" x14ac:dyDescent="0.2">
      <c r="B113" s="18"/>
      <c r="C113" s="83"/>
      <c r="D113" s="82" t="s">
        <v>355</v>
      </c>
      <c r="E113" s="26" t="s">
        <v>374</v>
      </c>
      <c r="F113" s="26"/>
      <c r="G113" s="81">
        <v>9.3000000000000007</v>
      </c>
      <c r="H113" s="81">
        <v>3.36</v>
      </c>
      <c r="I113" s="81">
        <v>6.18</v>
      </c>
      <c r="J113" s="80">
        <f t="shared" si="7"/>
        <v>35.010940919037189</v>
      </c>
      <c r="K113" s="80">
        <f t="shared" si="9"/>
        <v>49.234135667396053</v>
      </c>
      <c r="L113" s="80">
        <f t="shared" si="8"/>
        <v>15.754923413566752</v>
      </c>
    </row>
    <row r="114" spans="2:12" ht="22.15" customHeight="1" thickBot="1" x14ac:dyDescent="0.25">
      <c r="B114" s="79"/>
      <c r="C114" s="78"/>
      <c r="D114" s="77" t="s">
        <v>356</v>
      </c>
      <c r="E114" s="20" t="s">
        <v>374</v>
      </c>
      <c r="F114" s="20"/>
      <c r="G114" s="76">
        <v>8.09</v>
      </c>
      <c r="H114" s="76">
        <v>2.88</v>
      </c>
      <c r="I114" s="76">
        <v>5.48</v>
      </c>
      <c r="J114" s="75">
        <f t="shared" si="7"/>
        <v>34.300126103404786</v>
      </c>
      <c r="K114" s="75">
        <f t="shared" si="9"/>
        <v>47.91929382093317</v>
      </c>
      <c r="L114" s="75">
        <f t="shared" si="8"/>
        <v>17.780580075662034</v>
      </c>
    </row>
    <row r="115" spans="2:12" ht="22.15" customHeight="1" x14ac:dyDescent="0.2">
      <c r="B115" s="89" t="s">
        <v>379</v>
      </c>
      <c r="C115" s="88">
        <v>2</v>
      </c>
      <c r="D115" s="87" t="s">
        <v>354</v>
      </c>
      <c r="E115" s="31" t="s">
        <v>353</v>
      </c>
      <c r="F115" s="31"/>
      <c r="G115" s="86">
        <v>7.98</v>
      </c>
      <c r="H115" s="86">
        <v>2.84</v>
      </c>
      <c r="I115" s="86">
        <v>5.36</v>
      </c>
      <c r="J115" s="85">
        <f t="shared" si="7"/>
        <v>34.271099744245518</v>
      </c>
      <c r="K115" s="85">
        <f t="shared" si="9"/>
        <v>47.058823529411768</v>
      </c>
      <c r="L115" s="85">
        <f t="shared" si="8"/>
        <v>18.67007672634271</v>
      </c>
    </row>
    <row r="116" spans="2:12" ht="22.15" customHeight="1" x14ac:dyDescent="0.2">
      <c r="B116" s="84"/>
      <c r="C116" s="83"/>
      <c r="D116" s="82" t="s">
        <v>355</v>
      </c>
      <c r="E116" s="26" t="s">
        <v>353</v>
      </c>
      <c r="F116" s="26"/>
      <c r="G116" s="81">
        <v>7.71</v>
      </c>
      <c r="H116" s="81">
        <v>2.74</v>
      </c>
      <c r="I116" s="81">
        <v>5.26</v>
      </c>
      <c r="J116" s="80">
        <f t="shared" si="7"/>
        <v>34.172185430463578</v>
      </c>
      <c r="K116" s="80">
        <f t="shared" si="9"/>
        <v>47.41721854304636</v>
      </c>
      <c r="L116" s="80">
        <f t="shared" si="8"/>
        <v>18.410596026490062</v>
      </c>
    </row>
    <row r="117" spans="2:12" ht="22.15" customHeight="1" thickBot="1" x14ac:dyDescent="0.25">
      <c r="B117" s="79"/>
      <c r="C117" s="78"/>
      <c r="D117" s="77" t="s">
        <v>356</v>
      </c>
      <c r="E117" s="20" t="s">
        <v>353</v>
      </c>
      <c r="F117" s="20"/>
      <c r="G117" s="76">
        <v>7.85</v>
      </c>
      <c r="H117" s="76">
        <v>2.8</v>
      </c>
      <c r="I117" s="76">
        <v>5.32</v>
      </c>
      <c r="J117" s="75">
        <f t="shared" si="7"/>
        <v>34.330299089726921</v>
      </c>
      <c r="K117" s="75">
        <f t="shared" si="9"/>
        <v>47.334200260078035</v>
      </c>
      <c r="L117" s="75">
        <f t="shared" si="8"/>
        <v>18.335500650195051</v>
      </c>
    </row>
    <row r="118" spans="2:12" ht="22.15" customHeight="1" x14ac:dyDescent="0.2">
      <c r="B118" s="89" t="s">
        <v>379</v>
      </c>
      <c r="C118" s="88">
        <v>3</v>
      </c>
      <c r="D118" s="87" t="s">
        <v>354</v>
      </c>
      <c r="E118" s="31" t="s">
        <v>370</v>
      </c>
      <c r="F118" s="31"/>
      <c r="G118" s="86">
        <v>8.8000000000000007</v>
      </c>
      <c r="H118" s="86">
        <v>3.24</v>
      </c>
      <c r="I118" s="86">
        <v>5.8</v>
      </c>
      <c r="J118" s="85">
        <f t="shared" si="7"/>
        <v>35.648148148148145</v>
      </c>
      <c r="K118" s="85">
        <f t="shared" si="9"/>
        <v>47.685185185185183</v>
      </c>
      <c r="L118" s="85">
        <f t="shared" si="8"/>
        <v>16.666666666666671</v>
      </c>
    </row>
    <row r="119" spans="2:12" ht="22.15" customHeight="1" x14ac:dyDescent="0.2">
      <c r="B119" s="84"/>
      <c r="C119" s="83"/>
      <c r="D119" s="82" t="s">
        <v>355</v>
      </c>
      <c r="E119" s="26" t="s">
        <v>370</v>
      </c>
      <c r="F119" s="26"/>
      <c r="G119" s="81">
        <v>9.26</v>
      </c>
      <c r="H119" s="81">
        <v>3.44</v>
      </c>
      <c r="I119" s="81">
        <v>6.08</v>
      </c>
      <c r="J119" s="80">
        <f t="shared" si="7"/>
        <v>36.043956043956044</v>
      </c>
      <c r="K119" s="80">
        <f t="shared" si="9"/>
        <v>48.351648351648358</v>
      </c>
      <c r="L119" s="80">
        <f t="shared" si="8"/>
        <v>15.604395604395604</v>
      </c>
    </row>
    <row r="120" spans="2:12" ht="22.15" customHeight="1" thickBot="1" x14ac:dyDescent="0.25">
      <c r="B120" s="79"/>
      <c r="C120" s="78"/>
      <c r="D120" s="77" t="s">
        <v>356</v>
      </c>
      <c r="E120" s="20" t="s">
        <v>370</v>
      </c>
      <c r="F120" s="20"/>
      <c r="G120" s="76">
        <v>8.77</v>
      </c>
      <c r="H120" s="76">
        <v>3.22</v>
      </c>
      <c r="I120" s="76">
        <v>5.86</v>
      </c>
      <c r="J120" s="75">
        <f t="shared" si="7"/>
        <v>35.540069686411151</v>
      </c>
      <c r="K120" s="75">
        <f t="shared" si="9"/>
        <v>48.548199767711978</v>
      </c>
      <c r="L120" s="75">
        <f t="shared" si="8"/>
        <v>15.911730545876868</v>
      </c>
    </row>
    <row r="121" spans="2:12" ht="22.15" customHeight="1" x14ac:dyDescent="0.2">
      <c r="B121" s="89" t="s">
        <v>379</v>
      </c>
      <c r="C121" s="88">
        <v>4</v>
      </c>
      <c r="D121" s="87" t="s">
        <v>354</v>
      </c>
      <c r="E121" s="31" t="s">
        <v>365</v>
      </c>
      <c r="F121" s="31"/>
      <c r="G121" s="86">
        <v>8.56</v>
      </c>
      <c r="H121" s="86">
        <v>3.16</v>
      </c>
      <c r="I121" s="86">
        <v>5.74</v>
      </c>
      <c r="J121" s="85">
        <f t="shared" si="7"/>
        <v>35.714285714285715</v>
      </c>
      <c r="K121" s="85">
        <f t="shared" si="9"/>
        <v>48.333333333333343</v>
      </c>
      <c r="L121" s="85">
        <f t="shared" si="8"/>
        <v>15.952380952380951</v>
      </c>
    </row>
    <row r="122" spans="2:12" ht="22.15" customHeight="1" x14ac:dyDescent="0.2">
      <c r="B122" s="84"/>
      <c r="C122" s="83"/>
      <c r="D122" s="82" t="s">
        <v>355</v>
      </c>
      <c r="E122" s="26" t="s">
        <v>365</v>
      </c>
      <c r="F122" s="26"/>
      <c r="G122" s="81">
        <v>7.48</v>
      </c>
      <c r="H122" s="81">
        <v>2.8</v>
      </c>
      <c r="I122" s="81">
        <v>5.28</v>
      </c>
      <c r="J122" s="80">
        <f t="shared" si="7"/>
        <v>36.065573770491795</v>
      </c>
      <c r="K122" s="80">
        <f t="shared" si="9"/>
        <v>49.180327868852466</v>
      </c>
      <c r="L122" s="80">
        <f t="shared" si="8"/>
        <v>14.754098360655737</v>
      </c>
    </row>
    <row r="123" spans="2:12" ht="22.15" customHeight="1" thickBot="1" x14ac:dyDescent="0.25">
      <c r="B123" s="79"/>
      <c r="C123" s="78"/>
      <c r="D123" s="77" t="s">
        <v>356</v>
      </c>
      <c r="E123" s="20" t="s">
        <v>365</v>
      </c>
      <c r="F123" s="20"/>
      <c r="G123" s="76">
        <v>9.14</v>
      </c>
      <c r="H123" s="76">
        <v>3.46</v>
      </c>
      <c r="I123" s="76">
        <v>6.02</v>
      </c>
      <c r="J123" s="75">
        <f t="shared" si="7"/>
        <v>36.74832962138084</v>
      </c>
      <c r="K123" s="75">
        <f t="shared" si="9"/>
        <v>48.329621380846319</v>
      </c>
      <c r="L123" s="75">
        <f t="shared" si="8"/>
        <v>14.922048997772835</v>
      </c>
    </row>
    <row r="124" spans="2:12" ht="22.15" customHeight="1" x14ac:dyDescent="0.2">
      <c r="B124" s="89" t="s">
        <v>378</v>
      </c>
      <c r="C124" s="88">
        <v>1</v>
      </c>
      <c r="D124" s="87" t="s">
        <v>354</v>
      </c>
      <c r="E124" s="31" t="s">
        <v>373</v>
      </c>
      <c r="F124" s="31"/>
      <c r="G124" s="86">
        <v>8.86</v>
      </c>
      <c r="H124" s="86">
        <v>3.24</v>
      </c>
      <c r="I124" s="86">
        <v>5.82</v>
      </c>
      <c r="J124" s="85">
        <f t="shared" si="7"/>
        <v>35.402298850574716</v>
      </c>
      <c r="K124" s="85">
        <f t="shared" si="9"/>
        <v>47.586206896551737</v>
      </c>
      <c r="L124" s="85">
        <f t="shared" si="8"/>
        <v>17.01149425287355</v>
      </c>
    </row>
    <row r="125" spans="2:12" ht="22.15" customHeight="1" x14ac:dyDescent="0.2">
      <c r="B125" s="84"/>
      <c r="C125" s="83"/>
      <c r="D125" s="82" t="s">
        <v>355</v>
      </c>
      <c r="E125" s="26" t="s">
        <v>373</v>
      </c>
      <c r="F125" s="26"/>
      <c r="G125" s="81">
        <v>9.7200000000000006</v>
      </c>
      <c r="H125" s="81">
        <v>3.54</v>
      </c>
      <c r="I125" s="81">
        <v>6.3</v>
      </c>
      <c r="J125" s="80">
        <f t="shared" si="7"/>
        <v>35.355648535564846</v>
      </c>
      <c r="K125" s="80">
        <f t="shared" si="9"/>
        <v>48.326359832635987</v>
      </c>
      <c r="L125" s="80">
        <f t="shared" si="8"/>
        <v>16.317991631799167</v>
      </c>
    </row>
    <row r="126" spans="2:12" ht="22.15" customHeight="1" thickBot="1" x14ac:dyDescent="0.25">
      <c r="B126" s="79"/>
      <c r="C126" s="78"/>
      <c r="D126" s="77" t="s">
        <v>356</v>
      </c>
      <c r="E126" s="20" t="s">
        <v>373</v>
      </c>
      <c r="F126" s="20"/>
      <c r="G126" s="76">
        <v>9.02</v>
      </c>
      <c r="H126" s="76">
        <v>3.26</v>
      </c>
      <c r="I126" s="76">
        <v>5.88</v>
      </c>
      <c r="J126" s="75">
        <f t="shared" ref="J126:J157" si="10">((H126-0.16)/(G126-0.16))*100</f>
        <v>34.988713318284418</v>
      </c>
      <c r="K126" s="75">
        <f t="shared" si="9"/>
        <v>47.404063205417614</v>
      </c>
      <c r="L126" s="75">
        <f t="shared" ref="L126:L157" si="11">(((G126-0.16)-(H126-0.16)-(I126-1.68))/(G126-0.16))*100</f>
        <v>17.607223476297964</v>
      </c>
    </row>
    <row r="127" spans="2:12" ht="22.15" customHeight="1" x14ac:dyDescent="0.2">
      <c r="B127" s="89" t="s">
        <v>378</v>
      </c>
      <c r="C127" s="88">
        <v>2</v>
      </c>
      <c r="D127" s="87" t="s">
        <v>354</v>
      </c>
      <c r="E127" s="31" t="s">
        <v>364</v>
      </c>
      <c r="F127" s="31"/>
      <c r="G127" s="86">
        <v>7.11</v>
      </c>
      <c r="H127" s="86">
        <v>2.52</v>
      </c>
      <c r="I127" s="86">
        <v>5</v>
      </c>
      <c r="J127" s="85">
        <f t="shared" si="10"/>
        <v>33.956834532374096</v>
      </c>
      <c r="K127" s="85">
        <f t="shared" si="9"/>
        <v>47.769784172661872</v>
      </c>
      <c r="L127" s="85">
        <f t="shared" si="11"/>
        <v>18.273381294964022</v>
      </c>
    </row>
    <row r="128" spans="2:12" ht="22.15" customHeight="1" x14ac:dyDescent="0.2">
      <c r="B128" s="84"/>
      <c r="C128" s="83"/>
      <c r="D128" s="82" t="s">
        <v>355</v>
      </c>
      <c r="E128" s="26" t="s">
        <v>364</v>
      </c>
      <c r="F128" s="26"/>
      <c r="G128" s="81">
        <v>7.84</v>
      </c>
      <c r="H128" s="81">
        <v>2.8</v>
      </c>
      <c r="I128" s="81">
        <v>5.38</v>
      </c>
      <c r="J128" s="80">
        <f t="shared" si="10"/>
        <v>34.374999999999993</v>
      </c>
      <c r="K128" s="80">
        <f t="shared" si="9"/>
        <v>48.177083333333336</v>
      </c>
      <c r="L128" s="80">
        <f t="shared" si="11"/>
        <v>17.447916666666664</v>
      </c>
    </row>
    <row r="129" spans="2:12" ht="22.15" customHeight="1" thickBot="1" x14ac:dyDescent="0.25">
      <c r="B129" s="79"/>
      <c r="C129" s="78"/>
      <c r="D129" s="77" t="s">
        <v>356</v>
      </c>
      <c r="E129" s="20" t="s">
        <v>364</v>
      </c>
      <c r="F129" s="20"/>
      <c r="G129" s="76">
        <v>7.96</v>
      </c>
      <c r="H129" s="76">
        <v>2.9</v>
      </c>
      <c r="I129" s="76">
        <v>5.46</v>
      </c>
      <c r="J129" s="75">
        <f t="shared" si="10"/>
        <v>35.128205128205124</v>
      </c>
      <c r="K129" s="75">
        <f t="shared" si="9"/>
        <v>48.461538461538467</v>
      </c>
      <c r="L129" s="75">
        <f t="shared" si="11"/>
        <v>16.410256410256412</v>
      </c>
    </row>
    <row r="130" spans="2:12" ht="22.15" customHeight="1" x14ac:dyDescent="0.2">
      <c r="B130" s="89" t="s">
        <v>378</v>
      </c>
      <c r="C130" s="88">
        <v>3</v>
      </c>
      <c r="D130" s="87" t="s">
        <v>354</v>
      </c>
      <c r="E130" s="31" t="s">
        <v>366</v>
      </c>
      <c r="F130" s="31"/>
      <c r="G130" s="86">
        <v>4.75</v>
      </c>
      <c r="H130" s="86">
        <v>1.72</v>
      </c>
      <c r="I130" s="86">
        <v>3.9</v>
      </c>
      <c r="J130" s="85">
        <f t="shared" si="10"/>
        <v>33.986928104575163</v>
      </c>
      <c r="K130" s="85">
        <f t="shared" si="9"/>
        <v>48.366013071895416</v>
      </c>
      <c r="L130" s="85">
        <f t="shared" si="11"/>
        <v>17.647058823529413</v>
      </c>
    </row>
    <row r="131" spans="2:12" ht="22.15" customHeight="1" x14ac:dyDescent="0.2">
      <c r="B131" s="84"/>
      <c r="C131" s="83"/>
      <c r="D131" s="82" t="s">
        <v>355</v>
      </c>
      <c r="E131" s="26" t="s">
        <v>366</v>
      </c>
      <c r="F131" s="26"/>
      <c r="G131" s="81">
        <v>5.58</v>
      </c>
      <c r="H131" s="81">
        <v>2.04</v>
      </c>
      <c r="I131" s="81">
        <v>4.3</v>
      </c>
      <c r="J131" s="80">
        <f t="shared" si="10"/>
        <v>34.686346863468636</v>
      </c>
      <c r="K131" s="80">
        <f t="shared" si="9"/>
        <v>48.339483394833948</v>
      </c>
      <c r="L131" s="80">
        <f t="shared" si="11"/>
        <v>16.974169741697416</v>
      </c>
    </row>
    <row r="132" spans="2:12" ht="22.15" customHeight="1" thickBot="1" x14ac:dyDescent="0.25">
      <c r="B132" s="79"/>
      <c r="C132" s="78"/>
      <c r="D132" s="77" t="s">
        <v>356</v>
      </c>
      <c r="E132" s="20" t="s">
        <v>366</v>
      </c>
      <c r="F132" s="20"/>
      <c r="G132" s="76">
        <v>5.53</v>
      </c>
      <c r="H132" s="76">
        <v>2.04</v>
      </c>
      <c r="I132" s="76">
        <v>4.32</v>
      </c>
      <c r="J132" s="75">
        <f t="shared" si="10"/>
        <v>35.009310986964621</v>
      </c>
      <c r="K132" s="75">
        <f t="shared" si="9"/>
        <v>49.162011173184368</v>
      </c>
      <c r="L132" s="75">
        <f t="shared" si="11"/>
        <v>15.828677839851018</v>
      </c>
    </row>
    <row r="133" spans="2:12" ht="22.15" customHeight="1" x14ac:dyDescent="0.2">
      <c r="B133" s="89" t="s">
        <v>378</v>
      </c>
      <c r="C133" s="88">
        <v>4</v>
      </c>
      <c r="D133" s="87" t="s">
        <v>354</v>
      </c>
      <c r="E133" s="31" t="s">
        <v>361</v>
      </c>
      <c r="F133" s="31"/>
      <c r="G133" s="86">
        <v>5.67</v>
      </c>
      <c r="H133" s="86">
        <v>2.06</v>
      </c>
      <c r="I133" s="86">
        <v>4.3600000000000003</v>
      </c>
      <c r="J133" s="85">
        <f t="shared" si="10"/>
        <v>34.482758620689658</v>
      </c>
      <c r="K133" s="85">
        <f t="shared" si="9"/>
        <v>48.638838475499107</v>
      </c>
      <c r="L133" s="85">
        <f t="shared" si="11"/>
        <v>16.878402903811232</v>
      </c>
    </row>
    <row r="134" spans="2:12" ht="22.15" customHeight="1" x14ac:dyDescent="0.2">
      <c r="B134" s="84"/>
      <c r="C134" s="83"/>
      <c r="D134" s="82" t="s">
        <v>355</v>
      </c>
      <c r="E134" s="26" t="s">
        <v>361</v>
      </c>
      <c r="F134" s="26"/>
      <c r="G134" s="81">
        <v>6.43</v>
      </c>
      <c r="H134" s="81">
        <v>2.34</v>
      </c>
      <c r="I134" s="81">
        <v>4.78</v>
      </c>
      <c r="J134" s="80">
        <f t="shared" si="10"/>
        <v>34.768740031897927</v>
      </c>
      <c r="K134" s="80">
        <f t="shared" si="9"/>
        <v>49.44178628389156</v>
      </c>
      <c r="L134" s="80">
        <f t="shared" si="11"/>
        <v>15.789473684210517</v>
      </c>
    </row>
    <row r="135" spans="2:12" ht="22.15" customHeight="1" thickBot="1" x14ac:dyDescent="0.25">
      <c r="B135" s="79"/>
      <c r="C135" s="78"/>
      <c r="D135" s="77" t="s">
        <v>356</v>
      </c>
      <c r="E135" s="20" t="s">
        <v>361</v>
      </c>
      <c r="F135" s="20"/>
      <c r="G135" s="76">
        <v>7.1</v>
      </c>
      <c r="H135" s="76">
        <v>2.6</v>
      </c>
      <c r="I135" s="76">
        <v>5</v>
      </c>
      <c r="J135" s="75">
        <f t="shared" si="10"/>
        <v>35.158501440922194</v>
      </c>
      <c r="K135" s="75">
        <f t="shared" si="9"/>
        <v>47.838616714697416</v>
      </c>
      <c r="L135" s="75">
        <f t="shared" si="11"/>
        <v>17.002881844380401</v>
      </c>
    </row>
    <row r="136" spans="2:12" ht="22.15" customHeight="1" x14ac:dyDescent="0.2">
      <c r="B136" s="89" t="s">
        <v>377</v>
      </c>
      <c r="C136" s="88">
        <v>1</v>
      </c>
      <c r="D136" s="87" t="s">
        <v>354</v>
      </c>
      <c r="E136" s="31" t="s">
        <v>369</v>
      </c>
      <c r="F136" s="31"/>
      <c r="G136" s="86">
        <v>5.82</v>
      </c>
      <c r="H136" s="86">
        <v>1.98</v>
      </c>
      <c r="I136" s="86">
        <v>4.34</v>
      </c>
      <c r="J136" s="85">
        <f t="shared" si="10"/>
        <v>32.155477031802121</v>
      </c>
      <c r="K136" s="85">
        <f t="shared" si="9"/>
        <v>46.996466431095406</v>
      </c>
      <c r="L136" s="85">
        <f t="shared" si="11"/>
        <v>20.848056537102469</v>
      </c>
    </row>
    <row r="137" spans="2:12" ht="22.15" customHeight="1" x14ac:dyDescent="0.2">
      <c r="B137" s="84"/>
      <c r="C137" s="83"/>
      <c r="D137" s="82" t="s">
        <v>355</v>
      </c>
      <c r="E137" s="26" t="s">
        <v>369</v>
      </c>
      <c r="F137" s="26"/>
      <c r="G137" s="81">
        <v>6.17</v>
      </c>
      <c r="H137" s="81">
        <v>2.16</v>
      </c>
      <c r="I137" s="81">
        <v>4.5599999999999996</v>
      </c>
      <c r="J137" s="80">
        <f t="shared" si="10"/>
        <v>33.277870216306162</v>
      </c>
      <c r="K137" s="80">
        <f t="shared" si="9"/>
        <v>47.920133111480865</v>
      </c>
      <c r="L137" s="80">
        <f t="shared" si="11"/>
        <v>18.801996672212979</v>
      </c>
    </row>
    <row r="138" spans="2:12" ht="22.15" customHeight="1" thickBot="1" x14ac:dyDescent="0.25">
      <c r="B138" s="79"/>
      <c r="C138" s="78"/>
      <c r="D138" s="77" t="s">
        <v>356</v>
      </c>
      <c r="E138" s="20" t="s">
        <v>369</v>
      </c>
      <c r="F138" s="20"/>
      <c r="G138" s="76">
        <v>6.53</v>
      </c>
      <c r="H138" s="76">
        <v>2.2799999999999998</v>
      </c>
      <c r="I138" s="76">
        <v>4.74</v>
      </c>
      <c r="J138" s="75">
        <f t="shared" si="10"/>
        <v>33.281004709576138</v>
      </c>
      <c r="K138" s="75">
        <f t="shared" si="9"/>
        <v>48.037676609105191</v>
      </c>
      <c r="L138" s="75">
        <f t="shared" si="11"/>
        <v>18.681318681318672</v>
      </c>
    </row>
    <row r="139" spans="2:12" ht="22.15" customHeight="1" x14ac:dyDescent="0.2">
      <c r="B139" s="89" t="s">
        <v>377</v>
      </c>
      <c r="C139" s="88">
        <v>2</v>
      </c>
      <c r="D139" s="87" t="s">
        <v>354</v>
      </c>
      <c r="E139" s="31" t="s">
        <v>359</v>
      </c>
      <c r="F139" s="31"/>
      <c r="G139" s="86">
        <v>7.42</v>
      </c>
      <c r="H139" s="86">
        <v>2.62</v>
      </c>
      <c r="I139" s="86">
        <v>5.14</v>
      </c>
      <c r="J139" s="85">
        <f t="shared" si="10"/>
        <v>33.884297520661157</v>
      </c>
      <c r="K139" s="85">
        <f t="shared" si="9"/>
        <v>47.658402203856745</v>
      </c>
      <c r="L139" s="85">
        <f t="shared" si="11"/>
        <v>18.457300275482091</v>
      </c>
    </row>
    <row r="140" spans="2:12" ht="22.15" customHeight="1" x14ac:dyDescent="0.2">
      <c r="B140" s="84"/>
      <c r="C140" s="83"/>
      <c r="D140" s="82" t="s">
        <v>355</v>
      </c>
      <c r="E140" s="26" t="s">
        <v>359</v>
      </c>
      <c r="F140" s="26"/>
      <c r="G140" s="81">
        <v>6.53</v>
      </c>
      <c r="H140" s="81">
        <v>2.2999999999999998</v>
      </c>
      <c r="I140" s="81">
        <v>4.74</v>
      </c>
      <c r="J140" s="80">
        <f t="shared" si="10"/>
        <v>33.594976452119305</v>
      </c>
      <c r="K140" s="80">
        <f t="shared" si="9"/>
        <v>48.037676609105191</v>
      </c>
      <c r="L140" s="80">
        <f t="shared" si="11"/>
        <v>18.367346938775508</v>
      </c>
    </row>
    <row r="141" spans="2:12" ht="22.15" customHeight="1" thickBot="1" x14ac:dyDescent="0.25">
      <c r="B141" s="79"/>
      <c r="C141" s="78"/>
      <c r="D141" s="77" t="s">
        <v>356</v>
      </c>
      <c r="E141" s="20" t="s">
        <v>359</v>
      </c>
      <c r="F141" s="20"/>
      <c r="G141" s="76">
        <v>7.91</v>
      </c>
      <c r="H141" s="76">
        <v>2.78</v>
      </c>
      <c r="I141" s="76">
        <v>5.36</v>
      </c>
      <c r="J141" s="75">
        <f t="shared" si="10"/>
        <v>33.806451612903224</v>
      </c>
      <c r="K141" s="75">
        <f t="shared" si="9"/>
        <v>47.483870967741943</v>
      </c>
      <c r="L141" s="75">
        <f t="shared" si="11"/>
        <v>18.709677419354843</v>
      </c>
    </row>
    <row r="142" spans="2:12" ht="22.15" customHeight="1" x14ac:dyDescent="0.2">
      <c r="B142" s="89" t="s">
        <v>377</v>
      </c>
      <c r="C142" s="88">
        <v>3</v>
      </c>
      <c r="D142" s="87" t="s">
        <v>354</v>
      </c>
      <c r="E142" s="31" t="s">
        <v>375</v>
      </c>
      <c r="F142" s="31"/>
      <c r="G142" s="86">
        <v>7.98</v>
      </c>
      <c r="H142" s="86">
        <v>2.9</v>
      </c>
      <c r="I142" s="86">
        <v>5.4</v>
      </c>
      <c r="J142" s="85">
        <f t="shared" si="10"/>
        <v>35.038363171355499</v>
      </c>
      <c r="K142" s="85">
        <f t="shared" si="9"/>
        <v>47.570332480818422</v>
      </c>
      <c r="L142" s="85">
        <f t="shared" si="11"/>
        <v>17.391304347826079</v>
      </c>
    </row>
    <row r="143" spans="2:12" ht="22.15" customHeight="1" x14ac:dyDescent="0.2">
      <c r="B143" s="84"/>
      <c r="C143" s="83"/>
      <c r="D143" s="82" t="s">
        <v>355</v>
      </c>
      <c r="E143" s="26" t="s">
        <v>375</v>
      </c>
      <c r="F143" s="26"/>
      <c r="G143" s="81">
        <v>8.27</v>
      </c>
      <c r="H143" s="81">
        <v>3.06</v>
      </c>
      <c r="I143" s="81">
        <v>5.58</v>
      </c>
      <c r="J143" s="80">
        <f t="shared" si="10"/>
        <v>35.758323057953149</v>
      </c>
      <c r="K143" s="80">
        <f t="shared" si="9"/>
        <v>48.088779284833549</v>
      </c>
      <c r="L143" s="80">
        <f t="shared" si="11"/>
        <v>16.152897657213302</v>
      </c>
    </row>
    <row r="144" spans="2:12" ht="22.15" customHeight="1" thickBot="1" x14ac:dyDescent="0.25">
      <c r="B144" s="79"/>
      <c r="C144" s="78"/>
      <c r="D144" s="77" t="s">
        <v>356</v>
      </c>
      <c r="E144" s="20" t="s">
        <v>375</v>
      </c>
      <c r="F144" s="20"/>
      <c r="G144" s="76">
        <v>7.75</v>
      </c>
      <c r="H144" s="76">
        <v>2.9</v>
      </c>
      <c r="I144" s="76">
        <v>5.32</v>
      </c>
      <c r="J144" s="75">
        <f t="shared" si="10"/>
        <v>36.100131752305664</v>
      </c>
      <c r="K144" s="75">
        <f t="shared" ref="K144:K175" si="12">((I144-1.68)/(G144-0.16))*100</f>
        <v>47.957839262187093</v>
      </c>
      <c r="L144" s="75">
        <f t="shared" si="11"/>
        <v>15.942028985507234</v>
      </c>
    </row>
    <row r="145" spans="2:12" ht="22.15" customHeight="1" x14ac:dyDescent="0.2">
      <c r="B145" s="89" t="s">
        <v>377</v>
      </c>
      <c r="C145" s="88">
        <v>4</v>
      </c>
      <c r="D145" s="87" t="s">
        <v>354</v>
      </c>
      <c r="E145" s="31" t="s">
        <v>363</v>
      </c>
      <c r="F145" s="31"/>
      <c r="G145" s="86">
        <v>8.1300000000000008</v>
      </c>
      <c r="H145" s="86">
        <v>2.96</v>
      </c>
      <c r="I145" s="86">
        <v>5.48</v>
      </c>
      <c r="J145" s="85">
        <f t="shared" si="10"/>
        <v>35.131744040150558</v>
      </c>
      <c r="K145" s="85">
        <f t="shared" si="12"/>
        <v>47.678795483061485</v>
      </c>
      <c r="L145" s="85">
        <f t="shared" si="11"/>
        <v>17.189460476787954</v>
      </c>
    </row>
    <row r="146" spans="2:12" ht="22.15" customHeight="1" x14ac:dyDescent="0.2">
      <c r="B146" s="84"/>
      <c r="C146" s="83"/>
      <c r="D146" s="82" t="s">
        <v>355</v>
      </c>
      <c r="E146" s="26" t="s">
        <v>363</v>
      </c>
      <c r="F146" s="26"/>
      <c r="G146" s="81">
        <v>5.68</v>
      </c>
      <c r="H146" s="81">
        <v>2.12</v>
      </c>
      <c r="I146" s="81">
        <v>4.38</v>
      </c>
      <c r="J146" s="80">
        <f t="shared" si="10"/>
        <v>35.507246376811601</v>
      </c>
      <c r="K146" s="80">
        <f t="shared" si="12"/>
        <v>48.913043478260875</v>
      </c>
      <c r="L146" s="80">
        <f t="shared" si="11"/>
        <v>15.579710144927528</v>
      </c>
    </row>
    <row r="147" spans="2:12" ht="22.15" customHeight="1" thickBot="1" x14ac:dyDescent="0.25">
      <c r="B147" s="79"/>
      <c r="C147" s="78"/>
      <c r="D147" s="77" t="s">
        <v>356</v>
      </c>
      <c r="E147" s="20" t="s">
        <v>363</v>
      </c>
      <c r="F147" s="20"/>
      <c r="G147" s="76">
        <v>7.85</v>
      </c>
      <c r="H147" s="76">
        <v>2.92</v>
      </c>
      <c r="I147" s="76">
        <v>5.46</v>
      </c>
      <c r="J147" s="75">
        <f t="shared" si="10"/>
        <v>35.890767230169054</v>
      </c>
      <c r="K147" s="75">
        <f t="shared" si="12"/>
        <v>49.154746423927186</v>
      </c>
      <c r="L147" s="75">
        <f t="shared" si="11"/>
        <v>14.954486345903764</v>
      </c>
    </row>
    <row r="148" spans="2:12" ht="22.15" customHeight="1" x14ac:dyDescent="0.2">
      <c r="B148" s="89" t="s">
        <v>376</v>
      </c>
      <c r="C148" s="88">
        <v>1</v>
      </c>
      <c r="D148" s="87" t="s">
        <v>354</v>
      </c>
      <c r="E148" s="31" t="s">
        <v>368</v>
      </c>
      <c r="F148" s="31"/>
      <c r="G148" s="86">
        <v>9.67</v>
      </c>
      <c r="H148" s="86">
        <v>3.42</v>
      </c>
      <c r="I148" s="86">
        <v>6.22</v>
      </c>
      <c r="J148" s="85">
        <f t="shared" si="10"/>
        <v>34.279705573080967</v>
      </c>
      <c r="K148" s="85">
        <f t="shared" si="12"/>
        <v>47.739221871713987</v>
      </c>
      <c r="L148" s="85">
        <f t="shared" si="11"/>
        <v>17.981072555205046</v>
      </c>
    </row>
    <row r="149" spans="2:12" ht="22.15" customHeight="1" x14ac:dyDescent="0.2">
      <c r="B149" s="84"/>
      <c r="C149" s="83"/>
      <c r="D149" s="82" t="s">
        <v>355</v>
      </c>
      <c r="E149" s="26" t="s">
        <v>368</v>
      </c>
      <c r="F149" s="26"/>
      <c r="G149" s="81">
        <v>9.26</v>
      </c>
      <c r="H149" s="81">
        <v>3.34</v>
      </c>
      <c r="I149" s="81">
        <v>6.06</v>
      </c>
      <c r="J149" s="80">
        <f t="shared" si="10"/>
        <v>34.945054945054942</v>
      </c>
      <c r="K149" s="80">
        <f t="shared" si="12"/>
        <v>48.131868131868131</v>
      </c>
      <c r="L149" s="80">
        <f t="shared" si="11"/>
        <v>16.923076923076923</v>
      </c>
    </row>
    <row r="150" spans="2:12" ht="22.15" customHeight="1" thickBot="1" x14ac:dyDescent="0.25">
      <c r="B150" s="79"/>
      <c r="C150" s="78"/>
      <c r="D150" s="77" t="s">
        <v>356</v>
      </c>
      <c r="E150" s="20" t="s">
        <v>368</v>
      </c>
      <c r="F150" s="20"/>
      <c r="G150" s="76">
        <v>9.18</v>
      </c>
      <c r="H150" s="76">
        <v>3.28</v>
      </c>
      <c r="I150" s="76">
        <v>5.94</v>
      </c>
      <c r="J150" s="75">
        <f t="shared" si="10"/>
        <v>34.589800443458977</v>
      </c>
      <c r="K150" s="75">
        <f t="shared" si="12"/>
        <v>47.228381374722851</v>
      </c>
      <c r="L150" s="75">
        <f t="shared" si="11"/>
        <v>18.18181818181818</v>
      </c>
    </row>
    <row r="151" spans="2:12" ht="22.15" customHeight="1" x14ac:dyDescent="0.2">
      <c r="B151" s="89" t="s">
        <v>376</v>
      </c>
      <c r="C151" s="88">
        <v>2</v>
      </c>
      <c r="D151" s="87" t="s">
        <v>354</v>
      </c>
      <c r="E151" s="31" t="s">
        <v>371</v>
      </c>
      <c r="F151" s="31"/>
      <c r="G151" s="86">
        <v>8.82</v>
      </c>
      <c r="H151" s="86">
        <v>3.1</v>
      </c>
      <c r="I151" s="86">
        <v>5.78</v>
      </c>
      <c r="J151" s="85">
        <f t="shared" si="10"/>
        <v>33.94919168591224</v>
      </c>
      <c r="K151" s="85">
        <f t="shared" si="12"/>
        <v>47.344110854503469</v>
      </c>
      <c r="L151" s="85">
        <f t="shared" si="11"/>
        <v>18.706697459584294</v>
      </c>
    </row>
    <row r="152" spans="2:12" ht="22.15" customHeight="1" x14ac:dyDescent="0.2">
      <c r="B152" s="84"/>
      <c r="C152" s="83"/>
      <c r="D152" s="82" t="s">
        <v>355</v>
      </c>
      <c r="E152" s="26" t="s">
        <v>371</v>
      </c>
      <c r="F152" s="26"/>
      <c r="G152" s="81">
        <v>7.96</v>
      </c>
      <c r="H152" s="81">
        <v>2.84</v>
      </c>
      <c r="I152" s="81">
        <v>5.44</v>
      </c>
      <c r="J152" s="80">
        <f t="shared" si="10"/>
        <v>34.358974358974351</v>
      </c>
      <c r="K152" s="80">
        <f t="shared" si="12"/>
        <v>48.205128205128219</v>
      </c>
      <c r="L152" s="80">
        <f t="shared" si="11"/>
        <v>17.435897435897431</v>
      </c>
    </row>
    <row r="153" spans="2:12" ht="22.15" customHeight="1" thickBot="1" x14ac:dyDescent="0.25">
      <c r="B153" s="79"/>
      <c r="C153" s="78"/>
      <c r="D153" s="77" t="s">
        <v>356</v>
      </c>
      <c r="E153" s="20" t="s">
        <v>371</v>
      </c>
      <c r="F153" s="20"/>
      <c r="G153" s="76">
        <v>7.88</v>
      </c>
      <c r="H153" s="76">
        <v>2.8</v>
      </c>
      <c r="I153" s="76">
        <v>5.34</v>
      </c>
      <c r="J153" s="75">
        <f t="shared" si="10"/>
        <v>34.196891191709845</v>
      </c>
      <c r="K153" s="75">
        <f t="shared" si="12"/>
        <v>47.409326424870471</v>
      </c>
      <c r="L153" s="75">
        <f t="shared" si="11"/>
        <v>18.393782383419687</v>
      </c>
    </row>
    <row r="154" spans="2:12" ht="22.15" customHeight="1" x14ac:dyDescent="0.2">
      <c r="B154" s="89" t="s">
        <v>376</v>
      </c>
      <c r="C154" s="88">
        <v>3</v>
      </c>
      <c r="D154" s="87" t="s">
        <v>354</v>
      </c>
      <c r="E154" s="31" t="s">
        <v>360</v>
      </c>
      <c r="F154" s="31"/>
      <c r="G154" s="86">
        <v>7.48</v>
      </c>
      <c r="H154" s="86">
        <v>2.66</v>
      </c>
      <c r="I154" s="86">
        <v>5.2</v>
      </c>
      <c r="J154" s="85">
        <f t="shared" si="10"/>
        <v>34.15300546448087</v>
      </c>
      <c r="K154" s="85">
        <f t="shared" si="12"/>
        <v>48.087431693989075</v>
      </c>
      <c r="L154" s="85">
        <f t="shared" si="11"/>
        <v>17.759562841530052</v>
      </c>
    </row>
    <row r="155" spans="2:12" ht="22.15" customHeight="1" x14ac:dyDescent="0.2">
      <c r="B155" s="84"/>
      <c r="C155" s="83"/>
      <c r="D155" s="82" t="s">
        <v>355</v>
      </c>
      <c r="E155" s="26" t="s">
        <v>360</v>
      </c>
      <c r="F155" s="26"/>
      <c r="G155" s="81">
        <v>7.77</v>
      </c>
      <c r="H155" s="81">
        <v>2.76</v>
      </c>
      <c r="I155" s="81">
        <v>5.36</v>
      </c>
      <c r="J155" s="80">
        <f t="shared" si="10"/>
        <v>34.165571616294351</v>
      </c>
      <c r="K155" s="80">
        <f t="shared" si="12"/>
        <v>48.357424441524323</v>
      </c>
      <c r="L155" s="80">
        <f t="shared" si="11"/>
        <v>17.477003942181334</v>
      </c>
    </row>
    <row r="156" spans="2:12" ht="22.15" customHeight="1" thickBot="1" x14ac:dyDescent="0.25">
      <c r="B156" s="79"/>
      <c r="C156" s="78"/>
      <c r="D156" s="77" t="s">
        <v>356</v>
      </c>
      <c r="E156" s="20" t="s">
        <v>360</v>
      </c>
      <c r="F156" s="20"/>
      <c r="G156" s="76">
        <v>7.33</v>
      </c>
      <c r="H156" s="76">
        <v>2.62</v>
      </c>
      <c r="I156" s="76">
        <v>5.0999999999999996</v>
      </c>
      <c r="J156" s="75">
        <f t="shared" si="10"/>
        <v>34.309623430962347</v>
      </c>
      <c r="K156" s="75">
        <f t="shared" si="12"/>
        <v>47.698744769874473</v>
      </c>
      <c r="L156" s="75">
        <f t="shared" si="11"/>
        <v>17.99163179916318</v>
      </c>
    </row>
    <row r="157" spans="2:12" ht="22.15" customHeight="1" x14ac:dyDescent="0.2">
      <c r="B157" s="89" t="s">
        <v>376</v>
      </c>
      <c r="C157" s="88">
        <v>4</v>
      </c>
      <c r="D157" s="87" t="s">
        <v>354</v>
      </c>
      <c r="E157" s="31" t="s">
        <v>358</v>
      </c>
      <c r="F157" s="31"/>
      <c r="G157" s="86">
        <v>8.6999999999999993</v>
      </c>
      <c r="H157" s="86">
        <v>3.18</v>
      </c>
      <c r="I157" s="86">
        <v>5.7</v>
      </c>
      <c r="J157" s="85">
        <f t="shared" si="10"/>
        <v>35.362997658079628</v>
      </c>
      <c r="K157" s="85">
        <f t="shared" si="12"/>
        <v>47.072599531615936</v>
      </c>
      <c r="L157" s="85">
        <f t="shared" si="11"/>
        <v>17.56440281030444</v>
      </c>
    </row>
    <row r="158" spans="2:12" ht="22.15" customHeight="1" x14ac:dyDescent="0.2">
      <c r="B158" s="84"/>
      <c r="C158" s="83"/>
      <c r="D158" s="82" t="s">
        <v>355</v>
      </c>
      <c r="E158" s="26" t="s">
        <v>358</v>
      </c>
      <c r="F158" s="26"/>
      <c r="G158" s="81">
        <v>8.57</v>
      </c>
      <c r="H158" s="81">
        <v>3.32</v>
      </c>
      <c r="I158" s="81">
        <v>7.46</v>
      </c>
      <c r="J158" s="80">
        <f t="shared" ref="J158:J189" si="13">((H158-0.16)/(G158-0.16))*100</f>
        <v>37.574316290130795</v>
      </c>
      <c r="K158" s="80">
        <f t="shared" si="12"/>
        <v>68.727705112960763</v>
      </c>
      <c r="L158" s="80">
        <f t="shared" ref="L158:L189" si="14">(((G158-0.16)-(H158-0.16)-(I158-1.68))/(G158-0.16))*100</f>
        <v>-6.3020214030915609</v>
      </c>
    </row>
    <row r="159" spans="2:12" ht="22.15" customHeight="1" thickBot="1" x14ac:dyDescent="0.25">
      <c r="B159" s="79"/>
      <c r="C159" s="78"/>
      <c r="D159" s="77" t="s">
        <v>356</v>
      </c>
      <c r="E159" s="20" t="s">
        <v>358</v>
      </c>
      <c r="F159" s="20"/>
      <c r="G159" s="76">
        <v>9.31</v>
      </c>
      <c r="H159" s="76">
        <v>3.46</v>
      </c>
      <c r="I159" s="76">
        <v>6.1</v>
      </c>
      <c r="J159" s="75">
        <f t="shared" si="13"/>
        <v>36.065573770491795</v>
      </c>
      <c r="K159" s="75">
        <f t="shared" si="12"/>
        <v>48.306010928961747</v>
      </c>
      <c r="L159" s="75">
        <f t="shared" si="14"/>
        <v>15.628415300546456</v>
      </c>
    </row>
    <row r="160" spans="2:12" ht="22.15" customHeight="1" x14ac:dyDescent="0.2">
      <c r="B160" s="89" t="s">
        <v>372</v>
      </c>
      <c r="C160" s="88">
        <v>1</v>
      </c>
      <c r="D160" s="87" t="s">
        <v>354</v>
      </c>
      <c r="E160" s="31" t="s">
        <v>375</v>
      </c>
      <c r="F160" s="31"/>
      <c r="G160" s="86">
        <v>9.77</v>
      </c>
      <c r="H160" s="86">
        <v>3.46</v>
      </c>
      <c r="I160" s="86">
        <v>6.2</v>
      </c>
      <c r="J160" s="85">
        <f t="shared" si="13"/>
        <v>34.339229968782519</v>
      </c>
      <c r="K160" s="85">
        <f t="shared" si="12"/>
        <v>47.034339229968793</v>
      </c>
      <c r="L160" s="85">
        <f t="shared" si="14"/>
        <v>18.626430801248691</v>
      </c>
    </row>
    <row r="161" spans="2:16" ht="22.15" customHeight="1" x14ac:dyDescent="0.2">
      <c r="B161" s="18"/>
      <c r="C161" s="83"/>
      <c r="D161" s="82" t="s">
        <v>355</v>
      </c>
      <c r="E161" s="26" t="s">
        <v>375</v>
      </c>
      <c r="F161" s="26"/>
      <c r="G161" s="81">
        <v>8.83</v>
      </c>
      <c r="H161" s="81">
        <v>3.18</v>
      </c>
      <c r="I161" s="81">
        <v>5.88</v>
      </c>
      <c r="J161" s="80">
        <f t="shared" si="13"/>
        <v>34.832756632064594</v>
      </c>
      <c r="K161" s="80">
        <f t="shared" si="12"/>
        <v>48.44290657439447</v>
      </c>
      <c r="L161" s="80">
        <f t="shared" si="14"/>
        <v>16.724336793540946</v>
      </c>
    </row>
    <row r="162" spans="2:16" ht="22.15" customHeight="1" thickBot="1" x14ac:dyDescent="0.25">
      <c r="B162" s="79"/>
      <c r="C162" s="78"/>
      <c r="D162" s="77" t="s">
        <v>356</v>
      </c>
      <c r="E162" s="20" t="s">
        <v>375</v>
      </c>
      <c r="F162" s="20"/>
      <c r="G162" s="76">
        <v>9.1300000000000008</v>
      </c>
      <c r="H162" s="76">
        <v>3.22</v>
      </c>
      <c r="I162" s="76">
        <v>5.96</v>
      </c>
      <c r="J162" s="75">
        <f t="shared" si="13"/>
        <v>34.113712374581937</v>
      </c>
      <c r="K162" s="75">
        <f t="shared" si="12"/>
        <v>47.714604236343369</v>
      </c>
      <c r="L162" s="75">
        <f t="shared" si="14"/>
        <v>18.17168338907469</v>
      </c>
    </row>
    <row r="163" spans="2:16" ht="22.15" customHeight="1" x14ac:dyDescent="0.2">
      <c r="B163" s="89" t="s">
        <v>372</v>
      </c>
      <c r="C163" s="88">
        <v>2</v>
      </c>
      <c r="D163" s="87" t="s">
        <v>354</v>
      </c>
      <c r="E163" s="31" t="s">
        <v>374</v>
      </c>
      <c r="F163" s="31"/>
      <c r="G163" s="86">
        <v>8.9600000000000009</v>
      </c>
      <c r="H163" s="90">
        <v>3.24</v>
      </c>
      <c r="I163" s="86">
        <v>5.9</v>
      </c>
      <c r="J163" s="85">
        <f t="shared" si="13"/>
        <v>35</v>
      </c>
      <c r="K163" s="85">
        <f t="shared" si="12"/>
        <v>47.954545454545453</v>
      </c>
      <c r="L163" s="85">
        <f t="shared" si="14"/>
        <v>17.045454545454543</v>
      </c>
      <c r="M163" s="163" t="s">
        <v>415</v>
      </c>
      <c r="N163" s="164"/>
      <c r="O163" s="164"/>
      <c r="P163" s="164"/>
    </row>
    <row r="164" spans="2:16" ht="22.15" customHeight="1" x14ac:dyDescent="0.2">
      <c r="B164" s="84"/>
      <c r="C164" s="83"/>
      <c r="D164" s="82" t="s">
        <v>355</v>
      </c>
      <c r="E164" s="26" t="s">
        <v>374</v>
      </c>
      <c r="F164" s="26"/>
      <c r="G164" s="81">
        <v>7.97</v>
      </c>
      <c r="H164" s="81">
        <v>2.8</v>
      </c>
      <c r="I164" s="81">
        <v>5.46</v>
      </c>
      <c r="J164" s="80">
        <f t="shared" si="13"/>
        <v>33.802816901408448</v>
      </c>
      <c r="K164" s="80">
        <f t="shared" si="12"/>
        <v>48.399487836107561</v>
      </c>
      <c r="L164" s="80">
        <f t="shared" si="14"/>
        <v>17.797695262483991</v>
      </c>
    </row>
    <row r="165" spans="2:16" ht="22.15" customHeight="1" thickBot="1" x14ac:dyDescent="0.25">
      <c r="B165" s="79"/>
      <c r="C165" s="78"/>
      <c r="D165" s="77" t="s">
        <v>356</v>
      </c>
      <c r="E165" s="20" t="s">
        <v>374</v>
      </c>
      <c r="F165" s="20"/>
      <c r="G165" s="76">
        <v>8.57</v>
      </c>
      <c r="H165" s="76">
        <v>2.98</v>
      </c>
      <c r="I165" s="76">
        <v>5.66</v>
      </c>
      <c r="J165" s="75">
        <f t="shared" si="13"/>
        <v>33.531510107015457</v>
      </c>
      <c r="K165" s="75">
        <f t="shared" si="12"/>
        <v>47.324613555291322</v>
      </c>
      <c r="L165" s="75">
        <f t="shared" si="14"/>
        <v>19.143876337693218</v>
      </c>
    </row>
    <row r="166" spans="2:16" ht="22.15" customHeight="1" x14ac:dyDescent="0.2">
      <c r="B166" s="89" t="s">
        <v>372</v>
      </c>
      <c r="C166" s="88">
        <v>3</v>
      </c>
      <c r="D166" s="87" t="s">
        <v>354</v>
      </c>
      <c r="E166" s="31" t="s">
        <v>373</v>
      </c>
      <c r="F166" s="31"/>
      <c r="G166" s="86">
        <v>5.72</v>
      </c>
      <c r="H166" s="86">
        <v>1.94</v>
      </c>
      <c r="I166" s="86">
        <v>4.28</v>
      </c>
      <c r="J166" s="85">
        <f t="shared" si="13"/>
        <v>32.014388489208635</v>
      </c>
      <c r="K166" s="85">
        <f t="shared" si="12"/>
        <v>46.762589928057565</v>
      </c>
      <c r="L166" s="85">
        <f t="shared" si="14"/>
        <v>21.223021582733793</v>
      </c>
    </row>
    <row r="167" spans="2:16" ht="22.15" customHeight="1" x14ac:dyDescent="0.2">
      <c r="B167" s="84"/>
      <c r="C167" s="83"/>
      <c r="D167" s="82" t="s">
        <v>355</v>
      </c>
      <c r="E167" s="26" t="s">
        <v>373</v>
      </c>
      <c r="F167" s="26"/>
      <c r="G167" s="81">
        <v>5.32</v>
      </c>
      <c r="H167" s="81">
        <v>1.84</v>
      </c>
      <c r="I167" s="81">
        <v>4.12</v>
      </c>
      <c r="J167" s="80">
        <f t="shared" si="13"/>
        <v>32.558139534883722</v>
      </c>
      <c r="K167" s="80">
        <f t="shared" si="12"/>
        <v>47.286821705426362</v>
      </c>
      <c r="L167" s="80">
        <f t="shared" si="14"/>
        <v>20.155038759689916</v>
      </c>
    </row>
    <row r="168" spans="2:16" ht="22.15" customHeight="1" thickBot="1" x14ac:dyDescent="0.25">
      <c r="B168" s="79"/>
      <c r="C168" s="78"/>
      <c r="D168" s="77" t="s">
        <v>356</v>
      </c>
      <c r="E168" s="20" t="s">
        <v>373</v>
      </c>
      <c r="F168" s="20"/>
      <c r="G168" s="76">
        <v>6.9</v>
      </c>
      <c r="H168" s="76">
        <v>2.4</v>
      </c>
      <c r="I168" s="76">
        <v>4.9400000000000004</v>
      </c>
      <c r="J168" s="75">
        <f t="shared" si="13"/>
        <v>33.234421364985153</v>
      </c>
      <c r="K168" s="75">
        <f t="shared" si="12"/>
        <v>48.367952522255202</v>
      </c>
      <c r="L168" s="75">
        <f t="shared" si="14"/>
        <v>18.397626112759632</v>
      </c>
    </row>
    <row r="169" spans="2:16" ht="22.15" customHeight="1" x14ac:dyDescent="0.2">
      <c r="B169" s="89" t="s">
        <v>372</v>
      </c>
      <c r="C169" s="88">
        <v>4</v>
      </c>
      <c r="D169" s="87" t="s">
        <v>354</v>
      </c>
      <c r="E169" s="31" t="s">
        <v>371</v>
      </c>
      <c r="F169" s="31"/>
      <c r="G169" s="86">
        <v>8.1999999999999993</v>
      </c>
      <c r="H169" s="86">
        <v>2.92</v>
      </c>
      <c r="I169" s="86">
        <v>5.52</v>
      </c>
      <c r="J169" s="85">
        <f t="shared" si="13"/>
        <v>34.328358208955223</v>
      </c>
      <c r="K169" s="85">
        <f t="shared" si="12"/>
        <v>47.761194029850749</v>
      </c>
      <c r="L169" s="85">
        <f t="shared" si="14"/>
        <v>17.910447761194025</v>
      </c>
    </row>
    <row r="170" spans="2:16" ht="22.15" customHeight="1" x14ac:dyDescent="0.2">
      <c r="B170" s="84"/>
      <c r="C170" s="83"/>
      <c r="D170" s="82" t="s">
        <v>355</v>
      </c>
      <c r="E170" s="26" t="s">
        <v>371</v>
      </c>
      <c r="F170" s="26"/>
      <c r="G170" s="81">
        <v>8.73</v>
      </c>
      <c r="H170" s="81">
        <v>3.12</v>
      </c>
      <c r="I170" s="81">
        <v>5.84</v>
      </c>
      <c r="J170" s="80">
        <f t="shared" si="13"/>
        <v>34.539089848308052</v>
      </c>
      <c r="K170" s="80">
        <f t="shared" si="12"/>
        <v>48.5414235705951</v>
      </c>
      <c r="L170" s="80">
        <f t="shared" si="14"/>
        <v>16.919486581096852</v>
      </c>
    </row>
    <row r="171" spans="2:16" ht="22.15" customHeight="1" thickBot="1" x14ac:dyDescent="0.25">
      <c r="B171" s="79"/>
      <c r="C171" s="78"/>
      <c r="D171" s="77" t="s">
        <v>356</v>
      </c>
      <c r="E171" s="20" t="s">
        <v>371</v>
      </c>
      <c r="F171" s="20"/>
      <c r="G171" s="76">
        <v>7.11</v>
      </c>
      <c r="H171" s="76">
        <v>2.6</v>
      </c>
      <c r="I171" s="76">
        <v>5.0199999999999996</v>
      </c>
      <c r="J171" s="75">
        <f t="shared" si="13"/>
        <v>35.107913669064743</v>
      </c>
      <c r="K171" s="75">
        <f t="shared" si="12"/>
        <v>48.057553956834532</v>
      </c>
      <c r="L171" s="75">
        <f t="shared" si="14"/>
        <v>16.834532374100718</v>
      </c>
    </row>
    <row r="172" spans="2:16" ht="22.15" customHeight="1" x14ac:dyDescent="0.2">
      <c r="B172" s="89" t="s">
        <v>367</v>
      </c>
      <c r="C172" s="88">
        <v>1</v>
      </c>
      <c r="D172" s="87" t="s">
        <v>354</v>
      </c>
      <c r="E172" s="31" t="s">
        <v>370</v>
      </c>
      <c r="F172" s="31"/>
      <c r="G172" s="86">
        <v>7.98</v>
      </c>
      <c r="H172" s="86">
        <v>2.82</v>
      </c>
      <c r="I172" s="86">
        <v>5.48</v>
      </c>
      <c r="J172" s="85">
        <f t="shared" si="13"/>
        <v>34.015345268542198</v>
      </c>
      <c r="K172" s="85">
        <f t="shared" si="12"/>
        <v>48.593350383631723</v>
      </c>
      <c r="L172" s="85">
        <f t="shared" si="14"/>
        <v>17.391304347826079</v>
      </c>
    </row>
    <row r="173" spans="2:16" ht="22.15" customHeight="1" x14ac:dyDescent="0.2">
      <c r="B173" s="84"/>
      <c r="C173" s="83"/>
      <c r="D173" s="82" t="s">
        <v>355</v>
      </c>
      <c r="E173" s="26" t="s">
        <v>370</v>
      </c>
      <c r="F173" s="26"/>
      <c r="G173" s="81">
        <v>7.64</v>
      </c>
      <c r="H173" s="81">
        <v>2.74</v>
      </c>
      <c r="I173" s="81">
        <v>5.26</v>
      </c>
      <c r="J173" s="80">
        <f t="shared" si="13"/>
        <v>34.491978609625676</v>
      </c>
      <c r="K173" s="80">
        <f t="shared" si="12"/>
        <v>47.860962566844925</v>
      </c>
      <c r="L173" s="80">
        <f t="shared" si="14"/>
        <v>17.647058823529406</v>
      </c>
    </row>
    <row r="174" spans="2:16" ht="22.15" customHeight="1" thickBot="1" x14ac:dyDescent="0.25">
      <c r="B174" s="79"/>
      <c r="C174" s="78"/>
      <c r="D174" s="77" t="s">
        <v>356</v>
      </c>
      <c r="E174" s="20" t="s">
        <v>370</v>
      </c>
      <c r="F174" s="20"/>
      <c r="G174" s="76">
        <v>8.7899999999999991</v>
      </c>
      <c r="H174" s="76">
        <v>3.14</v>
      </c>
      <c r="I174" s="76">
        <v>5.74</v>
      </c>
      <c r="J174" s="75">
        <f t="shared" si="13"/>
        <v>34.53070683661646</v>
      </c>
      <c r="K174" s="75">
        <f t="shared" si="12"/>
        <v>47.045191193511023</v>
      </c>
      <c r="L174" s="75">
        <f t="shared" si="14"/>
        <v>18.424101969872517</v>
      </c>
    </row>
    <row r="175" spans="2:16" ht="22.15" customHeight="1" x14ac:dyDescent="0.2">
      <c r="B175" s="89" t="s">
        <v>367</v>
      </c>
      <c r="C175" s="88">
        <v>2</v>
      </c>
      <c r="D175" s="87" t="s">
        <v>354</v>
      </c>
      <c r="E175" s="31" t="s">
        <v>369</v>
      </c>
      <c r="F175" s="31"/>
      <c r="G175" s="86">
        <v>9.94</v>
      </c>
      <c r="H175" s="86">
        <v>3.62</v>
      </c>
      <c r="I175" s="86">
        <v>6.28</v>
      </c>
      <c r="J175" s="85">
        <f t="shared" si="13"/>
        <v>35.378323108384457</v>
      </c>
      <c r="K175" s="85">
        <f t="shared" si="12"/>
        <v>47.034764826175881</v>
      </c>
      <c r="L175" s="85">
        <f t="shared" si="14"/>
        <v>17.586912065439662</v>
      </c>
    </row>
    <row r="176" spans="2:16" ht="22.15" customHeight="1" x14ac:dyDescent="0.2">
      <c r="B176" s="84"/>
      <c r="C176" s="83"/>
      <c r="D176" s="82" t="s">
        <v>355</v>
      </c>
      <c r="E176" s="26" t="s">
        <v>369</v>
      </c>
      <c r="F176" s="26"/>
      <c r="G176" s="81">
        <v>10.220000000000001</v>
      </c>
      <c r="H176" s="81">
        <v>3.72</v>
      </c>
      <c r="I176" s="81">
        <v>6.44</v>
      </c>
      <c r="J176" s="80">
        <f t="shared" si="13"/>
        <v>35.387673956262425</v>
      </c>
      <c r="K176" s="80">
        <f t="shared" ref="K176:K207" si="15">((I176-1.68)/(G176-0.16))*100</f>
        <v>47.316103379721675</v>
      </c>
      <c r="L176" s="80">
        <f t="shared" si="14"/>
        <v>17.296222664015897</v>
      </c>
    </row>
    <row r="177" spans="2:12" ht="22.15" customHeight="1" thickBot="1" x14ac:dyDescent="0.25">
      <c r="B177" s="79"/>
      <c r="C177" s="78"/>
      <c r="D177" s="77" t="s">
        <v>356</v>
      </c>
      <c r="E177" s="20" t="s">
        <v>369</v>
      </c>
      <c r="F177" s="20"/>
      <c r="G177" s="76">
        <v>9.98</v>
      </c>
      <c r="H177" s="76">
        <v>3.64</v>
      </c>
      <c r="I177" s="76">
        <v>6.34</v>
      </c>
      <c r="J177" s="75">
        <f t="shared" si="13"/>
        <v>35.437881873727086</v>
      </c>
      <c r="K177" s="75">
        <f t="shared" si="15"/>
        <v>47.454175152749492</v>
      </c>
      <c r="L177" s="75">
        <f t="shared" si="14"/>
        <v>17.107942973523418</v>
      </c>
    </row>
    <row r="178" spans="2:12" ht="22.15" customHeight="1" x14ac:dyDescent="0.2">
      <c r="B178" s="89" t="s">
        <v>367</v>
      </c>
      <c r="C178" s="88">
        <v>3</v>
      </c>
      <c r="D178" s="87" t="s">
        <v>354</v>
      </c>
      <c r="E178" s="31" t="s">
        <v>368</v>
      </c>
      <c r="F178" s="31"/>
      <c r="G178" s="86">
        <v>4.88</v>
      </c>
      <c r="H178" s="86">
        <v>1.64</v>
      </c>
      <c r="I178" s="86">
        <v>3.88</v>
      </c>
      <c r="J178" s="85">
        <f t="shared" si="13"/>
        <v>31.35593220338983</v>
      </c>
      <c r="K178" s="85">
        <f t="shared" si="15"/>
        <v>46.610169491525426</v>
      </c>
      <c r="L178" s="85">
        <f t="shared" si="14"/>
        <v>22.033898305084737</v>
      </c>
    </row>
    <row r="179" spans="2:12" ht="22.15" customHeight="1" x14ac:dyDescent="0.2">
      <c r="B179" s="84"/>
      <c r="C179" s="83"/>
      <c r="D179" s="82" t="s">
        <v>355</v>
      </c>
      <c r="E179" s="26" t="s">
        <v>368</v>
      </c>
      <c r="F179" s="26"/>
      <c r="G179" s="81">
        <v>4.42</v>
      </c>
      <c r="H179" s="81">
        <v>1.46</v>
      </c>
      <c r="I179" s="81">
        <v>3.64</v>
      </c>
      <c r="J179" s="80">
        <f t="shared" si="13"/>
        <v>30.516431924882632</v>
      </c>
      <c r="K179" s="80">
        <f t="shared" si="15"/>
        <v>46.009389671361511</v>
      </c>
      <c r="L179" s="80">
        <f t="shared" si="14"/>
        <v>23.474178403755865</v>
      </c>
    </row>
    <row r="180" spans="2:12" ht="22.15" customHeight="1" thickBot="1" x14ac:dyDescent="0.25">
      <c r="B180" s="79"/>
      <c r="C180" s="78"/>
      <c r="D180" s="77" t="s">
        <v>356</v>
      </c>
      <c r="E180" s="20" t="s">
        <v>368</v>
      </c>
      <c r="F180" s="20"/>
      <c r="G180" s="76">
        <v>5.0599999999999996</v>
      </c>
      <c r="H180" s="76">
        <v>1.74</v>
      </c>
      <c r="I180" s="76">
        <v>4.0199999999999996</v>
      </c>
      <c r="J180" s="75">
        <f t="shared" si="13"/>
        <v>32.244897959183675</v>
      </c>
      <c r="K180" s="75">
        <f t="shared" si="15"/>
        <v>47.755102040816325</v>
      </c>
      <c r="L180" s="75">
        <f t="shared" si="14"/>
        <v>19.999999999999993</v>
      </c>
    </row>
    <row r="181" spans="2:12" ht="22.15" customHeight="1" x14ac:dyDescent="0.2">
      <c r="B181" s="89" t="s">
        <v>367</v>
      </c>
      <c r="C181" s="88">
        <v>4</v>
      </c>
      <c r="D181" s="87" t="s">
        <v>354</v>
      </c>
      <c r="E181" s="31" t="s">
        <v>366</v>
      </c>
      <c r="F181" s="31"/>
      <c r="G181" s="86">
        <v>7.26</v>
      </c>
      <c r="H181" s="86">
        <v>2.66</v>
      </c>
      <c r="I181" s="86">
        <v>5.0999999999999996</v>
      </c>
      <c r="J181" s="85">
        <f t="shared" si="13"/>
        <v>35.211267605633807</v>
      </c>
      <c r="K181" s="85">
        <f t="shared" si="15"/>
        <v>48.169014084507047</v>
      </c>
      <c r="L181" s="85">
        <f t="shared" si="14"/>
        <v>16.619718309859152</v>
      </c>
    </row>
    <row r="182" spans="2:12" ht="22.15" customHeight="1" x14ac:dyDescent="0.2">
      <c r="B182" s="84"/>
      <c r="C182" s="83"/>
      <c r="D182" s="82" t="s">
        <v>355</v>
      </c>
      <c r="E182" s="26" t="s">
        <v>366</v>
      </c>
      <c r="F182" s="26"/>
      <c r="G182" s="81">
        <v>7.97</v>
      </c>
      <c r="H182" s="81">
        <v>2.92</v>
      </c>
      <c r="I182" s="81">
        <v>5.5</v>
      </c>
      <c r="J182" s="80">
        <f t="shared" si="13"/>
        <v>35.339308578745197</v>
      </c>
      <c r="K182" s="80">
        <f t="shared" si="15"/>
        <v>48.911651728553139</v>
      </c>
      <c r="L182" s="80">
        <f t="shared" si="14"/>
        <v>15.749039692701661</v>
      </c>
    </row>
    <row r="183" spans="2:12" ht="22.15" customHeight="1" thickBot="1" x14ac:dyDescent="0.25">
      <c r="B183" s="79"/>
      <c r="C183" s="78"/>
      <c r="D183" s="77" t="s">
        <v>356</v>
      </c>
      <c r="E183" s="20" t="s">
        <v>366</v>
      </c>
      <c r="F183" s="20"/>
      <c r="G183" s="76">
        <v>8.5</v>
      </c>
      <c r="H183" s="76">
        <v>3.08</v>
      </c>
      <c r="I183" s="76">
        <v>5.68</v>
      </c>
      <c r="J183" s="75">
        <f t="shared" si="13"/>
        <v>35.011990407673856</v>
      </c>
      <c r="K183" s="75">
        <f t="shared" si="15"/>
        <v>47.961630695443645</v>
      </c>
      <c r="L183" s="75">
        <f t="shared" si="14"/>
        <v>17.026378896882495</v>
      </c>
    </row>
    <row r="184" spans="2:12" ht="22.15" customHeight="1" x14ac:dyDescent="0.2">
      <c r="B184" s="89" t="s">
        <v>362</v>
      </c>
      <c r="C184" s="88">
        <v>1</v>
      </c>
      <c r="D184" s="87" t="s">
        <v>354</v>
      </c>
      <c r="E184" s="31" t="s">
        <v>365</v>
      </c>
      <c r="F184" s="31"/>
      <c r="G184" s="86">
        <v>9.98</v>
      </c>
      <c r="H184" s="86">
        <v>3.66</v>
      </c>
      <c r="I184" s="86">
        <v>6.38</v>
      </c>
      <c r="J184" s="85">
        <f t="shared" si="13"/>
        <v>35.641547861507128</v>
      </c>
      <c r="K184" s="85">
        <f t="shared" si="15"/>
        <v>47.861507128309569</v>
      </c>
      <c r="L184" s="85">
        <f t="shared" si="14"/>
        <v>16.4969450101833</v>
      </c>
    </row>
    <row r="185" spans="2:12" ht="22.15" customHeight="1" x14ac:dyDescent="0.2">
      <c r="B185" s="84"/>
      <c r="C185" s="83"/>
      <c r="D185" s="82" t="s">
        <v>355</v>
      </c>
      <c r="E185" s="26" t="s">
        <v>365</v>
      </c>
      <c r="F185" s="26"/>
      <c r="G185" s="81">
        <v>8.85</v>
      </c>
      <c r="H185" s="81">
        <v>3.22</v>
      </c>
      <c r="I185" s="81">
        <v>5.9</v>
      </c>
      <c r="J185" s="80">
        <f t="shared" si="13"/>
        <v>35.212888377445339</v>
      </c>
      <c r="K185" s="80">
        <f t="shared" si="15"/>
        <v>48.561565017261231</v>
      </c>
      <c r="L185" s="80">
        <f t="shared" si="14"/>
        <v>16.225546605293424</v>
      </c>
    </row>
    <row r="186" spans="2:12" ht="22.15" customHeight="1" thickBot="1" x14ac:dyDescent="0.25">
      <c r="B186" s="79"/>
      <c r="C186" s="78"/>
      <c r="D186" s="77" t="s">
        <v>356</v>
      </c>
      <c r="E186" s="20" t="s">
        <v>365</v>
      </c>
      <c r="F186" s="20"/>
      <c r="G186" s="76">
        <v>7.88</v>
      </c>
      <c r="H186" s="76">
        <v>2.82</v>
      </c>
      <c r="I186" s="76">
        <v>5.36</v>
      </c>
      <c r="J186" s="75">
        <f t="shared" si="13"/>
        <v>34.455958549222792</v>
      </c>
      <c r="K186" s="75">
        <f t="shared" si="15"/>
        <v>47.668393782383426</v>
      </c>
      <c r="L186" s="75">
        <f t="shared" si="14"/>
        <v>17.875647668393782</v>
      </c>
    </row>
    <row r="187" spans="2:12" ht="22.15" customHeight="1" x14ac:dyDescent="0.2">
      <c r="B187" s="89" t="s">
        <v>362</v>
      </c>
      <c r="C187" s="88">
        <v>2</v>
      </c>
      <c r="D187" s="87" t="s">
        <v>354</v>
      </c>
      <c r="E187" s="31" t="s">
        <v>364</v>
      </c>
      <c r="F187" s="31"/>
      <c r="G187" s="86">
        <v>8.4499999999999993</v>
      </c>
      <c r="H187" s="86">
        <v>3.02</v>
      </c>
      <c r="I187" s="86">
        <v>5.66</v>
      </c>
      <c r="J187" s="85">
        <f t="shared" si="13"/>
        <v>34.499396863691196</v>
      </c>
      <c r="K187" s="85">
        <f t="shared" si="15"/>
        <v>48.009650180940902</v>
      </c>
      <c r="L187" s="85">
        <f t="shared" si="14"/>
        <v>17.490952955367906</v>
      </c>
    </row>
    <row r="188" spans="2:12" ht="22.15" customHeight="1" x14ac:dyDescent="0.2">
      <c r="B188" s="84"/>
      <c r="C188" s="83"/>
      <c r="D188" s="82" t="s">
        <v>355</v>
      </c>
      <c r="E188" s="26" t="s">
        <v>364</v>
      </c>
      <c r="F188" s="26"/>
      <c r="G188" s="81">
        <v>8.23</v>
      </c>
      <c r="H188" s="81">
        <v>2.96</v>
      </c>
      <c r="I188" s="81">
        <v>5.56</v>
      </c>
      <c r="J188" s="80">
        <f t="shared" si="13"/>
        <v>34.696406443618336</v>
      </c>
      <c r="K188" s="80">
        <f t="shared" si="15"/>
        <v>48.079306071871123</v>
      </c>
      <c r="L188" s="80">
        <f t="shared" si="14"/>
        <v>17.22428748451054</v>
      </c>
    </row>
    <row r="189" spans="2:12" ht="22.15" customHeight="1" thickBot="1" x14ac:dyDescent="0.25">
      <c r="B189" s="79"/>
      <c r="C189" s="78"/>
      <c r="D189" s="77" t="s">
        <v>356</v>
      </c>
      <c r="E189" s="20" t="s">
        <v>364</v>
      </c>
      <c r="F189" s="20"/>
      <c r="G189" s="76">
        <v>8.81</v>
      </c>
      <c r="H189" s="76">
        <v>3.08</v>
      </c>
      <c r="I189" s="76">
        <v>5.82</v>
      </c>
      <c r="J189" s="75">
        <f t="shared" si="13"/>
        <v>33.75722543352601</v>
      </c>
      <c r="K189" s="75">
        <f t="shared" si="15"/>
        <v>47.861271676300582</v>
      </c>
      <c r="L189" s="75">
        <f t="shared" si="14"/>
        <v>18.381502890173408</v>
      </c>
    </row>
    <row r="190" spans="2:12" ht="22.15" customHeight="1" x14ac:dyDescent="0.2">
      <c r="B190" s="89" t="s">
        <v>362</v>
      </c>
      <c r="C190" s="88">
        <v>3</v>
      </c>
      <c r="D190" s="87" t="s">
        <v>354</v>
      </c>
      <c r="E190" s="31" t="s">
        <v>363</v>
      </c>
      <c r="F190" s="31"/>
      <c r="G190" s="86">
        <v>9.5</v>
      </c>
      <c r="H190" s="86">
        <v>3.46</v>
      </c>
      <c r="I190" s="86">
        <v>6.14</v>
      </c>
      <c r="J190" s="85">
        <f t="shared" ref="J190:J207" si="16">((H190-0.16)/(G190-0.16))*100</f>
        <v>35.331905781584581</v>
      </c>
      <c r="K190" s="85">
        <f t="shared" si="15"/>
        <v>47.751605995717341</v>
      </c>
      <c r="L190" s="85">
        <f t="shared" ref="L190:L207" si="17">(((G190-0.16)-(H190-0.16)-(I190-1.68))/(G190-0.16))*100</f>
        <v>16.916488222698074</v>
      </c>
    </row>
    <row r="191" spans="2:12" ht="22.15" customHeight="1" x14ac:dyDescent="0.2">
      <c r="B191" s="84"/>
      <c r="C191" s="83"/>
      <c r="D191" s="82" t="s">
        <v>355</v>
      </c>
      <c r="E191" s="26" t="s">
        <v>363</v>
      </c>
      <c r="F191" s="26"/>
      <c r="G191" s="81">
        <v>8.77</v>
      </c>
      <c r="H191" s="81">
        <v>3.18</v>
      </c>
      <c r="I191" s="81">
        <v>5.76</v>
      </c>
      <c r="J191" s="80">
        <f t="shared" si="16"/>
        <v>35.075493612078979</v>
      </c>
      <c r="K191" s="80">
        <f t="shared" si="15"/>
        <v>47.386759581881535</v>
      </c>
      <c r="L191" s="80">
        <f t="shared" si="17"/>
        <v>17.537746806039486</v>
      </c>
    </row>
    <row r="192" spans="2:12" ht="22.15" customHeight="1" thickBot="1" x14ac:dyDescent="0.25">
      <c r="B192" s="79"/>
      <c r="C192" s="78"/>
      <c r="D192" s="77" t="s">
        <v>356</v>
      </c>
      <c r="E192" s="20" t="s">
        <v>363</v>
      </c>
      <c r="F192" s="20"/>
      <c r="G192" s="76">
        <v>9.83</v>
      </c>
      <c r="H192" s="76">
        <v>3.6</v>
      </c>
      <c r="I192" s="76">
        <v>6.22</v>
      </c>
      <c r="J192" s="75">
        <f t="shared" si="16"/>
        <v>35.573940020682521</v>
      </c>
      <c r="K192" s="75">
        <f t="shared" si="15"/>
        <v>46.949327817993797</v>
      </c>
      <c r="L192" s="75">
        <f t="shared" si="17"/>
        <v>17.476732161323685</v>
      </c>
    </row>
    <row r="193" spans="2:12" ht="22.15" customHeight="1" x14ac:dyDescent="0.2">
      <c r="B193" s="89" t="s">
        <v>362</v>
      </c>
      <c r="C193" s="88">
        <v>4</v>
      </c>
      <c r="D193" s="87" t="s">
        <v>354</v>
      </c>
      <c r="E193" s="31" t="s">
        <v>361</v>
      </c>
      <c r="F193" s="31"/>
      <c r="G193" s="86">
        <v>8.56</v>
      </c>
      <c r="H193" s="86">
        <v>3.12</v>
      </c>
      <c r="I193" s="86">
        <v>5.7</v>
      </c>
      <c r="J193" s="85">
        <f t="shared" si="16"/>
        <v>35.238095238095234</v>
      </c>
      <c r="K193" s="85">
        <f t="shared" si="15"/>
        <v>47.857142857142861</v>
      </c>
      <c r="L193" s="85">
        <f t="shared" si="17"/>
        <v>16.904761904761902</v>
      </c>
    </row>
    <row r="194" spans="2:12" ht="22.15" customHeight="1" x14ac:dyDescent="0.2">
      <c r="B194" s="84"/>
      <c r="C194" s="83"/>
      <c r="D194" s="82" t="s">
        <v>355</v>
      </c>
      <c r="E194" s="26" t="s">
        <v>361</v>
      </c>
      <c r="F194" s="26"/>
      <c r="G194" s="81">
        <v>8.49</v>
      </c>
      <c r="H194" s="81">
        <v>3.12</v>
      </c>
      <c r="I194" s="81">
        <v>5.66</v>
      </c>
      <c r="J194" s="80">
        <f t="shared" si="16"/>
        <v>35.534213685474185</v>
      </c>
      <c r="K194" s="80">
        <f t="shared" si="15"/>
        <v>47.779111644657867</v>
      </c>
      <c r="L194" s="80">
        <f t="shared" si="17"/>
        <v>16.686674669867944</v>
      </c>
    </row>
    <row r="195" spans="2:12" ht="22.15" customHeight="1" thickBot="1" x14ac:dyDescent="0.25">
      <c r="B195" s="79"/>
      <c r="C195" s="78"/>
      <c r="D195" s="77" t="s">
        <v>356</v>
      </c>
      <c r="E195" s="20" t="s">
        <v>361</v>
      </c>
      <c r="F195" s="20"/>
      <c r="G195" s="76">
        <v>8.51</v>
      </c>
      <c r="H195" s="76">
        <v>3</v>
      </c>
      <c r="I195" s="76">
        <v>5.66</v>
      </c>
      <c r="J195" s="75">
        <f t="shared" si="16"/>
        <v>34.011976047904191</v>
      </c>
      <c r="K195" s="75">
        <f t="shared" si="15"/>
        <v>47.664670658682638</v>
      </c>
      <c r="L195" s="75">
        <f t="shared" si="17"/>
        <v>18.323353293413167</v>
      </c>
    </row>
    <row r="196" spans="2:12" ht="22.15" customHeight="1" x14ac:dyDescent="0.2">
      <c r="B196" s="89" t="s">
        <v>357</v>
      </c>
      <c r="C196" s="88">
        <v>1</v>
      </c>
      <c r="D196" s="87" t="s">
        <v>354</v>
      </c>
      <c r="E196" s="31" t="s">
        <v>360</v>
      </c>
      <c r="F196" s="31"/>
      <c r="G196" s="86">
        <v>8.5500000000000007</v>
      </c>
      <c r="H196" s="86">
        <v>3.18</v>
      </c>
      <c r="I196" s="86">
        <v>5.66</v>
      </c>
      <c r="J196" s="85">
        <f t="shared" si="16"/>
        <v>35.995232419547079</v>
      </c>
      <c r="K196" s="85">
        <f t="shared" si="15"/>
        <v>47.437425506555428</v>
      </c>
      <c r="L196" s="85">
        <f t="shared" si="17"/>
        <v>16.567342073897503</v>
      </c>
    </row>
    <row r="197" spans="2:12" ht="22.15" customHeight="1" x14ac:dyDescent="0.2">
      <c r="B197" s="84"/>
      <c r="C197" s="83"/>
      <c r="D197" s="82" t="s">
        <v>355</v>
      </c>
      <c r="E197" s="26" t="s">
        <v>360</v>
      </c>
      <c r="F197" s="26"/>
      <c r="G197" s="81">
        <v>8.26</v>
      </c>
      <c r="H197" s="81">
        <v>2.98</v>
      </c>
      <c r="I197" s="81">
        <v>5.56</v>
      </c>
      <c r="J197" s="80">
        <f t="shared" si="16"/>
        <v>34.814814814814817</v>
      </c>
      <c r="K197" s="80">
        <f t="shared" si="15"/>
        <v>47.901234567901234</v>
      </c>
      <c r="L197" s="80">
        <f t="shared" si="17"/>
        <v>17.283950617283946</v>
      </c>
    </row>
    <row r="198" spans="2:12" ht="22.15" customHeight="1" thickBot="1" x14ac:dyDescent="0.25">
      <c r="B198" s="79"/>
      <c r="C198" s="78"/>
      <c r="D198" s="77" t="s">
        <v>356</v>
      </c>
      <c r="E198" s="20" t="s">
        <v>360</v>
      </c>
      <c r="F198" s="20"/>
      <c r="G198" s="76">
        <v>8.1</v>
      </c>
      <c r="H198" s="76">
        <v>2.84</v>
      </c>
      <c r="I198" s="76">
        <v>5.44</v>
      </c>
      <c r="J198" s="75">
        <f t="shared" si="16"/>
        <v>33.753148614609572</v>
      </c>
      <c r="K198" s="75">
        <f t="shared" si="15"/>
        <v>47.355163727959706</v>
      </c>
      <c r="L198" s="75">
        <f t="shared" si="17"/>
        <v>18.891687657430719</v>
      </c>
    </row>
    <row r="199" spans="2:12" ht="22.15" customHeight="1" x14ac:dyDescent="0.2">
      <c r="B199" s="89" t="s">
        <v>357</v>
      </c>
      <c r="C199" s="88">
        <v>2</v>
      </c>
      <c r="D199" s="87" t="s">
        <v>354</v>
      </c>
      <c r="E199" s="31" t="s">
        <v>359</v>
      </c>
      <c r="F199" s="31"/>
      <c r="G199" s="86">
        <v>9.93</v>
      </c>
      <c r="H199" s="86">
        <v>3.48</v>
      </c>
      <c r="I199" s="86">
        <v>6.32</v>
      </c>
      <c r="J199" s="85">
        <f t="shared" si="16"/>
        <v>33.981576253838277</v>
      </c>
      <c r="K199" s="85">
        <f t="shared" si="15"/>
        <v>47.492323439099295</v>
      </c>
      <c r="L199" s="85">
        <f t="shared" si="17"/>
        <v>18.526100307062425</v>
      </c>
    </row>
    <row r="200" spans="2:12" ht="22.15" customHeight="1" x14ac:dyDescent="0.2">
      <c r="B200" s="84"/>
      <c r="C200" s="83"/>
      <c r="D200" s="82" t="s">
        <v>355</v>
      </c>
      <c r="E200" s="26" t="s">
        <v>359</v>
      </c>
      <c r="F200" s="26"/>
      <c r="G200" s="81">
        <v>9.17</v>
      </c>
      <c r="H200" s="81">
        <v>3.2</v>
      </c>
      <c r="I200" s="81">
        <v>5.92</v>
      </c>
      <c r="J200" s="80">
        <f t="shared" si="16"/>
        <v>33.74028856825749</v>
      </c>
      <c r="K200" s="80">
        <f t="shared" si="15"/>
        <v>47.058823529411768</v>
      </c>
      <c r="L200" s="80">
        <f t="shared" si="17"/>
        <v>19.200887902330738</v>
      </c>
    </row>
    <row r="201" spans="2:12" ht="22.15" customHeight="1" thickBot="1" x14ac:dyDescent="0.25">
      <c r="B201" s="79"/>
      <c r="C201" s="78"/>
      <c r="D201" s="77" t="s">
        <v>356</v>
      </c>
      <c r="E201" s="20" t="s">
        <v>359</v>
      </c>
      <c r="F201" s="20"/>
      <c r="G201" s="76">
        <v>8.5299999999999994</v>
      </c>
      <c r="H201" s="76">
        <v>2.94</v>
      </c>
      <c r="I201" s="76">
        <v>5.64</v>
      </c>
      <c r="J201" s="75">
        <f t="shared" si="16"/>
        <v>33.213859020310629</v>
      </c>
      <c r="K201" s="75">
        <f t="shared" si="15"/>
        <v>47.311827956989248</v>
      </c>
      <c r="L201" s="75">
        <f t="shared" si="17"/>
        <v>19.47431302270012</v>
      </c>
    </row>
    <row r="202" spans="2:12" ht="22.15" customHeight="1" x14ac:dyDescent="0.2">
      <c r="B202" s="89" t="s">
        <v>357</v>
      </c>
      <c r="C202" s="88">
        <v>3</v>
      </c>
      <c r="D202" s="87" t="s">
        <v>354</v>
      </c>
      <c r="E202" s="31" t="s">
        <v>358</v>
      </c>
      <c r="F202" s="31"/>
      <c r="G202" s="86">
        <v>8.16</v>
      </c>
      <c r="H202" s="86">
        <v>2.86</v>
      </c>
      <c r="I202" s="86">
        <v>5.44</v>
      </c>
      <c r="J202" s="85">
        <f t="shared" si="16"/>
        <v>33.75</v>
      </c>
      <c r="K202" s="85">
        <f t="shared" si="15"/>
        <v>47.000000000000007</v>
      </c>
      <c r="L202" s="85">
        <f t="shared" si="17"/>
        <v>19.25</v>
      </c>
    </row>
    <row r="203" spans="2:12" ht="22.15" customHeight="1" x14ac:dyDescent="0.2">
      <c r="B203" s="84"/>
      <c r="C203" s="83"/>
      <c r="D203" s="82" t="s">
        <v>355</v>
      </c>
      <c r="E203" s="26" t="s">
        <v>358</v>
      </c>
      <c r="F203" s="26"/>
      <c r="G203" s="81">
        <v>7.65</v>
      </c>
      <c r="H203" s="81">
        <v>2.68</v>
      </c>
      <c r="I203" s="81">
        <v>5.22</v>
      </c>
      <c r="J203" s="80">
        <f t="shared" si="16"/>
        <v>33.644859813084111</v>
      </c>
      <c r="K203" s="80">
        <f t="shared" si="15"/>
        <v>47.263017356475302</v>
      </c>
      <c r="L203" s="80">
        <f t="shared" si="17"/>
        <v>19.092122830440594</v>
      </c>
    </row>
    <row r="204" spans="2:12" ht="22.15" customHeight="1" thickBot="1" x14ac:dyDescent="0.25">
      <c r="B204" s="79"/>
      <c r="C204" s="78"/>
      <c r="D204" s="77" t="s">
        <v>356</v>
      </c>
      <c r="E204" s="20" t="s">
        <v>358</v>
      </c>
      <c r="F204" s="20"/>
      <c r="G204" s="76">
        <v>6.61</v>
      </c>
      <c r="H204" s="76">
        <v>2.2599999999999998</v>
      </c>
      <c r="I204" s="76">
        <v>4.66</v>
      </c>
      <c r="J204" s="75">
        <f t="shared" si="16"/>
        <v>32.558139534883715</v>
      </c>
      <c r="K204" s="75">
        <f t="shared" si="15"/>
        <v>46.20155038759691</v>
      </c>
      <c r="L204" s="75">
        <f t="shared" si="17"/>
        <v>21.240310077519382</v>
      </c>
    </row>
    <row r="205" spans="2:12" ht="22.15" customHeight="1" x14ac:dyDescent="0.2">
      <c r="B205" s="89" t="s">
        <v>357</v>
      </c>
      <c r="C205" s="88">
        <v>4</v>
      </c>
      <c r="D205" s="87" t="s">
        <v>354</v>
      </c>
      <c r="E205" s="31" t="s">
        <v>353</v>
      </c>
      <c r="F205" s="31"/>
      <c r="G205" s="86">
        <v>8.4</v>
      </c>
      <c r="H205" s="86">
        <v>2.94</v>
      </c>
      <c r="I205" s="86">
        <v>5.62</v>
      </c>
      <c r="J205" s="85">
        <f t="shared" si="16"/>
        <v>33.737864077669897</v>
      </c>
      <c r="K205" s="85">
        <f t="shared" si="15"/>
        <v>47.815533980582522</v>
      </c>
      <c r="L205" s="85">
        <f t="shared" si="17"/>
        <v>18.446601941747577</v>
      </c>
    </row>
    <row r="206" spans="2:12" ht="22.15" customHeight="1" x14ac:dyDescent="0.2">
      <c r="B206" s="84"/>
      <c r="C206" s="83"/>
      <c r="D206" s="82" t="s">
        <v>355</v>
      </c>
      <c r="E206" s="26" t="s">
        <v>353</v>
      </c>
      <c r="F206" s="26"/>
      <c r="G206" s="81">
        <v>7.72</v>
      </c>
      <c r="H206" s="81">
        <v>2.66</v>
      </c>
      <c r="I206" s="81">
        <v>5.28</v>
      </c>
      <c r="J206" s="80">
        <f t="shared" si="16"/>
        <v>33.06878306878307</v>
      </c>
      <c r="K206" s="80">
        <f t="shared" si="15"/>
        <v>47.619047619047628</v>
      </c>
      <c r="L206" s="80">
        <f t="shared" si="17"/>
        <v>19.312169312169299</v>
      </c>
    </row>
    <row r="207" spans="2:12" ht="22.15" customHeight="1" thickBot="1" x14ac:dyDescent="0.25">
      <c r="B207" s="79"/>
      <c r="C207" s="78"/>
      <c r="D207" s="77" t="s">
        <v>356</v>
      </c>
      <c r="E207" s="20" t="s">
        <v>353</v>
      </c>
      <c r="F207" s="20"/>
      <c r="G207" s="76">
        <v>8.23</v>
      </c>
      <c r="H207" s="76">
        <v>2.86</v>
      </c>
      <c r="I207" s="76">
        <v>5.5</v>
      </c>
      <c r="J207" s="75">
        <f t="shared" si="16"/>
        <v>33.457249070631967</v>
      </c>
      <c r="K207" s="75">
        <f t="shared" si="15"/>
        <v>47.335811648079307</v>
      </c>
      <c r="L207" s="75">
        <f t="shared" si="17"/>
        <v>19.206939281288733</v>
      </c>
    </row>
    <row r="209" spans="10:12" x14ac:dyDescent="0.2">
      <c r="J209" s="74">
        <f>AVERAGE(J16:J207)</f>
        <v>35.283998450813073</v>
      </c>
      <c r="K209" s="74">
        <f>AVERAGE(K16:K207)</f>
        <v>48.439445382547895</v>
      </c>
      <c r="L209" s="74">
        <f>AVERAGE(L16:L207)</f>
        <v>16.279496512933083</v>
      </c>
    </row>
  </sheetData>
  <mergeCells count="3">
    <mergeCell ref="B15:C15"/>
    <mergeCell ref="M163:P163"/>
    <mergeCell ref="M18:O19"/>
  </mergeCells>
  <pageMargins left="0.45" right="0.45" top="0.5" bottom="0.5" header="0" footer="0.3"/>
  <pageSetup scale="86" orientation="portrait" r:id="rId1"/>
  <rowBreaks count="2" manualBreakCount="2">
    <brk id="39" max="8" man="1"/>
    <brk id="75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C9D4-8FFC-4C13-9FBD-1F0566A870D0}">
  <dimension ref="A1:M206"/>
  <sheetViews>
    <sheetView topLeftCell="G9" zoomScaleNormal="100" workbookViewId="0">
      <selection activeCell="S14" sqref="S14"/>
    </sheetView>
  </sheetViews>
  <sheetFormatPr defaultRowHeight="15" x14ac:dyDescent="0.2"/>
  <cols>
    <col min="1" max="1" width="8.7109375" style="14" customWidth="1"/>
    <col min="2" max="2" width="4.28515625" style="14" customWidth="1"/>
    <col min="3" max="3" width="3.140625" style="14" customWidth="1"/>
    <col min="4" max="4" width="8.28515625" style="14" customWidth="1"/>
    <col min="5" max="5" width="6.28515625" style="14" customWidth="1"/>
    <col min="6" max="6" width="17.5703125" style="17" customWidth="1"/>
    <col min="7" max="7" width="16.85546875" style="17" customWidth="1"/>
    <col min="8" max="8" width="12.28515625" style="17" customWidth="1"/>
    <col min="9" max="9" width="14" style="17" customWidth="1"/>
    <col min="10" max="10" width="12.85546875" style="17" customWidth="1"/>
    <col min="11" max="11" width="14.140625" style="120" customWidth="1"/>
    <col min="12" max="16384" width="9.140625" style="14"/>
  </cols>
  <sheetData>
    <row r="1" spans="1:12" ht="18.75" x14ac:dyDescent="0.3">
      <c r="A1" s="119">
        <v>2017</v>
      </c>
      <c r="B1" s="115" t="s">
        <v>446</v>
      </c>
      <c r="C1" s="92"/>
      <c r="D1" s="92"/>
      <c r="E1" s="92"/>
      <c r="F1" s="137"/>
      <c r="G1" s="137"/>
      <c r="H1" s="137" t="s">
        <v>470</v>
      </c>
      <c r="I1" s="137"/>
      <c r="J1" s="137"/>
    </row>
    <row r="2" spans="1:12" ht="18.75" x14ac:dyDescent="0.3">
      <c r="A2" s="118"/>
      <c r="B2" s="115" t="s">
        <v>445</v>
      </c>
      <c r="C2" s="92"/>
      <c r="D2" s="92"/>
      <c r="E2" s="92"/>
      <c r="F2" s="137"/>
      <c r="G2" s="137"/>
      <c r="H2" s="137" t="s">
        <v>469</v>
      </c>
      <c r="I2" s="137"/>
      <c r="J2" s="137"/>
    </row>
    <row r="3" spans="1:12" ht="15.6" customHeight="1" x14ac:dyDescent="0.3">
      <c r="A3" s="116"/>
      <c r="B3" s="117"/>
      <c r="C3" s="92"/>
      <c r="D3" s="92"/>
      <c r="E3" s="92"/>
      <c r="F3" s="137"/>
      <c r="G3" s="137"/>
      <c r="H3" s="137" t="s">
        <v>468</v>
      </c>
      <c r="I3" s="137"/>
      <c r="J3" s="137"/>
    </row>
    <row r="4" spans="1:12" ht="18.75" x14ac:dyDescent="0.3">
      <c r="A4" s="116"/>
      <c r="B4" s="115" t="s">
        <v>467</v>
      </c>
      <c r="C4" s="92"/>
      <c r="D4" s="92"/>
      <c r="E4" s="92"/>
      <c r="F4" s="137"/>
      <c r="G4" s="137"/>
      <c r="H4" s="137"/>
      <c r="I4" s="137"/>
      <c r="J4" s="137"/>
    </row>
    <row r="5" spans="1:12" ht="7.9" customHeight="1" x14ac:dyDescent="0.25">
      <c r="A5" s="114"/>
      <c r="B5" s="92"/>
      <c r="C5" s="109"/>
      <c r="D5" s="92"/>
      <c r="E5" s="92"/>
      <c r="F5" s="137"/>
      <c r="G5" s="137"/>
      <c r="H5" s="137"/>
      <c r="I5" s="137"/>
      <c r="J5" s="137"/>
    </row>
    <row r="6" spans="1:12" x14ac:dyDescent="0.25">
      <c r="A6" s="109" t="s">
        <v>466</v>
      </c>
      <c r="B6" s="109"/>
      <c r="C6" s="109"/>
      <c r="D6" s="109"/>
      <c r="E6" s="109"/>
      <c r="F6" s="136"/>
      <c r="G6" s="136"/>
      <c r="H6" s="136"/>
      <c r="I6" s="137"/>
    </row>
    <row r="7" spans="1:12" x14ac:dyDescent="0.25">
      <c r="A7" s="109" t="s">
        <v>465</v>
      </c>
      <c r="B7" s="109"/>
      <c r="C7" s="109"/>
      <c r="D7" s="109"/>
      <c r="E7" s="109"/>
      <c r="F7" s="136"/>
      <c r="G7" s="136"/>
      <c r="H7" s="136"/>
      <c r="I7" s="137"/>
    </row>
    <row r="8" spans="1:12" x14ac:dyDescent="0.25">
      <c r="A8" s="109"/>
      <c r="B8" s="109" t="s">
        <v>464</v>
      </c>
      <c r="C8" s="109"/>
      <c r="D8" s="109"/>
      <c r="E8" s="109"/>
      <c r="F8" s="136"/>
      <c r="G8" s="136"/>
      <c r="H8" s="136"/>
      <c r="I8" s="137"/>
    </row>
    <row r="9" spans="1:12" x14ac:dyDescent="0.25">
      <c r="A9" s="109" t="s">
        <v>463</v>
      </c>
      <c r="B9" s="113"/>
      <c r="C9" s="109"/>
      <c r="D9" s="109"/>
      <c r="E9" s="109"/>
      <c r="F9" s="136"/>
      <c r="G9" s="136"/>
      <c r="H9" s="136"/>
      <c r="I9" s="136"/>
      <c r="J9" s="137"/>
    </row>
    <row r="10" spans="1:12" x14ac:dyDescent="0.2">
      <c r="A10" s="112"/>
      <c r="B10" s="109"/>
      <c r="C10" s="109"/>
      <c r="D10" s="109"/>
      <c r="E10" s="109"/>
      <c r="F10" s="136"/>
      <c r="G10" s="136"/>
      <c r="H10" s="136"/>
      <c r="I10" s="136" t="s">
        <v>462</v>
      </c>
      <c r="J10" s="136"/>
    </row>
    <row r="11" spans="1:12" x14ac:dyDescent="0.2">
      <c r="A11" s="112"/>
      <c r="B11" s="109"/>
      <c r="C11" s="109" t="s">
        <v>461</v>
      </c>
      <c r="D11" s="109"/>
      <c r="E11" s="109"/>
      <c r="F11" s="136"/>
      <c r="G11" s="136"/>
      <c r="H11" s="136"/>
      <c r="I11" s="136" t="s">
        <v>460</v>
      </c>
      <c r="J11" s="136"/>
    </row>
    <row r="12" spans="1:12" ht="22.15" customHeight="1" x14ac:dyDescent="0.25">
      <c r="B12" s="104"/>
      <c r="C12" s="104"/>
      <c r="E12" s="110" t="s">
        <v>459</v>
      </c>
      <c r="F12" s="134">
        <v>43033</v>
      </c>
      <c r="G12" s="135" t="s">
        <v>458</v>
      </c>
      <c r="H12" s="134"/>
      <c r="I12" s="133" t="s">
        <v>457</v>
      </c>
      <c r="J12" s="132"/>
      <c r="K12" s="131">
        <v>43048</v>
      </c>
    </row>
    <row r="13" spans="1:12" ht="19.149999999999999" customHeight="1" x14ac:dyDescent="0.25">
      <c r="B13" s="92"/>
      <c r="C13" s="114"/>
      <c r="D13" s="92"/>
      <c r="E13" s="130"/>
      <c r="F13" s="129"/>
      <c r="G13" s="126" t="s">
        <v>456</v>
      </c>
      <c r="H13" s="126" t="s">
        <v>455</v>
      </c>
      <c r="I13" s="128" t="s">
        <v>454</v>
      </c>
      <c r="J13" s="125" t="s">
        <v>453</v>
      </c>
      <c r="K13" s="167" t="s">
        <v>452</v>
      </c>
      <c r="L13" s="92"/>
    </row>
    <row r="14" spans="1:12" ht="30.75" thickBot="1" x14ac:dyDescent="0.3">
      <c r="B14" s="162" t="s">
        <v>398</v>
      </c>
      <c r="C14" s="162"/>
      <c r="D14" s="51" t="s">
        <v>427</v>
      </c>
      <c r="E14" s="103" t="s">
        <v>396</v>
      </c>
      <c r="F14" s="127" t="s">
        <v>451</v>
      </c>
      <c r="G14" s="126" t="s">
        <v>450</v>
      </c>
      <c r="H14" s="126" t="s">
        <v>449</v>
      </c>
      <c r="I14" s="126" t="s">
        <v>448</v>
      </c>
      <c r="J14" s="125" t="s">
        <v>447</v>
      </c>
      <c r="K14" s="167"/>
      <c r="L14" s="92"/>
    </row>
    <row r="15" spans="1:12" ht="22.15" customHeight="1" x14ac:dyDescent="0.25">
      <c r="B15" s="89" t="s">
        <v>390</v>
      </c>
      <c r="C15" s="88">
        <v>1</v>
      </c>
      <c r="D15" s="87" t="s">
        <v>354</v>
      </c>
      <c r="E15" s="31" t="s">
        <v>359</v>
      </c>
      <c r="F15" s="123">
        <v>9.7100000000000009</v>
      </c>
      <c r="G15" s="123">
        <v>175.62</v>
      </c>
      <c r="H15" s="123">
        <f t="shared" ref="H15:H46" si="0">G15-F15</f>
        <v>165.91</v>
      </c>
      <c r="I15" s="123">
        <v>153</v>
      </c>
      <c r="J15" s="123">
        <f t="shared" ref="J15:J46" si="1">((H15-I15)/H15)*100</f>
        <v>7.7813272256042412</v>
      </c>
      <c r="L15" s="92"/>
    </row>
    <row r="16" spans="1:12" ht="22.15" customHeight="1" x14ac:dyDescent="0.25">
      <c r="B16" s="18"/>
      <c r="C16" s="83"/>
      <c r="D16" s="82" t="s">
        <v>355</v>
      </c>
      <c r="E16" s="26" t="s">
        <v>359</v>
      </c>
      <c r="F16" s="122">
        <v>9.7100000000000009</v>
      </c>
      <c r="G16" s="122">
        <v>228.47</v>
      </c>
      <c r="H16" s="122">
        <f t="shared" si="0"/>
        <v>218.76</v>
      </c>
      <c r="I16" s="122">
        <v>193.91</v>
      </c>
      <c r="J16" s="122">
        <f t="shared" si="1"/>
        <v>11.35948070945328</v>
      </c>
      <c r="L16" s="92"/>
    </row>
    <row r="17" spans="2:13" ht="22.15" customHeight="1" thickBot="1" x14ac:dyDescent="0.3">
      <c r="B17" s="79"/>
      <c r="C17" s="78"/>
      <c r="D17" s="77" t="s">
        <v>356</v>
      </c>
      <c r="E17" s="20" t="s">
        <v>359</v>
      </c>
      <c r="F17" s="121">
        <v>9.7100000000000009</v>
      </c>
      <c r="G17" s="121">
        <v>182.27</v>
      </c>
      <c r="H17" s="121">
        <f t="shared" si="0"/>
        <v>172.56</v>
      </c>
      <c r="I17" s="121">
        <v>158.69999999999999</v>
      </c>
      <c r="J17" s="121">
        <f t="shared" si="1"/>
        <v>8.0319888734353349</v>
      </c>
      <c r="L17" s="92"/>
    </row>
    <row r="18" spans="2:13" ht="22.15" customHeight="1" x14ac:dyDescent="0.25">
      <c r="B18" s="89" t="s">
        <v>390</v>
      </c>
      <c r="C18" s="88">
        <v>2</v>
      </c>
      <c r="D18" s="87" t="s">
        <v>354</v>
      </c>
      <c r="E18" s="31" t="s">
        <v>361</v>
      </c>
      <c r="F18" s="123">
        <v>9.7100000000000009</v>
      </c>
      <c r="G18" s="123">
        <v>151.54</v>
      </c>
      <c r="H18" s="123">
        <f t="shared" si="0"/>
        <v>141.82999999999998</v>
      </c>
      <c r="I18" s="123">
        <v>131.49</v>
      </c>
      <c r="J18" s="123">
        <f t="shared" si="1"/>
        <v>7.2904181061834423</v>
      </c>
      <c r="L18" s="92"/>
    </row>
    <row r="19" spans="2:13" ht="22.15" customHeight="1" x14ac:dyDescent="0.25">
      <c r="B19" s="84"/>
      <c r="C19" s="83"/>
      <c r="D19" s="82" t="s">
        <v>355</v>
      </c>
      <c r="E19" s="26" t="s">
        <v>361</v>
      </c>
      <c r="F19" s="122">
        <v>9.73</v>
      </c>
      <c r="G19" s="122">
        <v>225.91</v>
      </c>
      <c r="H19" s="122">
        <f t="shared" si="0"/>
        <v>216.18</v>
      </c>
      <c r="I19" s="122">
        <v>199.74</v>
      </c>
      <c r="J19" s="122">
        <f t="shared" si="1"/>
        <v>7.6047737996114337</v>
      </c>
      <c r="L19" s="92"/>
    </row>
    <row r="20" spans="2:13" ht="22.15" customHeight="1" thickBot="1" x14ac:dyDescent="0.3">
      <c r="B20" s="79"/>
      <c r="C20" s="78"/>
      <c r="D20" s="77" t="s">
        <v>356</v>
      </c>
      <c r="E20" s="20" t="s">
        <v>361</v>
      </c>
      <c r="F20" s="121">
        <v>9.7100000000000009</v>
      </c>
      <c r="G20" s="121">
        <v>157.85</v>
      </c>
      <c r="H20" s="121">
        <f t="shared" si="0"/>
        <v>148.13999999999999</v>
      </c>
      <c r="I20" s="121">
        <v>137.78</v>
      </c>
      <c r="J20" s="121">
        <f t="shared" si="1"/>
        <v>6.9933846361549801</v>
      </c>
      <c r="L20" s="92"/>
    </row>
    <row r="21" spans="2:13" ht="22.15" customHeight="1" x14ac:dyDescent="0.25">
      <c r="B21" s="89" t="s">
        <v>390</v>
      </c>
      <c r="C21" s="88">
        <v>3</v>
      </c>
      <c r="D21" s="87" t="s">
        <v>354</v>
      </c>
      <c r="E21" s="31" t="s">
        <v>371</v>
      </c>
      <c r="F21" s="123">
        <v>9.6999999999999993</v>
      </c>
      <c r="G21" s="123">
        <v>175.7</v>
      </c>
      <c r="H21" s="123">
        <f t="shared" si="0"/>
        <v>166</v>
      </c>
      <c r="I21" s="123">
        <v>154.52000000000001</v>
      </c>
      <c r="J21" s="123">
        <f t="shared" si="1"/>
        <v>6.9156626506024041</v>
      </c>
      <c r="L21" s="92"/>
    </row>
    <row r="22" spans="2:13" ht="22.15" customHeight="1" x14ac:dyDescent="0.25">
      <c r="B22" s="84"/>
      <c r="C22" s="83"/>
      <c r="D22" s="82" t="s">
        <v>355</v>
      </c>
      <c r="E22" s="26" t="s">
        <v>371</v>
      </c>
      <c r="F22" s="122">
        <v>9.67</v>
      </c>
      <c r="G22" s="122">
        <v>231.23</v>
      </c>
      <c r="H22" s="122">
        <f t="shared" si="0"/>
        <v>221.56</v>
      </c>
      <c r="I22" s="122">
        <v>205.38</v>
      </c>
      <c r="J22" s="122">
        <f t="shared" si="1"/>
        <v>7.3027622314497238</v>
      </c>
      <c r="L22" s="92"/>
    </row>
    <row r="23" spans="2:13" ht="22.15" customHeight="1" thickBot="1" x14ac:dyDescent="0.3">
      <c r="B23" s="79"/>
      <c r="C23" s="78"/>
      <c r="D23" s="77" t="s">
        <v>356</v>
      </c>
      <c r="E23" s="20" t="s">
        <v>371</v>
      </c>
      <c r="F23" s="121">
        <v>9.73</v>
      </c>
      <c r="G23" s="121">
        <v>156.21</v>
      </c>
      <c r="H23" s="121">
        <f t="shared" si="0"/>
        <v>146.48000000000002</v>
      </c>
      <c r="I23" s="121">
        <v>136.4</v>
      </c>
      <c r="J23" s="121">
        <f t="shared" si="1"/>
        <v>6.8814855270344157</v>
      </c>
      <c r="L23" s="92"/>
    </row>
    <row r="24" spans="2:13" ht="22.15" customHeight="1" x14ac:dyDescent="0.25">
      <c r="B24" s="89" t="s">
        <v>390</v>
      </c>
      <c r="C24" s="88">
        <v>4</v>
      </c>
      <c r="D24" s="87" t="s">
        <v>354</v>
      </c>
      <c r="E24" s="31" t="s">
        <v>364</v>
      </c>
      <c r="F24" s="123">
        <v>9.7100000000000009</v>
      </c>
      <c r="G24" s="123">
        <v>135.96</v>
      </c>
      <c r="H24" s="123">
        <f t="shared" si="0"/>
        <v>126.25</v>
      </c>
      <c r="I24" s="123">
        <v>117.41</v>
      </c>
      <c r="J24" s="123">
        <f t="shared" si="1"/>
        <v>7.0019801980198038</v>
      </c>
      <c r="L24" s="92"/>
    </row>
    <row r="25" spans="2:13" ht="22.15" customHeight="1" x14ac:dyDescent="0.25">
      <c r="B25" s="84"/>
      <c r="C25" s="83"/>
      <c r="D25" s="82" t="s">
        <v>355</v>
      </c>
      <c r="E25" s="26" t="s">
        <v>364</v>
      </c>
      <c r="F25" s="122">
        <v>9.7200000000000006</v>
      </c>
      <c r="G25" s="122">
        <v>253.09</v>
      </c>
      <c r="H25" s="122">
        <f t="shared" si="0"/>
        <v>243.37</v>
      </c>
      <c r="I25" s="122">
        <v>221.77</v>
      </c>
      <c r="J25" s="122">
        <f t="shared" si="1"/>
        <v>8.8753749435016616</v>
      </c>
      <c r="L25" s="92"/>
    </row>
    <row r="26" spans="2:13" ht="22.15" customHeight="1" thickBot="1" x14ac:dyDescent="0.3">
      <c r="B26" s="79"/>
      <c r="C26" s="78"/>
      <c r="D26" s="77" t="s">
        <v>356</v>
      </c>
      <c r="E26" s="20" t="s">
        <v>364</v>
      </c>
      <c r="F26" s="121">
        <v>9.69</v>
      </c>
      <c r="G26" s="121">
        <v>242.08</v>
      </c>
      <c r="H26" s="121">
        <f t="shared" si="0"/>
        <v>232.39000000000001</v>
      </c>
      <c r="I26" s="121">
        <v>216.82</v>
      </c>
      <c r="J26" s="121">
        <f t="shared" si="1"/>
        <v>6.699944059555067</v>
      </c>
      <c r="L26" s="92"/>
      <c r="M26" s="14">
        <v>4</v>
      </c>
    </row>
    <row r="27" spans="2:13" ht="22.15" customHeight="1" x14ac:dyDescent="0.25">
      <c r="B27" s="89" t="s">
        <v>387</v>
      </c>
      <c r="C27" s="88">
        <v>4</v>
      </c>
      <c r="D27" s="87" t="s">
        <v>356</v>
      </c>
      <c r="E27" s="31" t="s">
        <v>358</v>
      </c>
      <c r="F27" s="123">
        <v>9.74</v>
      </c>
      <c r="G27" s="123">
        <v>186.67</v>
      </c>
      <c r="H27" s="123">
        <f t="shared" si="0"/>
        <v>176.92999999999998</v>
      </c>
      <c r="I27" s="123">
        <v>166.4</v>
      </c>
      <c r="J27" s="123">
        <f t="shared" si="1"/>
        <v>5.9515062454077734</v>
      </c>
      <c r="L27" s="92"/>
      <c r="M27" s="14">
        <v>10</v>
      </c>
    </row>
    <row r="28" spans="2:13" ht="22.15" customHeight="1" x14ac:dyDescent="0.25">
      <c r="B28" s="84"/>
      <c r="C28" s="83"/>
      <c r="D28" s="82" t="s">
        <v>355</v>
      </c>
      <c r="E28" s="26" t="s">
        <v>358</v>
      </c>
      <c r="F28" s="122">
        <v>9.73</v>
      </c>
      <c r="G28" s="122">
        <v>155.77000000000001</v>
      </c>
      <c r="H28" s="122">
        <f t="shared" si="0"/>
        <v>146.04000000000002</v>
      </c>
      <c r="I28" s="122">
        <v>136.49</v>
      </c>
      <c r="J28" s="122">
        <f t="shared" si="1"/>
        <v>6.539304300191735</v>
      </c>
      <c r="L28" s="92"/>
    </row>
    <row r="29" spans="2:13" ht="22.15" customHeight="1" thickBot="1" x14ac:dyDescent="0.3">
      <c r="B29" s="79"/>
      <c r="C29" s="78"/>
      <c r="D29" s="77" t="s">
        <v>354</v>
      </c>
      <c r="E29" s="20" t="s">
        <v>358</v>
      </c>
      <c r="F29" s="121">
        <v>9.7200000000000006</v>
      </c>
      <c r="G29" s="121">
        <v>104.75</v>
      </c>
      <c r="H29" s="121">
        <f t="shared" si="0"/>
        <v>95.03</v>
      </c>
      <c r="I29" s="121">
        <v>89.26</v>
      </c>
      <c r="J29" s="121">
        <f t="shared" si="1"/>
        <v>6.0717668104808959</v>
      </c>
      <c r="L29" s="92"/>
    </row>
    <row r="30" spans="2:13" ht="22.15" customHeight="1" x14ac:dyDescent="0.25">
      <c r="B30" s="89" t="s">
        <v>387</v>
      </c>
      <c r="C30" s="88">
        <v>3</v>
      </c>
      <c r="D30" s="87" t="s">
        <v>356</v>
      </c>
      <c r="E30" s="31" t="s">
        <v>365</v>
      </c>
      <c r="F30" s="123">
        <v>9.7200000000000006</v>
      </c>
      <c r="G30" s="123">
        <v>310.27</v>
      </c>
      <c r="H30" s="123">
        <f t="shared" si="0"/>
        <v>300.54999999999995</v>
      </c>
      <c r="I30" s="123">
        <v>279.13</v>
      </c>
      <c r="J30" s="123">
        <f t="shared" si="1"/>
        <v>7.1269339544168888</v>
      </c>
      <c r="L30" s="92"/>
    </row>
    <row r="31" spans="2:13" ht="22.15" customHeight="1" x14ac:dyDescent="0.25">
      <c r="B31" s="84"/>
      <c r="C31" s="83"/>
      <c r="D31" s="82" t="s">
        <v>355</v>
      </c>
      <c r="E31" s="26" t="s">
        <v>365</v>
      </c>
      <c r="F31" s="122">
        <v>9.68</v>
      </c>
      <c r="G31" s="122">
        <v>255.86</v>
      </c>
      <c r="H31" s="122">
        <f t="shared" si="0"/>
        <v>246.18</v>
      </c>
      <c r="I31" s="122">
        <v>230.25</v>
      </c>
      <c r="J31" s="122">
        <f t="shared" si="1"/>
        <v>6.4708749695344885</v>
      </c>
      <c r="L31" s="92"/>
    </row>
    <row r="32" spans="2:13" ht="22.15" customHeight="1" thickBot="1" x14ac:dyDescent="0.3">
      <c r="B32" s="79"/>
      <c r="C32" s="78"/>
      <c r="D32" s="77" t="s">
        <v>354</v>
      </c>
      <c r="E32" s="20" t="s">
        <v>365</v>
      </c>
      <c r="F32" s="121">
        <v>9.73</v>
      </c>
      <c r="G32" s="121">
        <v>172.07</v>
      </c>
      <c r="H32" s="121">
        <f t="shared" si="0"/>
        <v>162.34</v>
      </c>
      <c r="I32" s="121">
        <v>151.94</v>
      </c>
      <c r="J32" s="121">
        <f t="shared" si="1"/>
        <v>6.4063077491684144</v>
      </c>
      <c r="L32" s="92"/>
    </row>
    <row r="33" spans="2:12" ht="22.15" customHeight="1" x14ac:dyDescent="0.25">
      <c r="B33" s="89" t="s">
        <v>387</v>
      </c>
      <c r="C33" s="88">
        <v>2</v>
      </c>
      <c r="D33" s="87" t="s">
        <v>356</v>
      </c>
      <c r="E33" s="31" t="s">
        <v>369</v>
      </c>
      <c r="F33" s="123">
        <v>9.75</v>
      </c>
      <c r="G33" s="123">
        <v>274.29000000000002</v>
      </c>
      <c r="H33" s="123">
        <f t="shared" si="0"/>
        <v>264.54000000000002</v>
      </c>
      <c r="I33" s="123">
        <v>246.23</v>
      </c>
      <c r="J33" s="123">
        <f t="shared" si="1"/>
        <v>6.9214485522038363</v>
      </c>
      <c r="L33" s="92"/>
    </row>
    <row r="34" spans="2:12" ht="22.15" customHeight="1" x14ac:dyDescent="0.25">
      <c r="B34" s="84"/>
      <c r="C34" s="83"/>
      <c r="D34" s="82" t="s">
        <v>355</v>
      </c>
      <c r="E34" s="26" t="s">
        <v>369</v>
      </c>
      <c r="F34" s="122">
        <v>9.73</v>
      </c>
      <c r="G34" s="122">
        <v>266.81</v>
      </c>
      <c r="H34" s="122">
        <f t="shared" si="0"/>
        <v>257.08</v>
      </c>
      <c r="I34" s="122">
        <v>236.69</v>
      </c>
      <c r="J34" s="122">
        <f t="shared" si="1"/>
        <v>7.9313832270110423</v>
      </c>
      <c r="L34" s="92"/>
    </row>
    <row r="35" spans="2:12" ht="22.15" customHeight="1" thickBot="1" x14ac:dyDescent="0.3">
      <c r="B35" s="79"/>
      <c r="C35" s="78"/>
      <c r="D35" s="77" t="s">
        <v>354</v>
      </c>
      <c r="E35" s="20" t="s">
        <v>369</v>
      </c>
      <c r="F35" s="121">
        <v>9.73</v>
      </c>
      <c r="G35" s="121">
        <v>269.87</v>
      </c>
      <c r="H35" s="121">
        <f t="shared" si="0"/>
        <v>260.14</v>
      </c>
      <c r="I35" s="121">
        <v>242.14</v>
      </c>
      <c r="J35" s="121">
        <f t="shared" si="1"/>
        <v>6.9193511186284304</v>
      </c>
      <c r="L35" s="92"/>
    </row>
    <row r="36" spans="2:12" ht="22.15" customHeight="1" x14ac:dyDescent="0.25">
      <c r="B36" s="89" t="s">
        <v>387</v>
      </c>
      <c r="C36" s="88">
        <v>1</v>
      </c>
      <c r="D36" s="87" t="s">
        <v>356</v>
      </c>
      <c r="E36" s="31" t="s">
        <v>353</v>
      </c>
      <c r="F36" s="123">
        <v>9.7100000000000009</v>
      </c>
      <c r="G36" s="123">
        <v>180.41</v>
      </c>
      <c r="H36" s="123">
        <f t="shared" si="0"/>
        <v>170.7</v>
      </c>
      <c r="I36" s="123">
        <v>159.52000000000001</v>
      </c>
      <c r="J36" s="123">
        <f t="shared" si="1"/>
        <v>6.5495020503807737</v>
      </c>
      <c r="L36" s="92"/>
    </row>
    <row r="37" spans="2:12" ht="22.15" customHeight="1" x14ac:dyDescent="0.25">
      <c r="B37" s="84"/>
      <c r="C37" s="83"/>
      <c r="D37" s="82" t="s">
        <v>355</v>
      </c>
      <c r="E37" s="26" t="s">
        <v>353</v>
      </c>
      <c r="F37" s="122">
        <v>9.69</v>
      </c>
      <c r="G37" s="122">
        <v>205.18</v>
      </c>
      <c r="H37" s="122">
        <f t="shared" si="0"/>
        <v>195.49</v>
      </c>
      <c r="I37" s="122">
        <v>183.08</v>
      </c>
      <c r="J37" s="122">
        <f t="shared" si="1"/>
        <v>6.3481508005524558</v>
      </c>
      <c r="L37" s="92"/>
    </row>
    <row r="38" spans="2:12" ht="22.15" customHeight="1" thickBot="1" x14ac:dyDescent="0.3">
      <c r="B38" s="79"/>
      <c r="C38" s="78"/>
      <c r="D38" s="77" t="s">
        <v>354</v>
      </c>
      <c r="E38" s="20" t="s">
        <v>353</v>
      </c>
      <c r="F38" s="121">
        <v>9.6999999999999993</v>
      </c>
      <c r="G38" s="121">
        <v>296.92</v>
      </c>
      <c r="H38" s="121">
        <f t="shared" si="0"/>
        <v>287.22000000000003</v>
      </c>
      <c r="I38" s="121">
        <v>267.23</v>
      </c>
      <c r="J38" s="121">
        <f t="shared" si="1"/>
        <v>6.9598217394331892</v>
      </c>
      <c r="L38" s="92"/>
    </row>
    <row r="39" spans="2:12" ht="22.15" customHeight="1" x14ac:dyDescent="0.25">
      <c r="B39" s="89" t="s">
        <v>386</v>
      </c>
      <c r="C39" s="88">
        <v>1</v>
      </c>
      <c r="D39" s="87" t="s">
        <v>354</v>
      </c>
      <c r="E39" s="31" t="s">
        <v>368</v>
      </c>
      <c r="F39" s="123">
        <v>9.7100000000000009</v>
      </c>
      <c r="G39" s="123">
        <v>142.72999999999999</v>
      </c>
      <c r="H39" s="123">
        <f t="shared" si="0"/>
        <v>133.01999999999998</v>
      </c>
      <c r="I39" s="123">
        <v>123.4</v>
      </c>
      <c r="J39" s="123">
        <f t="shared" si="1"/>
        <v>7.2319951886934133</v>
      </c>
      <c r="K39" s="120">
        <v>9.1999999999999993</v>
      </c>
      <c r="L39" s="92"/>
    </row>
    <row r="40" spans="2:12" ht="22.15" customHeight="1" x14ac:dyDescent="0.25">
      <c r="B40" s="84"/>
      <c r="C40" s="83"/>
      <c r="D40" s="82" t="s">
        <v>355</v>
      </c>
      <c r="E40" s="26" t="s">
        <v>368</v>
      </c>
      <c r="F40" s="122">
        <v>9.7200000000000006</v>
      </c>
      <c r="G40" s="122">
        <v>131.06</v>
      </c>
      <c r="H40" s="122">
        <f t="shared" si="0"/>
        <v>121.34</v>
      </c>
      <c r="I40" s="122">
        <v>112.99</v>
      </c>
      <c r="J40" s="122">
        <f t="shared" si="1"/>
        <v>6.8814900280204458</v>
      </c>
      <c r="L40" s="92"/>
    </row>
    <row r="41" spans="2:12" ht="22.15" customHeight="1" thickBot="1" x14ac:dyDescent="0.3">
      <c r="B41" s="79"/>
      <c r="C41" s="78"/>
      <c r="D41" s="77" t="s">
        <v>356</v>
      </c>
      <c r="E41" s="20" t="s">
        <v>368</v>
      </c>
      <c r="F41" s="121">
        <v>9.6999999999999993</v>
      </c>
      <c r="G41" s="121">
        <v>143.18</v>
      </c>
      <c r="H41" s="121">
        <f t="shared" si="0"/>
        <v>133.48000000000002</v>
      </c>
      <c r="I41" s="121">
        <v>123.91</v>
      </c>
      <c r="J41" s="121">
        <f t="shared" si="1"/>
        <v>7.1696134252322601</v>
      </c>
      <c r="L41" s="92"/>
    </row>
    <row r="42" spans="2:12" ht="22.15" customHeight="1" x14ac:dyDescent="0.25">
      <c r="B42" s="89" t="s">
        <v>386</v>
      </c>
      <c r="C42" s="88">
        <v>2</v>
      </c>
      <c r="D42" s="87" t="s">
        <v>354</v>
      </c>
      <c r="E42" s="31" t="s">
        <v>366</v>
      </c>
      <c r="F42" s="123">
        <v>9.73</v>
      </c>
      <c r="G42" s="123">
        <v>143.08000000000001</v>
      </c>
      <c r="H42" s="123">
        <f t="shared" si="0"/>
        <v>133.35000000000002</v>
      </c>
      <c r="I42" s="123">
        <v>124.51</v>
      </c>
      <c r="J42" s="123">
        <f t="shared" si="1"/>
        <v>6.6291713535808148</v>
      </c>
      <c r="K42" s="120">
        <v>8.6999999999999993</v>
      </c>
      <c r="L42" s="92"/>
    </row>
    <row r="43" spans="2:12" ht="22.15" customHeight="1" x14ac:dyDescent="0.25">
      <c r="B43" s="84"/>
      <c r="C43" s="83"/>
      <c r="D43" s="82" t="s">
        <v>355</v>
      </c>
      <c r="E43" s="26" t="s">
        <v>366</v>
      </c>
      <c r="F43" s="122">
        <v>9.7200000000000006</v>
      </c>
      <c r="G43" s="122">
        <v>196.69</v>
      </c>
      <c r="H43" s="122">
        <f t="shared" si="0"/>
        <v>186.97</v>
      </c>
      <c r="I43" s="122">
        <v>175.44</v>
      </c>
      <c r="J43" s="122">
        <f t="shared" si="1"/>
        <v>6.1667647216130934</v>
      </c>
      <c r="L43" s="92"/>
    </row>
    <row r="44" spans="2:12" ht="22.15" customHeight="1" thickBot="1" x14ac:dyDescent="0.3">
      <c r="B44" s="79"/>
      <c r="C44" s="78"/>
      <c r="D44" s="77" t="s">
        <v>356</v>
      </c>
      <c r="E44" s="20" t="s">
        <v>366</v>
      </c>
      <c r="F44" s="121">
        <v>9.6999999999999993</v>
      </c>
      <c r="G44" s="121">
        <v>210.51</v>
      </c>
      <c r="H44" s="121">
        <f t="shared" si="0"/>
        <v>200.81</v>
      </c>
      <c r="I44" s="121">
        <v>186.2</v>
      </c>
      <c r="J44" s="121">
        <f t="shared" si="1"/>
        <v>7.2755340869478689</v>
      </c>
      <c r="L44" s="92"/>
    </row>
    <row r="45" spans="2:12" ht="22.15" customHeight="1" x14ac:dyDescent="0.25">
      <c r="B45" s="89" t="s">
        <v>386</v>
      </c>
      <c r="C45" s="88">
        <v>3</v>
      </c>
      <c r="D45" s="87" t="s">
        <v>354</v>
      </c>
      <c r="E45" s="31" t="s">
        <v>373</v>
      </c>
      <c r="F45" s="123">
        <v>9.6999999999999993</v>
      </c>
      <c r="G45" s="123">
        <v>204.83</v>
      </c>
      <c r="H45" s="123">
        <f t="shared" si="0"/>
        <v>195.13000000000002</v>
      </c>
      <c r="I45" s="123">
        <v>183.43</v>
      </c>
      <c r="J45" s="123">
        <f t="shared" si="1"/>
        <v>5.9960026648900815</v>
      </c>
      <c r="K45" s="120">
        <v>8.5</v>
      </c>
      <c r="L45" s="92"/>
    </row>
    <row r="46" spans="2:12" ht="22.15" customHeight="1" x14ac:dyDescent="0.2">
      <c r="B46" s="84"/>
      <c r="C46" s="83"/>
      <c r="D46" s="82" t="s">
        <v>355</v>
      </c>
      <c r="E46" s="26" t="s">
        <v>373</v>
      </c>
      <c r="F46" s="122">
        <v>9.76</v>
      </c>
      <c r="G46" s="122">
        <v>227.79</v>
      </c>
      <c r="H46" s="122">
        <f t="shared" si="0"/>
        <v>218.03</v>
      </c>
      <c r="I46" s="122">
        <v>204.22</v>
      </c>
      <c r="J46" s="122">
        <f t="shared" si="1"/>
        <v>6.3339907352199241</v>
      </c>
    </row>
    <row r="47" spans="2:12" ht="22.15" customHeight="1" thickBot="1" x14ac:dyDescent="0.25">
      <c r="B47" s="79"/>
      <c r="C47" s="78"/>
      <c r="D47" s="77" t="s">
        <v>356</v>
      </c>
      <c r="E47" s="20" t="s">
        <v>373</v>
      </c>
      <c r="F47" s="121">
        <v>9.6999999999999993</v>
      </c>
      <c r="G47" s="121">
        <v>123.42</v>
      </c>
      <c r="H47" s="121">
        <f t="shared" ref="H47:H78" si="2">G47-F47</f>
        <v>113.72</v>
      </c>
      <c r="I47" s="121">
        <v>105.35</v>
      </c>
      <c r="J47" s="121">
        <f t="shared" ref="J47:J78" si="3">((H47-I47)/H47)*100</f>
        <v>7.3601829053816434</v>
      </c>
    </row>
    <row r="48" spans="2:12" ht="22.15" customHeight="1" x14ac:dyDescent="0.2">
      <c r="B48" s="89" t="s">
        <v>386</v>
      </c>
      <c r="C48" s="88">
        <v>4</v>
      </c>
      <c r="D48" s="87" t="s">
        <v>354</v>
      </c>
      <c r="E48" s="31" t="s">
        <v>363</v>
      </c>
      <c r="F48" s="123">
        <v>9.7100000000000009</v>
      </c>
      <c r="G48" s="123">
        <v>238.63</v>
      </c>
      <c r="H48" s="123">
        <f t="shared" si="2"/>
        <v>228.92</v>
      </c>
      <c r="I48" s="123">
        <v>210.99</v>
      </c>
      <c r="J48" s="123">
        <f t="shared" si="3"/>
        <v>7.8324305434212729</v>
      </c>
      <c r="K48" s="124">
        <v>9.6</v>
      </c>
    </row>
    <row r="49" spans="2:11" ht="22.15" customHeight="1" x14ac:dyDescent="0.2">
      <c r="B49" s="84"/>
      <c r="C49" s="83"/>
      <c r="D49" s="82" t="s">
        <v>355</v>
      </c>
      <c r="E49" s="26" t="s">
        <v>363</v>
      </c>
      <c r="F49" s="122">
        <v>9.76</v>
      </c>
      <c r="G49" s="122">
        <v>251.31</v>
      </c>
      <c r="H49" s="122">
        <f t="shared" si="2"/>
        <v>241.55</v>
      </c>
      <c r="I49" s="122">
        <v>225.53</v>
      </c>
      <c r="J49" s="122">
        <f t="shared" si="3"/>
        <v>6.6321672531567</v>
      </c>
    </row>
    <row r="50" spans="2:11" ht="22.15" customHeight="1" thickBot="1" x14ac:dyDescent="0.25">
      <c r="B50" s="79"/>
      <c r="C50" s="78"/>
      <c r="D50" s="77" t="s">
        <v>356</v>
      </c>
      <c r="E50" s="20" t="s">
        <v>363</v>
      </c>
      <c r="F50" s="121">
        <v>9.73</v>
      </c>
      <c r="G50" s="121">
        <v>96.92</v>
      </c>
      <c r="H50" s="121">
        <f t="shared" si="2"/>
        <v>87.19</v>
      </c>
      <c r="I50" s="121">
        <v>82.08</v>
      </c>
      <c r="J50" s="121">
        <f t="shared" si="3"/>
        <v>5.8607638490652594</v>
      </c>
    </row>
    <row r="51" spans="2:11" ht="22.15" customHeight="1" x14ac:dyDescent="0.2">
      <c r="B51" s="89" t="s">
        <v>384</v>
      </c>
      <c r="C51" s="88">
        <v>4</v>
      </c>
      <c r="D51" s="87" t="s">
        <v>356</v>
      </c>
      <c r="E51" s="31" t="s">
        <v>375</v>
      </c>
      <c r="F51" s="123">
        <v>9.69</v>
      </c>
      <c r="G51" s="123">
        <v>198.83</v>
      </c>
      <c r="H51" s="123">
        <f t="shared" si="2"/>
        <v>189.14000000000001</v>
      </c>
      <c r="I51" s="123">
        <v>177.23</v>
      </c>
      <c r="J51" s="123">
        <f t="shared" si="3"/>
        <v>6.2969229142434298</v>
      </c>
    </row>
    <row r="52" spans="2:11" ht="22.15" customHeight="1" x14ac:dyDescent="0.2">
      <c r="B52" s="84"/>
      <c r="C52" s="83"/>
      <c r="D52" s="82" t="s">
        <v>355</v>
      </c>
      <c r="E52" s="26" t="s">
        <v>375</v>
      </c>
      <c r="F52" s="122">
        <v>9.73</v>
      </c>
      <c r="G52" s="122">
        <v>156.12</v>
      </c>
      <c r="H52" s="122">
        <f t="shared" si="2"/>
        <v>146.39000000000001</v>
      </c>
      <c r="I52" s="122">
        <v>137.44999999999999</v>
      </c>
      <c r="J52" s="122">
        <f t="shared" si="3"/>
        <v>6.106974520117511</v>
      </c>
    </row>
    <row r="53" spans="2:11" ht="22.15" customHeight="1" thickBot="1" x14ac:dyDescent="0.25">
      <c r="B53" s="79"/>
      <c r="C53" s="78"/>
      <c r="D53" s="77" t="s">
        <v>354</v>
      </c>
      <c r="E53" s="20" t="s">
        <v>375</v>
      </c>
      <c r="F53" s="121">
        <v>9.6999999999999993</v>
      </c>
      <c r="G53" s="121">
        <v>243.62</v>
      </c>
      <c r="H53" s="121">
        <f t="shared" si="2"/>
        <v>233.92000000000002</v>
      </c>
      <c r="I53" s="121">
        <v>215.64</v>
      </c>
      <c r="J53" s="121">
        <f t="shared" si="3"/>
        <v>7.8146374829001486</v>
      </c>
      <c r="K53" s="124">
        <v>8.8000000000000007</v>
      </c>
    </row>
    <row r="54" spans="2:11" ht="22.15" customHeight="1" x14ac:dyDescent="0.2">
      <c r="B54" s="89" t="s">
        <v>384</v>
      </c>
      <c r="C54" s="88">
        <v>3</v>
      </c>
      <c r="D54" s="87" t="s">
        <v>356</v>
      </c>
      <c r="E54" s="31" t="s">
        <v>360</v>
      </c>
      <c r="F54" s="123">
        <v>9.73</v>
      </c>
      <c r="G54" s="123">
        <v>154.37</v>
      </c>
      <c r="H54" s="123">
        <f t="shared" si="2"/>
        <v>144.64000000000001</v>
      </c>
      <c r="I54" s="123">
        <v>134.41999999999999</v>
      </c>
      <c r="J54" s="123">
        <f t="shared" si="3"/>
        <v>7.0658185840708141</v>
      </c>
    </row>
    <row r="55" spans="2:11" ht="22.15" customHeight="1" x14ac:dyDescent="0.2">
      <c r="B55" s="84"/>
      <c r="C55" s="83"/>
      <c r="D55" s="82" t="s">
        <v>355</v>
      </c>
      <c r="E55" s="26" t="s">
        <v>360</v>
      </c>
      <c r="F55" s="122">
        <v>9.7200000000000006</v>
      </c>
      <c r="G55" s="122">
        <v>205.61</v>
      </c>
      <c r="H55" s="122">
        <f t="shared" si="2"/>
        <v>195.89000000000001</v>
      </c>
      <c r="I55" s="122">
        <v>183.25</v>
      </c>
      <c r="J55" s="122">
        <f t="shared" si="3"/>
        <v>6.4526009495124885</v>
      </c>
    </row>
    <row r="56" spans="2:11" ht="22.15" customHeight="1" thickBot="1" x14ac:dyDescent="0.25">
      <c r="B56" s="79"/>
      <c r="C56" s="78"/>
      <c r="D56" s="77" t="s">
        <v>354</v>
      </c>
      <c r="E56" s="20" t="s">
        <v>360</v>
      </c>
      <c r="F56" s="121">
        <v>9.6999999999999993</v>
      </c>
      <c r="G56" s="121">
        <v>212.23</v>
      </c>
      <c r="H56" s="121">
        <f t="shared" si="2"/>
        <v>202.53</v>
      </c>
      <c r="I56" s="121">
        <v>189.67</v>
      </c>
      <c r="J56" s="121">
        <f t="shared" si="3"/>
        <v>6.349676591122309</v>
      </c>
      <c r="K56" s="120">
        <v>8.9</v>
      </c>
    </row>
    <row r="57" spans="2:11" ht="22.15" customHeight="1" x14ac:dyDescent="0.2">
      <c r="B57" s="89" t="s">
        <v>384</v>
      </c>
      <c r="C57" s="88">
        <v>2</v>
      </c>
      <c r="D57" s="87" t="s">
        <v>356</v>
      </c>
      <c r="E57" s="31" t="s">
        <v>370</v>
      </c>
      <c r="F57" s="123">
        <v>9.73</v>
      </c>
      <c r="G57" s="123">
        <v>225.75</v>
      </c>
      <c r="H57" s="123">
        <f t="shared" si="2"/>
        <v>216.02</v>
      </c>
      <c r="I57" s="123">
        <v>202.94</v>
      </c>
      <c r="J57" s="123">
        <f t="shared" si="3"/>
        <v>6.054994907878906</v>
      </c>
    </row>
    <row r="58" spans="2:11" ht="22.15" customHeight="1" x14ac:dyDescent="0.2">
      <c r="B58" s="84"/>
      <c r="C58" s="83"/>
      <c r="D58" s="82" t="s">
        <v>355</v>
      </c>
      <c r="E58" s="26" t="s">
        <v>370</v>
      </c>
      <c r="F58" s="122">
        <v>9.7100000000000009</v>
      </c>
      <c r="G58" s="122">
        <v>135.99</v>
      </c>
      <c r="H58" s="122">
        <f t="shared" si="2"/>
        <v>126.28</v>
      </c>
      <c r="I58" s="122">
        <v>118.23</v>
      </c>
      <c r="J58" s="122">
        <f t="shared" si="3"/>
        <v>6.3747228381374699</v>
      </c>
    </row>
    <row r="59" spans="2:11" ht="22.15" customHeight="1" thickBot="1" x14ac:dyDescent="0.25">
      <c r="B59" s="79"/>
      <c r="C59" s="78"/>
      <c r="D59" s="77" t="s">
        <v>354</v>
      </c>
      <c r="E59" s="20" t="s">
        <v>370</v>
      </c>
      <c r="F59" s="121">
        <v>9.6999999999999993</v>
      </c>
      <c r="G59" s="121">
        <v>132.34</v>
      </c>
      <c r="H59" s="121">
        <f t="shared" si="2"/>
        <v>122.64</v>
      </c>
      <c r="I59" s="121">
        <v>115.59</v>
      </c>
      <c r="J59" s="121">
        <f t="shared" si="3"/>
        <v>5.7485322896281774</v>
      </c>
      <c r="K59" s="120">
        <v>7.3</v>
      </c>
    </row>
    <row r="60" spans="2:11" ht="22.15" customHeight="1" x14ac:dyDescent="0.2">
      <c r="B60" s="89" t="s">
        <v>384</v>
      </c>
      <c r="C60" s="88">
        <v>1</v>
      </c>
      <c r="D60" s="87" t="s">
        <v>356</v>
      </c>
      <c r="E60" s="31" t="s">
        <v>374</v>
      </c>
      <c r="F60" s="123">
        <v>9.6999999999999993</v>
      </c>
      <c r="G60" s="123">
        <v>145.91999999999999</v>
      </c>
      <c r="H60" s="123">
        <f t="shared" si="2"/>
        <v>136.22</v>
      </c>
      <c r="I60" s="123">
        <v>127.11</v>
      </c>
      <c r="J60" s="123">
        <f t="shared" si="3"/>
        <v>6.6877110556452788</v>
      </c>
    </row>
    <row r="61" spans="2:11" ht="22.15" customHeight="1" x14ac:dyDescent="0.2">
      <c r="B61" s="84"/>
      <c r="C61" s="83"/>
      <c r="D61" s="82" t="s">
        <v>355</v>
      </c>
      <c r="E61" s="26" t="s">
        <v>374</v>
      </c>
      <c r="F61" s="122">
        <v>9.74</v>
      </c>
      <c r="G61" s="122">
        <v>232.43</v>
      </c>
      <c r="H61" s="122">
        <f t="shared" si="2"/>
        <v>222.69</v>
      </c>
      <c r="I61" s="122">
        <v>207.16</v>
      </c>
      <c r="J61" s="122">
        <f t="shared" si="3"/>
        <v>6.973820108671247</v>
      </c>
    </row>
    <row r="62" spans="2:11" ht="22.15" customHeight="1" thickBot="1" x14ac:dyDescent="0.25">
      <c r="B62" s="79"/>
      <c r="C62" s="78"/>
      <c r="D62" s="77" t="s">
        <v>354</v>
      </c>
      <c r="E62" s="20" t="s">
        <v>374</v>
      </c>
      <c r="F62" s="121">
        <v>9.6999999999999993</v>
      </c>
      <c r="G62" s="121">
        <v>136.49</v>
      </c>
      <c r="H62" s="121">
        <f t="shared" si="2"/>
        <v>126.79</v>
      </c>
      <c r="I62" s="121">
        <v>118.83</v>
      </c>
      <c r="J62" s="121">
        <f t="shared" si="3"/>
        <v>6.2780976417698611</v>
      </c>
      <c r="K62" s="120">
        <v>8.4</v>
      </c>
    </row>
    <row r="63" spans="2:11" ht="22.15" customHeight="1" x14ac:dyDescent="0.2">
      <c r="B63" s="89" t="s">
        <v>383</v>
      </c>
      <c r="C63" s="88">
        <v>1</v>
      </c>
      <c r="D63" s="87" t="s">
        <v>354</v>
      </c>
      <c r="E63" s="31" t="s">
        <v>360</v>
      </c>
      <c r="F63" s="123">
        <v>9.68</v>
      </c>
      <c r="G63" s="123">
        <v>181.81</v>
      </c>
      <c r="H63" s="123">
        <f t="shared" si="2"/>
        <v>172.13</v>
      </c>
      <c r="I63" s="123">
        <v>161.22999999999999</v>
      </c>
      <c r="J63" s="123">
        <f t="shared" si="3"/>
        <v>6.3324231685354126</v>
      </c>
      <c r="K63" s="120">
        <v>7.6</v>
      </c>
    </row>
    <row r="64" spans="2:11" ht="22.15" customHeight="1" x14ac:dyDescent="0.2">
      <c r="B64" s="18"/>
      <c r="C64" s="83"/>
      <c r="D64" s="82" t="s">
        <v>355</v>
      </c>
      <c r="E64" s="26" t="s">
        <v>360</v>
      </c>
      <c r="F64" s="122">
        <v>9.7200000000000006</v>
      </c>
      <c r="G64" s="122">
        <v>202.02</v>
      </c>
      <c r="H64" s="122">
        <f t="shared" si="2"/>
        <v>192.3</v>
      </c>
      <c r="I64" s="122">
        <v>180.06</v>
      </c>
      <c r="J64" s="122">
        <f t="shared" si="3"/>
        <v>6.3650546021840917</v>
      </c>
    </row>
    <row r="65" spans="2:11" ht="22.15" customHeight="1" thickBot="1" x14ac:dyDescent="0.25">
      <c r="B65" s="79"/>
      <c r="C65" s="78"/>
      <c r="D65" s="77" t="s">
        <v>356</v>
      </c>
      <c r="E65" s="20" t="s">
        <v>360</v>
      </c>
      <c r="F65" s="121">
        <v>9.68</v>
      </c>
      <c r="G65" s="121">
        <v>180.7</v>
      </c>
      <c r="H65" s="121">
        <f t="shared" si="2"/>
        <v>171.01999999999998</v>
      </c>
      <c r="I65" s="121">
        <v>159.21</v>
      </c>
      <c r="J65" s="121">
        <f t="shared" si="3"/>
        <v>6.9056250730908513</v>
      </c>
    </row>
    <row r="66" spans="2:11" ht="22.15" customHeight="1" x14ac:dyDescent="0.2">
      <c r="B66" s="89" t="s">
        <v>383</v>
      </c>
      <c r="C66" s="88">
        <v>2</v>
      </c>
      <c r="D66" s="87" t="s">
        <v>354</v>
      </c>
      <c r="E66" s="31" t="s">
        <v>365</v>
      </c>
      <c r="F66" s="123">
        <v>9.68</v>
      </c>
      <c r="G66" s="123">
        <v>231.4</v>
      </c>
      <c r="H66" s="123">
        <f t="shared" si="2"/>
        <v>221.72</v>
      </c>
      <c r="I66" s="123">
        <v>206.72</v>
      </c>
      <c r="J66" s="123">
        <f t="shared" si="3"/>
        <v>6.7652895543929281</v>
      </c>
      <c r="K66" s="120">
        <v>8.6999999999999993</v>
      </c>
    </row>
    <row r="67" spans="2:11" ht="22.15" customHeight="1" x14ac:dyDescent="0.2">
      <c r="B67" s="84"/>
      <c r="C67" s="83"/>
      <c r="D67" s="82" t="s">
        <v>355</v>
      </c>
      <c r="E67" s="26" t="s">
        <v>365</v>
      </c>
      <c r="F67" s="122">
        <v>9.67</v>
      </c>
      <c r="G67" s="122">
        <v>141.69999999999999</v>
      </c>
      <c r="H67" s="122">
        <f t="shared" si="2"/>
        <v>132.03</v>
      </c>
      <c r="I67" s="122">
        <v>122.36</v>
      </c>
      <c r="J67" s="122">
        <f t="shared" si="3"/>
        <v>7.3240930091645851</v>
      </c>
    </row>
    <row r="68" spans="2:11" ht="22.15" customHeight="1" thickBot="1" x14ac:dyDescent="0.25">
      <c r="B68" s="79"/>
      <c r="C68" s="78"/>
      <c r="D68" s="77" t="s">
        <v>356</v>
      </c>
      <c r="E68" s="20" t="s">
        <v>365</v>
      </c>
      <c r="F68" s="121">
        <v>9.66</v>
      </c>
      <c r="G68" s="121">
        <v>153.22999999999999</v>
      </c>
      <c r="H68" s="121">
        <f t="shared" si="2"/>
        <v>143.57</v>
      </c>
      <c r="I68" s="121">
        <v>134.13999999999999</v>
      </c>
      <c r="J68" s="121">
        <f t="shared" si="3"/>
        <v>6.5682245594483577</v>
      </c>
    </row>
    <row r="69" spans="2:11" ht="22.15" customHeight="1" x14ac:dyDescent="0.2">
      <c r="B69" s="89" t="s">
        <v>383</v>
      </c>
      <c r="C69" s="88">
        <v>3</v>
      </c>
      <c r="D69" s="87" t="s">
        <v>354</v>
      </c>
      <c r="E69" s="31" t="s">
        <v>368</v>
      </c>
      <c r="F69" s="123">
        <v>9.6999999999999993</v>
      </c>
      <c r="G69" s="123">
        <v>191.65</v>
      </c>
      <c r="H69" s="123">
        <f t="shared" si="2"/>
        <v>181.95000000000002</v>
      </c>
      <c r="I69" s="123">
        <v>170.58</v>
      </c>
      <c r="J69" s="123">
        <f t="shared" si="3"/>
        <v>6.2489694971145937</v>
      </c>
      <c r="K69" s="120">
        <v>8.1</v>
      </c>
    </row>
    <row r="70" spans="2:11" ht="22.15" customHeight="1" x14ac:dyDescent="0.2">
      <c r="B70" s="84"/>
      <c r="C70" s="83"/>
      <c r="D70" s="82" t="s">
        <v>355</v>
      </c>
      <c r="E70" s="26" t="s">
        <v>368</v>
      </c>
      <c r="F70" s="122">
        <v>9.67</v>
      </c>
      <c r="G70" s="122">
        <v>140.97999999999999</v>
      </c>
      <c r="H70" s="122">
        <f t="shared" si="2"/>
        <v>131.31</v>
      </c>
      <c r="I70" s="122">
        <v>122.32</v>
      </c>
      <c r="J70" s="122">
        <f t="shared" si="3"/>
        <v>6.8463940293960928</v>
      </c>
    </row>
    <row r="71" spans="2:11" ht="22.15" customHeight="1" thickBot="1" x14ac:dyDescent="0.25">
      <c r="B71" s="79"/>
      <c r="C71" s="78"/>
      <c r="D71" s="77" t="s">
        <v>356</v>
      </c>
      <c r="E71" s="20" t="s">
        <v>368</v>
      </c>
      <c r="F71" s="121">
        <v>9.68</v>
      </c>
      <c r="G71" s="121">
        <v>229.56</v>
      </c>
      <c r="H71" s="121">
        <f t="shared" si="2"/>
        <v>219.88</v>
      </c>
      <c r="I71" s="121">
        <v>205.24</v>
      </c>
      <c r="J71" s="121">
        <f t="shared" si="3"/>
        <v>6.6581771875568432</v>
      </c>
    </row>
    <row r="72" spans="2:11" ht="22.15" customHeight="1" x14ac:dyDescent="0.2">
      <c r="B72" s="89" t="s">
        <v>383</v>
      </c>
      <c r="C72" s="88">
        <v>4</v>
      </c>
      <c r="D72" s="87" t="s">
        <v>354</v>
      </c>
      <c r="E72" s="31" t="s">
        <v>366</v>
      </c>
      <c r="F72" s="123">
        <v>9.69</v>
      </c>
      <c r="G72" s="123">
        <v>156.58000000000001</v>
      </c>
      <c r="H72" s="123">
        <f t="shared" si="2"/>
        <v>146.89000000000001</v>
      </c>
      <c r="I72" s="123">
        <v>138.06</v>
      </c>
      <c r="J72" s="123">
        <f t="shared" si="3"/>
        <v>6.0113009735176064</v>
      </c>
      <c r="K72" s="120">
        <v>7.8</v>
      </c>
    </row>
    <row r="73" spans="2:11" ht="22.15" customHeight="1" x14ac:dyDescent="0.2">
      <c r="B73" s="84"/>
      <c r="C73" s="83"/>
      <c r="D73" s="82" t="s">
        <v>355</v>
      </c>
      <c r="E73" s="26" t="s">
        <v>366</v>
      </c>
      <c r="F73" s="122">
        <v>9.66</v>
      </c>
      <c r="G73" s="122">
        <v>203.44</v>
      </c>
      <c r="H73" s="122">
        <f t="shared" si="2"/>
        <v>193.78</v>
      </c>
      <c r="I73" s="122">
        <v>180.11</v>
      </c>
      <c r="J73" s="122">
        <f t="shared" si="3"/>
        <v>7.0543915780782269</v>
      </c>
    </row>
    <row r="74" spans="2:11" ht="22.15" customHeight="1" thickBot="1" x14ac:dyDescent="0.25">
      <c r="B74" s="79"/>
      <c r="C74" s="78"/>
      <c r="D74" s="77" t="s">
        <v>356</v>
      </c>
      <c r="E74" s="20" t="s">
        <v>366</v>
      </c>
      <c r="F74" s="121">
        <v>9.67</v>
      </c>
      <c r="G74" s="121">
        <v>243.47</v>
      </c>
      <c r="H74" s="121">
        <f t="shared" si="2"/>
        <v>233.8</v>
      </c>
      <c r="I74" s="121">
        <v>218.86</v>
      </c>
      <c r="J74" s="121">
        <f t="shared" si="3"/>
        <v>6.3900769888793825</v>
      </c>
    </row>
    <row r="75" spans="2:11" ht="22.15" customHeight="1" x14ac:dyDescent="0.2">
      <c r="B75" s="89" t="s">
        <v>382</v>
      </c>
      <c r="C75" s="88">
        <v>4</v>
      </c>
      <c r="D75" s="87" t="s">
        <v>356</v>
      </c>
      <c r="E75" s="31" t="s">
        <v>373</v>
      </c>
      <c r="F75" s="123">
        <v>9.66</v>
      </c>
      <c r="G75" s="123">
        <v>213.98</v>
      </c>
      <c r="H75" s="123">
        <f t="shared" si="2"/>
        <v>204.32</v>
      </c>
      <c r="I75" s="123">
        <v>190.53</v>
      </c>
      <c r="J75" s="123">
        <f t="shared" si="3"/>
        <v>6.749216914643692</v>
      </c>
    </row>
    <row r="76" spans="2:11" ht="22.15" customHeight="1" x14ac:dyDescent="0.2">
      <c r="B76" s="84"/>
      <c r="C76" s="83"/>
      <c r="D76" s="82" t="s">
        <v>355</v>
      </c>
      <c r="E76" s="26" t="s">
        <v>373</v>
      </c>
      <c r="F76" s="122">
        <v>9.68</v>
      </c>
      <c r="G76" s="122">
        <v>181.09</v>
      </c>
      <c r="H76" s="122">
        <f t="shared" si="2"/>
        <v>171.41</v>
      </c>
      <c r="I76" s="122">
        <v>160.94</v>
      </c>
      <c r="J76" s="122">
        <f t="shared" si="3"/>
        <v>6.1081617175193976</v>
      </c>
    </row>
    <row r="77" spans="2:11" ht="22.15" customHeight="1" thickBot="1" x14ac:dyDescent="0.25">
      <c r="B77" s="79"/>
      <c r="C77" s="78"/>
      <c r="D77" s="77" t="s">
        <v>354</v>
      </c>
      <c r="E77" s="20" t="s">
        <v>373</v>
      </c>
      <c r="F77" s="121">
        <v>9.67</v>
      </c>
      <c r="G77" s="121">
        <v>103.25</v>
      </c>
      <c r="H77" s="121">
        <f t="shared" si="2"/>
        <v>93.58</v>
      </c>
      <c r="I77" s="121">
        <v>87.87</v>
      </c>
      <c r="J77" s="121">
        <f t="shared" si="3"/>
        <v>6.101731139132287</v>
      </c>
      <c r="K77" s="120">
        <v>7.5</v>
      </c>
    </row>
    <row r="78" spans="2:11" ht="22.15" customHeight="1" x14ac:dyDescent="0.2">
      <c r="B78" s="89" t="s">
        <v>382</v>
      </c>
      <c r="C78" s="88">
        <v>3</v>
      </c>
      <c r="D78" s="87" t="s">
        <v>356</v>
      </c>
      <c r="E78" s="31" t="s">
        <v>369</v>
      </c>
      <c r="F78" s="123">
        <v>9.66</v>
      </c>
      <c r="G78" s="123">
        <v>158.21</v>
      </c>
      <c r="H78" s="123">
        <f t="shared" si="2"/>
        <v>148.55000000000001</v>
      </c>
      <c r="I78" s="123">
        <v>138.05000000000001</v>
      </c>
      <c r="J78" s="123">
        <f t="shared" si="3"/>
        <v>7.0683271625715234</v>
      </c>
    </row>
    <row r="79" spans="2:11" ht="22.15" customHeight="1" x14ac:dyDescent="0.2">
      <c r="B79" s="84"/>
      <c r="C79" s="83"/>
      <c r="D79" s="82" t="s">
        <v>355</v>
      </c>
      <c r="E79" s="26" t="s">
        <v>369</v>
      </c>
      <c r="F79" s="122">
        <v>9.69</v>
      </c>
      <c r="G79" s="122">
        <v>182.96</v>
      </c>
      <c r="H79" s="122">
        <f t="shared" ref="H79:H110" si="4">G79-F79</f>
        <v>173.27</v>
      </c>
      <c r="I79" s="122">
        <v>161.58000000000001</v>
      </c>
      <c r="J79" s="122">
        <f t="shared" ref="J79:J110" si="5">((H79-I79)/H79)*100</f>
        <v>6.7466959081202731</v>
      </c>
    </row>
    <row r="80" spans="2:11" ht="22.15" customHeight="1" thickBot="1" x14ac:dyDescent="0.25">
      <c r="B80" s="79"/>
      <c r="C80" s="78"/>
      <c r="D80" s="77" t="s">
        <v>354</v>
      </c>
      <c r="E80" s="20" t="s">
        <v>369</v>
      </c>
      <c r="F80" s="121">
        <v>9.6300000000000008</v>
      </c>
      <c r="G80" s="121">
        <v>163.95</v>
      </c>
      <c r="H80" s="121">
        <f t="shared" si="4"/>
        <v>154.32</v>
      </c>
      <c r="I80" s="121">
        <v>144.71</v>
      </c>
      <c r="J80" s="121">
        <f t="shared" si="5"/>
        <v>6.2273198548470621</v>
      </c>
      <c r="K80" s="120">
        <v>7.8</v>
      </c>
    </row>
    <row r="81" spans="2:11" ht="22.15" customHeight="1" x14ac:dyDescent="0.2">
      <c r="B81" s="89" t="s">
        <v>382</v>
      </c>
      <c r="C81" s="88">
        <v>2</v>
      </c>
      <c r="D81" s="87" t="s">
        <v>356</v>
      </c>
      <c r="E81" s="31" t="s">
        <v>364</v>
      </c>
      <c r="F81" s="123">
        <v>9.66</v>
      </c>
      <c r="G81" s="123">
        <v>241.99</v>
      </c>
      <c r="H81" s="123">
        <f t="shared" si="4"/>
        <v>232.33</v>
      </c>
      <c r="I81" s="123">
        <v>217.35</v>
      </c>
      <c r="J81" s="123">
        <f t="shared" si="5"/>
        <v>6.4477252184392961</v>
      </c>
    </row>
    <row r="82" spans="2:11" ht="22.15" customHeight="1" x14ac:dyDescent="0.2">
      <c r="B82" s="84"/>
      <c r="C82" s="83"/>
      <c r="D82" s="82" t="s">
        <v>355</v>
      </c>
      <c r="E82" s="26" t="s">
        <v>364</v>
      </c>
      <c r="F82" s="122">
        <v>9.66</v>
      </c>
      <c r="G82" s="122">
        <v>135.62</v>
      </c>
      <c r="H82" s="122">
        <f t="shared" si="4"/>
        <v>125.96000000000001</v>
      </c>
      <c r="I82" s="122">
        <v>117.67</v>
      </c>
      <c r="J82" s="122">
        <f t="shared" si="5"/>
        <v>6.5814544299777751</v>
      </c>
    </row>
    <row r="83" spans="2:11" ht="22.15" customHeight="1" thickBot="1" x14ac:dyDescent="0.25">
      <c r="B83" s="79"/>
      <c r="C83" s="78"/>
      <c r="D83" s="77" t="s">
        <v>354</v>
      </c>
      <c r="E83" s="20" t="s">
        <v>364</v>
      </c>
      <c r="F83" s="121">
        <v>9.66</v>
      </c>
      <c r="G83" s="121">
        <v>128.80000000000001</v>
      </c>
      <c r="H83" s="121">
        <f t="shared" si="4"/>
        <v>119.14000000000001</v>
      </c>
      <c r="I83" s="121">
        <v>111.85</v>
      </c>
      <c r="J83" s="121">
        <f t="shared" si="5"/>
        <v>6.1188517710257004</v>
      </c>
      <c r="K83" s="120">
        <v>8.1</v>
      </c>
    </row>
    <row r="84" spans="2:11" ht="22.15" customHeight="1" x14ac:dyDescent="0.2">
      <c r="B84" s="89" t="s">
        <v>382</v>
      </c>
      <c r="C84" s="88">
        <v>1</v>
      </c>
      <c r="D84" s="87" t="s">
        <v>356</v>
      </c>
      <c r="E84" s="31" t="s">
        <v>371</v>
      </c>
      <c r="F84" s="123">
        <v>9.68</v>
      </c>
      <c r="G84" s="123">
        <v>92.94</v>
      </c>
      <c r="H84" s="123">
        <f t="shared" si="4"/>
        <v>83.259999999999991</v>
      </c>
      <c r="I84" s="123">
        <v>78.38</v>
      </c>
      <c r="J84" s="123">
        <f t="shared" si="5"/>
        <v>5.8611578188806099</v>
      </c>
    </row>
    <row r="85" spans="2:11" ht="22.15" customHeight="1" x14ac:dyDescent="0.2">
      <c r="B85" s="84"/>
      <c r="C85" s="83"/>
      <c r="D85" s="82" t="s">
        <v>355</v>
      </c>
      <c r="E85" s="26" t="s">
        <v>371</v>
      </c>
      <c r="F85" s="122">
        <v>9.67</v>
      </c>
      <c r="G85" s="122">
        <v>235.01</v>
      </c>
      <c r="H85" s="122">
        <f t="shared" si="4"/>
        <v>225.34</v>
      </c>
      <c r="I85" s="122">
        <v>211.11</v>
      </c>
      <c r="J85" s="122">
        <f t="shared" si="5"/>
        <v>6.3149019259785169</v>
      </c>
    </row>
    <row r="86" spans="2:11" ht="22.15" customHeight="1" thickBot="1" x14ac:dyDescent="0.25">
      <c r="B86" s="79"/>
      <c r="C86" s="78"/>
      <c r="D86" s="77" t="s">
        <v>354</v>
      </c>
      <c r="E86" s="20" t="s">
        <v>371</v>
      </c>
      <c r="F86" s="121">
        <v>9.67</v>
      </c>
      <c r="G86" s="121">
        <v>135.05000000000001</v>
      </c>
      <c r="H86" s="121">
        <f t="shared" si="4"/>
        <v>125.38000000000001</v>
      </c>
      <c r="I86" s="121">
        <v>116.81</v>
      </c>
      <c r="J86" s="121">
        <f t="shared" si="5"/>
        <v>6.835220928377737</v>
      </c>
      <c r="K86" s="120">
        <v>8.6</v>
      </c>
    </row>
    <row r="87" spans="2:11" ht="22.15" customHeight="1" x14ac:dyDescent="0.2">
      <c r="B87" s="89" t="s">
        <v>381</v>
      </c>
      <c r="C87" s="88">
        <v>1</v>
      </c>
      <c r="D87" s="87" t="s">
        <v>354</v>
      </c>
      <c r="E87" s="31" t="s">
        <v>363</v>
      </c>
      <c r="F87" s="123">
        <v>9.7100000000000009</v>
      </c>
      <c r="G87" s="123">
        <v>187.51</v>
      </c>
      <c r="H87" s="123">
        <f t="shared" si="4"/>
        <v>177.79999999999998</v>
      </c>
      <c r="I87" s="123">
        <v>165.89</v>
      </c>
      <c r="J87" s="123">
        <f t="shared" si="5"/>
        <v>6.6985376827896497</v>
      </c>
      <c r="K87" s="120">
        <v>8.6999999999999993</v>
      </c>
    </row>
    <row r="88" spans="2:11" ht="22.15" customHeight="1" x14ac:dyDescent="0.2">
      <c r="B88" s="84"/>
      <c r="C88" s="83"/>
      <c r="D88" s="82" t="s">
        <v>355</v>
      </c>
      <c r="E88" s="26" t="s">
        <v>363</v>
      </c>
      <c r="F88" s="122">
        <v>9.7200000000000006</v>
      </c>
      <c r="G88" s="122">
        <v>116.57</v>
      </c>
      <c r="H88" s="122">
        <f t="shared" si="4"/>
        <v>106.85</v>
      </c>
      <c r="I88" s="122">
        <v>100.51</v>
      </c>
      <c r="J88" s="122">
        <f t="shared" si="5"/>
        <v>5.933551708001862</v>
      </c>
    </row>
    <row r="89" spans="2:11" ht="22.15" customHeight="1" thickBot="1" x14ac:dyDescent="0.25">
      <c r="B89" s="79"/>
      <c r="C89" s="78"/>
      <c r="D89" s="77" t="s">
        <v>356</v>
      </c>
      <c r="E89" s="20" t="s">
        <v>363</v>
      </c>
      <c r="F89" s="121">
        <v>9.68</v>
      </c>
      <c r="G89" s="121">
        <v>138.38999999999999</v>
      </c>
      <c r="H89" s="121">
        <f t="shared" si="4"/>
        <v>128.70999999999998</v>
      </c>
      <c r="I89" s="121">
        <v>121.24</v>
      </c>
      <c r="J89" s="121">
        <f t="shared" si="5"/>
        <v>5.803744852769781</v>
      </c>
    </row>
    <row r="90" spans="2:11" ht="22.15" customHeight="1" x14ac:dyDescent="0.2">
      <c r="B90" s="89" t="s">
        <v>381</v>
      </c>
      <c r="C90" s="88">
        <v>2</v>
      </c>
      <c r="D90" s="87" t="s">
        <v>354</v>
      </c>
      <c r="E90" s="31" t="s">
        <v>370</v>
      </c>
      <c r="F90" s="123">
        <v>9.69</v>
      </c>
      <c r="G90" s="123">
        <v>205.28</v>
      </c>
      <c r="H90" s="123">
        <f t="shared" si="4"/>
        <v>195.59</v>
      </c>
      <c r="I90" s="123">
        <v>184.94</v>
      </c>
      <c r="J90" s="123">
        <f t="shared" si="5"/>
        <v>5.4450636535610233</v>
      </c>
      <c r="K90" s="120">
        <v>7.4</v>
      </c>
    </row>
    <row r="91" spans="2:11" ht="22.15" customHeight="1" x14ac:dyDescent="0.2">
      <c r="B91" s="84"/>
      <c r="C91" s="83"/>
      <c r="D91" s="82" t="s">
        <v>355</v>
      </c>
      <c r="E91" s="26" t="s">
        <v>370</v>
      </c>
      <c r="F91" s="122">
        <v>9.7100000000000009</v>
      </c>
      <c r="G91" s="122">
        <v>142.81</v>
      </c>
      <c r="H91" s="122">
        <f t="shared" si="4"/>
        <v>133.1</v>
      </c>
      <c r="I91" s="122">
        <v>123.32</v>
      </c>
      <c r="J91" s="122">
        <f t="shared" si="5"/>
        <v>7.3478587528174319</v>
      </c>
    </row>
    <row r="92" spans="2:11" ht="22.15" customHeight="1" thickBot="1" x14ac:dyDescent="0.25">
      <c r="B92" s="79"/>
      <c r="C92" s="78"/>
      <c r="D92" s="77" t="s">
        <v>356</v>
      </c>
      <c r="E92" s="20" t="s">
        <v>370</v>
      </c>
      <c r="F92" s="121">
        <v>9.7200000000000006</v>
      </c>
      <c r="G92" s="121">
        <v>165.19</v>
      </c>
      <c r="H92" s="121">
        <f t="shared" si="4"/>
        <v>155.47</v>
      </c>
      <c r="I92" s="121">
        <v>145.65</v>
      </c>
      <c r="J92" s="121">
        <f t="shared" si="5"/>
        <v>6.3163311249758758</v>
      </c>
    </row>
    <row r="93" spans="2:11" ht="22.15" customHeight="1" x14ac:dyDescent="0.2">
      <c r="B93" s="89" t="s">
        <v>381</v>
      </c>
      <c r="C93" s="88">
        <v>3</v>
      </c>
      <c r="D93" s="87" t="s">
        <v>354</v>
      </c>
      <c r="E93" s="31" t="s">
        <v>353</v>
      </c>
      <c r="F93" s="123">
        <v>9.7200000000000006</v>
      </c>
      <c r="G93" s="123">
        <v>192.85</v>
      </c>
      <c r="H93" s="123">
        <f t="shared" si="4"/>
        <v>183.13</v>
      </c>
      <c r="I93" s="123">
        <v>172.51</v>
      </c>
      <c r="J93" s="123">
        <f t="shared" si="5"/>
        <v>5.7991590673292226</v>
      </c>
      <c r="K93" s="120">
        <v>7.2</v>
      </c>
    </row>
    <row r="94" spans="2:11" ht="22.15" customHeight="1" x14ac:dyDescent="0.2">
      <c r="B94" s="84"/>
      <c r="C94" s="83"/>
      <c r="D94" s="82" t="s">
        <v>355</v>
      </c>
      <c r="E94" s="26" t="s">
        <v>353</v>
      </c>
      <c r="F94" s="122">
        <v>9.7100000000000009</v>
      </c>
      <c r="G94" s="122">
        <v>140.51</v>
      </c>
      <c r="H94" s="122">
        <f t="shared" si="4"/>
        <v>130.79999999999998</v>
      </c>
      <c r="I94" s="122">
        <v>123.44</v>
      </c>
      <c r="J94" s="122">
        <f t="shared" si="5"/>
        <v>5.6269113149846994</v>
      </c>
    </row>
    <row r="95" spans="2:11" ht="22.15" customHeight="1" thickBot="1" x14ac:dyDescent="0.25">
      <c r="B95" s="79"/>
      <c r="C95" s="78"/>
      <c r="D95" s="77" t="s">
        <v>356</v>
      </c>
      <c r="E95" s="20" t="s">
        <v>353</v>
      </c>
      <c r="F95" s="121">
        <v>9.7200000000000006</v>
      </c>
      <c r="G95" s="121">
        <v>238.1</v>
      </c>
      <c r="H95" s="121">
        <f t="shared" si="4"/>
        <v>228.38</v>
      </c>
      <c r="I95" s="121">
        <v>213.39</v>
      </c>
      <c r="J95" s="121">
        <f t="shared" si="5"/>
        <v>6.5636220334530204</v>
      </c>
    </row>
    <row r="96" spans="2:11" ht="22.15" customHeight="1" x14ac:dyDescent="0.2">
      <c r="B96" s="89" t="s">
        <v>381</v>
      </c>
      <c r="C96" s="88">
        <v>4</v>
      </c>
      <c r="D96" s="87" t="s">
        <v>354</v>
      </c>
      <c r="E96" s="31" t="s">
        <v>374</v>
      </c>
      <c r="F96" s="123">
        <v>9.61</v>
      </c>
      <c r="G96" s="123">
        <v>194.51</v>
      </c>
      <c r="H96" s="123">
        <f t="shared" si="4"/>
        <v>184.89999999999998</v>
      </c>
      <c r="I96" s="123">
        <v>174.01</v>
      </c>
      <c r="J96" s="123">
        <f t="shared" si="5"/>
        <v>5.889670091941583</v>
      </c>
      <c r="K96" s="120">
        <v>7.2</v>
      </c>
    </row>
    <row r="97" spans="2:11" ht="22.15" customHeight="1" x14ac:dyDescent="0.2">
      <c r="B97" s="84"/>
      <c r="C97" s="83"/>
      <c r="D97" s="82" t="s">
        <v>355</v>
      </c>
      <c r="E97" s="26" t="s">
        <v>374</v>
      </c>
      <c r="F97" s="122">
        <v>9.65</v>
      </c>
      <c r="G97" s="122">
        <v>142.6</v>
      </c>
      <c r="H97" s="122">
        <f t="shared" si="4"/>
        <v>132.94999999999999</v>
      </c>
      <c r="I97" s="122">
        <v>125.45</v>
      </c>
      <c r="J97" s="122">
        <f t="shared" si="5"/>
        <v>5.6412185031966802</v>
      </c>
    </row>
    <row r="98" spans="2:11" ht="22.15" customHeight="1" thickBot="1" x14ac:dyDescent="0.25">
      <c r="B98" s="79"/>
      <c r="C98" s="78"/>
      <c r="D98" s="77" t="s">
        <v>356</v>
      </c>
      <c r="E98" s="20" t="s">
        <v>374</v>
      </c>
      <c r="F98" s="121">
        <v>9.7100000000000009</v>
      </c>
      <c r="G98" s="121">
        <v>208.36</v>
      </c>
      <c r="H98" s="121">
        <f t="shared" si="4"/>
        <v>198.65</v>
      </c>
      <c r="I98" s="121">
        <v>186.68</v>
      </c>
      <c r="J98" s="121">
        <f t="shared" si="5"/>
        <v>6.0256732947394909</v>
      </c>
    </row>
    <row r="99" spans="2:11" ht="22.15" customHeight="1" x14ac:dyDescent="0.2">
      <c r="B99" s="89" t="s">
        <v>380</v>
      </c>
      <c r="C99" s="88">
        <v>4</v>
      </c>
      <c r="D99" s="87" t="s">
        <v>356</v>
      </c>
      <c r="E99" s="31" t="s">
        <v>375</v>
      </c>
      <c r="F99" s="123">
        <v>9.65</v>
      </c>
      <c r="G99" s="123">
        <v>144.1</v>
      </c>
      <c r="H99" s="123">
        <f t="shared" si="4"/>
        <v>134.44999999999999</v>
      </c>
      <c r="I99" s="123">
        <v>125.16</v>
      </c>
      <c r="J99" s="123">
        <f t="shared" si="5"/>
        <v>6.9096318333953093</v>
      </c>
    </row>
    <row r="100" spans="2:11" ht="22.15" customHeight="1" x14ac:dyDescent="0.2">
      <c r="B100" s="84"/>
      <c r="C100" s="83"/>
      <c r="D100" s="82" t="s">
        <v>355</v>
      </c>
      <c r="E100" s="26" t="s">
        <v>375</v>
      </c>
      <c r="F100" s="122">
        <v>9.66</v>
      </c>
      <c r="G100" s="122">
        <v>148.9</v>
      </c>
      <c r="H100" s="122">
        <f t="shared" si="4"/>
        <v>139.24</v>
      </c>
      <c r="I100" s="122">
        <v>130.86000000000001</v>
      </c>
      <c r="J100" s="122">
        <f t="shared" si="5"/>
        <v>6.0183855214018926</v>
      </c>
    </row>
    <row r="101" spans="2:11" ht="22.15" customHeight="1" thickBot="1" x14ac:dyDescent="0.25">
      <c r="B101" s="79"/>
      <c r="C101" s="78"/>
      <c r="D101" s="77" t="s">
        <v>354</v>
      </c>
      <c r="E101" s="20" t="s">
        <v>375</v>
      </c>
      <c r="F101" s="121">
        <v>9.64</v>
      </c>
      <c r="G101" s="121">
        <v>140.71</v>
      </c>
      <c r="H101" s="121">
        <f t="shared" si="4"/>
        <v>131.07</v>
      </c>
      <c r="I101" s="121">
        <v>123.91</v>
      </c>
      <c r="J101" s="121">
        <f t="shared" si="5"/>
        <v>5.4627298390173173</v>
      </c>
      <c r="K101" s="120">
        <v>7.2</v>
      </c>
    </row>
    <row r="102" spans="2:11" ht="22.15" customHeight="1" x14ac:dyDescent="0.2">
      <c r="B102" s="89" t="s">
        <v>380</v>
      </c>
      <c r="C102" s="88">
        <v>3</v>
      </c>
      <c r="D102" s="87" t="s">
        <v>356</v>
      </c>
      <c r="E102" s="31" t="s">
        <v>361</v>
      </c>
      <c r="F102" s="123">
        <v>9.67</v>
      </c>
      <c r="G102" s="123">
        <v>109.64</v>
      </c>
      <c r="H102" s="123">
        <f t="shared" si="4"/>
        <v>99.97</v>
      </c>
      <c r="I102" s="123">
        <v>93.68</v>
      </c>
      <c r="J102" s="123">
        <f t="shared" si="5"/>
        <v>6.2918875662698728</v>
      </c>
    </row>
    <row r="103" spans="2:11" ht="22.15" customHeight="1" x14ac:dyDescent="0.2">
      <c r="B103" s="84"/>
      <c r="C103" s="83"/>
      <c r="D103" s="82" t="s">
        <v>355</v>
      </c>
      <c r="E103" s="26" t="s">
        <v>361</v>
      </c>
      <c r="F103" s="122">
        <v>9.67</v>
      </c>
      <c r="G103" s="122">
        <v>154.66999999999999</v>
      </c>
      <c r="H103" s="122">
        <f t="shared" si="4"/>
        <v>145</v>
      </c>
      <c r="I103" s="122">
        <v>135.69</v>
      </c>
      <c r="J103" s="122">
        <f t="shared" si="5"/>
        <v>6.4206896551724153</v>
      </c>
    </row>
    <row r="104" spans="2:11" ht="22.15" customHeight="1" thickBot="1" x14ac:dyDescent="0.25">
      <c r="B104" s="79"/>
      <c r="C104" s="78"/>
      <c r="D104" s="77" t="s">
        <v>354</v>
      </c>
      <c r="E104" s="20" t="s">
        <v>361</v>
      </c>
      <c r="F104" s="121">
        <v>9.6300000000000008</v>
      </c>
      <c r="G104" s="121">
        <v>122.69</v>
      </c>
      <c r="H104" s="121">
        <f t="shared" si="4"/>
        <v>113.06</v>
      </c>
      <c r="I104" s="121">
        <v>105.69</v>
      </c>
      <c r="J104" s="121">
        <f t="shared" si="5"/>
        <v>6.5186626569962893</v>
      </c>
      <c r="K104" s="120">
        <v>7.7</v>
      </c>
    </row>
    <row r="105" spans="2:11" ht="22.15" customHeight="1" x14ac:dyDescent="0.2">
      <c r="B105" s="89" t="s">
        <v>380</v>
      </c>
      <c r="C105" s="88">
        <v>2</v>
      </c>
      <c r="D105" s="87" t="s">
        <v>356</v>
      </c>
      <c r="E105" s="31" t="s">
        <v>358</v>
      </c>
      <c r="F105" s="123">
        <v>9.69</v>
      </c>
      <c r="G105" s="123">
        <v>186.02</v>
      </c>
      <c r="H105" s="123">
        <f t="shared" si="4"/>
        <v>176.33</v>
      </c>
      <c r="I105" s="123">
        <v>165.7</v>
      </c>
      <c r="J105" s="123">
        <f t="shared" si="5"/>
        <v>6.0284693472466531</v>
      </c>
    </row>
    <row r="106" spans="2:11" ht="22.15" customHeight="1" x14ac:dyDescent="0.2">
      <c r="B106" s="84"/>
      <c r="C106" s="83"/>
      <c r="D106" s="82" t="s">
        <v>355</v>
      </c>
      <c r="E106" s="26" t="s">
        <v>358</v>
      </c>
      <c r="F106" s="122">
        <v>9.69</v>
      </c>
      <c r="G106" s="122">
        <v>186.43</v>
      </c>
      <c r="H106" s="122">
        <f t="shared" si="4"/>
        <v>176.74</v>
      </c>
      <c r="I106" s="122">
        <v>166.4</v>
      </c>
      <c r="J106" s="122">
        <f t="shared" si="5"/>
        <v>5.8504017200407397</v>
      </c>
    </row>
    <row r="107" spans="2:11" ht="22.15" customHeight="1" thickBot="1" x14ac:dyDescent="0.25">
      <c r="B107" s="79"/>
      <c r="C107" s="78"/>
      <c r="D107" s="77" t="s">
        <v>354</v>
      </c>
      <c r="E107" s="20" t="s">
        <v>358</v>
      </c>
      <c r="F107" s="121">
        <v>9.7100000000000009</v>
      </c>
      <c r="G107" s="121">
        <v>92.44</v>
      </c>
      <c r="H107" s="121">
        <f t="shared" si="4"/>
        <v>82.72999999999999</v>
      </c>
      <c r="I107" s="121">
        <v>78.02</v>
      </c>
      <c r="J107" s="121">
        <f t="shared" si="5"/>
        <v>5.6932189048712614</v>
      </c>
    </row>
    <row r="108" spans="2:11" ht="22.15" customHeight="1" x14ac:dyDescent="0.2">
      <c r="B108" s="89" t="s">
        <v>380</v>
      </c>
      <c r="C108" s="88">
        <v>1</v>
      </c>
      <c r="D108" s="87" t="s">
        <v>356</v>
      </c>
      <c r="E108" s="31" t="s">
        <v>359</v>
      </c>
      <c r="F108" s="123">
        <v>9.69</v>
      </c>
      <c r="G108" s="123">
        <v>165.27</v>
      </c>
      <c r="H108" s="123">
        <f t="shared" si="4"/>
        <v>155.58000000000001</v>
      </c>
      <c r="I108" s="123">
        <v>146.37</v>
      </c>
      <c r="J108" s="123">
        <f t="shared" si="5"/>
        <v>5.9197840339375283</v>
      </c>
    </row>
    <row r="109" spans="2:11" ht="22.15" customHeight="1" x14ac:dyDescent="0.2">
      <c r="B109" s="84"/>
      <c r="C109" s="83"/>
      <c r="D109" s="82" t="s">
        <v>355</v>
      </c>
      <c r="E109" s="26" t="s">
        <v>359</v>
      </c>
      <c r="F109" s="122">
        <v>9.67</v>
      </c>
      <c r="G109" s="122">
        <v>159.06</v>
      </c>
      <c r="H109" s="122">
        <f t="shared" si="4"/>
        <v>149.39000000000001</v>
      </c>
      <c r="I109" s="122">
        <v>140.5</v>
      </c>
      <c r="J109" s="122">
        <f t="shared" si="5"/>
        <v>5.9508668585581459</v>
      </c>
    </row>
    <row r="110" spans="2:11" ht="25.15" customHeight="1" thickBot="1" x14ac:dyDescent="0.25">
      <c r="B110" s="79"/>
      <c r="C110" s="78"/>
      <c r="D110" s="77" t="s">
        <v>354</v>
      </c>
      <c r="E110" s="20" t="s">
        <v>359</v>
      </c>
      <c r="F110" s="121">
        <v>9.68</v>
      </c>
      <c r="G110" s="121">
        <v>186.73</v>
      </c>
      <c r="H110" s="121">
        <f t="shared" si="4"/>
        <v>177.04999999999998</v>
      </c>
      <c r="I110" s="121">
        <v>165.07</v>
      </c>
      <c r="J110" s="121">
        <f t="shared" si="5"/>
        <v>6.7664501553233505</v>
      </c>
      <c r="K110" s="120">
        <v>8.6</v>
      </c>
    </row>
    <row r="111" spans="2:11" ht="22.15" customHeight="1" x14ac:dyDescent="0.2">
      <c r="B111" s="89" t="s">
        <v>379</v>
      </c>
      <c r="C111" s="88">
        <v>1</v>
      </c>
      <c r="D111" s="87" t="s">
        <v>354</v>
      </c>
      <c r="E111" s="31" t="s">
        <v>374</v>
      </c>
      <c r="F111" s="123">
        <v>9.7200000000000006</v>
      </c>
      <c r="G111" s="123">
        <v>161.19999999999999</v>
      </c>
      <c r="H111" s="123">
        <f t="shared" ref="H111:H142" si="6">G111-F111</f>
        <v>151.47999999999999</v>
      </c>
      <c r="I111" s="123">
        <v>142.34</v>
      </c>
      <c r="J111" s="123">
        <f t="shared" ref="J111:J142" si="7">((H111-I111)/H111)*100</f>
        <v>6.0337998415632335</v>
      </c>
      <c r="K111" s="120">
        <v>7.5</v>
      </c>
    </row>
    <row r="112" spans="2:11" ht="22.15" customHeight="1" x14ac:dyDescent="0.2">
      <c r="B112" s="18"/>
      <c r="C112" s="83"/>
      <c r="D112" s="82" t="s">
        <v>355</v>
      </c>
      <c r="E112" s="26" t="s">
        <v>374</v>
      </c>
      <c r="F112" s="122">
        <v>9.75</v>
      </c>
      <c r="G112" s="122">
        <v>235.68</v>
      </c>
      <c r="H112" s="122">
        <f t="shared" si="6"/>
        <v>225.93</v>
      </c>
      <c r="I112" s="122">
        <v>213.19</v>
      </c>
      <c r="J112" s="122">
        <f t="shared" si="7"/>
        <v>5.6389147080954309</v>
      </c>
    </row>
    <row r="113" spans="2:11" ht="22.15" customHeight="1" thickBot="1" x14ac:dyDescent="0.25">
      <c r="B113" s="79"/>
      <c r="C113" s="78"/>
      <c r="D113" s="77" t="s">
        <v>356</v>
      </c>
      <c r="E113" s="20" t="s">
        <v>374</v>
      </c>
      <c r="F113" s="121">
        <v>9.6999999999999993</v>
      </c>
      <c r="G113" s="121">
        <v>155.97</v>
      </c>
      <c r="H113" s="121">
        <f t="shared" si="6"/>
        <v>146.27000000000001</v>
      </c>
      <c r="I113" s="121">
        <v>137.22999999999999</v>
      </c>
      <c r="J113" s="121">
        <f t="shared" si="7"/>
        <v>6.1803514049360908</v>
      </c>
    </row>
    <row r="114" spans="2:11" ht="22.15" customHeight="1" x14ac:dyDescent="0.2">
      <c r="B114" s="89" t="s">
        <v>379</v>
      </c>
      <c r="C114" s="88">
        <v>2</v>
      </c>
      <c r="D114" s="87" t="s">
        <v>354</v>
      </c>
      <c r="E114" s="31" t="s">
        <v>353</v>
      </c>
      <c r="F114" s="123">
        <v>9.67</v>
      </c>
      <c r="G114" s="123">
        <v>174.72</v>
      </c>
      <c r="H114" s="123">
        <f t="shared" si="6"/>
        <v>165.05</v>
      </c>
      <c r="I114" s="123">
        <v>154.72999999999999</v>
      </c>
      <c r="J114" s="123">
        <f t="shared" si="7"/>
        <v>6.2526507119054955</v>
      </c>
      <c r="K114" s="120">
        <v>7.7</v>
      </c>
    </row>
    <row r="115" spans="2:11" ht="22.15" customHeight="1" x14ac:dyDescent="0.2">
      <c r="B115" s="84"/>
      <c r="C115" s="83"/>
      <c r="D115" s="82" t="s">
        <v>355</v>
      </c>
      <c r="E115" s="26" t="s">
        <v>353</v>
      </c>
      <c r="F115" s="122">
        <v>9.68</v>
      </c>
      <c r="G115" s="122">
        <v>225.33</v>
      </c>
      <c r="H115" s="122">
        <f t="shared" si="6"/>
        <v>215.65</v>
      </c>
      <c r="I115" s="122">
        <v>201.04</v>
      </c>
      <c r="J115" s="122">
        <f t="shared" si="7"/>
        <v>6.7748666821238173</v>
      </c>
    </row>
    <row r="116" spans="2:11" ht="22.15" customHeight="1" thickBot="1" x14ac:dyDescent="0.25">
      <c r="B116" s="79"/>
      <c r="C116" s="78"/>
      <c r="D116" s="77" t="s">
        <v>356</v>
      </c>
      <c r="E116" s="20" t="s">
        <v>353</v>
      </c>
      <c r="F116" s="121">
        <v>9.66</v>
      </c>
      <c r="G116" s="121">
        <v>163.19999999999999</v>
      </c>
      <c r="H116" s="121">
        <f t="shared" si="6"/>
        <v>153.54</v>
      </c>
      <c r="I116" s="121">
        <v>143.68</v>
      </c>
      <c r="J116" s="121">
        <f t="shared" si="7"/>
        <v>6.4217793408883592</v>
      </c>
    </row>
    <row r="117" spans="2:11" ht="22.15" customHeight="1" x14ac:dyDescent="0.2">
      <c r="B117" s="89" t="s">
        <v>379</v>
      </c>
      <c r="C117" s="88">
        <v>3</v>
      </c>
      <c r="D117" s="87" t="s">
        <v>354</v>
      </c>
      <c r="E117" s="31" t="s">
        <v>370</v>
      </c>
      <c r="F117" s="123">
        <v>9.68</v>
      </c>
      <c r="G117" s="123">
        <v>154.94</v>
      </c>
      <c r="H117" s="123">
        <f t="shared" si="6"/>
        <v>145.26</v>
      </c>
      <c r="I117" s="123">
        <v>136.65</v>
      </c>
      <c r="J117" s="123">
        <f t="shared" si="7"/>
        <v>5.9273027674514571</v>
      </c>
      <c r="K117" s="120">
        <v>8.6999999999999993</v>
      </c>
    </row>
    <row r="118" spans="2:11" ht="22.15" customHeight="1" x14ac:dyDescent="0.2">
      <c r="B118" s="84"/>
      <c r="C118" s="83"/>
      <c r="D118" s="82" t="s">
        <v>355</v>
      </c>
      <c r="E118" s="26" t="s">
        <v>370</v>
      </c>
      <c r="F118" s="122">
        <v>9.66</v>
      </c>
      <c r="G118" s="122">
        <v>167.79</v>
      </c>
      <c r="H118" s="122">
        <f t="shared" si="6"/>
        <v>158.13</v>
      </c>
      <c r="I118" s="122">
        <v>148.9</v>
      </c>
      <c r="J118" s="122">
        <f t="shared" si="7"/>
        <v>5.8369695819894956</v>
      </c>
    </row>
    <row r="119" spans="2:11" ht="22.15" customHeight="1" thickBot="1" x14ac:dyDescent="0.25">
      <c r="B119" s="79"/>
      <c r="C119" s="78"/>
      <c r="D119" s="77" t="s">
        <v>356</v>
      </c>
      <c r="E119" s="20" t="s">
        <v>370</v>
      </c>
      <c r="F119" s="121">
        <v>9.67</v>
      </c>
      <c r="G119" s="121">
        <v>299.69</v>
      </c>
      <c r="H119" s="121">
        <f t="shared" si="6"/>
        <v>290.02</v>
      </c>
      <c r="I119" s="121">
        <v>272.83999999999997</v>
      </c>
      <c r="J119" s="121">
        <f t="shared" si="7"/>
        <v>5.923729397972556</v>
      </c>
    </row>
    <row r="120" spans="2:11" ht="22.15" customHeight="1" x14ac:dyDescent="0.2">
      <c r="B120" s="89" t="s">
        <v>379</v>
      </c>
      <c r="C120" s="88">
        <v>4</v>
      </c>
      <c r="D120" s="87" t="s">
        <v>354</v>
      </c>
      <c r="E120" s="31" t="s">
        <v>365</v>
      </c>
      <c r="F120" s="123">
        <v>9.69</v>
      </c>
      <c r="G120" s="123">
        <v>305.51</v>
      </c>
      <c r="H120" s="123">
        <f t="shared" si="6"/>
        <v>295.82</v>
      </c>
      <c r="I120" s="123">
        <v>281.14</v>
      </c>
      <c r="J120" s="123">
        <f t="shared" si="7"/>
        <v>4.9624771820701801</v>
      </c>
      <c r="K120" s="120">
        <v>6.8</v>
      </c>
    </row>
    <row r="121" spans="2:11" ht="22.15" customHeight="1" x14ac:dyDescent="0.2">
      <c r="B121" s="84"/>
      <c r="C121" s="83"/>
      <c r="D121" s="82" t="s">
        <v>355</v>
      </c>
      <c r="E121" s="26" t="s">
        <v>365</v>
      </c>
      <c r="F121" s="122">
        <v>9.65</v>
      </c>
      <c r="G121" s="122">
        <v>140.49</v>
      </c>
      <c r="H121" s="122">
        <f t="shared" si="6"/>
        <v>130.84</v>
      </c>
      <c r="I121" s="122">
        <v>124.08</v>
      </c>
      <c r="J121" s="122">
        <f t="shared" si="7"/>
        <v>5.1666157138489792</v>
      </c>
    </row>
    <row r="122" spans="2:11" ht="22.15" customHeight="1" thickBot="1" x14ac:dyDescent="0.25">
      <c r="B122" s="79"/>
      <c r="C122" s="78"/>
      <c r="D122" s="77" t="s">
        <v>356</v>
      </c>
      <c r="E122" s="20" t="s">
        <v>365</v>
      </c>
      <c r="F122" s="121">
        <v>9.64</v>
      </c>
      <c r="G122" s="121">
        <v>270.66000000000003</v>
      </c>
      <c r="H122" s="121">
        <f t="shared" si="6"/>
        <v>261.02000000000004</v>
      </c>
      <c r="I122" s="121">
        <v>246.73</v>
      </c>
      <c r="J122" s="121">
        <f t="shared" si="7"/>
        <v>5.4746762700176417</v>
      </c>
    </row>
    <row r="123" spans="2:11" ht="22.15" customHeight="1" x14ac:dyDescent="0.2">
      <c r="B123" s="89" t="s">
        <v>378</v>
      </c>
      <c r="C123" s="88">
        <v>4</v>
      </c>
      <c r="D123" s="87" t="s">
        <v>356</v>
      </c>
      <c r="E123" s="31" t="s">
        <v>373</v>
      </c>
      <c r="F123" s="123">
        <v>9.69</v>
      </c>
      <c r="G123" s="123">
        <v>225.08</v>
      </c>
      <c r="H123" s="123">
        <f t="shared" si="6"/>
        <v>215.39000000000001</v>
      </c>
      <c r="I123" s="123">
        <v>203.14</v>
      </c>
      <c r="J123" s="123">
        <f t="shared" si="7"/>
        <v>5.687357816054611</v>
      </c>
    </row>
    <row r="124" spans="2:11" ht="22.15" customHeight="1" x14ac:dyDescent="0.2">
      <c r="B124" s="84"/>
      <c r="C124" s="83"/>
      <c r="D124" s="82" t="s">
        <v>355</v>
      </c>
      <c r="E124" s="26" t="s">
        <v>373</v>
      </c>
      <c r="F124" s="122">
        <v>9.69</v>
      </c>
      <c r="G124" s="122">
        <v>212.35</v>
      </c>
      <c r="H124" s="122">
        <f t="shared" si="6"/>
        <v>202.66</v>
      </c>
      <c r="I124" s="122">
        <v>191.62</v>
      </c>
      <c r="J124" s="122">
        <f t="shared" si="7"/>
        <v>5.4475476166979142</v>
      </c>
    </row>
    <row r="125" spans="2:11" ht="22.15" customHeight="1" thickBot="1" x14ac:dyDescent="0.25">
      <c r="B125" s="79"/>
      <c r="C125" s="78"/>
      <c r="D125" s="77" t="s">
        <v>354</v>
      </c>
      <c r="E125" s="20" t="s">
        <v>373</v>
      </c>
      <c r="F125" s="121">
        <v>9.7200000000000006</v>
      </c>
      <c r="G125" s="121">
        <v>221.38</v>
      </c>
      <c r="H125" s="121">
        <f t="shared" si="6"/>
        <v>211.66</v>
      </c>
      <c r="I125" s="121">
        <v>200.53</v>
      </c>
      <c r="J125" s="121">
        <f t="shared" si="7"/>
        <v>5.2584333364830362</v>
      </c>
      <c r="K125" s="120">
        <v>7.1</v>
      </c>
    </row>
    <row r="126" spans="2:11" ht="22.15" customHeight="1" x14ac:dyDescent="0.2">
      <c r="B126" s="89" t="s">
        <v>378</v>
      </c>
      <c r="C126" s="88">
        <v>3</v>
      </c>
      <c r="D126" s="87" t="s">
        <v>356</v>
      </c>
      <c r="E126" s="31" t="s">
        <v>364</v>
      </c>
      <c r="F126" s="123">
        <v>9.68</v>
      </c>
      <c r="G126" s="123">
        <v>124.89</v>
      </c>
      <c r="H126" s="123">
        <f t="shared" si="6"/>
        <v>115.21000000000001</v>
      </c>
      <c r="I126" s="123">
        <v>109.13</v>
      </c>
      <c r="J126" s="123">
        <f t="shared" si="7"/>
        <v>5.2773196771113726</v>
      </c>
    </row>
    <row r="127" spans="2:11" ht="22.15" customHeight="1" x14ac:dyDescent="0.2">
      <c r="B127" s="84"/>
      <c r="C127" s="83"/>
      <c r="D127" s="82" t="s">
        <v>355</v>
      </c>
      <c r="E127" s="26" t="s">
        <v>364</v>
      </c>
      <c r="F127" s="122">
        <v>9.69</v>
      </c>
      <c r="G127" s="122">
        <v>213.9</v>
      </c>
      <c r="H127" s="122">
        <f t="shared" si="6"/>
        <v>204.21</v>
      </c>
      <c r="I127" s="122">
        <v>193.77</v>
      </c>
      <c r="J127" s="122">
        <f t="shared" si="7"/>
        <v>5.1123843102688395</v>
      </c>
    </row>
    <row r="128" spans="2:11" ht="22.15" customHeight="1" thickBot="1" x14ac:dyDescent="0.25">
      <c r="B128" s="79"/>
      <c r="C128" s="78"/>
      <c r="D128" s="77" t="s">
        <v>354</v>
      </c>
      <c r="E128" s="20" t="s">
        <v>364</v>
      </c>
      <c r="F128" s="121">
        <v>9.74</v>
      </c>
      <c r="G128" s="121">
        <v>196.52</v>
      </c>
      <c r="H128" s="121">
        <f t="shared" si="6"/>
        <v>186.78</v>
      </c>
      <c r="I128" s="121">
        <v>177.28</v>
      </c>
      <c r="J128" s="121">
        <f t="shared" si="7"/>
        <v>5.0861976657029659</v>
      </c>
      <c r="K128" s="120">
        <v>7.1</v>
      </c>
    </row>
    <row r="129" spans="2:11" ht="22.15" customHeight="1" x14ac:dyDescent="0.2">
      <c r="B129" s="89" t="s">
        <v>378</v>
      </c>
      <c r="C129" s="88">
        <v>2</v>
      </c>
      <c r="D129" s="87" t="s">
        <v>356</v>
      </c>
      <c r="E129" s="31" t="s">
        <v>366</v>
      </c>
      <c r="F129" s="123">
        <v>9.6999999999999993</v>
      </c>
      <c r="G129" s="123">
        <v>142.34</v>
      </c>
      <c r="H129" s="123">
        <f t="shared" si="6"/>
        <v>132.64000000000001</v>
      </c>
      <c r="I129" s="123">
        <v>124.83</v>
      </c>
      <c r="J129" s="123">
        <f t="shared" si="7"/>
        <v>5.8881182147165374</v>
      </c>
    </row>
    <row r="130" spans="2:11" ht="22.15" customHeight="1" x14ac:dyDescent="0.2">
      <c r="B130" s="84"/>
      <c r="C130" s="83"/>
      <c r="D130" s="82" t="s">
        <v>355</v>
      </c>
      <c r="E130" s="26" t="s">
        <v>366</v>
      </c>
      <c r="F130" s="122">
        <v>9.73</v>
      </c>
      <c r="G130" s="122">
        <v>161.38999999999999</v>
      </c>
      <c r="H130" s="122">
        <f t="shared" si="6"/>
        <v>151.66</v>
      </c>
      <c r="I130" s="122">
        <v>143.01</v>
      </c>
      <c r="J130" s="122">
        <f t="shared" si="7"/>
        <v>5.7035474086773084</v>
      </c>
    </row>
    <row r="131" spans="2:11" ht="22.15" customHeight="1" thickBot="1" x14ac:dyDescent="0.25">
      <c r="B131" s="79"/>
      <c r="C131" s="78"/>
      <c r="D131" s="77" t="s">
        <v>354</v>
      </c>
      <c r="E131" s="20" t="s">
        <v>366</v>
      </c>
      <c r="F131" s="121">
        <v>9.6999999999999993</v>
      </c>
      <c r="G131" s="121">
        <v>184.97</v>
      </c>
      <c r="H131" s="121">
        <f t="shared" si="6"/>
        <v>175.27</v>
      </c>
      <c r="I131" s="121">
        <v>165.98</v>
      </c>
      <c r="J131" s="121">
        <f t="shared" si="7"/>
        <v>5.3003936783248813</v>
      </c>
      <c r="K131" s="120">
        <v>6.8</v>
      </c>
    </row>
    <row r="132" spans="2:11" ht="22.15" customHeight="1" x14ac:dyDescent="0.2">
      <c r="B132" s="89" t="s">
        <v>378</v>
      </c>
      <c r="C132" s="88">
        <v>1</v>
      </c>
      <c r="D132" s="87" t="s">
        <v>356</v>
      </c>
      <c r="E132" s="31" t="s">
        <v>361</v>
      </c>
      <c r="F132" s="123">
        <v>9.74</v>
      </c>
      <c r="G132" s="123">
        <v>201.44</v>
      </c>
      <c r="H132" s="123">
        <f t="shared" si="6"/>
        <v>191.7</v>
      </c>
      <c r="I132" s="123">
        <v>181.49</v>
      </c>
      <c r="J132" s="123">
        <f t="shared" si="7"/>
        <v>5.3260302556077104</v>
      </c>
    </row>
    <row r="133" spans="2:11" ht="22.15" customHeight="1" x14ac:dyDescent="0.2">
      <c r="B133" s="84"/>
      <c r="C133" s="83"/>
      <c r="D133" s="82" t="s">
        <v>355</v>
      </c>
      <c r="E133" s="26" t="s">
        <v>361</v>
      </c>
      <c r="F133" s="122">
        <v>9.7100000000000009</v>
      </c>
      <c r="G133" s="122">
        <v>128.41999999999999</v>
      </c>
      <c r="H133" s="122">
        <f t="shared" si="6"/>
        <v>118.70999999999998</v>
      </c>
      <c r="I133" s="122">
        <v>110.51</v>
      </c>
      <c r="J133" s="122">
        <f t="shared" si="7"/>
        <v>6.9075899250273576</v>
      </c>
    </row>
    <row r="134" spans="2:11" ht="22.15" customHeight="1" thickBot="1" x14ac:dyDescent="0.25">
      <c r="B134" s="79"/>
      <c r="C134" s="78"/>
      <c r="D134" s="77" t="s">
        <v>354</v>
      </c>
      <c r="E134" s="20" t="s">
        <v>361</v>
      </c>
      <c r="F134" s="121">
        <v>9.73</v>
      </c>
      <c r="G134" s="121">
        <v>196.83</v>
      </c>
      <c r="H134" s="121">
        <f t="shared" si="6"/>
        <v>187.10000000000002</v>
      </c>
      <c r="I134" s="121">
        <v>176.75</v>
      </c>
      <c r="J134" s="121">
        <f t="shared" si="7"/>
        <v>5.5318011758418075</v>
      </c>
      <c r="K134" s="120">
        <v>7.2</v>
      </c>
    </row>
    <row r="135" spans="2:11" ht="22.15" customHeight="1" x14ac:dyDescent="0.2">
      <c r="B135" s="89" t="s">
        <v>377</v>
      </c>
      <c r="C135" s="88">
        <v>1</v>
      </c>
      <c r="D135" s="87" t="s">
        <v>354</v>
      </c>
      <c r="E135" s="31" t="s">
        <v>369</v>
      </c>
      <c r="F135" s="123">
        <v>9.66</v>
      </c>
      <c r="G135" s="123">
        <v>125.4</v>
      </c>
      <c r="H135" s="123">
        <f t="shared" si="6"/>
        <v>115.74000000000001</v>
      </c>
      <c r="I135" s="123">
        <v>108.57</v>
      </c>
      <c r="J135" s="123">
        <f t="shared" si="7"/>
        <v>6.1949196474857571</v>
      </c>
      <c r="K135" s="120">
        <v>7.8</v>
      </c>
    </row>
    <row r="136" spans="2:11" ht="22.15" customHeight="1" x14ac:dyDescent="0.2">
      <c r="B136" s="84"/>
      <c r="C136" s="83"/>
      <c r="D136" s="82" t="s">
        <v>355</v>
      </c>
      <c r="E136" s="26" t="s">
        <v>369</v>
      </c>
      <c r="F136" s="122">
        <v>9.7100000000000009</v>
      </c>
      <c r="G136" s="122">
        <v>148.13</v>
      </c>
      <c r="H136" s="122">
        <f t="shared" si="6"/>
        <v>138.41999999999999</v>
      </c>
      <c r="I136" s="122">
        <v>130.52000000000001</v>
      </c>
      <c r="J136" s="122">
        <f t="shared" si="7"/>
        <v>5.7072677358763029</v>
      </c>
    </row>
    <row r="137" spans="2:11" ht="22.15" customHeight="1" thickBot="1" x14ac:dyDescent="0.25">
      <c r="B137" s="79"/>
      <c r="C137" s="78"/>
      <c r="D137" s="77" t="s">
        <v>356</v>
      </c>
      <c r="E137" s="20" t="s">
        <v>369</v>
      </c>
      <c r="F137" s="121">
        <v>9.74</v>
      </c>
      <c r="G137" s="121">
        <v>180.35</v>
      </c>
      <c r="H137" s="121">
        <f t="shared" si="6"/>
        <v>170.60999999999999</v>
      </c>
      <c r="I137" s="121">
        <v>160.71</v>
      </c>
      <c r="J137" s="121">
        <f t="shared" si="7"/>
        <v>5.8027079303674922</v>
      </c>
    </row>
    <row r="138" spans="2:11" ht="22.15" customHeight="1" x14ac:dyDescent="0.2">
      <c r="B138" s="89" t="s">
        <v>377</v>
      </c>
      <c r="C138" s="88">
        <v>2</v>
      </c>
      <c r="D138" s="87" t="s">
        <v>354</v>
      </c>
      <c r="E138" s="31" t="s">
        <v>359</v>
      </c>
      <c r="F138" s="123">
        <v>9.7100000000000009</v>
      </c>
      <c r="G138" s="123">
        <v>172.66</v>
      </c>
      <c r="H138" s="123">
        <f t="shared" si="6"/>
        <v>162.94999999999999</v>
      </c>
      <c r="I138" s="123">
        <v>154.05000000000001</v>
      </c>
      <c r="J138" s="123">
        <f t="shared" si="7"/>
        <v>5.4617980975759295</v>
      </c>
      <c r="K138" s="120">
        <v>7.2</v>
      </c>
    </row>
    <row r="139" spans="2:11" ht="22.15" customHeight="1" x14ac:dyDescent="0.2">
      <c r="B139" s="84"/>
      <c r="C139" s="83"/>
      <c r="D139" s="82" t="s">
        <v>355</v>
      </c>
      <c r="E139" s="26" t="s">
        <v>359</v>
      </c>
      <c r="F139" s="122">
        <v>9.6999999999999993</v>
      </c>
      <c r="G139" s="122">
        <v>102.99</v>
      </c>
      <c r="H139" s="122">
        <f t="shared" si="6"/>
        <v>93.289999999999992</v>
      </c>
      <c r="I139" s="122">
        <v>88.57</v>
      </c>
      <c r="J139" s="122">
        <f t="shared" si="7"/>
        <v>5.0594919069568007</v>
      </c>
    </row>
    <row r="140" spans="2:11" ht="22.15" customHeight="1" thickBot="1" x14ac:dyDescent="0.25">
      <c r="B140" s="79"/>
      <c r="C140" s="78"/>
      <c r="D140" s="77" t="s">
        <v>356</v>
      </c>
      <c r="E140" s="20" t="s">
        <v>359</v>
      </c>
      <c r="F140" s="121">
        <v>9.69</v>
      </c>
      <c r="G140" s="121">
        <v>135.91</v>
      </c>
      <c r="H140" s="121">
        <f t="shared" si="6"/>
        <v>126.22</v>
      </c>
      <c r="I140" s="121">
        <v>119.49</v>
      </c>
      <c r="J140" s="121">
        <f t="shared" si="7"/>
        <v>5.3319600697195408</v>
      </c>
    </row>
    <row r="141" spans="2:11" ht="22.15" customHeight="1" x14ac:dyDescent="0.2">
      <c r="B141" s="89" t="s">
        <v>377</v>
      </c>
      <c r="C141" s="88">
        <v>3</v>
      </c>
      <c r="D141" s="87" t="s">
        <v>354</v>
      </c>
      <c r="E141" s="31" t="s">
        <v>375</v>
      </c>
      <c r="F141" s="123">
        <v>9.7100000000000009</v>
      </c>
      <c r="G141" s="123">
        <v>162.88</v>
      </c>
      <c r="H141" s="123">
        <f t="shared" si="6"/>
        <v>153.16999999999999</v>
      </c>
      <c r="I141" s="123">
        <v>145.84</v>
      </c>
      <c r="J141" s="123">
        <f t="shared" si="7"/>
        <v>4.7855324149637557</v>
      </c>
      <c r="K141" s="120">
        <v>6.8</v>
      </c>
    </row>
    <row r="142" spans="2:11" ht="22.15" customHeight="1" x14ac:dyDescent="0.2">
      <c r="B142" s="84"/>
      <c r="C142" s="83"/>
      <c r="D142" s="82" t="s">
        <v>355</v>
      </c>
      <c r="E142" s="26" t="s">
        <v>375</v>
      </c>
      <c r="F142" s="122">
        <v>9.7200000000000006</v>
      </c>
      <c r="G142" s="122">
        <v>129.94</v>
      </c>
      <c r="H142" s="122">
        <f t="shared" si="6"/>
        <v>120.22</v>
      </c>
      <c r="I142" s="122">
        <v>114.45</v>
      </c>
      <c r="J142" s="122">
        <f t="shared" si="7"/>
        <v>4.7995341873232373</v>
      </c>
    </row>
    <row r="143" spans="2:11" ht="22.15" customHeight="1" thickBot="1" x14ac:dyDescent="0.25">
      <c r="B143" s="79"/>
      <c r="C143" s="78"/>
      <c r="D143" s="77" t="s">
        <v>356</v>
      </c>
      <c r="E143" s="20" t="s">
        <v>375</v>
      </c>
      <c r="F143" s="121">
        <v>9.7100000000000009</v>
      </c>
      <c r="G143" s="121">
        <v>173.16</v>
      </c>
      <c r="H143" s="121">
        <f t="shared" ref="H143:H174" si="8">G143-F143</f>
        <v>163.44999999999999</v>
      </c>
      <c r="I143" s="121">
        <v>154.32</v>
      </c>
      <c r="J143" s="121">
        <f t="shared" ref="J143:J174" si="9">((H143-I143)/H143)*100</f>
        <v>5.5858060568981314</v>
      </c>
    </row>
    <row r="144" spans="2:11" ht="22.15" customHeight="1" x14ac:dyDescent="0.2">
      <c r="B144" s="89" t="s">
        <v>377</v>
      </c>
      <c r="C144" s="88">
        <v>4</v>
      </c>
      <c r="D144" s="87" t="s">
        <v>354</v>
      </c>
      <c r="E144" s="31" t="s">
        <v>363</v>
      </c>
      <c r="F144" s="123">
        <v>9.68</v>
      </c>
      <c r="G144" s="123">
        <v>159.25</v>
      </c>
      <c r="H144" s="123">
        <f t="shared" si="8"/>
        <v>149.57</v>
      </c>
      <c r="I144" s="123">
        <v>142.74</v>
      </c>
      <c r="J144" s="123">
        <f t="shared" si="9"/>
        <v>4.5664237480778125</v>
      </c>
      <c r="K144" s="120">
        <v>6.4</v>
      </c>
    </row>
    <row r="145" spans="2:11" ht="22.15" customHeight="1" x14ac:dyDescent="0.2">
      <c r="B145" s="84"/>
      <c r="C145" s="83"/>
      <c r="D145" s="82" t="s">
        <v>355</v>
      </c>
      <c r="E145" s="26" t="s">
        <v>363</v>
      </c>
      <c r="F145" s="122">
        <v>9.7100000000000009</v>
      </c>
      <c r="G145" s="122">
        <v>144.11000000000001</v>
      </c>
      <c r="H145" s="122">
        <f t="shared" si="8"/>
        <v>134.4</v>
      </c>
      <c r="I145" s="122">
        <v>127.93</v>
      </c>
      <c r="J145" s="122">
        <f t="shared" si="9"/>
        <v>4.813988095238094</v>
      </c>
    </row>
    <row r="146" spans="2:11" ht="22.15" customHeight="1" thickBot="1" x14ac:dyDescent="0.25">
      <c r="B146" s="79"/>
      <c r="C146" s="78"/>
      <c r="D146" s="77" t="s">
        <v>356</v>
      </c>
      <c r="E146" s="20" t="s">
        <v>363</v>
      </c>
      <c r="F146" s="121">
        <v>9.75</v>
      </c>
      <c r="G146" s="121">
        <v>194.6</v>
      </c>
      <c r="H146" s="121">
        <f t="shared" si="8"/>
        <v>184.85</v>
      </c>
      <c r="I146" s="121">
        <v>174.58</v>
      </c>
      <c r="J146" s="121">
        <f t="shared" si="9"/>
        <v>5.5558560995401578</v>
      </c>
    </row>
    <row r="147" spans="2:11" ht="22.15" customHeight="1" x14ac:dyDescent="0.2">
      <c r="B147" s="89" t="s">
        <v>376</v>
      </c>
      <c r="C147" s="88">
        <v>4</v>
      </c>
      <c r="D147" s="87" t="s">
        <v>356</v>
      </c>
      <c r="E147" s="31" t="s">
        <v>368</v>
      </c>
      <c r="F147" s="123">
        <v>9.64</v>
      </c>
      <c r="G147" s="123">
        <v>140.76</v>
      </c>
      <c r="H147" s="123">
        <f t="shared" si="8"/>
        <v>131.12</v>
      </c>
      <c r="I147" s="123">
        <v>124.41</v>
      </c>
      <c r="J147" s="123">
        <f t="shared" si="9"/>
        <v>5.117449664429536</v>
      </c>
    </row>
    <row r="148" spans="2:11" ht="22.15" customHeight="1" x14ac:dyDescent="0.2">
      <c r="B148" s="84"/>
      <c r="C148" s="83"/>
      <c r="D148" s="82" t="s">
        <v>355</v>
      </c>
      <c r="E148" s="26" t="s">
        <v>368</v>
      </c>
      <c r="F148" s="122">
        <v>9.68</v>
      </c>
      <c r="G148" s="122">
        <v>169</v>
      </c>
      <c r="H148" s="122">
        <f t="shared" si="8"/>
        <v>159.32</v>
      </c>
      <c r="I148" s="122">
        <v>151.03</v>
      </c>
      <c r="J148" s="122">
        <f t="shared" si="9"/>
        <v>5.2033642982676325</v>
      </c>
    </row>
    <row r="149" spans="2:11" ht="22.15" customHeight="1" thickBot="1" x14ac:dyDescent="0.25">
      <c r="B149" s="79"/>
      <c r="C149" s="78"/>
      <c r="D149" s="77" t="s">
        <v>354</v>
      </c>
      <c r="E149" s="20" t="s">
        <v>368</v>
      </c>
      <c r="F149" s="121">
        <v>9.68</v>
      </c>
      <c r="G149" s="121">
        <v>188.69</v>
      </c>
      <c r="H149" s="121">
        <f t="shared" si="8"/>
        <v>179.01</v>
      </c>
      <c r="I149" s="121">
        <v>169.47</v>
      </c>
      <c r="J149" s="121">
        <f t="shared" si="9"/>
        <v>5.3293112116641481</v>
      </c>
      <c r="K149" s="120">
        <v>6.9</v>
      </c>
    </row>
    <row r="150" spans="2:11" ht="22.15" customHeight="1" x14ac:dyDescent="0.2">
      <c r="B150" s="89" t="s">
        <v>376</v>
      </c>
      <c r="C150" s="88">
        <v>3</v>
      </c>
      <c r="D150" s="87" t="s">
        <v>356</v>
      </c>
      <c r="E150" s="31" t="s">
        <v>371</v>
      </c>
      <c r="F150" s="123">
        <v>9.69</v>
      </c>
      <c r="G150" s="123">
        <v>134.99</v>
      </c>
      <c r="H150" s="123">
        <f t="shared" si="8"/>
        <v>125.30000000000001</v>
      </c>
      <c r="I150" s="123">
        <v>118.51</v>
      </c>
      <c r="J150" s="123">
        <f t="shared" si="9"/>
        <v>5.4189944134078258</v>
      </c>
    </row>
    <row r="151" spans="2:11" ht="22.15" customHeight="1" x14ac:dyDescent="0.2">
      <c r="B151" s="84"/>
      <c r="C151" s="83"/>
      <c r="D151" s="82" t="s">
        <v>355</v>
      </c>
      <c r="E151" s="26" t="s">
        <v>371</v>
      </c>
      <c r="F151" s="122">
        <v>9.68</v>
      </c>
      <c r="G151" s="122">
        <v>130.43</v>
      </c>
      <c r="H151" s="122">
        <f t="shared" si="8"/>
        <v>120.75</v>
      </c>
      <c r="I151" s="122">
        <v>113.7</v>
      </c>
      <c r="J151" s="122">
        <f t="shared" si="9"/>
        <v>5.8385093167701836</v>
      </c>
    </row>
    <row r="152" spans="2:11" ht="22.15" customHeight="1" thickBot="1" x14ac:dyDescent="0.25">
      <c r="B152" s="79"/>
      <c r="C152" s="78"/>
      <c r="D152" s="77" t="s">
        <v>354</v>
      </c>
      <c r="E152" s="20" t="s">
        <v>371</v>
      </c>
      <c r="F152" s="121">
        <v>9.7200000000000006</v>
      </c>
      <c r="G152" s="121">
        <v>145.93</v>
      </c>
      <c r="H152" s="121">
        <f t="shared" si="8"/>
        <v>136.21</v>
      </c>
      <c r="I152" s="121">
        <v>128.52000000000001</v>
      </c>
      <c r="J152" s="121">
        <f t="shared" si="9"/>
        <v>5.6456941487409127</v>
      </c>
      <c r="K152" s="120">
        <v>7.4</v>
      </c>
    </row>
    <row r="153" spans="2:11" ht="22.15" customHeight="1" x14ac:dyDescent="0.2">
      <c r="B153" s="89" t="s">
        <v>376</v>
      </c>
      <c r="C153" s="88">
        <v>2</v>
      </c>
      <c r="D153" s="87" t="s">
        <v>356</v>
      </c>
      <c r="E153" s="31" t="s">
        <v>360</v>
      </c>
      <c r="F153" s="123">
        <v>9.6999999999999993</v>
      </c>
      <c r="G153" s="123">
        <v>143.41</v>
      </c>
      <c r="H153" s="123">
        <f t="shared" si="8"/>
        <v>133.71</v>
      </c>
      <c r="I153" s="123">
        <v>126.23</v>
      </c>
      <c r="J153" s="123">
        <f t="shared" si="9"/>
        <v>5.5941963951836087</v>
      </c>
    </row>
    <row r="154" spans="2:11" ht="22.15" customHeight="1" x14ac:dyDescent="0.2">
      <c r="B154" s="84"/>
      <c r="C154" s="83"/>
      <c r="D154" s="82" t="s">
        <v>355</v>
      </c>
      <c r="E154" s="26" t="s">
        <v>360</v>
      </c>
      <c r="F154" s="122">
        <v>9.75</v>
      </c>
      <c r="G154" s="122">
        <v>132.41999999999999</v>
      </c>
      <c r="H154" s="122">
        <f t="shared" si="8"/>
        <v>122.66999999999999</v>
      </c>
      <c r="I154" s="122">
        <v>116.73</v>
      </c>
      <c r="J154" s="122">
        <f t="shared" si="9"/>
        <v>4.8422597212032157</v>
      </c>
    </row>
    <row r="155" spans="2:11" ht="22.15" customHeight="1" thickBot="1" x14ac:dyDescent="0.25">
      <c r="B155" s="79"/>
      <c r="C155" s="78"/>
      <c r="D155" s="77" t="s">
        <v>354</v>
      </c>
      <c r="E155" s="20" t="s">
        <v>360</v>
      </c>
      <c r="F155" s="121">
        <v>9.69</v>
      </c>
      <c r="G155" s="121">
        <v>161.88</v>
      </c>
      <c r="H155" s="121">
        <f t="shared" si="8"/>
        <v>152.19</v>
      </c>
      <c r="I155" s="121">
        <v>144.24</v>
      </c>
      <c r="J155" s="121">
        <f t="shared" si="9"/>
        <v>5.2237334910309405</v>
      </c>
      <c r="K155" s="120">
        <v>6.5</v>
      </c>
    </row>
    <row r="156" spans="2:11" ht="22.15" customHeight="1" x14ac:dyDescent="0.2">
      <c r="B156" s="89" t="s">
        <v>376</v>
      </c>
      <c r="C156" s="88">
        <v>1</v>
      </c>
      <c r="D156" s="87" t="s">
        <v>356</v>
      </c>
      <c r="E156" s="31" t="s">
        <v>358</v>
      </c>
      <c r="F156" s="123">
        <v>9.74</v>
      </c>
      <c r="G156" s="123">
        <v>197.48</v>
      </c>
      <c r="H156" s="123">
        <f t="shared" si="8"/>
        <v>187.73999999999998</v>
      </c>
      <c r="I156" s="123">
        <v>174.91</v>
      </c>
      <c r="J156" s="123">
        <f t="shared" si="9"/>
        <v>6.833919250026625</v>
      </c>
    </row>
    <row r="157" spans="2:11" ht="22.15" customHeight="1" x14ac:dyDescent="0.2">
      <c r="B157" s="84"/>
      <c r="C157" s="83"/>
      <c r="D157" s="82" t="s">
        <v>355</v>
      </c>
      <c r="E157" s="26" t="s">
        <v>358</v>
      </c>
      <c r="F157" s="122">
        <v>9.7200000000000006</v>
      </c>
      <c r="G157" s="122">
        <v>146.53</v>
      </c>
      <c r="H157" s="122">
        <f t="shared" si="8"/>
        <v>136.81</v>
      </c>
      <c r="I157" s="122">
        <v>129.36000000000001</v>
      </c>
      <c r="J157" s="122">
        <f t="shared" si="9"/>
        <v>5.445508369271244</v>
      </c>
    </row>
    <row r="158" spans="2:11" ht="22.15" customHeight="1" thickBot="1" x14ac:dyDescent="0.25">
      <c r="B158" s="79"/>
      <c r="C158" s="78"/>
      <c r="D158" s="77" t="s">
        <v>354</v>
      </c>
      <c r="E158" s="20" t="s">
        <v>358</v>
      </c>
      <c r="F158" s="121">
        <v>9.73</v>
      </c>
      <c r="G158" s="121">
        <v>210.47</v>
      </c>
      <c r="H158" s="121">
        <f t="shared" si="8"/>
        <v>200.74</v>
      </c>
      <c r="I158" s="121">
        <v>189.98</v>
      </c>
      <c r="J158" s="121">
        <f t="shared" si="9"/>
        <v>5.3601673806914514</v>
      </c>
      <c r="K158" s="120">
        <v>7.2</v>
      </c>
    </row>
    <row r="159" spans="2:11" ht="22.15" customHeight="1" x14ac:dyDescent="0.2">
      <c r="B159" s="89" t="s">
        <v>372</v>
      </c>
      <c r="C159" s="88">
        <v>1</v>
      </c>
      <c r="D159" s="87" t="s">
        <v>354</v>
      </c>
      <c r="E159" s="31" t="s">
        <v>375</v>
      </c>
      <c r="F159" s="123">
        <v>9.68</v>
      </c>
      <c r="G159" s="123">
        <v>192.31</v>
      </c>
      <c r="H159" s="123">
        <f t="shared" si="8"/>
        <v>182.63</v>
      </c>
      <c r="I159" s="123">
        <v>172.79</v>
      </c>
      <c r="J159" s="123">
        <f t="shared" si="9"/>
        <v>5.3879428352406524</v>
      </c>
      <c r="K159" s="120">
        <v>6.7</v>
      </c>
    </row>
    <row r="160" spans="2:11" ht="22.15" customHeight="1" x14ac:dyDescent="0.2">
      <c r="B160" s="18"/>
      <c r="C160" s="83"/>
      <c r="D160" s="82" t="s">
        <v>355</v>
      </c>
      <c r="E160" s="26" t="s">
        <v>375</v>
      </c>
      <c r="F160" s="122">
        <v>9.73</v>
      </c>
      <c r="G160" s="122">
        <v>177.12</v>
      </c>
      <c r="H160" s="122">
        <f t="shared" si="8"/>
        <v>167.39000000000001</v>
      </c>
      <c r="I160" s="122">
        <v>157.99</v>
      </c>
      <c r="J160" s="122">
        <f t="shared" si="9"/>
        <v>5.6156281737260318</v>
      </c>
    </row>
    <row r="161" spans="2:11" ht="22.15" customHeight="1" thickBot="1" x14ac:dyDescent="0.25">
      <c r="B161" s="79"/>
      <c r="C161" s="78"/>
      <c r="D161" s="77" t="s">
        <v>356</v>
      </c>
      <c r="E161" s="20" t="s">
        <v>375</v>
      </c>
      <c r="F161" s="121">
        <v>9.73</v>
      </c>
      <c r="G161" s="121">
        <v>165.82</v>
      </c>
      <c r="H161" s="121">
        <f t="shared" si="8"/>
        <v>156.09</v>
      </c>
      <c r="I161" s="121">
        <v>147.13</v>
      </c>
      <c r="J161" s="121">
        <f t="shared" si="9"/>
        <v>5.7402780447177966</v>
      </c>
    </row>
    <row r="162" spans="2:11" ht="22.15" customHeight="1" x14ac:dyDescent="0.2">
      <c r="B162" s="89" t="s">
        <v>372</v>
      </c>
      <c r="C162" s="88">
        <v>2</v>
      </c>
      <c r="D162" s="87" t="s">
        <v>354</v>
      </c>
      <c r="E162" s="31" t="s">
        <v>374</v>
      </c>
      <c r="F162" s="123">
        <v>9.6999999999999993</v>
      </c>
      <c r="G162" s="123">
        <v>188.25</v>
      </c>
      <c r="H162" s="123">
        <f t="shared" si="8"/>
        <v>178.55</v>
      </c>
      <c r="I162" s="123">
        <v>169.08</v>
      </c>
      <c r="J162" s="123">
        <f t="shared" si="9"/>
        <v>5.3038364603752441</v>
      </c>
      <c r="K162" s="120">
        <v>7.4</v>
      </c>
    </row>
    <row r="163" spans="2:11" ht="22.15" customHeight="1" x14ac:dyDescent="0.2">
      <c r="B163" s="84"/>
      <c r="C163" s="83"/>
      <c r="D163" s="82" t="s">
        <v>355</v>
      </c>
      <c r="E163" s="26" t="s">
        <v>374</v>
      </c>
      <c r="F163" s="122">
        <v>9.6999999999999993</v>
      </c>
      <c r="G163" s="122">
        <v>150.02000000000001</v>
      </c>
      <c r="H163" s="122">
        <f t="shared" si="8"/>
        <v>140.32000000000002</v>
      </c>
      <c r="I163" s="122">
        <v>133.18</v>
      </c>
      <c r="J163" s="122">
        <f t="shared" si="9"/>
        <v>5.0883694412770906</v>
      </c>
    </row>
    <row r="164" spans="2:11" ht="22.15" customHeight="1" thickBot="1" x14ac:dyDescent="0.25">
      <c r="B164" s="79"/>
      <c r="C164" s="78"/>
      <c r="D164" s="77" t="s">
        <v>356</v>
      </c>
      <c r="E164" s="20" t="s">
        <v>374</v>
      </c>
      <c r="F164" s="121">
        <v>9.68</v>
      </c>
      <c r="G164" s="121">
        <v>155.78</v>
      </c>
      <c r="H164" s="121">
        <f t="shared" si="8"/>
        <v>146.1</v>
      </c>
      <c r="I164" s="121">
        <v>138.16999999999999</v>
      </c>
      <c r="J164" s="121">
        <f t="shared" si="9"/>
        <v>5.4277891854893952</v>
      </c>
    </row>
    <row r="165" spans="2:11" ht="22.15" customHeight="1" x14ac:dyDescent="0.2">
      <c r="B165" s="89" t="s">
        <v>372</v>
      </c>
      <c r="C165" s="88">
        <v>3</v>
      </c>
      <c r="D165" s="87" t="s">
        <v>354</v>
      </c>
      <c r="E165" s="31" t="s">
        <v>373</v>
      </c>
      <c r="F165" s="123">
        <v>9.74</v>
      </c>
      <c r="G165" s="123">
        <v>195.99</v>
      </c>
      <c r="H165" s="123">
        <f t="shared" si="8"/>
        <v>186.25</v>
      </c>
      <c r="I165" s="123">
        <v>175.76</v>
      </c>
      <c r="J165" s="123">
        <f t="shared" si="9"/>
        <v>5.6322147651006755</v>
      </c>
      <c r="K165" s="120">
        <v>6.9</v>
      </c>
    </row>
    <row r="166" spans="2:11" ht="22.15" customHeight="1" x14ac:dyDescent="0.2">
      <c r="B166" s="84"/>
      <c r="C166" s="83"/>
      <c r="D166" s="82" t="s">
        <v>355</v>
      </c>
      <c r="E166" s="26" t="s">
        <v>373</v>
      </c>
      <c r="F166" s="122">
        <v>9.66</v>
      </c>
      <c r="G166" s="122">
        <v>190.21</v>
      </c>
      <c r="H166" s="122">
        <f t="shared" si="8"/>
        <v>180.55</v>
      </c>
      <c r="I166" s="122">
        <v>170.52</v>
      </c>
      <c r="J166" s="122">
        <f t="shared" si="9"/>
        <v>5.5552478537801164</v>
      </c>
    </row>
    <row r="167" spans="2:11" ht="22.15" customHeight="1" thickBot="1" x14ac:dyDescent="0.25">
      <c r="B167" s="79"/>
      <c r="C167" s="78"/>
      <c r="D167" s="77" t="s">
        <v>356</v>
      </c>
      <c r="E167" s="20" t="s">
        <v>373</v>
      </c>
      <c r="F167" s="121">
        <v>9.69</v>
      </c>
      <c r="G167" s="121">
        <v>213.52</v>
      </c>
      <c r="H167" s="121">
        <f t="shared" si="8"/>
        <v>203.83</v>
      </c>
      <c r="I167" s="121">
        <v>193.28</v>
      </c>
      <c r="J167" s="121">
        <f t="shared" si="9"/>
        <v>5.1758818623362659</v>
      </c>
    </row>
    <row r="168" spans="2:11" ht="22.15" customHeight="1" x14ac:dyDescent="0.2">
      <c r="B168" s="89" t="s">
        <v>372</v>
      </c>
      <c r="C168" s="88">
        <v>4</v>
      </c>
      <c r="D168" s="87" t="s">
        <v>354</v>
      </c>
      <c r="E168" s="31" t="s">
        <v>371</v>
      </c>
      <c r="F168" s="123">
        <v>9.6999999999999993</v>
      </c>
      <c r="G168" s="123">
        <v>175.94</v>
      </c>
      <c r="H168" s="123">
        <f t="shared" si="8"/>
        <v>166.24</v>
      </c>
      <c r="I168" s="123">
        <v>157.41999999999999</v>
      </c>
      <c r="J168" s="123">
        <f t="shared" si="9"/>
        <v>5.3055822906641126</v>
      </c>
      <c r="K168" s="120">
        <v>7.2</v>
      </c>
    </row>
    <row r="169" spans="2:11" ht="22.15" customHeight="1" x14ac:dyDescent="0.2">
      <c r="B169" s="84"/>
      <c r="C169" s="83"/>
      <c r="D169" s="82" t="s">
        <v>355</v>
      </c>
      <c r="E169" s="26" t="s">
        <v>371</v>
      </c>
      <c r="F169" s="122">
        <v>9.68</v>
      </c>
      <c r="G169" s="122">
        <v>173.56</v>
      </c>
      <c r="H169" s="122">
        <f t="shared" si="8"/>
        <v>163.88</v>
      </c>
      <c r="I169" s="122">
        <v>155.69</v>
      </c>
      <c r="J169" s="122">
        <f t="shared" si="9"/>
        <v>4.9975591896509632</v>
      </c>
    </row>
    <row r="170" spans="2:11" ht="22.15" customHeight="1" thickBot="1" x14ac:dyDescent="0.25">
      <c r="B170" s="79"/>
      <c r="C170" s="78"/>
      <c r="D170" s="77" t="s">
        <v>356</v>
      </c>
      <c r="E170" s="20" t="s">
        <v>371</v>
      </c>
      <c r="F170" s="121">
        <v>9.7200000000000006</v>
      </c>
      <c r="G170" s="121">
        <v>254</v>
      </c>
      <c r="H170" s="121">
        <f t="shared" si="8"/>
        <v>244.28</v>
      </c>
      <c r="I170" s="121">
        <v>232.18</v>
      </c>
      <c r="J170" s="121">
        <f t="shared" si="9"/>
        <v>4.9533322416898615</v>
      </c>
    </row>
    <row r="171" spans="2:11" ht="22.15" customHeight="1" x14ac:dyDescent="0.2">
      <c r="B171" s="89" t="s">
        <v>367</v>
      </c>
      <c r="C171" s="88">
        <v>4</v>
      </c>
      <c r="D171" s="87" t="s">
        <v>356</v>
      </c>
      <c r="E171" s="31" t="s">
        <v>370</v>
      </c>
      <c r="F171" s="123">
        <v>9.73</v>
      </c>
      <c r="G171" s="123">
        <v>192.2</v>
      </c>
      <c r="H171" s="123">
        <f t="shared" si="8"/>
        <v>182.47</v>
      </c>
      <c r="I171" s="123">
        <v>173.09</v>
      </c>
      <c r="J171" s="123">
        <f t="shared" si="9"/>
        <v>5.1405710527757966</v>
      </c>
    </row>
    <row r="172" spans="2:11" ht="22.15" customHeight="1" x14ac:dyDescent="0.2">
      <c r="B172" s="84"/>
      <c r="C172" s="83"/>
      <c r="D172" s="82" t="s">
        <v>355</v>
      </c>
      <c r="E172" s="26" t="s">
        <v>370</v>
      </c>
      <c r="F172" s="122">
        <v>9.7200000000000006</v>
      </c>
      <c r="G172" s="122">
        <v>188.28</v>
      </c>
      <c r="H172" s="122">
        <f t="shared" si="8"/>
        <v>178.56</v>
      </c>
      <c r="I172" s="122">
        <v>169.42</v>
      </c>
      <c r="J172" s="122">
        <f t="shared" si="9"/>
        <v>5.1187275985663163</v>
      </c>
    </row>
    <row r="173" spans="2:11" ht="22.15" customHeight="1" thickBot="1" x14ac:dyDescent="0.25">
      <c r="B173" s="79"/>
      <c r="C173" s="78"/>
      <c r="D173" s="77" t="s">
        <v>354</v>
      </c>
      <c r="E173" s="20" t="s">
        <v>370</v>
      </c>
      <c r="F173" s="121">
        <v>9.73</v>
      </c>
      <c r="G173" s="121">
        <v>220.75</v>
      </c>
      <c r="H173" s="121">
        <f t="shared" si="8"/>
        <v>211.02</v>
      </c>
      <c r="I173" s="121">
        <v>201.48</v>
      </c>
      <c r="J173" s="121">
        <f t="shared" si="9"/>
        <v>4.5208984930338456</v>
      </c>
      <c r="K173" s="120">
        <v>6.1</v>
      </c>
    </row>
    <row r="174" spans="2:11" ht="22.15" customHeight="1" x14ac:dyDescent="0.2">
      <c r="B174" s="89" t="s">
        <v>367</v>
      </c>
      <c r="C174" s="88">
        <v>3</v>
      </c>
      <c r="D174" s="87" t="s">
        <v>356</v>
      </c>
      <c r="E174" s="31" t="s">
        <v>369</v>
      </c>
      <c r="F174" s="123">
        <v>9.69</v>
      </c>
      <c r="G174" s="123">
        <v>150.19999999999999</v>
      </c>
      <c r="H174" s="123">
        <f t="shared" si="8"/>
        <v>140.51</v>
      </c>
      <c r="I174" s="123">
        <v>132.72</v>
      </c>
      <c r="J174" s="123">
        <f t="shared" si="9"/>
        <v>5.544089388655606</v>
      </c>
    </row>
    <row r="175" spans="2:11" ht="22.15" customHeight="1" x14ac:dyDescent="0.2">
      <c r="B175" s="84"/>
      <c r="C175" s="83"/>
      <c r="D175" s="82" t="s">
        <v>355</v>
      </c>
      <c r="E175" s="26" t="s">
        <v>369</v>
      </c>
      <c r="F175" s="122">
        <v>9.7200000000000006</v>
      </c>
      <c r="G175" s="122">
        <v>167.37</v>
      </c>
      <c r="H175" s="122">
        <f t="shared" ref="H175:H206" si="10">G175-F175</f>
        <v>157.65</v>
      </c>
      <c r="I175" s="122">
        <v>148.11000000000001</v>
      </c>
      <c r="J175" s="122">
        <f t="shared" ref="J175:J206" si="11">((H175-I175)/H175)*100</f>
        <v>6.0513796384395757</v>
      </c>
    </row>
    <row r="176" spans="2:11" ht="22.15" customHeight="1" thickBot="1" x14ac:dyDescent="0.25">
      <c r="B176" s="79"/>
      <c r="C176" s="78"/>
      <c r="D176" s="77" t="s">
        <v>354</v>
      </c>
      <c r="E176" s="20" t="s">
        <v>369</v>
      </c>
      <c r="F176" s="121">
        <v>9.6999999999999993</v>
      </c>
      <c r="G176" s="121">
        <v>195.16</v>
      </c>
      <c r="H176" s="121">
        <f t="shared" si="10"/>
        <v>185.46</v>
      </c>
      <c r="I176" s="121">
        <v>175.6</v>
      </c>
      <c r="J176" s="121">
        <f t="shared" si="11"/>
        <v>5.3165102987167119</v>
      </c>
      <c r="K176" s="120">
        <v>6.7</v>
      </c>
    </row>
    <row r="177" spans="2:11" ht="22.15" customHeight="1" x14ac:dyDescent="0.2">
      <c r="B177" s="89" t="s">
        <v>367</v>
      </c>
      <c r="C177" s="88">
        <v>2</v>
      </c>
      <c r="D177" s="87" t="s">
        <v>356</v>
      </c>
      <c r="E177" s="31" t="s">
        <v>368</v>
      </c>
      <c r="F177" s="123">
        <v>9.69</v>
      </c>
      <c r="G177" s="123">
        <v>163.46</v>
      </c>
      <c r="H177" s="123">
        <f t="shared" si="10"/>
        <v>153.77000000000001</v>
      </c>
      <c r="I177" s="123">
        <v>146.26</v>
      </c>
      <c r="J177" s="123">
        <f t="shared" si="11"/>
        <v>4.8839175391819074</v>
      </c>
    </row>
    <row r="178" spans="2:11" ht="22.15" customHeight="1" x14ac:dyDescent="0.2">
      <c r="B178" s="84"/>
      <c r="C178" s="83"/>
      <c r="D178" s="82" t="s">
        <v>355</v>
      </c>
      <c r="E178" s="26" t="s">
        <v>368</v>
      </c>
      <c r="F178" s="122">
        <v>9.69</v>
      </c>
      <c r="G178" s="122">
        <v>209.58</v>
      </c>
      <c r="H178" s="122">
        <f t="shared" si="10"/>
        <v>199.89000000000001</v>
      </c>
      <c r="I178" s="122">
        <v>188.98</v>
      </c>
      <c r="J178" s="122">
        <f t="shared" si="11"/>
        <v>5.4580019010455869</v>
      </c>
    </row>
    <row r="179" spans="2:11" ht="22.15" customHeight="1" thickBot="1" x14ac:dyDescent="0.25">
      <c r="B179" s="79"/>
      <c r="C179" s="78"/>
      <c r="D179" s="77" t="s">
        <v>354</v>
      </c>
      <c r="E179" s="20" t="s">
        <v>368</v>
      </c>
      <c r="F179" s="121">
        <v>9.68</v>
      </c>
      <c r="G179" s="121">
        <v>227.07</v>
      </c>
      <c r="H179" s="121">
        <f t="shared" si="10"/>
        <v>217.39</v>
      </c>
      <c r="I179" s="121">
        <v>206.08</v>
      </c>
      <c r="J179" s="121">
        <f t="shared" si="11"/>
        <v>5.2026312157872834</v>
      </c>
      <c r="K179" s="120">
        <v>7</v>
      </c>
    </row>
    <row r="180" spans="2:11" ht="22.15" customHeight="1" x14ac:dyDescent="0.2">
      <c r="B180" s="89" t="s">
        <v>367</v>
      </c>
      <c r="C180" s="88">
        <v>1</v>
      </c>
      <c r="D180" s="87" t="s">
        <v>356</v>
      </c>
      <c r="E180" s="31" t="s">
        <v>366</v>
      </c>
      <c r="F180" s="123">
        <v>9.73</v>
      </c>
      <c r="G180" s="123">
        <v>147.19</v>
      </c>
      <c r="H180" s="123">
        <f t="shared" si="10"/>
        <v>137.46</v>
      </c>
      <c r="I180" s="123">
        <v>129.22</v>
      </c>
      <c r="J180" s="123">
        <f t="shared" si="11"/>
        <v>5.9944711188709503</v>
      </c>
    </row>
    <row r="181" spans="2:11" ht="22.15" customHeight="1" x14ac:dyDescent="0.2">
      <c r="B181" s="84"/>
      <c r="C181" s="83"/>
      <c r="D181" s="82" t="s">
        <v>355</v>
      </c>
      <c r="E181" s="26" t="s">
        <v>366</v>
      </c>
      <c r="F181" s="122">
        <v>9.7100000000000009</v>
      </c>
      <c r="G181" s="122">
        <v>142.38999999999999</v>
      </c>
      <c r="H181" s="122">
        <f t="shared" si="10"/>
        <v>132.67999999999998</v>
      </c>
      <c r="I181" s="122">
        <v>125.67</v>
      </c>
      <c r="J181" s="122">
        <f t="shared" si="11"/>
        <v>5.2833886041603693</v>
      </c>
    </row>
    <row r="182" spans="2:11" ht="22.15" customHeight="1" thickBot="1" x14ac:dyDescent="0.25">
      <c r="B182" s="79"/>
      <c r="C182" s="78"/>
      <c r="D182" s="77" t="s">
        <v>354</v>
      </c>
      <c r="E182" s="20" t="s">
        <v>366</v>
      </c>
      <c r="F182" s="121">
        <v>9.68</v>
      </c>
      <c r="G182" s="121">
        <v>173.51</v>
      </c>
      <c r="H182" s="121">
        <f t="shared" si="10"/>
        <v>163.82999999999998</v>
      </c>
      <c r="I182" s="121">
        <v>154.63</v>
      </c>
      <c r="J182" s="121">
        <f t="shared" si="11"/>
        <v>5.6155771226271067</v>
      </c>
      <c r="K182" s="120">
        <v>7.4</v>
      </c>
    </row>
    <row r="183" spans="2:11" ht="22.15" customHeight="1" x14ac:dyDescent="0.2">
      <c r="B183" s="89" t="s">
        <v>362</v>
      </c>
      <c r="C183" s="88">
        <v>1</v>
      </c>
      <c r="D183" s="87" t="s">
        <v>354</v>
      </c>
      <c r="E183" s="31" t="s">
        <v>365</v>
      </c>
      <c r="F183" s="123">
        <v>9.7100000000000009</v>
      </c>
      <c r="G183" s="123">
        <v>185.48</v>
      </c>
      <c r="H183" s="123">
        <f t="shared" si="10"/>
        <v>175.76999999999998</v>
      </c>
      <c r="I183" s="123">
        <v>167.03</v>
      </c>
      <c r="J183" s="123">
        <f t="shared" si="11"/>
        <v>4.9724071229447473</v>
      </c>
      <c r="K183" s="120">
        <v>6.5</v>
      </c>
    </row>
    <row r="184" spans="2:11" ht="22.15" customHeight="1" x14ac:dyDescent="0.2">
      <c r="B184" s="84"/>
      <c r="C184" s="83"/>
      <c r="D184" s="82" t="s">
        <v>355</v>
      </c>
      <c r="E184" s="26" t="s">
        <v>365</v>
      </c>
      <c r="F184" s="122">
        <v>9.69</v>
      </c>
      <c r="G184" s="122">
        <v>173.2</v>
      </c>
      <c r="H184" s="122">
        <f t="shared" si="10"/>
        <v>163.51</v>
      </c>
      <c r="I184" s="122">
        <v>155.08000000000001</v>
      </c>
      <c r="J184" s="122">
        <f t="shared" si="11"/>
        <v>5.1556479726010513</v>
      </c>
    </row>
    <row r="185" spans="2:11" ht="22.15" customHeight="1" thickBot="1" x14ac:dyDescent="0.25">
      <c r="B185" s="79"/>
      <c r="C185" s="78"/>
      <c r="D185" s="77" t="s">
        <v>356</v>
      </c>
      <c r="E185" s="20" t="s">
        <v>365</v>
      </c>
      <c r="F185" s="121">
        <v>9.7200000000000006</v>
      </c>
      <c r="G185" s="121">
        <v>179.85</v>
      </c>
      <c r="H185" s="121">
        <f t="shared" si="10"/>
        <v>170.13</v>
      </c>
      <c r="I185" s="121">
        <v>161.27000000000001</v>
      </c>
      <c r="J185" s="121">
        <f t="shared" si="11"/>
        <v>5.2077822841356518</v>
      </c>
    </row>
    <row r="186" spans="2:11" ht="22.15" customHeight="1" x14ac:dyDescent="0.2">
      <c r="B186" s="89" t="s">
        <v>362</v>
      </c>
      <c r="C186" s="88">
        <v>2</v>
      </c>
      <c r="D186" s="87" t="s">
        <v>354</v>
      </c>
      <c r="E186" s="31" t="s">
        <v>364</v>
      </c>
      <c r="F186" s="123">
        <v>9.6999999999999993</v>
      </c>
      <c r="G186" s="123">
        <v>111.41</v>
      </c>
      <c r="H186" s="123">
        <f t="shared" si="10"/>
        <v>101.71</v>
      </c>
      <c r="I186" s="123">
        <v>96.73</v>
      </c>
      <c r="J186" s="123">
        <f t="shared" si="11"/>
        <v>4.8962737193982795</v>
      </c>
      <c r="K186" s="120">
        <v>6.1</v>
      </c>
    </row>
    <row r="187" spans="2:11" ht="22.15" customHeight="1" x14ac:dyDescent="0.2">
      <c r="B187" s="84"/>
      <c r="C187" s="83"/>
      <c r="D187" s="82" t="s">
        <v>355</v>
      </c>
      <c r="E187" s="26" t="s">
        <v>364</v>
      </c>
      <c r="F187" s="122">
        <v>9.68</v>
      </c>
      <c r="G187" s="122">
        <v>107.42</v>
      </c>
      <c r="H187" s="122">
        <f t="shared" si="10"/>
        <v>97.740000000000009</v>
      </c>
      <c r="I187" s="122">
        <v>92.83</v>
      </c>
      <c r="J187" s="122">
        <f t="shared" si="11"/>
        <v>5.0235318191119402</v>
      </c>
    </row>
    <row r="188" spans="2:11" ht="22.15" customHeight="1" thickBot="1" x14ac:dyDescent="0.25">
      <c r="B188" s="79"/>
      <c r="C188" s="78"/>
      <c r="D188" s="77" t="s">
        <v>356</v>
      </c>
      <c r="E188" s="20" t="s">
        <v>364</v>
      </c>
      <c r="F188" s="121">
        <v>9.69</v>
      </c>
      <c r="G188" s="121">
        <v>239.36</v>
      </c>
      <c r="H188" s="121">
        <f t="shared" si="10"/>
        <v>229.67000000000002</v>
      </c>
      <c r="I188" s="121">
        <v>217.95</v>
      </c>
      <c r="J188" s="121">
        <f t="shared" si="11"/>
        <v>5.1029738320198668</v>
      </c>
    </row>
    <row r="189" spans="2:11" ht="22.15" customHeight="1" x14ac:dyDescent="0.2">
      <c r="B189" s="89" t="s">
        <v>362</v>
      </c>
      <c r="C189" s="88">
        <v>3</v>
      </c>
      <c r="D189" s="87" t="s">
        <v>354</v>
      </c>
      <c r="E189" s="31" t="s">
        <v>363</v>
      </c>
      <c r="F189" s="123">
        <v>9.6999999999999993</v>
      </c>
      <c r="G189" s="123">
        <v>121.73</v>
      </c>
      <c r="H189" s="123">
        <f t="shared" si="10"/>
        <v>112.03</v>
      </c>
      <c r="I189" s="123">
        <v>106.56</v>
      </c>
      <c r="J189" s="123">
        <f t="shared" si="11"/>
        <v>4.8826207265910906</v>
      </c>
      <c r="K189" s="120">
        <v>7.2</v>
      </c>
    </row>
    <row r="190" spans="2:11" ht="22.15" customHeight="1" x14ac:dyDescent="0.2">
      <c r="B190" s="84"/>
      <c r="C190" s="83"/>
      <c r="D190" s="82" t="s">
        <v>355</v>
      </c>
      <c r="E190" s="26" t="s">
        <v>363</v>
      </c>
      <c r="F190" s="122">
        <v>9.6999999999999993</v>
      </c>
      <c r="G190" s="122">
        <v>164.41</v>
      </c>
      <c r="H190" s="122">
        <f t="shared" si="10"/>
        <v>154.71</v>
      </c>
      <c r="I190" s="122">
        <v>146.08000000000001</v>
      </c>
      <c r="J190" s="122">
        <f t="shared" si="11"/>
        <v>5.5781785275677045</v>
      </c>
    </row>
    <row r="191" spans="2:11" ht="22.15" customHeight="1" thickBot="1" x14ac:dyDescent="0.25">
      <c r="B191" s="79"/>
      <c r="C191" s="78"/>
      <c r="D191" s="77" t="s">
        <v>356</v>
      </c>
      <c r="E191" s="20" t="s">
        <v>363</v>
      </c>
      <c r="F191" s="121">
        <v>9.67</v>
      </c>
      <c r="G191" s="121">
        <v>112.34</v>
      </c>
      <c r="H191" s="121">
        <f t="shared" si="10"/>
        <v>102.67</v>
      </c>
      <c r="I191" s="121">
        <v>97.66</v>
      </c>
      <c r="J191" s="121">
        <f t="shared" si="11"/>
        <v>4.8797116976721586</v>
      </c>
    </row>
    <row r="192" spans="2:11" ht="22.15" customHeight="1" x14ac:dyDescent="0.2">
      <c r="B192" s="89" t="s">
        <v>362</v>
      </c>
      <c r="C192" s="88">
        <v>4</v>
      </c>
      <c r="D192" s="87" t="s">
        <v>354</v>
      </c>
      <c r="E192" s="31" t="s">
        <v>361</v>
      </c>
      <c r="F192" s="123">
        <v>9.7200000000000006</v>
      </c>
      <c r="G192" s="123">
        <v>137.35</v>
      </c>
      <c r="H192" s="123">
        <f t="shared" si="10"/>
        <v>127.63</v>
      </c>
      <c r="I192" s="123">
        <v>121.53</v>
      </c>
      <c r="J192" s="123">
        <f t="shared" si="11"/>
        <v>4.7794405703988048</v>
      </c>
      <c r="K192" s="120">
        <v>6</v>
      </c>
    </row>
    <row r="193" spans="2:11" ht="22.15" customHeight="1" x14ac:dyDescent="0.2">
      <c r="B193" s="84"/>
      <c r="C193" s="83"/>
      <c r="D193" s="82" t="s">
        <v>355</v>
      </c>
      <c r="E193" s="26" t="s">
        <v>361</v>
      </c>
      <c r="F193" s="122">
        <v>9.7100000000000009</v>
      </c>
      <c r="G193" s="122">
        <v>158.30000000000001</v>
      </c>
      <c r="H193" s="122">
        <f t="shared" si="10"/>
        <v>148.59</v>
      </c>
      <c r="I193" s="122">
        <v>141.13</v>
      </c>
      <c r="J193" s="122">
        <f t="shared" si="11"/>
        <v>5.0205262803688058</v>
      </c>
    </row>
    <row r="194" spans="2:11" ht="22.15" customHeight="1" thickBot="1" x14ac:dyDescent="0.25">
      <c r="B194" s="79"/>
      <c r="C194" s="78"/>
      <c r="D194" s="77" t="s">
        <v>356</v>
      </c>
      <c r="E194" s="20" t="s">
        <v>361</v>
      </c>
      <c r="F194" s="121">
        <v>9.67</v>
      </c>
      <c r="G194" s="121">
        <v>112.82</v>
      </c>
      <c r="H194" s="121">
        <f t="shared" si="10"/>
        <v>103.14999999999999</v>
      </c>
      <c r="I194" s="121">
        <v>97.92</v>
      </c>
      <c r="J194" s="121">
        <f t="shared" si="11"/>
        <v>5.070285991274833</v>
      </c>
    </row>
    <row r="195" spans="2:11" ht="22.15" customHeight="1" x14ac:dyDescent="0.2">
      <c r="B195" s="89" t="s">
        <v>357</v>
      </c>
      <c r="C195" s="88">
        <v>4</v>
      </c>
      <c r="D195" s="87" t="s">
        <v>356</v>
      </c>
      <c r="E195" s="31" t="s">
        <v>360</v>
      </c>
      <c r="F195" s="123">
        <v>9.6999999999999993</v>
      </c>
      <c r="G195" s="123">
        <v>119.66</v>
      </c>
      <c r="H195" s="123">
        <f t="shared" si="10"/>
        <v>109.96</v>
      </c>
      <c r="I195" s="123">
        <v>104.57</v>
      </c>
      <c r="J195" s="123">
        <f t="shared" si="11"/>
        <v>4.9017824663514018</v>
      </c>
    </row>
    <row r="196" spans="2:11" ht="22.15" customHeight="1" x14ac:dyDescent="0.2">
      <c r="B196" s="84"/>
      <c r="C196" s="83"/>
      <c r="D196" s="82" t="s">
        <v>355</v>
      </c>
      <c r="E196" s="26" t="s">
        <v>360</v>
      </c>
      <c r="F196" s="122">
        <v>9.7100000000000009</v>
      </c>
      <c r="G196" s="122">
        <v>151.44999999999999</v>
      </c>
      <c r="H196" s="122">
        <f t="shared" si="10"/>
        <v>141.73999999999998</v>
      </c>
      <c r="I196" s="122">
        <v>134.32</v>
      </c>
      <c r="J196" s="122">
        <f t="shared" si="11"/>
        <v>5.2349372089741699</v>
      </c>
    </row>
    <row r="197" spans="2:11" ht="22.15" customHeight="1" thickBot="1" x14ac:dyDescent="0.25">
      <c r="B197" s="79"/>
      <c r="C197" s="78"/>
      <c r="D197" s="77" t="s">
        <v>354</v>
      </c>
      <c r="E197" s="20" t="s">
        <v>360</v>
      </c>
      <c r="F197" s="121">
        <v>9.69</v>
      </c>
      <c r="G197" s="121">
        <v>169.7</v>
      </c>
      <c r="H197" s="121">
        <f t="shared" si="10"/>
        <v>160.01</v>
      </c>
      <c r="I197" s="121">
        <v>152.65</v>
      </c>
      <c r="J197" s="121">
        <f t="shared" si="11"/>
        <v>4.5997125179676184</v>
      </c>
      <c r="K197" s="120">
        <v>6</v>
      </c>
    </row>
    <row r="198" spans="2:11" ht="22.15" customHeight="1" x14ac:dyDescent="0.2">
      <c r="B198" s="89" t="s">
        <v>357</v>
      </c>
      <c r="C198" s="88">
        <v>3</v>
      </c>
      <c r="D198" s="87" t="s">
        <v>356</v>
      </c>
      <c r="E198" s="31" t="s">
        <v>359</v>
      </c>
      <c r="F198" s="123">
        <v>9.69</v>
      </c>
      <c r="G198" s="123">
        <v>116.11</v>
      </c>
      <c r="H198" s="123">
        <f t="shared" si="10"/>
        <v>106.42</v>
      </c>
      <c r="I198" s="123">
        <v>100.44</v>
      </c>
      <c r="J198" s="123">
        <f t="shared" si="11"/>
        <v>5.6192445029129896</v>
      </c>
    </row>
    <row r="199" spans="2:11" ht="22.15" customHeight="1" x14ac:dyDescent="0.2">
      <c r="B199" s="84"/>
      <c r="C199" s="83"/>
      <c r="D199" s="82" t="s">
        <v>355</v>
      </c>
      <c r="E199" s="26" t="s">
        <v>359</v>
      </c>
      <c r="F199" s="122">
        <v>9.7100000000000009</v>
      </c>
      <c r="G199" s="122">
        <v>139.9</v>
      </c>
      <c r="H199" s="122">
        <f t="shared" si="10"/>
        <v>130.19</v>
      </c>
      <c r="I199" s="122">
        <v>123.45</v>
      </c>
      <c r="J199" s="122">
        <f t="shared" si="11"/>
        <v>5.1770489284891275</v>
      </c>
    </row>
    <row r="200" spans="2:11" ht="22.15" customHeight="1" thickBot="1" x14ac:dyDescent="0.25">
      <c r="B200" s="79"/>
      <c r="C200" s="78"/>
      <c r="D200" s="77" t="s">
        <v>354</v>
      </c>
      <c r="E200" s="20" t="s">
        <v>359</v>
      </c>
      <c r="F200" s="121">
        <v>9.69</v>
      </c>
      <c r="G200" s="121">
        <v>159.19</v>
      </c>
      <c r="H200" s="121">
        <f t="shared" si="10"/>
        <v>149.5</v>
      </c>
      <c r="I200" s="121">
        <v>141.81</v>
      </c>
      <c r="J200" s="121">
        <f t="shared" si="11"/>
        <v>5.1438127090300991</v>
      </c>
      <c r="K200" s="120">
        <v>6.8</v>
      </c>
    </row>
    <row r="201" spans="2:11" ht="22.15" customHeight="1" x14ac:dyDescent="0.2">
      <c r="B201" s="89" t="s">
        <v>357</v>
      </c>
      <c r="C201" s="88">
        <v>2</v>
      </c>
      <c r="D201" s="87" t="s">
        <v>356</v>
      </c>
      <c r="E201" s="31" t="s">
        <v>358</v>
      </c>
      <c r="F201" s="123">
        <v>9.69</v>
      </c>
      <c r="G201" s="123">
        <v>151.38</v>
      </c>
      <c r="H201" s="123">
        <f t="shared" si="10"/>
        <v>141.69</v>
      </c>
      <c r="I201" s="123">
        <v>134.6</v>
      </c>
      <c r="J201" s="123">
        <f t="shared" si="11"/>
        <v>5.0038817136001157</v>
      </c>
    </row>
    <row r="202" spans="2:11" ht="22.15" customHeight="1" x14ac:dyDescent="0.2">
      <c r="B202" s="84"/>
      <c r="C202" s="83"/>
      <c r="D202" s="82" t="s">
        <v>355</v>
      </c>
      <c r="E202" s="26" t="s">
        <v>358</v>
      </c>
      <c r="F202" s="122">
        <v>9.68</v>
      </c>
      <c r="G202" s="122">
        <v>224.43</v>
      </c>
      <c r="H202" s="122">
        <f t="shared" si="10"/>
        <v>214.75</v>
      </c>
      <c r="I202" s="122">
        <v>202.46</v>
      </c>
      <c r="J202" s="122">
        <f t="shared" si="11"/>
        <v>5.7229336437718246</v>
      </c>
    </row>
    <row r="203" spans="2:11" ht="22.15" customHeight="1" thickBot="1" x14ac:dyDescent="0.25">
      <c r="B203" s="79"/>
      <c r="C203" s="78"/>
      <c r="D203" s="77" t="s">
        <v>354</v>
      </c>
      <c r="E203" s="20" t="s">
        <v>358</v>
      </c>
      <c r="F203" s="121">
        <v>9.65</v>
      </c>
      <c r="G203" s="121">
        <v>169.26</v>
      </c>
      <c r="H203" s="121">
        <f t="shared" si="10"/>
        <v>159.60999999999999</v>
      </c>
      <c r="I203" s="121">
        <v>152.31</v>
      </c>
      <c r="J203" s="121">
        <f t="shared" si="11"/>
        <v>4.5736482676523922</v>
      </c>
      <c r="K203" s="120">
        <v>6</v>
      </c>
    </row>
    <row r="204" spans="2:11" ht="22.15" customHeight="1" x14ac:dyDescent="0.2">
      <c r="B204" s="89" t="s">
        <v>357</v>
      </c>
      <c r="C204" s="88">
        <v>1</v>
      </c>
      <c r="D204" s="87" t="s">
        <v>356</v>
      </c>
      <c r="E204" s="31" t="s">
        <v>353</v>
      </c>
      <c r="F204" s="123">
        <v>9.6999999999999993</v>
      </c>
      <c r="G204" s="123">
        <v>210.08</v>
      </c>
      <c r="H204" s="123">
        <f t="shared" si="10"/>
        <v>200.38000000000002</v>
      </c>
      <c r="I204" s="123">
        <v>189.52</v>
      </c>
      <c r="J204" s="123">
        <f t="shared" si="11"/>
        <v>5.4197025651262667</v>
      </c>
    </row>
    <row r="205" spans="2:11" ht="22.15" customHeight="1" x14ac:dyDescent="0.2">
      <c r="B205" s="84"/>
      <c r="C205" s="83"/>
      <c r="D205" s="82" t="s">
        <v>355</v>
      </c>
      <c r="E205" s="26" t="s">
        <v>353</v>
      </c>
      <c r="F205" s="122">
        <v>9.7100000000000009</v>
      </c>
      <c r="G205" s="122">
        <v>186.98</v>
      </c>
      <c r="H205" s="122">
        <f t="shared" si="10"/>
        <v>177.26999999999998</v>
      </c>
      <c r="I205" s="122">
        <v>168.66</v>
      </c>
      <c r="J205" s="122">
        <f t="shared" si="11"/>
        <v>4.8569977999661456</v>
      </c>
    </row>
    <row r="206" spans="2:11" ht="22.15" customHeight="1" thickBot="1" x14ac:dyDescent="0.25">
      <c r="B206" s="79"/>
      <c r="C206" s="78"/>
      <c r="D206" s="77" t="s">
        <v>354</v>
      </c>
      <c r="E206" s="20" t="s">
        <v>353</v>
      </c>
      <c r="F206" s="121">
        <v>9.6999999999999993</v>
      </c>
      <c r="G206" s="121">
        <v>198.52</v>
      </c>
      <c r="H206" s="121">
        <f t="shared" si="10"/>
        <v>188.82000000000002</v>
      </c>
      <c r="I206" s="121">
        <v>179.74</v>
      </c>
      <c r="J206" s="121">
        <f t="shared" si="11"/>
        <v>4.8088126257811732</v>
      </c>
      <c r="K206" s="120">
        <v>6.3</v>
      </c>
    </row>
  </sheetData>
  <mergeCells count="2">
    <mergeCell ref="B14:C14"/>
    <mergeCell ref="K13:K14"/>
  </mergeCells>
  <pageMargins left="0.45" right="0.45" top="0.5" bottom="0.5" header="0" footer="0.3"/>
  <pageSetup scale="86" orientation="portrait" r:id="rId1"/>
  <rowBreaks count="2" manualBreakCount="2">
    <brk id="38" max="8" man="1"/>
    <brk id="74" max="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D74A-CF6D-47E0-AB44-199A5491ADB0}">
  <dimension ref="A1:BO200"/>
  <sheetViews>
    <sheetView topLeftCell="A166" workbookViewId="0">
      <selection activeCell="L196" sqref="L196"/>
    </sheetView>
  </sheetViews>
  <sheetFormatPr defaultRowHeight="14.25" x14ac:dyDescent="0.2"/>
  <cols>
    <col min="1" max="7" width="9.140625" style="14"/>
    <col min="8" max="8" width="4.5703125" style="14" bestFit="1" customWidth="1"/>
    <col min="9" max="9" width="2.140625" style="14" bestFit="1" customWidth="1"/>
    <col min="10" max="16384" width="9.140625" style="14"/>
  </cols>
  <sheetData>
    <row r="1" spans="1:67" ht="17.25" customHeight="1" x14ac:dyDescent="0.2">
      <c r="O1" s="152" t="s">
        <v>498</v>
      </c>
      <c r="P1" s="152" t="s">
        <v>498</v>
      </c>
      <c r="Q1" s="14" t="s">
        <v>339</v>
      </c>
      <c r="R1" s="14" t="s">
        <v>340</v>
      </c>
      <c r="S1" s="14" t="s">
        <v>496</v>
      </c>
      <c r="T1" s="14" t="s">
        <v>495</v>
      </c>
      <c r="U1" s="14" t="s">
        <v>339</v>
      </c>
      <c r="V1" s="14" t="s">
        <v>340</v>
      </c>
      <c r="W1" s="14" t="s">
        <v>496</v>
      </c>
      <c r="X1" s="14" t="s">
        <v>495</v>
      </c>
      <c r="Y1" s="14" t="s">
        <v>494</v>
      </c>
      <c r="Z1" s="14" t="s">
        <v>493</v>
      </c>
      <c r="AA1" s="14" t="s">
        <v>492</v>
      </c>
      <c r="AB1" s="14" t="s">
        <v>491</v>
      </c>
      <c r="AC1" s="14" t="s">
        <v>490</v>
      </c>
      <c r="AD1" s="155" t="s">
        <v>489</v>
      </c>
      <c r="AE1" s="154" t="s">
        <v>488</v>
      </c>
      <c r="AF1" s="154"/>
      <c r="AG1" s="153" t="s">
        <v>487</v>
      </c>
      <c r="AH1" s="153" t="s">
        <v>486</v>
      </c>
      <c r="AI1" s="153" t="s">
        <v>485</v>
      </c>
      <c r="AJ1" s="153" t="s">
        <v>484</v>
      </c>
      <c r="AK1" s="151"/>
      <c r="AM1" s="14" t="s">
        <v>498</v>
      </c>
      <c r="AN1" s="14" t="s">
        <v>497</v>
      </c>
      <c r="AO1" s="14" t="s">
        <v>497</v>
      </c>
      <c r="AP1" s="14" t="s">
        <v>498</v>
      </c>
      <c r="AQ1" s="14" t="s">
        <v>497</v>
      </c>
      <c r="AR1" s="14" t="s">
        <v>497</v>
      </c>
      <c r="AV1" s="14" t="s">
        <v>339</v>
      </c>
      <c r="AW1" s="14" t="s">
        <v>340</v>
      </c>
      <c r="AX1" s="14" t="s">
        <v>496</v>
      </c>
      <c r="AY1" s="14" t="s">
        <v>495</v>
      </c>
      <c r="AZ1" s="14" t="s">
        <v>494</v>
      </c>
      <c r="BA1" s="14" t="s">
        <v>493</v>
      </c>
      <c r="BB1" s="14" t="s">
        <v>492</v>
      </c>
      <c r="BC1" s="14" t="s">
        <v>491</v>
      </c>
      <c r="BD1" s="14" t="s">
        <v>490</v>
      </c>
      <c r="BE1" s="155" t="s">
        <v>489</v>
      </c>
      <c r="BF1" s="154" t="s">
        <v>488</v>
      </c>
      <c r="BG1" s="154"/>
      <c r="BH1" s="153" t="s">
        <v>487</v>
      </c>
      <c r="BI1" s="153" t="s">
        <v>486</v>
      </c>
      <c r="BJ1" s="153" t="s">
        <v>485</v>
      </c>
      <c r="BK1" s="153" t="s">
        <v>484</v>
      </c>
      <c r="BN1" s="14" t="s">
        <v>339</v>
      </c>
      <c r="BO1" s="14" t="s">
        <v>339</v>
      </c>
    </row>
    <row r="2" spans="1:67" ht="17.25" customHeight="1" thickBot="1" x14ac:dyDescent="0.4">
      <c r="A2" s="156" t="s">
        <v>398</v>
      </c>
      <c r="B2" s="156"/>
      <c r="C2" s="52" t="s">
        <v>397</v>
      </c>
      <c r="D2" s="51" t="s">
        <v>396</v>
      </c>
      <c r="E2" s="50" t="s">
        <v>395</v>
      </c>
      <c r="F2" s="125" t="s">
        <v>447</v>
      </c>
      <c r="H2" s="14" t="s">
        <v>398</v>
      </c>
      <c r="J2" s="14" t="s">
        <v>427</v>
      </c>
      <c r="K2" s="14" t="s">
        <v>396</v>
      </c>
      <c r="L2" s="14" t="s">
        <v>422</v>
      </c>
      <c r="M2" s="14" t="s">
        <v>421</v>
      </c>
      <c r="O2" s="152" t="s">
        <v>483</v>
      </c>
      <c r="P2" s="152" t="s">
        <v>482</v>
      </c>
      <c r="Q2" s="14" t="s">
        <v>4</v>
      </c>
      <c r="R2" s="14" t="s">
        <v>4</v>
      </c>
      <c r="S2" s="14" t="s">
        <v>4</v>
      </c>
      <c r="T2" s="14" t="s">
        <v>46</v>
      </c>
      <c r="U2" s="14" t="s">
        <v>4</v>
      </c>
      <c r="V2" s="14" t="s">
        <v>4</v>
      </c>
      <c r="W2" s="14" t="s">
        <v>4</v>
      </c>
      <c r="X2" s="14" t="s">
        <v>46</v>
      </c>
      <c r="Y2" s="14" t="s">
        <v>480</v>
      </c>
      <c r="Z2" s="14" t="s">
        <v>479</v>
      </c>
      <c r="AA2" s="14" t="s">
        <v>480</v>
      </c>
      <c r="AB2" s="14" t="s">
        <v>480</v>
      </c>
      <c r="AC2" s="14" t="s">
        <v>479</v>
      </c>
      <c r="AD2" s="151" t="s">
        <v>478</v>
      </c>
      <c r="AE2" s="151" t="s">
        <v>477</v>
      </c>
      <c r="AF2" s="151" t="s">
        <v>476</v>
      </c>
      <c r="AG2" s="151" t="s">
        <v>475</v>
      </c>
      <c r="AH2" s="151" t="s">
        <v>474</v>
      </c>
      <c r="AI2" s="151" t="s">
        <v>473</v>
      </c>
      <c r="AJ2" s="151" t="s">
        <v>473</v>
      </c>
      <c r="AK2" s="51" t="s">
        <v>396</v>
      </c>
      <c r="AM2" s="14" t="s">
        <v>481</v>
      </c>
      <c r="AN2" s="14" t="s">
        <v>4</v>
      </c>
      <c r="AO2" s="14" t="s">
        <v>472</v>
      </c>
      <c r="AP2" s="14" t="s">
        <v>481</v>
      </c>
      <c r="AQ2" s="14" t="s">
        <v>4</v>
      </c>
      <c r="AR2" s="14" t="s">
        <v>472</v>
      </c>
      <c r="AT2" s="47" t="s">
        <v>394</v>
      </c>
      <c r="AU2" s="46"/>
      <c r="AV2" s="14" t="s">
        <v>4</v>
      </c>
      <c r="AW2" s="14" t="s">
        <v>4</v>
      </c>
      <c r="AX2" s="14" t="s">
        <v>4</v>
      </c>
      <c r="AY2" s="14" t="s">
        <v>46</v>
      </c>
      <c r="AZ2" s="14" t="s">
        <v>480</v>
      </c>
      <c r="BA2" s="14" t="s">
        <v>479</v>
      </c>
      <c r="BB2" s="14" t="s">
        <v>480</v>
      </c>
      <c r="BC2" s="14" t="s">
        <v>480</v>
      </c>
      <c r="BD2" s="14" t="s">
        <v>479</v>
      </c>
      <c r="BE2" s="151" t="s">
        <v>478</v>
      </c>
      <c r="BF2" s="151" t="s">
        <v>477</v>
      </c>
      <c r="BG2" s="151" t="s">
        <v>476</v>
      </c>
      <c r="BH2" s="151" t="s">
        <v>475</v>
      </c>
      <c r="BI2" s="151" t="s">
        <v>474</v>
      </c>
      <c r="BJ2" s="151" t="s">
        <v>473</v>
      </c>
      <c r="BK2" s="151" t="s">
        <v>473</v>
      </c>
      <c r="BN2" s="14" t="s">
        <v>472</v>
      </c>
      <c r="BO2" s="14" t="s">
        <v>471</v>
      </c>
    </row>
    <row r="3" spans="1:67" ht="17.25" customHeight="1" x14ac:dyDescent="0.2">
      <c r="A3" s="34" t="s">
        <v>390</v>
      </c>
      <c r="B3" s="33">
        <v>1</v>
      </c>
      <c r="C3" s="32" t="s">
        <v>354</v>
      </c>
      <c r="D3" s="31" t="s">
        <v>359</v>
      </c>
      <c r="E3" s="30">
        <v>21.9</v>
      </c>
      <c r="F3" s="123">
        <v>7.7813272256042412</v>
      </c>
      <c r="H3" s="14" t="s">
        <v>390</v>
      </c>
      <c r="I3" s="14">
        <v>1</v>
      </c>
      <c r="J3" s="14" t="s">
        <v>354</v>
      </c>
      <c r="K3" s="14" t="s">
        <v>359</v>
      </c>
      <c r="L3" s="14">
        <v>35.683760683760681</v>
      </c>
      <c r="M3" s="14">
        <v>50.000000000000014</v>
      </c>
      <c r="O3" s="14">
        <f t="shared" ref="O3:O34" si="0">L3/100</f>
        <v>0.35683760683760679</v>
      </c>
      <c r="P3" s="14">
        <f t="shared" ref="P3:P34" si="1">M3/100</f>
        <v>0.50000000000000011</v>
      </c>
      <c r="Q3" s="14">
        <f t="shared" ref="Q3:Q34" si="2">(E3-0.38)*0.453592*(1-F3/100)*(L3/100)/(40*2.54/100*2*10/10000)</f>
        <v>1580.7872894607171</v>
      </c>
      <c r="R3" s="14">
        <f t="shared" ref="R3:R34" si="3">(E3-0.38)*0.453592*(1-F3/100)*(M3/100)/(40*2.54/100*2*10/10000)</f>
        <v>2214.9953636754967</v>
      </c>
      <c r="S3" s="14">
        <f t="shared" ref="S3:S34" si="4">SUM(Q3:R3)</f>
        <v>3795.7826531362139</v>
      </c>
      <c r="T3" s="14">
        <f t="shared" ref="T3:T34" si="5">Q3/S3*100</f>
        <v>41.645885286783034</v>
      </c>
      <c r="AK3" s="139" t="s">
        <v>359</v>
      </c>
      <c r="AM3" s="14">
        <f t="shared" ref="AM3:AM34" si="6">1-O3-P3</f>
        <v>0.1431623931623931</v>
      </c>
      <c r="AN3" s="14">
        <f t="shared" ref="AN3:AN34" si="7">(E3-0.38)*0.453592*(1-F3/100)*(AM3)/(40*2.54/100*2*10/10000)</f>
        <v>634.20807421477855</v>
      </c>
      <c r="AO3" s="14">
        <f t="shared" ref="AO3:AO34" si="8">AN3*0.892179</f>
        <v>565.82712544486697</v>
      </c>
      <c r="AP3" s="138"/>
      <c r="AQ3" s="138"/>
      <c r="AR3" s="138"/>
      <c r="AT3" s="18" t="s">
        <v>392</v>
      </c>
      <c r="AU3" s="42">
        <v>60</v>
      </c>
      <c r="AV3" s="147">
        <f t="shared" ref="AV3:BK3" si="9">AVERAGEIFS(U$3:U$194,$AK$3:$AK$194, "60-60")</f>
        <v>1178.5742004308247</v>
      </c>
      <c r="AW3" s="147">
        <f t="shared" si="9"/>
        <v>1629.1799539919991</v>
      </c>
      <c r="AX3" s="147">
        <f t="shared" si="9"/>
        <v>2807.7541544228238</v>
      </c>
      <c r="AY3" s="144">
        <f t="shared" si="9"/>
        <v>41.955146367455569</v>
      </c>
      <c r="AZ3" s="144">
        <f t="shared" si="9"/>
        <v>714.72500000000002</v>
      </c>
      <c r="BA3" s="145">
        <f t="shared" si="9"/>
        <v>0.1657180910986325</v>
      </c>
      <c r="BB3" s="144">
        <f t="shared" si="9"/>
        <v>547.70000000000005</v>
      </c>
      <c r="BC3" s="144">
        <f t="shared" si="9"/>
        <v>931.6</v>
      </c>
      <c r="BD3" s="145">
        <f t="shared" si="9"/>
        <v>0.12651075573538265</v>
      </c>
      <c r="BE3" s="41">
        <f t="shared" si="9"/>
        <v>4.7075000000000005</v>
      </c>
      <c r="BF3" s="41">
        <f t="shared" si="9"/>
        <v>1.085</v>
      </c>
      <c r="BG3" s="144">
        <f t="shared" si="9"/>
        <v>27.559000000000001</v>
      </c>
      <c r="BH3" s="144">
        <f t="shared" si="9"/>
        <v>80.674999999999997</v>
      </c>
      <c r="BI3" s="144">
        <f t="shared" si="9"/>
        <v>29.924999999999997</v>
      </c>
      <c r="BJ3" s="144">
        <f t="shared" si="9"/>
        <v>5.9499999999999993</v>
      </c>
      <c r="BK3" s="144">
        <f t="shared" si="9"/>
        <v>10.450000000000001</v>
      </c>
      <c r="BN3" s="14">
        <f>AV3/0.453592*0.404686</f>
        <v>1051.5010821962219</v>
      </c>
      <c r="BO3" s="14">
        <f>BN3/480</f>
        <v>2.1906272545754621</v>
      </c>
    </row>
    <row r="4" spans="1:67" ht="17.25" customHeight="1" x14ac:dyDescent="0.2">
      <c r="A4" s="35"/>
      <c r="B4" s="28"/>
      <c r="C4" s="27" t="s">
        <v>355</v>
      </c>
      <c r="D4" s="26" t="s">
        <v>359</v>
      </c>
      <c r="E4" s="25">
        <v>23.2</v>
      </c>
      <c r="F4" s="122">
        <v>11.35948070945328</v>
      </c>
      <c r="J4" s="14" t="s">
        <v>355</v>
      </c>
      <c r="K4" s="14" t="s">
        <v>359</v>
      </c>
      <c r="L4" s="14">
        <v>38.241308793456028</v>
      </c>
      <c r="M4" s="14">
        <v>48.875255623721884</v>
      </c>
      <c r="O4" s="14">
        <f t="shared" si="0"/>
        <v>0.3824130879345603</v>
      </c>
      <c r="P4" s="14">
        <f t="shared" si="1"/>
        <v>0.48875255623721886</v>
      </c>
      <c r="Q4" s="14">
        <f t="shared" si="2"/>
        <v>1726.7217594384285</v>
      </c>
      <c r="R4" s="14">
        <f t="shared" si="3"/>
        <v>2206.8796818491151</v>
      </c>
      <c r="S4" s="14">
        <f t="shared" si="4"/>
        <v>3933.6014412875438</v>
      </c>
      <c r="T4" s="14">
        <f t="shared" si="5"/>
        <v>43.896713615023465</v>
      </c>
      <c r="U4" s="14">
        <f>AVERAGE(Q3:Q5)</f>
        <v>1654.8538477735874</v>
      </c>
      <c r="V4" s="14">
        <f>AVERAGE(R3:R5)</f>
        <v>2213.6005538726422</v>
      </c>
      <c r="W4" s="14">
        <f>AVERAGE(S3:S5)</f>
        <v>3868.4544016462296</v>
      </c>
      <c r="X4" s="14">
        <f>AVERAGE(T3:T5)</f>
        <v>42.764813884549746</v>
      </c>
      <c r="Y4" s="14">
        <v>1041.8</v>
      </c>
      <c r="Z4" s="14">
        <f>(U4/10000)/(Y4/1000)</f>
        <v>0.15884563714470987</v>
      </c>
      <c r="AA4" s="14">
        <v>890.4</v>
      </c>
      <c r="AB4" s="14">
        <f>AA4+264+119.9</f>
        <v>1274.3000000000002</v>
      </c>
      <c r="AC4" s="14">
        <f>(U4/10000)/(AB4/1000)</f>
        <v>0.12986375639751921</v>
      </c>
      <c r="AD4" s="140">
        <v>4.6500000000000004</v>
      </c>
      <c r="AE4" s="141">
        <v>1.17</v>
      </c>
      <c r="AF4" s="14">
        <f>AE4*25.4</f>
        <v>29.717999999999996</v>
      </c>
      <c r="AG4" s="140">
        <v>80.8</v>
      </c>
      <c r="AH4" s="140">
        <v>31.7</v>
      </c>
      <c r="AI4" s="140">
        <v>6.2</v>
      </c>
      <c r="AJ4" s="140">
        <v>9.6</v>
      </c>
      <c r="AK4" s="139" t="s">
        <v>359</v>
      </c>
      <c r="AM4" s="14">
        <f t="shared" si="6"/>
        <v>0.12883435582822084</v>
      </c>
      <c r="AN4" s="14">
        <f t="shared" si="7"/>
        <v>581.72979061294654</v>
      </c>
      <c r="AO4" s="14">
        <f t="shared" si="8"/>
        <v>519.00710285926812</v>
      </c>
      <c r="AP4" s="138">
        <f>AVERAGE(AM3:AM5)</f>
        <v>0.14076996713048301</v>
      </c>
      <c r="AQ4" s="138">
        <f>AVERAGE(AN3:AN5)</f>
        <v>633.871586357051</v>
      </c>
      <c r="AR4" s="138">
        <f>AVERAGE(AO3:AO5)</f>
        <v>565.52691804444748</v>
      </c>
      <c r="AT4" s="18" t="s">
        <v>392</v>
      </c>
      <c r="AU4" s="42">
        <v>80</v>
      </c>
      <c r="AV4" s="147">
        <f t="shared" ref="AV4:BK4" si="10">AVERAGEIFS(U$3:U$194,$AK$3:$AK$194, "60-80")</f>
        <v>1157.4124361654849</v>
      </c>
      <c r="AW4" s="147">
        <f t="shared" si="10"/>
        <v>1619.6293673891921</v>
      </c>
      <c r="AX4" s="147">
        <f t="shared" si="10"/>
        <v>2777.0418035546768</v>
      </c>
      <c r="AY4" s="144">
        <f t="shared" si="10"/>
        <v>41.620576005586479</v>
      </c>
      <c r="AZ4" s="144">
        <f t="shared" si="10"/>
        <v>813.55</v>
      </c>
      <c r="BA4" s="145">
        <f t="shared" si="10"/>
        <v>0.14217145742745768</v>
      </c>
      <c r="BB4" s="144">
        <f t="shared" si="10"/>
        <v>638.4</v>
      </c>
      <c r="BC4" s="144">
        <f t="shared" si="10"/>
        <v>1022.3</v>
      </c>
      <c r="BD4" s="145">
        <f t="shared" si="10"/>
        <v>0.11321651532480533</v>
      </c>
      <c r="BE4" s="41">
        <f t="shared" si="10"/>
        <v>4.3975</v>
      </c>
      <c r="BF4" s="41">
        <f t="shared" si="10"/>
        <v>1.0875000000000001</v>
      </c>
      <c r="BG4" s="144">
        <f t="shared" si="10"/>
        <v>27.622500000000002</v>
      </c>
      <c r="BH4" s="144">
        <f t="shared" si="10"/>
        <v>79.525000000000006</v>
      </c>
      <c r="BI4" s="144">
        <f t="shared" si="10"/>
        <v>30.25</v>
      </c>
      <c r="BJ4" s="144">
        <f t="shared" si="10"/>
        <v>5.9249999999999989</v>
      </c>
      <c r="BK4" s="146">
        <f t="shared" si="10"/>
        <v>10.825000000000001</v>
      </c>
      <c r="BN4" s="14">
        <f>AV4/0.453592*0.404686</f>
        <v>1032.620965850512</v>
      </c>
      <c r="BO4" s="14">
        <f>BN4/480</f>
        <v>2.1512936788552333</v>
      </c>
    </row>
    <row r="5" spans="1:67" ht="17.25" customHeight="1" thickBot="1" x14ac:dyDescent="0.25">
      <c r="A5" s="23"/>
      <c r="B5" s="22"/>
      <c r="C5" s="21" t="s">
        <v>356</v>
      </c>
      <c r="D5" s="20" t="s">
        <v>359</v>
      </c>
      <c r="E5" s="19">
        <v>22.6</v>
      </c>
      <c r="F5" s="121">
        <v>8.0319888734353349</v>
      </c>
      <c r="J5" s="14" t="s">
        <v>356</v>
      </c>
      <c r="K5" s="14" t="s">
        <v>359</v>
      </c>
      <c r="L5" s="14">
        <v>36.325678496868477</v>
      </c>
      <c r="M5" s="14">
        <v>48.643006263048015</v>
      </c>
      <c r="O5" s="14">
        <f t="shared" si="0"/>
        <v>0.36325678496868474</v>
      </c>
      <c r="P5" s="14">
        <f t="shared" si="1"/>
        <v>0.48643006263048016</v>
      </c>
      <c r="Q5" s="14">
        <f t="shared" si="2"/>
        <v>1657.0524944216165</v>
      </c>
      <c r="R5" s="14">
        <f t="shared" si="3"/>
        <v>2218.9266160933144</v>
      </c>
      <c r="S5" s="14">
        <f t="shared" si="4"/>
        <v>3875.9791105149307</v>
      </c>
      <c r="T5" s="14">
        <f t="shared" si="5"/>
        <v>42.751842751842752</v>
      </c>
      <c r="AD5" s="140"/>
      <c r="AE5" s="141"/>
      <c r="AG5" s="140"/>
      <c r="AH5" s="140"/>
      <c r="AI5" s="140"/>
      <c r="AJ5" s="140"/>
      <c r="AK5" s="139" t="s">
        <v>359</v>
      </c>
      <c r="AM5" s="14">
        <f t="shared" si="6"/>
        <v>0.15031315240083509</v>
      </c>
      <c r="AN5" s="14">
        <f t="shared" si="7"/>
        <v>685.67689424342768</v>
      </c>
      <c r="AO5" s="14">
        <f t="shared" si="8"/>
        <v>611.74652582920714</v>
      </c>
      <c r="AP5" s="138"/>
      <c r="AQ5" s="138"/>
      <c r="AR5" s="138"/>
      <c r="AT5" s="18" t="s">
        <v>392</v>
      </c>
      <c r="AU5" s="42">
        <v>100</v>
      </c>
      <c r="AV5" s="147">
        <f t="shared" ref="AV5:BK5" si="11">AVERAGEIFS(U$3:U$194,$AK$3:$AK$194, "60-100")</f>
        <v>1050.1865903020912</v>
      </c>
      <c r="AW5" s="147">
        <f t="shared" si="11"/>
        <v>1465.1037890688883</v>
      </c>
      <c r="AX5" s="147">
        <f t="shared" si="11"/>
        <v>2515.2903793709793</v>
      </c>
      <c r="AY5" s="144">
        <f t="shared" si="11"/>
        <v>41.711257757667802</v>
      </c>
      <c r="AZ5" s="144">
        <f t="shared" si="11"/>
        <v>898.09999999999991</v>
      </c>
      <c r="BA5" s="145">
        <f t="shared" si="11"/>
        <v>0.11690736950554227</v>
      </c>
      <c r="BB5" s="144">
        <f t="shared" si="11"/>
        <v>729</v>
      </c>
      <c r="BC5" s="144">
        <f t="shared" si="11"/>
        <v>1112.9000000000001</v>
      </c>
      <c r="BD5" s="145">
        <f t="shared" si="11"/>
        <v>9.4364865693421798E-2</v>
      </c>
      <c r="BE5" s="149">
        <f t="shared" si="11"/>
        <v>4.24</v>
      </c>
      <c r="BF5" s="41">
        <f t="shared" si="11"/>
        <v>1.1299999999999999</v>
      </c>
      <c r="BG5" s="144">
        <f t="shared" si="11"/>
        <v>28.701999999999998</v>
      </c>
      <c r="BH5" s="144">
        <f t="shared" si="11"/>
        <v>80.125</v>
      </c>
      <c r="BI5" s="144">
        <f t="shared" si="11"/>
        <v>31.85</v>
      </c>
      <c r="BJ5" s="144">
        <f t="shared" si="11"/>
        <v>5.9499999999999993</v>
      </c>
      <c r="BK5" s="144">
        <f t="shared" si="11"/>
        <v>10.275</v>
      </c>
      <c r="BN5" s="14">
        <f>AV5/0.453592*0.404686</f>
        <v>936.95614226660098</v>
      </c>
      <c r="BO5" s="14">
        <f>BN5/480</f>
        <v>1.9519919630554188</v>
      </c>
    </row>
    <row r="6" spans="1:67" ht="15.75" x14ac:dyDescent="0.2">
      <c r="A6" s="34" t="s">
        <v>390</v>
      </c>
      <c r="B6" s="33">
        <v>2</v>
      </c>
      <c r="C6" s="32" t="s">
        <v>354</v>
      </c>
      <c r="D6" s="31" t="s">
        <v>361</v>
      </c>
      <c r="E6" s="30">
        <v>24.9</v>
      </c>
      <c r="F6" s="123">
        <v>7.2904181061834423</v>
      </c>
      <c r="H6" s="14" t="s">
        <v>390</v>
      </c>
      <c r="I6" s="14">
        <v>2</v>
      </c>
      <c r="J6" s="14" t="s">
        <v>354</v>
      </c>
      <c r="K6" s="14" t="s">
        <v>361</v>
      </c>
      <c r="L6" s="14">
        <v>37.148217636022515</v>
      </c>
      <c r="M6" s="14">
        <v>48.780487804878049</v>
      </c>
      <c r="O6" s="14">
        <f t="shared" si="0"/>
        <v>0.37148217636022518</v>
      </c>
      <c r="P6" s="14">
        <f t="shared" si="1"/>
        <v>0.48780487804878048</v>
      </c>
      <c r="Q6" s="14">
        <f t="shared" si="2"/>
        <v>1885.0581519488217</v>
      </c>
      <c r="R6" s="14">
        <f t="shared" si="3"/>
        <v>2475.3288863974421</v>
      </c>
      <c r="S6" s="14">
        <f t="shared" si="4"/>
        <v>4360.3870383462636</v>
      </c>
      <c r="T6" s="14">
        <f t="shared" si="5"/>
        <v>43.231441048034938</v>
      </c>
      <c r="AD6" s="140"/>
      <c r="AE6" s="141"/>
      <c r="AG6" s="140"/>
      <c r="AH6" s="140"/>
      <c r="AI6" s="140"/>
      <c r="AJ6" s="140"/>
      <c r="AK6" s="139" t="s">
        <v>361</v>
      </c>
      <c r="AM6" s="14">
        <f t="shared" si="6"/>
        <v>0.14071294559099434</v>
      </c>
      <c r="AN6" s="14">
        <f t="shared" si="7"/>
        <v>714.03717876849282</v>
      </c>
      <c r="AO6" s="14">
        <f t="shared" si="8"/>
        <v>637.04897611649517</v>
      </c>
      <c r="AP6" s="138"/>
      <c r="AQ6" s="138"/>
      <c r="AR6" s="138"/>
      <c r="AT6" s="18" t="s">
        <v>392</v>
      </c>
      <c r="AU6" s="42">
        <v>120</v>
      </c>
      <c r="AV6" s="147">
        <f t="shared" ref="AV6:BK6" si="12">AVERAGEIFS(U$3:U$194,$AK$3:$AK$194, "60-120")</f>
        <v>1014.2528782079996</v>
      </c>
      <c r="AW6" s="147">
        <f t="shared" si="12"/>
        <v>1446.9021875398294</v>
      </c>
      <c r="AX6" s="147">
        <f t="shared" si="12"/>
        <v>2461.1550657478297</v>
      </c>
      <c r="AY6" s="144">
        <f t="shared" si="12"/>
        <v>41.083871099994496</v>
      </c>
      <c r="AZ6" s="144">
        <f t="shared" si="12"/>
        <v>971.27499999999998</v>
      </c>
      <c r="BA6" s="145">
        <f t="shared" si="12"/>
        <v>0.1043214993317565</v>
      </c>
      <c r="BB6" s="144">
        <f t="shared" si="12"/>
        <v>819.7</v>
      </c>
      <c r="BC6" s="144">
        <f t="shared" si="12"/>
        <v>1203.6000000000001</v>
      </c>
      <c r="BD6" s="145">
        <f t="shared" si="12"/>
        <v>8.4268268378863365E-2</v>
      </c>
      <c r="BE6" s="149">
        <f t="shared" si="12"/>
        <v>3.8374999999999999</v>
      </c>
      <c r="BF6" s="41">
        <f t="shared" si="12"/>
        <v>1.135</v>
      </c>
      <c r="BG6" s="144">
        <f t="shared" si="12"/>
        <v>28.829000000000001</v>
      </c>
      <c r="BH6" s="144">
        <f t="shared" si="12"/>
        <v>79.349999999999994</v>
      </c>
      <c r="BI6" s="144">
        <f t="shared" si="12"/>
        <v>31.299999999999997</v>
      </c>
      <c r="BJ6" s="144">
        <f t="shared" si="12"/>
        <v>6.0749999999999993</v>
      </c>
      <c r="BK6" s="144">
        <f t="shared" si="12"/>
        <v>10.7</v>
      </c>
      <c r="BN6" s="14">
        <f>AV6/0.453592*0.404686</f>
        <v>904.89678008095927</v>
      </c>
      <c r="BO6" s="14">
        <f>BN6/480</f>
        <v>1.8852016251686652</v>
      </c>
    </row>
    <row r="7" spans="1:67" ht="15.75" x14ac:dyDescent="0.2">
      <c r="A7" s="29"/>
      <c r="B7" s="28"/>
      <c r="C7" s="27" t="s">
        <v>355</v>
      </c>
      <c r="D7" s="26" t="s">
        <v>361</v>
      </c>
      <c r="E7" s="25">
        <v>23</v>
      </c>
      <c r="F7" s="122">
        <v>7.6047737996114337</v>
      </c>
      <c r="J7" s="14" t="s">
        <v>355</v>
      </c>
      <c r="K7" s="14" t="s">
        <v>361</v>
      </c>
      <c r="L7" s="14">
        <v>38.429752066115704</v>
      </c>
      <c r="M7" s="14">
        <v>49.380165289256198</v>
      </c>
      <c r="O7" s="14">
        <f t="shared" si="0"/>
        <v>0.38429752066115702</v>
      </c>
      <c r="P7" s="14">
        <f t="shared" si="1"/>
        <v>0.49380165289256195</v>
      </c>
      <c r="Q7" s="14">
        <f t="shared" si="2"/>
        <v>1792.8807278047564</v>
      </c>
      <c r="R7" s="14">
        <f t="shared" si="3"/>
        <v>2303.7553437921333</v>
      </c>
      <c r="S7" s="14">
        <f t="shared" si="4"/>
        <v>4096.6360715968895</v>
      </c>
      <c r="T7" s="14">
        <f t="shared" si="5"/>
        <v>43.764705882352942</v>
      </c>
      <c r="U7" s="14">
        <f>AVERAGE(Q6:Q8)</f>
        <v>1816.5047194762139</v>
      </c>
      <c r="V7" s="14">
        <f>AVERAGE(R6:R8)</f>
        <v>2396.2691977061872</v>
      </c>
      <c r="W7" s="14">
        <f>AVERAGE(S6:S8)</f>
        <v>4212.7739171824005</v>
      </c>
      <c r="X7" s="14">
        <f>AVERAGE(T6:T8)</f>
        <v>43.121722477175609</v>
      </c>
      <c r="Y7" s="14">
        <v>1035</v>
      </c>
      <c r="Z7" s="14">
        <f>(U7/10000)/(Y7/1000)</f>
        <v>0.17550770236485161</v>
      </c>
      <c r="AA7" s="14">
        <v>870.3</v>
      </c>
      <c r="AB7" s="14">
        <f>AA7+264+119.9</f>
        <v>1254.2</v>
      </c>
      <c r="AC7" s="14">
        <f>(U7/10000)/(AB7/1000)</f>
        <v>0.14483373620445017</v>
      </c>
      <c r="AD7" s="140">
        <v>4.4400000000000004</v>
      </c>
      <c r="AE7" s="141">
        <v>1.18</v>
      </c>
      <c r="AF7" s="14">
        <f>AE7*25.4</f>
        <v>29.971999999999998</v>
      </c>
      <c r="AG7" s="140">
        <v>81.400000000000006</v>
      </c>
      <c r="AH7" s="140">
        <v>32.700000000000003</v>
      </c>
      <c r="AI7" s="140">
        <v>6.1</v>
      </c>
      <c r="AJ7" s="140">
        <v>8.8000000000000007</v>
      </c>
      <c r="AK7" s="139" t="s">
        <v>361</v>
      </c>
      <c r="AM7" s="14">
        <f t="shared" si="6"/>
        <v>0.12190082644628109</v>
      </c>
      <c r="AN7" s="14">
        <f t="shared" si="7"/>
        <v>568.70947817462741</v>
      </c>
      <c r="AO7" s="14">
        <f t="shared" si="8"/>
        <v>507.39065352836093</v>
      </c>
      <c r="AP7" s="138">
        <f>AVERAGE(AM6:AM8)</f>
        <v>0.13422417931768141</v>
      </c>
      <c r="AQ7" s="138">
        <f>AVERAGE(AN6:AN8)</f>
        <v>654.58514447435016</v>
      </c>
      <c r="AR7" s="138">
        <f>AVERAGE(AO6:AO8)</f>
        <v>584.00711961198124</v>
      </c>
      <c r="AT7" s="18"/>
      <c r="AU7" s="17"/>
      <c r="AV7" s="143"/>
      <c r="AW7" s="143"/>
      <c r="AX7" s="143"/>
      <c r="AY7" s="16"/>
      <c r="AZ7" s="16"/>
      <c r="BA7" s="142"/>
      <c r="BB7" s="16"/>
      <c r="BC7" s="16"/>
      <c r="BD7" s="142"/>
      <c r="BE7" s="17"/>
      <c r="BF7" s="17"/>
      <c r="BG7" s="16"/>
      <c r="BH7" s="16"/>
      <c r="BI7" s="16"/>
      <c r="BJ7" s="16"/>
      <c r="BK7" s="16"/>
    </row>
    <row r="8" spans="1:67" ht="16.5" thickBot="1" x14ac:dyDescent="0.25">
      <c r="A8" s="23"/>
      <c r="B8" s="22"/>
      <c r="C8" s="21" t="s">
        <v>356</v>
      </c>
      <c r="D8" s="20" t="s">
        <v>361</v>
      </c>
      <c r="E8" s="19">
        <v>23.8</v>
      </c>
      <c r="F8" s="121">
        <v>6.9933846361549801</v>
      </c>
      <c r="J8" s="14" t="s">
        <v>356</v>
      </c>
      <c r="K8" s="14" t="s">
        <v>361</v>
      </c>
      <c r="L8" s="14">
        <v>36.434867776689522</v>
      </c>
      <c r="M8" s="14">
        <v>49.559255631733606</v>
      </c>
      <c r="O8" s="14">
        <f t="shared" si="0"/>
        <v>0.36434867776689522</v>
      </c>
      <c r="P8" s="14">
        <f t="shared" si="1"/>
        <v>0.49559255631733606</v>
      </c>
      <c r="Q8" s="14">
        <f t="shared" si="2"/>
        <v>1771.5752786750643</v>
      </c>
      <c r="R8" s="14">
        <f t="shared" si="3"/>
        <v>2409.7233629289858</v>
      </c>
      <c r="S8" s="14">
        <f t="shared" si="4"/>
        <v>4181.2986416040503</v>
      </c>
      <c r="T8" s="14">
        <f t="shared" si="5"/>
        <v>42.369020501138941</v>
      </c>
      <c r="AD8" s="140"/>
      <c r="AE8" s="141"/>
      <c r="AG8" s="140"/>
      <c r="AH8" s="140"/>
      <c r="AI8" s="140"/>
      <c r="AJ8" s="140"/>
      <c r="AK8" s="139" t="s">
        <v>361</v>
      </c>
      <c r="AM8" s="14">
        <f t="shared" si="6"/>
        <v>0.14005876591576877</v>
      </c>
      <c r="AN8" s="14">
        <f t="shared" si="7"/>
        <v>681.00877647993025</v>
      </c>
      <c r="AO8" s="14">
        <f t="shared" si="8"/>
        <v>607.58172919108767</v>
      </c>
      <c r="AP8" s="138"/>
      <c r="AQ8" s="138"/>
      <c r="AR8" s="138"/>
      <c r="AT8" s="18" t="s">
        <v>391</v>
      </c>
      <c r="AU8" s="42">
        <v>60</v>
      </c>
      <c r="AV8" s="147">
        <f t="shared" ref="AV8:BK8" si="13">AVERAGEIFS(U$3:U$194,$AK$3:$AK$194, "80-60")</f>
        <v>1357.208666267511</v>
      </c>
      <c r="AW8" s="147">
        <f t="shared" si="13"/>
        <v>1848.4828759118031</v>
      </c>
      <c r="AX8" s="147">
        <f t="shared" si="13"/>
        <v>3205.6915421793142</v>
      </c>
      <c r="AY8" s="144">
        <f t="shared" si="13"/>
        <v>42.28836892232254</v>
      </c>
      <c r="AZ8" s="144">
        <f t="shared" si="13"/>
        <v>793.40000000000009</v>
      </c>
      <c r="BA8" s="145">
        <f t="shared" si="13"/>
        <v>0.17125059579210172</v>
      </c>
      <c r="BB8" s="144">
        <f t="shared" si="13"/>
        <v>618.4</v>
      </c>
      <c r="BC8" s="144">
        <f t="shared" si="13"/>
        <v>1002.3</v>
      </c>
      <c r="BD8" s="145">
        <f t="shared" si="13"/>
        <v>0.13540942494936759</v>
      </c>
      <c r="BE8" s="41">
        <f t="shared" si="13"/>
        <v>4.72</v>
      </c>
      <c r="BF8" s="41">
        <f t="shared" si="13"/>
        <v>1.115</v>
      </c>
      <c r="BG8" s="144">
        <f t="shared" si="13"/>
        <v>28.320999999999998</v>
      </c>
      <c r="BH8" s="144">
        <f t="shared" si="13"/>
        <v>79.775000000000006</v>
      </c>
      <c r="BI8" s="144">
        <f t="shared" si="13"/>
        <v>30.6</v>
      </c>
      <c r="BJ8" s="144">
        <f t="shared" si="13"/>
        <v>6.0249999999999995</v>
      </c>
      <c r="BK8" s="144">
        <f t="shared" si="13"/>
        <v>10.4</v>
      </c>
      <c r="BN8" s="14">
        <f>AV8/0.453592*0.404686</f>
        <v>1210.8752939142091</v>
      </c>
      <c r="BO8" s="14">
        <f>BN8/480</f>
        <v>2.5226568623212691</v>
      </c>
    </row>
    <row r="9" spans="1:67" ht="15.75" x14ac:dyDescent="0.2">
      <c r="A9" s="34" t="s">
        <v>390</v>
      </c>
      <c r="B9" s="33">
        <v>3</v>
      </c>
      <c r="C9" s="32" t="s">
        <v>354</v>
      </c>
      <c r="D9" s="31" t="s">
        <v>371</v>
      </c>
      <c r="E9" s="30">
        <v>23.2</v>
      </c>
      <c r="F9" s="123">
        <v>6.9156626506024041</v>
      </c>
      <c r="H9" s="14" t="s">
        <v>390</v>
      </c>
      <c r="I9" s="14">
        <v>3</v>
      </c>
      <c r="J9" s="14" t="s">
        <v>354</v>
      </c>
      <c r="K9" s="14" t="s">
        <v>371</v>
      </c>
      <c r="L9" s="14">
        <v>37.512537612838507</v>
      </c>
      <c r="M9" s="14">
        <v>49.147442326980944</v>
      </c>
      <c r="O9" s="14">
        <f t="shared" si="0"/>
        <v>0.37512537612838509</v>
      </c>
      <c r="P9" s="14">
        <f t="shared" si="1"/>
        <v>0.49147442326980945</v>
      </c>
      <c r="Q9" s="14">
        <f t="shared" si="2"/>
        <v>1778.7314260009509</v>
      </c>
      <c r="R9" s="14">
        <f t="shared" si="3"/>
        <v>2330.4235260440273</v>
      </c>
      <c r="S9" s="14">
        <f t="shared" si="4"/>
        <v>4109.154952044978</v>
      </c>
      <c r="T9" s="14">
        <f t="shared" si="5"/>
        <v>43.287037037037031</v>
      </c>
      <c r="AD9" s="140"/>
      <c r="AE9" s="141"/>
      <c r="AG9" s="140"/>
      <c r="AH9" s="140"/>
      <c r="AI9" s="140"/>
      <c r="AJ9" s="140"/>
      <c r="AK9" s="139" t="s">
        <v>371</v>
      </c>
      <c r="AM9" s="14">
        <f t="shared" si="6"/>
        <v>0.13340020060180552</v>
      </c>
      <c r="AN9" s="14">
        <f t="shared" si="7"/>
        <v>632.54352849766497</v>
      </c>
      <c r="AO9" s="14">
        <f t="shared" si="8"/>
        <v>564.34205271151825</v>
      </c>
      <c r="AP9" s="138"/>
      <c r="AQ9" s="138"/>
      <c r="AR9" s="138"/>
      <c r="AT9" s="18" t="s">
        <v>391</v>
      </c>
      <c r="AU9" s="42">
        <v>80</v>
      </c>
      <c r="AV9" s="147">
        <f t="shared" ref="AV9:BK9" si="14">AVERAGEIFS(U$3:U$194,$AK$3:$AK$194, "80-80")</f>
        <v>1470.118418027788</v>
      </c>
      <c r="AW9" s="147">
        <f t="shared" si="14"/>
        <v>2021.4640092925649</v>
      </c>
      <c r="AX9" s="147">
        <f t="shared" si="14"/>
        <v>3491.582427320353</v>
      </c>
      <c r="AY9" s="144">
        <f t="shared" si="14"/>
        <v>42.068205978731086</v>
      </c>
      <c r="AZ9" s="144">
        <f t="shared" si="14"/>
        <v>890.3</v>
      </c>
      <c r="BA9" s="145">
        <f t="shared" si="14"/>
        <v>0.16514649888807631</v>
      </c>
      <c r="BB9" s="144">
        <f t="shared" si="14"/>
        <v>709.1</v>
      </c>
      <c r="BC9" s="144">
        <f t="shared" si="14"/>
        <v>1093</v>
      </c>
      <c r="BD9" s="145">
        <f t="shared" si="14"/>
        <v>0.13450305745908403</v>
      </c>
      <c r="BE9" s="149">
        <f t="shared" si="14"/>
        <v>4.2324999999999999</v>
      </c>
      <c r="BF9" s="149">
        <f t="shared" si="14"/>
        <v>1.145</v>
      </c>
      <c r="BG9" s="146">
        <f t="shared" si="14"/>
        <v>29.082999999999998</v>
      </c>
      <c r="BH9" s="144">
        <f t="shared" si="14"/>
        <v>80.375</v>
      </c>
      <c r="BI9" s="144">
        <f t="shared" si="14"/>
        <v>31.625000000000004</v>
      </c>
      <c r="BJ9" s="144">
        <f t="shared" si="14"/>
        <v>6.0749999999999993</v>
      </c>
      <c r="BK9" s="144">
        <f t="shared" si="14"/>
        <v>9.9749999999999996</v>
      </c>
      <c r="BN9" s="14">
        <f>AV9/0.453592*0.404686</f>
        <v>1311.6111882881387</v>
      </c>
      <c r="BO9" s="14">
        <f>BN9/480</f>
        <v>2.7325233089336223</v>
      </c>
    </row>
    <row r="10" spans="1:67" ht="15.75" x14ac:dyDescent="0.2">
      <c r="A10" s="29"/>
      <c r="B10" s="28"/>
      <c r="C10" s="27" t="s">
        <v>355</v>
      </c>
      <c r="D10" s="26" t="s">
        <v>371</v>
      </c>
      <c r="E10" s="25">
        <v>20.7</v>
      </c>
      <c r="F10" s="122">
        <v>7.3027622314497238</v>
      </c>
      <c r="J10" s="14" t="s">
        <v>355</v>
      </c>
      <c r="K10" s="14" t="s">
        <v>371</v>
      </c>
      <c r="L10" s="14">
        <v>37.011494252873561</v>
      </c>
      <c r="M10" s="14">
        <v>48.505747126436795</v>
      </c>
      <c r="O10" s="14">
        <f t="shared" si="0"/>
        <v>0.37011494252873561</v>
      </c>
      <c r="P10" s="14">
        <f t="shared" si="1"/>
        <v>0.48505747126436793</v>
      </c>
      <c r="Q10" s="14">
        <f t="shared" si="2"/>
        <v>1556.212138229856</v>
      </c>
      <c r="R10" s="14">
        <f t="shared" si="3"/>
        <v>2039.5078333322963</v>
      </c>
      <c r="S10" s="14">
        <f t="shared" si="4"/>
        <v>3595.7199715621523</v>
      </c>
      <c r="T10" s="14">
        <f t="shared" si="5"/>
        <v>43.279569892473113</v>
      </c>
      <c r="U10" s="14">
        <f>AVERAGE(Q9:Q11)</f>
        <v>1611.5552820267851</v>
      </c>
      <c r="V10" s="14">
        <f>AVERAGE(R9:R11)</f>
        <v>2124.2620925724445</v>
      </c>
      <c r="W10" s="14">
        <f>AVERAGE(S9:S11)</f>
        <v>3735.8173745992294</v>
      </c>
      <c r="X10" s="14">
        <f>AVERAGE(T9:T11)</f>
        <v>43.128095495840398</v>
      </c>
      <c r="Y10" s="14">
        <v>965.7</v>
      </c>
      <c r="Z10" s="14">
        <f>(U10/10000)/(Y10/1000)</f>
        <v>0.16687949487695816</v>
      </c>
      <c r="AA10" s="14">
        <v>799.7</v>
      </c>
      <c r="AB10" s="14">
        <f>AA10+264+119.9</f>
        <v>1183.6000000000001</v>
      </c>
      <c r="AC10" s="14">
        <f>(U10/10000)/(AB10/1000)</f>
        <v>0.13615708702490578</v>
      </c>
      <c r="AD10" s="140">
        <v>4.7</v>
      </c>
      <c r="AE10" s="141">
        <v>1.1399999999999999</v>
      </c>
      <c r="AF10" s="14">
        <f>AE10*25.4</f>
        <v>28.955999999999996</v>
      </c>
      <c r="AG10" s="140">
        <v>80.900000000000006</v>
      </c>
      <c r="AH10" s="140">
        <v>31.2</v>
      </c>
      <c r="AI10" s="140">
        <v>5.9</v>
      </c>
      <c r="AJ10" s="140">
        <v>9.4</v>
      </c>
      <c r="AK10" s="139" t="s">
        <v>371</v>
      </c>
      <c r="AM10" s="14">
        <f t="shared" si="6"/>
        <v>0.14482758620689651</v>
      </c>
      <c r="AN10" s="14">
        <f t="shared" si="7"/>
        <v>608.95257582907391</v>
      </c>
      <c r="AO10" s="14">
        <f t="shared" si="8"/>
        <v>543.29470015060735</v>
      </c>
      <c r="AP10" s="138">
        <f>AVERAGE(AM9:AM11)</f>
        <v>0.13979676721223241</v>
      </c>
      <c r="AQ10" s="138">
        <f>AVERAGE(AN9:AN11)</f>
        <v>605.73198266815621</v>
      </c>
      <c r="AR10" s="138">
        <f>AVERAGE(AO9:AO11)</f>
        <v>540.42135456489291</v>
      </c>
      <c r="AT10" s="18" t="s">
        <v>391</v>
      </c>
      <c r="AU10" s="42">
        <v>100</v>
      </c>
      <c r="AV10" s="147">
        <f t="shared" ref="AV10:BK10" si="15">AVERAGEIFS(U$3:U$194,$AK$3:$AK$194, "80-100")</f>
        <v>1439.40213568846</v>
      </c>
      <c r="AW10" s="147">
        <f t="shared" si="15"/>
        <v>1968.3688417099304</v>
      </c>
      <c r="AX10" s="147">
        <f t="shared" si="15"/>
        <v>3407.7709773983906</v>
      </c>
      <c r="AY10" s="144">
        <f t="shared" si="15"/>
        <v>42.190653099299439</v>
      </c>
      <c r="AZ10" s="144">
        <f t="shared" si="15"/>
        <v>953.00000000000011</v>
      </c>
      <c r="BA10" s="145">
        <f t="shared" si="15"/>
        <v>0.15091087845372167</v>
      </c>
      <c r="BB10" s="144">
        <f t="shared" si="15"/>
        <v>799.7</v>
      </c>
      <c r="BC10" s="144">
        <f t="shared" si="15"/>
        <v>1183.6000000000001</v>
      </c>
      <c r="BD10" s="145">
        <f t="shared" si="15"/>
        <v>0.12161221153163736</v>
      </c>
      <c r="BE10" s="41">
        <f t="shared" si="15"/>
        <v>4.3525</v>
      </c>
      <c r="BF10" s="149">
        <f t="shared" si="15"/>
        <v>1.145</v>
      </c>
      <c r="BG10" s="146">
        <f t="shared" si="15"/>
        <v>29.082999999999998</v>
      </c>
      <c r="BH10" s="144">
        <f t="shared" si="15"/>
        <v>80.050000000000011</v>
      </c>
      <c r="BI10" s="144">
        <f t="shared" si="15"/>
        <v>31.174999999999997</v>
      </c>
      <c r="BJ10" s="144">
        <f t="shared" si="15"/>
        <v>5.95</v>
      </c>
      <c r="BK10" s="144">
        <f t="shared" si="15"/>
        <v>10.125</v>
      </c>
      <c r="BN10" s="14">
        <f>AV10/0.453592*0.404686</f>
        <v>1284.2067159103779</v>
      </c>
      <c r="BO10" s="14">
        <f>BN10/480</f>
        <v>2.6754306581466207</v>
      </c>
    </row>
    <row r="11" spans="1:67" ht="16.5" thickBot="1" x14ac:dyDescent="0.25">
      <c r="A11" s="23"/>
      <c r="B11" s="22"/>
      <c r="C11" s="21" t="s">
        <v>356</v>
      </c>
      <c r="D11" s="20" t="s">
        <v>371</v>
      </c>
      <c r="E11" s="19">
        <v>20</v>
      </c>
      <c r="F11" s="121">
        <v>6.8814855270344157</v>
      </c>
      <c r="J11" s="14" t="s">
        <v>356</v>
      </c>
      <c r="K11" s="14" t="s">
        <v>371</v>
      </c>
      <c r="L11" s="14">
        <v>36.773428232502965</v>
      </c>
      <c r="M11" s="14">
        <v>49.110320284697515</v>
      </c>
      <c r="O11" s="14">
        <f t="shared" si="0"/>
        <v>0.36773428232502964</v>
      </c>
      <c r="P11" s="14">
        <f t="shared" si="1"/>
        <v>0.49110320284697517</v>
      </c>
      <c r="Q11" s="14">
        <f t="shared" si="2"/>
        <v>1499.7222818495479</v>
      </c>
      <c r="R11" s="14">
        <f t="shared" si="3"/>
        <v>2002.8549183410096</v>
      </c>
      <c r="S11" s="14">
        <f t="shared" si="4"/>
        <v>3502.5772001905575</v>
      </c>
      <c r="T11" s="14">
        <f t="shared" si="5"/>
        <v>42.817679558011044</v>
      </c>
      <c r="AD11" s="140"/>
      <c r="AE11" s="141"/>
      <c r="AG11" s="140"/>
      <c r="AH11" s="140"/>
      <c r="AI11" s="140"/>
      <c r="AJ11" s="140"/>
      <c r="AK11" s="139" t="s">
        <v>371</v>
      </c>
      <c r="AM11" s="14">
        <f t="shared" si="6"/>
        <v>0.14116251482799524</v>
      </c>
      <c r="AN11" s="14">
        <f t="shared" si="7"/>
        <v>575.69984367772963</v>
      </c>
      <c r="AO11" s="14">
        <f t="shared" si="8"/>
        <v>513.62731083255312</v>
      </c>
      <c r="AP11" s="138"/>
      <c r="AQ11" s="138"/>
      <c r="AR11" s="138"/>
      <c r="AT11" s="18" t="s">
        <v>391</v>
      </c>
      <c r="AU11" s="42">
        <v>120</v>
      </c>
      <c r="AV11" s="147">
        <f t="shared" ref="AV11:BK11" si="16">AVERAGEIFS(U$3:U$194,$AK$3:$AK$194, "80-120")</f>
        <v>1354.7735201129631</v>
      </c>
      <c r="AW11" s="147">
        <f t="shared" si="16"/>
        <v>1870.8105102906159</v>
      </c>
      <c r="AX11" s="147">
        <f t="shared" si="16"/>
        <v>3225.5840304035796</v>
      </c>
      <c r="AY11" s="144">
        <f t="shared" si="16"/>
        <v>41.917880116320134</v>
      </c>
      <c r="AZ11" s="144">
        <f t="shared" si="16"/>
        <v>1050.2249999999999</v>
      </c>
      <c r="BA11" s="145">
        <f t="shared" si="16"/>
        <v>0.12914352309543611</v>
      </c>
      <c r="BB11" s="144">
        <f t="shared" si="16"/>
        <v>890.4</v>
      </c>
      <c r="BC11" s="144">
        <f t="shared" si="16"/>
        <v>1274.3000000000002</v>
      </c>
      <c r="BD11" s="145">
        <f t="shared" si="16"/>
        <v>0.10631511575868816</v>
      </c>
      <c r="BE11" s="149">
        <f t="shared" si="16"/>
        <v>4.1950000000000003</v>
      </c>
      <c r="BF11" s="149">
        <f t="shared" si="16"/>
        <v>1.145</v>
      </c>
      <c r="BG11" s="146">
        <f t="shared" si="16"/>
        <v>29.082999999999998</v>
      </c>
      <c r="BH11" s="144">
        <f t="shared" si="16"/>
        <v>80.375</v>
      </c>
      <c r="BI11" s="144">
        <f t="shared" si="16"/>
        <v>31.475000000000001</v>
      </c>
      <c r="BJ11" s="146">
        <f t="shared" si="16"/>
        <v>6.1499999999999995</v>
      </c>
      <c r="BK11" s="144">
        <f t="shared" si="16"/>
        <v>10.050000000000001</v>
      </c>
      <c r="BN11" s="14">
        <f>AV11/0.453592*0.404686</f>
        <v>1208.7027036641621</v>
      </c>
      <c r="BO11" s="14">
        <f>BN11/480</f>
        <v>2.518130632633671</v>
      </c>
    </row>
    <row r="12" spans="1:67" ht="15.75" x14ac:dyDescent="0.2">
      <c r="A12" s="34" t="s">
        <v>390</v>
      </c>
      <c r="B12" s="33">
        <v>4</v>
      </c>
      <c r="C12" s="32" t="s">
        <v>354</v>
      </c>
      <c r="D12" s="31" t="s">
        <v>364</v>
      </c>
      <c r="E12" s="30">
        <v>15.6</v>
      </c>
      <c r="F12" s="123">
        <v>7.0019801980198038</v>
      </c>
      <c r="H12" s="14" t="s">
        <v>390</v>
      </c>
      <c r="I12" s="14">
        <v>4</v>
      </c>
      <c r="J12" s="14" t="s">
        <v>354</v>
      </c>
      <c r="K12" s="14" t="s">
        <v>364</v>
      </c>
      <c r="L12" s="14">
        <v>35.951661631419938</v>
      </c>
      <c r="M12" s="14">
        <v>49.24471299093657</v>
      </c>
      <c r="O12" s="14">
        <f t="shared" si="0"/>
        <v>0.3595166163141994</v>
      </c>
      <c r="P12" s="14">
        <f t="shared" si="1"/>
        <v>0.49244712990936568</v>
      </c>
      <c r="Q12" s="14">
        <f t="shared" si="2"/>
        <v>1135.9232899085553</v>
      </c>
      <c r="R12" s="14">
        <f t="shared" si="3"/>
        <v>1555.9285399587775</v>
      </c>
      <c r="S12" s="14">
        <f t="shared" si="4"/>
        <v>2691.8518298673325</v>
      </c>
      <c r="T12" s="14">
        <f t="shared" si="5"/>
        <v>42.198581560283685</v>
      </c>
      <c r="AD12" s="140"/>
      <c r="AE12" s="141"/>
      <c r="AG12" s="140"/>
      <c r="AH12" s="140"/>
      <c r="AI12" s="140"/>
      <c r="AJ12" s="140"/>
      <c r="AK12" s="139" t="s">
        <v>364</v>
      </c>
      <c r="AM12" s="14">
        <f t="shared" si="6"/>
        <v>0.14803625377643492</v>
      </c>
      <c r="AN12" s="14">
        <f t="shared" si="7"/>
        <v>467.73311937411052</v>
      </c>
      <c r="AO12" s="14">
        <f t="shared" si="8"/>
        <v>417.30166671007458</v>
      </c>
      <c r="AP12" s="138"/>
      <c r="AQ12" s="138"/>
      <c r="AR12" s="138"/>
      <c r="AT12" s="18"/>
      <c r="AU12" s="17"/>
      <c r="AV12" s="143"/>
      <c r="AW12" s="143"/>
      <c r="AX12" s="143"/>
      <c r="AY12" s="16"/>
      <c r="AZ12" s="16"/>
      <c r="BA12" s="142"/>
      <c r="BB12" s="16"/>
      <c r="BC12" s="16"/>
      <c r="BD12" s="142"/>
      <c r="BE12" s="17"/>
      <c r="BF12" s="17"/>
      <c r="BG12" s="16"/>
      <c r="BH12" s="16"/>
      <c r="BI12" s="16"/>
      <c r="BJ12" s="16"/>
      <c r="BK12" s="16"/>
    </row>
    <row r="13" spans="1:67" ht="15.75" x14ac:dyDescent="0.2">
      <c r="A13" s="29"/>
      <c r="B13" s="28"/>
      <c r="C13" s="27" t="s">
        <v>355</v>
      </c>
      <c r="D13" s="26" t="s">
        <v>364</v>
      </c>
      <c r="E13" s="25">
        <v>14</v>
      </c>
      <c r="F13" s="122">
        <v>8.8753749435016616</v>
      </c>
      <c r="J13" s="14" t="s">
        <v>355</v>
      </c>
      <c r="K13" s="14" t="s">
        <v>364</v>
      </c>
      <c r="L13" s="14">
        <v>36.713286713286706</v>
      </c>
      <c r="M13" s="14">
        <v>49.650349650349654</v>
      </c>
      <c r="O13" s="14">
        <f t="shared" si="0"/>
        <v>0.36713286713286708</v>
      </c>
      <c r="P13" s="14">
        <f t="shared" si="1"/>
        <v>0.49650349650349651</v>
      </c>
      <c r="Q13" s="14">
        <f t="shared" si="2"/>
        <v>1017.1331539430261</v>
      </c>
      <c r="R13" s="14">
        <f t="shared" si="3"/>
        <v>1375.5515034277114</v>
      </c>
      <c r="S13" s="14">
        <f t="shared" si="4"/>
        <v>2392.6846573707376</v>
      </c>
      <c r="T13" s="14">
        <f t="shared" si="5"/>
        <v>42.510121457489873</v>
      </c>
      <c r="U13" s="14">
        <f>AVERAGE(Q12:Q14)</f>
        <v>1101.0157621217566</v>
      </c>
      <c r="V13" s="14">
        <f>AVERAGE(R12:R14)</f>
        <v>1501.3723643259527</v>
      </c>
      <c r="W13" s="14">
        <f>AVERAGE(S12:S14)</f>
        <v>2602.3881264477091</v>
      </c>
      <c r="X13" s="14">
        <f>AVERAGE(T12:T14)</f>
        <v>42.315656721929336</v>
      </c>
      <c r="Y13" s="14">
        <v>704</v>
      </c>
      <c r="Z13" s="14">
        <f>(U13/10000)/(Y13/1000)</f>
        <v>0.15639428439229497</v>
      </c>
      <c r="AA13" s="14">
        <v>547.70000000000005</v>
      </c>
      <c r="AB13" s="14">
        <f>AA13+264+119.9</f>
        <v>931.6</v>
      </c>
      <c r="AC13" s="14">
        <f>(U13/10000)/(AB13/1000)</f>
        <v>0.11818546179924394</v>
      </c>
      <c r="AD13" s="140">
        <v>5.01</v>
      </c>
      <c r="AE13" s="141">
        <v>1.03</v>
      </c>
      <c r="AF13" s="14">
        <f>AE13*25.4</f>
        <v>26.161999999999999</v>
      </c>
      <c r="AG13" s="140">
        <v>79.3</v>
      </c>
      <c r="AH13" s="140">
        <v>28.2</v>
      </c>
      <c r="AI13" s="140">
        <v>6</v>
      </c>
      <c r="AJ13" s="140">
        <v>11.3</v>
      </c>
      <c r="AK13" s="139" t="s">
        <v>364</v>
      </c>
      <c r="AM13" s="14">
        <f t="shared" si="6"/>
        <v>0.13636363636363641</v>
      </c>
      <c r="AN13" s="14">
        <f t="shared" si="7"/>
        <v>377.79231432169553</v>
      </c>
      <c r="AO13" s="14">
        <f t="shared" si="8"/>
        <v>337.05836919921603</v>
      </c>
      <c r="AP13" s="138">
        <f>AVERAGE(AM12:AM14)</f>
        <v>0.1418283871526336</v>
      </c>
      <c r="AQ13" s="138">
        <f>AVERAGE(AN12:AN14)</f>
        <v>430.91469822445055</v>
      </c>
      <c r="AR13" s="138">
        <f>AVERAGE(AO12:AO14)</f>
        <v>384.45304454719212</v>
      </c>
      <c r="AT13" s="18" t="s">
        <v>389</v>
      </c>
      <c r="AU13" s="42">
        <v>60</v>
      </c>
      <c r="AV13" s="147">
        <f t="shared" ref="AV13:BK13" si="17">AVERAGEIFS(U$3:U$194,$AK$3:$AK$194, "100-60")</f>
        <v>1600.2941528546544</v>
      </c>
      <c r="AW13" s="147">
        <f t="shared" si="17"/>
        <v>2141.6624151473811</v>
      </c>
      <c r="AX13" s="147">
        <f t="shared" si="17"/>
        <v>3741.956568002036</v>
      </c>
      <c r="AY13" s="146">
        <f t="shared" si="17"/>
        <v>42.731222465270839</v>
      </c>
      <c r="AZ13" s="144">
        <f t="shared" si="17"/>
        <v>859.15</v>
      </c>
      <c r="BA13" s="150">
        <f t="shared" si="17"/>
        <v>0.18651985295288287</v>
      </c>
      <c r="BB13" s="144">
        <f t="shared" si="17"/>
        <v>689</v>
      </c>
      <c r="BC13" s="144">
        <f t="shared" si="17"/>
        <v>1072.9000000000001</v>
      </c>
      <c r="BD13" s="150">
        <f t="shared" si="17"/>
        <v>0.1491559467662088</v>
      </c>
      <c r="BE13" s="41">
        <f t="shared" si="17"/>
        <v>4.7449999999999992</v>
      </c>
      <c r="BF13" s="41">
        <f t="shared" si="17"/>
        <v>1.1225000000000001</v>
      </c>
      <c r="BG13" s="144">
        <f t="shared" si="17"/>
        <v>28.511499999999998</v>
      </c>
      <c r="BH13" s="144">
        <f t="shared" si="17"/>
        <v>80.325000000000003</v>
      </c>
      <c r="BI13" s="144">
        <f t="shared" si="17"/>
        <v>30.475000000000001</v>
      </c>
      <c r="BJ13" s="144">
        <f t="shared" si="17"/>
        <v>5.8250000000000002</v>
      </c>
      <c r="BK13" s="144">
        <f t="shared" si="17"/>
        <v>10.074999999999999</v>
      </c>
      <c r="BN13" s="14">
        <f>AV13/0.453592*0.404686</f>
        <v>1427.751458451954</v>
      </c>
      <c r="BO13" s="14">
        <f>BN13/480</f>
        <v>2.9744822051082376</v>
      </c>
    </row>
    <row r="14" spans="1:67" ht="16.5" thickBot="1" x14ac:dyDescent="0.25">
      <c r="A14" s="23"/>
      <c r="B14" s="22"/>
      <c r="C14" s="21" t="s">
        <v>356</v>
      </c>
      <c r="D14" s="20" t="s">
        <v>364</v>
      </c>
      <c r="E14" s="19">
        <v>15.6</v>
      </c>
      <c r="F14" s="121">
        <v>6.699944059555067</v>
      </c>
      <c r="J14" s="14" t="s">
        <v>356</v>
      </c>
      <c r="K14" s="14" t="s">
        <v>364</v>
      </c>
      <c r="L14" s="14">
        <v>36.279069767441854</v>
      </c>
      <c r="M14" s="14">
        <v>49.612403100775197</v>
      </c>
      <c r="O14" s="14">
        <f t="shared" si="0"/>
        <v>0.36279069767441852</v>
      </c>
      <c r="P14" s="14">
        <f t="shared" si="1"/>
        <v>0.49612403100775199</v>
      </c>
      <c r="Q14" s="14">
        <f t="shared" si="2"/>
        <v>1149.9908425136882</v>
      </c>
      <c r="R14" s="14">
        <f t="shared" si="3"/>
        <v>1572.6370495913691</v>
      </c>
      <c r="S14" s="14">
        <f t="shared" si="4"/>
        <v>2722.6278921050571</v>
      </c>
      <c r="T14" s="14">
        <f t="shared" si="5"/>
        <v>42.238267148014437</v>
      </c>
      <c r="AD14" s="140"/>
      <c r="AE14" s="141"/>
      <c r="AG14" s="140"/>
      <c r="AH14" s="140"/>
      <c r="AI14" s="140"/>
      <c r="AJ14" s="140"/>
      <c r="AK14" s="139" t="s">
        <v>364</v>
      </c>
      <c r="AM14" s="14">
        <f t="shared" si="6"/>
        <v>0.1410852713178295</v>
      </c>
      <c r="AN14" s="14">
        <f t="shared" si="7"/>
        <v>447.2186609775456</v>
      </c>
      <c r="AO14" s="14">
        <f t="shared" si="8"/>
        <v>398.99909773228569</v>
      </c>
      <c r="AP14" s="138"/>
      <c r="AQ14" s="138"/>
      <c r="AR14" s="138"/>
      <c r="AT14" s="18" t="s">
        <v>389</v>
      </c>
      <c r="AU14" s="42">
        <v>80</v>
      </c>
      <c r="AV14" s="147">
        <f t="shared" ref="AV14:BK14" si="18">AVERAGEIFS(U$3:U$194,$AK$3:$AK$194, "100-80")</f>
        <v>1484.828557119235</v>
      </c>
      <c r="AW14" s="147">
        <f t="shared" si="18"/>
        <v>2002.6833436607126</v>
      </c>
      <c r="AX14" s="147">
        <f t="shared" si="18"/>
        <v>3487.5119007799476</v>
      </c>
      <c r="AY14" s="144">
        <f t="shared" si="18"/>
        <v>42.577734368910811</v>
      </c>
      <c r="AZ14" s="144">
        <f t="shared" si="18"/>
        <v>956.75</v>
      </c>
      <c r="BA14" s="145">
        <f t="shared" si="18"/>
        <v>0.15514120263161968</v>
      </c>
      <c r="BB14" s="144">
        <f t="shared" si="18"/>
        <v>779.7</v>
      </c>
      <c r="BC14" s="144">
        <f t="shared" si="18"/>
        <v>1163.6000000000001</v>
      </c>
      <c r="BD14" s="145">
        <f t="shared" si="18"/>
        <v>0.12760644182874137</v>
      </c>
      <c r="BE14" s="41">
        <f t="shared" si="18"/>
        <v>4.6675000000000004</v>
      </c>
      <c r="BF14" s="41">
        <f t="shared" si="18"/>
        <v>1.1074999999999999</v>
      </c>
      <c r="BG14" s="144">
        <f t="shared" si="18"/>
        <v>28.130499999999998</v>
      </c>
      <c r="BH14" s="144">
        <f t="shared" si="18"/>
        <v>79.475000000000009</v>
      </c>
      <c r="BI14" s="144">
        <f t="shared" si="18"/>
        <v>30.125000000000004</v>
      </c>
      <c r="BJ14" s="144">
        <f t="shared" si="18"/>
        <v>6</v>
      </c>
      <c r="BK14" s="146">
        <f t="shared" si="18"/>
        <v>10.824999999999999</v>
      </c>
      <c r="BN14" s="14">
        <f>AV14/0.453592*0.404686</f>
        <v>1324.7352895693812</v>
      </c>
      <c r="BO14" s="14">
        <f>BN14/480</f>
        <v>2.7598651866028776</v>
      </c>
    </row>
    <row r="15" spans="1:67" ht="16.5" thickBot="1" x14ac:dyDescent="0.25">
      <c r="A15" s="34" t="s">
        <v>387</v>
      </c>
      <c r="B15" s="33">
        <v>1</v>
      </c>
      <c r="C15" s="21" t="s">
        <v>354</v>
      </c>
      <c r="D15" s="20" t="s">
        <v>353</v>
      </c>
      <c r="E15" s="19">
        <v>27.3</v>
      </c>
      <c r="F15" s="121">
        <v>6.9598217394331892</v>
      </c>
      <c r="H15" s="14" t="s">
        <v>387</v>
      </c>
      <c r="I15" s="14">
        <v>1</v>
      </c>
      <c r="J15" s="14" t="s">
        <v>354</v>
      </c>
      <c r="K15" s="14" t="s">
        <v>358</v>
      </c>
      <c r="L15" s="14">
        <v>38.301559792027732</v>
      </c>
      <c r="M15" s="14">
        <v>48.873483535528607</v>
      </c>
      <c r="O15" s="14">
        <f t="shared" si="0"/>
        <v>0.38301559792027734</v>
      </c>
      <c r="P15" s="14">
        <f t="shared" si="1"/>
        <v>0.48873483535528606</v>
      </c>
      <c r="Q15" s="14">
        <f t="shared" si="2"/>
        <v>2141.429260495489</v>
      </c>
      <c r="R15" s="14">
        <f t="shared" si="3"/>
        <v>2732.5024952928861</v>
      </c>
      <c r="S15" s="14">
        <f t="shared" si="4"/>
        <v>4873.9317557883751</v>
      </c>
      <c r="T15" s="14">
        <f t="shared" si="5"/>
        <v>43.936381709741553</v>
      </c>
      <c r="AD15" s="140"/>
      <c r="AE15" s="141"/>
      <c r="AG15" s="140"/>
      <c r="AH15" s="140"/>
      <c r="AI15" s="140"/>
      <c r="AJ15" s="140"/>
      <c r="AK15" s="139" t="s">
        <v>353</v>
      </c>
      <c r="AM15" s="14">
        <f t="shared" si="6"/>
        <v>0.12824956672443655</v>
      </c>
      <c r="AN15" s="14">
        <f t="shared" si="7"/>
        <v>717.03966188536606</v>
      </c>
      <c r="AO15" s="14">
        <f t="shared" si="8"/>
        <v>639.72772850122408</v>
      </c>
      <c r="AP15" s="138"/>
      <c r="AQ15" s="138"/>
      <c r="AR15" s="138"/>
      <c r="AT15" s="18" t="s">
        <v>389</v>
      </c>
      <c r="AU15" s="42">
        <v>100</v>
      </c>
      <c r="AV15" s="147">
        <f t="shared" ref="AV15:BK15" si="19">AVERAGEIFS(U$3:U$194,$AK$3:$AK$194, "100-100")</f>
        <v>1552.1839247794705</v>
      </c>
      <c r="AW15" s="147">
        <f t="shared" si="19"/>
        <v>2094.5295571679999</v>
      </c>
      <c r="AX15" s="147">
        <f t="shared" si="19"/>
        <v>3646.7134819474695</v>
      </c>
      <c r="AY15" s="144">
        <f t="shared" si="19"/>
        <v>42.528513755358119</v>
      </c>
      <c r="AZ15" s="144">
        <f t="shared" si="19"/>
        <v>1034.325</v>
      </c>
      <c r="BA15" s="145">
        <f t="shared" si="19"/>
        <v>0.15004759052196356</v>
      </c>
      <c r="BB15" s="144">
        <f t="shared" si="19"/>
        <v>870.3</v>
      </c>
      <c r="BC15" s="144">
        <f t="shared" si="19"/>
        <v>1254.2</v>
      </c>
      <c r="BD15" s="145">
        <f t="shared" si="19"/>
        <v>0.12375888413167521</v>
      </c>
      <c r="BE15" s="41">
        <f t="shared" si="19"/>
        <v>4.49</v>
      </c>
      <c r="BF15" s="149">
        <f t="shared" si="19"/>
        <v>1.145</v>
      </c>
      <c r="BG15" s="146">
        <f t="shared" si="19"/>
        <v>29.082999999999998</v>
      </c>
      <c r="BH15" s="144">
        <f t="shared" si="19"/>
        <v>80.724999999999994</v>
      </c>
      <c r="BI15" s="146">
        <f t="shared" si="19"/>
        <v>32.174999999999997</v>
      </c>
      <c r="BJ15" s="144">
        <f t="shared" si="19"/>
        <v>6.125</v>
      </c>
      <c r="BK15" s="144">
        <f t="shared" si="19"/>
        <v>9.5250000000000004</v>
      </c>
      <c r="BN15" s="14">
        <f>AV15/0.453592*0.404686</f>
        <v>1384.8284444683875</v>
      </c>
      <c r="BO15" s="14">
        <f>BN15/480</f>
        <v>2.8850592593091404</v>
      </c>
    </row>
    <row r="16" spans="1:67" ht="16.5" thickBot="1" x14ac:dyDescent="0.25">
      <c r="A16" s="29"/>
      <c r="B16" s="28"/>
      <c r="C16" s="27" t="s">
        <v>355</v>
      </c>
      <c r="D16" s="26" t="s">
        <v>353</v>
      </c>
      <c r="E16" s="25">
        <v>27.2</v>
      </c>
      <c r="F16" s="122">
        <v>6.3481508005524558</v>
      </c>
      <c r="J16" s="14" t="s">
        <v>355</v>
      </c>
      <c r="K16" s="14" t="s">
        <v>358</v>
      </c>
      <c r="L16" s="14">
        <v>38.927335640138402</v>
      </c>
      <c r="M16" s="14">
        <v>49.48096885813149</v>
      </c>
      <c r="O16" s="14">
        <f t="shared" si="0"/>
        <v>0.389273356401384</v>
      </c>
      <c r="P16" s="14">
        <f t="shared" si="1"/>
        <v>0.49480968858131491</v>
      </c>
      <c r="Q16" s="14">
        <f t="shared" si="2"/>
        <v>2182.5866428070972</v>
      </c>
      <c r="R16" s="14">
        <f t="shared" si="3"/>
        <v>2774.3101326347996</v>
      </c>
      <c r="S16" s="14">
        <f t="shared" si="4"/>
        <v>4956.8967754418973</v>
      </c>
      <c r="T16" s="14">
        <f t="shared" si="5"/>
        <v>44.031311154598818</v>
      </c>
      <c r="U16" s="14">
        <f>AVERAGE(Q15:Q17)</f>
        <v>2105.5650013901754</v>
      </c>
      <c r="V16" s="14">
        <f>AVERAGE(R15:R17)</f>
        <v>2712.6409656782894</v>
      </c>
      <c r="W16" s="14">
        <f>AVERAGE(S15:S17)</f>
        <v>4818.2059670684648</v>
      </c>
      <c r="X16" s="14">
        <f>AVERAGE(T15:T17)</f>
        <v>43.687975724654599</v>
      </c>
      <c r="Y16" s="14">
        <v>997.2</v>
      </c>
      <c r="Z16" s="14">
        <f>(U16/10000)/(Y16/1000)</f>
        <v>0.21114771373748248</v>
      </c>
      <c r="AA16" s="14">
        <v>850.4</v>
      </c>
      <c r="AB16" s="14">
        <f>AA16+264+119.9</f>
        <v>1234.3000000000002</v>
      </c>
      <c r="AC16" s="14">
        <f>(U16/10000)/(AB16/1000)</f>
        <v>0.17058778266144173</v>
      </c>
      <c r="AD16" s="140">
        <v>4.66</v>
      </c>
      <c r="AE16" s="141">
        <v>1.1599999999999999</v>
      </c>
      <c r="AF16" s="14">
        <f>AE16*25.4</f>
        <v>29.463999999999995</v>
      </c>
      <c r="AG16" s="140">
        <v>80.8</v>
      </c>
      <c r="AH16" s="140">
        <v>31.2</v>
      </c>
      <c r="AI16" s="140">
        <v>6</v>
      </c>
      <c r="AJ16" s="140">
        <v>9.3000000000000007</v>
      </c>
      <c r="AK16" s="139" t="s">
        <v>353</v>
      </c>
      <c r="AM16" s="14">
        <f t="shared" si="6"/>
        <v>0.11591695501730115</v>
      </c>
      <c r="AN16" s="14">
        <f t="shared" si="7"/>
        <v>649.92580030255863</v>
      </c>
      <c r="AO16" s="14">
        <f t="shared" si="8"/>
        <v>579.85015058813644</v>
      </c>
      <c r="AP16" s="138">
        <f>AVERAGE(AM15:AM17)</f>
        <v>0.12633605023367123</v>
      </c>
      <c r="AQ16" s="138">
        <f>AVERAGE(AN15:AN17)</f>
        <v>695.8729421122556</v>
      </c>
      <c r="AR16" s="138">
        <f>AVERAGE(AO15:AO17)</f>
        <v>620.84322562077011</v>
      </c>
      <c r="AT16" s="18" t="s">
        <v>389</v>
      </c>
      <c r="AU16" s="42">
        <v>120</v>
      </c>
      <c r="AV16" s="147">
        <f t="shared" ref="AV16:BK16" si="20">AVERAGEIFS(U$3:U$194,$AK$3:$AK$194, "100-120")</f>
        <v>1503.0676438475573</v>
      </c>
      <c r="AW16" s="147">
        <f t="shared" si="20"/>
        <v>2075.0764459369384</v>
      </c>
      <c r="AX16" s="147">
        <f t="shared" si="20"/>
        <v>3578.1440897844959</v>
      </c>
      <c r="AY16" s="144">
        <f t="shared" si="20"/>
        <v>41.945231145675088</v>
      </c>
      <c r="AZ16" s="144">
        <f t="shared" si="20"/>
        <v>1111.55</v>
      </c>
      <c r="BA16" s="145">
        <f t="shared" si="20"/>
        <v>0.13554549482981224</v>
      </c>
      <c r="BB16" s="144">
        <f t="shared" si="20"/>
        <v>961</v>
      </c>
      <c r="BC16" s="144">
        <f t="shared" si="20"/>
        <v>1344.9</v>
      </c>
      <c r="BD16" s="145">
        <f t="shared" si="20"/>
        <v>0.11176055051286767</v>
      </c>
      <c r="BE16" s="149">
        <f t="shared" si="20"/>
        <v>4.0599999999999996</v>
      </c>
      <c r="BF16" s="41">
        <f t="shared" si="20"/>
        <v>1.1400000000000001</v>
      </c>
      <c r="BG16" s="144">
        <f t="shared" si="20"/>
        <v>28.956</v>
      </c>
      <c r="BH16" s="144">
        <f t="shared" si="20"/>
        <v>79.849999999999994</v>
      </c>
      <c r="BI16" s="144">
        <f t="shared" si="20"/>
        <v>32.049999999999997</v>
      </c>
      <c r="BJ16" s="144">
        <f t="shared" si="20"/>
        <v>6.1000000000000005</v>
      </c>
      <c r="BK16" s="144">
        <f t="shared" si="20"/>
        <v>10.25</v>
      </c>
      <c r="BN16" s="14">
        <f>AV16/0.453592*0.404686</f>
        <v>1341.0078496051353</v>
      </c>
      <c r="BO16" s="14">
        <f>BN16/480</f>
        <v>2.793766353344032</v>
      </c>
    </row>
    <row r="17" spans="1:67" ht="16.5" thickBot="1" x14ac:dyDescent="0.25">
      <c r="A17" s="23"/>
      <c r="B17" s="22"/>
      <c r="C17" s="32" t="s">
        <v>356</v>
      </c>
      <c r="D17" s="31" t="s">
        <v>353</v>
      </c>
      <c r="E17" s="30">
        <v>26</v>
      </c>
      <c r="F17" s="123">
        <v>6.5495020503807737</v>
      </c>
      <c r="J17" s="14" t="s">
        <v>356</v>
      </c>
      <c r="K17" s="14" t="s">
        <v>358</v>
      </c>
      <c r="L17" s="14">
        <v>37.28506787330317</v>
      </c>
      <c r="M17" s="14">
        <v>49.230769230769234</v>
      </c>
      <c r="O17" s="14">
        <f t="shared" si="0"/>
        <v>0.37285067873303168</v>
      </c>
      <c r="P17" s="14">
        <f t="shared" si="1"/>
        <v>0.49230769230769234</v>
      </c>
      <c r="Q17" s="14">
        <f t="shared" si="2"/>
        <v>1992.67910086794</v>
      </c>
      <c r="R17" s="14">
        <f t="shared" si="3"/>
        <v>2631.1102691071828</v>
      </c>
      <c r="S17" s="14">
        <f t="shared" si="4"/>
        <v>4623.789369975123</v>
      </c>
      <c r="T17" s="14">
        <f t="shared" si="5"/>
        <v>43.096234309623426</v>
      </c>
      <c r="AD17" s="140"/>
      <c r="AE17" s="141"/>
      <c r="AG17" s="140"/>
      <c r="AH17" s="140"/>
      <c r="AI17" s="140"/>
      <c r="AJ17" s="140"/>
      <c r="AK17" s="139" t="s">
        <v>353</v>
      </c>
      <c r="AM17" s="14">
        <f t="shared" si="6"/>
        <v>0.13484162895927598</v>
      </c>
      <c r="AN17" s="14">
        <f t="shared" si="7"/>
        <v>720.65336414884212</v>
      </c>
      <c r="AO17" s="14">
        <f t="shared" si="8"/>
        <v>642.95179777294982</v>
      </c>
      <c r="AP17" s="138"/>
      <c r="AQ17" s="138"/>
      <c r="AR17" s="138"/>
      <c r="AT17" s="18"/>
      <c r="AU17" s="17"/>
      <c r="AV17" s="143"/>
      <c r="AW17" s="143"/>
      <c r="AX17" s="143"/>
      <c r="AY17" s="16"/>
      <c r="AZ17" s="16"/>
      <c r="BA17" s="142"/>
      <c r="BB17" s="16"/>
      <c r="BC17" s="16"/>
      <c r="BD17" s="142"/>
      <c r="BE17" s="17"/>
      <c r="BF17" s="17"/>
      <c r="BG17" s="16"/>
      <c r="BH17" s="16"/>
      <c r="BI17" s="16"/>
      <c r="BJ17" s="16"/>
      <c r="BK17" s="16"/>
    </row>
    <row r="18" spans="1:67" ht="16.5" thickBot="1" x14ac:dyDescent="0.25">
      <c r="A18" s="34" t="s">
        <v>387</v>
      </c>
      <c r="B18" s="33">
        <v>2</v>
      </c>
      <c r="C18" s="21" t="s">
        <v>354</v>
      </c>
      <c r="D18" s="20" t="s">
        <v>369</v>
      </c>
      <c r="E18" s="19">
        <v>18.399999999999999</v>
      </c>
      <c r="F18" s="121">
        <v>6.9193511186284304</v>
      </c>
      <c r="H18" s="14" t="s">
        <v>387</v>
      </c>
      <c r="I18" s="14">
        <v>2</v>
      </c>
      <c r="J18" s="14" t="s">
        <v>354</v>
      </c>
      <c r="K18" s="14" t="s">
        <v>365</v>
      </c>
      <c r="L18" s="14">
        <v>35.863874345549732</v>
      </c>
      <c r="M18" s="14">
        <v>49.738219895287969</v>
      </c>
      <c r="O18" s="14">
        <f t="shared" si="0"/>
        <v>0.35863874345549734</v>
      </c>
      <c r="P18" s="14">
        <f t="shared" si="1"/>
        <v>0.49738219895287972</v>
      </c>
      <c r="Q18" s="14">
        <f t="shared" si="2"/>
        <v>1342.80538973788</v>
      </c>
      <c r="R18" s="14">
        <f t="shared" si="3"/>
        <v>1862.2848470817323</v>
      </c>
      <c r="S18" s="14">
        <f t="shared" si="4"/>
        <v>3205.0902368196121</v>
      </c>
      <c r="T18" s="14">
        <f t="shared" si="5"/>
        <v>41.896024464831797</v>
      </c>
      <c r="AD18" s="140"/>
      <c r="AE18" s="141"/>
      <c r="AG18" s="140"/>
      <c r="AH18" s="140"/>
      <c r="AI18" s="140"/>
      <c r="AJ18" s="140"/>
      <c r="AK18" s="139" t="s">
        <v>369</v>
      </c>
      <c r="AM18" s="14">
        <f t="shared" si="6"/>
        <v>0.14397905759162288</v>
      </c>
      <c r="AN18" s="14">
        <f t="shared" si="7"/>
        <v>539.08245573418503</v>
      </c>
      <c r="AO18" s="14">
        <f t="shared" si="8"/>
        <v>480.9580462744695</v>
      </c>
      <c r="AP18" s="138"/>
      <c r="AQ18" s="138"/>
      <c r="AR18" s="138"/>
      <c r="AT18" s="18" t="s">
        <v>388</v>
      </c>
      <c r="AU18" s="42">
        <v>60</v>
      </c>
      <c r="AV18" s="147">
        <f t="shared" ref="AV18:BK18" si="21">AVERAGEIFS(U$3:U$194,$AK$3:$AK$194, "120-60")</f>
        <v>1514.9661530249718</v>
      </c>
      <c r="AW18" s="147">
        <f t="shared" si="21"/>
        <v>2027.3657742802902</v>
      </c>
      <c r="AX18" s="147">
        <f t="shared" si="21"/>
        <v>3542.3319273052616</v>
      </c>
      <c r="AY18" s="146">
        <f t="shared" si="21"/>
        <v>42.714059187934929</v>
      </c>
      <c r="AZ18" s="144">
        <f t="shared" si="21"/>
        <v>923.2</v>
      </c>
      <c r="BA18" s="145">
        <f t="shared" si="21"/>
        <v>0.16408018261240126</v>
      </c>
      <c r="BB18" s="144">
        <f t="shared" si="21"/>
        <v>759.7</v>
      </c>
      <c r="BC18" s="144">
        <f t="shared" si="21"/>
        <v>1143.6000000000001</v>
      </c>
      <c r="BD18" s="145">
        <f t="shared" si="21"/>
        <v>0.13247343065975617</v>
      </c>
      <c r="BE18" s="41">
        <f t="shared" si="21"/>
        <v>4.6524999999999999</v>
      </c>
      <c r="BF18" s="41">
        <f t="shared" si="21"/>
        <v>1.1124999999999998</v>
      </c>
      <c r="BG18" s="144">
        <f t="shared" si="21"/>
        <v>28.257499999999997</v>
      </c>
      <c r="BH18" s="144">
        <f t="shared" si="21"/>
        <v>80.075000000000003</v>
      </c>
      <c r="BI18" s="144">
        <f t="shared" si="21"/>
        <v>30.5</v>
      </c>
      <c r="BJ18" s="144">
        <f t="shared" si="21"/>
        <v>5.9499999999999993</v>
      </c>
      <c r="BK18" s="144">
        <f t="shared" si="21"/>
        <v>10.45</v>
      </c>
      <c r="BN18" s="14">
        <f>AV18/0.453592*0.404686</f>
        <v>1351.6234691155571</v>
      </c>
      <c r="BO18" s="14">
        <f>BN18/480</f>
        <v>2.8158822273240771</v>
      </c>
    </row>
    <row r="19" spans="1:67" ht="16.5" thickBot="1" x14ac:dyDescent="0.25">
      <c r="A19" s="29"/>
      <c r="B19" s="28"/>
      <c r="C19" s="27" t="s">
        <v>355</v>
      </c>
      <c r="D19" s="26" t="s">
        <v>369</v>
      </c>
      <c r="E19" s="25">
        <v>16.2</v>
      </c>
      <c r="F19" s="122">
        <v>7.9313832270110423</v>
      </c>
      <c r="J19" s="14" t="s">
        <v>355</v>
      </c>
      <c r="K19" s="14" t="s">
        <v>365</v>
      </c>
      <c r="L19" s="14">
        <v>35.595776772247362</v>
      </c>
      <c r="M19" s="14">
        <v>50.37707390648567</v>
      </c>
      <c r="O19" s="14">
        <f t="shared" si="0"/>
        <v>0.35595776772247362</v>
      </c>
      <c r="P19" s="14">
        <f t="shared" si="1"/>
        <v>0.5037707390648567</v>
      </c>
      <c r="Q19" s="14">
        <f t="shared" si="2"/>
        <v>1157.3327818389409</v>
      </c>
      <c r="R19" s="14">
        <f t="shared" si="3"/>
        <v>1637.9201234500265</v>
      </c>
      <c r="S19" s="14">
        <f t="shared" si="4"/>
        <v>2795.2529052889677</v>
      </c>
      <c r="T19" s="14">
        <f t="shared" si="5"/>
        <v>41.403508771929822</v>
      </c>
      <c r="U19" s="14">
        <f>AVERAGE(Q18:Q20)</f>
        <v>1234.821834122358</v>
      </c>
      <c r="V19" s="14">
        <f>AVERAGE(R18:R20)</f>
        <v>1729.4125135792565</v>
      </c>
      <c r="W19" s="14">
        <f>AVERAGE(S18:S20)</f>
        <v>2964.2343477016148</v>
      </c>
      <c r="X19" s="14">
        <f>AVERAGE(T18:T20)</f>
        <v>41.645919497578099</v>
      </c>
      <c r="Y19" s="14">
        <v>976.5</v>
      </c>
      <c r="Z19" s="14">
        <f>(U19/10000)/(Y19/1000)</f>
        <v>0.12645384886045655</v>
      </c>
      <c r="AA19" s="14">
        <v>819.7</v>
      </c>
      <c r="AB19" s="14">
        <f>AA19+264+119.9</f>
        <v>1203.6000000000001</v>
      </c>
      <c r="AC19" s="14">
        <f>(U19/10000)/(AB19/1000)</f>
        <v>0.10259403739800248</v>
      </c>
      <c r="AD19" s="140">
        <v>3.96</v>
      </c>
      <c r="AE19" s="141">
        <v>1.1299999999999999</v>
      </c>
      <c r="AF19" s="14">
        <f>AE19*25.4</f>
        <v>28.701999999999995</v>
      </c>
      <c r="AG19" s="140">
        <v>77.900000000000006</v>
      </c>
      <c r="AH19" s="140">
        <v>31.2</v>
      </c>
      <c r="AI19" s="140">
        <v>6</v>
      </c>
      <c r="AJ19" s="140">
        <v>11.2</v>
      </c>
      <c r="AK19" s="139" t="s">
        <v>369</v>
      </c>
      <c r="AM19" s="14">
        <f t="shared" si="6"/>
        <v>0.14027149321266963</v>
      </c>
      <c r="AN19" s="14">
        <f t="shared" si="7"/>
        <v>456.06757928398923</v>
      </c>
      <c r="AO19" s="14">
        <f t="shared" si="8"/>
        <v>406.89391681801027</v>
      </c>
      <c r="AP19" s="138">
        <f>AVERAGE(AM18:AM20)</f>
        <v>0.14375552081637508</v>
      </c>
      <c r="AQ19" s="138">
        <f>AVERAGE(AN18:AN20)</f>
        <v>497.88752589378447</v>
      </c>
      <c r="AR19" s="138">
        <f>AVERAGE(AO18:AO20)</f>
        <v>444.20479496439083</v>
      </c>
      <c r="AT19" s="18" t="s">
        <v>388</v>
      </c>
      <c r="AU19" s="42">
        <v>80</v>
      </c>
      <c r="AV19" s="147">
        <f t="shared" ref="AV19:BK19" si="22">AVERAGEIFS(U$3:U$194,$AK$3:$AK$194, "120-80")</f>
        <v>1574.7937019132037</v>
      </c>
      <c r="AW19" s="147">
        <f t="shared" si="22"/>
        <v>2110.4339681923743</v>
      </c>
      <c r="AX19" s="147">
        <f t="shared" si="22"/>
        <v>3685.227670105578</v>
      </c>
      <c r="AY19" s="144">
        <f t="shared" si="22"/>
        <v>42.597240804259442</v>
      </c>
      <c r="AZ19" s="144">
        <f t="shared" si="22"/>
        <v>1009.925</v>
      </c>
      <c r="BA19" s="145">
        <f t="shared" si="22"/>
        <v>0.15621131624642437</v>
      </c>
      <c r="BB19" s="144">
        <f t="shared" si="22"/>
        <v>850.4</v>
      </c>
      <c r="BC19" s="144">
        <f t="shared" si="22"/>
        <v>1234.3000000000002</v>
      </c>
      <c r="BD19" s="145">
        <f t="shared" si="22"/>
        <v>0.12758597601176405</v>
      </c>
      <c r="BE19" s="41">
        <f t="shared" si="22"/>
        <v>4.3175000000000008</v>
      </c>
      <c r="BF19" s="149">
        <f t="shared" si="22"/>
        <v>1.1475</v>
      </c>
      <c r="BG19" s="146">
        <f t="shared" si="22"/>
        <v>29.146499999999996</v>
      </c>
      <c r="BH19" s="144">
        <f t="shared" si="22"/>
        <v>80.799999999999983</v>
      </c>
      <c r="BI19" s="144">
        <f t="shared" si="22"/>
        <v>31.225000000000001</v>
      </c>
      <c r="BJ19" s="144">
        <f t="shared" si="22"/>
        <v>5.9250000000000007</v>
      </c>
      <c r="BK19" s="144">
        <f t="shared" si="22"/>
        <v>9.6</v>
      </c>
      <c r="BN19" s="14">
        <f>AV19/0.453592*0.404686</f>
        <v>1405.0004498590072</v>
      </c>
      <c r="BO19" s="14">
        <f>BN19/480</f>
        <v>2.9270842705395981</v>
      </c>
    </row>
    <row r="20" spans="1:67" ht="16.5" thickBot="1" x14ac:dyDescent="0.25">
      <c r="A20" s="23"/>
      <c r="B20" s="22"/>
      <c r="C20" s="32" t="s">
        <v>356</v>
      </c>
      <c r="D20" s="31" t="s">
        <v>369</v>
      </c>
      <c r="E20" s="30">
        <v>16.7</v>
      </c>
      <c r="F20" s="123">
        <v>6.9214485522038363</v>
      </c>
      <c r="J20" s="14" t="s">
        <v>356</v>
      </c>
      <c r="K20" s="14" t="s">
        <v>365</v>
      </c>
      <c r="L20" s="14">
        <v>35.516739446870446</v>
      </c>
      <c r="M20" s="14">
        <v>49.78165938864629</v>
      </c>
      <c r="O20" s="14">
        <f t="shared" si="0"/>
        <v>0.35516739446870443</v>
      </c>
      <c r="P20" s="14">
        <f t="shared" si="1"/>
        <v>0.49781659388646288</v>
      </c>
      <c r="Q20" s="14">
        <f t="shared" si="2"/>
        <v>1204.3273307902532</v>
      </c>
      <c r="R20" s="14">
        <f t="shared" si="3"/>
        <v>1688.0325702060111</v>
      </c>
      <c r="S20" s="14">
        <f t="shared" si="4"/>
        <v>2892.3599009962645</v>
      </c>
      <c r="T20" s="14">
        <f t="shared" si="5"/>
        <v>41.638225255972685</v>
      </c>
      <c r="AD20" s="140"/>
      <c r="AE20" s="141"/>
      <c r="AG20" s="140"/>
      <c r="AH20" s="140"/>
      <c r="AI20" s="140"/>
      <c r="AJ20" s="140"/>
      <c r="AK20" s="139" t="s">
        <v>369</v>
      </c>
      <c r="AM20" s="14">
        <f t="shared" si="6"/>
        <v>0.14701601164483274</v>
      </c>
      <c r="AN20" s="14">
        <f t="shared" si="7"/>
        <v>498.5125426631792</v>
      </c>
      <c r="AO20" s="14">
        <f t="shared" si="8"/>
        <v>444.76242180069261</v>
      </c>
      <c r="AP20" s="138"/>
      <c r="AQ20" s="138"/>
      <c r="AR20" s="138"/>
      <c r="AT20" s="18" t="s">
        <v>388</v>
      </c>
      <c r="AU20" s="42">
        <v>100</v>
      </c>
      <c r="AV20" s="148">
        <f t="shared" ref="AV20:BK20" si="23">AVERAGEIFS(U$3:U$194,$AK$3:$AK$194, "120-100")</f>
        <v>1657.9514295100316</v>
      </c>
      <c r="AW20" s="148">
        <f t="shared" si="23"/>
        <v>2286.3821951185955</v>
      </c>
      <c r="AX20" s="148">
        <f t="shared" si="23"/>
        <v>3944.3336246286271</v>
      </c>
      <c r="AY20" s="144">
        <f t="shared" si="23"/>
        <v>42.095545809317173</v>
      </c>
      <c r="AZ20" s="144">
        <f t="shared" si="23"/>
        <v>1092.6500000000001</v>
      </c>
      <c r="BA20" s="145">
        <f t="shared" si="23"/>
        <v>0.15181975668326061</v>
      </c>
      <c r="BB20" s="144">
        <f t="shared" si="23"/>
        <v>941</v>
      </c>
      <c r="BC20" s="144">
        <f t="shared" si="23"/>
        <v>1324.9</v>
      </c>
      <c r="BD20" s="145">
        <f t="shared" si="23"/>
        <v>0.12513785414069223</v>
      </c>
      <c r="BE20" s="41">
        <f t="shared" si="23"/>
        <v>4.3874999999999993</v>
      </c>
      <c r="BF20" s="41">
        <f t="shared" si="23"/>
        <v>1.1425000000000001</v>
      </c>
      <c r="BG20" s="144">
        <f t="shared" si="23"/>
        <v>29.019500000000001</v>
      </c>
      <c r="BH20" s="146">
        <f t="shared" si="23"/>
        <v>81.3</v>
      </c>
      <c r="BI20" s="144">
        <f t="shared" si="23"/>
        <v>31.724999999999998</v>
      </c>
      <c r="BJ20" s="144">
        <f t="shared" si="23"/>
        <v>6.1</v>
      </c>
      <c r="BK20" s="144">
        <f t="shared" si="23"/>
        <v>9.6750000000000007</v>
      </c>
      <c r="BN20" s="14">
        <f>AV20/0.453592*0.404686</f>
        <v>1479.192164329831</v>
      </c>
      <c r="BO20" s="14">
        <f>BN20/480</f>
        <v>3.0816503423538149</v>
      </c>
    </row>
    <row r="21" spans="1:67" ht="16.5" thickBot="1" x14ac:dyDescent="0.25">
      <c r="A21" s="34" t="s">
        <v>387</v>
      </c>
      <c r="B21" s="33">
        <v>3</v>
      </c>
      <c r="C21" s="21" t="s">
        <v>354</v>
      </c>
      <c r="D21" s="20" t="s">
        <v>365</v>
      </c>
      <c r="E21" s="19">
        <v>23.5</v>
      </c>
      <c r="F21" s="121">
        <v>6.4063077491684144</v>
      </c>
      <c r="H21" s="14" t="s">
        <v>387</v>
      </c>
      <c r="I21" s="14">
        <v>3</v>
      </c>
      <c r="J21" s="14" t="s">
        <v>354</v>
      </c>
      <c r="K21" s="14" t="s">
        <v>369</v>
      </c>
      <c r="L21" s="14">
        <v>37.675350701402806</v>
      </c>
      <c r="M21" s="14">
        <v>48.697394789579157</v>
      </c>
      <c r="O21" s="14">
        <f t="shared" si="0"/>
        <v>0.37675350701402804</v>
      </c>
      <c r="P21" s="14">
        <f t="shared" si="1"/>
        <v>0.48697394789579157</v>
      </c>
      <c r="Q21" s="14">
        <f t="shared" si="2"/>
        <v>1819.8407959321182</v>
      </c>
      <c r="R21" s="14">
        <f t="shared" si="3"/>
        <v>2352.2410287845996</v>
      </c>
      <c r="S21" s="14">
        <f t="shared" si="4"/>
        <v>4172.0818247167181</v>
      </c>
      <c r="T21" s="14">
        <f t="shared" si="5"/>
        <v>43.619489559164734</v>
      </c>
      <c r="AD21" s="140"/>
      <c r="AE21" s="141"/>
      <c r="AG21" s="140"/>
      <c r="AH21" s="140"/>
      <c r="AI21" s="140"/>
      <c r="AJ21" s="140"/>
      <c r="AK21" s="139" t="s">
        <v>365</v>
      </c>
      <c r="AM21" s="14">
        <f t="shared" si="6"/>
        <v>0.13627254509018044</v>
      </c>
      <c r="AN21" s="14">
        <f t="shared" si="7"/>
        <v>658.24028789034105</v>
      </c>
      <c r="AO21" s="14">
        <f t="shared" si="8"/>
        <v>587.26816180971662</v>
      </c>
      <c r="AP21" s="138"/>
      <c r="AQ21" s="138"/>
      <c r="AR21" s="138"/>
      <c r="AT21" s="18" t="s">
        <v>388</v>
      </c>
      <c r="AU21" s="42">
        <v>120</v>
      </c>
      <c r="AV21" s="147">
        <f t="shared" ref="AV21:BK21" si="24">AVERAGEIFS(U$3:U$194,$AK$3:$AK$194, "120-120")</f>
        <v>1623.4092644988857</v>
      </c>
      <c r="AW21" s="147">
        <f t="shared" si="24"/>
        <v>2208.4759394755911</v>
      </c>
      <c r="AX21" s="147">
        <f t="shared" si="24"/>
        <v>3831.8852039744766</v>
      </c>
      <c r="AY21" s="144">
        <f t="shared" si="24"/>
        <v>42.322077075197107</v>
      </c>
      <c r="AZ21" s="146">
        <f t="shared" si="24"/>
        <v>1199.125</v>
      </c>
      <c r="BA21" s="145">
        <f t="shared" si="24"/>
        <v>0.13550303602808966</v>
      </c>
      <c r="BB21" s="146">
        <f t="shared" si="24"/>
        <v>1031.7</v>
      </c>
      <c r="BC21" s="146">
        <f t="shared" si="24"/>
        <v>1415.6000000000001</v>
      </c>
      <c r="BD21" s="145">
        <f t="shared" si="24"/>
        <v>0.1146799423918399</v>
      </c>
      <c r="BE21" s="41">
        <f t="shared" si="24"/>
        <v>4.4325000000000001</v>
      </c>
      <c r="BF21" s="41">
        <f t="shared" si="24"/>
        <v>1.1274999999999999</v>
      </c>
      <c r="BG21" s="144">
        <f t="shared" si="24"/>
        <v>28.638499999999997</v>
      </c>
      <c r="BH21" s="144">
        <f t="shared" si="24"/>
        <v>79.949999999999989</v>
      </c>
      <c r="BI21" s="144">
        <f t="shared" si="24"/>
        <v>31.85</v>
      </c>
      <c r="BJ21" s="144">
        <f t="shared" si="24"/>
        <v>5.9</v>
      </c>
      <c r="BK21" s="144">
        <f t="shared" si="24"/>
        <v>10.324999999999999</v>
      </c>
      <c r="BN21" s="14">
        <f>AV21/0.453592*0.404686</f>
        <v>1448.374313508607</v>
      </c>
      <c r="BO21" s="14">
        <f>BN21/480</f>
        <v>3.0174464864762647</v>
      </c>
    </row>
    <row r="22" spans="1:67" ht="16.5" thickBot="1" x14ac:dyDescent="0.25">
      <c r="A22" s="29"/>
      <c r="B22" s="28"/>
      <c r="C22" s="27" t="s">
        <v>355</v>
      </c>
      <c r="D22" s="26" t="s">
        <v>365</v>
      </c>
      <c r="E22" s="25">
        <v>21.8</v>
      </c>
      <c r="F22" s="122">
        <v>6.4708749695344885</v>
      </c>
      <c r="J22" s="14" t="s">
        <v>355</v>
      </c>
      <c r="K22" s="14" t="s">
        <v>369</v>
      </c>
      <c r="L22" s="14">
        <v>37.785016286644954</v>
      </c>
      <c r="M22" s="14">
        <v>49.294245385450601</v>
      </c>
      <c r="O22" s="14">
        <f t="shared" si="0"/>
        <v>0.37785016286644951</v>
      </c>
      <c r="P22" s="14">
        <f t="shared" si="1"/>
        <v>0.49294245385450602</v>
      </c>
      <c r="Q22" s="14">
        <f t="shared" si="2"/>
        <v>1689.770151857389</v>
      </c>
      <c r="R22" s="14">
        <f t="shared" si="3"/>
        <v>2204.4702555840654</v>
      </c>
      <c r="S22" s="14">
        <f t="shared" si="4"/>
        <v>3894.2404074414544</v>
      </c>
      <c r="T22" s="14">
        <f t="shared" si="5"/>
        <v>43.391521197007478</v>
      </c>
      <c r="U22" s="14">
        <f>AVERAGE(Q21:Q23)</f>
        <v>1756.8417037354968</v>
      </c>
      <c r="V22" s="14">
        <f>AVERAGE(R21:R23)</f>
        <v>2288.7023028406952</v>
      </c>
      <c r="W22" s="14">
        <f>AVERAGE(S21:S23)</f>
        <v>4045.5440065761927</v>
      </c>
      <c r="X22" s="14">
        <f>AVERAGE(T21:T23)</f>
        <v>43.42447403456331</v>
      </c>
      <c r="Y22" s="14">
        <v>840.9</v>
      </c>
      <c r="Z22" s="14">
        <f>(U22/10000)/(Y22/1000)</f>
        <v>0.20892397475746188</v>
      </c>
      <c r="AA22" s="14">
        <v>689</v>
      </c>
      <c r="AB22" s="14">
        <f>AA22+264+119.9</f>
        <v>1072.9000000000001</v>
      </c>
      <c r="AC22" s="14">
        <f>(U22/10000)/(AB22/1000)</f>
        <v>0.16374701311729858</v>
      </c>
      <c r="AD22" s="140">
        <v>4.79</v>
      </c>
      <c r="AE22" s="141">
        <v>1.1399999999999999</v>
      </c>
      <c r="AF22" s="14">
        <f>AE22*25.4</f>
        <v>28.955999999999996</v>
      </c>
      <c r="AG22" s="140">
        <v>80</v>
      </c>
      <c r="AH22" s="140">
        <v>30.7</v>
      </c>
      <c r="AI22" s="140">
        <v>5.9</v>
      </c>
      <c r="AJ22" s="140">
        <v>10.3</v>
      </c>
      <c r="AK22" s="139" t="s">
        <v>365</v>
      </c>
      <c r="AM22" s="14">
        <f t="shared" si="6"/>
        <v>0.12920738327904452</v>
      </c>
      <c r="AN22" s="14">
        <f t="shared" si="7"/>
        <v>577.82370135353256</v>
      </c>
      <c r="AO22" s="14">
        <f t="shared" si="8"/>
        <v>515.52217204989336</v>
      </c>
      <c r="AP22" s="138">
        <f>AVERAGE(AM21:AM23)</f>
        <v>0.13377761316767831</v>
      </c>
      <c r="AQ22" s="138">
        <f>AVERAGE(AN21:AN23)</f>
        <v>625.31967558990561</v>
      </c>
      <c r="AR22" s="138">
        <f>AVERAGE(AO21:AO23)</f>
        <v>557.8970828481265</v>
      </c>
      <c r="AV22" s="143"/>
      <c r="AW22" s="143"/>
      <c r="AX22" s="143"/>
      <c r="AY22" s="16"/>
      <c r="AZ22" s="16"/>
      <c r="BA22" s="142"/>
      <c r="BB22" s="16"/>
      <c r="BC22" s="16"/>
      <c r="BD22" s="142"/>
      <c r="BE22" s="17"/>
      <c r="BF22" s="17"/>
      <c r="BG22" s="16"/>
      <c r="BH22" s="16"/>
      <c r="BI22" s="16"/>
      <c r="BJ22" s="16"/>
      <c r="BK22" s="16"/>
    </row>
    <row r="23" spans="1:67" ht="16.5" thickBot="1" x14ac:dyDescent="0.25">
      <c r="A23" s="23"/>
      <c r="B23" s="22"/>
      <c r="C23" s="32" t="s">
        <v>356</v>
      </c>
      <c r="D23" s="31" t="s">
        <v>365</v>
      </c>
      <c r="E23" s="30">
        <v>23.1</v>
      </c>
      <c r="F23" s="123">
        <v>7.1269339544168888</v>
      </c>
      <c r="J23" s="14" t="s">
        <v>356</v>
      </c>
      <c r="K23" s="14" t="s">
        <v>369</v>
      </c>
      <c r="L23" s="14">
        <v>37.385086823289072</v>
      </c>
      <c r="M23" s="14">
        <v>49.029622063329938</v>
      </c>
      <c r="O23" s="14">
        <f t="shared" si="0"/>
        <v>0.37385086823289071</v>
      </c>
      <c r="P23" s="14">
        <f t="shared" si="1"/>
        <v>0.49029622063329936</v>
      </c>
      <c r="Q23" s="14">
        <f t="shared" si="2"/>
        <v>1760.9141634169837</v>
      </c>
      <c r="R23" s="14">
        <f t="shared" si="3"/>
        <v>2309.3956241534215</v>
      </c>
      <c r="S23" s="14">
        <f t="shared" si="4"/>
        <v>4070.3097875704052</v>
      </c>
      <c r="T23" s="14">
        <f t="shared" si="5"/>
        <v>43.262411347517727</v>
      </c>
      <c r="AD23" s="140"/>
      <c r="AE23" s="141"/>
      <c r="AG23" s="140"/>
      <c r="AH23" s="140"/>
      <c r="AI23" s="140"/>
      <c r="AJ23" s="140"/>
      <c r="AK23" s="139" t="s">
        <v>365</v>
      </c>
      <c r="AM23" s="14">
        <f t="shared" si="6"/>
        <v>0.13585291113380993</v>
      </c>
      <c r="AN23" s="14">
        <f t="shared" si="7"/>
        <v>639.89503752584335</v>
      </c>
      <c r="AO23" s="14">
        <f t="shared" si="8"/>
        <v>570.90091468476942</v>
      </c>
      <c r="AP23" s="138"/>
      <c r="AQ23" s="138"/>
      <c r="AR23" s="138"/>
      <c r="AV23" s="143">
        <f t="shared" ref="AV23:BK23" si="25">MAX(AV3:AV21)</f>
        <v>1657.9514295100316</v>
      </c>
      <c r="AW23" s="143">
        <f t="shared" si="25"/>
        <v>2286.3821951185955</v>
      </c>
      <c r="AX23" s="143">
        <f t="shared" si="25"/>
        <v>3944.3336246286271</v>
      </c>
      <c r="AY23" s="16">
        <f t="shared" si="25"/>
        <v>42.731222465270839</v>
      </c>
      <c r="AZ23" s="16">
        <f t="shared" si="25"/>
        <v>1199.125</v>
      </c>
      <c r="BA23" s="142">
        <f t="shared" si="25"/>
        <v>0.18651985295288287</v>
      </c>
      <c r="BB23" s="16">
        <f t="shared" si="25"/>
        <v>1031.7</v>
      </c>
      <c r="BC23" s="16">
        <f t="shared" si="25"/>
        <v>1415.6000000000001</v>
      </c>
      <c r="BD23" s="142">
        <f t="shared" si="25"/>
        <v>0.1491559467662088</v>
      </c>
      <c r="BE23" s="17">
        <f t="shared" si="25"/>
        <v>4.7449999999999992</v>
      </c>
      <c r="BF23" s="17">
        <f t="shared" si="25"/>
        <v>1.1475</v>
      </c>
      <c r="BG23" s="16">
        <f t="shared" si="25"/>
        <v>29.146499999999996</v>
      </c>
      <c r="BH23" s="16">
        <f t="shared" si="25"/>
        <v>81.3</v>
      </c>
      <c r="BI23" s="16">
        <f t="shared" si="25"/>
        <v>32.174999999999997</v>
      </c>
      <c r="BJ23" s="16">
        <f t="shared" si="25"/>
        <v>6.1499999999999995</v>
      </c>
      <c r="BK23" s="16">
        <f t="shared" si="25"/>
        <v>10.825000000000001</v>
      </c>
    </row>
    <row r="24" spans="1:67" ht="16.5" thickBot="1" x14ac:dyDescent="0.25">
      <c r="A24" s="34" t="s">
        <v>387</v>
      </c>
      <c r="B24" s="33">
        <v>4</v>
      </c>
      <c r="C24" s="21" t="s">
        <v>354</v>
      </c>
      <c r="D24" s="20" t="s">
        <v>358</v>
      </c>
      <c r="E24" s="19">
        <v>25.3</v>
      </c>
      <c r="F24" s="121">
        <v>6.0717668104808959</v>
      </c>
      <c r="H24" s="14" t="s">
        <v>387</v>
      </c>
      <c r="I24" s="14">
        <v>4</v>
      </c>
      <c r="J24" s="14" t="s">
        <v>354</v>
      </c>
      <c r="K24" s="14" t="s">
        <v>353</v>
      </c>
      <c r="L24" s="14">
        <v>37.649219467401281</v>
      </c>
      <c r="M24" s="14">
        <v>49.403122130394856</v>
      </c>
      <c r="O24" s="14">
        <f t="shared" si="0"/>
        <v>0.37649219467401279</v>
      </c>
      <c r="P24" s="14">
        <f t="shared" si="1"/>
        <v>0.49403122130394855</v>
      </c>
      <c r="Q24" s="14">
        <f t="shared" si="2"/>
        <v>1967.1698108290523</v>
      </c>
      <c r="R24" s="14">
        <f t="shared" si="3"/>
        <v>2581.3106298195858</v>
      </c>
      <c r="S24" s="14">
        <f t="shared" si="4"/>
        <v>4548.4804406486383</v>
      </c>
      <c r="T24" s="14">
        <f t="shared" si="5"/>
        <v>43.248945147679322</v>
      </c>
      <c r="AD24" s="140"/>
      <c r="AE24" s="141"/>
      <c r="AG24" s="140"/>
      <c r="AH24" s="140"/>
      <c r="AI24" s="140"/>
      <c r="AJ24" s="140"/>
      <c r="AK24" s="139" t="s">
        <v>358</v>
      </c>
      <c r="AM24" s="14">
        <f t="shared" si="6"/>
        <v>0.12947658402203871</v>
      </c>
      <c r="AN24" s="14">
        <f t="shared" si="7"/>
        <v>676.5144959192603</v>
      </c>
      <c r="AO24" s="14">
        <f t="shared" si="8"/>
        <v>603.57202645474979</v>
      </c>
      <c r="AP24" s="138"/>
      <c r="AQ24" s="138"/>
      <c r="AR24" s="138"/>
    </row>
    <row r="25" spans="1:67" ht="16.5" thickBot="1" x14ac:dyDescent="0.25">
      <c r="A25" s="35"/>
      <c r="B25" s="28"/>
      <c r="C25" s="27" t="s">
        <v>355</v>
      </c>
      <c r="D25" s="26" t="s">
        <v>358</v>
      </c>
      <c r="E25" s="25">
        <v>23.1</v>
      </c>
      <c r="F25" s="122">
        <v>6.539304300191735</v>
      </c>
      <c r="J25" s="14" t="s">
        <v>355</v>
      </c>
      <c r="K25" s="14" t="s">
        <v>353</v>
      </c>
      <c r="L25" s="14">
        <v>38.414634146341463</v>
      </c>
      <c r="M25" s="14">
        <v>49.1869918699187</v>
      </c>
      <c r="O25" s="14">
        <f t="shared" si="0"/>
        <v>0.38414634146341464</v>
      </c>
      <c r="P25" s="14">
        <f t="shared" si="1"/>
        <v>0.491869918699187</v>
      </c>
      <c r="Q25" s="14">
        <f t="shared" si="2"/>
        <v>1820.8564992561844</v>
      </c>
      <c r="R25" s="14">
        <f t="shared" si="3"/>
        <v>2331.4670519576539</v>
      </c>
      <c r="S25" s="14">
        <f t="shared" si="4"/>
        <v>4152.3235512138381</v>
      </c>
      <c r="T25" s="14">
        <f t="shared" si="5"/>
        <v>43.851508120649655</v>
      </c>
      <c r="U25" s="14">
        <f>AVERAGE(Q24:Q26)</f>
        <v>1839.1758166737125</v>
      </c>
      <c r="V25" s="14">
        <f>AVERAGE(R24:R26)</f>
        <v>2409.462513786028</v>
      </c>
      <c r="W25" s="14">
        <f>AVERAGE(S24:S26)</f>
        <v>4248.6383304597402</v>
      </c>
      <c r="X25" s="14">
        <f>AVERAGE(T24:T26)</f>
        <v>43.285265895460412</v>
      </c>
      <c r="Y25" s="14">
        <v>1179.4000000000001</v>
      </c>
      <c r="Z25" s="14">
        <f>(U25/10000)/(Y25/1000)</f>
        <v>0.15594164970948893</v>
      </c>
      <c r="AA25" s="14">
        <v>1031.7</v>
      </c>
      <c r="AB25" s="14">
        <f>AA25+264+119.9</f>
        <v>1415.6000000000001</v>
      </c>
      <c r="AC25" s="14">
        <f>(U25/10000)/(AB25/1000)</f>
        <v>0.1299219989173292</v>
      </c>
      <c r="AD25" s="140">
        <v>4.68</v>
      </c>
      <c r="AE25" s="141">
        <v>1.1200000000000001</v>
      </c>
      <c r="AF25" s="14">
        <f>AE25*25.4</f>
        <v>28.448</v>
      </c>
      <c r="AG25" s="140">
        <v>80.099999999999994</v>
      </c>
      <c r="AH25" s="140">
        <v>31.3</v>
      </c>
      <c r="AI25" s="140">
        <v>5.9</v>
      </c>
      <c r="AJ25" s="140">
        <v>10.3</v>
      </c>
      <c r="AK25" s="139" t="s">
        <v>358</v>
      </c>
      <c r="AM25" s="14">
        <f t="shared" si="6"/>
        <v>0.12398373983739835</v>
      </c>
      <c r="AN25" s="14">
        <f t="shared" si="7"/>
        <v>587.68384367527631</v>
      </c>
      <c r="AO25" s="14">
        <f t="shared" si="8"/>
        <v>524.31918396636433</v>
      </c>
      <c r="AP25" s="138">
        <f>AVERAGE(AM24:AM26)</f>
        <v>0.12877101766821603</v>
      </c>
      <c r="AQ25" s="138">
        <f>AVERAGE(AN24:AN26)</f>
        <v>627.97874935718903</v>
      </c>
      <c r="AR25" s="138">
        <f>AVERAGE(AO24:AO26)</f>
        <v>560.26945262274751</v>
      </c>
    </row>
    <row r="26" spans="1:67" ht="16.5" thickBot="1" x14ac:dyDescent="0.25">
      <c r="A26" s="23"/>
      <c r="B26" s="22"/>
      <c r="C26" s="32" t="s">
        <v>356</v>
      </c>
      <c r="D26" s="31" t="s">
        <v>358</v>
      </c>
      <c r="E26" s="30">
        <v>22.6</v>
      </c>
      <c r="F26" s="123">
        <v>5.9515062454077734</v>
      </c>
      <c r="J26" s="14" t="s">
        <v>356</v>
      </c>
      <c r="K26" s="14" t="s">
        <v>353</v>
      </c>
      <c r="L26" s="14">
        <v>37.075180226570545</v>
      </c>
      <c r="M26" s="14">
        <v>49.639546858908353</v>
      </c>
      <c r="O26" s="14">
        <f t="shared" si="0"/>
        <v>0.37075180226570548</v>
      </c>
      <c r="P26" s="14">
        <f t="shared" si="1"/>
        <v>0.49639546858908351</v>
      </c>
      <c r="Q26" s="14">
        <f t="shared" si="2"/>
        <v>1729.5011399359007</v>
      </c>
      <c r="R26" s="14">
        <f t="shared" si="3"/>
        <v>2315.6098595808448</v>
      </c>
      <c r="S26" s="14">
        <f t="shared" si="4"/>
        <v>4045.1109995167453</v>
      </c>
      <c r="T26" s="14">
        <f t="shared" si="5"/>
        <v>42.75534441805226</v>
      </c>
      <c r="AD26" s="140"/>
      <c r="AE26" s="141"/>
      <c r="AG26" s="140"/>
      <c r="AH26" s="140"/>
      <c r="AI26" s="140"/>
      <c r="AJ26" s="140"/>
      <c r="AK26" s="139" t="s">
        <v>358</v>
      </c>
      <c r="AM26" s="14">
        <f t="shared" si="6"/>
        <v>0.13285272914521101</v>
      </c>
      <c r="AN26" s="14">
        <f t="shared" si="7"/>
        <v>619.7379084770306</v>
      </c>
      <c r="AO26" s="14">
        <f t="shared" si="8"/>
        <v>552.91714744712874</v>
      </c>
      <c r="AP26" s="138"/>
      <c r="AQ26" s="138"/>
      <c r="AR26" s="138"/>
    </row>
    <row r="27" spans="1:67" ht="15.75" x14ac:dyDescent="0.2">
      <c r="A27" s="34" t="s">
        <v>386</v>
      </c>
      <c r="B27" s="33">
        <v>1</v>
      </c>
      <c r="C27" s="32" t="s">
        <v>354</v>
      </c>
      <c r="D27" s="31" t="s">
        <v>368</v>
      </c>
      <c r="E27" s="30">
        <v>22.7</v>
      </c>
      <c r="F27" s="123">
        <v>7.2319951886934133</v>
      </c>
      <c r="H27" s="14" t="s">
        <v>386</v>
      </c>
      <c r="I27" s="14">
        <v>1</v>
      </c>
      <c r="J27" s="14" t="s">
        <v>354</v>
      </c>
      <c r="K27" s="14" t="s">
        <v>368</v>
      </c>
      <c r="L27" s="14">
        <v>36.065573770491802</v>
      </c>
      <c r="M27" s="14">
        <v>48.975409836065573</v>
      </c>
      <c r="O27" s="14">
        <f t="shared" si="0"/>
        <v>0.36065573770491804</v>
      </c>
      <c r="P27" s="14">
        <f t="shared" si="1"/>
        <v>0.48975409836065575</v>
      </c>
      <c r="Q27" s="14">
        <f t="shared" si="2"/>
        <v>1666.9667410476065</v>
      </c>
      <c r="R27" s="14">
        <f t="shared" si="3"/>
        <v>2263.6650631271473</v>
      </c>
      <c r="S27" s="14">
        <f t="shared" si="4"/>
        <v>3930.6318041747536</v>
      </c>
      <c r="T27" s="14">
        <f t="shared" si="5"/>
        <v>42.409638554216869</v>
      </c>
      <c r="AD27" s="140"/>
      <c r="AE27" s="141"/>
      <c r="AG27" s="140"/>
      <c r="AH27" s="140"/>
      <c r="AI27" s="140"/>
      <c r="AJ27" s="140"/>
      <c r="AK27" s="139" t="s">
        <v>368</v>
      </c>
      <c r="AM27" s="14">
        <f t="shared" si="6"/>
        <v>0.14959016393442626</v>
      </c>
      <c r="AN27" s="14">
        <f t="shared" si="7"/>
        <v>691.41234145724593</v>
      </c>
      <c r="AO27" s="14">
        <f t="shared" si="8"/>
        <v>616.86357138898427</v>
      </c>
      <c r="AP27" s="138"/>
      <c r="AQ27" s="138"/>
      <c r="AR27" s="138"/>
    </row>
    <row r="28" spans="1:67" ht="15.75" x14ac:dyDescent="0.2">
      <c r="A28" s="35"/>
      <c r="B28" s="28"/>
      <c r="C28" s="27" t="s">
        <v>355</v>
      </c>
      <c r="D28" s="26" t="s">
        <v>368</v>
      </c>
      <c r="E28" s="25">
        <v>24.4</v>
      </c>
      <c r="F28" s="122">
        <v>6.8814900280204458</v>
      </c>
      <c r="J28" s="14" t="s">
        <v>355</v>
      </c>
      <c r="K28" s="14" t="s">
        <v>368</v>
      </c>
      <c r="L28" s="14">
        <v>36.695485110470699</v>
      </c>
      <c r="M28" s="14">
        <v>50.144092219020173</v>
      </c>
      <c r="O28" s="14">
        <f t="shared" si="0"/>
        <v>0.36695485110470699</v>
      </c>
      <c r="P28" s="14">
        <f t="shared" si="1"/>
        <v>0.50144092219020175</v>
      </c>
      <c r="Q28" s="14">
        <f t="shared" si="2"/>
        <v>1832.1597463244441</v>
      </c>
      <c r="R28" s="14">
        <f t="shared" si="3"/>
        <v>2503.6319046632457</v>
      </c>
      <c r="S28" s="14">
        <f t="shared" si="4"/>
        <v>4335.7916509876895</v>
      </c>
      <c r="T28" s="14">
        <f t="shared" si="5"/>
        <v>42.256637168141594</v>
      </c>
      <c r="U28" s="14">
        <f>AVERAGE(Q27:Q29)</f>
        <v>1766.6931532549681</v>
      </c>
      <c r="V28" s="14">
        <f>AVERAGE(R27:R29)</f>
        <v>2385.3097770581994</v>
      </c>
      <c r="W28" s="14">
        <f>AVERAGE(S27:S29)</f>
        <v>4152.0029303131678</v>
      </c>
      <c r="X28" s="14">
        <f>AVERAGE(T27:T29)</f>
        <v>42.550900353908325</v>
      </c>
      <c r="Y28" s="14">
        <v>1111.9000000000001</v>
      </c>
      <c r="Z28" s="14">
        <f>(U28/10000)/(Y28/1000)</f>
        <v>0.15888957219668748</v>
      </c>
      <c r="AA28" s="14">
        <v>941</v>
      </c>
      <c r="AB28" s="14">
        <f>AA28+264+119.9</f>
        <v>1324.9</v>
      </c>
      <c r="AC28" s="14">
        <f>(U28/10000)/(AB28/1000)</f>
        <v>0.13334539612461077</v>
      </c>
      <c r="AD28" s="140">
        <v>4.25</v>
      </c>
      <c r="AE28" s="141">
        <v>1.1499999999999999</v>
      </c>
      <c r="AF28" s="14">
        <f>AE28*25.4</f>
        <v>29.209999999999997</v>
      </c>
      <c r="AG28" s="140">
        <v>81.099999999999994</v>
      </c>
      <c r="AH28" s="140">
        <v>31.8</v>
      </c>
      <c r="AI28" s="140">
        <v>6.2</v>
      </c>
      <c r="AJ28" s="140">
        <v>9.3000000000000007</v>
      </c>
      <c r="AK28" s="139" t="s">
        <v>368</v>
      </c>
      <c r="AM28" s="14">
        <f t="shared" si="6"/>
        <v>0.13160422670509131</v>
      </c>
      <c r="AN28" s="14">
        <f t="shared" si="7"/>
        <v>657.0834692315417</v>
      </c>
      <c r="AO28" s="14">
        <f t="shared" si="8"/>
        <v>586.23607249552765</v>
      </c>
      <c r="AP28" s="138">
        <f>AVERAGE(AM27:AM29)</f>
        <v>0.13930438021317251</v>
      </c>
      <c r="AQ28" s="138">
        <f>AVERAGE(AN27:AN29)</f>
        <v>670.66826683924455</v>
      </c>
      <c r="AR28" s="138">
        <f>AVERAGE(AO27:AO29)</f>
        <v>598.35614364037031</v>
      </c>
    </row>
    <row r="29" spans="1:67" ht="16.5" thickBot="1" x14ac:dyDescent="0.25">
      <c r="A29" s="23"/>
      <c r="B29" s="22"/>
      <c r="C29" s="21" t="s">
        <v>356</v>
      </c>
      <c r="D29" s="20" t="s">
        <v>368</v>
      </c>
      <c r="E29" s="19">
        <v>23.8</v>
      </c>
      <c r="F29" s="121">
        <v>7.1696134252322601</v>
      </c>
      <c r="J29" s="14" t="s">
        <v>356</v>
      </c>
      <c r="K29" s="14" t="s">
        <v>368</v>
      </c>
      <c r="L29" s="14">
        <v>37.109375</v>
      </c>
      <c r="M29" s="14">
        <v>49.21875</v>
      </c>
      <c r="O29" s="14">
        <f t="shared" si="0"/>
        <v>0.37109375</v>
      </c>
      <c r="P29" s="14">
        <f t="shared" si="1"/>
        <v>0.4921875</v>
      </c>
      <c r="Q29" s="14">
        <f t="shared" si="2"/>
        <v>1800.952972392854</v>
      </c>
      <c r="R29" s="14">
        <f t="shared" si="3"/>
        <v>2388.6323633842062</v>
      </c>
      <c r="S29" s="14">
        <f t="shared" si="4"/>
        <v>4189.5853357770602</v>
      </c>
      <c r="T29" s="14">
        <f t="shared" si="5"/>
        <v>42.986425339366519</v>
      </c>
      <c r="AD29" s="140"/>
      <c r="AE29" s="141"/>
      <c r="AG29" s="140"/>
      <c r="AH29" s="140"/>
      <c r="AI29" s="140"/>
      <c r="AJ29" s="140"/>
      <c r="AK29" s="139" t="s">
        <v>368</v>
      </c>
      <c r="AM29" s="14">
        <f t="shared" si="6"/>
        <v>0.13671875</v>
      </c>
      <c r="AN29" s="14">
        <f t="shared" si="7"/>
        <v>663.50898982894614</v>
      </c>
      <c r="AO29" s="14">
        <f t="shared" si="8"/>
        <v>591.96878703659934</v>
      </c>
      <c r="AP29" s="138"/>
      <c r="AQ29" s="138"/>
      <c r="AR29" s="138"/>
    </row>
    <row r="30" spans="1:67" ht="15.75" x14ac:dyDescent="0.2">
      <c r="A30" s="34" t="s">
        <v>386</v>
      </c>
      <c r="B30" s="33">
        <v>2</v>
      </c>
      <c r="C30" s="32" t="s">
        <v>354</v>
      </c>
      <c r="D30" s="31" t="s">
        <v>366</v>
      </c>
      <c r="E30" s="30">
        <v>15.1</v>
      </c>
      <c r="F30" s="123">
        <v>6.6291713535808148</v>
      </c>
      <c r="H30" s="14" t="s">
        <v>386</v>
      </c>
      <c r="I30" s="14">
        <v>2</v>
      </c>
      <c r="J30" s="14" t="s">
        <v>354</v>
      </c>
      <c r="K30" s="14" t="s">
        <v>366</v>
      </c>
      <c r="L30" s="14">
        <v>34.6875</v>
      </c>
      <c r="M30" s="14">
        <v>48.750000000000007</v>
      </c>
      <c r="O30" s="14">
        <f t="shared" si="0"/>
        <v>0.34687499999999999</v>
      </c>
      <c r="P30" s="14">
        <f t="shared" si="1"/>
        <v>0.48750000000000004</v>
      </c>
      <c r="Q30" s="14">
        <f t="shared" si="2"/>
        <v>1064.2256111865938</v>
      </c>
      <c r="R30" s="14">
        <f t="shared" si="3"/>
        <v>1495.6684265325102</v>
      </c>
      <c r="S30" s="14">
        <f t="shared" si="4"/>
        <v>2559.8940377191038</v>
      </c>
      <c r="T30" s="14">
        <f t="shared" si="5"/>
        <v>41.573033707865171</v>
      </c>
      <c r="AD30" s="140"/>
      <c r="AE30" s="141"/>
      <c r="AG30" s="140"/>
      <c r="AH30" s="140"/>
      <c r="AI30" s="140"/>
      <c r="AJ30" s="140"/>
      <c r="AK30" s="139" t="s">
        <v>366</v>
      </c>
      <c r="AM30" s="14">
        <f t="shared" si="6"/>
        <v>0.16562499999999991</v>
      </c>
      <c r="AN30" s="14">
        <f t="shared" si="7"/>
        <v>508.14376029630125</v>
      </c>
      <c r="AO30" s="14">
        <f t="shared" si="8"/>
        <v>453.35519191739377</v>
      </c>
      <c r="AP30" s="138"/>
      <c r="AQ30" s="138"/>
      <c r="AR30" s="138"/>
    </row>
    <row r="31" spans="1:67" ht="15.75" x14ac:dyDescent="0.2">
      <c r="A31" s="29"/>
      <c r="B31" s="28"/>
      <c r="C31" s="27" t="s">
        <v>355</v>
      </c>
      <c r="D31" s="26" t="s">
        <v>366</v>
      </c>
      <c r="E31" s="25">
        <v>12.9</v>
      </c>
      <c r="F31" s="122">
        <v>6.1667647216130934</v>
      </c>
      <c r="J31" s="14" t="s">
        <v>355</v>
      </c>
      <c r="K31" s="14" t="s">
        <v>366</v>
      </c>
      <c r="L31" s="14">
        <v>34.766355140186924</v>
      </c>
      <c r="M31" s="14">
        <v>49.719626168224309</v>
      </c>
      <c r="O31" s="14">
        <f t="shared" si="0"/>
        <v>0.34766355140186922</v>
      </c>
      <c r="P31" s="14">
        <f t="shared" si="1"/>
        <v>0.49719626168224307</v>
      </c>
      <c r="Q31" s="14">
        <f t="shared" si="2"/>
        <v>911.72080312368485</v>
      </c>
      <c r="R31" s="14">
        <f t="shared" si="3"/>
        <v>1303.8587829618289</v>
      </c>
      <c r="S31" s="14">
        <f t="shared" si="4"/>
        <v>2215.5795860855137</v>
      </c>
      <c r="T31" s="14">
        <f t="shared" si="5"/>
        <v>41.150442477876105</v>
      </c>
      <c r="U31" s="14">
        <f>AVERAGE(Q30:Q32)</f>
        <v>930.62856921896002</v>
      </c>
      <c r="V31" s="14">
        <f>AVERAGE(R30:R32)</f>
        <v>1341.1453831714136</v>
      </c>
      <c r="W31" s="14">
        <f>AVERAGE(S30:S32)</f>
        <v>2271.7739523903733</v>
      </c>
      <c r="X31" s="14">
        <f>AVERAGE(T30:T32)</f>
        <v>40.907825395247094</v>
      </c>
      <c r="Y31" s="14">
        <v>812.6</v>
      </c>
      <c r="Z31" s="14">
        <f>(U31/10000)/(Y31/1000)</f>
        <v>0.11452480546627615</v>
      </c>
      <c r="AA31" s="14">
        <v>638.4</v>
      </c>
      <c r="AB31" s="14">
        <f>AA31+264+119.9</f>
        <v>1022.3</v>
      </c>
      <c r="AC31" s="14">
        <f>(U31/10000)/(AB31/1000)</f>
        <v>9.1032824926045197E-2</v>
      </c>
      <c r="AD31" s="140">
        <v>4.24</v>
      </c>
      <c r="AE31" s="141">
        <v>1.1100000000000001</v>
      </c>
      <c r="AF31" s="14">
        <f>AE31*25.4</f>
        <v>28.194000000000003</v>
      </c>
      <c r="AG31" s="140">
        <v>79.599999999999994</v>
      </c>
      <c r="AH31" s="140">
        <v>30.6</v>
      </c>
      <c r="AI31" s="140">
        <v>5.6</v>
      </c>
      <c r="AJ31" s="140">
        <v>10.3</v>
      </c>
      <c r="AK31" s="139" t="s">
        <v>366</v>
      </c>
      <c r="AM31" s="14">
        <f t="shared" si="6"/>
        <v>0.15514018691588771</v>
      </c>
      <c r="AN31" s="14">
        <f t="shared" si="7"/>
        <v>406.84315408207402</v>
      </c>
      <c r="AO31" s="14">
        <f t="shared" si="8"/>
        <v>362.97691836579077</v>
      </c>
      <c r="AP31" s="138">
        <f>AVERAGE(AM30:AM32)</f>
        <v>0.16466451112419347</v>
      </c>
      <c r="AQ31" s="138">
        <f>AVERAGE(AN30:AN32)</f>
        <v>447.46122902791257</v>
      </c>
      <c r="AR31" s="138">
        <f>AVERAGE(AO30:AO32)</f>
        <v>399.215511852894</v>
      </c>
    </row>
    <row r="32" spans="1:67" ht="16.5" thickBot="1" x14ac:dyDescent="0.25">
      <c r="A32" s="23"/>
      <c r="B32" s="22"/>
      <c r="C32" s="21" t="s">
        <v>356</v>
      </c>
      <c r="D32" s="20" t="s">
        <v>366</v>
      </c>
      <c r="E32" s="19">
        <v>12.3</v>
      </c>
      <c r="F32" s="121">
        <v>7.2755340869478689</v>
      </c>
      <c r="J32" s="14" t="s">
        <v>356</v>
      </c>
      <c r="K32" s="14" t="s">
        <v>366</v>
      </c>
      <c r="L32" s="14">
        <v>33.070866141732289</v>
      </c>
      <c r="M32" s="14">
        <v>49.606299212598429</v>
      </c>
      <c r="O32" s="14">
        <f t="shared" si="0"/>
        <v>0.33070866141732291</v>
      </c>
      <c r="P32" s="14">
        <f t="shared" si="1"/>
        <v>0.49606299212598431</v>
      </c>
      <c r="Q32" s="14">
        <f t="shared" si="2"/>
        <v>815.9392933466014</v>
      </c>
      <c r="R32" s="14">
        <f t="shared" si="3"/>
        <v>1223.908940019902</v>
      </c>
      <c r="S32" s="14">
        <f t="shared" si="4"/>
        <v>2039.8482333665033</v>
      </c>
      <c r="T32" s="14">
        <f t="shared" si="5"/>
        <v>40</v>
      </c>
      <c r="AD32" s="140"/>
      <c r="AE32" s="141"/>
      <c r="AG32" s="140"/>
      <c r="AH32" s="140"/>
      <c r="AI32" s="140"/>
      <c r="AJ32" s="140"/>
      <c r="AK32" s="139" t="s">
        <v>366</v>
      </c>
      <c r="AM32" s="14">
        <f t="shared" si="6"/>
        <v>0.17322834645669277</v>
      </c>
      <c r="AN32" s="14">
        <f t="shared" si="7"/>
        <v>427.3967727053622</v>
      </c>
      <c r="AO32" s="14">
        <f t="shared" si="8"/>
        <v>381.31442527549734</v>
      </c>
      <c r="AP32" s="138"/>
      <c r="AQ32" s="138"/>
      <c r="AR32" s="138"/>
    </row>
    <row r="33" spans="1:44" ht="15.75" x14ac:dyDescent="0.2">
      <c r="A33" s="34" t="s">
        <v>386</v>
      </c>
      <c r="B33" s="33">
        <v>3</v>
      </c>
      <c r="C33" s="32" t="s">
        <v>354</v>
      </c>
      <c r="D33" s="31" t="s">
        <v>373</v>
      </c>
      <c r="E33" s="30">
        <v>14.4</v>
      </c>
      <c r="F33" s="123">
        <v>5.9960026648900815</v>
      </c>
      <c r="H33" s="14" t="s">
        <v>386</v>
      </c>
      <c r="I33" s="14">
        <v>3</v>
      </c>
      <c r="J33" s="14" t="s">
        <v>354</v>
      </c>
      <c r="K33" s="14" t="s">
        <v>373</v>
      </c>
      <c r="L33" s="14">
        <v>35.666666666666664</v>
      </c>
      <c r="M33" s="14">
        <v>48.666666666666664</v>
      </c>
      <c r="O33" s="14">
        <f t="shared" si="0"/>
        <v>0.35666666666666663</v>
      </c>
      <c r="P33" s="14">
        <f t="shared" si="1"/>
        <v>0.48666666666666664</v>
      </c>
      <c r="Q33" s="14">
        <f t="shared" si="2"/>
        <v>1049.2972648196039</v>
      </c>
      <c r="R33" s="14">
        <f t="shared" si="3"/>
        <v>1431.7514080716094</v>
      </c>
      <c r="S33" s="14">
        <f t="shared" si="4"/>
        <v>2481.0486728912133</v>
      </c>
      <c r="T33" s="14">
        <f t="shared" si="5"/>
        <v>42.292490118577071</v>
      </c>
      <c r="AD33" s="140"/>
      <c r="AE33" s="141"/>
      <c r="AG33" s="140"/>
      <c r="AH33" s="140"/>
      <c r="AI33" s="140"/>
      <c r="AJ33" s="140"/>
      <c r="AK33" s="139" t="s">
        <v>373</v>
      </c>
      <c r="AM33" s="14">
        <f t="shared" si="6"/>
        <v>0.15666666666666668</v>
      </c>
      <c r="AN33" s="14">
        <f t="shared" si="7"/>
        <v>460.90627520113452</v>
      </c>
      <c r="AO33" s="14">
        <f t="shared" si="8"/>
        <v>411.21089970267303</v>
      </c>
      <c r="AP33" s="138"/>
      <c r="AQ33" s="138"/>
      <c r="AR33" s="138"/>
    </row>
    <row r="34" spans="1:44" ht="15.75" x14ac:dyDescent="0.2">
      <c r="A34" s="29"/>
      <c r="B34" s="28"/>
      <c r="C34" s="27" t="s">
        <v>355</v>
      </c>
      <c r="D34" s="26" t="s">
        <v>373</v>
      </c>
      <c r="E34" s="25">
        <v>16</v>
      </c>
      <c r="F34" s="122">
        <v>6.3339907352199241</v>
      </c>
      <c r="J34" s="14" t="s">
        <v>355</v>
      </c>
      <c r="K34" s="14" t="s">
        <v>373</v>
      </c>
      <c r="L34" s="14">
        <v>36.607142857142861</v>
      </c>
      <c r="M34" s="14">
        <v>49.404761904761912</v>
      </c>
      <c r="O34" s="14">
        <f t="shared" si="0"/>
        <v>0.3660714285714286</v>
      </c>
      <c r="P34" s="14">
        <f t="shared" si="1"/>
        <v>0.49404761904761912</v>
      </c>
      <c r="Q34" s="14">
        <f t="shared" si="2"/>
        <v>1195.5577618670268</v>
      </c>
      <c r="R34" s="14">
        <f t="shared" si="3"/>
        <v>1613.5169794302965</v>
      </c>
      <c r="S34" s="14">
        <f t="shared" si="4"/>
        <v>2809.0747412973233</v>
      </c>
      <c r="T34" s="14">
        <f t="shared" si="5"/>
        <v>42.560553633217992</v>
      </c>
      <c r="U34" s="14">
        <f>AVERAGE(Q33:Q35)</f>
        <v>1103.5703233717597</v>
      </c>
      <c r="V34" s="14">
        <f>AVERAGE(R33:R35)</f>
        <v>1490.9180086741389</v>
      </c>
      <c r="W34" s="14">
        <f>AVERAGE(S33:S35)</f>
        <v>2594.4883320458989</v>
      </c>
      <c r="X34" s="14">
        <f>AVERAGE(T33:T35)</f>
        <v>42.533711784949503</v>
      </c>
      <c r="Y34" s="14">
        <v>898.2</v>
      </c>
      <c r="Z34" s="14">
        <f>(U34/10000)/(Y34/1000)</f>
        <v>0.1228646541273391</v>
      </c>
      <c r="AA34" s="14">
        <v>729</v>
      </c>
      <c r="AB34" s="14">
        <f>AA34+264+119.9</f>
        <v>1112.9000000000001</v>
      </c>
      <c r="AC34" s="14">
        <f>(U34/10000)/(AB34/1000)</f>
        <v>9.9161678800589431E-2</v>
      </c>
      <c r="AD34" s="140">
        <v>4.53</v>
      </c>
      <c r="AE34" s="141">
        <v>1.1000000000000001</v>
      </c>
      <c r="AF34" s="14">
        <f>AE34*25.4</f>
        <v>27.94</v>
      </c>
      <c r="AG34" s="140">
        <v>79.400000000000006</v>
      </c>
      <c r="AH34" s="140">
        <v>31.4</v>
      </c>
      <c r="AI34" s="140">
        <v>6.1</v>
      </c>
      <c r="AJ34" s="140">
        <v>10.9</v>
      </c>
      <c r="AK34" s="139" t="s">
        <v>373</v>
      </c>
      <c r="AM34" s="14">
        <f t="shared" si="6"/>
        <v>0.13988095238095227</v>
      </c>
      <c r="AN34" s="14">
        <f t="shared" si="7"/>
        <v>456.83914477845701</v>
      </c>
      <c r="AO34" s="14">
        <f t="shared" si="8"/>
        <v>407.582291349299</v>
      </c>
      <c r="AP34" s="138">
        <f>AVERAGE(AM33:AM35)</f>
        <v>0.14955039297272307</v>
      </c>
      <c r="AQ34" s="138">
        <f>AVERAGE(AN33:AN35)</f>
        <v>455.00808446089513</v>
      </c>
      <c r="AR34" s="138">
        <f>AVERAGE(AO33:AO35)</f>
        <v>405.94865778623694</v>
      </c>
    </row>
    <row r="35" spans="1:44" ht="16.5" thickBot="1" x14ac:dyDescent="0.25">
      <c r="A35" s="23"/>
      <c r="B35" s="22"/>
      <c r="C35" s="21" t="s">
        <v>356</v>
      </c>
      <c r="D35" s="20" t="s">
        <v>373</v>
      </c>
      <c r="E35" s="19">
        <v>14.6</v>
      </c>
      <c r="F35" s="121">
        <v>7.3601829053816434</v>
      </c>
      <c r="J35" s="14" t="s">
        <v>356</v>
      </c>
      <c r="K35" s="14" t="s">
        <v>373</v>
      </c>
      <c r="L35" s="14">
        <v>36.24595469255663</v>
      </c>
      <c r="M35" s="14">
        <v>48.543689320388353</v>
      </c>
      <c r="O35" s="14">
        <f t="shared" ref="O35:O66" si="26">L35/100</f>
        <v>0.36245954692556631</v>
      </c>
      <c r="P35" s="14">
        <f t="shared" ref="P35:P66" si="27">M35/100</f>
        <v>0.4854368932038835</v>
      </c>
      <c r="Q35" s="14">
        <f t="shared" ref="Q35:Q66" si="28">(E35-0.38)*0.453592*(1-F35/100)*(L35/100)/(40*2.54/100*2*10/10000)</f>
        <v>1065.8559434286485</v>
      </c>
      <c r="R35" s="14">
        <f t="shared" ref="R35:R66" si="29">(E35-0.38)*0.453592*(1-F35/100)*(M35/100)/(40*2.54/100*2*10/10000)</f>
        <v>1427.4856385205114</v>
      </c>
      <c r="S35" s="14">
        <f t="shared" ref="S35:S66" si="30">SUM(Q35:R35)</f>
        <v>2493.3415819491602</v>
      </c>
      <c r="T35" s="14">
        <f t="shared" ref="T35:T66" si="31">Q35/S35*100</f>
        <v>42.748091603053432</v>
      </c>
      <c r="AD35" s="140"/>
      <c r="AE35" s="141"/>
      <c r="AG35" s="140"/>
      <c r="AH35" s="140"/>
      <c r="AI35" s="140"/>
      <c r="AJ35" s="140"/>
      <c r="AK35" s="139" t="s">
        <v>373</v>
      </c>
      <c r="AM35" s="14">
        <f t="shared" ref="AM35:AM66" si="32">1-O35-P35</f>
        <v>0.15210355987055024</v>
      </c>
      <c r="AN35" s="14">
        <f t="shared" ref="AN35:AN66" si="33">(E35-0.38)*0.453592*(1-F35/100)*(AM35)/(40*2.54/100*2*10/10000)</f>
        <v>447.27883340309381</v>
      </c>
      <c r="AO35" s="14">
        <f t="shared" ref="AO35:AO66" si="34">AN35*0.892179</f>
        <v>399.05278230673883</v>
      </c>
      <c r="AP35" s="138"/>
      <c r="AQ35" s="138"/>
      <c r="AR35" s="138"/>
    </row>
    <row r="36" spans="1:44" ht="15.75" x14ac:dyDescent="0.2">
      <c r="A36" s="34" t="s">
        <v>386</v>
      </c>
      <c r="B36" s="33">
        <v>4</v>
      </c>
      <c r="C36" s="32" t="s">
        <v>354</v>
      </c>
      <c r="D36" s="31" t="s">
        <v>363</v>
      </c>
      <c r="E36" s="30">
        <v>22.2</v>
      </c>
      <c r="F36" s="123">
        <v>7.8324305434212729</v>
      </c>
      <c r="H36" s="14" t="s">
        <v>386</v>
      </c>
      <c r="I36" s="14">
        <v>4</v>
      </c>
      <c r="J36" s="14" t="s">
        <v>354</v>
      </c>
      <c r="K36" s="14" t="s">
        <v>363</v>
      </c>
      <c r="L36" s="14">
        <v>37.763713080168777</v>
      </c>
      <c r="M36" s="14">
        <v>48.945147679324897</v>
      </c>
      <c r="O36" s="14">
        <f t="shared" si="26"/>
        <v>0.37763713080168776</v>
      </c>
      <c r="P36" s="14">
        <f t="shared" si="27"/>
        <v>0.48945147679324896</v>
      </c>
      <c r="Q36" s="14">
        <f t="shared" si="28"/>
        <v>1695.3105050459772</v>
      </c>
      <c r="R36" s="14">
        <f t="shared" si="29"/>
        <v>2197.2739506741154</v>
      </c>
      <c r="S36" s="14">
        <f t="shared" si="30"/>
        <v>3892.5844557200926</v>
      </c>
      <c r="T36" s="14">
        <f t="shared" si="31"/>
        <v>43.552311435523116</v>
      </c>
      <c r="AD36" s="140"/>
      <c r="AE36" s="141"/>
      <c r="AG36" s="140"/>
      <c r="AH36" s="140"/>
      <c r="AI36" s="140"/>
      <c r="AJ36" s="140"/>
      <c r="AK36" s="139" t="s">
        <v>363</v>
      </c>
      <c r="AM36" s="14">
        <f t="shared" si="32"/>
        <v>0.13291139240506333</v>
      </c>
      <c r="AN36" s="14">
        <f t="shared" si="33"/>
        <v>596.67352970891955</v>
      </c>
      <c r="AO36" s="14">
        <f t="shared" si="34"/>
        <v>532.33959306217412</v>
      </c>
      <c r="AP36" s="138"/>
      <c r="AQ36" s="138"/>
      <c r="AR36" s="138"/>
    </row>
    <row r="37" spans="1:44" ht="15.75" x14ac:dyDescent="0.2">
      <c r="A37" s="29"/>
      <c r="B37" s="28"/>
      <c r="C37" s="27" t="s">
        <v>355</v>
      </c>
      <c r="D37" s="26" t="s">
        <v>363</v>
      </c>
      <c r="E37" s="25">
        <v>20.7</v>
      </c>
      <c r="F37" s="122">
        <v>6.6321672531567</v>
      </c>
      <c r="J37" s="14" t="s">
        <v>355</v>
      </c>
      <c r="K37" s="14" t="s">
        <v>363</v>
      </c>
      <c r="L37" s="14">
        <v>37.614678899082563</v>
      </c>
      <c r="M37" s="14">
        <v>49.082568807339449</v>
      </c>
      <c r="O37" s="14">
        <f t="shared" si="26"/>
        <v>0.37614678899082565</v>
      </c>
      <c r="P37" s="14">
        <f t="shared" si="27"/>
        <v>0.49082568807339449</v>
      </c>
      <c r="Q37" s="14">
        <f t="shared" si="28"/>
        <v>1593.0155794894974</v>
      </c>
      <c r="R37" s="14">
        <f t="shared" si="29"/>
        <v>2078.6910610411733</v>
      </c>
      <c r="S37" s="14">
        <f t="shared" si="30"/>
        <v>3671.7066405306705</v>
      </c>
      <c r="T37" s="14">
        <f t="shared" si="31"/>
        <v>43.386243386243386</v>
      </c>
      <c r="U37" s="14">
        <f>AVERAGE(Q36:Q38)</f>
        <v>1736.8108538018193</v>
      </c>
      <c r="V37" s="14">
        <f>AVERAGE(R36:R38)</f>
        <v>2254.6078612213282</v>
      </c>
      <c r="W37" s="14">
        <f>AVERAGE(S36:S38)</f>
        <v>3991.4187150231469</v>
      </c>
      <c r="X37" s="14">
        <f>AVERAGE(T36:T38)</f>
        <v>43.508027045851996</v>
      </c>
      <c r="Y37" s="14">
        <v>932.4</v>
      </c>
      <c r="Z37" s="14">
        <f>(U37/10000)/(Y37/1000)</f>
        <v>0.18627315034339545</v>
      </c>
      <c r="AA37" s="14">
        <v>759.7</v>
      </c>
      <c r="AB37" s="14">
        <f>AA37+264+119.9</f>
        <v>1143.6000000000001</v>
      </c>
      <c r="AC37" s="14">
        <f>(U37/10000)/(AB37/1000)</f>
        <v>0.15187223275636752</v>
      </c>
      <c r="AD37" s="140">
        <v>4.84</v>
      </c>
      <c r="AE37" s="141">
        <v>1.1200000000000001</v>
      </c>
      <c r="AF37" s="14">
        <f>AE37*25.4</f>
        <v>28.448</v>
      </c>
      <c r="AG37" s="140">
        <v>80.2</v>
      </c>
      <c r="AH37" s="140">
        <v>31</v>
      </c>
      <c r="AI37" s="140">
        <v>5.7</v>
      </c>
      <c r="AJ37" s="140">
        <v>10.5</v>
      </c>
      <c r="AK37" s="139" t="s">
        <v>363</v>
      </c>
      <c r="AM37" s="14">
        <f t="shared" si="32"/>
        <v>0.13302752293577985</v>
      </c>
      <c r="AN37" s="14">
        <f t="shared" si="33"/>
        <v>563.38355859994442</v>
      </c>
      <c r="AO37" s="14">
        <f t="shared" si="34"/>
        <v>502.63897992813986</v>
      </c>
      <c r="AP37" s="138">
        <f>AVERAGE(AM36:AM38)</f>
        <v>0.13552498591455669</v>
      </c>
      <c r="AQ37" s="138">
        <f>AVERAGE(AN36:AN38)</f>
        <v>627.25122371121051</v>
      </c>
      <c r="AR37" s="138">
        <f>AVERAGE(AO36:AO38)</f>
        <v>559.62036951944413</v>
      </c>
    </row>
    <row r="38" spans="1:44" ht="16.5" thickBot="1" x14ac:dyDescent="0.25">
      <c r="A38" s="23"/>
      <c r="B38" s="22"/>
      <c r="C38" s="21" t="s">
        <v>356</v>
      </c>
      <c r="D38" s="20" t="s">
        <v>363</v>
      </c>
      <c r="E38" s="40">
        <v>24.8</v>
      </c>
      <c r="F38" s="121">
        <v>5.8607638490652594</v>
      </c>
      <c r="J38" s="14" t="s">
        <v>356</v>
      </c>
      <c r="K38" s="14" t="s">
        <v>363</v>
      </c>
      <c r="L38" s="14">
        <v>37.455830388692576</v>
      </c>
      <c r="M38" s="14">
        <v>48.480565371024731</v>
      </c>
      <c r="O38" s="14">
        <f t="shared" si="26"/>
        <v>0.37455830388692574</v>
      </c>
      <c r="P38" s="14">
        <f t="shared" si="27"/>
        <v>0.48480565371024731</v>
      </c>
      <c r="Q38" s="14">
        <f t="shared" si="28"/>
        <v>1922.1064768699835</v>
      </c>
      <c r="R38" s="14">
        <f t="shared" si="29"/>
        <v>2487.8585719486955</v>
      </c>
      <c r="S38" s="14">
        <f t="shared" si="30"/>
        <v>4409.965048818679</v>
      </c>
      <c r="T38" s="14">
        <f t="shared" si="31"/>
        <v>43.585526315789473</v>
      </c>
      <c r="AD38" s="140"/>
      <c r="AE38" s="141"/>
      <c r="AG38" s="140"/>
      <c r="AH38" s="140"/>
      <c r="AI38" s="140"/>
      <c r="AJ38" s="140"/>
      <c r="AK38" s="139" t="s">
        <v>363</v>
      </c>
      <c r="AM38" s="14">
        <f t="shared" si="32"/>
        <v>0.1406360424028269</v>
      </c>
      <c r="AN38" s="14">
        <f t="shared" si="33"/>
        <v>721.69658282476757</v>
      </c>
      <c r="AO38" s="14">
        <f t="shared" si="34"/>
        <v>643.8825355680184</v>
      </c>
      <c r="AP38" s="138"/>
      <c r="AQ38" s="138"/>
      <c r="AR38" s="138"/>
    </row>
    <row r="39" spans="1:44" ht="16.5" thickBot="1" x14ac:dyDescent="0.25">
      <c r="A39" s="34" t="s">
        <v>384</v>
      </c>
      <c r="B39" s="33">
        <v>1</v>
      </c>
      <c r="C39" s="21" t="s">
        <v>354</v>
      </c>
      <c r="D39" s="20" t="s">
        <v>374</v>
      </c>
      <c r="E39" s="19">
        <v>24.7</v>
      </c>
      <c r="F39" s="121">
        <v>6.2780976417698611</v>
      </c>
      <c r="H39" s="14" t="s">
        <v>384</v>
      </c>
      <c r="I39" s="14">
        <v>1</v>
      </c>
      <c r="J39" s="14" t="s">
        <v>354</v>
      </c>
      <c r="K39" s="14" t="s">
        <v>375</v>
      </c>
      <c r="L39" s="14">
        <v>36.380597014925364</v>
      </c>
      <c r="M39" s="14">
        <v>49.81343283582089</v>
      </c>
      <c r="O39" s="14">
        <f t="shared" si="26"/>
        <v>0.36380597014925364</v>
      </c>
      <c r="P39" s="14">
        <f t="shared" si="27"/>
        <v>0.49813432835820892</v>
      </c>
      <c r="Q39" s="14">
        <f t="shared" si="28"/>
        <v>1851.041562148635</v>
      </c>
      <c r="R39" s="14">
        <f t="shared" si="29"/>
        <v>2534.5030620189004</v>
      </c>
      <c r="S39" s="14">
        <f t="shared" si="30"/>
        <v>4385.5446241675354</v>
      </c>
      <c r="T39" s="14">
        <f t="shared" si="31"/>
        <v>42.207792207792203</v>
      </c>
      <c r="AD39" s="140"/>
      <c r="AE39" s="141"/>
      <c r="AG39" s="140"/>
      <c r="AH39" s="140"/>
      <c r="AI39" s="140"/>
      <c r="AJ39" s="140"/>
      <c r="AK39" s="139" t="s">
        <v>374</v>
      </c>
      <c r="AM39" s="14">
        <f t="shared" si="32"/>
        <v>0.13805970149253743</v>
      </c>
      <c r="AN39" s="14">
        <f t="shared" si="33"/>
        <v>702.44654153332885</v>
      </c>
      <c r="AO39" s="14">
        <f t="shared" si="34"/>
        <v>626.70805297866389</v>
      </c>
      <c r="AP39" s="138"/>
      <c r="AQ39" s="138"/>
      <c r="AR39" s="138"/>
    </row>
    <row r="40" spans="1:44" ht="16.5" thickBot="1" x14ac:dyDescent="0.25">
      <c r="A40" s="29"/>
      <c r="B40" s="28"/>
      <c r="C40" s="27" t="s">
        <v>355</v>
      </c>
      <c r="D40" s="26" t="s">
        <v>374</v>
      </c>
      <c r="E40" s="25">
        <v>24.2</v>
      </c>
      <c r="F40" s="122">
        <v>6.973820108671247</v>
      </c>
      <c r="J40" s="14" t="s">
        <v>355</v>
      </c>
      <c r="K40" s="14" t="s">
        <v>375</v>
      </c>
      <c r="L40" s="14">
        <v>36.929057337220605</v>
      </c>
      <c r="M40" s="14">
        <v>49.173955296404287</v>
      </c>
      <c r="O40" s="14">
        <f t="shared" si="26"/>
        <v>0.36929057337220605</v>
      </c>
      <c r="P40" s="14">
        <f t="shared" si="27"/>
        <v>0.49173955296404287</v>
      </c>
      <c r="Q40" s="14">
        <f t="shared" si="28"/>
        <v>1826.656340832657</v>
      </c>
      <c r="R40" s="14">
        <f t="shared" si="29"/>
        <v>2432.3371275298014</v>
      </c>
      <c r="S40" s="14">
        <f t="shared" si="30"/>
        <v>4258.9934683624579</v>
      </c>
      <c r="T40" s="14">
        <f t="shared" si="31"/>
        <v>42.889390519187359</v>
      </c>
      <c r="U40" s="14">
        <f>AVERAGE(Q39:Q41)</f>
        <v>1824.0938458935859</v>
      </c>
      <c r="V40" s="14">
        <f>AVERAGE(R39:R41)</f>
        <v>2455.338723922413</v>
      </c>
      <c r="W40" s="14">
        <f>AVERAGE(S39:S41)</f>
        <v>4279.4325698159992</v>
      </c>
      <c r="X40" s="14">
        <f>AVERAGE(T39:T41)</f>
        <v>42.629648246903173</v>
      </c>
      <c r="Y40" s="14">
        <v>888</v>
      </c>
      <c r="Z40" s="14">
        <f>(U40/10000)/(Y40/1000)</f>
        <v>0.20541597363666508</v>
      </c>
      <c r="AA40" s="14">
        <v>709.1</v>
      </c>
      <c r="AB40" s="14">
        <f>AA40+264+119.9</f>
        <v>1093</v>
      </c>
      <c r="AC40" s="14">
        <f>(U40/10000)/(AB40/1000)</f>
        <v>0.1668887324696785</v>
      </c>
      <c r="AD40" s="140">
        <v>4.3899999999999997</v>
      </c>
      <c r="AE40" s="141">
        <v>1.17</v>
      </c>
      <c r="AF40" s="14">
        <f>AE40*25.4</f>
        <v>29.717999999999996</v>
      </c>
      <c r="AG40" s="140">
        <v>80.900000000000006</v>
      </c>
      <c r="AH40" s="140">
        <v>31.3</v>
      </c>
      <c r="AI40" s="140">
        <v>6</v>
      </c>
      <c r="AJ40" s="140">
        <v>9</v>
      </c>
      <c r="AK40" s="139" t="s">
        <v>374</v>
      </c>
      <c r="AM40" s="14">
        <f t="shared" si="32"/>
        <v>0.13896987366375108</v>
      </c>
      <c r="AN40" s="14">
        <f t="shared" si="33"/>
        <v>687.39962299755166</v>
      </c>
      <c r="AO40" s="14">
        <f t="shared" si="34"/>
        <v>613.28350824633264</v>
      </c>
      <c r="AP40" s="138">
        <f>AVERAGE(AM39:AM41)</f>
        <v>0.14033535626332697</v>
      </c>
      <c r="AQ40" s="138">
        <f>AVERAGE(AN39:AN41)</f>
        <v>698.40130110104337</v>
      </c>
      <c r="AR40" s="138">
        <f>AVERAGE(AO39:AO41)</f>
        <v>623.09897441502778</v>
      </c>
    </row>
    <row r="41" spans="1:44" ht="16.5" thickBot="1" x14ac:dyDescent="0.25">
      <c r="A41" s="23"/>
      <c r="B41" s="22"/>
      <c r="C41" s="32" t="s">
        <v>356</v>
      </c>
      <c r="D41" s="31" t="s">
        <v>374</v>
      </c>
      <c r="E41" s="30">
        <v>23.9</v>
      </c>
      <c r="F41" s="123">
        <v>6.6877110556452788</v>
      </c>
      <c r="J41" s="14" t="s">
        <v>356</v>
      </c>
      <c r="K41" s="14" t="s">
        <v>375</v>
      </c>
      <c r="L41" s="14">
        <v>36.630754162585703</v>
      </c>
      <c r="M41" s="14">
        <v>48.971596474045057</v>
      </c>
      <c r="O41" s="14">
        <f t="shared" si="26"/>
        <v>0.36630754162585705</v>
      </c>
      <c r="P41" s="14">
        <f t="shared" si="27"/>
        <v>0.48971596474045059</v>
      </c>
      <c r="Q41" s="14">
        <f t="shared" si="28"/>
        <v>1794.5836346994654</v>
      </c>
      <c r="R41" s="14">
        <f t="shared" si="29"/>
        <v>2399.1759822185368</v>
      </c>
      <c r="S41" s="14">
        <f t="shared" si="30"/>
        <v>4193.7596169180024</v>
      </c>
      <c r="T41" s="14">
        <f t="shared" si="31"/>
        <v>42.791762013729972</v>
      </c>
      <c r="AD41" s="140"/>
      <c r="AE41" s="141"/>
      <c r="AG41" s="140"/>
      <c r="AH41" s="140"/>
      <c r="AI41" s="140"/>
      <c r="AJ41" s="140"/>
      <c r="AK41" s="139" t="s">
        <v>374</v>
      </c>
      <c r="AM41" s="14">
        <f t="shared" si="32"/>
        <v>0.14397649363369242</v>
      </c>
      <c r="AN41" s="14">
        <f t="shared" si="33"/>
        <v>705.35773877224949</v>
      </c>
      <c r="AO41" s="14">
        <f t="shared" si="34"/>
        <v>629.30536202008682</v>
      </c>
      <c r="AP41" s="138"/>
      <c r="AQ41" s="138"/>
      <c r="AR41" s="138"/>
    </row>
    <row r="42" spans="1:44" ht="16.5" thickBot="1" x14ac:dyDescent="0.25">
      <c r="A42" s="34" t="s">
        <v>384</v>
      </c>
      <c r="B42" s="33">
        <v>2</v>
      </c>
      <c r="C42" s="21" t="s">
        <v>354</v>
      </c>
      <c r="D42" s="20" t="s">
        <v>370</v>
      </c>
      <c r="E42" s="19">
        <v>20.6</v>
      </c>
      <c r="F42" s="121">
        <v>5.7485322896281774</v>
      </c>
      <c r="H42" s="14" t="s">
        <v>384</v>
      </c>
      <c r="I42" s="14">
        <v>2</v>
      </c>
      <c r="J42" s="14" t="s">
        <v>354</v>
      </c>
      <c r="K42" s="14" t="s">
        <v>360</v>
      </c>
      <c r="L42" s="14">
        <v>36.568848758465009</v>
      </c>
      <c r="M42" s="14">
        <v>48.758465011286688</v>
      </c>
      <c r="O42" s="14">
        <f t="shared" si="26"/>
        <v>0.36568848758465011</v>
      </c>
      <c r="P42" s="14">
        <f t="shared" si="27"/>
        <v>0.48758465011286689</v>
      </c>
      <c r="Q42" s="14">
        <f t="shared" si="28"/>
        <v>1555.6870772996217</v>
      </c>
      <c r="R42" s="14">
        <f t="shared" si="29"/>
        <v>2074.2494363994961</v>
      </c>
      <c r="S42" s="14">
        <f t="shared" si="30"/>
        <v>3629.9365136991178</v>
      </c>
      <c r="T42" s="14">
        <f t="shared" si="31"/>
        <v>42.857142857142847</v>
      </c>
      <c r="AD42" s="140"/>
      <c r="AE42" s="141"/>
      <c r="AG42" s="140"/>
      <c r="AH42" s="140"/>
      <c r="AI42" s="140"/>
      <c r="AJ42" s="140"/>
      <c r="AK42" s="139" t="s">
        <v>370</v>
      </c>
      <c r="AM42" s="14">
        <f t="shared" si="32"/>
        <v>0.146726862302483</v>
      </c>
      <c r="AN42" s="14">
        <f t="shared" si="33"/>
        <v>624.19543224984795</v>
      </c>
      <c r="AO42" s="14">
        <f t="shared" si="34"/>
        <v>556.89405654923712</v>
      </c>
      <c r="AP42" s="138"/>
      <c r="AQ42" s="138"/>
      <c r="AR42" s="138"/>
    </row>
    <row r="43" spans="1:44" ht="16.5" thickBot="1" x14ac:dyDescent="0.25">
      <c r="A43" s="29"/>
      <c r="B43" s="28"/>
      <c r="C43" s="27" t="s">
        <v>355</v>
      </c>
      <c r="D43" s="26" t="s">
        <v>370</v>
      </c>
      <c r="E43" s="25">
        <v>20.399999999999999</v>
      </c>
      <c r="F43" s="122">
        <v>6.3747228381374699</v>
      </c>
      <c r="J43" s="14" t="s">
        <v>355</v>
      </c>
      <c r="K43" s="14" t="s">
        <v>360</v>
      </c>
      <c r="L43" s="14">
        <v>35.944700460829495</v>
      </c>
      <c r="M43" s="14">
        <v>47.926267281105993</v>
      </c>
      <c r="O43" s="14">
        <f t="shared" si="26"/>
        <v>0.35944700460829493</v>
      </c>
      <c r="P43" s="14">
        <f t="shared" si="27"/>
        <v>0.47926267281105994</v>
      </c>
      <c r="Q43" s="14">
        <f t="shared" si="28"/>
        <v>1503.9511878240828</v>
      </c>
      <c r="R43" s="14">
        <f t="shared" si="29"/>
        <v>2005.2682504321106</v>
      </c>
      <c r="S43" s="14">
        <f t="shared" si="30"/>
        <v>3509.2194382561934</v>
      </c>
      <c r="T43" s="14">
        <f t="shared" si="31"/>
        <v>42.857142857142854</v>
      </c>
      <c r="U43" s="14">
        <f>AVERAGE(Q42:Q44)</f>
        <v>1481.1535406465825</v>
      </c>
      <c r="V43" s="14">
        <f>AVERAGE(R42:R44)</f>
        <v>1984.6857304849191</v>
      </c>
      <c r="W43" s="14">
        <f>AVERAGE(S42:S44)</f>
        <v>3465.8392711315014</v>
      </c>
      <c r="X43" s="14">
        <f>AVERAGE(T42:T44)</f>
        <v>42.728055077452666</v>
      </c>
      <c r="Y43" s="14">
        <v>793.7</v>
      </c>
      <c r="Z43" s="14">
        <f>(U43/10000)/(Y43/1000)</f>
        <v>0.18661377606735322</v>
      </c>
      <c r="AA43" s="14">
        <v>618.4</v>
      </c>
      <c r="AB43" s="14">
        <f>AA43+264+119.9</f>
        <v>1002.3</v>
      </c>
      <c r="AC43" s="14">
        <f>(U43/10000)/(AB43/1000)</f>
        <v>0.14777547048254841</v>
      </c>
      <c r="AD43" s="140">
        <v>4.96</v>
      </c>
      <c r="AE43" s="141">
        <v>1.0900000000000001</v>
      </c>
      <c r="AF43" s="14">
        <f>AE43*25.4</f>
        <v>27.686</v>
      </c>
      <c r="AG43" s="140">
        <v>79.400000000000006</v>
      </c>
      <c r="AH43" s="140">
        <v>30.4</v>
      </c>
      <c r="AI43" s="140">
        <v>6</v>
      </c>
      <c r="AJ43" s="140">
        <v>10.6</v>
      </c>
      <c r="AK43" s="139" t="s">
        <v>370</v>
      </c>
      <c r="AM43" s="14">
        <f t="shared" si="32"/>
        <v>0.16129032258064513</v>
      </c>
      <c r="AN43" s="14">
        <f t="shared" si="33"/>
        <v>674.84989197234461</v>
      </c>
      <c r="AO43" s="14">
        <f t="shared" si="34"/>
        <v>602.08690176999448</v>
      </c>
      <c r="AP43" s="138">
        <f>AVERAGE(AM42:AM44)</f>
        <v>0.15933906162770936</v>
      </c>
      <c r="AQ43" s="138">
        <f>AVERAGE(AN42:AN44)</f>
        <v>655.47354841328615</v>
      </c>
      <c r="AR43" s="138">
        <f>AVERAGE(AO42:AO44)</f>
        <v>584.79973494981732</v>
      </c>
    </row>
    <row r="44" spans="1:44" ht="16.5" thickBot="1" x14ac:dyDescent="0.25">
      <c r="A44" s="23"/>
      <c r="B44" s="22"/>
      <c r="C44" s="32" t="s">
        <v>356</v>
      </c>
      <c r="D44" s="31" t="s">
        <v>370</v>
      </c>
      <c r="E44" s="30">
        <v>19.100000000000001</v>
      </c>
      <c r="F44" s="123">
        <v>6.054994907878906</v>
      </c>
      <c r="J44" s="14" t="s">
        <v>356</v>
      </c>
      <c r="K44" s="14" t="s">
        <v>360</v>
      </c>
      <c r="L44" s="14">
        <v>35.25</v>
      </c>
      <c r="M44" s="14">
        <v>47.75</v>
      </c>
      <c r="O44" s="14">
        <f t="shared" si="26"/>
        <v>0.35249999999999998</v>
      </c>
      <c r="P44" s="14">
        <f t="shared" si="27"/>
        <v>0.47749999999999998</v>
      </c>
      <c r="Q44" s="14">
        <f t="shared" si="28"/>
        <v>1383.8223568160431</v>
      </c>
      <c r="R44" s="14">
        <f t="shared" si="29"/>
        <v>1874.5395046231504</v>
      </c>
      <c r="S44" s="14">
        <f t="shared" si="30"/>
        <v>3258.3618614391935</v>
      </c>
      <c r="T44" s="14">
        <f t="shared" si="31"/>
        <v>42.46987951807229</v>
      </c>
      <c r="AD44" s="140"/>
      <c r="AE44" s="141"/>
      <c r="AG44" s="140"/>
      <c r="AH44" s="140"/>
      <c r="AI44" s="140"/>
      <c r="AJ44" s="140"/>
      <c r="AK44" s="139" t="s">
        <v>370</v>
      </c>
      <c r="AM44" s="14">
        <f t="shared" si="32"/>
        <v>0.16999999999999998</v>
      </c>
      <c r="AN44" s="14">
        <f t="shared" si="33"/>
        <v>667.37532101766612</v>
      </c>
      <c r="AO44" s="14">
        <f t="shared" si="34"/>
        <v>595.41824653022036</v>
      </c>
      <c r="AP44" s="138"/>
      <c r="AQ44" s="138"/>
      <c r="AR44" s="138"/>
    </row>
    <row r="45" spans="1:44" ht="16.5" thickBot="1" x14ac:dyDescent="0.25">
      <c r="A45" s="34" t="s">
        <v>384</v>
      </c>
      <c r="B45" s="33">
        <v>3</v>
      </c>
      <c r="C45" s="21" t="s">
        <v>354</v>
      </c>
      <c r="D45" s="20" t="s">
        <v>360</v>
      </c>
      <c r="E45" s="19">
        <v>24.5</v>
      </c>
      <c r="F45" s="121">
        <v>6.349676591122309</v>
      </c>
      <c r="H45" s="14" t="s">
        <v>384</v>
      </c>
      <c r="I45" s="14">
        <v>3</v>
      </c>
      <c r="J45" s="14" t="s">
        <v>354</v>
      </c>
      <c r="K45" s="14" t="s">
        <v>370</v>
      </c>
      <c r="L45" s="14">
        <v>36.520076481835567</v>
      </c>
      <c r="M45" s="14">
        <v>47.992351816443602</v>
      </c>
      <c r="O45" s="14">
        <f t="shared" si="26"/>
        <v>0.36520076481835567</v>
      </c>
      <c r="P45" s="14">
        <f t="shared" si="27"/>
        <v>0.47992351816443601</v>
      </c>
      <c r="Q45" s="14">
        <f t="shared" si="28"/>
        <v>1841.4500630410234</v>
      </c>
      <c r="R45" s="14">
        <f t="shared" si="29"/>
        <v>2419.9160514308742</v>
      </c>
      <c r="S45" s="14">
        <f t="shared" si="30"/>
        <v>4261.3661144718972</v>
      </c>
      <c r="T45" s="14">
        <f t="shared" si="31"/>
        <v>43.212669683257921</v>
      </c>
      <c r="AD45" s="140"/>
      <c r="AE45" s="141"/>
      <c r="AG45" s="140"/>
      <c r="AH45" s="140"/>
      <c r="AI45" s="140"/>
      <c r="AJ45" s="140"/>
      <c r="AK45" s="139" t="s">
        <v>360</v>
      </c>
      <c r="AM45" s="14">
        <f t="shared" si="32"/>
        <v>0.15487571701720826</v>
      </c>
      <c r="AN45" s="14">
        <f t="shared" si="33"/>
        <v>780.92908432629702</v>
      </c>
      <c r="AO45" s="14">
        <f t="shared" si="34"/>
        <v>696.72852952515143</v>
      </c>
      <c r="AP45" s="138"/>
      <c r="AQ45" s="138"/>
      <c r="AR45" s="138"/>
    </row>
    <row r="46" spans="1:44" ht="16.5" thickBot="1" x14ac:dyDescent="0.25">
      <c r="A46" s="29"/>
      <c r="B46" s="28"/>
      <c r="C46" s="27" t="s">
        <v>355</v>
      </c>
      <c r="D46" s="26" t="s">
        <v>360</v>
      </c>
      <c r="E46" s="25">
        <v>22.9</v>
      </c>
      <c r="F46" s="122">
        <v>6.4526009495124885</v>
      </c>
      <c r="J46" s="14" t="s">
        <v>355</v>
      </c>
      <c r="K46" s="14" t="s">
        <v>370</v>
      </c>
      <c r="L46" s="14">
        <v>36.494845360824748</v>
      </c>
      <c r="M46" s="14">
        <v>49.072164948453619</v>
      </c>
      <c r="O46" s="14">
        <f t="shared" si="26"/>
        <v>0.36494845360824746</v>
      </c>
      <c r="P46" s="14">
        <f t="shared" si="27"/>
        <v>0.49072164948453617</v>
      </c>
      <c r="Q46" s="14">
        <f t="shared" si="28"/>
        <v>1716.2214028014309</v>
      </c>
      <c r="R46" s="14">
        <f t="shared" si="29"/>
        <v>2307.6875359702863</v>
      </c>
      <c r="S46" s="14">
        <f t="shared" si="30"/>
        <v>4023.9089387717172</v>
      </c>
      <c r="T46" s="14">
        <f t="shared" si="31"/>
        <v>42.650602409638552</v>
      </c>
      <c r="U46" s="14">
        <f>AVERAGE(Q45:Q47)</f>
        <v>1716.2479891905093</v>
      </c>
      <c r="V46" s="14">
        <f>AVERAGE(R45:R47)</f>
        <v>2296.5301132502223</v>
      </c>
      <c r="W46" s="14">
        <f>AVERAGE(S45:S47)</f>
        <v>4012.7781024407318</v>
      </c>
      <c r="X46" s="14">
        <f>AVERAGE(T45:T47)</f>
        <v>42.752429018496663</v>
      </c>
      <c r="Y46" s="14">
        <v>1091.2</v>
      </c>
      <c r="Z46" s="14">
        <f>(U46/10000)/(Y46/1000)</f>
        <v>0.1572807907982505</v>
      </c>
      <c r="AA46" s="14">
        <v>961</v>
      </c>
      <c r="AB46" s="14">
        <f>AA46+264+119.9</f>
        <v>1344.9</v>
      </c>
      <c r="AC46" s="14">
        <f>(U46/10000)/(AB46/1000)</f>
        <v>0.12761156882969063</v>
      </c>
      <c r="AD46" s="140">
        <v>4.3099999999999996</v>
      </c>
      <c r="AE46" s="141">
        <v>1.1100000000000001</v>
      </c>
      <c r="AF46" s="14">
        <f>AE46*25.4</f>
        <v>28.194000000000003</v>
      </c>
      <c r="AG46" s="140">
        <v>80.5</v>
      </c>
      <c r="AH46" s="140">
        <v>30.1</v>
      </c>
      <c r="AI46" s="140">
        <v>6.2</v>
      </c>
      <c r="AJ46" s="140">
        <v>9.8000000000000007</v>
      </c>
      <c r="AK46" s="139" t="s">
        <v>360</v>
      </c>
      <c r="AM46" s="14">
        <f t="shared" si="32"/>
        <v>0.14432989690721637</v>
      </c>
      <c r="AN46" s="14">
        <f t="shared" si="33"/>
        <v>678.73162822655399</v>
      </c>
      <c r="AO46" s="14">
        <f t="shared" si="34"/>
        <v>605.55010533953873</v>
      </c>
      <c r="AP46" s="138">
        <f>AVERAGE(AM45:AM47)</f>
        <v>0.15284491812854684</v>
      </c>
      <c r="AQ46" s="138">
        <f>AVERAGE(AN45:AN47)</f>
        <v>723.6545711086161</v>
      </c>
      <c r="AR46" s="138">
        <f>AVERAGE(AO45:AO47)</f>
        <v>645.62941159711409</v>
      </c>
    </row>
    <row r="47" spans="1:44" ht="16.5" thickBot="1" x14ac:dyDescent="0.25">
      <c r="A47" s="23"/>
      <c r="B47" s="22"/>
      <c r="C47" s="32" t="s">
        <v>356</v>
      </c>
      <c r="D47" s="31" t="s">
        <v>360</v>
      </c>
      <c r="E47" s="30">
        <v>21.9</v>
      </c>
      <c r="F47" s="123">
        <v>7.0658185840708141</v>
      </c>
      <c r="J47" s="14" t="s">
        <v>356</v>
      </c>
      <c r="K47" s="14" t="s">
        <v>370</v>
      </c>
      <c r="L47" s="14">
        <v>35.639412997903563</v>
      </c>
      <c r="M47" s="14">
        <v>48.427672955974849</v>
      </c>
      <c r="O47" s="14">
        <f t="shared" si="26"/>
        <v>0.35639412997903563</v>
      </c>
      <c r="P47" s="14">
        <f t="shared" si="27"/>
        <v>0.48427672955974849</v>
      </c>
      <c r="Q47" s="14">
        <f t="shared" si="28"/>
        <v>1591.0725017290736</v>
      </c>
      <c r="R47" s="14">
        <f t="shared" si="29"/>
        <v>2161.9867523495059</v>
      </c>
      <c r="S47" s="14">
        <f t="shared" si="30"/>
        <v>3753.0592540785792</v>
      </c>
      <c r="T47" s="14">
        <f t="shared" si="31"/>
        <v>42.394014962593516</v>
      </c>
      <c r="AD47" s="140"/>
      <c r="AE47" s="141"/>
      <c r="AG47" s="140"/>
      <c r="AH47" s="140"/>
      <c r="AI47" s="140"/>
      <c r="AJ47" s="140"/>
      <c r="AK47" s="139" t="s">
        <v>360</v>
      </c>
      <c r="AM47" s="14">
        <f t="shared" si="32"/>
        <v>0.15932914046121588</v>
      </c>
      <c r="AN47" s="14">
        <f t="shared" si="33"/>
        <v>711.30300077299739</v>
      </c>
      <c r="AO47" s="14">
        <f t="shared" si="34"/>
        <v>634.60959992665209</v>
      </c>
      <c r="AP47" s="138"/>
      <c r="AQ47" s="138"/>
      <c r="AR47" s="138"/>
    </row>
    <row r="48" spans="1:44" ht="16.5" thickBot="1" x14ac:dyDescent="0.25">
      <c r="A48" s="34" t="s">
        <v>384</v>
      </c>
      <c r="B48" s="33">
        <v>4</v>
      </c>
      <c r="C48" s="21" t="s">
        <v>354</v>
      </c>
      <c r="D48" s="20" t="s">
        <v>375</v>
      </c>
      <c r="E48" s="19">
        <v>22.3</v>
      </c>
      <c r="F48" s="121">
        <v>7.8146374829001486</v>
      </c>
      <c r="H48" s="14" t="s">
        <v>384</v>
      </c>
      <c r="I48" s="14">
        <v>4</v>
      </c>
      <c r="J48" s="14" t="s">
        <v>354</v>
      </c>
      <c r="K48" s="14" t="s">
        <v>374</v>
      </c>
      <c r="L48" s="14">
        <v>37.03</v>
      </c>
      <c r="M48" s="14">
        <v>49.001051524710832</v>
      </c>
      <c r="O48" s="14">
        <f t="shared" si="26"/>
        <v>0.37030000000000002</v>
      </c>
      <c r="P48" s="14">
        <f t="shared" si="27"/>
        <v>0.49001051524710831</v>
      </c>
      <c r="Q48" s="14">
        <f t="shared" si="28"/>
        <v>1670.3131969268613</v>
      </c>
      <c r="R48" s="14">
        <f t="shared" si="29"/>
        <v>2210.291737105525</v>
      </c>
      <c r="S48" s="14">
        <f t="shared" si="30"/>
        <v>3880.6049340323862</v>
      </c>
      <c r="T48" s="14">
        <f t="shared" si="31"/>
        <v>43.042598391772323</v>
      </c>
      <c r="AD48" s="140"/>
      <c r="AE48" s="141"/>
      <c r="AG48" s="140"/>
      <c r="AH48" s="140"/>
      <c r="AI48" s="140"/>
      <c r="AJ48" s="140"/>
      <c r="AK48" s="139" t="s">
        <v>375</v>
      </c>
      <c r="AM48" s="14">
        <f t="shared" si="32"/>
        <v>0.13968948475289161</v>
      </c>
      <c r="AN48" s="14">
        <f t="shared" si="33"/>
        <v>630.09773117652833</v>
      </c>
      <c r="AO48" s="14">
        <f t="shared" si="34"/>
        <v>562.15996370334392</v>
      </c>
      <c r="AP48" s="138"/>
      <c r="AQ48" s="138"/>
      <c r="AR48" s="138"/>
    </row>
    <row r="49" spans="1:44" ht="16.5" thickBot="1" x14ac:dyDescent="0.25">
      <c r="A49" s="35"/>
      <c r="B49" s="28"/>
      <c r="C49" s="27" t="s">
        <v>355</v>
      </c>
      <c r="D49" s="26" t="s">
        <v>375</v>
      </c>
      <c r="E49" s="25">
        <v>21.4</v>
      </c>
      <c r="F49" s="122">
        <v>6.106974520117511</v>
      </c>
      <c r="J49" s="14" t="s">
        <v>355</v>
      </c>
      <c r="K49" s="14" t="s">
        <v>374</v>
      </c>
      <c r="L49" s="14">
        <v>37.061403508771932</v>
      </c>
      <c r="M49" s="14">
        <v>50.000000000000014</v>
      </c>
      <c r="O49" s="14">
        <f t="shared" si="26"/>
        <v>0.37061403508771934</v>
      </c>
      <c r="P49" s="14">
        <f t="shared" si="27"/>
        <v>0.50000000000000011</v>
      </c>
      <c r="Q49" s="14">
        <f t="shared" si="28"/>
        <v>1632.7872097517527</v>
      </c>
      <c r="R49" s="14">
        <f t="shared" si="29"/>
        <v>2202.8135137479271</v>
      </c>
      <c r="S49" s="14">
        <f t="shared" si="30"/>
        <v>3835.6007234996796</v>
      </c>
      <c r="T49" s="14">
        <f t="shared" si="31"/>
        <v>42.569269521410583</v>
      </c>
      <c r="U49" s="14">
        <f>AVERAGE(Q48:Q50)</f>
        <v>1586.5406119860461</v>
      </c>
      <c r="V49" s="14">
        <f>AVERAGE(R48:R50)</f>
        <v>2114.004002849319</v>
      </c>
      <c r="W49" s="14">
        <f>AVERAGE(S48:S50)</f>
        <v>3700.5446148353644</v>
      </c>
      <c r="X49" s="14">
        <f>AVERAGE(T48:T50)</f>
        <v>42.878374575712137</v>
      </c>
      <c r="Y49" s="14">
        <v>969.9</v>
      </c>
      <c r="Z49" s="14">
        <f>(U49/10000)/(Y49/1000)</f>
        <v>0.16357775151933665</v>
      </c>
      <c r="AA49" s="14">
        <v>779.7</v>
      </c>
      <c r="AB49" s="14">
        <f>AA49+264+119.9</f>
        <v>1163.6000000000001</v>
      </c>
      <c r="AC49" s="14">
        <f>(U49/10000)/(AB49/1000)</f>
        <v>0.13634759470488536</v>
      </c>
      <c r="AD49" s="140">
        <v>4.84</v>
      </c>
      <c r="AE49" s="141">
        <v>1.0900000000000001</v>
      </c>
      <c r="AF49" s="14">
        <f>AE49*25.4</f>
        <v>27.686</v>
      </c>
      <c r="AG49" s="140">
        <v>79.099999999999994</v>
      </c>
      <c r="AH49" s="140">
        <v>30.5</v>
      </c>
      <c r="AI49" s="140">
        <v>6</v>
      </c>
      <c r="AJ49" s="140">
        <v>11</v>
      </c>
      <c r="AK49" s="139" t="s">
        <v>375</v>
      </c>
      <c r="AM49" s="14">
        <f t="shared" si="32"/>
        <v>0.12938596491228049</v>
      </c>
      <c r="AN49" s="14">
        <f t="shared" si="33"/>
        <v>570.02630399617306</v>
      </c>
      <c r="AO49" s="14">
        <f t="shared" si="34"/>
        <v>508.56549787300173</v>
      </c>
      <c r="AP49" s="138">
        <f>AVERAGE(AM48:AM50)</f>
        <v>0.13635848322172403</v>
      </c>
      <c r="AQ49" s="138">
        <f>AVERAGE(AN48:AN50)</f>
        <v>583.74675055228181</v>
      </c>
      <c r="AR49" s="138">
        <f>AVERAGE(AO48:AO50)</f>
        <v>520.80659216098422</v>
      </c>
    </row>
    <row r="50" spans="1:44" ht="16.5" thickBot="1" x14ac:dyDescent="0.25">
      <c r="A50" s="23"/>
      <c r="B50" s="22"/>
      <c r="C50" s="32" t="s">
        <v>356</v>
      </c>
      <c r="D50" s="31" t="s">
        <v>375</v>
      </c>
      <c r="E50" s="30">
        <v>19.2</v>
      </c>
      <c r="F50" s="123">
        <v>6.2969229142434298</v>
      </c>
      <c r="J50" s="14" t="s">
        <v>356</v>
      </c>
      <c r="K50" s="14" t="s">
        <v>374</v>
      </c>
      <c r="L50" s="14">
        <v>37</v>
      </c>
      <c r="M50" s="14">
        <v>49</v>
      </c>
      <c r="O50" s="14">
        <f t="shared" si="26"/>
        <v>0.37</v>
      </c>
      <c r="P50" s="14">
        <f t="shared" si="27"/>
        <v>0.49</v>
      </c>
      <c r="Q50" s="14">
        <f t="shared" si="28"/>
        <v>1456.5214292795235</v>
      </c>
      <c r="R50" s="14">
        <f t="shared" si="29"/>
        <v>1928.9067576945042</v>
      </c>
      <c r="S50" s="14">
        <f t="shared" si="30"/>
        <v>3385.428186974028</v>
      </c>
      <c r="T50" s="14">
        <f t="shared" si="31"/>
        <v>43.02325581395349</v>
      </c>
      <c r="AD50" s="140"/>
      <c r="AE50" s="141"/>
      <c r="AG50" s="140"/>
      <c r="AH50" s="140"/>
      <c r="AI50" s="140"/>
      <c r="AJ50" s="140"/>
      <c r="AK50" s="139" t="s">
        <v>375</v>
      </c>
      <c r="AM50" s="14">
        <f t="shared" si="32"/>
        <v>0.14000000000000001</v>
      </c>
      <c r="AN50" s="14">
        <f t="shared" si="33"/>
        <v>551.11621648414405</v>
      </c>
      <c r="AO50" s="14">
        <f t="shared" si="34"/>
        <v>491.69431490660719</v>
      </c>
      <c r="AP50" s="138"/>
      <c r="AQ50" s="138"/>
      <c r="AR50" s="138"/>
    </row>
    <row r="51" spans="1:44" ht="15.75" x14ac:dyDescent="0.2">
      <c r="A51" s="34" t="s">
        <v>383</v>
      </c>
      <c r="B51" s="33">
        <v>1</v>
      </c>
      <c r="C51" s="32" t="s">
        <v>354</v>
      </c>
      <c r="D51" s="31" t="s">
        <v>360</v>
      </c>
      <c r="E51" s="30">
        <v>23.4</v>
      </c>
      <c r="F51" s="123">
        <v>6.3324231685354126</v>
      </c>
      <c r="H51" s="14" t="s">
        <v>383</v>
      </c>
      <c r="I51" s="14">
        <v>1</v>
      </c>
      <c r="J51" s="14" t="s">
        <v>354</v>
      </c>
      <c r="K51" s="14" t="s">
        <v>360</v>
      </c>
      <c r="L51" s="14">
        <v>36.091724825523428</v>
      </c>
      <c r="M51" s="14">
        <v>48.65403788634098</v>
      </c>
      <c r="O51" s="14">
        <f t="shared" si="26"/>
        <v>0.3609172482552343</v>
      </c>
      <c r="P51" s="14">
        <f t="shared" si="27"/>
        <v>0.48654037886340978</v>
      </c>
      <c r="Q51" s="14">
        <f t="shared" si="28"/>
        <v>1737.1764160138666</v>
      </c>
      <c r="R51" s="14">
        <f t="shared" si="29"/>
        <v>2341.8289807037763</v>
      </c>
      <c r="S51" s="14">
        <f t="shared" si="30"/>
        <v>4079.0053967176427</v>
      </c>
      <c r="T51" s="14">
        <f t="shared" si="31"/>
        <v>42.588235294117645</v>
      </c>
      <c r="AD51" s="140"/>
      <c r="AE51" s="141"/>
      <c r="AG51" s="140"/>
      <c r="AH51" s="140"/>
      <c r="AI51" s="140"/>
      <c r="AJ51" s="140"/>
      <c r="AK51" s="139" t="s">
        <v>360</v>
      </c>
      <c r="AM51" s="14">
        <f t="shared" si="32"/>
        <v>0.15254237288135591</v>
      </c>
      <c r="AN51" s="14">
        <f t="shared" si="33"/>
        <v>734.2209714091756</v>
      </c>
      <c r="AO51" s="14">
        <f t="shared" si="34"/>
        <v>655.05653205086696</v>
      </c>
      <c r="AP51" s="138"/>
      <c r="AQ51" s="138"/>
      <c r="AR51" s="138"/>
    </row>
    <row r="52" spans="1:44" ht="15.75" x14ac:dyDescent="0.2">
      <c r="A52" s="35"/>
      <c r="B52" s="28"/>
      <c r="C52" s="27" t="s">
        <v>355</v>
      </c>
      <c r="D52" s="26" t="s">
        <v>360</v>
      </c>
      <c r="E52" s="25">
        <v>22.8</v>
      </c>
      <c r="F52" s="122">
        <v>6.3650546021840917</v>
      </c>
      <c r="J52" s="14" t="s">
        <v>355</v>
      </c>
      <c r="K52" s="14" t="s">
        <v>360</v>
      </c>
      <c r="L52" s="14">
        <v>34.737923946557039</v>
      </c>
      <c r="M52" s="14">
        <v>49.537512846865368</v>
      </c>
      <c r="O52" s="14">
        <f t="shared" si="26"/>
        <v>0.34737923946557037</v>
      </c>
      <c r="P52" s="14">
        <f t="shared" si="27"/>
        <v>0.49537512846865367</v>
      </c>
      <c r="Q52" s="14">
        <f t="shared" si="28"/>
        <v>1627.8677243856002</v>
      </c>
      <c r="R52" s="14">
        <f t="shared" si="29"/>
        <v>2321.3971690942585</v>
      </c>
      <c r="S52" s="14">
        <f t="shared" si="30"/>
        <v>3949.264893479859</v>
      </c>
      <c r="T52" s="14">
        <f t="shared" si="31"/>
        <v>41.219512195121951</v>
      </c>
      <c r="U52" s="14">
        <f>AVERAGE(Q51:Q53)</f>
        <v>1678.8388036250669</v>
      </c>
      <c r="V52" s="14">
        <f>AVERAGE(R51:R53)</f>
        <v>2316.4976062032233</v>
      </c>
      <c r="W52" s="14">
        <f>AVERAGE(S51:S53)</f>
        <v>3995.3364098282909</v>
      </c>
      <c r="X52" s="14">
        <f>AVERAGE(T51:T53)</f>
        <v>42.013585732659152</v>
      </c>
      <c r="Y52" s="14">
        <v>1095.5</v>
      </c>
      <c r="Z52" s="14">
        <f>(U52/10000)/(Y52/1000)</f>
        <v>0.15324863565724028</v>
      </c>
      <c r="AA52" s="14">
        <v>961</v>
      </c>
      <c r="AB52" s="14">
        <f>AA52+264+119.9</f>
        <v>1344.9</v>
      </c>
      <c r="AC52" s="14">
        <f>(U52/10000)/(AB52/1000)</f>
        <v>0.12483000993568794</v>
      </c>
      <c r="AD52" s="140">
        <v>4.08</v>
      </c>
      <c r="AE52" s="141">
        <v>1.18</v>
      </c>
      <c r="AF52" s="14">
        <f>AE52*25.4</f>
        <v>29.971999999999998</v>
      </c>
      <c r="AG52" s="140">
        <v>81.099999999999994</v>
      </c>
      <c r="AH52" s="140">
        <v>34</v>
      </c>
      <c r="AI52" s="140">
        <v>6.1</v>
      </c>
      <c r="AJ52" s="140">
        <v>8.6999999999999993</v>
      </c>
      <c r="AK52" s="139" t="s">
        <v>360</v>
      </c>
      <c r="AM52" s="14">
        <f t="shared" si="32"/>
        <v>0.15724563206577596</v>
      </c>
      <c r="AN52" s="14">
        <f t="shared" si="33"/>
        <v>736.87503500294929</v>
      </c>
      <c r="AO52" s="14">
        <f t="shared" si="34"/>
        <v>657.42443185389629</v>
      </c>
      <c r="AP52" s="138">
        <f>AVERAGE(AM51:AM53)</f>
        <v>0.15717925020787746</v>
      </c>
      <c r="AQ52" s="138">
        <f>AVERAGE(AN51:AN53)</f>
        <v>744.92864103166778</v>
      </c>
      <c r="AR52" s="138">
        <f>AVERAGE(AO51:AO53)</f>
        <v>664.60969002699233</v>
      </c>
    </row>
    <row r="53" spans="1:44" ht="16.5" thickBot="1" x14ac:dyDescent="0.25">
      <c r="A53" s="23"/>
      <c r="B53" s="22"/>
      <c r="C53" s="21" t="s">
        <v>356</v>
      </c>
      <c r="D53" s="20" t="s">
        <v>360</v>
      </c>
      <c r="E53" s="19">
        <v>23.1</v>
      </c>
      <c r="F53" s="121">
        <v>6.9056250730908513</v>
      </c>
      <c r="J53" s="14" t="s">
        <v>356</v>
      </c>
      <c r="K53" s="14" t="s">
        <v>360</v>
      </c>
      <c r="L53" s="14">
        <v>35.401831129196339</v>
      </c>
      <c r="M53" s="14">
        <v>48.423194303153615</v>
      </c>
      <c r="O53" s="14">
        <f t="shared" si="26"/>
        <v>0.35401831129196337</v>
      </c>
      <c r="P53" s="14">
        <f t="shared" si="27"/>
        <v>0.48423194303153616</v>
      </c>
      <c r="Q53" s="14">
        <f t="shared" si="28"/>
        <v>1671.4722704757339</v>
      </c>
      <c r="R53" s="14">
        <f t="shared" si="29"/>
        <v>2286.266668811636</v>
      </c>
      <c r="S53" s="14">
        <f t="shared" si="30"/>
        <v>3957.7389392873702</v>
      </c>
      <c r="T53" s="14">
        <f t="shared" si="31"/>
        <v>42.23300970873786</v>
      </c>
      <c r="AD53" s="140"/>
      <c r="AE53" s="141"/>
      <c r="AG53" s="140"/>
      <c r="AH53" s="140"/>
      <c r="AI53" s="140"/>
      <c r="AJ53" s="140"/>
      <c r="AK53" s="139" t="s">
        <v>360</v>
      </c>
      <c r="AM53" s="14">
        <f t="shared" si="32"/>
        <v>0.16174974567650047</v>
      </c>
      <c r="AN53" s="14">
        <f t="shared" si="33"/>
        <v>763.68991668287822</v>
      </c>
      <c r="AO53" s="14">
        <f t="shared" si="34"/>
        <v>681.34810617621361</v>
      </c>
      <c r="AP53" s="138"/>
      <c r="AQ53" s="138"/>
      <c r="AR53" s="138"/>
    </row>
    <row r="54" spans="1:44" ht="15.75" x14ac:dyDescent="0.2">
      <c r="A54" s="34" t="s">
        <v>383</v>
      </c>
      <c r="B54" s="33">
        <v>2</v>
      </c>
      <c r="C54" s="32" t="s">
        <v>354</v>
      </c>
      <c r="D54" s="31" t="s">
        <v>365</v>
      </c>
      <c r="E54" s="30">
        <v>21</v>
      </c>
      <c r="F54" s="123">
        <v>6.7652895543929281</v>
      </c>
      <c r="H54" s="14" t="s">
        <v>383</v>
      </c>
      <c r="I54" s="14">
        <v>2</v>
      </c>
      <c r="J54" s="14" t="s">
        <v>354</v>
      </c>
      <c r="K54" s="14" t="s">
        <v>365</v>
      </c>
      <c r="L54" s="14">
        <v>35.067873303167417</v>
      </c>
      <c r="M54" s="14">
        <v>47.511312217194572</v>
      </c>
      <c r="O54" s="14">
        <f t="shared" si="26"/>
        <v>0.35067873303167418</v>
      </c>
      <c r="P54" s="14">
        <f t="shared" si="27"/>
        <v>0.47511312217194573</v>
      </c>
      <c r="Q54" s="14">
        <f t="shared" si="28"/>
        <v>1504.9338087675967</v>
      </c>
      <c r="R54" s="14">
        <f t="shared" si="29"/>
        <v>2038.9425796206151</v>
      </c>
      <c r="S54" s="14">
        <f t="shared" si="30"/>
        <v>3543.876388388212</v>
      </c>
      <c r="T54" s="14">
        <f t="shared" si="31"/>
        <v>42.465753424657528</v>
      </c>
      <c r="AD54" s="140"/>
      <c r="AE54" s="141"/>
      <c r="AG54" s="140"/>
      <c r="AH54" s="140"/>
      <c r="AI54" s="140"/>
      <c r="AJ54" s="140"/>
      <c r="AK54" s="139" t="s">
        <v>365</v>
      </c>
      <c r="AM54" s="14">
        <f t="shared" si="32"/>
        <v>0.17420814479638008</v>
      </c>
      <c r="AN54" s="14">
        <f t="shared" si="33"/>
        <v>747.61227919422561</v>
      </c>
      <c r="AO54" s="14">
        <f t="shared" si="34"/>
        <v>667.00397563922502</v>
      </c>
      <c r="AP54" s="138"/>
      <c r="AQ54" s="138"/>
      <c r="AR54" s="138"/>
    </row>
    <row r="55" spans="1:44" ht="15.75" x14ac:dyDescent="0.2">
      <c r="A55" s="29"/>
      <c r="B55" s="28"/>
      <c r="C55" s="27" t="s">
        <v>355</v>
      </c>
      <c r="D55" s="26" t="s">
        <v>365</v>
      </c>
      <c r="E55" s="25">
        <v>23.5</v>
      </c>
      <c r="F55" s="122">
        <v>7.3240930091645851</v>
      </c>
      <c r="J55" s="14" t="s">
        <v>355</v>
      </c>
      <c r="K55" s="14" t="s">
        <v>365</v>
      </c>
      <c r="L55" s="14">
        <v>36.847290640394085</v>
      </c>
      <c r="M55" s="14">
        <v>48.669950738916256</v>
      </c>
      <c r="O55" s="14">
        <f t="shared" si="26"/>
        <v>0.36847290640394087</v>
      </c>
      <c r="P55" s="14">
        <f t="shared" si="27"/>
        <v>0.48669950738916257</v>
      </c>
      <c r="Q55" s="14">
        <f t="shared" si="28"/>
        <v>1762.3895840771588</v>
      </c>
      <c r="R55" s="14">
        <f t="shared" si="29"/>
        <v>2327.8621778987072</v>
      </c>
      <c r="S55" s="14">
        <f t="shared" si="30"/>
        <v>4090.251761975866</v>
      </c>
      <c r="T55" s="14">
        <f t="shared" si="31"/>
        <v>43.087557603686633</v>
      </c>
      <c r="U55" s="14">
        <f>AVERAGE(Q54:Q56)</f>
        <v>1684.8282421894048</v>
      </c>
      <c r="V55" s="14">
        <f>AVERAGE(R54:R56)</f>
        <v>2268.8072720843115</v>
      </c>
      <c r="W55" s="14">
        <f>AVERAGE(S54:S56)</f>
        <v>3953.635514273717</v>
      </c>
      <c r="X55" s="14">
        <f>AVERAGE(T54:T56)</f>
        <v>42.61173007432501</v>
      </c>
      <c r="Y55" s="14">
        <v>852.8</v>
      </c>
      <c r="Z55" s="14">
        <f>(U55/10000)/(Y55/1000)</f>
        <v>0.19756428731114034</v>
      </c>
      <c r="AA55" s="14">
        <v>689</v>
      </c>
      <c r="AB55" s="14">
        <f>AA55+264+119.9</f>
        <v>1072.9000000000001</v>
      </c>
      <c r="AC55" s="14">
        <f>(U55/10000)/(AB55/1000)</f>
        <v>0.15703497457259805</v>
      </c>
      <c r="AD55" s="140">
        <v>4.7300000000000004</v>
      </c>
      <c r="AE55" s="141">
        <v>1.1599999999999999</v>
      </c>
      <c r="AF55" s="14">
        <f>AE55*25.4</f>
        <v>29.463999999999995</v>
      </c>
      <c r="AG55" s="140">
        <v>81.400000000000006</v>
      </c>
      <c r="AH55" s="140">
        <v>31.6</v>
      </c>
      <c r="AI55" s="140">
        <v>5.8</v>
      </c>
      <c r="AJ55" s="140">
        <v>9.1</v>
      </c>
      <c r="AK55" s="139" t="s">
        <v>365</v>
      </c>
      <c r="AM55" s="14">
        <f t="shared" si="32"/>
        <v>0.14482758620689651</v>
      </c>
      <c r="AN55" s="14">
        <f t="shared" si="33"/>
        <v>692.70392743139644</v>
      </c>
      <c r="AO55" s="14">
        <f t="shared" si="34"/>
        <v>618.0158972718159</v>
      </c>
      <c r="AP55" s="138">
        <f>AVERAGE(AM54:AM56)</f>
        <v>0.15960338903116741</v>
      </c>
      <c r="AQ55" s="138">
        <f>AVERAGE(AN54:AN56)</f>
        <v>748.02200426584966</v>
      </c>
      <c r="AR55" s="138">
        <f>AVERAGE(AO54:AO56)</f>
        <v>667.3695237439016</v>
      </c>
    </row>
    <row r="56" spans="1:44" ht="16.5" thickBot="1" x14ac:dyDescent="0.25">
      <c r="A56" s="23"/>
      <c r="B56" s="22"/>
      <c r="C56" s="21" t="s">
        <v>356</v>
      </c>
      <c r="D56" s="20" t="s">
        <v>365</v>
      </c>
      <c r="E56" s="19">
        <v>24.5</v>
      </c>
      <c r="F56" s="121">
        <v>6.5682245594483577</v>
      </c>
      <c r="J56" s="14" t="s">
        <v>356</v>
      </c>
      <c r="K56" s="14" t="s">
        <v>365</v>
      </c>
      <c r="L56" s="14">
        <v>35.526315789473678</v>
      </c>
      <c r="M56" s="14">
        <v>48.496240601503757</v>
      </c>
      <c r="O56" s="14">
        <f t="shared" si="26"/>
        <v>0.35526315789473678</v>
      </c>
      <c r="P56" s="14">
        <f t="shared" si="27"/>
        <v>0.48496240601503759</v>
      </c>
      <c r="Q56" s="14">
        <f t="shared" si="28"/>
        <v>1787.1613337234598</v>
      </c>
      <c r="R56" s="14">
        <f t="shared" si="29"/>
        <v>2439.6170587336123</v>
      </c>
      <c r="S56" s="14">
        <f t="shared" si="30"/>
        <v>4226.7783924570722</v>
      </c>
      <c r="T56" s="14">
        <f t="shared" si="31"/>
        <v>42.281879194630868</v>
      </c>
      <c r="AD56" s="140"/>
      <c r="AE56" s="141"/>
      <c r="AG56" s="140"/>
      <c r="AH56" s="140"/>
      <c r="AI56" s="140"/>
      <c r="AJ56" s="140"/>
      <c r="AK56" s="139" t="s">
        <v>365</v>
      </c>
      <c r="AM56" s="14">
        <f t="shared" si="32"/>
        <v>0.15977443609022568</v>
      </c>
      <c r="AN56" s="14">
        <f t="shared" si="33"/>
        <v>803.74980617192705</v>
      </c>
      <c r="AO56" s="14">
        <f t="shared" si="34"/>
        <v>717.08869832066375</v>
      </c>
      <c r="AP56" s="138"/>
      <c r="AQ56" s="138"/>
      <c r="AR56" s="138"/>
    </row>
    <row r="57" spans="1:44" ht="15.75" x14ac:dyDescent="0.2">
      <c r="A57" s="34" t="s">
        <v>383</v>
      </c>
      <c r="B57" s="33">
        <v>3</v>
      </c>
      <c r="C57" s="32" t="s">
        <v>354</v>
      </c>
      <c r="D57" s="31" t="s">
        <v>368</v>
      </c>
      <c r="E57" s="30">
        <v>22.8</v>
      </c>
      <c r="F57" s="123">
        <v>6.2489694971145937</v>
      </c>
      <c r="H57" s="14" t="s">
        <v>383</v>
      </c>
      <c r="I57" s="14">
        <v>3</v>
      </c>
      <c r="J57" s="14" t="s">
        <v>354</v>
      </c>
      <c r="K57" s="14" t="s">
        <v>368</v>
      </c>
      <c r="L57" s="14">
        <v>35.641547861507128</v>
      </c>
      <c r="M57" s="14">
        <v>48.065173116089618</v>
      </c>
      <c r="O57" s="14">
        <f t="shared" si="26"/>
        <v>0.35641547861507128</v>
      </c>
      <c r="P57" s="14">
        <f t="shared" si="27"/>
        <v>0.48065173116089616</v>
      </c>
      <c r="Q57" s="14">
        <f t="shared" si="28"/>
        <v>1672.2834728681978</v>
      </c>
      <c r="R57" s="14">
        <f t="shared" si="29"/>
        <v>2255.1937119822555</v>
      </c>
      <c r="S57" s="14">
        <f t="shared" si="30"/>
        <v>3927.4771848504533</v>
      </c>
      <c r="T57" s="14">
        <f t="shared" si="31"/>
        <v>42.579075425790755</v>
      </c>
      <c r="AD57" s="140"/>
      <c r="AE57" s="141"/>
      <c r="AG57" s="140"/>
      <c r="AH57" s="140"/>
      <c r="AI57" s="140"/>
      <c r="AJ57" s="140"/>
      <c r="AK57" s="139" t="s">
        <v>368</v>
      </c>
      <c r="AM57" s="14">
        <f t="shared" si="32"/>
        <v>0.16293279022403256</v>
      </c>
      <c r="AN57" s="14">
        <f t="shared" si="33"/>
        <v>764.4724447397474</v>
      </c>
      <c r="AO57" s="14">
        <f t="shared" si="34"/>
        <v>682.04626127546317</v>
      </c>
      <c r="AP57" s="138"/>
      <c r="AQ57" s="138"/>
      <c r="AR57" s="138"/>
    </row>
    <row r="58" spans="1:44" ht="15.75" x14ac:dyDescent="0.2">
      <c r="A58" s="29"/>
      <c r="B58" s="28"/>
      <c r="C58" s="27" t="s">
        <v>355</v>
      </c>
      <c r="D58" s="26" t="s">
        <v>368</v>
      </c>
      <c r="E58" s="25">
        <v>21.3</v>
      </c>
      <c r="F58" s="122">
        <v>6.8463940293960928</v>
      </c>
      <c r="J58" s="14" t="s">
        <v>355</v>
      </c>
      <c r="K58" s="14" t="s">
        <v>368</v>
      </c>
      <c r="L58" s="14">
        <v>37.5</v>
      </c>
      <c r="M58" s="14">
        <v>49.107142857142868</v>
      </c>
      <c r="O58" s="14">
        <f t="shared" si="26"/>
        <v>0.375</v>
      </c>
      <c r="P58" s="14">
        <f t="shared" si="27"/>
        <v>0.49107142857142866</v>
      </c>
      <c r="Q58" s="14">
        <f t="shared" si="28"/>
        <v>1631.3017485100174</v>
      </c>
      <c r="R58" s="14">
        <f t="shared" si="29"/>
        <v>2136.2284801916899</v>
      </c>
      <c r="S58" s="14">
        <f t="shared" si="30"/>
        <v>3767.5302287017075</v>
      </c>
      <c r="T58" s="14">
        <f t="shared" si="31"/>
        <v>43.298969072164937</v>
      </c>
      <c r="U58" s="14">
        <f>AVERAGE(Q57:Q59)</f>
        <v>1649.6284103368644</v>
      </c>
      <c r="V58" s="14">
        <f>AVERAGE(R57:R59)</f>
        <v>2216.3089521844181</v>
      </c>
      <c r="W58" s="14">
        <f>AVERAGE(S57:S59)</f>
        <v>3865.9373625212825</v>
      </c>
      <c r="X58" s="14">
        <f>AVERAGE(T57:T59)</f>
        <v>42.678302414351243</v>
      </c>
      <c r="Y58" s="14">
        <v>1064.3</v>
      </c>
      <c r="Z58" s="14">
        <f>(U58/10000)/(Y58/1000)</f>
        <v>0.15499656209122092</v>
      </c>
      <c r="AA58" s="14">
        <v>941</v>
      </c>
      <c r="AB58" s="14">
        <f>AA58+264+119.9</f>
        <v>1324.9</v>
      </c>
      <c r="AC58" s="14">
        <f>(U58/10000)/(AB58/1000)</f>
        <v>0.12450965433895873</v>
      </c>
      <c r="AD58" s="140">
        <v>4.3600000000000003</v>
      </c>
      <c r="AE58" s="141">
        <v>1.1499999999999999</v>
      </c>
      <c r="AF58" s="14">
        <f>AE58*25.4</f>
        <v>29.209999999999997</v>
      </c>
      <c r="AG58" s="140">
        <v>80.8</v>
      </c>
      <c r="AH58" s="140">
        <v>32.200000000000003</v>
      </c>
      <c r="AI58" s="140">
        <v>6.1</v>
      </c>
      <c r="AJ58" s="140">
        <v>9.8000000000000007</v>
      </c>
      <c r="AK58" s="139" t="s">
        <v>368</v>
      </c>
      <c r="AM58" s="14">
        <f t="shared" si="32"/>
        <v>0.13392857142857134</v>
      </c>
      <c r="AN58" s="14">
        <f t="shared" si="33"/>
        <v>582.60776732500585</v>
      </c>
      <c r="AO58" s="14">
        <f t="shared" si="34"/>
        <v>519.79041524425645</v>
      </c>
      <c r="AP58" s="138">
        <f>AVERAGE(AM57:AM59)</f>
        <v>0.15129538501367787</v>
      </c>
      <c r="AQ58" s="138">
        <f>AVERAGE(AN57:AN59)</f>
        <v>691.35774652557791</v>
      </c>
      <c r="AR58" s="138">
        <f>AVERAGE(AO57:AO59)</f>
        <v>616.81486293744365</v>
      </c>
    </row>
    <row r="59" spans="1:44" ht="16.5" thickBot="1" x14ac:dyDescent="0.25">
      <c r="A59" s="23"/>
      <c r="B59" s="22"/>
      <c r="C59" s="21" t="s">
        <v>356</v>
      </c>
      <c r="D59" s="20" t="s">
        <v>368</v>
      </c>
      <c r="E59" s="19">
        <v>22.6</v>
      </c>
      <c r="F59" s="121">
        <v>6.6581771875568432</v>
      </c>
      <c r="J59" s="14" t="s">
        <v>356</v>
      </c>
      <c r="K59" s="14" t="s">
        <v>368</v>
      </c>
      <c r="L59" s="14">
        <v>35.537190082644628</v>
      </c>
      <c r="M59" s="14">
        <v>48.760330578512409</v>
      </c>
      <c r="O59" s="14">
        <f t="shared" si="26"/>
        <v>0.35537190082644626</v>
      </c>
      <c r="P59" s="14">
        <f t="shared" si="27"/>
        <v>0.48760330578512412</v>
      </c>
      <c r="Q59" s="14">
        <f t="shared" si="28"/>
        <v>1645.3000096323774</v>
      </c>
      <c r="R59" s="14">
        <f t="shared" si="29"/>
        <v>2257.5046643793089</v>
      </c>
      <c r="S59" s="14">
        <f t="shared" si="30"/>
        <v>3902.8046740116861</v>
      </c>
      <c r="T59" s="14">
        <f t="shared" si="31"/>
        <v>42.156862745098039</v>
      </c>
      <c r="AD59" s="140"/>
      <c r="AE59" s="141"/>
      <c r="AG59" s="140"/>
      <c r="AH59" s="140"/>
      <c r="AI59" s="140"/>
      <c r="AJ59" s="140"/>
      <c r="AK59" s="139" t="s">
        <v>368</v>
      </c>
      <c r="AM59" s="14">
        <f t="shared" si="32"/>
        <v>0.15702479338842967</v>
      </c>
      <c r="AN59" s="14">
        <f t="shared" si="33"/>
        <v>726.99302751198036</v>
      </c>
      <c r="AO59" s="14">
        <f t="shared" si="34"/>
        <v>648.60791229261122</v>
      </c>
      <c r="AP59" s="138"/>
      <c r="AQ59" s="138"/>
      <c r="AR59" s="138"/>
    </row>
    <row r="60" spans="1:44" ht="15.75" x14ac:dyDescent="0.2">
      <c r="A60" s="34" t="s">
        <v>383</v>
      </c>
      <c r="B60" s="33">
        <v>4</v>
      </c>
      <c r="C60" s="32" t="s">
        <v>354</v>
      </c>
      <c r="D60" s="31" t="s">
        <v>366</v>
      </c>
      <c r="E60" s="30">
        <v>16.8</v>
      </c>
      <c r="F60" s="123">
        <v>6.0113009735176064</v>
      </c>
      <c r="H60" s="14" t="s">
        <v>383</v>
      </c>
      <c r="I60" s="14">
        <v>4</v>
      </c>
      <c r="J60" s="14" t="s">
        <v>354</v>
      </c>
      <c r="K60" s="14" t="s">
        <v>366</v>
      </c>
      <c r="L60" s="14">
        <v>34.978843441466857</v>
      </c>
      <c r="M60" s="14">
        <v>48.236953455571232</v>
      </c>
      <c r="O60" s="14">
        <f t="shared" si="26"/>
        <v>0.34978843441466856</v>
      </c>
      <c r="P60" s="14">
        <f t="shared" si="27"/>
        <v>0.4823695345557123</v>
      </c>
      <c r="Q60" s="14">
        <f t="shared" si="28"/>
        <v>1205.0246178253092</v>
      </c>
      <c r="R60" s="14">
        <f t="shared" si="29"/>
        <v>1661.7678197429668</v>
      </c>
      <c r="S60" s="14">
        <f t="shared" si="30"/>
        <v>2866.792437568276</v>
      </c>
      <c r="T60" s="14">
        <f t="shared" si="31"/>
        <v>42.03389830508474</v>
      </c>
      <c r="AD60" s="140"/>
      <c r="AE60" s="141"/>
      <c r="AG60" s="140"/>
      <c r="AH60" s="140"/>
      <c r="AI60" s="140"/>
      <c r="AJ60" s="140"/>
      <c r="AK60" s="139" t="s">
        <v>366</v>
      </c>
      <c r="AM60" s="14">
        <f t="shared" si="32"/>
        <v>0.16784203102961914</v>
      </c>
      <c r="AN60" s="14">
        <f t="shared" si="33"/>
        <v>578.21745774682165</v>
      </c>
      <c r="AO60" s="14">
        <f t="shared" si="34"/>
        <v>515.87347323510164</v>
      </c>
      <c r="AP60" s="138"/>
      <c r="AQ60" s="138"/>
      <c r="AR60" s="138"/>
    </row>
    <row r="61" spans="1:44" ht="15.75" x14ac:dyDescent="0.2">
      <c r="A61" s="29"/>
      <c r="B61" s="28"/>
      <c r="C61" s="27" t="s">
        <v>355</v>
      </c>
      <c r="D61" s="26" t="s">
        <v>366</v>
      </c>
      <c r="E61" s="25">
        <v>14.2</v>
      </c>
      <c r="F61" s="122">
        <v>7.0543915780782269</v>
      </c>
      <c r="J61" s="14" t="s">
        <v>355</v>
      </c>
      <c r="K61" s="14" t="s">
        <v>366</v>
      </c>
      <c r="L61" s="14">
        <v>35.472972972972968</v>
      </c>
      <c r="M61" s="14">
        <v>49.324324324324323</v>
      </c>
      <c r="O61" s="14">
        <f t="shared" si="26"/>
        <v>0.35472972972972966</v>
      </c>
      <c r="P61" s="14">
        <f t="shared" si="27"/>
        <v>0.4932432432432432</v>
      </c>
      <c r="Q61" s="14">
        <f t="shared" si="28"/>
        <v>1017.1293547341444</v>
      </c>
      <c r="R61" s="14">
        <f t="shared" si="29"/>
        <v>1414.2941503922391</v>
      </c>
      <c r="S61" s="14">
        <f t="shared" si="30"/>
        <v>2431.4235051263836</v>
      </c>
      <c r="T61" s="14">
        <f t="shared" si="31"/>
        <v>41.832669322709158</v>
      </c>
      <c r="U61" s="14">
        <f>AVERAGE(Q60:Q62)</f>
        <v>1136.6831214821389</v>
      </c>
      <c r="V61" s="14">
        <f>AVERAGE(R60:R62)</f>
        <v>1566.5063352380191</v>
      </c>
      <c r="W61" s="14">
        <f>AVERAGE(S60:S62)</f>
        <v>2703.189456720158</v>
      </c>
      <c r="X61" s="14">
        <f>AVERAGE(T60:T62)</f>
        <v>42.040029584851489</v>
      </c>
      <c r="Y61" s="14">
        <v>780.4</v>
      </c>
      <c r="Z61" s="14">
        <f>(U61/10000)/(Y61/1000)</f>
        <v>0.14565391100488709</v>
      </c>
      <c r="AA61" s="14">
        <v>638.4</v>
      </c>
      <c r="AB61" s="14">
        <f>AA61+264+119.9</f>
        <v>1022.3</v>
      </c>
      <c r="AC61" s="14">
        <f>(U61/10000)/(AB61/1000)</f>
        <v>0.11118880186658894</v>
      </c>
      <c r="AD61" s="140">
        <v>4.1500000000000004</v>
      </c>
      <c r="AE61" s="141">
        <v>1.1100000000000001</v>
      </c>
      <c r="AF61" s="14">
        <f>AE61*25.4</f>
        <v>28.194000000000003</v>
      </c>
      <c r="AG61" s="140">
        <v>80.900000000000006</v>
      </c>
      <c r="AH61" s="140">
        <v>30.2</v>
      </c>
      <c r="AI61" s="140">
        <v>5.8</v>
      </c>
      <c r="AJ61" s="140">
        <v>9.5</v>
      </c>
      <c r="AK61" s="139" t="s">
        <v>366</v>
      </c>
      <c r="AM61" s="14">
        <f t="shared" si="32"/>
        <v>0.1520270270270272</v>
      </c>
      <c r="AN61" s="14">
        <f t="shared" si="33"/>
        <v>435.91258060034818</v>
      </c>
      <c r="AO61" s="14">
        <f t="shared" si="34"/>
        <v>388.91205024743806</v>
      </c>
      <c r="AP61" s="138">
        <f>AVERAGE(AM60:AM62)</f>
        <v>0.14912173927029018</v>
      </c>
      <c r="AQ61" s="138">
        <f>AVERAGE(AN60:AN62)</f>
        <v>474.9812871249149</v>
      </c>
      <c r="AR61" s="138">
        <f>AVERAGE(AO60:AO62)</f>
        <v>423.76832976581949</v>
      </c>
    </row>
    <row r="62" spans="1:44" ht="16.5" thickBot="1" x14ac:dyDescent="0.25">
      <c r="A62" s="23"/>
      <c r="B62" s="22"/>
      <c r="C62" s="21" t="s">
        <v>356</v>
      </c>
      <c r="D62" s="20" t="s">
        <v>366</v>
      </c>
      <c r="E62" s="19">
        <v>15.8</v>
      </c>
      <c r="F62" s="121">
        <v>6.3900769888793825</v>
      </c>
      <c r="J62" s="14" t="s">
        <v>356</v>
      </c>
      <c r="K62" s="14" t="s">
        <v>366</v>
      </c>
      <c r="L62" s="14">
        <v>36.866359447004612</v>
      </c>
      <c r="M62" s="14">
        <v>50.384024577572973</v>
      </c>
      <c r="O62" s="14">
        <f t="shared" si="26"/>
        <v>0.3686635944700461</v>
      </c>
      <c r="P62" s="14">
        <f t="shared" si="27"/>
        <v>0.50384024577572972</v>
      </c>
      <c r="Q62" s="14">
        <f t="shared" si="28"/>
        <v>1187.8953918869636</v>
      </c>
      <c r="R62" s="14">
        <f t="shared" si="29"/>
        <v>1623.4570355788505</v>
      </c>
      <c r="S62" s="14">
        <f t="shared" si="30"/>
        <v>2811.3524274658139</v>
      </c>
      <c r="T62" s="14">
        <f t="shared" si="31"/>
        <v>42.25352112676056</v>
      </c>
      <c r="AD62" s="140"/>
      <c r="AE62" s="141"/>
      <c r="AG62" s="140"/>
      <c r="AH62" s="140"/>
      <c r="AI62" s="140"/>
      <c r="AJ62" s="140"/>
      <c r="AK62" s="139" t="s">
        <v>366</v>
      </c>
      <c r="AM62" s="14">
        <f t="shared" si="32"/>
        <v>0.12749615975422424</v>
      </c>
      <c r="AN62" s="14">
        <f t="shared" si="33"/>
        <v>410.81382302757481</v>
      </c>
      <c r="AO62" s="14">
        <f t="shared" si="34"/>
        <v>366.5194658149187</v>
      </c>
      <c r="AP62" s="138"/>
      <c r="AQ62" s="138"/>
      <c r="AR62" s="138"/>
    </row>
    <row r="63" spans="1:44" ht="16.5" thickBot="1" x14ac:dyDescent="0.25">
      <c r="A63" s="34" t="s">
        <v>382</v>
      </c>
      <c r="B63" s="33">
        <v>1</v>
      </c>
      <c r="C63" s="21" t="s">
        <v>354</v>
      </c>
      <c r="D63" s="20" t="s">
        <v>371</v>
      </c>
      <c r="E63" s="19">
        <v>22.1</v>
      </c>
      <c r="F63" s="121">
        <v>6.835220928377737</v>
      </c>
      <c r="H63" s="14" t="s">
        <v>382</v>
      </c>
      <c r="I63" s="14">
        <v>1</v>
      </c>
      <c r="J63" s="14" t="s">
        <v>354</v>
      </c>
      <c r="K63" s="14" t="s">
        <v>373</v>
      </c>
      <c r="L63" s="14">
        <v>35.146443514644346</v>
      </c>
      <c r="M63" s="14">
        <v>48.117154811715487</v>
      </c>
      <c r="O63" s="14">
        <f t="shared" si="26"/>
        <v>0.35146443514644349</v>
      </c>
      <c r="P63" s="14">
        <f t="shared" si="27"/>
        <v>0.48117154811715485</v>
      </c>
      <c r="Q63" s="14">
        <f t="shared" si="28"/>
        <v>1587.5764469346564</v>
      </c>
      <c r="R63" s="14">
        <f t="shared" si="29"/>
        <v>2173.4677547319702</v>
      </c>
      <c r="S63" s="14">
        <f t="shared" si="30"/>
        <v>3761.0442016666266</v>
      </c>
      <c r="T63" s="14">
        <f t="shared" si="31"/>
        <v>42.211055276381906</v>
      </c>
      <c r="AD63" s="140"/>
      <c r="AE63" s="141"/>
      <c r="AG63" s="140"/>
      <c r="AH63" s="140"/>
      <c r="AI63" s="140"/>
      <c r="AJ63" s="140"/>
      <c r="AK63" s="139" t="s">
        <v>371</v>
      </c>
      <c r="AM63" s="14">
        <f t="shared" si="32"/>
        <v>0.16736401673640161</v>
      </c>
      <c r="AN63" s="14">
        <f t="shared" si="33"/>
        <v>755.98878425459804</v>
      </c>
      <c r="AO63" s="14">
        <f t="shared" si="34"/>
        <v>674.47731754748304</v>
      </c>
      <c r="AP63" s="138"/>
      <c r="AQ63" s="138"/>
      <c r="AR63" s="138"/>
    </row>
    <row r="64" spans="1:44" ht="16.5" thickBot="1" x14ac:dyDescent="0.25">
      <c r="A64" s="29"/>
      <c r="B64" s="28"/>
      <c r="C64" s="27" t="s">
        <v>355</v>
      </c>
      <c r="D64" s="26" t="s">
        <v>371</v>
      </c>
      <c r="E64" s="25">
        <v>22.7</v>
      </c>
      <c r="F64" s="122">
        <v>6.3149019259785169</v>
      </c>
      <c r="J64" s="14" t="s">
        <v>355</v>
      </c>
      <c r="K64" s="14" t="s">
        <v>373</v>
      </c>
      <c r="L64" s="14">
        <v>36.024844720496894</v>
      </c>
      <c r="M64" s="14">
        <v>49.068322981366464</v>
      </c>
      <c r="O64" s="14">
        <f t="shared" si="26"/>
        <v>0.36024844720496896</v>
      </c>
      <c r="P64" s="14">
        <f t="shared" si="27"/>
        <v>0.49068322981366463</v>
      </c>
      <c r="Q64" s="14">
        <f t="shared" si="28"/>
        <v>1681.5450474213394</v>
      </c>
      <c r="R64" s="14">
        <f t="shared" si="29"/>
        <v>2290.3803232118244</v>
      </c>
      <c r="S64" s="14">
        <f t="shared" si="30"/>
        <v>3971.9253706331638</v>
      </c>
      <c r="T64" s="14">
        <f t="shared" si="31"/>
        <v>42.335766423357661</v>
      </c>
      <c r="U64" s="14">
        <f>AVERAGE(Q63:Q65)</f>
        <v>1614.0887756195189</v>
      </c>
      <c r="V64" s="14">
        <f>AVERAGE(R63:R65)</f>
        <v>2212.5494033763839</v>
      </c>
      <c r="W64" s="14">
        <f>AVERAGE(S63:S65)</f>
        <v>3826.6381789959028</v>
      </c>
      <c r="X64" s="14">
        <f>AVERAGE(T63:T65)</f>
        <v>42.177184841389014</v>
      </c>
      <c r="Y64" s="14">
        <v>955.2</v>
      </c>
      <c r="Z64" s="14">
        <f>(U64/10000)/(Y64/1000)</f>
        <v>0.16897914317624776</v>
      </c>
      <c r="AA64" s="14">
        <v>799.7</v>
      </c>
      <c r="AB64" s="14">
        <f>AA64+264+119.9</f>
        <v>1183.6000000000001</v>
      </c>
      <c r="AC64" s="14">
        <f>(U64/10000)/(AB64/1000)</f>
        <v>0.13637113683841826</v>
      </c>
      <c r="AD64" s="140">
        <v>4.34</v>
      </c>
      <c r="AE64" s="141">
        <v>1.1499999999999999</v>
      </c>
      <c r="AF64" s="14">
        <f>AE64*25.4</f>
        <v>29.209999999999997</v>
      </c>
      <c r="AG64" s="140">
        <v>80.7</v>
      </c>
      <c r="AH64" s="140">
        <v>31.9</v>
      </c>
      <c r="AI64" s="140">
        <v>6</v>
      </c>
      <c r="AJ64" s="140">
        <v>9.1</v>
      </c>
      <c r="AK64" s="139" t="s">
        <v>371</v>
      </c>
      <c r="AM64" s="14">
        <f t="shared" si="32"/>
        <v>0.14906832298136641</v>
      </c>
      <c r="AN64" s="14">
        <f t="shared" si="33"/>
        <v>695.81174376055401</v>
      </c>
      <c r="AO64" s="14">
        <f t="shared" si="34"/>
        <v>620.78862573654737</v>
      </c>
      <c r="AP64" s="138">
        <f>AVERAGE(AM63:AM65)</f>
        <v>0.15739294961591191</v>
      </c>
      <c r="AQ64" s="138">
        <f>AVERAGE(AN63:AN65)</f>
        <v>714.34361106855704</v>
      </c>
      <c r="AR64" s="138">
        <f>AVERAGE(AO63:AO65)</f>
        <v>637.32236857953421</v>
      </c>
    </row>
    <row r="65" spans="1:44" ht="16.5" thickBot="1" x14ac:dyDescent="0.25">
      <c r="A65" s="23"/>
      <c r="B65" s="22"/>
      <c r="C65" s="32" t="s">
        <v>356</v>
      </c>
      <c r="D65" s="31" t="s">
        <v>371</v>
      </c>
      <c r="E65" s="30">
        <v>21.5</v>
      </c>
      <c r="F65" s="123">
        <v>5.8611578188806099</v>
      </c>
      <c r="J65" s="14" t="s">
        <v>356</v>
      </c>
      <c r="K65" s="14" t="s">
        <v>373</v>
      </c>
      <c r="L65" s="14">
        <v>35.445757250268521</v>
      </c>
      <c r="M65" s="14">
        <v>48.979591836734699</v>
      </c>
      <c r="O65" s="14">
        <f t="shared" si="26"/>
        <v>0.35445757250268523</v>
      </c>
      <c r="P65" s="14">
        <f t="shared" si="27"/>
        <v>0.48979591836734698</v>
      </c>
      <c r="Q65" s="14">
        <f t="shared" si="28"/>
        <v>1573.144832502561</v>
      </c>
      <c r="R65" s="14">
        <f t="shared" si="29"/>
        <v>2173.8001321853576</v>
      </c>
      <c r="S65" s="14">
        <f t="shared" si="30"/>
        <v>3746.9449646879184</v>
      </c>
      <c r="T65" s="14">
        <f t="shared" si="31"/>
        <v>41.984732824427482</v>
      </c>
      <c r="AD65" s="140"/>
      <c r="AE65" s="141"/>
      <c r="AG65" s="140"/>
      <c r="AH65" s="140"/>
      <c r="AI65" s="140"/>
      <c r="AJ65" s="140"/>
      <c r="AK65" s="139" t="s">
        <v>371</v>
      </c>
      <c r="AM65" s="14">
        <f t="shared" si="32"/>
        <v>0.15574650912996774</v>
      </c>
      <c r="AN65" s="14">
        <f t="shared" si="33"/>
        <v>691.23030519051918</v>
      </c>
      <c r="AO65" s="14">
        <f t="shared" si="34"/>
        <v>616.70116245457223</v>
      </c>
      <c r="AP65" s="138"/>
      <c r="AQ65" s="138"/>
      <c r="AR65" s="138"/>
    </row>
    <row r="66" spans="1:44" ht="16.5" thickBot="1" x14ac:dyDescent="0.25">
      <c r="A66" s="34" t="s">
        <v>382</v>
      </c>
      <c r="B66" s="33">
        <v>2</v>
      </c>
      <c r="C66" s="21" t="s">
        <v>354</v>
      </c>
      <c r="D66" s="20" t="s">
        <v>364</v>
      </c>
      <c r="E66" s="19">
        <v>19.600000000000001</v>
      </c>
      <c r="F66" s="121">
        <v>6.1188517710257004</v>
      </c>
      <c r="H66" s="14" t="s">
        <v>382</v>
      </c>
      <c r="I66" s="14">
        <v>2</v>
      </c>
      <c r="J66" s="14" t="s">
        <v>354</v>
      </c>
      <c r="K66" s="14" t="s">
        <v>369</v>
      </c>
      <c r="L66" s="14">
        <v>35.629453681710217</v>
      </c>
      <c r="M66" s="14">
        <v>48.456057007125892</v>
      </c>
      <c r="O66" s="14">
        <f t="shared" si="26"/>
        <v>0.35629453681710216</v>
      </c>
      <c r="P66" s="14">
        <f t="shared" si="27"/>
        <v>0.48456057007125891</v>
      </c>
      <c r="Q66" s="14">
        <f t="shared" si="28"/>
        <v>1435.1015116952506</v>
      </c>
      <c r="R66" s="14">
        <f t="shared" si="29"/>
        <v>1951.7380559055407</v>
      </c>
      <c r="S66" s="14">
        <f t="shared" si="30"/>
        <v>3386.8395676007913</v>
      </c>
      <c r="T66" s="14">
        <f t="shared" si="31"/>
        <v>42.372881355932201</v>
      </c>
      <c r="AD66" s="140"/>
      <c r="AE66" s="141"/>
      <c r="AG66" s="140"/>
      <c r="AH66" s="140"/>
      <c r="AI66" s="140"/>
      <c r="AJ66" s="140"/>
      <c r="AK66" s="139" t="s">
        <v>364</v>
      </c>
      <c r="AM66" s="14">
        <f t="shared" si="32"/>
        <v>0.15914489311163887</v>
      </c>
      <c r="AN66" s="14">
        <f t="shared" si="33"/>
        <v>641.01200855721152</v>
      </c>
      <c r="AO66" s="14">
        <f t="shared" si="34"/>
        <v>571.89745278256441</v>
      </c>
      <c r="AP66" s="138"/>
      <c r="AQ66" s="138"/>
      <c r="AR66" s="138"/>
    </row>
    <row r="67" spans="1:44" ht="16.5" thickBot="1" x14ac:dyDescent="0.25">
      <c r="A67" s="29"/>
      <c r="B67" s="28"/>
      <c r="C67" s="27" t="s">
        <v>355</v>
      </c>
      <c r="D67" s="26" t="s">
        <v>364</v>
      </c>
      <c r="E67" s="25">
        <v>18.5</v>
      </c>
      <c r="F67" s="122">
        <v>6.5814544299777751</v>
      </c>
      <c r="J67" s="14" t="s">
        <v>355</v>
      </c>
      <c r="K67" s="14" t="s">
        <v>369</v>
      </c>
      <c r="L67" s="14">
        <v>36.294416243654823</v>
      </c>
      <c r="M67" s="14">
        <v>48.984771573604071</v>
      </c>
      <c r="O67" s="14">
        <f t="shared" ref="O67:O98" si="35">L67/100</f>
        <v>0.3629441624365482</v>
      </c>
      <c r="P67" s="14">
        <f t="shared" ref="P67:P98" si="36">M67/100</f>
        <v>0.48984771573604069</v>
      </c>
      <c r="Q67" s="14">
        <f t="shared" ref="Q67:Q98" si="37">(E67-0.38)*0.453592*(1-F67/100)*(L67/100)/(40*2.54/100*2*10/10000)</f>
        <v>1371.4273087228873</v>
      </c>
      <c r="R67" s="14">
        <f t="shared" ref="R67:R98" si="38">(E67-0.38)*0.453592*(1-F67/100)*(M67/100)/(40*2.54/100*2*10/10000)</f>
        <v>1850.9473467378832</v>
      </c>
      <c r="S67" s="14">
        <f t="shared" ref="S67:S98" si="39">SUM(Q67:R67)</f>
        <v>3222.3746554607706</v>
      </c>
      <c r="T67" s="14">
        <f t="shared" ref="T67:T98" si="40">Q67/S67*100</f>
        <v>42.55952380952381</v>
      </c>
      <c r="U67" s="14">
        <f>AVERAGE(Q66:Q68)</f>
        <v>1361.8638438697678</v>
      </c>
      <c r="V67" s="14">
        <f>AVERAGE(R66:R68)</f>
        <v>1859.9012752750148</v>
      </c>
      <c r="W67" s="14">
        <f>AVERAGE(S66:S68)</f>
        <v>3221.7651191447826</v>
      </c>
      <c r="X67" s="14">
        <f>AVERAGE(T66:T68)</f>
        <v>42.261813436408659</v>
      </c>
      <c r="Y67" s="14">
        <v>684.2</v>
      </c>
      <c r="Z67" s="14">
        <f>(U67/10000)/(Y67/1000)</f>
        <v>0.19904470094559598</v>
      </c>
      <c r="AA67" s="14">
        <v>547.70000000000005</v>
      </c>
      <c r="AB67" s="14">
        <f>AA67+264+119.9</f>
        <v>931.6</v>
      </c>
      <c r="AC67" s="14">
        <f>(U67/10000)/(AB67/1000)</f>
        <v>0.14618547057425588</v>
      </c>
      <c r="AD67" s="140">
        <v>4.6100000000000003</v>
      </c>
      <c r="AE67" s="141">
        <v>1.1100000000000001</v>
      </c>
      <c r="AF67" s="14">
        <f>AE67*25.4</f>
        <v>28.194000000000003</v>
      </c>
      <c r="AG67" s="140">
        <v>81.3</v>
      </c>
      <c r="AH67" s="140">
        <v>31.1</v>
      </c>
      <c r="AI67" s="140">
        <v>6.1</v>
      </c>
      <c r="AJ67" s="140">
        <v>9.9</v>
      </c>
      <c r="AK67" s="139" t="s">
        <v>364</v>
      </c>
      <c r="AM67" s="14">
        <f t="shared" ref="AM67:AM98" si="41">1-O67-P67</f>
        <v>0.14720812182741116</v>
      </c>
      <c r="AN67" s="14">
        <f t="shared" ref="AN67:AN98" si="42">(E67-0.38)*0.453592*(1-F67/100)*(AM67)/(40*2.54/100*2*10/10000)</f>
        <v>556.24324409739484</v>
      </c>
      <c r="AO67" s="14">
        <f t="shared" ref="AO67:AO98" si="43">AN67*0.892179</f>
        <v>496.26854127556965</v>
      </c>
      <c r="AP67" s="138">
        <f>AVERAGE(AM66:AM68)</f>
        <v>0.16016516505004397</v>
      </c>
      <c r="AQ67" s="138">
        <f>AVERAGE(AN66:AN68)</f>
        <v>613.88950899839801</v>
      </c>
      <c r="AR67" s="138">
        <f>AVERAGE(AO66:AO68)</f>
        <v>547.69932824868181</v>
      </c>
    </row>
    <row r="68" spans="1:44" ht="16.5" thickBot="1" x14ac:dyDescent="0.25">
      <c r="A68" s="23"/>
      <c r="B68" s="22"/>
      <c r="C68" s="32" t="s">
        <v>356</v>
      </c>
      <c r="D68" s="31" t="s">
        <v>364</v>
      </c>
      <c r="E68" s="30">
        <v>18.100000000000001</v>
      </c>
      <c r="F68" s="123">
        <v>6.4477252184392961</v>
      </c>
      <c r="J68" s="14" t="s">
        <v>356</v>
      </c>
      <c r="K68" s="14" t="s">
        <v>369</v>
      </c>
      <c r="L68" s="14">
        <v>34.564643799472286</v>
      </c>
      <c r="M68" s="14">
        <v>48.021108179419528</v>
      </c>
      <c r="O68" s="14">
        <f t="shared" si="35"/>
        <v>0.34564643799472283</v>
      </c>
      <c r="P68" s="14">
        <f t="shared" si="36"/>
        <v>0.4802110817941953</v>
      </c>
      <c r="Q68" s="14">
        <f t="shared" si="37"/>
        <v>1279.0627111911656</v>
      </c>
      <c r="R68" s="14">
        <f t="shared" si="38"/>
        <v>1777.0184231816202</v>
      </c>
      <c r="S68" s="14">
        <f t="shared" si="39"/>
        <v>3056.0811343727855</v>
      </c>
      <c r="T68" s="14">
        <f t="shared" si="40"/>
        <v>41.853035143769965</v>
      </c>
      <c r="AD68" s="140"/>
      <c r="AE68" s="141"/>
      <c r="AG68" s="140"/>
      <c r="AH68" s="140"/>
      <c r="AI68" s="140"/>
      <c r="AJ68" s="140"/>
      <c r="AK68" s="139" t="s">
        <v>364</v>
      </c>
      <c r="AM68" s="14">
        <f t="shared" si="41"/>
        <v>0.17414248021108186</v>
      </c>
      <c r="AN68" s="14">
        <f t="shared" si="42"/>
        <v>644.41327434058769</v>
      </c>
      <c r="AO68" s="14">
        <f t="shared" si="43"/>
        <v>574.93199068791125</v>
      </c>
      <c r="AP68" s="138"/>
      <c r="AQ68" s="138"/>
      <c r="AR68" s="138"/>
    </row>
    <row r="69" spans="1:44" ht="16.5" thickBot="1" x14ac:dyDescent="0.25">
      <c r="A69" s="34" t="s">
        <v>382</v>
      </c>
      <c r="B69" s="33">
        <v>3</v>
      </c>
      <c r="C69" s="21" t="s">
        <v>354</v>
      </c>
      <c r="D69" s="20" t="s">
        <v>369</v>
      </c>
      <c r="E69" s="19">
        <v>17.5</v>
      </c>
      <c r="F69" s="121">
        <v>6.2273198548470621</v>
      </c>
      <c r="H69" s="14" t="s">
        <v>382</v>
      </c>
      <c r="I69" s="14">
        <v>3</v>
      </c>
      <c r="J69" s="14" t="s">
        <v>354</v>
      </c>
      <c r="K69" s="14" t="s">
        <v>364</v>
      </c>
      <c r="L69" s="14">
        <v>35.026737967914436</v>
      </c>
      <c r="M69" s="14">
        <v>48.663101604278083</v>
      </c>
      <c r="O69" s="14">
        <f t="shared" si="35"/>
        <v>0.35026737967914434</v>
      </c>
      <c r="P69" s="14">
        <f t="shared" si="36"/>
        <v>0.48663101604278081</v>
      </c>
      <c r="Q69" s="14">
        <f t="shared" si="37"/>
        <v>1255.2246675473782</v>
      </c>
      <c r="R69" s="14">
        <f t="shared" si="38"/>
        <v>1743.8999197986479</v>
      </c>
      <c r="S69" s="14">
        <f t="shared" si="39"/>
        <v>2999.1245873460261</v>
      </c>
      <c r="T69" s="14">
        <f t="shared" si="40"/>
        <v>41.853035143769965</v>
      </c>
      <c r="AD69" s="140"/>
      <c r="AE69" s="141"/>
      <c r="AG69" s="140"/>
      <c r="AH69" s="140"/>
      <c r="AI69" s="140"/>
      <c r="AJ69" s="140"/>
      <c r="AK69" s="139" t="s">
        <v>369</v>
      </c>
      <c r="AM69" s="14">
        <f t="shared" si="41"/>
        <v>0.16310160427807485</v>
      </c>
      <c r="AN69" s="14">
        <f t="shared" si="42"/>
        <v>584.49392916328293</v>
      </c>
      <c r="AO69" s="14">
        <f t="shared" si="43"/>
        <v>521.47320922696861</v>
      </c>
      <c r="AP69" s="138"/>
      <c r="AQ69" s="138"/>
      <c r="AR69" s="138"/>
    </row>
    <row r="70" spans="1:44" ht="16.5" thickBot="1" x14ac:dyDescent="0.25">
      <c r="A70" s="29"/>
      <c r="B70" s="28"/>
      <c r="C70" s="27" t="s">
        <v>355</v>
      </c>
      <c r="D70" s="26" t="s">
        <v>369</v>
      </c>
      <c r="E70" s="25">
        <v>16.5</v>
      </c>
      <c r="F70" s="122">
        <v>6.7466959081202731</v>
      </c>
      <c r="J70" s="14" t="s">
        <v>355</v>
      </c>
      <c r="K70" s="14" t="s">
        <v>364</v>
      </c>
      <c r="L70" s="14">
        <v>34.770114942528735</v>
      </c>
      <c r="M70" s="14">
        <v>48.850574712643684</v>
      </c>
      <c r="O70" s="14">
        <f t="shared" si="35"/>
        <v>0.34770114942528735</v>
      </c>
      <c r="P70" s="14">
        <f t="shared" si="36"/>
        <v>0.48850574712643685</v>
      </c>
      <c r="Q70" s="14">
        <f t="shared" si="37"/>
        <v>1166.7480263939983</v>
      </c>
      <c r="R70" s="14">
        <f t="shared" si="38"/>
        <v>1639.2327643552046</v>
      </c>
      <c r="S70" s="14">
        <f t="shared" si="39"/>
        <v>2805.9807907492032</v>
      </c>
      <c r="T70" s="14">
        <f t="shared" si="40"/>
        <v>41.580756013745699</v>
      </c>
      <c r="U70" s="14">
        <f>AVERAGE(Q69:Q71)</f>
        <v>1154.6540214666081</v>
      </c>
      <c r="V70" s="14">
        <f>AVERAGE(R69:R71)</f>
        <v>1613.3293976167954</v>
      </c>
      <c r="W70" s="14">
        <f>AVERAGE(S69:S71)</f>
        <v>2767.983419083404</v>
      </c>
      <c r="X70" s="14">
        <f>AVERAGE(T69:T71)</f>
        <v>41.71087761878578</v>
      </c>
      <c r="Y70" s="14">
        <v>967.8</v>
      </c>
      <c r="Z70" s="14">
        <f>(U70/10000)/(Y70/1000)</f>
        <v>0.11930709045945528</v>
      </c>
      <c r="AA70" s="14">
        <v>819.7</v>
      </c>
      <c r="AB70" s="14">
        <f>AA70+264+119.9</f>
        <v>1203.6000000000001</v>
      </c>
      <c r="AC70" s="14">
        <f>(U70/10000)/(AB70/1000)</f>
        <v>9.5933368350499162E-2</v>
      </c>
      <c r="AD70" s="140">
        <v>4.08</v>
      </c>
      <c r="AE70" s="141">
        <v>1.1499999999999999</v>
      </c>
      <c r="AF70" s="14">
        <f>AE70*25.4</f>
        <v>29.209999999999997</v>
      </c>
      <c r="AG70" s="140">
        <v>80.599999999999994</v>
      </c>
      <c r="AH70" s="140">
        <v>31.4</v>
      </c>
      <c r="AI70" s="140">
        <v>6</v>
      </c>
      <c r="AJ70" s="140">
        <v>10</v>
      </c>
      <c r="AK70" s="139" t="s">
        <v>369</v>
      </c>
      <c r="AM70" s="14">
        <f t="shared" si="41"/>
        <v>0.16379310344827586</v>
      </c>
      <c r="AN70" s="14">
        <f t="shared" si="42"/>
        <v>549.62510334262731</v>
      </c>
      <c r="AO70" s="14">
        <f t="shared" si="43"/>
        <v>490.36397507512191</v>
      </c>
      <c r="AP70" s="138">
        <f>AVERAGE(AM69:AM71)</f>
        <v>0.16952309109572405</v>
      </c>
      <c r="AQ70" s="138">
        <f>AVERAGE(AN69:AN71)</f>
        <v>562.96063059258961</v>
      </c>
      <c r="AR70" s="138">
        <f>AVERAGE(AO69:AO71)</f>
        <v>502.26165244146608</v>
      </c>
    </row>
    <row r="71" spans="1:44" ht="16.5" thickBot="1" x14ac:dyDescent="0.25">
      <c r="A71" s="23"/>
      <c r="B71" s="22"/>
      <c r="C71" s="32" t="s">
        <v>356</v>
      </c>
      <c r="D71" s="31" t="s">
        <v>369</v>
      </c>
      <c r="E71" s="30">
        <v>15.1</v>
      </c>
      <c r="F71" s="123">
        <v>7.0683271625715234</v>
      </c>
      <c r="J71" s="14" t="s">
        <v>356</v>
      </c>
      <c r="K71" s="14" t="s">
        <v>364</v>
      </c>
      <c r="L71" s="14">
        <v>34.123222748815166</v>
      </c>
      <c r="M71" s="14">
        <v>47.70932069510269</v>
      </c>
      <c r="O71" s="14">
        <f t="shared" si="35"/>
        <v>0.34123222748815168</v>
      </c>
      <c r="P71" s="14">
        <f t="shared" si="36"/>
        <v>0.47709320695102692</v>
      </c>
      <c r="Q71" s="14">
        <f t="shared" si="37"/>
        <v>1041.9893704584479</v>
      </c>
      <c r="R71" s="14">
        <f t="shared" si="38"/>
        <v>1456.8555086965337</v>
      </c>
      <c r="S71" s="14">
        <f t="shared" si="39"/>
        <v>2498.8448791549818</v>
      </c>
      <c r="T71" s="14">
        <f t="shared" si="40"/>
        <v>41.69884169884169</v>
      </c>
      <c r="AD71" s="140"/>
      <c r="AE71" s="141"/>
      <c r="AG71" s="140"/>
      <c r="AH71" s="140"/>
      <c r="AI71" s="140"/>
      <c r="AJ71" s="140"/>
      <c r="AK71" s="139" t="s">
        <v>369</v>
      </c>
      <c r="AM71" s="14">
        <f t="shared" si="41"/>
        <v>0.18167456556082145</v>
      </c>
      <c r="AN71" s="14">
        <f t="shared" si="42"/>
        <v>554.7628592718587</v>
      </c>
      <c r="AO71" s="14">
        <f t="shared" si="43"/>
        <v>494.94777302230767</v>
      </c>
      <c r="AP71" s="138"/>
      <c r="AQ71" s="138"/>
      <c r="AR71" s="138"/>
    </row>
    <row r="72" spans="1:44" ht="16.5" thickBot="1" x14ac:dyDescent="0.25">
      <c r="A72" s="34" t="s">
        <v>382</v>
      </c>
      <c r="B72" s="33">
        <v>4</v>
      </c>
      <c r="C72" s="21" t="s">
        <v>354</v>
      </c>
      <c r="D72" s="20" t="s">
        <v>373</v>
      </c>
      <c r="E72" s="19">
        <v>15.9</v>
      </c>
      <c r="F72" s="121">
        <v>6.101731139132287</v>
      </c>
      <c r="H72" s="14" t="s">
        <v>382</v>
      </c>
      <c r="I72" s="14">
        <v>4</v>
      </c>
      <c r="J72" s="14" t="s">
        <v>354</v>
      </c>
      <c r="K72" s="14" t="s">
        <v>371</v>
      </c>
      <c r="L72" s="14">
        <v>34.421364985163201</v>
      </c>
      <c r="M72" s="14">
        <v>48.367952522255202</v>
      </c>
      <c r="O72" s="14">
        <f t="shared" si="35"/>
        <v>0.344213649851632</v>
      </c>
      <c r="P72" s="14">
        <f t="shared" si="36"/>
        <v>0.48367952522255203</v>
      </c>
      <c r="Q72" s="14">
        <f t="shared" si="37"/>
        <v>1119.7448495524397</v>
      </c>
      <c r="R72" s="14">
        <f t="shared" si="38"/>
        <v>1573.4345730779978</v>
      </c>
      <c r="S72" s="14">
        <f t="shared" si="39"/>
        <v>2693.1794226304373</v>
      </c>
      <c r="T72" s="14">
        <f t="shared" si="40"/>
        <v>41.577060931899638</v>
      </c>
      <c r="AD72" s="140"/>
      <c r="AE72" s="141"/>
      <c r="AG72" s="140"/>
      <c r="AH72" s="140"/>
      <c r="AI72" s="140"/>
      <c r="AJ72" s="140"/>
      <c r="AK72" s="139" t="s">
        <v>373</v>
      </c>
      <c r="AM72" s="14">
        <f t="shared" si="41"/>
        <v>0.17210682492581603</v>
      </c>
      <c r="AN72" s="14">
        <f t="shared" si="42"/>
        <v>559.87242477621999</v>
      </c>
      <c r="AO72" s="14">
        <f t="shared" si="43"/>
        <v>499.5064200644232</v>
      </c>
      <c r="AP72" s="138"/>
      <c r="AQ72" s="138"/>
      <c r="AR72" s="138"/>
    </row>
    <row r="73" spans="1:44" ht="16.5" thickBot="1" x14ac:dyDescent="0.25">
      <c r="A73" s="35"/>
      <c r="B73" s="28"/>
      <c r="C73" s="27" t="s">
        <v>355</v>
      </c>
      <c r="D73" s="26" t="s">
        <v>373</v>
      </c>
      <c r="E73" s="25">
        <v>17.600000000000001</v>
      </c>
      <c r="F73" s="122">
        <v>6.1081617175193976</v>
      </c>
      <c r="J73" s="14" t="s">
        <v>355</v>
      </c>
      <c r="K73" s="14" t="s">
        <v>371</v>
      </c>
      <c r="L73" s="14">
        <v>35.325365205843291</v>
      </c>
      <c r="M73" s="14">
        <v>48.605577689243027</v>
      </c>
      <c r="O73" s="14">
        <f t="shared" si="35"/>
        <v>0.3532536520584329</v>
      </c>
      <c r="P73" s="14">
        <f t="shared" si="36"/>
        <v>0.48605577689243029</v>
      </c>
      <c r="Q73" s="14">
        <f t="shared" si="37"/>
        <v>1274.9387829125017</v>
      </c>
      <c r="R73" s="14">
        <f t="shared" si="38"/>
        <v>1754.2390772405099</v>
      </c>
      <c r="S73" s="14">
        <f t="shared" si="39"/>
        <v>3029.1778601530114</v>
      </c>
      <c r="T73" s="14">
        <f t="shared" si="40"/>
        <v>42.088607594936711</v>
      </c>
      <c r="U73" s="14">
        <f>AVERAGE(Q72:Q74)</f>
        <v>1110.5013557311693</v>
      </c>
      <c r="V73" s="14">
        <f>AVERAGE(R72:R74)</f>
        <v>1540.6126540705263</v>
      </c>
      <c r="W73" s="14">
        <f>AVERAGE(S72:S74)</f>
        <v>2651.1140098016954</v>
      </c>
      <c r="X73" s="14">
        <f>AVERAGE(T72:T74)</f>
        <v>41.885670172726115</v>
      </c>
      <c r="Y73" s="14">
        <v>903.5</v>
      </c>
      <c r="Z73" s="14">
        <f>(U73/10000)/(Y73/1000)</f>
        <v>0.12291105210084884</v>
      </c>
      <c r="AA73" s="14">
        <v>729</v>
      </c>
      <c r="AB73" s="14">
        <f>AA73+264+119.9</f>
        <v>1112.9000000000001</v>
      </c>
      <c r="AC73" s="14">
        <f>(U73/10000)/(AB73/1000)</f>
        <v>9.9784469020681929E-2</v>
      </c>
      <c r="AD73" s="140">
        <v>4.16</v>
      </c>
      <c r="AE73" s="141">
        <v>1.1599999999999999</v>
      </c>
      <c r="AF73" s="14">
        <f>AE73*25.4</f>
        <v>29.463999999999995</v>
      </c>
      <c r="AG73" s="140">
        <v>81.099999999999994</v>
      </c>
      <c r="AH73" s="140">
        <v>32.9</v>
      </c>
      <c r="AI73" s="140">
        <v>5.9</v>
      </c>
      <c r="AJ73" s="140">
        <v>9.1999999999999993</v>
      </c>
      <c r="AK73" s="139" t="s">
        <v>373</v>
      </c>
      <c r="AM73" s="14">
        <f t="shared" si="41"/>
        <v>0.16069057104913687</v>
      </c>
      <c r="AN73" s="14">
        <f t="shared" si="42"/>
        <v>579.95335613689019</v>
      </c>
      <c r="AO73" s="14">
        <f t="shared" si="43"/>
        <v>517.42220532485453</v>
      </c>
      <c r="AP73" s="138">
        <f>AVERAGE(AM72:AM74)</f>
        <v>0.16117756336419992</v>
      </c>
      <c r="AQ73" s="138">
        <f>AVERAGE(AN72:AN74)</f>
        <v>511.93380952729495</v>
      </c>
      <c r="AR73" s="138">
        <f>AVERAGE(AO72:AO74)</f>
        <v>456.73659425025261</v>
      </c>
    </row>
    <row r="74" spans="1:44" ht="16.5" thickBot="1" x14ac:dyDescent="0.25">
      <c r="A74" s="23"/>
      <c r="B74" s="22"/>
      <c r="C74" s="32" t="s">
        <v>356</v>
      </c>
      <c r="D74" s="31" t="s">
        <v>373</v>
      </c>
      <c r="E74" s="30">
        <v>13</v>
      </c>
      <c r="F74" s="123">
        <v>6.749216914643692</v>
      </c>
      <c r="J74" s="14" t="s">
        <v>356</v>
      </c>
      <c r="K74" s="14" t="s">
        <v>371</v>
      </c>
      <c r="L74" s="14">
        <v>35.661764705882362</v>
      </c>
      <c r="M74" s="14">
        <v>49.264705882352956</v>
      </c>
      <c r="O74" s="14">
        <f t="shared" si="35"/>
        <v>0.35661764705882359</v>
      </c>
      <c r="P74" s="14">
        <f t="shared" si="36"/>
        <v>0.49264705882352955</v>
      </c>
      <c r="Q74" s="14">
        <f t="shared" si="37"/>
        <v>936.82043472856662</v>
      </c>
      <c r="R74" s="14">
        <f t="shared" si="38"/>
        <v>1294.1643118930717</v>
      </c>
      <c r="S74" s="14">
        <f t="shared" si="39"/>
        <v>2230.9847466216384</v>
      </c>
      <c r="T74" s="14">
        <f t="shared" si="40"/>
        <v>41.991341991341983</v>
      </c>
      <c r="AD74" s="140"/>
      <c r="AE74" s="141"/>
      <c r="AG74" s="140"/>
      <c r="AH74" s="140"/>
      <c r="AI74" s="140"/>
      <c r="AJ74" s="140"/>
      <c r="AK74" s="139" t="s">
        <v>373</v>
      </c>
      <c r="AM74" s="14">
        <f t="shared" si="41"/>
        <v>0.15073529411764686</v>
      </c>
      <c r="AN74" s="14">
        <f t="shared" si="42"/>
        <v>395.97564766877497</v>
      </c>
      <c r="AO74" s="14">
        <f t="shared" si="43"/>
        <v>353.28115736147998</v>
      </c>
      <c r="AP74" s="138"/>
      <c r="AQ74" s="138"/>
      <c r="AR74" s="138"/>
    </row>
    <row r="75" spans="1:44" ht="15.75" x14ac:dyDescent="0.2">
      <c r="A75" s="34" t="s">
        <v>381</v>
      </c>
      <c r="B75" s="33">
        <v>1</v>
      </c>
      <c r="C75" s="32" t="s">
        <v>354</v>
      </c>
      <c r="D75" s="31" t="s">
        <v>363</v>
      </c>
      <c r="E75" s="30">
        <v>21</v>
      </c>
      <c r="F75" s="123">
        <v>6.6985376827896497</v>
      </c>
      <c r="H75" s="14" t="s">
        <v>381</v>
      </c>
      <c r="I75" s="14">
        <v>1</v>
      </c>
      <c r="J75" s="14" t="s">
        <v>354</v>
      </c>
      <c r="K75" s="14" t="s">
        <v>363</v>
      </c>
      <c r="L75" s="14">
        <v>35.817575083426021</v>
      </c>
      <c r="M75" s="14">
        <v>48.49833147942158</v>
      </c>
      <c r="O75" s="14">
        <f t="shared" si="35"/>
        <v>0.35817575083426023</v>
      </c>
      <c r="P75" s="14">
        <f t="shared" si="36"/>
        <v>0.4849833147942158</v>
      </c>
      <c r="Q75" s="14">
        <f t="shared" si="37"/>
        <v>1538.2076755148685</v>
      </c>
      <c r="R75" s="14">
        <f t="shared" si="38"/>
        <v>2082.7905171567786</v>
      </c>
      <c r="S75" s="14">
        <f t="shared" si="39"/>
        <v>3620.9981926716473</v>
      </c>
      <c r="T75" s="14">
        <f t="shared" si="40"/>
        <v>42.480211081794188</v>
      </c>
      <c r="AD75" s="140"/>
      <c r="AE75" s="141"/>
      <c r="AG75" s="140"/>
      <c r="AH75" s="140"/>
      <c r="AI75" s="140"/>
      <c r="AJ75" s="140"/>
      <c r="AK75" s="139" t="s">
        <v>363</v>
      </c>
      <c r="AM75" s="14">
        <f t="shared" si="41"/>
        <v>0.15684093437152397</v>
      </c>
      <c r="AN75" s="14">
        <f t="shared" si="42"/>
        <v>673.56298834657321</v>
      </c>
      <c r="AO75" s="14">
        <f t="shared" si="43"/>
        <v>600.93875338005739</v>
      </c>
      <c r="AP75" s="138"/>
      <c r="AQ75" s="138"/>
      <c r="AR75" s="138"/>
    </row>
    <row r="76" spans="1:44" ht="15.75" x14ac:dyDescent="0.2">
      <c r="A76" s="35"/>
      <c r="B76" s="28"/>
      <c r="C76" s="27" t="s">
        <v>355</v>
      </c>
      <c r="D76" s="26" t="s">
        <v>363</v>
      </c>
      <c r="E76" s="25">
        <v>21</v>
      </c>
      <c r="F76" s="122">
        <v>5.933551708001862</v>
      </c>
      <c r="J76" s="14" t="s">
        <v>355</v>
      </c>
      <c r="K76" s="14" t="s">
        <v>363</v>
      </c>
      <c r="L76" s="14">
        <v>35.682819383259911</v>
      </c>
      <c r="M76" s="14">
        <v>49.118942731277535</v>
      </c>
      <c r="O76" s="14">
        <f t="shared" si="35"/>
        <v>0.35682819383259912</v>
      </c>
      <c r="P76" s="14">
        <f t="shared" si="36"/>
        <v>0.49118942731277537</v>
      </c>
      <c r="Q76" s="14">
        <f t="shared" si="37"/>
        <v>1544.9849449397725</v>
      </c>
      <c r="R76" s="14">
        <f t="shared" si="38"/>
        <v>2126.738535318329</v>
      </c>
      <c r="S76" s="14">
        <f t="shared" si="39"/>
        <v>3671.7234802581015</v>
      </c>
      <c r="T76" s="14">
        <f t="shared" si="40"/>
        <v>42.077922077922075</v>
      </c>
      <c r="U76" s="14">
        <f>AVERAGE(Q75:Q77)</f>
        <v>1545.7184050885733</v>
      </c>
      <c r="V76" s="14">
        <f>AVERAGE(R75:R77)</f>
        <v>2100.2213007608698</v>
      </c>
      <c r="W76" s="14">
        <f>AVERAGE(S75:S77)</f>
        <v>3645.9397058494433</v>
      </c>
      <c r="X76" s="14">
        <f>AVERAGE(T75:T77)</f>
        <v>42.396570702361565</v>
      </c>
      <c r="Y76" s="14">
        <v>908.9</v>
      </c>
      <c r="Z76" s="14">
        <f>(U76/10000)/(Y76/1000)</f>
        <v>0.17006473815475559</v>
      </c>
      <c r="AA76" s="14">
        <v>759.7</v>
      </c>
      <c r="AB76" s="14">
        <f>AA76+264+119.9</f>
        <v>1143.6000000000001</v>
      </c>
      <c r="AC76" s="14">
        <f>(U76/10000)/(AB76/1000)</f>
        <v>0.13516250481711903</v>
      </c>
      <c r="AD76" s="140">
        <v>4.67</v>
      </c>
      <c r="AE76" s="141">
        <v>1.1399999999999999</v>
      </c>
      <c r="AF76" s="14">
        <f>AE76*25.4</f>
        <v>28.955999999999996</v>
      </c>
      <c r="AG76" s="140">
        <v>80.7</v>
      </c>
      <c r="AH76" s="140">
        <v>31.1</v>
      </c>
      <c r="AI76" s="140">
        <v>6</v>
      </c>
      <c r="AJ76" s="140">
        <v>9.5</v>
      </c>
      <c r="AK76" s="139" t="s">
        <v>363</v>
      </c>
      <c r="AM76" s="14">
        <f t="shared" si="41"/>
        <v>0.15198237885462551</v>
      </c>
      <c r="AN76" s="14">
        <f t="shared" si="42"/>
        <v>658.04914321508807</v>
      </c>
      <c r="AO76" s="14">
        <f t="shared" si="43"/>
        <v>587.09762654449412</v>
      </c>
      <c r="AP76" s="138">
        <f>AVERAGE(AM75:AM77)</f>
        <v>0.15603844954145982</v>
      </c>
      <c r="AQ76" s="138">
        <f>AVERAGE(AN75:AN77)</f>
        <v>674.08739123330599</v>
      </c>
      <c r="AR76" s="138">
        <f>AVERAGE(AO75:AO77)</f>
        <v>601.40661462313983</v>
      </c>
    </row>
    <row r="77" spans="1:44" ht="16.5" thickBot="1" x14ac:dyDescent="0.25">
      <c r="A77" s="23"/>
      <c r="B77" s="22"/>
      <c r="C77" s="21" t="s">
        <v>356</v>
      </c>
      <c r="D77" s="20" t="s">
        <v>363</v>
      </c>
      <c r="E77" s="19">
        <v>21</v>
      </c>
      <c r="F77" s="121">
        <v>5.803744852769781</v>
      </c>
      <c r="J77" s="14" t="s">
        <v>356</v>
      </c>
      <c r="K77" s="14" t="s">
        <v>363</v>
      </c>
      <c r="L77" s="14">
        <v>35.840707964601769</v>
      </c>
      <c r="M77" s="14">
        <v>48.230088495575231</v>
      </c>
      <c r="O77" s="14">
        <f t="shared" si="35"/>
        <v>0.3584070796460177</v>
      </c>
      <c r="P77" s="14">
        <f t="shared" si="36"/>
        <v>0.4823008849557523</v>
      </c>
      <c r="Q77" s="14">
        <f t="shared" si="37"/>
        <v>1553.962594811079</v>
      </c>
      <c r="R77" s="14">
        <f t="shared" si="38"/>
        <v>2091.1348498075017</v>
      </c>
      <c r="S77" s="14">
        <f t="shared" si="39"/>
        <v>3645.097444618581</v>
      </c>
      <c r="T77" s="14">
        <f t="shared" si="40"/>
        <v>42.631578947368418</v>
      </c>
      <c r="AD77" s="140"/>
      <c r="AE77" s="141"/>
      <c r="AG77" s="140"/>
      <c r="AH77" s="140"/>
      <c r="AI77" s="140"/>
      <c r="AJ77" s="140"/>
      <c r="AK77" s="139" t="s">
        <v>363</v>
      </c>
      <c r="AM77" s="14">
        <f t="shared" si="41"/>
        <v>0.15929203539823</v>
      </c>
      <c r="AN77" s="14">
        <f t="shared" si="42"/>
        <v>690.65004213825694</v>
      </c>
      <c r="AO77" s="14">
        <f t="shared" si="43"/>
        <v>616.18346394486798</v>
      </c>
      <c r="AP77" s="138"/>
      <c r="AQ77" s="138"/>
      <c r="AR77" s="138"/>
    </row>
    <row r="78" spans="1:44" ht="15.75" x14ac:dyDescent="0.2">
      <c r="A78" s="34" t="s">
        <v>381</v>
      </c>
      <c r="B78" s="33">
        <v>2</v>
      </c>
      <c r="C78" s="32" t="s">
        <v>354</v>
      </c>
      <c r="D78" s="31" t="s">
        <v>370</v>
      </c>
      <c r="E78" s="30">
        <v>16.2</v>
      </c>
      <c r="F78" s="123">
        <v>5.4450636535610233</v>
      </c>
      <c r="H78" s="14" t="s">
        <v>381</v>
      </c>
      <c r="I78" s="14">
        <v>2</v>
      </c>
      <c r="J78" s="14" t="s">
        <v>354</v>
      </c>
      <c r="K78" s="14" t="s">
        <v>370</v>
      </c>
      <c r="L78" s="14">
        <v>34.705882352941174</v>
      </c>
      <c r="M78" s="14">
        <v>48.235294117647065</v>
      </c>
      <c r="O78" s="14">
        <f t="shared" si="35"/>
        <v>0.34705882352941175</v>
      </c>
      <c r="P78" s="14">
        <f t="shared" si="36"/>
        <v>0.48235294117647065</v>
      </c>
      <c r="Q78" s="14">
        <f t="shared" si="37"/>
        <v>1158.8719703864372</v>
      </c>
      <c r="R78" s="14">
        <f t="shared" si="38"/>
        <v>1610.6356198591163</v>
      </c>
      <c r="S78" s="14">
        <f t="shared" si="39"/>
        <v>2769.5075902455537</v>
      </c>
      <c r="T78" s="14">
        <f t="shared" si="40"/>
        <v>41.843971631205669</v>
      </c>
      <c r="AD78" s="140"/>
      <c r="AE78" s="141"/>
      <c r="AG78" s="140"/>
      <c r="AH78" s="140"/>
      <c r="AI78" s="140"/>
      <c r="AJ78" s="140"/>
      <c r="AK78" s="139" t="s">
        <v>370</v>
      </c>
      <c r="AM78" s="14">
        <f t="shared" si="41"/>
        <v>0.1705882352941176</v>
      </c>
      <c r="AN78" s="14">
        <f t="shared" si="42"/>
        <v>569.61503629163849</v>
      </c>
      <c r="AO78" s="14">
        <f t="shared" si="43"/>
        <v>508.19857346363779</v>
      </c>
      <c r="AP78" s="138"/>
      <c r="AQ78" s="138"/>
      <c r="AR78" s="138"/>
    </row>
    <row r="79" spans="1:44" ht="15.75" x14ac:dyDescent="0.2">
      <c r="A79" s="29"/>
      <c r="B79" s="28"/>
      <c r="C79" s="27" t="s">
        <v>355</v>
      </c>
      <c r="D79" s="26" t="s">
        <v>370</v>
      </c>
      <c r="E79" s="25">
        <v>14.1</v>
      </c>
      <c r="F79" s="122">
        <v>7.3478587528174319</v>
      </c>
      <c r="J79" s="14" t="s">
        <v>355</v>
      </c>
      <c r="K79" s="14" t="s">
        <v>370</v>
      </c>
      <c r="L79" s="14">
        <v>34.45945945945946</v>
      </c>
      <c r="M79" s="14">
        <v>48.986486486486491</v>
      </c>
      <c r="O79" s="14">
        <f t="shared" si="35"/>
        <v>0.34459459459459457</v>
      </c>
      <c r="P79" s="14">
        <f t="shared" si="36"/>
        <v>0.48986486486486491</v>
      </c>
      <c r="Q79" s="14">
        <f t="shared" si="37"/>
        <v>977.82179989092424</v>
      </c>
      <c r="R79" s="14">
        <f t="shared" si="38"/>
        <v>1390.0407939625886</v>
      </c>
      <c r="S79" s="14">
        <f t="shared" si="39"/>
        <v>2367.8625938535129</v>
      </c>
      <c r="T79" s="14">
        <f t="shared" si="40"/>
        <v>41.295546558704451</v>
      </c>
      <c r="U79" s="14">
        <f>AVERAGE(Q78:Q80)</f>
        <v>1101.4513113329951</v>
      </c>
      <c r="V79" s="14">
        <f>AVERAGE(R78:R80)</f>
        <v>1537.4134804791668</v>
      </c>
      <c r="W79" s="14">
        <f>AVERAGE(S78:S80)</f>
        <v>2638.8647918121624</v>
      </c>
      <c r="X79" s="14">
        <f>AVERAGE(T78:T80)</f>
        <v>41.717802359599666</v>
      </c>
      <c r="Y79" s="14">
        <v>787.6</v>
      </c>
      <c r="Z79" s="14">
        <f>(U79/10000)/(Y79/1000)</f>
        <v>0.13984907457249809</v>
      </c>
      <c r="AA79" s="14">
        <v>618.4</v>
      </c>
      <c r="AB79" s="14">
        <f>AA79+264+119.9</f>
        <v>1002.3</v>
      </c>
      <c r="AC79" s="14">
        <f>(U79/10000)/(AB79/1000)</f>
        <v>0.10989237866237606</v>
      </c>
      <c r="AD79" s="140">
        <v>4.83</v>
      </c>
      <c r="AE79" s="141">
        <v>1.1200000000000001</v>
      </c>
      <c r="AF79" s="14">
        <f>AE79*25.4</f>
        <v>28.448</v>
      </c>
      <c r="AG79" s="140">
        <v>80.2</v>
      </c>
      <c r="AH79" s="140">
        <v>30.7</v>
      </c>
      <c r="AI79" s="140">
        <v>5.9</v>
      </c>
      <c r="AJ79" s="140">
        <v>9.9</v>
      </c>
      <c r="AK79" s="139" t="s">
        <v>370</v>
      </c>
      <c r="AM79" s="14">
        <f t="shared" si="41"/>
        <v>0.16554054054054057</v>
      </c>
      <c r="AN79" s="14">
        <f t="shared" si="42"/>
        <v>469.73792347701277</v>
      </c>
      <c r="AO79" s="14">
        <f t="shared" si="43"/>
        <v>419.09031082979783</v>
      </c>
      <c r="AP79" s="138">
        <f>AVERAGE(AM78:AM80)</f>
        <v>0.17226103812791119</v>
      </c>
      <c r="AQ79" s="138">
        <f>AVERAGE(AN78:AN80)</f>
        <v>550.7110978741872</v>
      </c>
      <c r="AR79" s="138">
        <f>AVERAGE(AO78:AO80)</f>
        <v>491.33287659029446</v>
      </c>
    </row>
    <row r="80" spans="1:44" ht="16.5" thickBot="1" x14ac:dyDescent="0.25">
      <c r="A80" s="23"/>
      <c r="B80" s="22"/>
      <c r="C80" s="21" t="s">
        <v>356</v>
      </c>
      <c r="D80" s="20" t="s">
        <v>370</v>
      </c>
      <c r="E80" s="19">
        <v>16.600000000000001</v>
      </c>
      <c r="F80" s="121">
        <v>6.3163311249758758</v>
      </c>
      <c r="J80" s="14" t="s">
        <v>356</v>
      </c>
      <c r="K80" s="14" t="s">
        <v>370</v>
      </c>
      <c r="L80" s="14">
        <v>34.423897581792318</v>
      </c>
      <c r="M80" s="14">
        <v>47.510668563300143</v>
      </c>
      <c r="O80" s="14">
        <f t="shared" si="35"/>
        <v>0.34423897581792318</v>
      </c>
      <c r="P80" s="14">
        <f t="shared" si="36"/>
        <v>0.47510668563300146</v>
      </c>
      <c r="Q80" s="14">
        <f t="shared" si="37"/>
        <v>1167.6601637216243</v>
      </c>
      <c r="R80" s="14">
        <f t="shared" si="38"/>
        <v>1611.5640276157958</v>
      </c>
      <c r="S80" s="14">
        <f t="shared" si="39"/>
        <v>2779.2241913374201</v>
      </c>
      <c r="T80" s="14">
        <f t="shared" si="40"/>
        <v>42.013888888888886</v>
      </c>
      <c r="AD80" s="140"/>
      <c r="AE80" s="141"/>
      <c r="AG80" s="140"/>
      <c r="AH80" s="140"/>
      <c r="AI80" s="140"/>
      <c r="AJ80" s="140"/>
      <c r="AK80" s="139" t="s">
        <v>370</v>
      </c>
      <c r="AM80" s="14">
        <f t="shared" si="41"/>
        <v>0.18065433854907537</v>
      </c>
      <c r="AN80" s="14">
        <f t="shared" si="42"/>
        <v>612.78033385391029</v>
      </c>
      <c r="AO80" s="14">
        <f t="shared" si="43"/>
        <v>546.70974547744788</v>
      </c>
      <c r="AP80" s="138"/>
      <c r="AQ80" s="138"/>
      <c r="AR80" s="138"/>
    </row>
    <row r="81" spans="1:44" ht="15.75" x14ac:dyDescent="0.2">
      <c r="A81" s="34" t="s">
        <v>381</v>
      </c>
      <c r="B81" s="33">
        <v>3</v>
      </c>
      <c r="C81" s="32" t="s">
        <v>354</v>
      </c>
      <c r="D81" s="31" t="s">
        <v>353</v>
      </c>
      <c r="E81" s="30">
        <v>19.2</v>
      </c>
      <c r="F81" s="123">
        <v>5.7991590673292226</v>
      </c>
      <c r="H81" s="14" t="s">
        <v>381</v>
      </c>
      <c r="I81" s="14">
        <v>3</v>
      </c>
      <c r="J81" s="14" t="s">
        <v>354</v>
      </c>
      <c r="K81" s="14" t="s">
        <v>353</v>
      </c>
      <c r="L81" s="14">
        <v>35.079171741778318</v>
      </c>
      <c r="M81" s="14">
        <v>48.964677222898914</v>
      </c>
      <c r="O81" s="14">
        <f t="shared" si="35"/>
        <v>0.3507917174177832</v>
      </c>
      <c r="P81" s="14">
        <f t="shared" si="36"/>
        <v>0.48964677222898911</v>
      </c>
      <c r="Q81" s="14">
        <f t="shared" si="37"/>
        <v>1388.2427439545465</v>
      </c>
      <c r="R81" s="14">
        <f t="shared" si="38"/>
        <v>1937.7554967698882</v>
      </c>
      <c r="S81" s="14">
        <f t="shared" si="39"/>
        <v>3325.9982407244347</v>
      </c>
      <c r="T81" s="14">
        <f t="shared" si="40"/>
        <v>41.739130434782609</v>
      </c>
      <c r="AD81" s="140"/>
      <c r="AE81" s="141"/>
      <c r="AG81" s="140"/>
      <c r="AH81" s="140"/>
      <c r="AI81" s="140"/>
      <c r="AJ81" s="140"/>
      <c r="AK81" s="139" t="s">
        <v>353</v>
      </c>
      <c r="AM81" s="14">
        <f t="shared" si="41"/>
        <v>0.15956151035322763</v>
      </c>
      <c r="AN81" s="14">
        <f t="shared" si="42"/>
        <v>631.45763700710222</v>
      </c>
      <c r="AO81" s="14">
        <f t="shared" si="43"/>
        <v>563.3732431273595</v>
      </c>
      <c r="AP81" s="138"/>
      <c r="AQ81" s="138"/>
      <c r="AR81" s="138"/>
    </row>
    <row r="82" spans="1:44" ht="15.75" x14ac:dyDescent="0.2">
      <c r="A82" s="29"/>
      <c r="B82" s="28"/>
      <c r="C82" s="27" t="s">
        <v>355</v>
      </c>
      <c r="D82" s="26" t="s">
        <v>353</v>
      </c>
      <c r="E82" s="25">
        <v>21.3</v>
      </c>
      <c r="F82" s="122">
        <v>5.6269113149846994</v>
      </c>
      <c r="J82" s="14" t="s">
        <v>355</v>
      </c>
      <c r="K82" s="14" t="s">
        <v>353</v>
      </c>
      <c r="L82" s="14">
        <v>36.105032822757103</v>
      </c>
      <c r="M82" s="14">
        <v>48.577680525164112</v>
      </c>
      <c r="O82" s="14">
        <f t="shared" si="35"/>
        <v>0.36105032822757105</v>
      </c>
      <c r="P82" s="14">
        <f t="shared" si="36"/>
        <v>0.48577680525164113</v>
      </c>
      <c r="Q82" s="14">
        <f t="shared" si="37"/>
        <v>1591.1798707354483</v>
      </c>
      <c r="R82" s="14">
        <f t="shared" si="38"/>
        <v>2140.8601897167855</v>
      </c>
      <c r="S82" s="14">
        <f t="shared" si="39"/>
        <v>3732.0400604522338</v>
      </c>
      <c r="T82" s="14">
        <f t="shared" si="40"/>
        <v>42.635658914728673</v>
      </c>
      <c r="U82" s="14">
        <f>AVERAGE(Q81:Q83)</f>
        <v>1539.899576376989</v>
      </c>
      <c r="V82" s="14">
        <f>AVERAGE(R81:R83)</f>
        <v>2089.6222444722257</v>
      </c>
      <c r="W82" s="14">
        <f>AVERAGE(S81:S83)</f>
        <v>3629.5218208492151</v>
      </c>
      <c r="X82" s="14">
        <f>AVERAGE(T81:T83)</f>
        <v>42.398649346562529</v>
      </c>
      <c r="Y82" s="14">
        <v>1018.9</v>
      </c>
      <c r="Z82" s="14">
        <f>(U82/10000)/(Y82/1000)</f>
        <v>0.15113353384797223</v>
      </c>
      <c r="AA82" s="14">
        <v>850.4</v>
      </c>
      <c r="AB82" s="14">
        <f>AA82+264+119.9</f>
        <v>1234.3000000000002</v>
      </c>
      <c r="AC82" s="14">
        <f>(U82/10000)/(AB82/1000)</f>
        <v>0.12475893837616372</v>
      </c>
      <c r="AD82" s="140">
        <v>4.37</v>
      </c>
      <c r="AE82" s="141">
        <v>1.1599999999999999</v>
      </c>
      <c r="AF82" s="14">
        <f>AE82*25.4</f>
        <v>29.463999999999995</v>
      </c>
      <c r="AG82" s="140">
        <v>81.599999999999994</v>
      </c>
      <c r="AH82" s="140">
        <v>32.299999999999997</v>
      </c>
      <c r="AI82" s="140">
        <v>6.1</v>
      </c>
      <c r="AJ82" s="140">
        <v>9.1999999999999993</v>
      </c>
      <c r="AK82" s="139" t="s">
        <v>353</v>
      </c>
      <c r="AM82" s="14">
        <f t="shared" si="41"/>
        <v>0.15317286652078788</v>
      </c>
      <c r="AN82" s="14">
        <f t="shared" si="42"/>
        <v>675.04600576655446</v>
      </c>
      <c r="AO82" s="14">
        <f t="shared" si="43"/>
        <v>602.26187037879879</v>
      </c>
      <c r="AP82" s="138">
        <f>AVERAGE(AM81:AM83)</f>
        <v>0.1595669211428791</v>
      </c>
      <c r="AQ82" s="138">
        <f>AVERAGE(AN81:AN83)</f>
        <v>689.58320061246741</v>
      </c>
      <c r="AR82" s="138">
        <f>AVERAGE(AO81:AO83)</f>
        <v>615.23165033923044</v>
      </c>
    </row>
    <row r="83" spans="1:44" ht="16.5" thickBot="1" x14ac:dyDescent="0.25">
      <c r="A83" s="23"/>
      <c r="B83" s="22"/>
      <c r="C83" s="21" t="s">
        <v>356</v>
      </c>
      <c r="D83" s="20" t="s">
        <v>353</v>
      </c>
      <c r="E83" s="19">
        <v>22.4</v>
      </c>
      <c r="F83" s="121">
        <v>6.5636220334530204</v>
      </c>
      <c r="J83" s="14" t="s">
        <v>356</v>
      </c>
      <c r="K83" s="14" t="s">
        <v>353</v>
      </c>
      <c r="L83" s="14">
        <v>35.714285714285715</v>
      </c>
      <c r="M83" s="14">
        <v>47.689075630252105</v>
      </c>
      <c r="O83" s="14">
        <f t="shared" si="35"/>
        <v>0.35714285714285715</v>
      </c>
      <c r="P83" s="14">
        <f t="shared" si="36"/>
        <v>0.47689075630252103</v>
      </c>
      <c r="Q83" s="14">
        <f t="shared" si="37"/>
        <v>1640.2761144409722</v>
      </c>
      <c r="R83" s="14">
        <f t="shared" si="38"/>
        <v>2190.2510469300041</v>
      </c>
      <c r="S83" s="14">
        <f t="shared" si="39"/>
        <v>3830.5271613709765</v>
      </c>
      <c r="T83" s="14">
        <f t="shared" si="40"/>
        <v>42.821158690176318</v>
      </c>
      <c r="AD83" s="140"/>
      <c r="AE83" s="141"/>
      <c r="AG83" s="140"/>
      <c r="AH83" s="140"/>
      <c r="AI83" s="140"/>
      <c r="AJ83" s="140"/>
      <c r="AK83" s="139" t="s">
        <v>353</v>
      </c>
      <c r="AM83" s="14">
        <f t="shared" si="41"/>
        <v>0.16596638655462176</v>
      </c>
      <c r="AN83" s="14">
        <f t="shared" si="42"/>
        <v>762.24595906374543</v>
      </c>
      <c r="AO83" s="14">
        <f t="shared" si="43"/>
        <v>680.05983751153337</v>
      </c>
      <c r="AP83" s="138"/>
      <c r="AQ83" s="138"/>
      <c r="AR83" s="138"/>
    </row>
    <row r="84" spans="1:44" ht="15.75" x14ac:dyDescent="0.2">
      <c r="A84" s="34" t="s">
        <v>381</v>
      </c>
      <c r="B84" s="33">
        <v>4</v>
      </c>
      <c r="C84" s="32" t="s">
        <v>354</v>
      </c>
      <c r="D84" s="31" t="s">
        <v>374</v>
      </c>
      <c r="E84" s="30">
        <v>18.3</v>
      </c>
      <c r="F84" s="123">
        <v>5.889670091941583</v>
      </c>
      <c r="H84" s="14" t="s">
        <v>381</v>
      </c>
      <c r="I84" s="14">
        <v>4</v>
      </c>
      <c r="J84" s="14" t="s">
        <v>354</v>
      </c>
      <c r="K84" s="14" t="s">
        <v>374</v>
      </c>
      <c r="L84" s="14">
        <v>34.871794871794869</v>
      </c>
      <c r="M84" s="14">
        <v>48.205128205128219</v>
      </c>
      <c r="O84" s="14">
        <f t="shared" si="35"/>
        <v>0.3487179487179487</v>
      </c>
      <c r="P84" s="14">
        <f t="shared" si="36"/>
        <v>0.48205128205128217</v>
      </c>
      <c r="Q84" s="14">
        <f t="shared" si="37"/>
        <v>1312.7779854149178</v>
      </c>
      <c r="R84" s="14">
        <f t="shared" si="38"/>
        <v>1814.7225092500339</v>
      </c>
      <c r="S84" s="14">
        <f t="shared" si="39"/>
        <v>3127.5004946649515</v>
      </c>
      <c r="T84" s="14">
        <f t="shared" si="40"/>
        <v>41.975308641975303</v>
      </c>
      <c r="AD84" s="140"/>
      <c r="AE84" s="141"/>
      <c r="AG84" s="140"/>
      <c r="AH84" s="140"/>
      <c r="AI84" s="140"/>
      <c r="AJ84" s="140"/>
      <c r="AK84" s="139" t="s">
        <v>374</v>
      </c>
      <c r="AM84" s="14">
        <f t="shared" si="41"/>
        <v>0.16923076923076913</v>
      </c>
      <c r="AN84" s="14">
        <f t="shared" si="42"/>
        <v>637.08343409841575</v>
      </c>
      <c r="AO84" s="14">
        <f t="shared" si="43"/>
        <v>568.39246115049048</v>
      </c>
      <c r="AP84" s="138"/>
      <c r="AQ84" s="138"/>
      <c r="AR84" s="138"/>
    </row>
    <row r="85" spans="1:44" ht="15.75" x14ac:dyDescent="0.2">
      <c r="A85" s="29"/>
      <c r="B85" s="28"/>
      <c r="C85" s="27" t="s">
        <v>355</v>
      </c>
      <c r="D85" s="26" t="s">
        <v>374</v>
      </c>
      <c r="E85" s="25">
        <v>18.399999999999999</v>
      </c>
      <c r="F85" s="122">
        <v>5.6412185031966802</v>
      </c>
      <c r="J85" s="14" t="s">
        <v>355</v>
      </c>
      <c r="K85" s="14" t="s">
        <v>374</v>
      </c>
      <c r="L85" s="14">
        <v>36.086404066073705</v>
      </c>
      <c r="M85" s="14">
        <v>48.792884371029224</v>
      </c>
      <c r="O85" s="14">
        <f t="shared" si="35"/>
        <v>0.36086404066073707</v>
      </c>
      <c r="P85" s="14">
        <f t="shared" si="36"/>
        <v>0.48792884371029221</v>
      </c>
      <c r="Q85" s="14">
        <f t="shared" si="37"/>
        <v>1369.690365788847</v>
      </c>
      <c r="R85" s="14">
        <f t="shared" si="38"/>
        <v>1851.9757058553416</v>
      </c>
      <c r="S85" s="14">
        <f t="shared" si="39"/>
        <v>3221.6660716441884</v>
      </c>
      <c r="T85" s="14">
        <f t="shared" si="40"/>
        <v>42.514970059880255</v>
      </c>
      <c r="U85" s="14">
        <f>AVERAGE(Q84:Q86)</f>
        <v>1299.5802107809748</v>
      </c>
      <c r="V85" s="14">
        <f>AVERAGE(R84:R86)</f>
        <v>1773.6095058182109</v>
      </c>
      <c r="W85" s="14">
        <f>AVERAGE(S84:S86)</f>
        <v>3073.1897165991854</v>
      </c>
      <c r="X85" s="14">
        <f>AVERAGE(T84:T86)</f>
        <v>42.287720019262586</v>
      </c>
      <c r="Y85" s="14">
        <v>884</v>
      </c>
      <c r="Z85" s="14">
        <f>(U85/10000)/(Y85/1000)</f>
        <v>0.14701133606119623</v>
      </c>
      <c r="AA85" s="14">
        <v>709.1</v>
      </c>
      <c r="AB85" s="14">
        <f>AA85+264+119.9</f>
        <v>1093</v>
      </c>
      <c r="AC85" s="14">
        <f>(U85/10000)/(AB85/1000)</f>
        <v>0.11890029375855213</v>
      </c>
      <c r="AD85" s="140">
        <v>4.1900000000000004</v>
      </c>
      <c r="AE85" s="141">
        <v>1.1499999999999999</v>
      </c>
      <c r="AF85" s="14">
        <f>AE85*25.4</f>
        <v>29.209999999999997</v>
      </c>
      <c r="AG85" s="140">
        <v>81.400000000000006</v>
      </c>
      <c r="AH85" s="140">
        <v>31.9</v>
      </c>
      <c r="AI85" s="140">
        <v>6.1</v>
      </c>
      <c r="AJ85" s="140">
        <v>9.5</v>
      </c>
      <c r="AK85" s="139" t="s">
        <v>374</v>
      </c>
      <c r="AM85" s="14">
        <f t="shared" si="41"/>
        <v>0.15120711562897071</v>
      </c>
      <c r="AN85" s="14">
        <f t="shared" si="42"/>
        <v>573.91955467912919</v>
      </c>
      <c r="AO85" s="14">
        <f t="shared" si="43"/>
        <v>512.03897437407079</v>
      </c>
      <c r="AP85" s="138">
        <f>AVERAGE(AM84:AM86)</f>
        <v>0.16236818384213547</v>
      </c>
      <c r="AQ85" s="138">
        <f>AVERAGE(AN84:AN86)</f>
        <v>595.02783515840929</v>
      </c>
      <c r="AR85" s="138">
        <f>AVERAGE(AO84:AO86)</f>
        <v>530.8713389437944</v>
      </c>
    </row>
    <row r="86" spans="1:44" ht="16.5" thickBot="1" x14ac:dyDescent="0.25">
      <c r="A86" s="23"/>
      <c r="B86" s="22"/>
      <c r="C86" s="21" t="s">
        <v>356</v>
      </c>
      <c r="D86" s="20" t="s">
        <v>374</v>
      </c>
      <c r="E86" s="19">
        <v>16.8</v>
      </c>
      <c r="F86" s="121">
        <v>6.0256732947394909</v>
      </c>
      <c r="J86" s="14" t="s">
        <v>356</v>
      </c>
      <c r="K86" s="14" t="s">
        <v>374</v>
      </c>
      <c r="L86" s="14">
        <v>35.310734463276837</v>
      </c>
      <c r="M86" s="14">
        <v>48.022598870056505</v>
      </c>
      <c r="O86" s="14">
        <f t="shared" si="35"/>
        <v>0.35310734463276838</v>
      </c>
      <c r="P86" s="14">
        <f t="shared" si="36"/>
        <v>0.48022598870056504</v>
      </c>
      <c r="Q86" s="14">
        <f t="shared" si="37"/>
        <v>1216.2722811391593</v>
      </c>
      <c r="R86" s="14">
        <f t="shared" si="38"/>
        <v>1654.1303023492569</v>
      </c>
      <c r="S86" s="14">
        <f t="shared" si="39"/>
        <v>2870.402583488416</v>
      </c>
      <c r="T86" s="14">
        <f t="shared" si="40"/>
        <v>42.372881355932201</v>
      </c>
      <c r="AD86" s="140"/>
      <c r="AE86" s="141"/>
      <c r="AG86" s="140"/>
      <c r="AH86" s="140"/>
      <c r="AI86" s="140"/>
      <c r="AJ86" s="140"/>
      <c r="AK86" s="139" t="s">
        <v>374</v>
      </c>
      <c r="AM86" s="14">
        <f t="shared" si="41"/>
        <v>0.16666666666666657</v>
      </c>
      <c r="AN86" s="14">
        <f t="shared" si="42"/>
        <v>574.08051669768292</v>
      </c>
      <c r="AO86" s="14">
        <f t="shared" si="43"/>
        <v>512.18258130682204</v>
      </c>
      <c r="AP86" s="138"/>
      <c r="AQ86" s="138"/>
      <c r="AR86" s="138"/>
    </row>
    <row r="87" spans="1:44" ht="16.5" thickBot="1" x14ac:dyDescent="0.25">
      <c r="A87" s="34" t="s">
        <v>380</v>
      </c>
      <c r="B87" s="33">
        <v>1</v>
      </c>
      <c r="C87" s="21" t="s">
        <v>354</v>
      </c>
      <c r="D87" s="20" t="s">
        <v>359</v>
      </c>
      <c r="E87" s="19">
        <v>20.6</v>
      </c>
      <c r="F87" s="121">
        <v>6.7664501553233505</v>
      </c>
      <c r="H87" s="14" t="s">
        <v>380</v>
      </c>
      <c r="I87" s="14">
        <v>1</v>
      </c>
      <c r="J87" s="14" t="s">
        <v>354</v>
      </c>
      <c r="K87" s="14" t="s">
        <v>375</v>
      </c>
      <c r="L87" s="14">
        <v>34.70319634703197</v>
      </c>
      <c r="M87" s="14">
        <v>49.086757990867589</v>
      </c>
      <c r="O87" s="14">
        <f t="shared" si="35"/>
        <v>0.34703196347031967</v>
      </c>
      <c r="P87" s="14">
        <f t="shared" si="36"/>
        <v>0.49086757990867591</v>
      </c>
      <c r="Q87" s="14">
        <f t="shared" si="37"/>
        <v>1460.3754770810135</v>
      </c>
      <c r="R87" s="14">
        <f t="shared" si="38"/>
        <v>2065.6626813974867</v>
      </c>
      <c r="S87" s="14">
        <f t="shared" si="39"/>
        <v>3526.0381584785</v>
      </c>
      <c r="T87" s="14">
        <f t="shared" si="40"/>
        <v>41.416893732970024</v>
      </c>
      <c r="AD87" s="140"/>
      <c r="AE87" s="141"/>
      <c r="AG87" s="140"/>
      <c r="AH87" s="140"/>
      <c r="AI87" s="140"/>
      <c r="AJ87" s="140"/>
      <c r="AK87" s="139" t="s">
        <v>359</v>
      </c>
      <c r="AM87" s="14">
        <f t="shared" si="41"/>
        <v>0.16210045662100447</v>
      </c>
      <c r="AN87" s="14">
        <f t="shared" si="42"/>
        <v>682.14907153126251</v>
      </c>
      <c r="AO87" s="14">
        <f t="shared" si="43"/>
        <v>608.59907648969033</v>
      </c>
      <c r="AP87" s="138"/>
      <c r="AQ87" s="138"/>
      <c r="AR87" s="138"/>
    </row>
    <row r="88" spans="1:44" ht="16.5" thickBot="1" x14ac:dyDescent="0.25">
      <c r="A88" s="29"/>
      <c r="B88" s="28"/>
      <c r="C88" s="27" t="s">
        <v>355</v>
      </c>
      <c r="D88" s="26" t="s">
        <v>359</v>
      </c>
      <c r="E88" s="25">
        <v>18.3</v>
      </c>
      <c r="F88" s="122">
        <v>5.9508668585581459</v>
      </c>
      <c r="J88" s="14" t="s">
        <v>355</v>
      </c>
      <c r="K88" s="14" t="s">
        <v>375</v>
      </c>
      <c r="L88" s="14">
        <v>34.704370179948576</v>
      </c>
      <c r="M88" s="14">
        <v>48.586118251928021</v>
      </c>
      <c r="O88" s="14">
        <f t="shared" si="35"/>
        <v>0.34704370179948574</v>
      </c>
      <c r="P88" s="14">
        <f t="shared" si="36"/>
        <v>0.48586118251928023</v>
      </c>
      <c r="Q88" s="14">
        <f t="shared" si="37"/>
        <v>1305.6255857465749</v>
      </c>
      <c r="R88" s="14">
        <f t="shared" si="38"/>
        <v>1827.875820045206</v>
      </c>
      <c r="S88" s="14">
        <f t="shared" si="39"/>
        <v>3133.5014057917806</v>
      </c>
      <c r="T88" s="14">
        <f t="shared" si="40"/>
        <v>41.66666666666665</v>
      </c>
      <c r="U88" s="14">
        <f>AVERAGE(Q87:Q89)</f>
        <v>1426.9035926523968</v>
      </c>
      <c r="V88" s="14">
        <f>AVERAGE(R87:R89)</f>
        <v>1977.5236034236677</v>
      </c>
      <c r="W88" s="14">
        <f>AVERAGE(S87:S89)</f>
        <v>3404.4271960760648</v>
      </c>
      <c r="X88" s="14">
        <f>AVERAGE(T87:T89)</f>
        <v>41.902170406436262</v>
      </c>
      <c r="Y88" s="14">
        <v>1045.2</v>
      </c>
      <c r="Z88" s="14">
        <f>(U88/10000)/(Y88/1000)</f>
        <v>0.13651967017340189</v>
      </c>
      <c r="AA88" s="14">
        <v>890.4</v>
      </c>
      <c r="AB88" s="14">
        <f>AA88+264+119.9</f>
        <v>1274.3000000000002</v>
      </c>
      <c r="AC88" s="14">
        <f>(U88/10000)/(AB88/1000)</f>
        <v>0.1119754840031701</v>
      </c>
      <c r="AD88" s="140">
        <v>4.25</v>
      </c>
      <c r="AE88" s="141">
        <v>1.1499999999999999</v>
      </c>
      <c r="AF88" s="14">
        <f>AE88*25.4</f>
        <v>29.209999999999997</v>
      </c>
      <c r="AG88" s="140">
        <v>80.7</v>
      </c>
      <c r="AH88" s="140">
        <v>31.8</v>
      </c>
      <c r="AI88" s="140">
        <v>6.2</v>
      </c>
      <c r="AJ88" s="140">
        <v>9.9</v>
      </c>
      <c r="AK88" s="139" t="s">
        <v>359</v>
      </c>
      <c r="AM88" s="14">
        <f t="shared" si="41"/>
        <v>0.16709511568123403</v>
      </c>
      <c r="AN88" s="14">
        <f t="shared" si="42"/>
        <v>628.63454128538854</v>
      </c>
      <c r="AO88" s="14">
        <f t="shared" si="43"/>
        <v>560.85453640945673</v>
      </c>
      <c r="AP88" s="138">
        <f>AVERAGE(AM87:AM89)</f>
        <v>0.16547702239426151</v>
      </c>
      <c r="AQ88" s="138">
        <f>AVERAGE(AN87:AN89)</f>
        <v>674.81497363551989</v>
      </c>
      <c r="AR88" s="138">
        <f>AVERAGE(AO87:AO89)</f>
        <v>602.05574836316464</v>
      </c>
    </row>
    <row r="89" spans="1:44" ht="16.5" thickBot="1" x14ac:dyDescent="0.25">
      <c r="A89" s="23"/>
      <c r="B89" s="22"/>
      <c r="C89" s="32" t="s">
        <v>356</v>
      </c>
      <c r="D89" s="31" t="s">
        <v>359</v>
      </c>
      <c r="E89" s="30">
        <v>20.7</v>
      </c>
      <c r="F89" s="123">
        <v>5.9197840339375283</v>
      </c>
      <c r="J89" s="14" t="s">
        <v>356</v>
      </c>
      <c r="K89" s="14" t="s">
        <v>375</v>
      </c>
      <c r="L89" s="14">
        <v>35.494880546075088</v>
      </c>
      <c r="M89" s="14">
        <v>47.781569965870311</v>
      </c>
      <c r="O89" s="14">
        <f t="shared" si="35"/>
        <v>0.35494880546075086</v>
      </c>
      <c r="P89" s="14">
        <f t="shared" si="36"/>
        <v>0.47781569965870313</v>
      </c>
      <c r="Q89" s="14">
        <f t="shared" si="37"/>
        <v>1514.7097151296023</v>
      </c>
      <c r="R89" s="14">
        <f t="shared" si="38"/>
        <v>2039.0323088283108</v>
      </c>
      <c r="S89" s="14">
        <f t="shared" si="39"/>
        <v>3553.7420239579133</v>
      </c>
      <c r="T89" s="14">
        <f t="shared" si="40"/>
        <v>42.622950819672127</v>
      </c>
      <c r="AD89" s="140"/>
      <c r="AE89" s="141"/>
      <c r="AG89" s="140"/>
      <c r="AH89" s="140"/>
      <c r="AI89" s="140"/>
      <c r="AJ89" s="140"/>
      <c r="AK89" s="139" t="s">
        <v>359</v>
      </c>
      <c r="AM89" s="14">
        <f t="shared" si="41"/>
        <v>0.16723549488054607</v>
      </c>
      <c r="AN89" s="14">
        <f t="shared" si="42"/>
        <v>713.66130808990863</v>
      </c>
      <c r="AO89" s="14">
        <f t="shared" si="43"/>
        <v>636.71363219034663</v>
      </c>
      <c r="AP89" s="138"/>
      <c r="AQ89" s="138"/>
      <c r="AR89" s="138"/>
    </row>
    <row r="90" spans="1:44" ht="16.5" thickBot="1" x14ac:dyDescent="0.25">
      <c r="A90" s="34" t="s">
        <v>380</v>
      </c>
      <c r="B90" s="33">
        <v>2</v>
      </c>
      <c r="C90" s="21" t="s">
        <v>354</v>
      </c>
      <c r="D90" s="20" t="s">
        <v>358</v>
      </c>
      <c r="E90" s="19">
        <v>23.3</v>
      </c>
      <c r="F90" s="121">
        <v>5.6932189048712614</v>
      </c>
      <c r="H90" s="14" t="s">
        <v>380</v>
      </c>
      <c r="I90" s="14">
        <v>2</v>
      </c>
      <c r="J90" s="14" t="s">
        <v>354</v>
      </c>
      <c r="K90" s="14" t="s">
        <v>361</v>
      </c>
      <c r="L90" s="14">
        <v>35.108481262327409</v>
      </c>
      <c r="M90" s="14">
        <v>48.520710059171599</v>
      </c>
      <c r="O90" s="14">
        <f t="shared" si="35"/>
        <v>0.35108481262327407</v>
      </c>
      <c r="P90" s="14">
        <f t="shared" si="36"/>
        <v>0.48520710059171601</v>
      </c>
      <c r="Q90" s="14">
        <f t="shared" si="37"/>
        <v>1693.9916317781231</v>
      </c>
      <c r="R90" s="14">
        <f t="shared" si="38"/>
        <v>2341.1345023450472</v>
      </c>
      <c r="S90" s="14">
        <f t="shared" si="39"/>
        <v>4035.1261341231702</v>
      </c>
      <c r="T90" s="14">
        <f t="shared" si="40"/>
        <v>41.981132075471692</v>
      </c>
      <c r="AD90" s="140"/>
      <c r="AE90" s="141"/>
      <c r="AG90" s="140"/>
      <c r="AH90" s="140"/>
      <c r="AI90" s="140"/>
      <c r="AJ90" s="140"/>
      <c r="AK90" s="139" t="s">
        <v>358</v>
      </c>
      <c r="AM90" s="14">
        <f t="shared" si="41"/>
        <v>0.16370808678500992</v>
      </c>
      <c r="AN90" s="14">
        <f t="shared" si="42"/>
        <v>789.89497436845113</v>
      </c>
      <c r="AO90" s="14">
        <f t="shared" si="43"/>
        <v>704.72770833707045</v>
      </c>
      <c r="AP90" s="138"/>
      <c r="AQ90" s="138"/>
      <c r="AR90" s="138"/>
    </row>
    <row r="91" spans="1:44" ht="16.5" thickBot="1" x14ac:dyDescent="0.25">
      <c r="A91" s="29"/>
      <c r="B91" s="28"/>
      <c r="C91" s="27" t="s">
        <v>355</v>
      </c>
      <c r="D91" s="26" t="s">
        <v>358</v>
      </c>
      <c r="E91" s="25">
        <v>22.4</v>
      </c>
      <c r="F91" s="122">
        <v>5.8504017200407397</v>
      </c>
      <c r="J91" s="14" t="s">
        <v>355</v>
      </c>
      <c r="K91" s="14" t="s">
        <v>361</v>
      </c>
      <c r="L91" s="14">
        <v>35.796045785639954</v>
      </c>
      <c r="M91" s="14">
        <v>48.491155046826229</v>
      </c>
      <c r="O91" s="14">
        <f t="shared" si="35"/>
        <v>0.35796045785639952</v>
      </c>
      <c r="P91" s="14">
        <f t="shared" si="36"/>
        <v>0.48491155046826229</v>
      </c>
      <c r="Q91" s="14">
        <f t="shared" si="37"/>
        <v>1656.5804185872032</v>
      </c>
      <c r="R91" s="14">
        <f t="shared" si="38"/>
        <v>2244.088590295456</v>
      </c>
      <c r="S91" s="14">
        <f t="shared" si="39"/>
        <v>3900.669008882659</v>
      </c>
      <c r="T91" s="14">
        <f t="shared" si="40"/>
        <v>42.469135802469133</v>
      </c>
      <c r="U91" s="14">
        <f>AVERAGE(Q90:Q92)</f>
        <v>1648.4672240316697</v>
      </c>
      <c r="V91" s="14">
        <f>AVERAGE(R90:R92)</f>
        <v>2241.4652529708842</v>
      </c>
      <c r="W91" s="14">
        <f>AVERAGE(S90:S92)</f>
        <v>3889.9324770025537</v>
      </c>
      <c r="X91" s="14">
        <f>AVERAGE(T90:T92)</f>
        <v>42.387088440132025</v>
      </c>
      <c r="Y91" s="14">
        <v>1202.7</v>
      </c>
      <c r="Z91" s="14">
        <f>(U91/10000)/(Y91/1000)</f>
        <v>0.1370638749506668</v>
      </c>
      <c r="AA91" s="14">
        <v>1031.7</v>
      </c>
      <c r="AB91" s="14">
        <f>AA91+264+119.9</f>
        <v>1415.6000000000001</v>
      </c>
      <c r="AC91" s="14">
        <f>(U91/10000)/(AB91/1000)</f>
        <v>0.11645007233905549</v>
      </c>
      <c r="AD91" s="140">
        <v>4.4000000000000004</v>
      </c>
      <c r="AE91" s="141">
        <v>1.1499999999999999</v>
      </c>
      <c r="AF91" s="14">
        <f>AE91*25.4</f>
        <v>29.209999999999997</v>
      </c>
      <c r="AG91" s="140">
        <v>80</v>
      </c>
      <c r="AH91" s="140">
        <v>32.9</v>
      </c>
      <c r="AI91" s="140">
        <v>5.7</v>
      </c>
      <c r="AJ91" s="140">
        <v>10.199999999999999</v>
      </c>
      <c r="AK91" s="139" t="s">
        <v>358</v>
      </c>
      <c r="AM91" s="14">
        <f t="shared" si="41"/>
        <v>0.1571279916753382</v>
      </c>
      <c r="AN91" s="14">
        <f t="shared" si="42"/>
        <v>727.16175350775518</v>
      </c>
      <c r="AO91" s="14">
        <f t="shared" si="43"/>
        <v>648.75844608279556</v>
      </c>
      <c r="AP91" s="138">
        <f>AVERAGE(AM90:AM92)</f>
        <v>0.1632684200606403</v>
      </c>
      <c r="AQ91" s="138">
        <f>AVERAGE(AN90:AN92)</f>
        <v>758.75734228111025</v>
      </c>
      <c r="AR91" s="138">
        <f>AVERAGE(AO90:AO92)</f>
        <v>676.94736687901877</v>
      </c>
    </row>
    <row r="92" spans="1:44" ht="16.5" thickBot="1" x14ac:dyDescent="0.25">
      <c r="A92" s="23"/>
      <c r="B92" s="22"/>
      <c r="C92" s="32" t="s">
        <v>356</v>
      </c>
      <c r="D92" s="31" t="s">
        <v>358</v>
      </c>
      <c r="E92" s="30">
        <v>21.8</v>
      </c>
      <c r="F92" s="123">
        <v>6.0284693472466531</v>
      </c>
      <c r="J92" s="14" t="s">
        <v>356</v>
      </c>
      <c r="K92" s="14" t="s">
        <v>361</v>
      </c>
      <c r="L92" s="14">
        <v>35.494155154091388</v>
      </c>
      <c r="M92" s="14">
        <v>47.608926673751334</v>
      </c>
      <c r="O92" s="14">
        <f t="shared" si="35"/>
        <v>0.35494155154091389</v>
      </c>
      <c r="P92" s="14">
        <f t="shared" si="36"/>
        <v>0.47608926673751334</v>
      </c>
      <c r="Q92" s="14">
        <f t="shared" si="37"/>
        <v>1594.8296217296827</v>
      </c>
      <c r="R92" s="14">
        <f t="shared" si="38"/>
        <v>2139.1726662721499</v>
      </c>
      <c r="S92" s="14">
        <f t="shared" si="39"/>
        <v>3734.0022880018323</v>
      </c>
      <c r="T92" s="14">
        <f t="shared" si="40"/>
        <v>42.710997442455238</v>
      </c>
      <c r="AD92" s="140"/>
      <c r="AE92" s="141"/>
      <c r="AG92" s="140"/>
      <c r="AH92" s="140"/>
      <c r="AI92" s="140"/>
      <c r="AJ92" s="140"/>
      <c r="AK92" s="139" t="s">
        <v>358</v>
      </c>
      <c r="AM92" s="14">
        <f t="shared" si="41"/>
        <v>0.16896918172157277</v>
      </c>
      <c r="AN92" s="14">
        <f t="shared" si="42"/>
        <v>759.21529896712434</v>
      </c>
      <c r="AO92" s="14">
        <f t="shared" si="43"/>
        <v>677.35594621719008</v>
      </c>
      <c r="AP92" s="138"/>
      <c r="AQ92" s="138"/>
      <c r="AR92" s="138"/>
    </row>
    <row r="93" spans="1:44" ht="16.5" thickBot="1" x14ac:dyDescent="0.25">
      <c r="A93" s="34" t="s">
        <v>380</v>
      </c>
      <c r="B93" s="33">
        <v>3</v>
      </c>
      <c r="C93" s="21" t="s">
        <v>354</v>
      </c>
      <c r="D93" s="20" t="s">
        <v>361</v>
      </c>
      <c r="E93" s="19">
        <v>19.2</v>
      </c>
      <c r="F93" s="121">
        <v>6.5186626569962893</v>
      </c>
      <c r="H93" s="14" t="s">
        <v>380</v>
      </c>
      <c r="I93" s="14">
        <v>3</v>
      </c>
      <c r="J93" s="14" t="s">
        <v>354</v>
      </c>
      <c r="K93" s="14" t="s">
        <v>358</v>
      </c>
      <c r="L93" s="14">
        <v>35.194174757281552</v>
      </c>
      <c r="M93" s="14">
        <v>48.786407766990294</v>
      </c>
      <c r="O93" s="14">
        <f t="shared" si="35"/>
        <v>0.35194174757281549</v>
      </c>
      <c r="P93" s="14">
        <f t="shared" si="36"/>
        <v>0.48786407766990292</v>
      </c>
      <c r="Q93" s="14">
        <f t="shared" si="37"/>
        <v>1382.1558134344973</v>
      </c>
      <c r="R93" s="14">
        <f t="shared" si="38"/>
        <v>1915.9539206919587</v>
      </c>
      <c r="S93" s="14">
        <f t="shared" si="39"/>
        <v>3298.1097341264558</v>
      </c>
      <c r="T93" s="14">
        <f t="shared" si="40"/>
        <v>41.907514450867048</v>
      </c>
      <c r="AD93" s="140"/>
      <c r="AE93" s="141"/>
      <c r="AG93" s="140"/>
      <c r="AH93" s="140"/>
      <c r="AI93" s="140"/>
      <c r="AJ93" s="140"/>
      <c r="AK93" s="139" t="s">
        <v>361</v>
      </c>
      <c r="AM93" s="14">
        <f t="shared" si="41"/>
        <v>0.16019417475728159</v>
      </c>
      <c r="AN93" s="14">
        <f t="shared" si="42"/>
        <v>629.11919783915073</v>
      </c>
      <c r="AO93" s="14">
        <f t="shared" si="43"/>
        <v>561.28693680893571</v>
      </c>
      <c r="AP93" s="138"/>
      <c r="AQ93" s="138"/>
      <c r="AR93" s="138"/>
    </row>
    <row r="94" spans="1:44" ht="16.5" thickBot="1" x14ac:dyDescent="0.25">
      <c r="A94" s="29"/>
      <c r="B94" s="28"/>
      <c r="C94" s="27" t="s">
        <v>355</v>
      </c>
      <c r="D94" s="26" t="s">
        <v>361</v>
      </c>
      <c r="E94" s="25">
        <v>21.3</v>
      </c>
      <c r="F94" s="122">
        <v>6.4206896551724153</v>
      </c>
      <c r="J94" s="14" t="s">
        <v>355</v>
      </c>
      <c r="K94" s="14" t="s">
        <v>358</v>
      </c>
      <c r="L94" s="14">
        <v>35.964912280701753</v>
      </c>
      <c r="M94" s="14">
        <v>48.245614035087726</v>
      </c>
      <c r="O94" s="14">
        <f t="shared" si="35"/>
        <v>0.35964912280701755</v>
      </c>
      <c r="P94" s="14">
        <f t="shared" si="36"/>
        <v>0.48245614035087725</v>
      </c>
      <c r="Q94" s="14">
        <f t="shared" si="37"/>
        <v>1571.673058179402</v>
      </c>
      <c r="R94" s="14">
        <f t="shared" si="38"/>
        <v>2108.3419073138321</v>
      </c>
      <c r="S94" s="14">
        <f t="shared" si="39"/>
        <v>3680.0149654932338</v>
      </c>
      <c r="T94" s="14">
        <f t="shared" si="40"/>
        <v>42.708333333333336</v>
      </c>
      <c r="U94" s="14">
        <f>AVERAGE(Q93:Q95)</f>
        <v>1456.6410784219831</v>
      </c>
      <c r="V94" s="14">
        <f>AVERAGE(R93:R95)</f>
        <v>1985.6910900958803</v>
      </c>
      <c r="W94" s="14">
        <f>AVERAGE(S93:S95)</f>
        <v>3442.3321685178635</v>
      </c>
      <c r="X94" s="14">
        <f>AVERAGE(T93:T95)</f>
        <v>42.300520689971556</v>
      </c>
      <c r="Y94" s="14">
        <v>1025</v>
      </c>
      <c r="Z94" s="14">
        <f>(U94/10000)/(Y94/1000)</f>
        <v>0.14211132472409593</v>
      </c>
      <c r="AA94" s="14">
        <v>870.3</v>
      </c>
      <c r="AB94" s="14">
        <f>AA94+264+119.9</f>
        <v>1254.2</v>
      </c>
      <c r="AC94" s="14">
        <f>(U94/10000)/(AB94/1000)</f>
        <v>0.11614105233790331</v>
      </c>
      <c r="AD94" s="140">
        <v>4.54</v>
      </c>
      <c r="AE94" s="141">
        <v>1.17</v>
      </c>
      <c r="AF94" s="14">
        <f>AE94*25.4</f>
        <v>29.717999999999996</v>
      </c>
      <c r="AG94" s="140">
        <v>81.599999999999994</v>
      </c>
      <c r="AH94" s="140">
        <v>32.700000000000003</v>
      </c>
      <c r="AI94" s="140">
        <v>6.1</v>
      </c>
      <c r="AJ94" s="140">
        <v>8.8000000000000007</v>
      </c>
      <c r="AK94" s="139" t="s">
        <v>361</v>
      </c>
      <c r="AM94" s="14">
        <f t="shared" si="41"/>
        <v>0.1578947368421052</v>
      </c>
      <c r="AN94" s="14">
        <f t="shared" si="42"/>
        <v>690.00280602998112</v>
      </c>
      <c r="AO94" s="14">
        <f t="shared" si="43"/>
        <v>615.60601348102261</v>
      </c>
      <c r="AP94" s="138">
        <f>AVERAGE(AM93:AM95)</f>
        <v>0.16025611247890242</v>
      </c>
      <c r="AQ94" s="138">
        <f>AVERAGE(AN93:AN95)</f>
        <v>656.58665157876294</v>
      </c>
      <c r="AR94" s="138">
        <f>AVERAGE(AO93:AO95)</f>
        <v>585.79282221888923</v>
      </c>
    </row>
    <row r="95" spans="1:44" ht="16.5" thickBot="1" x14ac:dyDescent="0.25">
      <c r="A95" s="23"/>
      <c r="B95" s="22"/>
      <c r="C95" s="32" t="s">
        <v>356</v>
      </c>
      <c r="D95" s="31" t="s">
        <v>361</v>
      </c>
      <c r="E95" s="30">
        <v>19.5</v>
      </c>
      <c r="F95" s="123">
        <v>6.2918875662698728</v>
      </c>
      <c r="J95" s="14" t="s">
        <v>356</v>
      </c>
      <c r="K95" s="14" t="s">
        <v>358</v>
      </c>
      <c r="L95" s="14">
        <v>35.406698564593306</v>
      </c>
      <c r="M95" s="14">
        <v>48.325358851674643</v>
      </c>
      <c r="O95" s="14">
        <f t="shared" si="35"/>
        <v>0.35406698564593309</v>
      </c>
      <c r="P95" s="14">
        <f t="shared" si="36"/>
        <v>0.48325358851674644</v>
      </c>
      <c r="Q95" s="14">
        <f t="shared" si="37"/>
        <v>1416.0943636520492</v>
      </c>
      <c r="R95" s="14">
        <f t="shared" si="38"/>
        <v>1932.7774422818504</v>
      </c>
      <c r="S95" s="14">
        <f t="shared" si="39"/>
        <v>3348.8718059338999</v>
      </c>
      <c r="T95" s="14">
        <f t="shared" si="40"/>
        <v>42.285714285714285</v>
      </c>
      <c r="AD95" s="140"/>
      <c r="AE95" s="141"/>
      <c r="AG95" s="140"/>
      <c r="AH95" s="140"/>
      <c r="AI95" s="140"/>
      <c r="AJ95" s="140"/>
      <c r="AK95" s="139" t="s">
        <v>361</v>
      </c>
      <c r="AM95" s="14">
        <f t="shared" si="41"/>
        <v>0.16267942583732048</v>
      </c>
      <c r="AN95" s="14">
        <f t="shared" si="42"/>
        <v>650.6379508671572</v>
      </c>
      <c r="AO95" s="14">
        <f t="shared" si="43"/>
        <v>580.48551636670948</v>
      </c>
      <c r="AP95" s="138"/>
      <c r="AQ95" s="138"/>
      <c r="AR95" s="138"/>
    </row>
    <row r="96" spans="1:44" ht="16.5" thickBot="1" x14ac:dyDescent="0.25">
      <c r="A96" s="34" t="s">
        <v>380</v>
      </c>
      <c r="B96" s="33">
        <v>4</v>
      </c>
      <c r="C96" s="21" t="s">
        <v>354</v>
      </c>
      <c r="D96" s="20" t="s">
        <v>375</v>
      </c>
      <c r="E96" s="19">
        <v>20.3</v>
      </c>
      <c r="F96" s="121">
        <v>5.4627298390173173</v>
      </c>
      <c r="H96" s="14" t="s">
        <v>380</v>
      </c>
      <c r="I96" s="14">
        <v>4</v>
      </c>
      <c r="J96" s="14" t="s">
        <v>354</v>
      </c>
      <c r="K96" s="14" t="s">
        <v>359</v>
      </c>
      <c r="L96" s="14">
        <v>35.632183908045981</v>
      </c>
      <c r="M96" s="14">
        <v>48.275862068965523</v>
      </c>
      <c r="O96" s="14">
        <f t="shared" si="35"/>
        <v>0.35632183908045983</v>
      </c>
      <c r="P96" s="14">
        <f t="shared" si="36"/>
        <v>0.48275862068965525</v>
      </c>
      <c r="Q96" s="14">
        <f t="shared" si="37"/>
        <v>1497.8782531465108</v>
      </c>
      <c r="R96" s="14">
        <f t="shared" si="38"/>
        <v>2029.3834397468856</v>
      </c>
      <c r="S96" s="14">
        <f t="shared" si="39"/>
        <v>3527.2616928933967</v>
      </c>
      <c r="T96" s="14">
        <f t="shared" si="40"/>
        <v>42.465753424657535</v>
      </c>
      <c r="AD96" s="140"/>
      <c r="AE96" s="141"/>
      <c r="AG96" s="140"/>
      <c r="AH96" s="140"/>
      <c r="AI96" s="140"/>
      <c r="AJ96" s="140"/>
      <c r="AK96" s="139" t="s">
        <v>375</v>
      </c>
      <c r="AM96" s="14">
        <f t="shared" si="41"/>
        <v>0.16091954022988486</v>
      </c>
      <c r="AN96" s="14">
        <f t="shared" si="42"/>
        <v>676.4611465822943</v>
      </c>
      <c r="AO96" s="14">
        <f t="shared" si="43"/>
        <v>603.52442929664483</v>
      </c>
      <c r="AP96" s="138"/>
      <c r="AQ96" s="138"/>
      <c r="AR96" s="138"/>
    </row>
    <row r="97" spans="1:44" ht="16.5" thickBot="1" x14ac:dyDescent="0.25">
      <c r="A97" s="35"/>
      <c r="B97" s="28"/>
      <c r="C97" s="27" t="s">
        <v>355</v>
      </c>
      <c r="D97" s="26" t="s">
        <v>375</v>
      </c>
      <c r="E97" s="25">
        <v>20.2</v>
      </c>
      <c r="F97" s="122">
        <v>6.0183855214018926</v>
      </c>
      <c r="J97" s="14" t="s">
        <v>355</v>
      </c>
      <c r="K97" s="14" t="s">
        <v>359</v>
      </c>
      <c r="L97" s="14">
        <v>36.763005780346816</v>
      </c>
      <c r="M97" s="14">
        <v>48.554913294797686</v>
      </c>
      <c r="O97" s="14">
        <f t="shared" si="35"/>
        <v>0.36763005780346814</v>
      </c>
      <c r="P97" s="14">
        <f t="shared" si="36"/>
        <v>0.48554913294797686</v>
      </c>
      <c r="Q97" s="14">
        <f t="shared" si="37"/>
        <v>1528.6189766124683</v>
      </c>
      <c r="R97" s="14">
        <f t="shared" si="38"/>
        <v>2018.9307238277884</v>
      </c>
      <c r="S97" s="14">
        <f t="shared" si="39"/>
        <v>3547.5497004402569</v>
      </c>
      <c r="T97" s="14">
        <f t="shared" si="40"/>
        <v>43.08943089430894</v>
      </c>
      <c r="U97" s="14">
        <f>AVERAGE(Q96:Q98)</f>
        <v>1501.2754114107775</v>
      </c>
      <c r="V97" s="14">
        <f>AVERAGE(R96:R98)</f>
        <v>2001.765147409229</v>
      </c>
      <c r="W97" s="14">
        <f>AVERAGE(S96:S98)</f>
        <v>3503.0405588200065</v>
      </c>
      <c r="X97" s="14">
        <f>AVERAGE(T96:T98)</f>
        <v>42.857314698500922</v>
      </c>
      <c r="Y97" s="14">
        <v>951.3</v>
      </c>
      <c r="Z97" s="14">
        <f>(U97/10000)/(Y97/1000)</f>
        <v>0.1578130359939848</v>
      </c>
      <c r="AA97" s="14">
        <v>779.7</v>
      </c>
      <c r="AB97" s="14">
        <f>AA97+264+119.9</f>
        <v>1163.6000000000001</v>
      </c>
      <c r="AC97" s="14">
        <f>(U97/10000)/(AB97/1000)</f>
        <v>0.12901988753959928</v>
      </c>
      <c r="AD97" s="140">
        <v>4.68</v>
      </c>
      <c r="AE97" s="141">
        <v>1.1200000000000001</v>
      </c>
      <c r="AF97" s="14">
        <f>AE97*25.4</f>
        <v>28.448</v>
      </c>
      <c r="AG97" s="140">
        <v>80.2</v>
      </c>
      <c r="AH97" s="140">
        <v>29.7</v>
      </c>
      <c r="AI97" s="140">
        <v>6</v>
      </c>
      <c r="AJ97" s="140">
        <v>10.5</v>
      </c>
      <c r="AK97" s="139" t="s">
        <v>375</v>
      </c>
      <c r="AM97" s="14">
        <f t="shared" si="41"/>
        <v>0.14682080924855501</v>
      </c>
      <c r="AN97" s="14">
        <f t="shared" si="42"/>
        <v>610.48619506221269</v>
      </c>
      <c r="AO97" s="14">
        <f t="shared" si="43"/>
        <v>544.66296302440992</v>
      </c>
      <c r="AP97" s="138">
        <f>AVERAGE(AM96:AM98)</f>
        <v>0.15512913610065646</v>
      </c>
      <c r="AQ97" s="138">
        <f>AVERAGE(AN96:AN98)</f>
        <v>643.22712968175063</v>
      </c>
      <c r="AR97" s="138">
        <f>AVERAGE(AO96:AO98)</f>
        <v>573.8737373323346</v>
      </c>
    </row>
    <row r="98" spans="1:44" ht="16.5" thickBot="1" x14ac:dyDescent="0.25">
      <c r="A98" s="23"/>
      <c r="B98" s="22"/>
      <c r="C98" s="32" t="s">
        <v>356</v>
      </c>
      <c r="D98" s="31" t="s">
        <v>375</v>
      </c>
      <c r="E98" s="30">
        <v>20</v>
      </c>
      <c r="F98" s="123">
        <v>6.9096318333953093</v>
      </c>
      <c r="J98" s="14" t="s">
        <v>356</v>
      </c>
      <c r="K98" s="14" t="s">
        <v>359</v>
      </c>
      <c r="L98" s="14">
        <v>36.235294117647058</v>
      </c>
      <c r="M98" s="14">
        <v>48</v>
      </c>
      <c r="O98" s="14">
        <f t="shared" si="35"/>
        <v>0.3623529411764706</v>
      </c>
      <c r="P98" s="14">
        <f t="shared" si="36"/>
        <v>0.48</v>
      </c>
      <c r="Q98" s="14">
        <f t="shared" si="37"/>
        <v>1477.3290044733531</v>
      </c>
      <c r="R98" s="14">
        <f t="shared" si="38"/>
        <v>1956.9812786530133</v>
      </c>
      <c r="S98" s="14">
        <f t="shared" si="39"/>
        <v>3434.3102831263664</v>
      </c>
      <c r="T98" s="14">
        <f t="shared" si="40"/>
        <v>43.016759776536311</v>
      </c>
      <c r="AD98" s="140"/>
      <c r="AE98" s="141"/>
      <c r="AG98" s="140"/>
      <c r="AH98" s="140"/>
      <c r="AI98" s="140"/>
      <c r="AJ98" s="140"/>
      <c r="AK98" s="139" t="s">
        <v>375</v>
      </c>
      <c r="AM98" s="14">
        <f t="shared" si="41"/>
        <v>0.15764705882352947</v>
      </c>
      <c r="AN98" s="14">
        <f t="shared" si="42"/>
        <v>642.73404740074477</v>
      </c>
      <c r="AO98" s="14">
        <f t="shared" si="43"/>
        <v>573.43381967594905</v>
      </c>
      <c r="AP98" s="138"/>
      <c r="AQ98" s="138"/>
      <c r="AR98" s="138"/>
    </row>
    <row r="99" spans="1:44" ht="15.75" x14ac:dyDescent="0.2">
      <c r="A99" s="34" t="s">
        <v>379</v>
      </c>
      <c r="B99" s="33">
        <v>1</v>
      </c>
      <c r="C99" s="32" t="s">
        <v>354</v>
      </c>
      <c r="D99" s="31" t="s">
        <v>374</v>
      </c>
      <c r="E99" s="30">
        <v>18.3</v>
      </c>
      <c r="F99" s="123">
        <v>6.0337998415632335</v>
      </c>
      <c r="H99" s="14" t="s">
        <v>379</v>
      </c>
      <c r="I99" s="14">
        <v>1</v>
      </c>
      <c r="J99" s="14" t="s">
        <v>354</v>
      </c>
      <c r="K99" s="14" t="s">
        <v>374</v>
      </c>
      <c r="L99" s="14">
        <v>34.805194805194802</v>
      </c>
      <c r="M99" s="14">
        <v>48.051948051948052</v>
      </c>
      <c r="O99" s="14">
        <f t="shared" ref="O99:O130" si="44">L99/100</f>
        <v>0.348051948051948</v>
      </c>
      <c r="P99" s="14">
        <f t="shared" ref="P99:P130" si="45">M99/100</f>
        <v>0.48051948051948051</v>
      </c>
      <c r="Q99" s="14">
        <f t="shared" ref="Q99:Q130" si="46">(E99-0.38)*0.453592*(1-F99/100)*(L99/100)/(40*2.54/100*2*10/10000)</f>
        <v>1308.2640933986766</v>
      </c>
      <c r="R99" s="14">
        <f t="shared" ref="R99:R130" si="47">(E99-0.38)*0.453592*(1-F99/100)*(M99/100)/(40*2.54/100*2*10/10000)</f>
        <v>1806.1855020802627</v>
      </c>
      <c r="S99" s="14">
        <f t="shared" ref="S99:S130" si="48">SUM(Q99:R99)</f>
        <v>3114.449595478939</v>
      </c>
      <c r="T99" s="14">
        <f t="shared" ref="T99:T130" si="49">Q99/S99*100</f>
        <v>42.006269592476485</v>
      </c>
      <c r="AD99" s="140"/>
      <c r="AE99" s="141"/>
      <c r="AG99" s="140"/>
      <c r="AH99" s="140"/>
      <c r="AI99" s="140"/>
      <c r="AJ99" s="140"/>
      <c r="AK99" s="139" t="s">
        <v>374</v>
      </c>
      <c r="AM99" s="14">
        <f t="shared" ref="AM99:AM130" si="50">1-O99-P99</f>
        <v>0.17142857142857154</v>
      </c>
      <c r="AN99" s="14">
        <f t="shared" ref="AN99:AN130" si="51">(E99-0.38)*0.453592*(1-F99/100)*(AM99)/(40*2.54/100*2*10/10000)</f>
        <v>644.36888182322934</v>
      </c>
      <c r="AO99" s="14">
        <f t="shared" ref="AO99:AO130" si="52">AN99*0.892179</f>
        <v>574.89238461616696</v>
      </c>
      <c r="AP99" s="138"/>
      <c r="AQ99" s="138"/>
      <c r="AR99" s="138"/>
    </row>
    <row r="100" spans="1:44" ht="15.75" x14ac:dyDescent="0.2">
      <c r="A100" s="35"/>
      <c r="B100" s="28"/>
      <c r="C100" s="27" t="s">
        <v>355</v>
      </c>
      <c r="D100" s="26" t="s">
        <v>374</v>
      </c>
      <c r="E100" s="25">
        <v>21.2</v>
      </c>
      <c r="F100" s="122">
        <v>5.6389147080954309</v>
      </c>
      <c r="J100" s="14" t="s">
        <v>355</v>
      </c>
      <c r="K100" s="14" t="s">
        <v>374</v>
      </c>
      <c r="L100" s="14">
        <v>35.010940919037189</v>
      </c>
      <c r="M100" s="14">
        <v>49.234135667396053</v>
      </c>
      <c r="O100" s="14">
        <f t="shared" si="44"/>
        <v>0.35010940919037187</v>
      </c>
      <c r="P100" s="14">
        <f t="shared" si="45"/>
        <v>0.49234135667396051</v>
      </c>
      <c r="Q100" s="14">
        <f t="shared" si="46"/>
        <v>1535.3914495120284</v>
      </c>
      <c r="R100" s="14">
        <f t="shared" si="47"/>
        <v>2159.14422587629</v>
      </c>
      <c r="S100" s="14">
        <f t="shared" si="48"/>
        <v>3694.5356753883184</v>
      </c>
      <c r="T100" s="14">
        <f t="shared" si="49"/>
        <v>41.558441558441558</v>
      </c>
      <c r="U100" s="14">
        <f>AVERAGE(Q99:Q101)</f>
        <v>1384.1581639010353</v>
      </c>
      <c r="V100" s="14">
        <f>AVERAGE(R99:R101)</f>
        <v>1931.2755962564888</v>
      </c>
      <c r="W100" s="14">
        <f>AVERAGE(S99:S101)</f>
        <v>3315.4337601575244</v>
      </c>
      <c r="X100" s="14">
        <f>AVERAGE(T99:T101)</f>
        <v>41.760834187320327</v>
      </c>
      <c r="Y100" s="14">
        <v>896.4</v>
      </c>
      <c r="Z100" s="14">
        <f>(U100/10000)/(Y100/1000)</f>
        <v>0.15441300355879467</v>
      </c>
      <c r="AA100" s="14">
        <v>709.1</v>
      </c>
      <c r="AB100" s="14">
        <f>AA100+264+119.9</f>
        <v>1093</v>
      </c>
      <c r="AC100" s="14">
        <f>(U100/10000)/(AB100/1000)</f>
        <v>0.12663844134501695</v>
      </c>
      <c r="AD100" s="140">
        <v>4.29</v>
      </c>
      <c r="AE100" s="141">
        <v>1.1499999999999999</v>
      </c>
      <c r="AF100" s="14">
        <f>AE100*25.4</f>
        <v>29.209999999999997</v>
      </c>
      <c r="AG100" s="140">
        <v>80.8</v>
      </c>
      <c r="AH100" s="140">
        <v>32.6</v>
      </c>
      <c r="AI100" s="140">
        <v>6.1</v>
      </c>
      <c r="AJ100" s="140">
        <v>9.5</v>
      </c>
      <c r="AK100" s="139" t="s">
        <v>374</v>
      </c>
      <c r="AM100" s="14">
        <f t="shared" si="50"/>
        <v>0.15754923413566768</v>
      </c>
      <c r="AN100" s="14">
        <f t="shared" si="51"/>
        <v>690.92615228041416</v>
      </c>
      <c r="AO100" s="14">
        <f t="shared" si="52"/>
        <v>616.42980361538764</v>
      </c>
      <c r="AP100" s="138">
        <f>AVERAGE(AM99:AM101)</f>
        <v>0.1689278687736199</v>
      </c>
      <c r="AQ100" s="138">
        <f>AVERAGE(AN99:AN101)</f>
        <v>671.25456011754875</v>
      </c>
      <c r="AR100" s="138">
        <f>AVERAGE(AO99:AO101)</f>
        <v>598.87922219111454</v>
      </c>
    </row>
    <row r="101" spans="1:44" ht="16.5" thickBot="1" x14ac:dyDescent="0.25">
      <c r="A101" s="23"/>
      <c r="B101" s="22"/>
      <c r="C101" s="21" t="s">
        <v>356</v>
      </c>
      <c r="D101" s="20" t="s">
        <v>374</v>
      </c>
      <c r="E101" s="19">
        <v>18.600000000000001</v>
      </c>
      <c r="F101" s="121">
        <v>6.1803514049360908</v>
      </c>
      <c r="J101" s="14" t="s">
        <v>356</v>
      </c>
      <c r="K101" s="14" t="s">
        <v>374</v>
      </c>
      <c r="L101" s="14">
        <v>34.300126103404786</v>
      </c>
      <c r="M101" s="14">
        <v>47.91929382093317</v>
      </c>
      <c r="O101" s="14">
        <f t="shared" si="44"/>
        <v>0.34300126103404788</v>
      </c>
      <c r="P101" s="14">
        <f t="shared" si="45"/>
        <v>0.47919293820933168</v>
      </c>
      <c r="Q101" s="14">
        <f t="shared" si="46"/>
        <v>1308.8189487924012</v>
      </c>
      <c r="R101" s="14">
        <f t="shared" si="47"/>
        <v>1828.497060812914</v>
      </c>
      <c r="S101" s="14">
        <f t="shared" si="48"/>
        <v>3137.3160096053152</v>
      </c>
      <c r="T101" s="14">
        <f t="shared" si="49"/>
        <v>41.717791411042938</v>
      </c>
      <c r="AD101" s="140"/>
      <c r="AE101" s="141"/>
      <c r="AG101" s="140"/>
      <c r="AH101" s="140"/>
      <c r="AI101" s="140"/>
      <c r="AJ101" s="140"/>
      <c r="AK101" s="139" t="s">
        <v>374</v>
      </c>
      <c r="AM101" s="14">
        <f t="shared" si="50"/>
        <v>0.1778058007566205</v>
      </c>
      <c r="AN101" s="14">
        <f t="shared" si="51"/>
        <v>678.46864624900263</v>
      </c>
      <c r="AO101" s="14">
        <f t="shared" si="52"/>
        <v>605.315478341789</v>
      </c>
      <c r="AP101" s="138"/>
      <c r="AQ101" s="138"/>
      <c r="AR101" s="138"/>
    </row>
    <row r="102" spans="1:44" ht="15.75" x14ac:dyDescent="0.2">
      <c r="A102" s="34" t="s">
        <v>379</v>
      </c>
      <c r="B102" s="33">
        <v>2</v>
      </c>
      <c r="C102" s="32" t="s">
        <v>354</v>
      </c>
      <c r="D102" s="31" t="s">
        <v>353</v>
      </c>
      <c r="E102" s="30">
        <v>18.5</v>
      </c>
      <c r="F102" s="123">
        <v>6.2526507119054955</v>
      </c>
      <c r="H102" s="14" t="s">
        <v>379</v>
      </c>
      <c r="I102" s="14">
        <v>2</v>
      </c>
      <c r="J102" s="14" t="s">
        <v>354</v>
      </c>
      <c r="K102" s="14" t="s">
        <v>353</v>
      </c>
      <c r="L102" s="14">
        <v>34.271099744245518</v>
      </c>
      <c r="M102" s="14">
        <v>47.058823529411768</v>
      </c>
      <c r="O102" s="14">
        <f t="shared" si="44"/>
        <v>0.3427109974424552</v>
      </c>
      <c r="P102" s="14">
        <f t="shared" si="45"/>
        <v>0.4705882352941177</v>
      </c>
      <c r="Q102" s="14">
        <f t="shared" si="46"/>
        <v>1299.5318076772851</v>
      </c>
      <c r="R102" s="14">
        <f t="shared" si="47"/>
        <v>1784.4317359150784</v>
      </c>
      <c r="S102" s="14">
        <f t="shared" si="48"/>
        <v>3083.9635435923637</v>
      </c>
      <c r="T102" s="14">
        <f t="shared" si="49"/>
        <v>42.138364779874202</v>
      </c>
      <c r="AD102" s="140"/>
      <c r="AE102" s="141"/>
      <c r="AG102" s="140"/>
      <c r="AH102" s="140"/>
      <c r="AI102" s="140"/>
      <c r="AJ102" s="140"/>
      <c r="AK102" s="139" t="s">
        <v>353</v>
      </c>
      <c r="AM102" s="14">
        <f t="shared" si="50"/>
        <v>0.18670076726342716</v>
      </c>
      <c r="AN102" s="14">
        <f t="shared" si="51"/>
        <v>707.95389522717801</v>
      </c>
      <c r="AO102" s="14">
        <f t="shared" si="52"/>
        <v>631.62159828988854</v>
      </c>
      <c r="AP102" s="138"/>
      <c r="AQ102" s="138"/>
      <c r="AR102" s="138"/>
    </row>
    <row r="103" spans="1:44" ht="15.75" x14ac:dyDescent="0.2">
      <c r="A103" s="29"/>
      <c r="B103" s="28"/>
      <c r="C103" s="27" t="s">
        <v>355</v>
      </c>
      <c r="D103" s="26" t="s">
        <v>353</v>
      </c>
      <c r="E103" s="25">
        <v>17.899999999999999</v>
      </c>
      <c r="F103" s="122">
        <v>6.7748666821238173</v>
      </c>
      <c r="J103" s="14" t="s">
        <v>355</v>
      </c>
      <c r="K103" s="14" t="s">
        <v>353</v>
      </c>
      <c r="L103" s="14">
        <v>34.172185430463578</v>
      </c>
      <c r="M103" s="14">
        <v>47.41721854304636</v>
      </c>
      <c r="O103" s="14">
        <f t="shared" si="44"/>
        <v>0.34172185430463581</v>
      </c>
      <c r="P103" s="14">
        <f t="shared" si="45"/>
        <v>0.47417218543046358</v>
      </c>
      <c r="Q103" s="14">
        <f t="shared" si="46"/>
        <v>1245.8953127772552</v>
      </c>
      <c r="R103" s="14">
        <f t="shared" si="47"/>
        <v>1728.8004727684392</v>
      </c>
      <c r="S103" s="14">
        <f t="shared" si="48"/>
        <v>2974.6957855456944</v>
      </c>
      <c r="T103" s="14">
        <f t="shared" si="49"/>
        <v>41.883116883116884</v>
      </c>
      <c r="U103" s="14">
        <f>AVERAGE(Q102:Q104)</f>
        <v>1272.0567500553477</v>
      </c>
      <c r="V103" s="14">
        <f>AVERAGE(R102:R104)</f>
        <v>1755.1058109942369</v>
      </c>
      <c r="W103" s="14">
        <f>AVERAGE(S102:S104)</f>
        <v>3027.1625610495848</v>
      </c>
      <c r="X103" s="14">
        <f>AVERAGE(T102:T104)</f>
        <v>42.019899407833542</v>
      </c>
      <c r="Y103" s="14">
        <v>1030.4000000000001</v>
      </c>
      <c r="Z103" s="14">
        <f>(U103/10000)/(Y103/1000)</f>
        <v>0.12345271254419136</v>
      </c>
      <c r="AA103" s="14">
        <v>850.4</v>
      </c>
      <c r="AB103" s="14">
        <f>AA103+264+119.9</f>
        <v>1234.3000000000002</v>
      </c>
      <c r="AC103" s="14">
        <f>(U103/10000)/(AB103/1000)</f>
        <v>0.10305896054892227</v>
      </c>
      <c r="AD103" s="140">
        <v>3.81</v>
      </c>
      <c r="AE103" s="141">
        <v>1.1399999999999999</v>
      </c>
      <c r="AF103" s="14">
        <f>AE103*25.4</f>
        <v>28.955999999999996</v>
      </c>
      <c r="AG103" s="140">
        <v>80.2</v>
      </c>
      <c r="AH103" s="140">
        <v>30.3</v>
      </c>
      <c r="AI103" s="140">
        <v>5.7</v>
      </c>
      <c r="AJ103" s="140">
        <v>10.199999999999999</v>
      </c>
      <c r="AK103" s="139" t="s">
        <v>353</v>
      </c>
      <c r="AM103" s="14">
        <f t="shared" si="50"/>
        <v>0.18410596026490056</v>
      </c>
      <c r="AN103" s="14">
        <f t="shared" si="51"/>
        <v>671.23817238774552</v>
      </c>
      <c r="AO103" s="14">
        <f t="shared" si="52"/>
        <v>598.86460140272641</v>
      </c>
      <c r="AP103" s="138">
        <f>AVERAGE(AM102:AM104)</f>
        <v>0.1847205780100927</v>
      </c>
      <c r="AQ103" s="138">
        <f>AVERAGE(AN102:AN104)</f>
        <v>685.96147366118873</v>
      </c>
      <c r="AR103" s="138">
        <f>AVERAGE(AO102:AO104)</f>
        <v>612.00042160956582</v>
      </c>
    </row>
    <row r="104" spans="1:44" ht="16.5" thickBot="1" x14ac:dyDescent="0.25">
      <c r="A104" s="23"/>
      <c r="B104" s="22"/>
      <c r="C104" s="21" t="s">
        <v>356</v>
      </c>
      <c r="D104" s="20" t="s">
        <v>353</v>
      </c>
      <c r="E104" s="19">
        <v>18.100000000000001</v>
      </c>
      <c r="F104" s="121">
        <v>6.4217793408883592</v>
      </c>
      <c r="J104" s="14" t="s">
        <v>356</v>
      </c>
      <c r="K104" s="14" t="s">
        <v>353</v>
      </c>
      <c r="L104" s="14">
        <v>34.330299089726921</v>
      </c>
      <c r="M104" s="14">
        <v>47.334200260078035</v>
      </c>
      <c r="O104" s="14">
        <f t="shared" si="44"/>
        <v>0.34330299089726923</v>
      </c>
      <c r="P104" s="14">
        <f t="shared" si="45"/>
        <v>0.47334200260078035</v>
      </c>
      <c r="Q104" s="14">
        <f t="shared" si="46"/>
        <v>1270.7431297115029</v>
      </c>
      <c r="R104" s="14">
        <f t="shared" si="47"/>
        <v>1752.0852242991934</v>
      </c>
      <c r="S104" s="14">
        <f t="shared" si="48"/>
        <v>3022.8283540106963</v>
      </c>
      <c r="T104" s="14">
        <f t="shared" si="49"/>
        <v>42.038216560509554</v>
      </c>
      <c r="AD104" s="140"/>
      <c r="AE104" s="141"/>
      <c r="AG104" s="140"/>
      <c r="AH104" s="140"/>
      <c r="AI104" s="140"/>
      <c r="AJ104" s="140"/>
      <c r="AK104" s="139" t="s">
        <v>353</v>
      </c>
      <c r="AM104" s="14">
        <f t="shared" si="50"/>
        <v>0.18335500650195041</v>
      </c>
      <c r="AN104" s="14">
        <f t="shared" si="51"/>
        <v>678.6923533686429</v>
      </c>
      <c r="AO104" s="14">
        <f t="shared" si="52"/>
        <v>605.51506513608251</v>
      </c>
      <c r="AP104" s="138"/>
      <c r="AQ104" s="138"/>
      <c r="AR104" s="138"/>
    </row>
    <row r="105" spans="1:44" ht="15.75" x14ac:dyDescent="0.2">
      <c r="A105" s="34" t="s">
        <v>379</v>
      </c>
      <c r="B105" s="33">
        <v>3</v>
      </c>
      <c r="C105" s="32" t="s">
        <v>354</v>
      </c>
      <c r="D105" s="31" t="s">
        <v>370</v>
      </c>
      <c r="E105" s="30">
        <v>20.2</v>
      </c>
      <c r="F105" s="123">
        <v>5.9273027674514571</v>
      </c>
      <c r="H105" s="14" t="s">
        <v>379</v>
      </c>
      <c r="I105" s="14">
        <v>3</v>
      </c>
      <c r="J105" s="14" t="s">
        <v>354</v>
      </c>
      <c r="K105" s="14" t="s">
        <v>370</v>
      </c>
      <c r="L105" s="14">
        <v>35.648148148148145</v>
      </c>
      <c r="M105" s="14">
        <v>47.685185185185183</v>
      </c>
      <c r="O105" s="14">
        <f t="shared" si="44"/>
        <v>0.35648148148148145</v>
      </c>
      <c r="P105" s="14">
        <f t="shared" si="45"/>
        <v>0.47685185185185186</v>
      </c>
      <c r="Q105" s="14">
        <f t="shared" si="46"/>
        <v>1483.6993385194214</v>
      </c>
      <c r="R105" s="14">
        <f t="shared" si="47"/>
        <v>1984.6887255519537</v>
      </c>
      <c r="S105" s="14">
        <f t="shared" si="48"/>
        <v>3468.3880640713751</v>
      </c>
      <c r="T105" s="14">
        <f t="shared" si="49"/>
        <v>42.777777777777779</v>
      </c>
      <c r="AD105" s="140"/>
      <c r="AE105" s="141"/>
      <c r="AG105" s="140"/>
      <c r="AH105" s="140"/>
      <c r="AI105" s="140"/>
      <c r="AJ105" s="140"/>
      <c r="AK105" s="139" t="s">
        <v>370</v>
      </c>
      <c r="AM105" s="14">
        <f t="shared" si="50"/>
        <v>0.16666666666666674</v>
      </c>
      <c r="AN105" s="14">
        <f t="shared" si="51"/>
        <v>693.67761281427534</v>
      </c>
      <c r="AO105" s="14">
        <f t="shared" si="52"/>
        <v>618.8845989230274</v>
      </c>
      <c r="AP105" s="138"/>
      <c r="AQ105" s="138"/>
      <c r="AR105" s="138"/>
    </row>
    <row r="106" spans="1:44" ht="15.75" x14ac:dyDescent="0.2">
      <c r="A106" s="29"/>
      <c r="B106" s="28"/>
      <c r="C106" s="27" t="s">
        <v>355</v>
      </c>
      <c r="D106" s="26" t="s">
        <v>370</v>
      </c>
      <c r="E106" s="25">
        <v>21.1</v>
      </c>
      <c r="F106" s="122">
        <v>5.8369695819894956</v>
      </c>
      <c r="J106" s="14" t="s">
        <v>355</v>
      </c>
      <c r="K106" s="14" t="s">
        <v>370</v>
      </c>
      <c r="L106" s="14">
        <v>36.043956043956044</v>
      </c>
      <c r="M106" s="14">
        <v>48.351648351648358</v>
      </c>
      <c r="O106" s="14">
        <f t="shared" si="44"/>
        <v>0.36043956043956044</v>
      </c>
      <c r="P106" s="14">
        <f t="shared" si="45"/>
        <v>0.48351648351648358</v>
      </c>
      <c r="Q106" s="14">
        <f t="shared" si="46"/>
        <v>1569.7999538228121</v>
      </c>
      <c r="R106" s="14">
        <f t="shared" si="47"/>
        <v>2105.8292063476747</v>
      </c>
      <c r="S106" s="14">
        <f t="shared" si="48"/>
        <v>3675.629160170487</v>
      </c>
      <c r="T106" s="14">
        <f t="shared" si="49"/>
        <v>42.708333333333329</v>
      </c>
      <c r="U106" s="14">
        <f>AVERAGE(Q105:Q107)</f>
        <v>1513.4066597670756</v>
      </c>
      <c r="V106" s="14">
        <f>AVERAGE(R105:R107)</f>
        <v>2040.4659415143199</v>
      </c>
      <c r="W106" s="14">
        <f>AVERAGE(S105:S107)</f>
        <v>3553.8726012813954</v>
      </c>
      <c r="X106" s="14">
        <f>AVERAGE(T105:T107)</f>
        <v>42.58376816042562</v>
      </c>
      <c r="Y106" s="14">
        <v>771.6</v>
      </c>
      <c r="Z106" s="14">
        <f>(U106/10000)/(Y106/1000)</f>
        <v>0.19613875839386671</v>
      </c>
      <c r="AA106" s="14">
        <v>618.4</v>
      </c>
      <c r="AB106" s="14">
        <f>AA106+264+119.9</f>
        <v>1002.3</v>
      </c>
      <c r="AC106" s="14">
        <f>(U106/10000)/(AB106/1000)</f>
        <v>0.15099338119994768</v>
      </c>
      <c r="AD106" s="140">
        <v>4.63</v>
      </c>
      <c r="AE106" s="141">
        <v>1.1499999999999999</v>
      </c>
      <c r="AF106" s="14">
        <f>AE106*25.4</f>
        <v>29.209999999999997</v>
      </c>
      <c r="AG106" s="140">
        <v>80.5</v>
      </c>
      <c r="AH106" s="140">
        <v>30.7</v>
      </c>
      <c r="AI106" s="140">
        <v>6</v>
      </c>
      <c r="AJ106" s="140">
        <v>10</v>
      </c>
      <c r="AK106" s="139" t="s">
        <v>370</v>
      </c>
      <c r="AM106" s="14">
        <f t="shared" si="50"/>
        <v>0.15604395604395593</v>
      </c>
      <c r="AN106" s="14">
        <f t="shared" si="51"/>
        <v>679.60851659402181</v>
      </c>
      <c r="AO106" s="14">
        <f t="shared" si="52"/>
        <v>606.33244672633782</v>
      </c>
      <c r="AP106" s="138">
        <f>AVERAGE(AM105:AM107)</f>
        <v>0.16060930938979714</v>
      </c>
      <c r="AQ106" s="138">
        <f>AVERAGE(AN105:AN107)</f>
        <v>679.63648116810555</v>
      </c>
      <c r="AR106" s="138">
        <f>AVERAGE(AO105:AO107)</f>
        <v>606.3573961320792</v>
      </c>
    </row>
    <row r="107" spans="1:44" ht="16.5" thickBot="1" x14ac:dyDescent="0.25">
      <c r="A107" s="23"/>
      <c r="B107" s="22"/>
      <c r="C107" s="21" t="s">
        <v>356</v>
      </c>
      <c r="D107" s="20" t="s">
        <v>370</v>
      </c>
      <c r="E107" s="19">
        <v>20.3</v>
      </c>
      <c r="F107" s="121">
        <v>5.923729397972556</v>
      </c>
      <c r="J107" s="14" t="s">
        <v>356</v>
      </c>
      <c r="K107" s="14" t="s">
        <v>370</v>
      </c>
      <c r="L107" s="14">
        <v>35.540069686411151</v>
      </c>
      <c r="M107" s="14">
        <v>48.548199767711978</v>
      </c>
      <c r="O107" s="14">
        <f t="shared" si="44"/>
        <v>0.35540069686411152</v>
      </c>
      <c r="P107" s="14">
        <f t="shared" si="45"/>
        <v>0.4854819976771198</v>
      </c>
      <c r="Q107" s="14">
        <f t="shared" si="46"/>
        <v>1486.7206869589934</v>
      </c>
      <c r="R107" s="14">
        <f t="shared" si="47"/>
        <v>2030.8798926433315</v>
      </c>
      <c r="S107" s="14">
        <f t="shared" si="48"/>
        <v>3517.6005796023246</v>
      </c>
      <c r="T107" s="14">
        <f t="shared" si="49"/>
        <v>42.265193370165747</v>
      </c>
      <c r="AD107" s="140"/>
      <c r="AE107" s="141"/>
      <c r="AG107" s="140"/>
      <c r="AH107" s="140"/>
      <c r="AI107" s="140"/>
      <c r="AJ107" s="140"/>
      <c r="AK107" s="139" t="s">
        <v>370</v>
      </c>
      <c r="AM107" s="14">
        <f t="shared" si="50"/>
        <v>0.15911730545876873</v>
      </c>
      <c r="AN107" s="14">
        <f t="shared" si="51"/>
        <v>665.62331409601927</v>
      </c>
      <c r="AO107" s="14">
        <f t="shared" si="52"/>
        <v>593.85514274687239</v>
      </c>
      <c r="AP107" s="138"/>
      <c r="AQ107" s="138"/>
      <c r="AR107" s="138"/>
    </row>
    <row r="108" spans="1:44" ht="15.75" x14ac:dyDescent="0.2">
      <c r="A108" s="34" t="s">
        <v>379</v>
      </c>
      <c r="B108" s="33">
        <v>4</v>
      </c>
      <c r="C108" s="32" t="s">
        <v>354</v>
      </c>
      <c r="D108" s="31" t="s">
        <v>365</v>
      </c>
      <c r="E108" s="30">
        <v>20</v>
      </c>
      <c r="F108" s="123">
        <v>4.9624771820701801</v>
      </c>
      <c r="H108" s="14" t="s">
        <v>379</v>
      </c>
      <c r="I108" s="14">
        <v>4</v>
      </c>
      <c r="J108" s="14" t="s">
        <v>354</v>
      </c>
      <c r="K108" s="14" t="s">
        <v>365</v>
      </c>
      <c r="L108" s="14">
        <v>35.714285714285715</v>
      </c>
      <c r="M108" s="14">
        <v>48.333333333333343</v>
      </c>
      <c r="O108" s="14">
        <f t="shared" si="44"/>
        <v>0.35714285714285715</v>
      </c>
      <c r="P108" s="14">
        <f t="shared" si="45"/>
        <v>0.48333333333333345</v>
      </c>
      <c r="Q108" s="14">
        <f t="shared" si="46"/>
        <v>1486.5439788062379</v>
      </c>
      <c r="R108" s="14">
        <f t="shared" si="47"/>
        <v>2011.7895179844425</v>
      </c>
      <c r="S108" s="14">
        <f t="shared" si="48"/>
        <v>3498.3334967906803</v>
      </c>
      <c r="T108" s="14">
        <f t="shared" si="49"/>
        <v>42.492917847025488</v>
      </c>
      <c r="AD108" s="140"/>
      <c r="AE108" s="141"/>
      <c r="AG108" s="140"/>
      <c r="AH108" s="140"/>
      <c r="AI108" s="140"/>
      <c r="AJ108" s="140"/>
      <c r="AK108" s="139" t="s">
        <v>365</v>
      </c>
      <c r="AM108" s="14">
        <f t="shared" si="50"/>
        <v>0.15952380952380935</v>
      </c>
      <c r="AN108" s="14">
        <f t="shared" si="51"/>
        <v>663.98964386678551</v>
      </c>
      <c r="AO108" s="14">
        <f t="shared" si="52"/>
        <v>592.39761647542491</v>
      </c>
      <c r="AP108" s="138"/>
      <c r="AQ108" s="138"/>
      <c r="AR108" s="138"/>
    </row>
    <row r="109" spans="1:44" ht="15.75" x14ac:dyDescent="0.2">
      <c r="A109" s="29"/>
      <c r="B109" s="28"/>
      <c r="C109" s="27" t="s">
        <v>355</v>
      </c>
      <c r="D109" s="26" t="s">
        <v>365</v>
      </c>
      <c r="E109" s="25">
        <v>17.100000000000001</v>
      </c>
      <c r="F109" s="122">
        <v>5.1666157138489792</v>
      </c>
      <c r="J109" s="14" t="s">
        <v>355</v>
      </c>
      <c r="K109" s="14" t="s">
        <v>365</v>
      </c>
      <c r="L109" s="14">
        <v>36.065573770491795</v>
      </c>
      <c r="M109" s="14">
        <v>49.180327868852466</v>
      </c>
      <c r="O109" s="14">
        <f t="shared" si="44"/>
        <v>0.36065573770491793</v>
      </c>
      <c r="P109" s="14">
        <f t="shared" si="45"/>
        <v>0.49180327868852464</v>
      </c>
      <c r="Q109" s="14">
        <f t="shared" si="46"/>
        <v>1276.5330135451095</v>
      </c>
      <c r="R109" s="14">
        <f t="shared" si="47"/>
        <v>1740.7268366524227</v>
      </c>
      <c r="S109" s="14">
        <f t="shared" si="48"/>
        <v>3017.2598501975322</v>
      </c>
      <c r="T109" s="14">
        <f t="shared" si="49"/>
        <v>42.307692307692299</v>
      </c>
      <c r="U109" s="14">
        <f>AVERAGE(Q108:Q110)</f>
        <v>1459.1553242694572</v>
      </c>
      <c r="V109" s="14">
        <f>AVERAGE(R108:R110)</f>
        <v>1958.5608227762768</v>
      </c>
      <c r="W109" s="14">
        <f>AVERAGE(S108:S110)</f>
        <v>3417.7161470457345</v>
      </c>
      <c r="X109" s="14">
        <f>AVERAGE(T108:T110)</f>
        <v>42.664775810734902</v>
      </c>
      <c r="Y109" s="14">
        <v>864.4</v>
      </c>
      <c r="Z109" s="14">
        <f>(U109/10000)/(Y109/1000)</f>
        <v>0.1688055673611126</v>
      </c>
      <c r="AA109" s="14">
        <v>689</v>
      </c>
      <c r="AB109" s="14">
        <f>AA109+264+119.9</f>
        <v>1072.9000000000001</v>
      </c>
      <c r="AC109" s="14">
        <f>(U109/10000)/(AB109/1000)</f>
        <v>0.13600105548228697</v>
      </c>
      <c r="AD109" s="140">
        <v>4.79</v>
      </c>
      <c r="AE109" s="141">
        <v>1.0900000000000001</v>
      </c>
      <c r="AF109" s="14">
        <f>AE109*25.4</f>
        <v>27.686</v>
      </c>
      <c r="AG109" s="140">
        <v>79.7</v>
      </c>
      <c r="AH109" s="140">
        <v>29.2</v>
      </c>
      <c r="AI109" s="140">
        <v>5.8</v>
      </c>
      <c r="AJ109" s="140">
        <v>10.8</v>
      </c>
      <c r="AK109" s="139" t="s">
        <v>365</v>
      </c>
      <c r="AM109" s="14">
        <f t="shared" si="50"/>
        <v>0.14754098360655737</v>
      </c>
      <c r="AN109" s="14">
        <f t="shared" si="51"/>
        <v>522.21805099572668</v>
      </c>
      <c r="AO109" s="14">
        <f t="shared" si="52"/>
        <v>465.91197851931645</v>
      </c>
      <c r="AP109" s="138">
        <f>AVERAGE(AM108:AM110)</f>
        <v>0.15209509436936505</v>
      </c>
      <c r="AQ109" s="138">
        <f>AVERAGE(AN108:AN110)</f>
        <v>613.91582089481869</v>
      </c>
      <c r="AR109" s="138">
        <f>AVERAGE(AO108:AO110)</f>
        <v>547.72280317011848</v>
      </c>
    </row>
    <row r="110" spans="1:44" ht="16.5" thickBot="1" x14ac:dyDescent="0.25">
      <c r="A110" s="23"/>
      <c r="B110" s="22"/>
      <c r="C110" s="21" t="s">
        <v>356</v>
      </c>
      <c r="D110" s="20" t="s">
        <v>365</v>
      </c>
      <c r="E110" s="19">
        <v>21.2</v>
      </c>
      <c r="F110" s="121">
        <v>5.4746762700176417</v>
      </c>
      <c r="J110" s="14" t="s">
        <v>356</v>
      </c>
      <c r="K110" s="14" t="s">
        <v>365</v>
      </c>
      <c r="L110" s="14">
        <v>36.74832962138084</v>
      </c>
      <c r="M110" s="14">
        <v>48.329621380846319</v>
      </c>
      <c r="O110" s="14">
        <f t="shared" si="44"/>
        <v>0.36748329621380837</v>
      </c>
      <c r="P110" s="14">
        <f t="shared" si="45"/>
        <v>0.48329621380846322</v>
      </c>
      <c r="Q110" s="14">
        <f t="shared" si="46"/>
        <v>1614.3889804570244</v>
      </c>
      <c r="R110" s="14">
        <f t="shared" si="47"/>
        <v>2123.1661136919656</v>
      </c>
      <c r="S110" s="14">
        <f t="shared" si="48"/>
        <v>3737.5550941489901</v>
      </c>
      <c r="T110" s="14">
        <f t="shared" si="49"/>
        <v>43.193717277486911</v>
      </c>
      <c r="AD110" s="140"/>
      <c r="AE110" s="141"/>
      <c r="AG110" s="140"/>
      <c r="AH110" s="140"/>
      <c r="AI110" s="140"/>
      <c r="AJ110" s="140"/>
      <c r="AK110" s="139" t="s">
        <v>365</v>
      </c>
      <c r="AM110" s="14">
        <f t="shared" si="50"/>
        <v>0.14922048997772841</v>
      </c>
      <c r="AN110" s="14">
        <f t="shared" si="51"/>
        <v>655.539767821944</v>
      </c>
      <c r="AO110" s="14">
        <f t="shared" si="52"/>
        <v>584.8588145156142</v>
      </c>
      <c r="AP110" s="138"/>
      <c r="AQ110" s="138"/>
      <c r="AR110" s="138"/>
    </row>
    <row r="111" spans="1:44" ht="16.5" thickBot="1" x14ac:dyDescent="0.25">
      <c r="A111" s="34" t="s">
        <v>378</v>
      </c>
      <c r="B111" s="33">
        <v>1</v>
      </c>
      <c r="C111" s="21" t="s">
        <v>354</v>
      </c>
      <c r="D111" s="20" t="s">
        <v>361</v>
      </c>
      <c r="E111" s="19">
        <v>20.3</v>
      </c>
      <c r="F111" s="121">
        <v>5.5318011758418075</v>
      </c>
      <c r="H111" s="14" t="s">
        <v>378</v>
      </c>
      <c r="I111" s="14">
        <v>1</v>
      </c>
      <c r="J111" s="14" t="s">
        <v>354</v>
      </c>
      <c r="K111" s="14" t="s">
        <v>373</v>
      </c>
      <c r="L111" s="14">
        <v>35.402298850574716</v>
      </c>
      <c r="M111" s="14">
        <v>47.586206896551737</v>
      </c>
      <c r="O111" s="14">
        <f t="shared" si="44"/>
        <v>0.35402298850574715</v>
      </c>
      <c r="P111" s="14">
        <f t="shared" si="45"/>
        <v>0.47586206896551736</v>
      </c>
      <c r="Q111" s="14">
        <f t="shared" si="46"/>
        <v>1487.1271950558514</v>
      </c>
      <c r="R111" s="14">
        <f t="shared" si="47"/>
        <v>1998.9307102374107</v>
      </c>
      <c r="S111" s="14">
        <f t="shared" si="48"/>
        <v>3486.0579052932621</v>
      </c>
      <c r="T111" s="14">
        <f t="shared" si="49"/>
        <v>42.659279778393348</v>
      </c>
      <c r="AD111" s="140"/>
      <c r="AE111" s="141"/>
      <c r="AG111" s="140"/>
      <c r="AH111" s="140"/>
      <c r="AI111" s="140"/>
      <c r="AJ111" s="140"/>
      <c r="AK111" s="139" t="s">
        <v>361</v>
      </c>
      <c r="AM111" s="14">
        <f t="shared" si="50"/>
        <v>0.17011494252873555</v>
      </c>
      <c r="AN111" s="14">
        <f t="shared" si="51"/>
        <v>714.59358723462935</v>
      </c>
      <c r="AO111" s="14">
        <f t="shared" si="52"/>
        <v>637.54539206540437</v>
      </c>
      <c r="AP111" s="138"/>
      <c r="AQ111" s="138"/>
      <c r="AR111" s="138"/>
    </row>
    <row r="112" spans="1:44" ht="16.5" thickBot="1" x14ac:dyDescent="0.25">
      <c r="A112" s="29"/>
      <c r="B112" s="28"/>
      <c r="C112" s="27" t="s">
        <v>355</v>
      </c>
      <c r="D112" s="26" t="s">
        <v>361</v>
      </c>
      <c r="E112" s="25">
        <v>22</v>
      </c>
      <c r="F112" s="122">
        <v>6.9075899250273576</v>
      </c>
      <c r="J112" s="14" t="s">
        <v>355</v>
      </c>
      <c r="K112" s="14" t="s">
        <v>373</v>
      </c>
      <c r="L112" s="14">
        <v>35.355648535564846</v>
      </c>
      <c r="M112" s="14">
        <v>48.326359832635987</v>
      </c>
      <c r="O112" s="14">
        <f t="shared" si="44"/>
        <v>0.35355648535564849</v>
      </c>
      <c r="P112" s="14">
        <f t="shared" si="45"/>
        <v>0.48326359832635984</v>
      </c>
      <c r="Q112" s="14">
        <f t="shared" si="46"/>
        <v>1588.4386808356344</v>
      </c>
      <c r="R112" s="14">
        <f t="shared" si="47"/>
        <v>2171.1794986569917</v>
      </c>
      <c r="S112" s="14">
        <f t="shared" si="48"/>
        <v>3759.618179492626</v>
      </c>
      <c r="T112" s="14">
        <f t="shared" si="49"/>
        <v>42.25</v>
      </c>
      <c r="U112" s="14">
        <f>AVERAGE(Q111:Q113)</f>
        <v>1526.0328742863458</v>
      </c>
      <c r="V112" s="14">
        <f>AVERAGE(R111:R113)</f>
        <v>2068.599912347996</v>
      </c>
      <c r="W112" s="14">
        <f>AVERAGE(S111:S113)</f>
        <v>3594.6327866343418</v>
      </c>
      <c r="X112" s="14">
        <f>AVERAGE(T111:T113)</f>
        <v>42.458344401016959</v>
      </c>
      <c r="Y112" s="14">
        <v>1045.8</v>
      </c>
      <c r="Z112" s="14">
        <f>(U112/10000)/(Y112/1000)</f>
        <v>0.14592014479693494</v>
      </c>
      <c r="AA112" s="14">
        <v>870.3</v>
      </c>
      <c r="AB112" s="14">
        <f>AA112+264+119.9</f>
        <v>1254.2</v>
      </c>
      <c r="AC112" s="14">
        <f>(U112/10000)/(AB112/1000)</f>
        <v>0.1216738059548992</v>
      </c>
      <c r="AD112" s="140">
        <v>4.4000000000000004</v>
      </c>
      <c r="AE112" s="141">
        <v>1.1100000000000001</v>
      </c>
      <c r="AF112" s="14">
        <f>AE112*25.4</f>
        <v>28.194000000000003</v>
      </c>
      <c r="AG112" s="140">
        <v>80.8</v>
      </c>
      <c r="AH112" s="140">
        <v>31.6</v>
      </c>
      <c r="AI112" s="140">
        <v>6.2</v>
      </c>
      <c r="AJ112" s="140">
        <v>10.3</v>
      </c>
      <c r="AK112" s="139" t="s">
        <v>361</v>
      </c>
      <c r="AM112" s="14">
        <f t="shared" si="50"/>
        <v>0.16317991631799161</v>
      </c>
      <c r="AN112" s="14">
        <f t="shared" si="51"/>
        <v>733.12554500106205</v>
      </c>
      <c r="AO112" s="14">
        <f t="shared" si="52"/>
        <v>654.07921561350258</v>
      </c>
      <c r="AP112" s="138">
        <f>AVERAGE(AM111:AM113)</f>
        <v>0.16978903120323563</v>
      </c>
      <c r="AQ112" s="138">
        <f>AVERAGE(AN111:AN113)</f>
        <v>734.61079518279837</v>
      </c>
      <c r="AR112" s="138">
        <f>AVERAGE(AO111:AO113)</f>
        <v>655.40432463539389</v>
      </c>
    </row>
    <row r="113" spans="1:44" ht="16.5" thickBot="1" x14ac:dyDescent="0.25">
      <c r="A113" s="23"/>
      <c r="B113" s="22"/>
      <c r="C113" s="32" t="s">
        <v>356</v>
      </c>
      <c r="D113" s="31" t="s">
        <v>361</v>
      </c>
      <c r="E113" s="30">
        <v>20.7</v>
      </c>
      <c r="F113" s="123">
        <v>5.3260302556077104</v>
      </c>
      <c r="J113" s="14" t="s">
        <v>356</v>
      </c>
      <c r="K113" s="14" t="s">
        <v>373</v>
      </c>
      <c r="L113" s="14">
        <v>34.988713318284418</v>
      </c>
      <c r="M113" s="14">
        <v>47.404063205417614</v>
      </c>
      <c r="O113" s="14">
        <f t="shared" si="44"/>
        <v>0.3498871331828442</v>
      </c>
      <c r="P113" s="14">
        <f t="shared" si="45"/>
        <v>0.47404063205417613</v>
      </c>
      <c r="Q113" s="14">
        <f t="shared" si="46"/>
        <v>1502.532746967551</v>
      </c>
      <c r="R113" s="14">
        <f t="shared" si="47"/>
        <v>2035.6895281495856</v>
      </c>
      <c r="S113" s="14">
        <f t="shared" si="48"/>
        <v>3538.2222751171366</v>
      </c>
      <c r="T113" s="14">
        <f t="shared" si="49"/>
        <v>42.465753424657535</v>
      </c>
      <c r="AD113" s="140"/>
      <c r="AE113" s="141"/>
      <c r="AG113" s="140"/>
      <c r="AH113" s="140"/>
      <c r="AI113" s="140"/>
      <c r="AJ113" s="140"/>
      <c r="AK113" s="139" t="s">
        <v>361</v>
      </c>
      <c r="AM113" s="14">
        <f t="shared" si="50"/>
        <v>0.17607223476297973</v>
      </c>
      <c r="AN113" s="14">
        <f t="shared" si="51"/>
        <v>756.11325331270336</v>
      </c>
      <c r="AO113" s="14">
        <f t="shared" si="52"/>
        <v>674.58836622727438</v>
      </c>
      <c r="AP113" s="138"/>
      <c r="AQ113" s="138"/>
      <c r="AR113" s="138"/>
    </row>
    <row r="114" spans="1:44" ht="16.5" thickBot="1" x14ac:dyDescent="0.25">
      <c r="A114" s="34" t="s">
        <v>378</v>
      </c>
      <c r="B114" s="33">
        <v>2</v>
      </c>
      <c r="C114" s="21" t="s">
        <v>354</v>
      </c>
      <c r="D114" s="20" t="s">
        <v>366</v>
      </c>
      <c r="E114" s="19">
        <v>16.399999999999999</v>
      </c>
      <c r="F114" s="121">
        <v>5.3003936783248813</v>
      </c>
      <c r="H114" s="14" t="s">
        <v>378</v>
      </c>
      <c r="I114" s="14">
        <v>2</v>
      </c>
      <c r="J114" s="14" t="s">
        <v>354</v>
      </c>
      <c r="K114" s="14" t="s">
        <v>364</v>
      </c>
      <c r="L114" s="14">
        <v>33.956834532374096</v>
      </c>
      <c r="M114" s="14">
        <v>47.769784172661872</v>
      </c>
      <c r="O114" s="14">
        <f t="shared" si="44"/>
        <v>0.33956834532374097</v>
      </c>
      <c r="P114" s="14">
        <f t="shared" si="45"/>
        <v>0.47769784172661872</v>
      </c>
      <c r="Q114" s="14">
        <f t="shared" si="46"/>
        <v>1149.9516121074155</v>
      </c>
      <c r="R114" s="14">
        <f t="shared" si="47"/>
        <v>1617.7285390663642</v>
      </c>
      <c r="S114" s="14">
        <f t="shared" si="48"/>
        <v>2767.6801511737794</v>
      </c>
      <c r="T114" s="14">
        <f t="shared" si="49"/>
        <v>41.549295774647888</v>
      </c>
      <c r="AD114" s="140"/>
      <c r="AE114" s="141"/>
      <c r="AG114" s="140"/>
      <c r="AH114" s="140"/>
      <c r="AI114" s="140"/>
      <c r="AJ114" s="140"/>
      <c r="AK114" s="139" t="s">
        <v>366</v>
      </c>
      <c r="AM114" s="14">
        <f t="shared" si="50"/>
        <v>0.18273381294964025</v>
      </c>
      <c r="AN114" s="14">
        <f t="shared" si="51"/>
        <v>618.82989295610912</v>
      </c>
      <c r="AO114" s="14">
        <f t="shared" si="52"/>
        <v>552.10703506768846</v>
      </c>
      <c r="AP114" s="138"/>
      <c r="AQ114" s="138"/>
      <c r="AR114" s="138"/>
    </row>
    <row r="115" spans="1:44" ht="16.5" thickBot="1" x14ac:dyDescent="0.25">
      <c r="A115" s="29"/>
      <c r="B115" s="28"/>
      <c r="C115" s="27" t="s">
        <v>355</v>
      </c>
      <c r="D115" s="26" t="s">
        <v>366</v>
      </c>
      <c r="E115" s="25">
        <v>18</v>
      </c>
      <c r="F115" s="122">
        <v>5.7035474086773084</v>
      </c>
      <c r="J115" s="14" t="s">
        <v>355</v>
      </c>
      <c r="K115" s="14" t="s">
        <v>364</v>
      </c>
      <c r="L115" s="14">
        <v>34.374999999999993</v>
      </c>
      <c r="M115" s="14">
        <v>48.177083333333336</v>
      </c>
      <c r="O115" s="14">
        <f t="shared" si="44"/>
        <v>0.34374999999999994</v>
      </c>
      <c r="P115" s="14">
        <f t="shared" si="45"/>
        <v>0.48177083333333337</v>
      </c>
      <c r="Q115" s="14">
        <f t="shared" si="46"/>
        <v>1274.9279688489701</v>
      </c>
      <c r="R115" s="14">
        <f t="shared" si="47"/>
        <v>1786.8308654322691</v>
      </c>
      <c r="S115" s="14">
        <f t="shared" si="48"/>
        <v>3061.7588342812392</v>
      </c>
      <c r="T115" s="14">
        <f t="shared" si="49"/>
        <v>41.640378548895896</v>
      </c>
      <c r="U115" s="14">
        <f>AVERAGE(Q114:Q116)</f>
        <v>1244.1908790738928</v>
      </c>
      <c r="V115" s="14">
        <f>AVERAGE(R114:R116)</f>
        <v>1736.2010366191073</v>
      </c>
      <c r="W115" s="14">
        <f>AVERAGE(S114:S116)</f>
        <v>2980.3919156930006</v>
      </c>
      <c r="X115" s="14">
        <f>AVERAGE(T114:T116)</f>
        <v>41.738071400281463</v>
      </c>
      <c r="Y115" s="14">
        <v>831.9</v>
      </c>
      <c r="Z115" s="14">
        <f>(U115/10000)/(Y115/1000)</f>
        <v>0.14956014894505265</v>
      </c>
      <c r="AA115" s="14">
        <v>638.4</v>
      </c>
      <c r="AB115" s="14">
        <f>AA115+264+119.9</f>
        <v>1022.3</v>
      </c>
      <c r="AC115" s="14">
        <f>(U115/10000)/(AB115/1000)</f>
        <v>0.12170506495880787</v>
      </c>
      <c r="AD115" s="140">
        <v>4.29</v>
      </c>
      <c r="AE115" s="141">
        <v>1.0900000000000001</v>
      </c>
      <c r="AF115" s="14">
        <f>AE115*25.4</f>
        <v>27.686</v>
      </c>
      <c r="AG115" s="140">
        <v>78.900000000000006</v>
      </c>
      <c r="AH115" s="140">
        <v>32</v>
      </c>
      <c r="AI115" s="140">
        <v>6.2</v>
      </c>
      <c r="AJ115" s="140">
        <v>11.4</v>
      </c>
      <c r="AK115" s="139" t="s">
        <v>366</v>
      </c>
      <c r="AM115" s="14">
        <f t="shared" si="50"/>
        <v>0.17447916666666663</v>
      </c>
      <c r="AN115" s="14">
        <f t="shared" si="51"/>
        <v>647.12252964303786</v>
      </c>
      <c r="AO115" s="14">
        <f t="shared" si="52"/>
        <v>577.34913137439594</v>
      </c>
      <c r="AP115" s="138">
        <f>AVERAGE(AM114:AM116)</f>
        <v>0.17377184790629033</v>
      </c>
      <c r="AQ115" s="138">
        <f>AVERAGE(AN114:AN116)</f>
        <v>625.61517639187798</v>
      </c>
      <c r="AR115" s="138">
        <f>AVERAGE(AO114:AO116)</f>
        <v>558.16072245812938</v>
      </c>
    </row>
    <row r="116" spans="1:44" ht="16.5" thickBot="1" x14ac:dyDescent="0.25">
      <c r="A116" s="23"/>
      <c r="B116" s="22"/>
      <c r="C116" s="32" t="s">
        <v>356</v>
      </c>
      <c r="D116" s="31" t="s">
        <v>366</v>
      </c>
      <c r="E116" s="30">
        <v>18.100000000000001</v>
      </c>
      <c r="F116" s="123">
        <v>5.8881182147165374</v>
      </c>
      <c r="J116" s="14" t="s">
        <v>356</v>
      </c>
      <c r="K116" s="14" t="s">
        <v>364</v>
      </c>
      <c r="L116" s="14">
        <v>35.128205128205124</v>
      </c>
      <c r="M116" s="14">
        <v>48.461538461538467</v>
      </c>
      <c r="O116" s="14">
        <f t="shared" si="44"/>
        <v>0.35128205128205126</v>
      </c>
      <c r="P116" s="14">
        <f t="shared" si="45"/>
        <v>0.48461538461538467</v>
      </c>
      <c r="Q116" s="14">
        <f t="shared" si="46"/>
        <v>1307.6930562652929</v>
      </c>
      <c r="R116" s="14">
        <f t="shared" si="47"/>
        <v>1804.0437053586893</v>
      </c>
      <c r="S116" s="14">
        <f t="shared" si="48"/>
        <v>3111.7367616239821</v>
      </c>
      <c r="T116" s="14">
        <f t="shared" si="49"/>
        <v>42.024539877300604</v>
      </c>
      <c r="AD116" s="140"/>
      <c r="AE116" s="141"/>
      <c r="AG116" s="140"/>
      <c r="AH116" s="140"/>
      <c r="AI116" s="140"/>
      <c r="AJ116" s="140"/>
      <c r="AK116" s="139" t="s">
        <v>366</v>
      </c>
      <c r="AM116" s="14">
        <f t="shared" si="50"/>
        <v>0.16410256410256407</v>
      </c>
      <c r="AN116" s="14">
        <f t="shared" si="51"/>
        <v>610.89310657648718</v>
      </c>
      <c r="AO116" s="14">
        <f t="shared" si="52"/>
        <v>545.02600093230376</v>
      </c>
      <c r="AP116" s="138"/>
      <c r="AQ116" s="138"/>
      <c r="AR116" s="138"/>
    </row>
    <row r="117" spans="1:44" ht="16.5" thickBot="1" x14ac:dyDescent="0.25">
      <c r="A117" s="34" t="s">
        <v>378</v>
      </c>
      <c r="B117" s="33">
        <v>3</v>
      </c>
      <c r="C117" s="21" t="s">
        <v>354</v>
      </c>
      <c r="D117" s="20" t="s">
        <v>364</v>
      </c>
      <c r="E117" s="19">
        <v>11.1</v>
      </c>
      <c r="F117" s="121">
        <v>5.0861976657029659</v>
      </c>
      <c r="H117" s="14" t="s">
        <v>378</v>
      </c>
      <c r="I117" s="14">
        <v>3</v>
      </c>
      <c r="J117" s="14" t="s">
        <v>354</v>
      </c>
      <c r="K117" s="14" t="s">
        <v>366</v>
      </c>
      <c r="L117" s="14">
        <v>33.986928104575163</v>
      </c>
      <c r="M117" s="14">
        <v>48.366013071895416</v>
      </c>
      <c r="O117" s="14">
        <f t="shared" si="44"/>
        <v>0.33986928104575165</v>
      </c>
      <c r="P117" s="14">
        <f t="shared" si="45"/>
        <v>0.48366013071895414</v>
      </c>
      <c r="Q117" s="14">
        <f t="shared" si="46"/>
        <v>771.92970375487573</v>
      </c>
      <c r="R117" s="14">
        <f t="shared" si="47"/>
        <v>1098.5153476511691</v>
      </c>
      <c r="S117" s="14">
        <f t="shared" si="48"/>
        <v>1870.445051406045</v>
      </c>
      <c r="T117" s="14">
        <f t="shared" si="49"/>
        <v>41.269841269841272</v>
      </c>
      <c r="AD117" s="140"/>
      <c r="AE117" s="141"/>
      <c r="AG117" s="140"/>
      <c r="AH117" s="140"/>
      <c r="AI117" s="140"/>
      <c r="AJ117" s="140"/>
      <c r="AK117" s="139" t="s">
        <v>364</v>
      </c>
      <c r="AM117" s="14">
        <f t="shared" si="50"/>
        <v>0.17647058823529421</v>
      </c>
      <c r="AN117" s="14">
        <f t="shared" si="51"/>
        <v>400.80965387272414</v>
      </c>
      <c r="AO117" s="14">
        <f t="shared" si="52"/>
        <v>357.59395618251318</v>
      </c>
      <c r="AP117" s="138"/>
      <c r="AQ117" s="138"/>
      <c r="AR117" s="138"/>
    </row>
    <row r="118" spans="1:44" ht="16.5" thickBot="1" x14ac:dyDescent="0.25">
      <c r="A118" s="29"/>
      <c r="B118" s="28"/>
      <c r="C118" s="27" t="s">
        <v>355</v>
      </c>
      <c r="D118" s="26" t="s">
        <v>364</v>
      </c>
      <c r="E118" s="25">
        <v>13</v>
      </c>
      <c r="F118" s="122">
        <v>5.1123843102688395</v>
      </c>
      <c r="J118" s="14" t="s">
        <v>355</v>
      </c>
      <c r="K118" s="14" t="s">
        <v>366</v>
      </c>
      <c r="L118" s="14">
        <v>34.686346863468636</v>
      </c>
      <c r="M118" s="14">
        <v>48.339483394833948</v>
      </c>
      <c r="O118" s="14">
        <f t="shared" si="44"/>
        <v>0.34686346863468637</v>
      </c>
      <c r="P118" s="14">
        <f t="shared" si="45"/>
        <v>0.48339483394833949</v>
      </c>
      <c r="Q118" s="14">
        <f t="shared" si="46"/>
        <v>927.19084387087048</v>
      </c>
      <c r="R118" s="14">
        <f t="shared" si="47"/>
        <v>1292.1489419902555</v>
      </c>
      <c r="S118" s="14">
        <f t="shared" si="48"/>
        <v>2219.3397858611261</v>
      </c>
      <c r="T118" s="14">
        <f t="shared" si="49"/>
        <v>41.777777777777779</v>
      </c>
      <c r="U118" s="14">
        <f>AVERAGE(Q117:Q119)</f>
        <v>870.37008199717286</v>
      </c>
      <c r="V118" s="14">
        <f>AVERAGE(R117:R119)</f>
        <v>1223.7768915268648</v>
      </c>
      <c r="W118" s="14">
        <f>AVERAGE(S117:S119)</f>
        <v>2094.1469735240375</v>
      </c>
      <c r="X118" s="14">
        <f>AVERAGE(T117:T119)</f>
        <v>41.546846467200453</v>
      </c>
      <c r="Y118" s="14">
        <v>747.8</v>
      </c>
      <c r="Z118" s="14">
        <f>(U118/10000)/(Y118/1000)</f>
        <v>0.11639075715394129</v>
      </c>
      <c r="AA118" s="14">
        <v>547.70000000000005</v>
      </c>
      <c r="AB118" s="14">
        <f>AA118+264+119.9</f>
        <v>931.6</v>
      </c>
      <c r="AC118" s="14">
        <f>(U118/10000)/(AB118/1000)</f>
        <v>9.3427445469855389E-2</v>
      </c>
      <c r="AD118" s="140">
        <v>4.8</v>
      </c>
      <c r="AE118" s="141">
        <v>1.07</v>
      </c>
      <c r="AF118" s="14">
        <f>AE118*25.4</f>
        <v>27.178000000000001</v>
      </c>
      <c r="AG118" s="140">
        <v>80.099999999999994</v>
      </c>
      <c r="AH118" s="140">
        <v>29.4</v>
      </c>
      <c r="AI118" s="140">
        <v>5.8</v>
      </c>
      <c r="AJ118" s="140">
        <v>10.5</v>
      </c>
      <c r="AK118" s="139" t="s">
        <v>364</v>
      </c>
      <c r="AM118" s="14">
        <f t="shared" si="50"/>
        <v>0.1697416974169742</v>
      </c>
      <c r="AN118" s="14">
        <f t="shared" si="51"/>
        <v>453.73168955383028</v>
      </c>
      <c r="AO118" s="14">
        <f t="shared" si="52"/>
        <v>404.8098850544468</v>
      </c>
      <c r="AP118" s="138">
        <f>AVERAGE(AM117:AM119)</f>
        <v>0.16816635468359284</v>
      </c>
      <c r="AQ118" s="138">
        <f>AVERAGE(AN117:AN119)</f>
        <v>422.2923704348986</v>
      </c>
      <c r="AR118" s="138">
        <f>AVERAGE(AO117:AO119)</f>
        <v>376.76038476223744</v>
      </c>
    </row>
    <row r="119" spans="1:44" ht="16.5" thickBot="1" x14ac:dyDescent="0.25">
      <c r="A119" s="23"/>
      <c r="B119" s="22"/>
      <c r="C119" s="32" t="s">
        <v>356</v>
      </c>
      <c r="D119" s="31" t="s">
        <v>364</v>
      </c>
      <c r="E119" s="30">
        <v>12.7</v>
      </c>
      <c r="F119" s="123">
        <v>5.2773196771113726</v>
      </c>
      <c r="J119" s="14" t="s">
        <v>356</v>
      </c>
      <c r="K119" s="14" t="s">
        <v>366</v>
      </c>
      <c r="L119" s="14">
        <v>35.009310986964621</v>
      </c>
      <c r="M119" s="14">
        <v>49.162011173184368</v>
      </c>
      <c r="O119" s="14">
        <f t="shared" si="44"/>
        <v>0.3500931098696462</v>
      </c>
      <c r="P119" s="14">
        <f t="shared" si="45"/>
        <v>0.49162011173184367</v>
      </c>
      <c r="Q119" s="14">
        <f t="shared" si="46"/>
        <v>911.98969836577248</v>
      </c>
      <c r="R119" s="14">
        <f t="shared" si="47"/>
        <v>1280.6663849391698</v>
      </c>
      <c r="S119" s="14">
        <f t="shared" si="48"/>
        <v>2192.6560833049425</v>
      </c>
      <c r="T119" s="14">
        <f t="shared" si="49"/>
        <v>41.592920353982301</v>
      </c>
      <c r="AD119" s="140"/>
      <c r="AE119" s="141"/>
      <c r="AG119" s="140"/>
      <c r="AH119" s="140"/>
      <c r="AI119" s="140"/>
      <c r="AJ119" s="140"/>
      <c r="AK119" s="139" t="s">
        <v>364</v>
      </c>
      <c r="AM119" s="14">
        <f t="shared" si="50"/>
        <v>0.15828677839851008</v>
      </c>
      <c r="AN119" s="14">
        <f t="shared" si="51"/>
        <v>412.33576787814133</v>
      </c>
      <c r="AO119" s="14">
        <f t="shared" si="52"/>
        <v>367.87731304975227</v>
      </c>
      <c r="AP119" s="138"/>
      <c r="AQ119" s="138"/>
      <c r="AR119" s="138"/>
    </row>
    <row r="120" spans="1:44" ht="16.5" thickBot="1" x14ac:dyDescent="0.25">
      <c r="A120" s="34" t="s">
        <v>378</v>
      </c>
      <c r="B120" s="33">
        <v>4</v>
      </c>
      <c r="C120" s="21" t="s">
        <v>354</v>
      </c>
      <c r="D120" s="20" t="s">
        <v>373</v>
      </c>
      <c r="E120" s="19">
        <v>13.2</v>
      </c>
      <c r="F120" s="121">
        <v>5.2584333364830362</v>
      </c>
      <c r="H120" s="14" t="s">
        <v>378</v>
      </c>
      <c r="I120" s="14">
        <v>4</v>
      </c>
      <c r="J120" s="14" t="s">
        <v>354</v>
      </c>
      <c r="K120" s="14" t="s">
        <v>361</v>
      </c>
      <c r="L120" s="14">
        <v>34.482758620689658</v>
      </c>
      <c r="M120" s="14">
        <v>48.638838475499107</v>
      </c>
      <c r="O120" s="14">
        <f t="shared" si="44"/>
        <v>0.34482758620689657</v>
      </c>
      <c r="P120" s="14">
        <f t="shared" si="45"/>
        <v>0.48638838475499108</v>
      </c>
      <c r="Q120" s="14">
        <f t="shared" si="46"/>
        <v>934.91531049994387</v>
      </c>
      <c r="R120" s="14">
        <f t="shared" si="47"/>
        <v>1318.7226484946582</v>
      </c>
      <c r="S120" s="14">
        <f t="shared" si="48"/>
        <v>2253.6379589946018</v>
      </c>
      <c r="T120" s="14">
        <f t="shared" si="49"/>
        <v>41.484716157205234</v>
      </c>
      <c r="AD120" s="140"/>
      <c r="AE120" s="141"/>
      <c r="AG120" s="140"/>
      <c r="AH120" s="140"/>
      <c r="AI120" s="140"/>
      <c r="AJ120" s="140"/>
      <c r="AK120" s="139" t="s">
        <v>373</v>
      </c>
      <c r="AM120" s="14">
        <f t="shared" si="50"/>
        <v>0.16878402903811235</v>
      </c>
      <c r="AN120" s="14">
        <f t="shared" si="51"/>
        <v>457.61644145523525</v>
      </c>
      <c r="AO120" s="14">
        <f t="shared" si="52"/>
        <v>408.27577912109035</v>
      </c>
      <c r="AP120" s="138"/>
      <c r="AQ120" s="138"/>
      <c r="AR120" s="138"/>
    </row>
    <row r="121" spans="1:44" ht="16.5" thickBot="1" x14ac:dyDescent="0.25">
      <c r="A121" s="35"/>
      <c r="B121" s="28"/>
      <c r="C121" s="27" t="s">
        <v>355</v>
      </c>
      <c r="D121" s="26" t="s">
        <v>373</v>
      </c>
      <c r="E121" s="25">
        <v>14.8</v>
      </c>
      <c r="F121" s="122">
        <v>5.4475476166979142</v>
      </c>
      <c r="J121" s="14" t="s">
        <v>355</v>
      </c>
      <c r="K121" s="14" t="s">
        <v>361</v>
      </c>
      <c r="L121" s="14">
        <v>34.768740031897927</v>
      </c>
      <c r="M121" s="14">
        <v>49.44178628389156</v>
      </c>
      <c r="O121" s="14">
        <f t="shared" si="44"/>
        <v>0.34768740031897927</v>
      </c>
      <c r="P121" s="14">
        <f t="shared" si="45"/>
        <v>0.49441786283891559</v>
      </c>
      <c r="Q121" s="14">
        <f t="shared" si="46"/>
        <v>1058.2022810615226</v>
      </c>
      <c r="R121" s="14">
        <f t="shared" si="47"/>
        <v>1504.7830602251013</v>
      </c>
      <c r="S121" s="14">
        <f t="shared" si="48"/>
        <v>2562.9853412866241</v>
      </c>
      <c r="T121" s="14">
        <f t="shared" si="49"/>
        <v>41.287878787878782</v>
      </c>
      <c r="U121" s="14">
        <f>AVERAGE(Q120:Q122)</f>
        <v>1059.6328410075303</v>
      </c>
      <c r="V121" s="14">
        <f>AVERAGE(R120:R122)</f>
        <v>1478.9817789244735</v>
      </c>
      <c r="W121" s="14">
        <f>AVERAGE(S120:S122)</f>
        <v>2538.6146199320037</v>
      </c>
      <c r="X121" s="14">
        <f>AVERAGE(T120:T122)</f>
        <v>41.711235352065046</v>
      </c>
      <c r="Y121" s="14">
        <v>897.5</v>
      </c>
      <c r="Z121" s="14">
        <f>(U121/10000)/(Y121/1000)</f>
        <v>0.11806494050223178</v>
      </c>
      <c r="AA121" s="14">
        <v>729</v>
      </c>
      <c r="AB121" s="14">
        <f>AA121+264+119.9</f>
        <v>1112.9000000000001</v>
      </c>
      <c r="AC121" s="14">
        <f>(U121/10000)/(AB121/1000)</f>
        <v>9.5213661695348215E-2</v>
      </c>
      <c r="AD121" s="140">
        <v>4.46</v>
      </c>
      <c r="AE121" s="141">
        <v>1.08</v>
      </c>
      <c r="AF121" s="14">
        <f>AE121*25.4</f>
        <v>27.431999999999999</v>
      </c>
      <c r="AG121" s="140">
        <v>79.400000000000006</v>
      </c>
      <c r="AH121" s="140">
        <v>31.2</v>
      </c>
      <c r="AI121" s="140">
        <v>5.9</v>
      </c>
      <c r="AJ121" s="140">
        <v>11.2</v>
      </c>
      <c r="AK121" s="139" t="s">
        <v>373</v>
      </c>
      <c r="AM121" s="14">
        <f t="shared" si="50"/>
        <v>0.15789473684210514</v>
      </c>
      <c r="AN121" s="14">
        <f t="shared" si="51"/>
        <v>480.55975149124157</v>
      </c>
      <c r="AO121" s="14">
        <f t="shared" si="52"/>
        <v>428.74531852570442</v>
      </c>
      <c r="AP121" s="138">
        <f>AVERAGE(AM120:AM122)</f>
        <v>0.16556919477467377</v>
      </c>
      <c r="AQ121" s="138">
        <f>AVERAGE(AN120:AN122)</f>
        <v>503.87587567124706</v>
      </c>
      <c r="AR121" s="138">
        <f>AVERAGE(AO120:AO122)</f>
        <v>449.54747488049753</v>
      </c>
    </row>
    <row r="122" spans="1:44" ht="16.5" thickBot="1" x14ac:dyDescent="0.25">
      <c r="A122" s="23"/>
      <c r="B122" s="22"/>
      <c r="C122" s="32" t="s">
        <v>356</v>
      </c>
      <c r="D122" s="31" t="s">
        <v>373</v>
      </c>
      <c r="E122" s="30">
        <v>16.399999999999999</v>
      </c>
      <c r="F122" s="123">
        <v>5.687357816054611</v>
      </c>
      <c r="J122" s="14" t="s">
        <v>356</v>
      </c>
      <c r="K122" s="14" t="s">
        <v>361</v>
      </c>
      <c r="L122" s="14">
        <v>35.158501440922194</v>
      </c>
      <c r="M122" s="14">
        <v>47.838616714697416</v>
      </c>
      <c r="O122" s="14">
        <f t="shared" si="44"/>
        <v>0.35158501440922196</v>
      </c>
      <c r="P122" s="14">
        <f t="shared" si="45"/>
        <v>0.47838616714697418</v>
      </c>
      <c r="Q122" s="14">
        <f t="shared" si="46"/>
        <v>1185.7809314611243</v>
      </c>
      <c r="R122" s="14">
        <f t="shared" si="47"/>
        <v>1613.4396280536612</v>
      </c>
      <c r="S122" s="14">
        <f t="shared" si="48"/>
        <v>2799.2205595147852</v>
      </c>
      <c r="T122" s="14">
        <f t="shared" si="49"/>
        <v>42.361111111111107</v>
      </c>
      <c r="AD122" s="140"/>
      <c r="AE122" s="141"/>
      <c r="AG122" s="140"/>
      <c r="AH122" s="140"/>
      <c r="AI122" s="140"/>
      <c r="AJ122" s="140"/>
      <c r="AK122" s="139" t="s">
        <v>373</v>
      </c>
      <c r="AM122" s="14">
        <f t="shared" si="50"/>
        <v>0.17002881844380385</v>
      </c>
      <c r="AN122" s="14">
        <f t="shared" si="51"/>
        <v>573.45143406726436</v>
      </c>
      <c r="AO122" s="14">
        <f t="shared" si="52"/>
        <v>511.62132699469788</v>
      </c>
      <c r="AP122" s="138"/>
      <c r="AQ122" s="138"/>
      <c r="AR122" s="138"/>
    </row>
    <row r="123" spans="1:44" ht="15.75" x14ac:dyDescent="0.2">
      <c r="A123" s="34" t="s">
        <v>377</v>
      </c>
      <c r="B123" s="33">
        <v>1</v>
      </c>
      <c r="C123" s="32" t="s">
        <v>354</v>
      </c>
      <c r="D123" s="31" t="s">
        <v>369</v>
      </c>
      <c r="E123" s="30">
        <v>13.4</v>
      </c>
      <c r="F123" s="123">
        <v>6.1949196474857571</v>
      </c>
      <c r="H123" s="14" t="s">
        <v>377</v>
      </c>
      <c r="I123" s="14">
        <v>1</v>
      </c>
      <c r="J123" s="14" t="s">
        <v>354</v>
      </c>
      <c r="K123" s="14" t="s">
        <v>369</v>
      </c>
      <c r="L123" s="14">
        <v>32.155477031802121</v>
      </c>
      <c r="M123" s="14">
        <v>46.996466431095406</v>
      </c>
      <c r="O123" s="14">
        <f t="shared" si="44"/>
        <v>0.32155477031802121</v>
      </c>
      <c r="P123" s="14">
        <f t="shared" si="45"/>
        <v>0.46996466431095407</v>
      </c>
      <c r="Q123" s="14">
        <f t="shared" si="46"/>
        <v>876.66563667675837</v>
      </c>
      <c r="R123" s="14">
        <f t="shared" si="47"/>
        <v>1281.2805459121853</v>
      </c>
      <c r="S123" s="14">
        <f t="shared" si="48"/>
        <v>2157.9461825889439</v>
      </c>
      <c r="T123" s="14">
        <f t="shared" si="49"/>
        <v>40.624999999999993</v>
      </c>
      <c r="AD123" s="140"/>
      <c r="AE123" s="141"/>
      <c r="AG123" s="140"/>
      <c r="AH123" s="140"/>
      <c r="AI123" s="140"/>
      <c r="AJ123" s="140"/>
      <c r="AK123" s="139" t="s">
        <v>369</v>
      </c>
      <c r="AM123" s="14">
        <f t="shared" si="50"/>
        <v>0.20848056537102466</v>
      </c>
      <c r="AN123" s="14">
        <f t="shared" si="51"/>
        <v>568.38761059262333</v>
      </c>
      <c r="AO123" s="14">
        <f t="shared" si="52"/>
        <v>507.10349003091613</v>
      </c>
      <c r="AP123" s="138"/>
      <c r="AQ123" s="138"/>
      <c r="AR123" s="138"/>
    </row>
    <row r="124" spans="1:44" ht="15.75" x14ac:dyDescent="0.2">
      <c r="A124" s="35"/>
      <c r="B124" s="28"/>
      <c r="C124" s="27" t="s">
        <v>355</v>
      </c>
      <c r="D124" s="26" t="s">
        <v>369</v>
      </c>
      <c r="E124" s="25">
        <v>14.2</v>
      </c>
      <c r="F124" s="122">
        <v>5.7072677358763029</v>
      </c>
      <c r="J124" s="14" t="s">
        <v>355</v>
      </c>
      <c r="K124" s="14" t="s">
        <v>369</v>
      </c>
      <c r="L124" s="14">
        <v>33.277870216306162</v>
      </c>
      <c r="M124" s="14">
        <v>47.920133111480865</v>
      </c>
      <c r="O124" s="14">
        <f t="shared" si="44"/>
        <v>0.3327787021630616</v>
      </c>
      <c r="P124" s="14">
        <f t="shared" si="45"/>
        <v>0.47920133111480867</v>
      </c>
      <c r="Q124" s="14">
        <f t="shared" si="46"/>
        <v>968.01808167770082</v>
      </c>
      <c r="R124" s="14">
        <f t="shared" si="47"/>
        <v>1393.9460376158891</v>
      </c>
      <c r="S124" s="14">
        <f t="shared" si="48"/>
        <v>2361.9641192935896</v>
      </c>
      <c r="T124" s="14">
        <f t="shared" si="49"/>
        <v>40.983606557377058</v>
      </c>
      <c r="U124" s="14">
        <f>AVERAGE(Q123:Q125)</f>
        <v>955.93247427941139</v>
      </c>
      <c r="V124" s="14">
        <f>AVERAGE(R123:R125)</f>
        <v>1383.9950145911744</v>
      </c>
      <c r="W124" s="14">
        <f>AVERAGE(S123:S125)</f>
        <v>2339.9274888705859</v>
      </c>
      <c r="X124" s="14">
        <f>AVERAGE(T123:T125)</f>
        <v>40.845082494672653</v>
      </c>
      <c r="Y124" s="14">
        <v>983.8</v>
      </c>
      <c r="Z124" s="14">
        <f>(U124/10000)/(Y124/1000)</f>
        <v>9.7167358637874707E-2</v>
      </c>
      <c r="AA124" s="14">
        <v>819.7</v>
      </c>
      <c r="AB124" s="14">
        <f>AA124+264+119.9</f>
        <v>1203.6000000000001</v>
      </c>
      <c r="AC124" s="14">
        <f>(U124/10000)/(AB124/1000)</f>
        <v>7.9422771209655296E-2</v>
      </c>
      <c r="AD124" s="140">
        <v>3.92</v>
      </c>
      <c r="AE124" s="141">
        <v>1.1399999999999999</v>
      </c>
      <c r="AF124" s="14">
        <f>AE124*25.4</f>
        <v>28.955999999999996</v>
      </c>
      <c r="AG124" s="140">
        <v>79.3</v>
      </c>
      <c r="AH124" s="140">
        <v>32.200000000000003</v>
      </c>
      <c r="AI124" s="140">
        <v>6.2</v>
      </c>
      <c r="AJ124" s="140">
        <v>10.5</v>
      </c>
      <c r="AK124" s="139" t="s">
        <v>369</v>
      </c>
      <c r="AM124" s="14">
        <f t="shared" si="50"/>
        <v>0.18801996672212973</v>
      </c>
      <c r="AN124" s="14">
        <f t="shared" si="51"/>
        <v>546.93021614790075</v>
      </c>
      <c r="AO124" s="14">
        <f t="shared" si="52"/>
        <v>487.959653312618</v>
      </c>
      <c r="AP124" s="138">
        <f>AVERAGE(AM123:AM125)</f>
        <v>0.19443790630211369</v>
      </c>
      <c r="AQ124" s="138">
        <f>AVERAGE(AN123:AN125)</f>
        <v>563.20426116754754</v>
      </c>
      <c r="AR124" s="138">
        <f>AVERAGE(AO123:AO125)</f>
        <v>502.47901452420143</v>
      </c>
    </row>
    <row r="125" spans="1:44" ht="16.5" thickBot="1" x14ac:dyDescent="0.25">
      <c r="A125" s="23"/>
      <c r="B125" s="22"/>
      <c r="C125" s="21" t="s">
        <v>356</v>
      </c>
      <c r="D125" s="20" t="s">
        <v>369</v>
      </c>
      <c r="E125" s="19">
        <v>15</v>
      </c>
      <c r="F125" s="121">
        <v>5.8027079303674922</v>
      </c>
      <c r="J125" s="14" t="s">
        <v>356</v>
      </c>
      <c r="K125" s="14" t="s">
        <v>369</v>
      </c>
      <c r="L125" s="14">
        <v>33.281004709576138</v>
      </c>
      <c r="M125" s="14">
        <v>48.037676609105191</v>
      </c>
      <c r="O125" s="14">
        <f t="shared" si="44"/>
        <v>0.3328100470957614</v>
      </c>
      <c r="P125" s="14">
        <f t="shared" si="45"/>
        <v>0.4803767660910519</v>
      </c>
      <c r="Q125" s="14">
        <f t="shared" si="46"/>
        <v>1023.1137044837748</v>
      </c>
      <c r="R125" s="14">
        <f t="shared" si="47"/>
        <v>1476.7584602454488</v>
      </c>
      <c r="S125" s="14">
        <f t="shared" si="48"/>
        <v>2499.8721647292236</v>
      </c>
      <c r="T125" s="14">
        <f t="shared" si="49"/>
        <v>40.926640926640921</v>
      </c>
      <c r="AD125" s="140"/>
      <c r="AE125" s="141"/>
      <c r="AG125" s="140"/>
      <c r="AH125" s="140"/>
      <c r="AI125" s="140"/>
      <c r="AJ125" s="140"/>
      <c r="AK125" s="139" t="s">
        <v>369</v>
      </c>
      <c r="AM125" s="14">
        <f t="shared" si="50"/>
        <v>0.18681318681318676</v>
      </c>
      <c r="AN125" s="14">
        <f t="shared" si="51"/>
        <v>574.29495676211855</v>
      </c>
      <c r="AO125" s="14">
        <f t="shared" si="52"/>
        <v>512.37390022907016</v>
      </c>
      <c r="AP125" s="138"/>
      <c r="AQ125" s="138"/>
      <c r="AR125" s="138"/>
    </row>
    <row r="126" spans="1:44" ht="15.75" x14ac:dyDescent="0.2">
      <c r="A126" s="34" t="s">
        <v>377</v>
      </c>
      <c r="B126" s="33">
        <v>2</v>
      </c>
      <c r="C126" s="32" t="s">
        <v>354</v>
      </c>
      <c r="D126" s="31" t="s">
        <v>359</v>
      </c>
      <c r="E126" s="30">
        <v>17</v>
      </c>
      <c r="F126" s="123">
        <v>5.4617980975759295</v>
      </c>
      <c r="H126" s="14" t="s">
        <v>377</v>
      </c>
      <c r="I126" s="14">
        <v>2</v>
      </c>
      <c r="J126" s="14" t="s">
        <v>354</v>
      </c>
      <c r="K126" s="14" t="s">
        <v>359</v>
      </c>
      <c r="L126" s="14">
        <v>33.884297520661157</v>
      </c>
      <c r="M126" s="14">
        <v>47.658402203856745</v>
      </c>
      <c r="O126" s="14">
        <f t="shared" si="44"/>
        <v>0.33884297520661155</v>
      </c>
      <c r="P126" s="14">
        <f t="shared" si="45"/>
        <v>0.47658402203856748</v>
      </c>
      <c r="Q126" s="14">
        <f t="shared" si="46"/>
        <v>1188.4434636286503</v>
      </c>
      <c r="R126" s="14">
        <f t="shared" si="47"/>
        <v>1671.550562664687</v>
      </c>
      <c r="S126" s="14">
        <f t="shared" si="48"/>
        <v>2859.9940262933374</v>
      </c>
      <c r="T126" s="14">
        <f t="shared" si="49"/>
        <v>41.554054054054049</v>
      </c>
      <c r="AD126" s="140"/>
      <c r="AE126" s="141"/>
      <c r="AG126" s="140"/>
      <c r="AH126" s="140"/>
      <c r="AI126" s="140"/>
      <c r="AJ126" s="140"/>
      <c r="AK126" s="139" t="s">
        <v>359</v>
      </c>
      <c r="AM126" s="14">
        <f t="shared" si="50"/>
        <v>0.18457300275482097</v>
      </c>
      <c r="AN126" s="14">
        <f t="shared" si="51"/>
        <v>647.36351270828936</v>
      </c>
      <c r="AO126" s="14">
        <f t="shared" si="52"/>
        <v>577.56413140456891</v>
      </c>
      <c r="AP126" s="138"/>
      <c r="AQ126" s="138"/>
      <c r="AR126" s="138"/>
    </row>
    <row r="127" spans="1:44" ht="15.75" x14ac:dyDescent="0.2">
      <c r="A127" s="29"/>
      <c r="B127" s="28"/>
      <c r="C127" s="27" t="s">
        <v>355</v>
      </c>
      <c r="D127" s="26" t="s">
        <v>359</v>
      </c>
      <c r="E127" s="25">
        <v>14.8</v>
      </c>
      <c r="F127" s="122">
        <v>5.0594919069568007</v>
      </c>
      <c r="J127" s="14" t="s">
        <v>355</v>
      </c>
      <c r="K127" s="14" t="s">
        <v>359</v>
      </c>
      <c r="L127" s="14">
        <v>33.594976452119305</v>
      </c>
      <c r="M127" s="14">
        <v>48.037676609105191</v>
      </c>
      <c r="O127" s="14">
        <f t="shared" si="44"/>
        <v>0.33594976452119307</v>
      </c>
      <c r="P127" s="14">
        <f t="shared" si="45"/>
        <v>0.4803767660910519</v>
      </c>
      <c r="Q127" s="14">
        <f t="shared" si="46"/>
        <v>1026.6746425764079</v>
      </c>
      <c r="R127" s="14">
        <f t="shared" si="47"/>
        <v>1468.0487879830882</v>
      </c>
      <c r="S127" s="14">
        <f t="shared" si="48"/>
        <v>2494.7234305594961</v>
      </c>
      <c r="T127" s="14">
        <f t="shared" si="49"/>
        <v>41.153846153846146</v>
      </c>
      <c r="U127" s="14">
        <f>AVERAGE(Q126:Q128)</f>
        <v>1157.9667376178306</v>
      </c>
      <c r="V127" s="14">
        <f>AVERAGE(R126:R128)</f>
        <v>1635.8865713948355</v>
      </c>
      <c r="W127" s="14">
        <f>AVERAGE(S126:S128)</f>
        <v>2793.8533090126671</v>
      </c>
      <c r="X127" s="14">
        <f>AVERAGE(T126:T128)</f>
        <v>41.431733931733923</v>
      </c>
      <c r="Y127" s="14">
        <v>1071.4000000000001</v>
      </c>
      <c r="Z127" s="14">
        <f>(U127/10000)/(Y127/1000)</f>
        <v>0.10807977763840121</v>
      </c>
      <c r="AA127" s="14">
        <v>890.4</v>
      </c>
      <c r="AB127" s="14">
        <f>AA127+264+119.9</f>
        <v>1274.3000000000002</v>
      </c>
      <c r="AC127" s="14">
        <f>(U127/10000)/(AB127/1000)</f>
        <v>9.0870810454196857E-2</v>
      </c>
      <c r="AD127" s="140">
        <v>3.85</v>
      </c>
      <c r="AE127" s="141">
        <v>1.1299999999999999</v>
      </c>
      <c r="AF127" s="14">
        <f>AE127*25.4</f>
        <v>28.701999999999995</v>
      </c>
      <c r="AG127" s="140">
        <v>81.099999999999994</v>
      </c>
      <c r="AH127" s="140">
        <v>32.200000000000003</v>
      </c>
      <c r="AI127" s="140">
        <v>6</v>
      </c>
      <c r="AJ127" s="140">
        <v>9.6999999999999993</v>
      </c>
      <c r="AK127" s="139" t="s">
        <v>359</v>
      </c>
      <c r="AM127" s="14">
        <f t="shared" si="50"/>
        <v>0.18367346938775503</v>
      </c>
      <c r="AN127" s="14">
        <f t="shared" si="51"/>
        <v>561.31277187588637</v>
      </c>
      <c r="AO127" s="14">
        <f t="shared" si="52"/>
        <v>500.79146749945647</v>
      </c>
      <c r="AP127" s="138">
        <f>AVERAGE(AM126:AM128)</f>
        <v>0.18511441544537477</v>
      </c>
      <c r="AQ127" s="138">
        <f>AVERAGE(AN126:AN128)</f>
        <v>635.11016797083573</v>
      </c>
      <c r="AR127" s="138">
        <f>AVERAGE(AO126:AO128)</f>
        <v>566.63195455005223</v>
      </c>
    </row>
    <row r="128" spans="1:44" ht="16.5" thickBot="1" x14ac:dyDescent="0.25">
      <c r="A128" s="23"/>
      <c r="B128" s="22"/>
      <c r="C128" s="21" t="s">
        <v>356</v>
      </c>
      <c r="D128" s="20" t="s">
        <v>359</v>
      </c>
      <c r="E128" s="19">
        <v>18</v>
      </c>
      <c r="F128" s="121">
        <v>5.3319600697195408</v>
      </c>
      <c r="J128" s="14" t="s">
        <v>356</v>
      </c>
      <c r="K128" s="14" t="s">
        <v>359</v>
      </c>
      <c r="L128" s="14">
        <v>33.806451612903224</v>
      </c>
      <c r="M128" s="14">
        <v>47.483870967741943</v>
      </c>
      <c r="O128" s="14">
        <f t="shared" si="44"/>
        <v>0.33806451612903227</v>
      </c>
      <c r="P128" s="14">
        <f t="shared" si="45"/>
        <v>0.47483870967741942</v>
      </c>
      <c r="Q128" s="14">
        <f t="shared" si="46"/>
        <v>1258.7821066484341</v>
      </c>
      <c r="R128" s="14">
        <f t="shared" si="47"/>
        <v>1768.060363536732</v>
      </c>
      <c r="S128" s="14">
        <f t="shared" si="48"/>
        <v>3026.8424701851663</v>
      </c>
      <c r="T128" s="14">
        <f t="shared" si="49"/>
        <v>41.587301587301582</v>
      </c>
      <c r="AD128" s="140"/>
      <c r="AE128" s="141"/>
      <c r="AG128" s="140"/>
      <c r="AH128" s="140"/>
      <c r="AI128" s="140"/>
      <c r="AJ128" s="140"/>
      <c r="AK128" s="139" t="s">
        <v>359</v>
      </c>
      <c r="AM128" s="14">
        <f t="shared" si="50"/>
        <v>0.18709677419354825</v>
      </c>
      <c r="AN128" s="14">
        <f t="shared" si="51"/>
        <v>696.65421932833135</v>
      </c>
      <c r="AO128" s="14">
        <f t="shared" si="52"/>
        <v>621.54026474613136</v>
      </c>
      <c r="AP128" s="138"/>
      <c r="AQ128" s="138"/>
      <c r="AR128" s="138"/>
    </row>
    <row r="129" spans="1:44" ht="15.75" x14ac:dyDescent="0.2">
      <c r="A129" s="34" t="s">
        <v>377</v>
      </c>
      <c r="B129" s="33">
        <v>3</v>
      </c>
      <c r="C129" s="32" t="s">
        <v>354</v>
      </c>
      <c r="D129" s="31" t="s">
        <v>375</v>
      </c>
      <c r="E129" s="30">
        <v>18.2</v>
      </c>
      <c r="F129" s="123">
        <v>4.7855324149637557</v>
      </c>
      <c r="H129" s="14" t="s">
        <v>377</v>
      </c>
      <c r="I129" s="14">
        <v>3</v>
      </c>
      <c r="J129" s="14" t="s">
        <v>354</v>
      </c>
      <c r="K129" s="14" t="s">
        <v>375</v>
      </c>
      <c r="L129" s="14">
        <v>35.038363171355499</v>
      </c>
      <c r="M129" s="14">
        <v>47.570332480818422</v>
      </c>
      <c r="O129" s="14">
        <f t="shared" si="44"/>
        <v>0.35038363171355497</v>
      </c>
      <c r="P129" s="14">
        <f t="shared" si="45"/>
        <v>0.47570332480818422</v>
      </c>
      <c r="Q129" s="14">
        <f t="shared" si="46"/>
        <v>1327.0770400330744</v>
      </c>
      <c r="R129" s="14">
        <f t="shared" si="47"/>
        <v>1801.7250324536635</v>
      </c>
      <c r="S129" s="14">
        <f t="shared" si="48"/>
        <v>3128.8020724867379</v>
      </c>
      <c r="T129" s="14">
        <f t="shared" si="49"/>
        <v>42.41486068111454</v>
      </c>
      <c r="AD129" s="140"/>
      <c r="AE129" s="141"/>
      <c r="AG129" s="140"/>
      <c r="AH129" s="140"/>
      <c r="AI129" s="140"/>
      <c r="AJ129" s="140"/>
      <c r="AK129" s="139" t="s">
        <v>375</v>
      </c>
      <c r="AM129" s="14">
        <f t="shared" si="50"/>
        <v>0.17391304347826086</v>
      </c>
      <c r="AN129" s="14">
        <f t="shared" si="51"/>
        <v>658.69517315510268</v>
      </c>
      <c r="AO129" s="14">
        <f t="shared" si="52"/>
        <v>587.67400089034641</v>
      </c>
      <c r="AP129" s="138"/>
      <c r="AQ129" s="138"/>
      <c r="AR129" s="138"/>
    </row>
    <row r="130" spans="1:44" ht="15.75" x14ac:dyDescent="0.2">
      <c r="A130" s="29"/>
      <c r="B130" s="28"/>
      <c r="C130" s="27" t="s">
        <v>355</v>
      </c>
      <c r="D130" s="26" t="s">
        <v>375</v>
      </c>
      <c r="E130" s="25">
        <v>18.8</v>
      </c>
      <c r="F130" s="122">
        <v>4.7995341873232373</v>
      </c>
      <c r="J130" s="14" t="s">
        <v>355</v>
      </c>
      <c r="K130" s="14" t="s">
        <v>375</v>
      </c>
      <c r="L130" s="14">
        <v>35.758323057953149</v>
      </c>
      <c r="M130" s="14">
        <v>48.088779284833549</v>
      </c>
      <c r="O130" s="14">
        <f t="shared" si="44"/>
        <v>0.35758323057953151</v>
      </c>
      <c r="P130" s="14">
        <f t="shared" si="45"/>
        <v>0.48088779284833549</v>
      </c>
      <c r="Q130" s="14">
        <f t="shared" si="46"/>
        <v>1399.7404902823973</v>
      </c>
      <c r="R130" s="14">
        <f t="shared" si="47"/>
        <v>1882.4096248625342</v>
      </c>
      <c r="S130" s="14">
        <f t="shared" si="48"/>
        <v>3282.1501151449315</v>
      </c>
      <c r="T130" s="14">
        <f t="shared" si="49"/>
        <v>42.647058823529413</v>
      </c>
      <c r="U130" s="14">
        <f>AVERAGE(Q129:Q131)</f>
        <v>1348.1918288290756</v>
      </c>
      <c r="V130" s="14">
        <f>AVERAGE(R129:R131)</f>
        <v>1811.5776060233056</v>
      </c>
      <c r="W130" s="14">
        <f>AVERAGE(S129:S131)</f>
        <v>3159.7694348523814</v>
      </c>
      <c r="X130" s="14">
        <f>AVERAGE(T129:T131)</f>
        <v>42.669542656197933</v>
      </c>
      <c r="Y130" s="14">
        <v>948.4</v>
      </c>
      <c r="Z130" s="14">
        <f>(U130/10000)/(Y130/1000)</f>
        <v>0.142154347198342</v>
      </c>
      <c r="AA130" s="14">
        <v>779.7</v>
      </c>
      <c r="AB130" s="14">
        <f>AA130+264+119.9</f>
        <v>1163.6000000000001</v>
      </c>
      <c r="AC130" s="14">
        <f>(U130/10000)/(AB130/1000)</f>
        <v>0.11586385603549977</v>
      </c>
      <c r="AD130" s="140">
        <v>4.91</v>
      </c>
      <c r="AE130" s="141">
        <v>1.1200000000000001</v>
      </c>
      <c r="AF130" s="14">
        <f>AE130*25.4</f>
        <v>28.448</v>
      </c>
      <c r="AG130" s="140">
        <v>79.8</v>
      </c>
      <c r="AH130" s="140">
        <v>30.6</v>
      </c>
      <c r="AI130" s="140">
        <v>5.8</v>
      </c>
      <c r="AJ130" s="140">
        <v>10.5</v>
      </c>
      <c r="AK130" s="139" t="s">
        <v>375</v>
      </c>
      <c r="AM130" s="14">
        <f t="shared" si="50"/>
        <v>0.16152897657213305</v>
      </c>
      <c r="AN130" s="14">
        <f t="shared" si="51"/>
        <v>632.29656629997885</v>
      </c>
      <c r="AO130" s="14">
        <f t="shared" si="52"/>
        <v>564.12171822494884</v>
      </c>
      <c r="AP130" s="138">
        <f>AVERAGE(AM129:AM131)</f>
        <v>0.16495410330182211</v>
      </c>
      <c r="AQ130" s="138">
        <f>AVERAGE(AN129:AN131)</f>
        <v>624.30711594583306</v>
      </c>
      <c r="AR130" s="138">
        <f>AVERAGE(AO129:AO131)</f>
        <v>556.99369839743736</v>
      </c>
    </row>
    <row r="131" spans="1:44" ht="16.5" thickBot="1" x14ac:dyDescent="0.25">
      <c r="A131" s="23"/>
      <c r="B131" s="22"/>
      <c r="C131" s="21" t="s">
        <v>356</v>
      </c>
      <c r="D131" s="20" t="s">
        <v>375</v>
      </c>
      <c r="E131" s="19">
        <v>17.7</v>
      </c>
      <c r="F131" s="121">
        <v>5.5858060568981314</v>
      </c>
      <c r="J131" s="14" t="s">
        <v>356</v>
      </c>
      <c r="K131" s="14" t="s">
        <v>375</v>
      </c>
      <c r="L131" s="14">
        <v>36.100131752305664</v>
      </c>
      <c r="M131" s="14">
        <v>47.957839262187093</v>
      </c>
      <c r="O131" s="14">
        <f t="shared" ref="O131:O162" si="53">L131/100</f>
        <v>0.36100131752305664</v>
      </c>
      <c r="P131" s="14">
        <f t="shared" ref="P131:P162" si="54">M131/100</f>
        <v>0.47957839262187091</v>
      </c>
      <c r="Q131" s="14">
        <f t="shared" ref="Q131:Q162" si="55">(E131-0.38)*0.453592*(1-F131/100)*(L131/100)/(40*2.54/100*2*10/10000)</f>
        <v>1317.7579561717553</v>
      </c>
      <c r="R131" s="14">
        <f t="shared" ref="R131:R162" si="56">(E131-0.38)*0.453592*(1-F131/100)*(M131/100)/(40*2.54/100*2*10/10000)</f>
        <v>1750.5981607537187</v>
      </c>
      <c r="S131" s="14">
        <f t="shared" ref="S131:S162" si="57">SUM(Q131:R131)</f>
        <v>3068.356116925474</v>
      </c>
      <c r="T131" s="14">
        <f t="shared" ref="T131:T162" si="58">Q131/S131*100</f>
        <v>42.94670846394984</v>
      </c>
      <c r="AD131" s="140"/>
      <c r="AE131" s="141"/>
      <c r="AG131" s="140"/>
      <c r="AH131" s="140"/>
      <c r="AI131" s="140"/>
      <c r="AJ131" s="140"/>
      <c r="AK131" s="139" t="s">
        <v>375</v>
      </c>
      <c r="AM131" s="14">
        <f t="shared" ref="AM131:AM162" si="59">1-O131-P131</f>
        <v>0.15942028985507245</v>
      </c>
      <c r="AN131" s="14">
        <f t="shared" ref="AN131:AN162" si="60">(E131-0.38)*0.453592*(1-F131/100)*(AM131)/(40*2.54/100*2*10/10000)</f>
        <v>581.92960838241743</v>
      </c>
      <c r="AO131" s="14">
        <f t="shared" ref="AO131:AO162" si="61">AN131*0.892179</f>
        <v>519.18537607701683</v>
      </c>
      <c r="AP131" s="138"/>
      <c r="AQ131" s="138"/>
      <c r="AR131" s="138"/>
    </row>
    <row r="132" spans="1:44" ht="15.75" x14ac:dyDescent="0.2">
      <c r="A132" s="34" t="s">
        <v>377</v>
      </c>
      <c r="B132" s="33">
        <v>4</v>
      </c>
      <c r="C132" s="32" t="s">
        <v>354</v>
      </c>
      <c r="D132" s="31" t="s">
        <v>363</v>
      </c>
      <c r="E132" s="30">
        <v>18.600000000000001</v>
      </c>
      <c r="F132" s="123">
        <v>4.5664237480778125</v>
      </c>
      <c r="H132" s="14" t="s">
        <v>377</v>
      </c>
      <c r="I132" s="14">
        <v>4</v>
      </c>
      <c r="J132" s="14" t="s">
        <v>354</v>
      </c>
      <c r="K132" s="14" t="s">
        <v>363</v>
      </c>
      <c r="L132" s="14">
        <v>35.131744040150558</v>
      </c>
      <c r="M132" s="14">
        <v>47.678795483061485</v>
      </c>
      <c r="O132" s="14">
        <f t="shared" si="53"/>
        <v>0.35131744040150559</v>
      </c>
      <c r="P132" s="14">
        <f t="shared" si="54"/>
        <v>0.47678795483061487</v>
      </c>
      <c r="Q132" s="14">
        <f t="shared" si="55"/>
        <v>1363.6124697375647</v>
      </c>
      <c r="R132" s="14">
        <f t="shared" si="56"/>
        <v>1850.6169232152668</v>
      </c>
      <c r="S132" s="14">
        <f t="shared" si="57"/>
        <v>3214.2293929528314</v>
      </c>
      <c r="T132" s="14">
        <f t="shared" si="58"/>
        <v>42.424242424242422</v>
      </c>
      <c r="AD132" s="140"/>
      <c r="AE132" s="141"/>
      <c r="AG132" s="140"/>
      <c r="AH132" s="140"/>
      <c r="AI132" s="140"/>
      <c r="AJ132" s="140"/>
      <c r="AK132" s="139" t="s">
        <v>363</v>
      </c>
      <c r="AM132" s="14">
        <f t="shared" si="59"/>
        <v>0.17189460476787954</v>
      </c>
      <c r="AN132" s="14">
        <f t="shared" si="60"/>
        <v>667.19610126445139</v>
      </c>
      <c r="AO132" s="14">
        <f t="shared" si="61"/>
        <v>595.258350430017</v>
      </c>
      <c r="AP132" s="138"/>
      <c r="AQ132" s="138"/>
      <c r="AR132" s="138"/>
    </row>
    <row r="133" spans="1:44" ht="15.75" x14ac:dyDescent="0.2">
      <c r="A133" s="29"/>
      <c r="B133" s="28"/>
      <c r="C133" s="27" t="s">
        <v>355</v>
      </c>
      <c r="D133" s="26" t="s">
        <v>363</v>
      </c>
      <c r="E133" s="25">
        <v>13</v>
      </c>
      <c r="F133" s="122">
        <v>4.813988095238094</v>
      </c>
      <c r="J133" s="14" t="s">
        <v>355</v>
      </c>
      <c r="K133" s="14" t="s">
        <v>363</v>
      </c>
      <c r="L133" s="14">
        <v>35.507246376811601</v>
      </c>
      <c r="M133" s="14">
        <v>48.913043478260875</v>
      </c>
      <c r="O133" s="14">
        <f t="shared" si="53"/>
        <v>0.35507246376811602</v>
      </c>
      <c r="P133" s="14">
        <f t="shared" si="54"/>
        <v>0.48913043478260876</v>
      </c>
      <c r="Q133" s="14">
        <f t="shared" si="55"/>
        <v>952.11884783648827</v>
      </c>
      <c r="R133" s="14">
        <f t="shared" si="56"/>
        <v>1311.5922903869991</v>
      </c>
      <c r="S133" s="14">
        <f t="shared" si="57"/>
        <v>2263.7111382234875</v>
      </c>
      <c r="T133" s="14">
        <f t="shared" si="58"/>
        <v>42.06008583690987</v>
      </c>
      <c r="U133" s="14">
        <f>AVERAGE(Q132:Q134)</f>
        <v>1213.7985392925775</v>
      </c>
      <c r="V133" s="14">
        <f>AVERAGE(R132:R134)</f>
        <v>1659.2643097451889</v>
      </c>
      <c r="W133" s="14">
        <f>AVERAGE(S132:S134)</f>
        <v>2873.0628490377662</v>
      </c>
      <c r="X133" s="14">
        <f>AVERAGE(T132:T134)</f>
        <v>42.228721041179206</v>
      </c>
      <c r="Y133" s="14">
        <v>925.1</v>
      </c>
      <c r="Z133" s="14">
        <f>(U133/10000)/(Y133/1000)</f>
        <v>0.1312072791365882</v>
      </c>
      <c r="AA133" s="14">
        <v>759.7</v>
      </c>
      <c r="AB133" s="14">
        <f>AA133+264+119.9</f>
        <v>1143.6000000000001</v>
      </c>
      <c r="AC133" s="14">
        <f>(U133/10000)/(AB133/1000)</f>
        <v>0.10613838223964475</v>
      </c>
      <c r="AD133" s="140">
        <v>4.93</v>
      </c>
      <c r="AE133" s="141">
        <v>1.04</v>
      </c>
      <c r="AF133" s="14">
        <f>AE133*25.4</f>
        <v>26.416</v>
      </c>
      <c r="AG133" s="140">
        <v>79.099999999999994</v>
      </c>
      <c r="AH133" s="140">
        <v>28.9</v>
      </c>
      <c r="AI133" s="140">
        <v>6.1</v>
      </c>
      <c r="AJ133" s="140">
        <v>11.8</v>
      </c>
      <c r="AK133" s="139" t="s">
        <v>363</v>
      </c>
      <c r="AM133" s="14">
        <f t="shared" si="59"/>
        <v>0.15579710144927528</v>
      </c>
      <c r="AN133" s="14">
        <f t="shared" si="60"/>
        <v>417.76643323437719</v>
      </c>
      <c r="AO133" s="14">
        <f t="shared" si="61"/>
        <v>372.72243863661345</v>
      </c>
      <c r="AP133" s="138">
        <f>AVERAGE(AM132:AM134)</f>
        <v>0.1590788565587308</v>
      </c>
      <c r="AQ133" s="138">
        <f>AVERAGE(AN132:AN134)</f>
        <v>545.77421987512048</v>
      </c>
      <c r="AR133" s="138">
        <f>AVERAGE(AO132:AO134)</f>
        <v>486.92829771396515</v>
      </c>
    </row>
    <row r="134" spans="1:44" ht="16.5" thickBot="1" x14ac:dyDescent="0.25">
      <c r="A134" s="23"/>
      <c r="B134" s="22"/>
      <c r="C134" s="21" t="s">
        <v>356</v>
      </c>
      <c r="D134" s="20" t="s">
        <v>363</v>
      </c>
      <c r="E134" s="19">
        <v>17.899999999999999</v>
      </c>
      <c r="F134" s="121">
        <v>5.5558560995401578</v>
      </c>
      <c r="J134" s="14" t="s">
        <v>356</v>
      </c>
      <c r="K134" s="14" t="s">
        <v>363</v>
      </c>
      <c r="L134" s="14">
        <v>35.890767230169054</v>
      </c>
      <c r="M134" s="14">
        <v>49.154746423927186</v>
      </c>
      <c r="O134" s="14">
        <f t="shared" si="53"/>
        <v>0.35890767230169052</v>
      </c>
      <c r="P134" s="14">
        <f t="shared" si="54"/>
        <v>0.49154746423927187</v>
      </c>
      <c r="Q134" s="14">
        <f t="shared" si="55"/>
        <v>1325.66430030368</v>
      </c>
      <c r="R134" s="14">
        <f t="shared" si="56"/>
        <v>1815.5837156333009</v>
      </c>
      <c r="S134" s="14">
        <f t="shared" si="57"/>
        <v>3141.2480159369807</v>
      </c>
      <c r="T134" s="14">
        <f t="shared" si="58"/>
        <v>42.201834862385326</v>
      </c>
      <c r="AD134" s="140"/>
      <c r="AE134" s="141"/>
      <c r="AG134" s="140"/>
      <c r="AH134" s="140"/>
      <c r="AI134" s="140"/>
      <c r="AJ134" s="140"/>
      <c r="AK134" s="139" t="s">
        <v>363</v>
      </c>
      <c r="AM134" s="14">
        <f t="shared" si="59"/>
        <v>0.14954486345903761</v>
      </c>
      <c r="AN134" s="14">
        <f t="shared" si="60"/>
        <v>552.36012512653292</v>
      </c>
      <c r="AO134" s="14">
        <f t="shared" si="61"/>
        <v>492.80410407526506</v>
      </c>
      <c r="AP134" s="138"/>
      <c r="AQ134" s="138"/>
      <c r="AR134" s="138"/>
    </row>
    <row r="135" spans="1:44" ht="16.5" thickBot="1" x14ac:dyDescent="0.25">
      <c r="A135" s="34" t="s">
        <v>376</v>
      </c>
      <c r="B135" s="33">
        <v>1</v>
      </c>
      <c r="C135" s="21" t="s">
        <v>354</v>
      </c>
      <c r="D135" s="20" t="s">
        <v>358</v>
      </c>
      <c r="E135" s="19">
        <v>22.1</v>
      </c>
      <c r="F135" s="121">
        <v>5.3601673806914514</v>
      </c>
      <c r="H135" s="14" t="s">
        <v>376</v>
      </c>
      <c r="I135" s="14">
        <v>1</v>
      </c>
      <c r="J135" s="14" t="s">
        <v>354</v>
      </c>
      <c r="K135" s="14" t="s">
        <v>368</v>
      </c>
      <c r="L135" s="14">
        <v>34.279705573080967</v>
      </c>
      <c r="M135" s="14">
        <v>47.739221871713987</v>
      </c>
      <c r="O135" s="14">
        <f t="shared" si="53"/>
        <v>0.34279705573080965</v>
      </c>
      <c r="P135" s="14">
        <f t="shared" si="54"/>
        <v>0.47739221871713988</v>
      </c>
      <c r="Q135" s="14">
        <f t="shared" si="55"/>
        <v>1572.9414253432349</v>
      </c>
      <c r="R135" s="14">
        <f t="shared" si="56"/>
        <v>2190.5380586068368</v>
      </c>
      <c r="S135" s="14">
        <f t="shared" si="57"/>
        <v>3763.4794839500719</v>
      </c>
      <c r="T135" s="14">
        <f t="shared" si="58"/>
        <v>41.794871794871788</v>
      </c>
      <c r="AD135" s="140"/>
      <c r="AE135" s="141"/>
      <c r="AG135" s="140"/>
      <c r="AH135" s="140"/>
      <c r="AI135" s="140"/>
      <c r="AJ135" s="140"/>
      <c r="AK135" s="139" t="s">
        <v>358</v>
      </c>
      <c r="AM135" s="14">
        <f t="shared" si="59"/>
        <v>0.17981072555205047</v>
      </c>
      <c r="AN135" s="14">
        <f t="shared" si="60"/>
        <v>825.07050225059254</v>
      </c>
      <c r="AO135" s="14">
        <f t="shared" si="61"/>
        <v>736.11057562743144</v>
      </c>
      <c r="AP135" s="138"/>
      <c r="AQ135" s="138"/>
      <c r="AR135" s="138"/>
    </row>
    <row r="136" spans="1:44" ht="16.5" thickBot="1" x14ac:dyDescent="0.25">
      <c r="A136" s="29"/>
      <c r="B136" s="28"/>
      <c r="C136" s="27" t="s">
        <v>355</v>
      </c>
      <c r="D136" s="26" t="s">
        <v>358</v>
      </c>
      <c r="E136" s="25">
        <v>21.1</v>
      </c>
      <c r="F136" s="122">
        <v>5.445508369271244</v>
      </c>
      <c r="J136" s="14" t="s">
        <v>355</v>
      </c>
      <c r="K136" s="14" t="s">
        <v>368</v>
      </c>
      <c r="L136" s="14">
        <v>34.945054945054942</v>
      </c>
      <c r="M136" s="14">
        <v>48.131868131868131</v>
      </c>
      <c r="O136" s="14">
        <f t="shared" si="53"/>
        <v>0.34945054945054943</v>
      </c>
      <c r="P136" s="14">
        <f t="shared" si="54"/>
        <v>0.48131868131868133</v>
      </c>
      <c r="Q136" s="14">
        <f t="shared" si="55"/>
        <v>1528.2673166163813</v>
      </c>
      <c r="R136" s="14">
        <f t="shared" si="56"/>
        <v>2104.971964396148</v>
      </c>
      <c r="S136" s="14">
        <f t="shared" si="57"/>
        <v>3633.2392810125293</v>
      </c>
      <c r="T136" s="14">
        <f t="shared" si="58"/>
        <v>42.063492063492063</v>
      </c>
      <c r="U136" s="14">
        <f>AVERAGE(Q135:Q137)</f>
        <v>1530.5756852260392</v>
      </c>
      <c r="V136" s="14">
        <f>AVERAGE(R135:R137)</f>
        <v>2110.2135991677492</v>
      </c>
      <c r="W136" s="14">
        <f>AVERAGE(S135:S137)</f>
        <v>3640.789284393788</v>
      </c>
      <c r="X136" s="14">
        <f>AVERAGE(T135:T137)</f>
        <v>42.044928874197161</v>
      </c>
      <c r="Y136" s="14">
        <v>1206.9000000000001</v>
      </c>
      <c r="Z136" s="14">
        <f>(U136/10000)/(Y136/1000)</f>
        <v>0.1268187658651122</v>
      </c>
      <c r="AA136" s="14">
        <v>1031.7</v>
      </c>
      <c r="AB136" s="14">
        <f>AA136+264+119.9</f>
        <v>1415.6000000000001</v>
      </c>
      <c r="AC136" s="14">
        <f>(U136/10000)/(AB136/1000)</f>
        <v>0.10812204614481769</v>
      </c>
      <c r="AD136" s="140">
        <v>4.33</v>
      </c>
      <c r="AE136" s="141">
        <v>1.0900000000000001</v>
      </c>
      <c r="AF136" s="14">
        <f>AE136*25.4</f>
        <v>27.686</v>
      </c>
      <c r="AG136" s="140">
        <v>79.3</v>
      </c>
      <c r="AH136" s="140">
        <v>30.7</v>
      </c>
      <c r="AI136" s="140">
        <v>6.2</v>
      </c>
      <c r="AJ136" s="140">
        <v>10.9</v>
      </c>
      <c r="AK136" s="139" t="s">
        <v>358</v>
      </c>
      <c r="AM136" s="14">
        <f t="shared" si="59"/>
        <v>0.16923076923076924</v>
      </c>
      <c r="AN136" s="14">
        <f t="shared" si="60"/>
        <v>740.10429798403379</v>
      </c>
      <c r="AO136" s="14">
        <f t="shared" si="61"/>
        <v>660.30551247109736</v>
      </c>
      <c r="AP136" s="138">
        <f>AVERAGE(AM135:AM137)</f>
        <v>0.17695322553366713</v>
      </c>
      <c r="AQ136" s="138">
        <f>AVERAGE(AN135:AN137)</f>
        <v>782.88412513145022</v>
      </c>
      <c r="AR136" s="138">
        <f>AVERAGE(AO135:AO137)</f>
        <v>698.47277587565213</v>
      </c>
    </row>
    <row r="137" spans="1:44" ht="16.5" thickBot="1" x14ac:dyDescent="0.25">
      <c r="A137" s="23"/>
      <c r="B137" s="22"/>
      <c r="C137" s="32" t="s">
        <v>356</v>
      </c>
      <c r="D137" s="31" t="s">
        <v>358</v>
      </c>
      <c r="E137" s="30">
        <v>21.1</v>
      </c>
      <c r="F137" s="123">
        <v>6.833919250026625</v>
      </c>
      <c r="J137" s="14" t="s">
        <v>356</v>
      </c>
      <c r="K137" s="14" t="s">
        <v>368</v>
      </c>
      <c r="L137" s="14">
        <v>34.589800443458977</v>
      </c>
      <c r="M137" s="14">
        <v>47.228381374722851</v>
      </c>
      <c r="O137" s="14">
        <f t="shared" si="53"/>
        <v>0.34589800443458979</v>
      </c>
      <c r="P137" s="14">
        <f t="shared" si="54"/>
        <v>0.4722838137472285</v>
      </c>
      <c r="Q137" s="14">
        <f t="shared" si="55"/>
        <v>1490.5183137185013</v>
      </c>
      <c r="R137" s="14">
        <f t="shared" si="56"/>
        <v>2035.1307745002619</v>
      </c>
      <c r="S137" s="14">
        <f t="shared" si="57"/>
        <v>3525.6490882187632</v>
      </c>
      <c r="T137" s="14">
        <f t="shared" si="58"/>
        <v>42.27642276422764</v>
      </c>
      <c r="AD137" s="140"/>
      <c r="AE137" s="141"/>
      <c r="AG137" s="140"/>
      <c r="AH137" s="140"/>
      <c r="AI137" s="140"/>
      <c r="AJ137" s="140"/>
      <c r="AK137" s="139" t="s">
        <v>358</v>
      </c>
      <c r="AM137" s="14">
        <f t="shared" si="59"/>
        <v>0.18181818181818166</v>
      </c>
      <c r="AN137" s="14">
        <f t="shared" si="60"/>
        <v>783.47757515972432</v>
      </c>
      <c r="AO137" s="14">
        <f t="shared" si="61"/>
        <v>699.00223952842771</v>
      </c>
      <c r="AP137" s="138"/>
      <c r="AQ137" s="138"/>
      <c r="AR137" s="138"/>
    </row>
    <row r="138" spans="1:44" ht="16.5" thickBot="1" x14ac:dyDescent="0.25">
      <c r="A138" s="34" t="s">
        <v>376</v>
      </c>
      <c r="B138" s="33">
        <v>2</v>
      </c>
      <c r="C138" s="21" t="s">
        <v>354</v>
      </c>
      <c r="D138" s="20" t="s">
        <v>360</v>
      </c>
      <c r="E138" s="19">
        <v>20.2</v>
      </c>
      <c r="F138" s="121">
        <v>5.2237334910309405</v>
      </c>
      <c r="H138" s="14" t="s">
        <v>376</v>
      </c>
      <c r="I138" s="14">
        <v>2</v>
      </c>
      <c r="J138" s="14" t="s">
        <v>354</v>
      </c>
      <c r="K138" s="14" t="s">
        <v>371</v>
      </c>
      <c r="L138" s="14">
        <v>33.94919168591224</v>
      </c>
      <c r="M138" s="14">
        <v>47.344110854503469</v>
      </c>
      <c r="O138" s="14">
        <f t="shared" si="53"/>
        <v>0.33949191685912239</v>
      </c>
      <c r="P138" s="14">
        <f t="shared" si="54"/>
        <v>0.47344110854503468</v>
      </c>
      <c r="Q138" s="14">
        <f t="shared" si="55"/>
        <v>1423.5553830079464</v>
      </c>
      <c r="R138" s="14">
        <f t="shared" si="56"/>
        <v>1985.2302960314898</v>
      </c>
      <c r="S138" s="14">
        <f t="shared" si="57"/>
        <v>3408.7856790394362</v>
      </c>
      <c r="T138" s="14">
        <f t="shared" si="58"/>
        <v>41.761363636363633</v>
      </c>
      <c r="AD138" s="140"/>
      <c r="AE138" s="141"/>
      <c r="AG138" s="140"/>
      <c r="AH138" s="140"/>
      <c r="AI138" s="140"/>
      <c r="AJ138" s="140"/>
      <c r="AK138" s="139" t="s">
        <v>360</v>
      </c>
      <c r="AM138" s="14">
        <f t="shared" si="59"/>
        <v>0.18706697459584293</v>
      </c>
      <c r="AN138" s="14">
        <f t="shared" si="60"/>
        <v>784.40806818805186</v>
      </c>
      <c r="AO138" s="14">
        <f t="shared" si="61"/>
        <v>699.83240586794795</v>
      </c>
      <c r="AP138" s="138"/>
      <c r="AQ138" s="138"/>
      <c r="AR138" s="138"/>
    </row>
    <row r="139" spans="1:44" ht="16.5" thickBot="1" x14ac:dyDescent="0.25">
      <c r="A139" s="29"/>
      <c r="B139" s="28"/>
      <c r="C139" s="27" t="s">
        <v>355</v>
      </c>
      <c r="D139" s="26" t="s">
        <v>360</v>
      </c>
      <c r="E139" s="25">
        <v>18.100000000000001</v>
      </c>
      <c r="F139" s="122">
        <v>4.8422597212032157</v>
      </c>
      <c r="J139" s="14" t="s">
        <v>355</v>
      </c>
      <c r="K139" s="14" t="s">
        <v>371</v>
      </c>
      <c r="L139" s="14">
        <v>34.358974358974351</v>
      </c>
      <c r="M139" s="14">
        <v>48.205128205128219</v>
      </c>
      <c r="O139" s="14">
        <f t="shared" si="53"/>
        <v>0.34358974358974348</v>
      </c>
      <c r="P139" s="14">
        <f t="shared" si="54"/>
        <v>0.48205128205128217</v>
      </c>
      <c r="Q139" s="14">
        <f t="shared" si="55"/>
        <v>1293.2715141659553</v>
      </c>
      <c r="R139" s="14">
        <f t="shared" si="56"/>
        <v>1814.4406318149236</v>
      </c>
      <c r="S139" s="14">
        <f t="shared" si="57"/>
        <v>3107.7121459808786</v>
      </c>
      <c r="T139" s="14">
        <f t="shared" si="58"/>
        <v>41.614906832298118</v>
      </c>
      <c r="U139" s="14">
        <f>AVERAGE(Q138:Q140)</f>
        <v>1331.2754588306934</v>
      </c>
      <c r="V139" s="14">
        <f>AVERAGE(R138:R140)</f>
        <v>1856.6855232094779</v>
      </c>
      <c r="W139" s="14">
        <f>AVERAGE(S138:S140)</f>
        <v>3187.9609820401711</v>
      </c>
      <c r="X139" s="14">
        <f>AVERAGE(T138:T140)</f>
        <v>41.76034412447455</v>
      </c>
      <c r="Y139" s="14">
        <v>1132.3</v>
      </c>
      <c r="Z139" s="14">
        <f>(U139/10000)/(Y139/1000)</f>
        <v>0.11757268028178872</v>
      </c>
      <c r="AA139" s="14">
        <v>961</v>
      </c>
      <c r="AB139" s="14">
        <f>AA139+264+119.9</f>
        <v>1344.9</v>
      </c>
      <c r="AC139" s="14">
        <f>(U139/10000)/(AB139/1000)</f>
        <v>9.8986947641511905E-2</v>
      </c>
      <c r="AD139" s="140">
        <v>4.13</v>
      </c>
      <c r="AE139" s="141">
        <v>1.1100000000000001</v>
      </c>
      <c r="AF139" s="14">
        <f>AE139*25.4</f>
        <v>28.194000000000003</v>
      </c>
      <c r="AG139" s="140">
        <v>79.400000000000006</v>
      </c>
      <c r="AH139" s="140">
        <v>30.7</v>
      </c>
      <c r="AI139" s="140">
        <v>5.9</v>
      </c>
      <c r="AJ139" s="140">
        <v>11.3</v>
      </c>
      <c r="AK139" s="139" t="s">
        <v>360</v>
      </c>
      <c r="AM139" s="14">
        <f t="shared" si="59"/>
        <v>0.17435897435897435</v>
      </c>
      <c r="AN139" s="14">
        <f t="shared" si="60"/>
        <v>656.28703703944029</v>
      </c>
      <c r="AO139" s="14">
        <f t="shared" si="61"/>
        <v>585.52551241881088</v>
      </c>
      <c r="AP139" s="138">
        <f>AVERAGE(AM138:AM140)</f>
        <v>0.18178792426300472</v>
      </c>
      <c r="AQ139" s="138">
        <f>AVERAGE(AN138:AN140)</f>
        <v>709.18867909499897</v>
      </c>
      <c r="AR139" s="138">
        <f>AVERAGE(AO138:AO140)</f>
        <v>632.7232465262972</v>
      </c>
    </row>
    <row r="140" spans="1:44" ht="16.5" thickBot="1" x14ac:dyDescent="0.25">
      <c r="A140" s="23"/>
      <c r="B140" s="22"/>
      <c r="C140" s="32" t="s">
        <v>356</v>
      </c>
      <c r="D140" s="31" t="s">
        <v>360</v>
      </c>
      <c r="E140" s="30">
        <v>18.100000000000001</v>
      </c>
      <c r="F140" s="123">
        <v>5.5941963951836087</v>
      </c>
      <c r="J140" s="14" t="s">
        <v>356</v>
      </c>
      <c r="K140" s="14" t="s">
        <v>371</v>
      </c>
      <c r="L140" s="14">
        <v>34.196891191709845</v>
      </c>
      <c r="M140" s="14">
        <v>47.409326424870471</v>
      </c>
      <c r="O140" s="14">
        <f t="shared" si="53"/>
        <v>0.34196891191709844</v>
      </c>
      <c r="P140" s="14">
        <f t="shared" si="54"/>
        <v>0.47409326424870474</v>
      </c>
      <c r="Q140" s="14">
        <f t="shared" si="55"/>
        <v>1276.9994793181786</v>
      </c>
      <c r="R140" s="14">
        <f t="shared" si="56"/>
        <v>1770.3856417820207</v>
      </c>
      <c r="S140" s="14">
        <f t="shared" si="57"/>
        <v>3047.3851211001993</v>
      </c>
      <c r="T140" s="14">
        <f t="shared" si="58"/>
        <v>41.904761904761898</v>
      </c>
      <c r="AD140" s="140"/>
      <c r="AE140" s="141"/>
      <c r="AG140" s="140"/>
      <c r="AH140" s="140"/>
      <c r="AI140" s="140"/>
      <c r="AJ140" s="140"/>
      <c r="AK140" s="139" t="s">
        <v>360</v>
      </c>
      <c r="AM140" s="14">
        <f t="shared" si="59"/>
        <v>0.18393782383419682</v>
      </c>
      <c r="AN140" s="14">
        <f t="shared" si="60"/>
        <v>686.87093205750489</v>
      </c>
      <c r="AO140" s="14">
        <f t="shared" si="61"/>
        <v>612.81182129213266</v>
      </c>
      <c r="AP140" s="138"/>
      <c r="AQ140" s="138"/>
      <c r="AR140" s="138"/>
    </row>
    <row r="141" spans="1:44" ht="16.5" thickBot="1" x14ac:dyDescent="0.25">
      <c r="A141" s="34" t="s">
        <v>376</v>
      </c>
      <c r="B141" s="33">
        <v>3</v>
      </c>
      <c r="C141" s="21" t="s">
        <v>354</v>
      </c>
      <c r="D141" s="20" t="s">
        <v>371</v>
      </c>
      <c r="E141" s="19">
        <v>17.100000000000001</v>
      </c>
      <c r="F141" s="121">
        <v>5.6456941487409127</v>
      </c>
      <c r="H141" s="14" t="s">
        <v>376</v>
      </c>
      <c r="I141" s="14">
        <v>3</v>
      </c>
      <c r="J141" s="14" t="s">
        <v>354</v>
      </c>
      <c r="K141" s="14" t="s">
        <v>360</v>
      </c>
      <c r="L141" s="14">
        <v>34.15300546448087</v>
      </c>
      <c r="M141" s="14">
        <v>48.087431693989075</v>
      </c>
      <c r="O141" s="14">
        <f t="shared" si="53"/>
        <v>0.34153005464480868</v>
      </c>
      <c r="P141" s="14">
        <f t="shared" si="54"/>
        <v>0.48087431693989074</v>
      </c>
      <c r="Q141" s="14">
        <f t="shared" si="55"/>
        <v>1202.7312837004138</v>
      </c>
      <c r="R141" s="14">
        <f t="shared" si="56"/>
        <v>1693.4456474501831</v>
      </c>
      <c r="S141" s="14">
        <f t="shared" si="57"/>
        <v>2896.1769311505968</v>
      </c>
      <c r="T141" s="14">
        <f t="shared" si="58"/>
        <v>41.528239202657801</v>
      </c>
      <c r="AD141" s="140"/>
      <c r="AE141" s="141"/>
      <c r="AG141" s="140"/>
      <c r="AH141" s="140"/>
      <c r="AI141" s="140"/>
      <c r="AJ141" s="140"/>
      <c r="AK141" s="139" t="s">
        <v>371</v>
      </c>
      <c r="AM141" s="14">
        <f t="shared" si="59"/>
        <v>0.17759562841530058</v>
      </c>
      <c r="AN141" s="14">
        <f t="shared" si="60"/>
        <v>625.42026752421543</v>
      </c>
      <c r="AO141" s="14">
        <f t="shared" si="61"/>
        <v>557.98682885948699</v>
      </c>
      <c r="AP141" s="138"/>
      <c r="AQ141" s="138"/>
      <c r="AR141" s="138"/>
    </row>
    <row r="142" spans="1:44" ht="16.5" thickBot="1" x14ac:dyDescent="0.25">
      <c r="A142" s="29"/>
      <c r="B142" s="28"/>
      <c r="C142" s="27" t="s">
        <v>355</v>
      </c>
      <c r="D142" s="26" t="s">
        <v>371</v>
      </c>
      <c r="E142" s="25">
        <v>17.600000000000001</v>
      </c>
      <c r="F142" s="122">
        <v>5.8385093167701836</v>
      </c>
      <c r="J142" s="14" t="s">
        <v>355</v>
      </c>
      <c r="K142" s="14" t="s">
        <v>360</v>
      </c>
      <c r="L142" s="14">
        <v>34.165571616294351</v>
      </c>
      <c r="M142" s="14">
        <v>48.357424441524323</v>
      </c>
      <c r="O142" s="14">
        <f t="shared" si="53"/>
        <v>0.34165571616294349</v>
      </c>
      <c r="P142" s="14">
        <f t="shared" si="54"/>
        <v>0.48357424441524322</v>
      </c>
      <c r="Q142" s="14">
        <f t="shared" si="55"/>
        <v>1236.6216519552781</v>
      </c>
      <c r="R142" s="14">
        <f t="shared" si="56"/>
        <v>1750.2952612290096</v>
      </c>
      <c r="S142" s="14">
        <f t="shared" si="57"/>
        <v>2986.9169131842878</v>
      </c>
      <c r="T142" s="14">
        <f t="shared" si="58"/>
        <v>41.401273885350307</v>
      </c>
      <c r="U142" s="14">
        <f>AVERAGE(Q141:Q143)</f>
        <v>1212.0050740839181</v>
      </c>
      <c r="V142" s="14">
        <f>AVERAGE(R141:R143)</f>
        <v>1702.464451966036</v>
      </c>
      <c r="W142" s="14">
        <f>AVERAGE(S141:S143)</f>
        <v>2914.4695260499539</v>
      </c>
      <c r="X142" s="14">
        <f>AVERAGE(T141:T143)</f>
        <v>41.588749260628553</v>
      </c>
      <c r="Y142" s="14">
        <v>946.2</v>
      </c>
      <c r="Z142" s="14">
        <f>(U142/10000)/(Y142/1000)</f>
        <v>0.1280918488780298</v>
      </c>
      <c r="AA142" s="14">
        <v>799.7</v>
      </c>
      <c r="AB142" s="14">
        <f>AA142+264+119.9</f>
        <v>1183.6000000000001</v>
      </c>
      <c r="AC142" s="14">
        <f>(U142/10000)/(AB142/1000)</f>
        <v>0.10239988797599847</v>
      </c>
      <c r="AD142" s="140">
        <v>4.24</v>
      </c>
      <c r="AE142" s="141">
        <v>1.1299999999999999</v>
      </c>
      <c r="AF142" s="14">
        <f>AE142*25.4</f>
        <v>28.701999999999995</v>
      </c>
      <c r="AG142" s="140">
        <v>78.3</v>
      </c>
      <c r="AH142" s="140">
        <v>30.3</v>
      </c>
      <c r="AI142" s="140">
        <v>6.2</v>
      </c>
      <c r="AJ142" s="140">
        <v>11.4</v>
      </c>
      <c r="AK142" s="139" t="s">
        <v>371</v>
      </c>
      <c r="AM142" s="14">
        <f t="shared" si="59"/>
        <v>0.17477003942181335</v>
      </c>
      <c r="AN142" s="14">
        <f t="shared" si="60"/>
        <v>632.57953734635373</v>
      </c>
      <c r="AO142" s="14">
        <f t="shared" si="61"/>
        <v>564.37417905013251</v>
      </c>
      <c r="AP142" s="138">
        <f>AVERAGE(AM141:AM143)</f>
        <v>0.17742732860958188</v>
      </c>
      <c r="AQ142" s="138">
        <f>AVERAGE(AN141:AN143)</f>
        <v>628.5059444025095</v>
      </c>
      <c r="AR142" s="138">
        <f>AVERAGE(AO141:AO143)</f>
        <v>560.73980497108641</v>
      </c>
    </row>
    <row r="143" spans="1:44" ht="16.5" thickBot="1" x14ac:dyDescent="0.25">
      <c r="A143" s="23"/>
      <c r="B143" s="22"/>
      <c r="C143" s="32" t="s">
        <v>356</v>
      </c>
      <c r="D143" s="31" t="s">
        <v>371</v>
      </c>
      <c r="E143" s="30">
        <v>16.899999999999999</v>
      </c>
      <c r="F143" s="123">
        <v>5.4189944134078258</v>
      </c>
      <c r="J143" s="14" t="s">
        <v>356</v>
      </c>
      <c r="K143" s="14" t="s">
        <v>360</v>
      </c>
      <c r="L143" s="14">
        <v>34.309623430962347</v>
      </c>
      <c r="M143" s="14">
        <v>47.698744769874473</v>
      </c>
      <c r="O143" s="14">
        <f t="shared" si="53"/>
        <v>0.34309623430962349</v>
      </c>
      <c r="P143" s="14">
        <f t="shared" si="54"/>
        <v>0.47698744769874474</v>
      </c>
      <c r="Q143" s="14">
        <f t="shared" si="55"/>
        <v>1196.6622865960624</v>
      </c>
      <c r="R143" s="14">
        <f t="shared" si="56"/>
        <v>1663.6524472189155</v>
      </c>
      <c r="S143" s="14">
        <f t="shared" si="57"/>
        <v>2860.3147338149779</v>
      </c>
      <c r="T143" s="14">
        <f t="shared" si="58"/>
        <v>41.83673469387756</v>
      </c>
      <c r="AD143" s="140"/>
      <c r="AE143" s="141"/>
      <c r="AG143" s="140"/>
      <c r="AH143" s="140"/>
      <c r="AI143" s="140"/>
      <c r="AJ143" s="140"/>
      <c r="AK143" s="139" t="s">
        <v>371</v>
      </c>
      <c r="AM143" s="14">
        <f t="shared" si="59"/>
        <v>0.17991631799163171</v>
      </c>
      <c r="AN143" s="14">
        <f t="shared" si="60"/>
        <v>627.51802833695911</v>
      </c>
      <c r="AO143" s="14">
        <f t="shared" si="61"/>
        <v>559.85840700363985</v>
      </c>
      <c r="AP143" s="138"/>
      <c r="AQ143" s="138"/>
      <c r="AR143" s="138"/>
    </row>
    <row r="144" spans="1:44" ht="16.5" thickBot="1" x14ac:dyDescent="0.25">
      <c r="A144" s="34" t="s">
        <v>376</v>
      </c>
      <c r="B144" s="33">
        <v>4</v>
      </c>
      <c r="C144" s="21" t="s">
        <v>354</v>
      </c>
      <c r="D144" s="20" t="s">
        <v>368</v>
      </c>
      <c r="E144" s="19">
        <v>19.8</v>
      </c>
      <c r="F144" s="121">
        <v>5.3293112116641481</v>
      </c>
      <c r="H144" s="14" t="s">
        <v>376</v>
      </c>
      <c r="I144" s="14">
        <v>4</v>
      </c>
      <c r="J144" s="14" t="s">
        <v>354</v>
      </c>
      <c r="K144" s="14" t="s">
        <v>358</v>
      </c>
      <c r="L144" s="14">
        <v>35.362997658079628</v>
      </c>
      <c r="M144" s="14">
        <v>47.072599531615936</v>
      </c>
      <c r="O144" s="14">
        <f t="shared" si="53"/>
        <v>0.35362997658079626</v>
      </c>
      <c r="P144" s="14">
        <f t="shared" si="54"/>
        <v>0.47072599531615933</v>
      </c>
      <c r="Q144" s="14">
        <f t="shared" si="55"/>
        <v>1451.2943931074897</v>
      </c>
      <c r="R144" s="14">
        <f t="shared" si="56"/>
        <v>1931.8554504278509</v>
      </c>
      <c r="S144" s="14">
        <f t="shared" si="57"/>
        <v>3383.1498435353406</v>
      </c>
      <c r="T144" s="14">
        <f t="shared" si="58"/>
        <v>42.897727272727266</v>
      </c>
      <c r="AD144" s="140"/>
      <c r="AE144" s="141"/>
      <c r="AG144" s="140"/>
      <c r="AH144" s="140"/>
      <c r="AI144" s="140"/>
      <c r="AJ144" s="140"/>
      <c r="AK144" s="139" t="s">
        <v>368</v>
      </c>
      <c r="AM144" s="14">
        <f t="shared" si="59"/>
        <v>0.17564402810304447</v>
      </c>
      <c r="AN144" s="14">
        <f t="shared" si="60"/>
        <v>720.84158598054114</v>
      </c>
      <c r="AO144" s="14">
        <f t="shared" si="61"/>
        <v>643.11972533853327</v>
      </c>
      <c r="AP144" s="138"/>
      <c r="AQ144" s="138"/>
      <c r="AR144" s="138"/>
    </row>
    <row r="145" spans="1:44" ht="16.5" thickBot="1" x14ac:dyDescent="0.25">
      <c r="A145" s="35"/>
      <c r="B145" s="28"/>
      <c r="C145" s="27" t="s">
        <v>355</v>
      </c>
      <c r="D145" s="26" t="s">
        <v>368</v>
      </c>
      <c r="E145" s="25">
        <v>19.5</v>
      </c>
      <c r="F145" s="122">
        <v>5.2033642982676325</v>
      </c>
      <c r="J145" s="14" t="s">
        <v>355</v>
      </c>
      <c r="K145" s="14" t="s">
        <v>358</v>
      </c>
      <c r="L145" s="14">
        <v>37.574316290130795</v>
      </c>
      <c r="M145" s="14">
        <v>68.727705112960763</v>
      </c>
      <c r="O145" s="14">
        <f t="shared" si="53"/>
        <v>0.37574316290130794</v>
      </c>
      <c r="P145" s="14">
        <f t="shared" si="54"/>
        <v>0.68727705112960757</v>
      </c>
      <c r="Q145" s="14">
        <f t="shared" si="55"/>
        <v>1520.2449943711897</v>
      </c>
      <c r="R145" s="14">
        <f t="shared" si="56"/>
        <v>2780.7012871726192</v>
      </c>
      <c r="S145" s="14">
        <f t="shared" si="57"/>
        <v>4300.9462815438092</v>
      </c>
      <c r="T145" s="14">
        <f t="shared" si="58"/>
        <v>35.346756152125273</v>
      </c>
      <c r="U145" s="14">
        <f>AVERAGE(Q144:Q146)</f>
        <v>1520.6406473956729</v>
      </c>
      <c r="V145" s="14">
        <f>AVERAGE(R144:R146)</f>
        <v>2280.9018308982231</v>
      </c>
      <c r="W145" s="14">
        <f>AVERAGE(S144:S146)</f>
        <v>3801.5424782938958</v>
      </c>
      <c r="X145" s="14">
        <f>AVERAGE(T144:T146)</f>
        <v>40.33019913816328</v>
      </c>
      <c r="Y145" s="14">
        <v>1114.8</v>
      </c>
      <c r="Z145" s="14">
        <f>(U145/10000)/(Y145/1000)</f>
        <v>0.13640479434837396</v>
      </c>
      <c r="AA145" s="14">
        <v>941</v>
      </c>
      <c r="AB145" s="14">
        <f>AA145+264+119.9</f>
        <v>1324.9</v>
      </c>
      <c r="AC145" s="14">
        <f>(U145/10000)/(AB145/1000)</f>
        <v>0.11477399406715018</v>
      </c>
      <c r="AD145" s="140">
        <v>4.67</v>
      </c>
      <c r="AE145" s="141">
        <v>1.1100000000000001</v>
      </c>
      <c r="AF145" s="14">
        <f>AE145*25.4</f>
        <v>28.194000000000003</v>
      </c>
      <c r="AG145" s="140">
        <v>80.3</v>
      </c>
      <c r="AH145" s="140">
        <v>31.1</v>
      </c>
      <c r="AI145" s="140">
        <v>6.1</v>
      </c>
      <c r="AJ145" s="140">
        <v>10.7</v>
      </c>
      <c r="AK145" s="139" t="s">
        <v>368</v>
      </c>
      <c r="AM145" s="14">
        <f t="shared" si="59"/>
        <v>-6.3020214030915511E-2</v>
      </c>
      <c r="AN145" s="14">
        <f t="shared" si="60"/>
        <v>-254.9777996888385</v>
      </c>
      <c r="AO145" s="14">
        <f t="shared" si="61"/>
        <v>-227.48583834858826</v>
      </c>
      <c r="AP145" s="138">
        <f>AVERAGE(AM144:AM146)</f>
        <v>8.9635989025864504E-2</v>
      </c>
      <c r="AQ145" s="138">
        <f>AVERAGE(AN144:AN146)</f>
        <v>385.00985333288327</v>
      </c>
      <c r="AR145" s="138">
        <f>AVERAGE(AO144:AO146)</f>
        <v>343.49770593667853</v>
      </c>
    </row>
    <row r="146" spans="1:44" ht="16.5" thickBot="1" x14ac:dyDescent="0.25">
      <c r="A146" s="23"/>
      <c r="B146" s="22"/>
      <c r="C146" s="32" t="s">
        <v>356</v>
      </c>
      <c r="D146" s="31" t="s">
        <v>368</v>
      </c>
      <c r="E146" s="30">
        <v>21.2</v>
      </c>
      <c r="F146" s="123">
        <v>5.117449664429536</v>
      </c>
      <c r="J146" s="14" t="s">
        <v>356</v>
      </c>
      <c r="K146" s="14" t="s">
        <v>358</v>
      </c>
      <c r="L146" s="14">
        <v>36.065573770491795</v>
      </c>
      <c r="M146" s="14">
        <v>48.306010928961747</v>
      </c>
      <c r="O146" s="14">
        <f t="shared" si="53"/>
        <v>0.36065573770491793</v>
      </c>
      <c r="P146" s="14">
        <f t="shared" si="54"/>
        <v>0.48306010928961746</v>
      </c>
      <c r="Q146" s="14">
        <f t="shared" si="55"/>
        <v>1590.3825547083384</v>
      </c>
      <c r="R146" s="14">
        <f t="shared" si="56"/>
        <v>2130.1487550941993</v>
      </c>
      <c r="S146" s="14">
        <f t="shared" si="57"/>
        <v>3720.5313098025376</v>
      </c>
      <c r="T146" s="14">
        <f t="shared" si="58"/>
        <v>42.746113989637294</v>
      </c>
      <c r="AD146" s="140"/>
      <c r="AE146" s="141"/>
      <c r="AG146" s="140"/>
      <c r="AH146" s="140"/>
      <c r="AI146" s="140"/>
      <c r="AJ146" s="140"/>
      <c r="AK146" s="139" t="s">
        <v>368</v>
      </c>
      <c r="AM146" s="14">
        <f t="shared" si="59"/>
        <v>0.15628415300546455</v>
      </c>
      <c r="AN146" s="14">
        <f t="shared" si="60"/>
        <v>689.16577370694722</v>
      </c>
      <c r="AO146" s="14">
        <f t="shared" si="61"/>
        <v>614.85923082009049</v>
      </c>
      <c r="AP146" s="138"/>
      <c r="AQ146" s="138"/>
      <c r="AR146" s="138"/>
    </row>
    <row r="147" spans="1:44" ht="15.75" x14ac:dyDescent="0.2">
      <c r="A147" s="34" t="s">
        <v>372</v>
      </c>
      <c r="B147" s="33">
        <v>1</v>
      </c>
      <c r="C147" s="32" t="s">
        <v>354</v>
      </c>
      <c r="D147" s="31" t="s">
        <v>375</v>
      </c>
      <c r="E147" s="30">
        <v>22.4</v>
      </c>
      <c r="F147" s="123">
        <v>5.3879428352406524</v>
      </c>
      <c r="H147" s="14" t="s">
        <v>372</v>
      </c>
      <c r="I147" s="14">
        <v>1</v>
      </c>
      <c r="J147" s="14" t="s">
        <v>354</v>
      </c>
      <c r="K147" s="14" t="s">
        <v>375</v>
      </c>
      <c r="L147" s="14">
        <v>34.339229968782519</v>
      </c>
      <c r="M147" s="14">
        <v>47.034339229968793</v>
      </c>
      <c r="O147" s="14">
        <f t="shared" si="53"/>
        <v>0.3433922996878252</v>
      </c>
      <c r="P147" s="14">
        <f t="shared" si="54"/>
        <v>0.47034339229968791</v>
      </c>
      <c r="Q147" s="14">
        <f t="shared" si="55"/>
        <v>1596.9673425595659</v>
      </c>
      <c r="R147" s="14">
        <f t="shared" si="56"/>
        <v>2187.3613298088603</v>
      </c>
      <c r="S147" s="14">
        <f t="shared" si="57"/>
        <v>3784.3286723684259</v>
      </c>
      <c r="T147" s="14">
        <f t="shared" si="58"/>
        <v>42.199488491048591</v>
      </c>
      <c r="AD147" s="140"/>
      <c r="AE147" s="141"/>
      <c r="AG147" s="140"/>
      <c r="AH147" s="140"/>
      <c r="AI147" s="140"/>
      <c r="AJ147" s="140"/>
      <c r="AK147" s="139" t="s">
        <v>375</v>
      </c>
      <c r="AM147" s="14">
        <f t="shared" si="59"/>
        <v>0.18626430801248695</v>
      </c>
      <c r="AN147" s="14">
        <f t="shared" si="60"/>
        <v>866.23380096412791</v>
      </c>
      <c r="AO147" s="14">
        <f t="shared" si="61"/>
        <v>772.83560631037471</v>
      </c>
      <c r="AP147" s="138"/>
      <c r="AQ147" s="138"/>
      <c r="AR147" s="138"/>
    </row>
    <row r="148" spans="1:44" ht="15.75" x14ac:dyDescent="0.2">
      <c r="A148" s="35"/>
      <c r="B148" s="28"/>
      <c r="C148" s="27" t="s">
        <v>355</v>
      </c>
      <c r="D148" s="26" t="s">
        <v>375</v>
      </c>
      <c r="E148" s="25">
        <v>20.100000000000001</v>
      </c>
      <c r="F148" s="122">
        <v>5.6156281737260318</v>
      </c>
      <c r="J148" s="14" t="s">
        <v>355</v>
      </c>
      <c r="K148" s="14" t="s">
        <v>375</v>
      </c>
      <c r="L148" s="14">
        <v>34.832756632064594</v>
      </c>
      <c r="M148" s="14">
        <v>48.44290657439447</v>
      </c>
      <c r="O148" s="14">
        <f t="shared" si="53"/>
        <v>0.34832756632064593</v>
      </c>
      <c r="P148" s="14">
        <f t="shared" si="54"/>
        <v>0.48442906574394473</v>
      </c>
      <c r="Q148" s="14">
        <f t="shared" si="55"/>
        <v>1447.2265741868805</v>
      </c>
      <c r="R148" s="14">
        <f t="shared" si="56"/>
        <v>2012.6992091340724</v>
      </c>
      <c r="S148" s="14">
        <f t="shared" si="57"/>
        <v>3459.9257833209531</v>
      </c>
      <c r="T148" s="14">
        <f t="shared" si="58"/>
        <v>41.828254847645425</v>
      </c>
      <c r="U148" s="14">
        <f>AVERAGE(Q147:Q149)</f>
        <v>1503.3063762510408</v>
      </c>
      <c r="V148" s="14">
        <f>AVERAGE(R147:R149)</f>
        <v>2083.3866183609966</v>
      </c>
      <c r="W148" s="14">
        <f>AVERAGE(S147:S149)</f>
        <v>3586.6929946120376</v>
      </c>
      <c r="X148" s="14">
        <f>AVERAGE(T147:T149)</f>
        <v>41.905705545232252</v>
      </c>
      <c r="Y148" s="14">
        <v>957.4</v>
      </c>
      <c r="Z148" s="14">
        <f>(U148/10000)/(Y148/1000)</f>
        <v>0.15701967581481518</v>
      </c>
      <c r="AA148" s="14">
        <v>779.7</v>
      </c>
      <c r="AB148" s="14">
        <f>AA148+264+119.9</f>
        <v>1163.6000000000001</v>
      </c>
      <c r="AC148" s="14">
        <f>(U148/10000)/(AB148/1000)</f>
        <v>0.12919442903498113</v>
      </c>
      <c r="AD148" s="140">
        <v>4.24</v>
      </c>
      <c r="AE148" s="141">
        <v>1.1000000000000001</v>
      </c>
      <c r="AF148" s="14">
        <f>AE148*25.4</f>
        <v>27.94</v>
      </c>
      <c r="AG148" s="140">
        <v>78.8</v>
      </c>
      <c r="AH148" s="140">
        <v>29.7</v>
      </c>
      <c r="AI148" s="140">
        <v>6.2</v>
      </c>
      <c r="AJ148" s="140">
        <v>11.3</v>
      </c>
      <c r="AK148" s="139" t="s">
        <v>375</v>
      </c>
      <c r="AM148" s="14">
        <f t="shared" si="59"/>
        <v>0.16724336793540928</v>
      </c>
      <c r="AN148" s="14">
        <f t="shared" si="60"/>
        <v>694.86044124866703</v>
      </c>
      <c r="AO148" s="14">
        <f t="shared" si="61"/>
        <v>619.93989361279455</v>
      </c>
      <c r="AP148" s="138">
        <f>AVERAGE(AM147:AM149)</f>
        <v>0.17840816994621436</v>
      </c>
      <c r="AQ148" s="138">
        <f>AVERAGE(AN147:AN149)</f>
        <v>780.61878831612569</v>
      </c>
      <c r="AR148" s="138">
        <f>AVERAGE(AO147:AO149)</f>
        <v>696.45168994109281</v>
      </c>
    </row>
    <row r="149" spans="1:44" ht="16.5" thickBot="1" x14ac:dyDescent="0.25">
      <c r="A149" s="23"/>
      <c r="B149" s="22"/>
      <c r="C149" s="21" t="s">
        <v>356</v>
      </c>
      <c r="D149" s="20" t="s">
        <v>375</v>
      </c>
      <c r="E149" s="19">
        <v>20.8</v>
      </c>
      <c r="F149" s="121">
        <v>5.7402780447177966</v>
      </c>
      <c r="J149" s="14" t="s">
        <v>356</v>
      </c>
      <c r="K149" s="14" t="s">
        <v>375</v>
      </c>
      <c r="L149" s="14">
        <v>34.113712374581937</v>
      </c>
      <c r="M149" s="14">
        <v>47.714604236343369</v>
      </c>
      <c r="O149" s="14">
        <f t="shared" si="53"/>
        <v>0.34113712374581939</v>
      </c>
      <c r="P149" s="14">
        <f t="shared" si="54"/>
        <v>0.47714604236343372</v>
      </c>
      <c r="Q149" s="14">
        <f t="shared" si="55"/>
        <v>1465.725212006676</v>
      </c>
      <c r="R149" s="14">
        <f t="shared" si="56"/>
        <v>2050.0993161400565</v>
      </c>
      <c r="S149" s="14">
        <f t="shared" si="57"/>
        <v>3515.8245281467325</v>
      </c>
      <c r="T149" s="14">
        <f t="shared" si="58"/>
        <v>41.689373297002724</v>
      </c>
      <c r="AD149" s="140"/>
      <c r="AE149" s="141"/>
      <c r="AG149" s="140"/>
      <c r="AH149" s="140"/>
      <c r="AI149" s="140"/>
      <c r="AJ149" s="140"/>
      <c r="AK149" s="139" t="s">
        <v>375</v>
      </c>
      <c r="AM149" s="14">
        <f t="shared" si="59"/>
        <v>0.18171683389074689</v>
      </c>
      <c r="AN149" s="14">
        <f t="shared" si="60"/>
        <v>780.76212273558212</v>
      </c>
      <c r="AO149" s="14">
        <f t="shared" si="61"/>
        <v>696.57956990010894</v>
      </c>
      <c r="AP149" s="138"/>
      <c r="AQ149" s="138"/>
      <c r="AR149" s="138"/>
    </row>
    <row r="150" spans="1:44" ht="15.75" x14ac:dyDescent="0.2">
      <c r="A150" s="34" t="s">
        <v>372</v>
      </c>
      <c r="B150" s="33">
        <v>2</v>
      </c>
      <c r="C150" s="32" t="s">
        <v>354</v>
      </c>
      <c r="D150" s="31" t="s">
        <v>374</v>
      </c>
      <c r="E150" s="30">
        <v>20.399999999999999</v>
      </c>
      <c r="F150" s="123">
        <v>5.3038364603752441</v>
      </c>
      <c r="H150" s="14" t="s">
        <v>372</v>
      </c>
      <c r="I150" s="14">
        <v>2</v>
      </c>
      <c r="J150" s="14" t="s">
        <v>354</v>
      </c>
      <c r="K150" s="14" t="s">
        <v>374</v>
      </c>
      <c r="L150" s="14">
        <v>35</v>
      </c>
      <c r="M150" s="14">
        <v>47.954545454545453</v>
      </c>
      <c r="O150" s="14">
        <f t="shared" si="53"/>
        <v>0.35</v>
      </c>
      <c r="P150" s="14">
        <f t="shared" si="54"/>
        <v>0.47954545454545455</v>
      </c>
      <c r="Q150" s="14">
        <f t="shared" si="55"/>
        <v>1481.1743574869299</v>
      </c>
      <c r="R150" s="14">
        <f t="shared" si="56"/>
        <v>2029.401230063261</v>
      </c>
      <c r="S150" s="14">
        <f t="shared" si="57"/>
        <v>3510.5755875501909</v>
      </c>
      <c r="T150" s="14">
        <f t="shared" si="58"/>
        <v>42.19178082191781</v>
      </c>
      <c r="AD150" s="140"/>
      <c r="AE150" s="141"/>
      <c r="AG150" s="140"/>
      <c r="AH150" s="140"/>
      <c r="AI150" s="140"/>
      <c r="AJ150" s="140"/>
      <c r="AK150" s="139" t="s">
        <v>374</v>
      </c>
      <c r="AM150" s="14">
        <f t="shared" si="59"/>
        <v>0.17045454545454547</v>
      </c>
      <c r="AN150" s="14">
        <f t="shared" si="60"/>
        <v>721.35114812675158</v>
      </c>
      <c r="AO150" s="14">
        <f t="shared" si="61"/>
        <v>643.57434598457712</v>
      </c>
      <c r="AP150" s="138"/>
      <c r="AQ150" s="138"/>
      <c r="AR150" s="138"/>
    </row>
    <row r="151" spans="1:44" ht="15.75" x14ac:dyDescent="0.2">
      <c r="A151" s="29"/>
      <c r="B151" s="28"/>
      <c r="C151" s="27" t="s">
        <v>355</v>
      </c>
      <c r="D151" s="26" t="s">
        <v>374</v>
      </c>
      <c r="E151" s="25">
        <v>18.2</v>
      </c>
      <c r="F151" s="122">
        <v>5.0883694412770906</v>
      </c>
      <c r="J151" s="14" t="s">
        <v>355</v>
      </c>
      <c r="K151" s="14" t="s">
        <v>374</v>
      </c>
      <c r="L151" s="14">
        <v>33.802816901408448</v>
      </c>
      <c r="M151" s="14">
        <v>48.399487836107561</v>
      </c>
      <c r="O151" s="14">
        <f t="shared" si="53"/>
        <v>0.3380281690140845</v>
      </c>
      <c r="P151" s="14">
        <f t="shared" si="54"/>
        <v>0.48399487836107563</v>
      </c>
      <c r="Q151" s="14">
        <f t="shared" si="55"/>
        <v>1276.2087264699176</v>
      </c>
      <c r="R151" s="14">
        <f t="shared" si="56"/>
        <v>1827.2988583546551</v>
      </c>
      <c r="S151" s="14">
        <f t="shared" si="57"/>
        <v>3103.5075848245724</v>
      </c>
      <c r="T151" s="14">
        <f t="shared" si="58"/>
        <v>41.121495327102799</v>
      </c>
      <c r="U151" s="14">
        <f>AVERAGE(Q150:Q152)</f>
        <v>1372.6414515355566</v>
      </c>
      <c r="V151" s="14">
        <f>AVERAGE(R150:R152)</f>
        <v>1925.6322111731467</v>
      </c>
      <c r="W151" s="14">
        <f>AVERAGE(S150:S152)</f>
        <v>3298.2736627087033</v>
      </c>
      <c r="X151" s="14">
        <f>AVERAGE(T150:T152)</f>
        <v>41.594621461438244</v>
      </c>
      <c r="Y151" s="14">
        <v>892.8</v>
      </c>
      <c r="Z151" s="14">
        <f>(U151/10000)/(Y151/1000)</f>
        <v>0.15374568229564928</v>
      </c>
      <c r="AA151" s="14">
        <v>709.1</v>
      </c>
      <c r="AB151" s="14">
        <f>AA151+264+119.9</f>
        <v>1093</v>
      </c>
      <c r="AC151" s="14">
        <f>(U151/10000)/(AB151/1000)</f>
        <v>0.12558476226308846</v>
      </c>
      <c r="AD151" s="140">
        <v>4.0599999999999996</v>
      </c>
      <c r="AE151" s="141">
        <v>1.1100000000000001</v>
      </c>
      <c r="AF151" s="14">
        <f>AE151*25.4</f>
        <v>28.194000000000003</v>
      </c>
      <c r="AG151" s="140">
        <v>78.400000000000006</v>
      </c>
      <c r="AH151" s="140">
        <v>30.7</v>
      </c>
      <c r="AI151" s="140">
        <v>6.1</v>
      </c>
      <c r="AJ151" s="140">
        <v>11.9</v>
      </c>
      <c r="AK151" s="139" t="s">
        <v>374</v>
      </c>
      <c r="AM151" s="14">
        <f t="shared" si="59"/>
        <v>0.17797695262483987</v>
      </c>
      <c r="AN151" s="14">
        <f t="shared" si="60"/>
        <v>671.94323098226687</v>
      </c>
      <c r="AO151" s="14">
        <f t="shared" si="61"/>
        <v>599.49363987452796</v>
      </c>
      <c r="AP151" s="138">
        <f>AVERAGE(AM150:AM152)</f>
        <v>0.17995675381877252</v>
      </c>
      <c r="AQ151" s="138">
        <f>AVERAGE(AN150:AN152)</f>
        <v>723.35243437749978</v>
      </c>
      <c r="AR151" s="138">
        <f>AVERAGE(AO150:AO152)</f>
        <v>645.35985155048354</v>
      </c>
    </row>
    <row r="152" spans="1:44" ht="16.5" thickBot="1" x14ac:dyDescent="0.25">
      <c r="A152" s="23"/>
      <c r="B152" s="22"/>
      <c r="C152" s="21" t="s">
        <v>356</v>
      </c>
      <c r="D152" s="20" t="s">
        <v>374</v>
      </c>
      <c r="E152" s="19">
        <v>19.600000000000001</v>
      </c>
      <c r="F152" s="121">
        <v>5.4277891854893952</v>
      </c>
      <c r="J152" s="14" t="s">
        <v>356</v>
      </c>
      <c r="K152" s="14" t="s">
        <v>374</v>
      </c>
      <c r="L152" s="14">
        <v>33.531510107015457</v>
      </c>
      <c r="M152" s="14">
        <v>47.324613555291322</v>
      </c>
      <c r="O152" s="14">
        <f t="shared" si="53"/>
        <v>0.33531510107015455</v>
      </c>
      <c r="P152" s="14">
        <f t="shared" si="54"/>
        <v>0.47324613555291323</v>
      </c>
      <c r="Q152" s="14">
        <f t="shared" si="55"/>
        <v>1360.5412706498232</v>
      </c>
      <c r="R152" s="14">
        <f t="shared" si="56"/>
        <v>1920.1965451015237</v>
      </c>
      <c r="S152" s="14">
        <f t="shared" si="57"/>
        <v>3280.7378157513467</v>
      </c>
      <c r="T152" s="14">
        <f t="shared" si="58"/>
        <v>41.470588235294123</v>
      </c>
      <c r="AD152" s="140"/>
      <c r="AE152" s="141"/>
      <c r="AG152" s="140"/>
      <c r="AH152" s="140"/>
      <c r="AI152" s="140"/>
      <c r="AJ152" s="140"/>
      <c r="AK152" s="139" t="s">
        <v>374</v>
      </c>
      <c r="AM152" s="14">
        <f t="shared" si="59"/>
        <v>0.19143876337693227</v>
      </c>
      <c r="AN152" s="14">
        <f t="shared" si="60"/>
        <v>776.76292402348088</v>
      </c>
      <c r="AO152" s="14">
        <f t="shared" si="61"/>
        <v>693.0115687923452</v>
      </c>
      <c r="AP152" s="138"/>
      <c r="AQ152" s="138"/>
      <c r="AR152" s="138"/>
    </row>
    <row r="153" spans="1:44" ht="15.75" x14ac:dyDescent="0.2">
      <c r="A153" s="34" t="s">
        <v>372</v>
      </c>
      <c r="B153" s="33">
        <v>3</v>
      </c>
      <c r="C153" s="32" t="s">
        <v>354</v>
      </c>
      <c r="D153" s="31" t="s">
        <v>373</v>
      </c>
      <c r="E153" s="30">
        <v>13.3</v>
      </c>
      <c r="F153" s="123">
        <v>5.6322147651006755</v>
      </c>
      <c r="H153" s="14" t="s">
        <v>372</v>
      </c>
      <c r="I153" s="14">
        <v>3</v>
      </c>
      <c r="J153" s="14" t="s">
        <v>354</v>
      </c>
      <c r="K153" s="14" t="s">
        <v>373</v>
      </c>
      <c r="L153" s="14">
        <v>32.014388489208635</v>
      </c>
      <c r="M153" s="14">
        <v>46.762589928057565</v>
      </c>
      <c r="O153" s="14">
        <f t="shared" si="53"/>
        <v>0.32014388489208634</v>
      </c>
      <c r="P153" s="14">
        <f t="shared" si="54"/>
        <v>0.46762589928057563</v>
      </c>
      <c r="Q153" s="14">
        <f t="shared" si="55"/>
        <v>871.31094519373289</v>
      </c>
      <c r="R153" s="14">
        <f t="shared" si="56"/>
        <v>1272.7013806200594</v>
      </c>
      <c r="S153" s="14">
        <f t="shared" si="57"/>
        <v>2144.0123258137924</v>
      </c>
      <c r="T153" s="14">
        <f t="shared" si="58"/>
        <v>40.639269406392692</v>
      </c>
      <c r="AD153" s="140"/>
      <c r="AE153" s="141"/>
      <c r="AG153" s="140"/>
      <c r="AH153" s="140"/>
      <c r="AI153" s="140"/>
      <c r="AJ153" s="140"/>
      <c r="AK153" s="139" t="s">
        <v>373</v>
      </c>
      <c r="AM153" s="14">
        <f t="shared" si="59"/>
        <v>0.21223021582733803</v>
      </c>
      <c r="AN153" s="14">
        <f t="shared" si="60"/>
        <v>577.6106265891035</v>
      </c>
      <c r="AO153" s="14">
        <f t="shared" si="61"/>
        <v>515.33207121963983</v>
      </c>
      <c r="AP153" s="138"/>
      <c r="AQ153" s="138"/>
      <c r="AR153" s="138"/>
    </row>
    <row r="154" spans="1:44" ht="15.75" x14ac:dyDescent="0.2">
      <c r="A154" s="29"/>
      <c r="B154" s="28"/>
      <c r="C154" s="27" t="s">
        <v>355</v>
      </c>
      <c r="D154" s="26" t="s">
        <v>373</v>
      </c>
      <c r="E154" s="25">
        <v>12.4</v>
      </c>
      <c r="F154" s="122">
        <v>5.5552478537801164</v>
      </c>
      <c r="J154" s="14" t="s">
        <v>355</v>
      </c>
      <c r="K154" s="14" t="s">
        <v>373</v>
      </c>
      <c r="L154" s="14">
        <v>32.558139534883722</v>
      </c>
      <c r="M154" s="14">
        <v>47.286821705426362</v>
      </c>
      <c r="O154" s="14">
        <f t="shared" si="53"/>
        <v>0.32558139534883723</v>
      </c>
      <c r="P154" s="14">
        <f t="shared" si="54"/>
        <v>0.47286821705426363</v>
      </c>
      <c r="Q154" s="14">
        <f t="shared" si="55"/>
        <v>825.05625596613663</v>
      </c>
      <c r="R154" s="14">
        <f t="shared" si="56"/>
        <v>1198.2959908079604</v>
      </c>
      <c r="S154" s="14">
        <f t="shared" si="57"/>
        <v>2023.352246774097</v>
      </c>
      <c r="T154" s="14">
        <f t="shared" si="58"/>
        <v>40.776699029126213</v>
      </c>
      <c r="U154" s="14">
        <f>AVERAGE(Q153:Q155)</f>
        <v>927.04184109790549</v>
      </c>
      <c r="V154" s="14">
        <f>AVERAGE(R153:R155)</f>
        <v>1349.9027146064145</v>
      </c>
      <c r="W154" s="14">
        <f>AVERAGE(S153:S155)</f>
        <v>2276.94455570432</v>
      </c>
      <c r="X154" s="14">
        <f>AVERAGE(T153:T155)</f>
        <v>40.714413720930537</v>
      </c>
      <c r="Y154" s="14">
        <v>893.2</v>
      </c>
      <c r="Z154" s="14">
        <f>(U154/10000)/(Y154/1000)</f>
        <v>0.10378883129174939</v>
      </c>
      <c r="AA154" s="14">
        <v>729</v>
      </c>
      <c r="AB154" s="14">
        <f>AA154+264+119.9</f>
        <v>1112.9000000000001</v>
      </c>
      <c r="AC154" s="14">
        <f>(U154/10000)/(AB154/1000)</f>
        <v>8.3299653257067618E-2</v>
      </c>
      <c r="AD154" s="140">
        <v>3.81</v>
      </c>
      <c r="AE154" s="141">
        <v>1.18</v>
      </c>
      <c r="AF154" s="14">
        <f>AE154*25.4</f>
        <v>29.971999999999998</v>
      </c>
      <c r="AG154" s="140">
        <v>80.599999999999994</v>
      </c>
      <c r="AH154" s="140">
        <v>31.9</v>
      </c>
      <c r="AI154" s="140">
        <v>5.9</v>
      </c>
      <c r="AJ154" s="140">
        <v>9.8000000000000007</v>
      </c>
      <c r="AK154" s="139" t="s">
        <v>373</v>
      </c>
      <c r="AM154" s="14">
        <f t="shared" si="59"/>
        <v>0.20155038759689914</v>
      </c>
      <c r="AN154" s="14">
        <f t="shared" si="60"/>
        <v>510.74911083617957</v>
      </c>
      <c r="AO154" s="14">
        <f t="shared" si="61"/>
        <v>455.67963095671189</v>
      </c>
      <c r="AP154" s="138">
        <f>AVERAGE(AM153:AM155)</f>
        <v>0.19925228818394455</v>
      </c>
      <c r="AQ154" s="138">
        <f>AVERAGE(AN153:AN155)</f>
        <v>562.95031715455423</v>
      </c>
      <c r="AR154" s="138">
        <f>AVERAGE(AO153:AO155)</f>
        <v>502.25245100863305</v>
      </c>
    </row>
    <row r="155" spans="1:44" ht="16.5" thickBot="1" x14ac:dyDescent="0.25">
      <c r="A155" s="23"/>
      <c r="B155" s="22"/>
      <c r="C155" s="21" t="s">
        <v>356</v>
      </c>
      <c r="D155" s="20" t="s">
        <v>373</v>
      </c>
      <c r="E155" s="19">
        <v>15.8</v>
      </c>
      <c r="F155" s="121">
        <v>5.1758818623362659</v>
      </c>
      <c r="J155" s="14" t="s">
        <v>356</v>
      </c>
      <c r="K155" s="14" t="s">
        <v>373</v>
      </c>
      <c r="L155" s="14">
        <v>33.234421364985153</v>
      </c>
      <c r="M155" s="14">
        <v>48.367952522255202</v>
      </c>
      <c r="O155" s="14">
        <f t="shared" si="53"/>
        <v>0.33234421364985151</v>
      </c>
      <c r="P155" s="14">
        <f t="shared" si="54"/>
        <v>0.48367952522255203</v>
      </c>
      <c r="Q155" s="14">
        <f t="shared" si="55"/>
        <v>1084.7583221338466</v>
      </c>
      <c r="R155" s="14">
        <f t="shared" si="56"/>
        <v>1578.7107723912243</v>
      </c>
      <c r="S155" s="14">
        <f t="shared" si="57"/>
        <v>2663.4690945250709</v>
      </c>
      <c r="T155" s="14">
        <f t="shared" si="58"/>
        <v>40.727272727272712</v>
      </c>
      <c r="AD155" s="140"/>
      <c r="AE155" s="141"/>
      <c r="AG155" s="140"/>
      <c r="AH155" s="140"/>
      <c r="AI155" s="140"/>
      <c r="AJ155" s="140"/>
      <c r="AK155" s="139" t="s">
        <v>373</v>
      </c>
      <c r="AM155" s="14">
        <f t="shared" si="59"/>
        <v>0.18397626112759641</v>
      </c>
      <c r="AN155" s="14">
        <f t="shared" si="60"/>
        <v>600.49121403837955</v>
      </c>
      <c r="AO155" s="14">
        <f t="shared" si="61"/>
        <v>535.74565084954747</v>
      </c>
      <c r="AP155" s="138"/>
      <c r="AQ155" s="138"/>
      <c r="AR155" s="138"/>
    </row>
    <row r="156" spans="1:44" ht="15.75" x14ac:dyDescent="0.2">
      <c r="A156" s="34" t="s">
        <v>372</v>
      </c>
      <c r="B156" s="33">
        <v>4</v>
      </c>
      <c r="C156" s="32" t="s">
        <v>354</v>
      </c>
      <c r="D156" s="31" t="s">
        <v>371</v>
      </c>
      <c r="E156" s="30">
        <v>18.7</v>
      </c>
      <c r="F156" s="123">
        <v>5.3055822906641126</v>
      </c>
      <c r="H156" s="14" t="s">
        <v>372</v>
      </c>
      <c r="I156" s="14">
        <v>4</v>
      </c>
      <c r="J156" s="14" t="s">
        <v>354</v>
      </c>
      <c r="K156" s="14" t="s">
        <v>371</v>
      </c>
      <c r="L156" s="14">
        <v>34.328358208955223</v>
      </c>
      <c r="M156" s="14">
        <v>47.761194029850749</v>
      </c>
      <c r="O156" s="14">
        <f t="shared" si="53"/>
        <v>0.34328358208955223</v>
      </c>
      <c r="P156" s="14">
        <f t="shared" si="54"/>
        <v>0.47761194029850751</v>
      </c>
      <c r="Q156" s="14">
        <f t="shared" si="55"/>
        <v>1329.3659882645911</v>
      </c>
      <c r="R156" s="14">
        <f t="shared" si="56"/>
        <v>1849.5526793246488</v>
      </c>
      <c r="S156" s="14">
        <f t="shared" si="57"/>
        <v>3178.9186675892397</v>
      </c>
      <c r="T156" s="14">
        <f t="shared" si="58"/>
        <v>41.818181818181813</v>
      </c>
      <c r="AD156" s="140"/>
      <c r="AE156" s="141"/>
      <c r="AG156" s="140"/>
      <c r="AH156" s="140"/>
      <c r="AI156" s="140"/>
      <c r="AJ156" s="140"/>
      <c r="AK156" s="139" t="s">
        <v>371</v>
      </c>
      <c r="AM156" s="14">
        <f t="shared" si="59"/>
        <v>0.17910447761194026</v>
      </c>
      <c r="AN156" s="14">
        <f t="shared" si="60"/>
        <v>693.58225474674305</v>
      </c>
      <c r="AO156" s="14">
        <f t="shared" si="61"/>
        <v>618.79952245769448</v>
      </c>
      <c r="AP156" s="138"/>
      <c r="AQ156" s="138"/>
      <c r="AR156" s="138"/>
    </row>
    <row r="157" spans="1:44" ht="15.75" x14ac:dyDescent="0.2">
      <c r="A157" s="29"/>
      <c r="B157" s="28"/>
      <c r="C157" s="27" t="s">
        <v>355</v>
      </c>
      <c r="D157" s="26" t="s">
        <v>371</v>
      </c>
      <c r="E157" s="25">
        <v>19.899999999999999</v>
      </c>
      <c r="F157" s="122">
        <v>4.9975591896509632</v>
      </c>
      <c r="J157" s="14" t="s">
        <v>355</v>
      </c>
      <c r="K157" s="14" t="s">
        <v>371</v>
      </c>
      <c r="L157" s="14">
        <v>34.539089848308052</v>
      </c>
      <c r="M157" s="14">
        <v>48.5414235705951</v>
      </c>
      <c r="O157" s="14">
        <f t="shared" si="53"/>
        <v>0.34539089848308052</v>
      </c>
      <c r="P157" s="14">
        <f t="shared" si="54"/>
        <v>0.48541423570595099</v>
      </c>
      <c r="Q157" s="14">
        <f t="shared" si="55"/>
        <v>1429.7731875821273</v>
      </c>
      <c r="R157" s="14">
        <f t="shared" si="56"/>
        <v>2009.4109663316383</v>
      </c>
      <c r="S157" s="14">
        <f t="shared" si="57"/>
        <v>3439.1841539137658</v>
      </c>
      <c r="T157" s="14">
        <f t="shared" si="58"/>
        <v>41.573033707865164</v>
      </c>
      <c r="U157" s="14">
        <f>AVERAGE(Q156:Q158)</f>
        <v>1319.959411023618</v>
      </c>
      <c r="V157" s="14">
        <f>AVERAGE(R156:R158)</f>
        <v>1834.1994189248571</v>
      </c>
      <c r="W157" s="14">
        <f>AVERAGE(S156:S158)</f>
        <v>3154.1588299484752</v>
      </c>
      <c r="X157" s="14">
        <f>AVERAGE(T156:T158)</f>
        <v>41.868582799339769</v>
      </c>
      <c r="Y157" s="14">
        <v>944.9</v>
      </c>
      <c r="Z157" s="14">
        <f>(U157/10000)/(Y157/1000)</f>
        <v>0.13969302688365096</v>
      </c>
      <c r="AA157" s="14">
        <v>799.7</v>
      </c>
      <c r="AB157" s="14">
        <f>AA157+264+119.9</f>
        <v>1183.6000000000001</v>
      </c>
      <c r="AC157" s="14">
        <f>(U157/10000)/(AB157/1000)</f>
        <v>0.11152073428722691</v>
      </c>
      <c r="AD157" s="140">
        <v>4.13</v>
      </c>
      <c r="AE157" s="141">
        <v>1.1599999999999999</v>
      </c>
      <c r="AF157" s="14">
        <f>AE157*25.4</f>
        <v>29.463999999999995</v>
      </c>
      <c r="AG157" s="140">
        <v>80.3</v>
      </c>
      <c r="AH157" s="140">
        <v>31.3</v>
      </c>
      <c r="AI157" s="140">
        <v>5.7</v>
      </c>
      <c r="AJ157" s="140">
        <v>10.6</v>
      </c>
      <c r="AK157" s="139" t="s">
        <v>371</v>
      </c>
      <c r="AM157" s="14">
        <f t="shared" si="59"/>
        <v>0.16919486581096854</v>
      </c>
      <c r="AN157" s="14">
        <f t="shared" si="60"/>
        <v>700.39564932232599</v>
      </c>
      <c r="AO157" s="14">
        <f t="shared" si="61"/>
        <v>624.87829001674356</v>
      </c>
      <c r="AP157" s="138">
        <f>AVERAGE(AM156:AM158)</f>
        <v>0.17221488905463869</v>
      </c>
      <c r="AQ157" s="138">
        <f>AVERAGE(AN156:AN158)</f>
        <v>656.58070804382078</v>
      </c>
      <c r="AR157" s="138">
        <f>AVERAGE(AO156:AO158)</f>
        <v>585.78751952182802</v>
      </c>
    </row>
    <row r="158" spans="1:44" ht="16.5" thickBot="1" x14ac:dyDescent="0.25">
      <c r="A158" s="23"/>
      <c r="B158" s="22"/>
      <c r="C158" s="21" t="s">
        <v>356</v>
      </c>
      <c r="D158" s="20" t="s">
        <v>371</v>
      </c>
      <c r="E158" s="19">
        <v>16.5</v>
      </c>
      <c r="F158" s="121">
        <v>4.9533322416898615</v>
      </c>
      <c r="J158" s="14" t="s">
        <v>356</v>
      </c>
      <c r="K158" s="14" t="s">
        <v>371</v>
      </c>
      <c r="L158" s="14">
        <v>35.107913669064743</v>
      </c>
      <c r="M158" s="14">
        <v>48.057553956834532</v>
      </c>
      <c r="O158" s="14">
        <f t="shared" si="53"/>
        <v>0.35107913669064744</v>
      </c>
      <c r="P158" s="14">
        <f t="shared" si="54"/>
        <v>0.48057553956834531</v>
      </c>
      <c r="Q158" s="14">
        <f t="shared" si="55"/>
        <v>1200.7390572241356</v>
      </c>
      <c r="R158" s="14">
        <f t="shared" si="56"/>
        <v>1643.6346111182841</v>
      </c>
      <c r="S158" s="14">
        <f t="shared" si="57"/>
        <v>2844.3736683424195</v>
      </c>
      <c r="T158" s="14">
        <f t="shared" si="58"/>
        <v>42.214532871972324</v>
      </c>
      <c r="AD158" s="140"/>
      <c r="AE158" s="141"/>
      <c r="AG158" s="140"/>
      <c r="AH158" s="140"/>
      <c r="AI158" s="140"/>
      <c r="AJ158" s="140"/>
      <c r="AK158" s="139" t="s">
        <v>371</v>
      </c>
      <c r="AM158" s="14">
        <f t="shared" si="59"/>
        <v>0.1683453237410073</v>
      </c>
      <c r="AN158" s="14">
        <f t="shared" si="60"/>
        <v>575.76422006239329</v>
      </c>
      <c r="AO158" s="14">
        <f t="shared" si="61"/>
        <v>513.68474609104601</v>
      </c>
      <c r="AP158" s="138"/>
      <c r="AQ158" s="138"/>
      <c r="AR158" s="138"/>
    </row>
    <row r="159" spans="1:44" ht="16.5" thickBot="1" x14ac:dyDescent="0.25">
      <c r="A159" s="34" t="s">
        <v>367</v>
      </c>
      <c r="B159" s="33">
        <v>1</v>
      </c>
      <c r="C159" s="21" t="s">
        <v>354</v>
      </c>
      <c r="D159" s="20" t="s">
        <v>366</v>
      </c>
      <c r="E159" s="19">
        <v>18.3</v>
      </c>
      <c r="F159" s="121">
        <v>5.6155771226271067</v>
      </c>
      <c r="H159" s="14" t="s">
        <v>367</v>
      </c>
      <c r="I159" s="14">
        <v>1</v>
      </c>
      <c r="J159" s="14" t="s">
        <v>354</v>
      </c>
      <c r="K159" s="14" t="s">
        <v>370</v>
      </c>
      <c r="L159" s="14">
        <v>34.015345268542198</v>
      </c>
      <c r="M159" s="14">
        <v>48.593350383631723</v>
      </c>
      <c r="O159" s="14">
        <f t="shared" si="53"/>
        <v>0.34015345268542196</v>
      </c>
      <c r="P159" s="14">
        <f t="shared" si="54"/>
        <v>0.48593350383631723</v>
      </c>
      <c r="Q159" s="14">
        <f t="shared" si="55"/>
        <v>1284.2657372297026</v>
      </c>
      <c r="R159" s="14">
        <f t="shared" si="56"/>
        <v>1834.6653388995758</v>
      </c>
      <c r="S159" s="14">
        <f t="shared" si="57"/>
        <v>3118.9310761292782</v>
      </c>
      <c r="T159" s="14">
        <f t="shared" si="58"/>
        <v>41.17647058823529</v>
      </c>
      <c r="AD159" s="140"/>
      <c r="AE159" s="141"/>
      <c r="AG159" s="140"/>
      <c r="AH159" s="140"/>
      <c r="AI159" s="140"/>
      <c r="AJ159" s="140"/>
      <c r="AK159" s="139" t="s">
        <v>366</v>
      </c>
      <c r="AM159" s="14">
        <f t="shared" si="59"/>
        <v>0.17391304347826081</v>
      </c>
      <c r="AN159" s="14">
        <f t="shared" si="60"/>
        <v>656.61706865879523</v>
      </c>
      <c r="AO159" s="14">
        <f t="shared" si="61"/>
        <v>585.81995969893535</v>
      </c>
      <c r="AP159" s="138"/>
      <c r="AQ159" s="138"/>
      <c r="AR159" s="138"/>
    </row>
    <row r="160" spans="1:44" ht="16.5" thickBot="1" x14ac:dyDescent="0.25">
      <c r="A160" s="29"/>
      <c r="B160" s="28"/>
      <c r="C160" s="27" t="s">
        <v>355</v>
      </c>
      <c r="D160" s="26" t="s">
        <v>366</v>
      </c>
      <c r="E160" s="25">
        <v>17.5</v>
      </c>
      <c r="F160" s="122">
        <v>5.2833886041603693</v>
      </c>
      <c r="J160" s="14" t="s">
        <v>355</v>
      </c>
      <c r="K160" s="14" t="s">
        <v>370</v>
      </c>
      <c r="L160" s="14">
        <v>34.491978609625676</v>
      </c>
      <c r="M160" s="14">
        <v>47.860962566844925</v>
      </c>
      <c r="O160" s="14">
        <f t="shared" si="53"/>
        <v>0.34491978609625673</v>
      </c>
      <c r="P160" s="14">
        <f t="shared" si="54"/>
        <v>0.47860962566844928</v>
      </c>
      <c r="Q160" s="14">
        <f t="shared" si="55"/>
        <v>1248.5033251926402</v>
      </c>
      <c r="R160" s="14">
        <f t="shared" si="56"/>
        <v>1732.4193427091675</v>
      </c>
      <c r="S160" s="14">
        <f t="shared" si="57"/>
        <v>2980.9226679018075</v>
      </c>
      <c r="T160" s="14">
        <f t="shared" si="58"/>
        <v>41.883116883116884</v>
      </c>
      <c r="U160" s="14">
        <f>AVERAGE(Q159:Q161)</f>
        <v>1318.1471748869478</v>
      </c>
      <c r="V160" s="14">
        <f>AVERAGE(R159:R161)</f>
        <v>1834.6647145282288</v>
      </c>
      <c r="W160" s="14">
        <f>AVERAGE(S159:S161)</f>
        <v>3152.8118894151762</v>
      </c>
      <c r="X160" s="14">
        <f>AVERAGE(T159:T161)</f>
        <v>41.796377641965876</v>
      </c>
      <c r="Y160" s="14">
        <v>829.3</v>
      </c>
      <c r="Z160" s="14">
        <f>(U160/10000)/(Y160/1000)</f>
        <v>0.15894696429361485</v>
      </c>
      <c r="AA160" s="14">
        <v>638.4</v>
      </c>
      <c r="AB160" s="14">
        <f>AA160+264+119.9</f>
        <v>1022.3</v>
      </c>
      <c r="AC160" s="14">
        <f>(U160/10000)/(AB160/1000)</f>
        <v>0.12893936954777929</v>
      </c>
      <c r="AD160" s="140">
        <v>4.91</v>
      </c>
      <c r="AE160" s="141">
        <v>1.04</v>
      </c>
      <c r="AF160" s="14">
        <f>AE160*25.4</f>
        <v>26.416</v>
      </c>
      <c r="AG160" s="140">
        <v>78.7</v>
      </c>
      <c r="AH160" s="140">
        <v>28.2</v>
      </c>
      <c r="AI160" s="140">
        <v>6.1</v>
      </c>
      <c r="AJ160" s="140">
        <v>12.1</v>
      </c>
      <c r="AK160" s="139" t="s">
        <v>366</v>
      </c>
      <c r="AM160" s="14">
        <f t="shared" si="59"/>
        <v>0.17647058823529399</v>
      </c>
      <c r="AN160" s="14">
        <f t="shared" si="60"/>
        <v>638.76914312181532</v>
      </c>
      <c r="AO160" s="14">
        <f t="shared" si="61"/>
        <v>569.89641534127816</v>
      </c>
      <c r="AP160" s="138">
        <f>AVERAGE(AM159:AM161)</f>
        <v>0.17820821713742671</v>
      </c>
      <c r="AQ160" s="138">
        <f>AVERAGE(AN159:AN161)</f>
        <v>684.64319083505961</v>
      </c>
      <c r="AR160" s="138">
        <f>AVERAGE(AO159:AO161)</f>
        <v>610.82427735603267</v>
      </c>
    </row>
    <row r="161" spans="1:44" ht="16.5" thickBot="1" x14ac:dyDescent="0.25">
      <c r="A161" s="23"/>
      <c r="B161" s="22"/>
      <c r="C161" s="32" t="s">
        <v>356</v>
      </c>
      <c r="D161" s="31" t="s">
        <v>366</v>
      </c>
      <c r="E161" s="30">
        <v>20</v>
      </c>
      <c r="F161" s="123">
        <v>5.9944711188709503</v>
      </c>
      <c r="J161" s="14" t="s">
        <v>356</v>
      </c>
      <c r="K161" s="14" t="s">
        <v>370</v>
      </c>
      <c r="L161" s="14">
        <v>34.53070683661646</v>
      </c>
      <c r="M161" s="14">
        <v>47.045191193511023</v>
      </c>
      <c r="O161" s="14">
        <f t="shared" si="53"/>
        <v>0.34530706836616459</v>
      </c>
      <c r="P161" s="14">
        <f t="shared" si="54"/>
        <v>0.47045191193511021</v>
      </c>
      <c r="Q161" s="14">
        <f t="shared" si="55"/>
        <v>1421.6724622385002</v>
      </c>
      <c r="R161" s="14">
        <f t="shared" si="56"/>
        <v>1936.9094619759435</v>
      </c>
      <c r="S161" s="14">
        <f t="shared" si="57"/>
        <v>3358.5819242144435</v>
      </c>
      <c r="T161" s="14">
        <f t="shared" si="58"/>
        <v>42.329545454545453</v>
      </c>
      <c r="AD161" s="140"/>
      <c r="AE161" s="141"/>
      <c r="AG161" s="140"/>
      <c r="AH161" s="140"/>
      <c r="AI161" s="140"/>
      <c r="AJ161" s="140"/>
      <c r="AK161" s="139" t="s">
        <v>366</v>
      </c>
      <c r="AM161" s="14">
        <f t="shared" si="59"/>
        <v>0.18424101969872525</v>
      </c>
      <c r="AN161" s="14">
        <f t="shared" si="60"/>
        <v>758.54336072456829</v>
      </c>
      <c r="AO161" s="14">
        <f t="shared" si="61"/>
        <v>676.75645702788461</v>
      </c>
      <c r="AP161" s="138"/>
      <c r="AQ161" s="138"/>
      <c r="AR161" s="138"/>
    </row>
    <row r="162" spans="1:44" ht="16.5" thickBot="1" x14ac:dyDescent="0.25">
      <c r="A162" s="34" t="s">
        <v>367</v>
      </c>
      <c r="B162" s="33">
        <v>2</v>
      </c>
      <c r="C162" s="21" t="s">
        <v>354</v>
      </c>
      <c r="D162" s="20" t="s">
        <v>368</v>
      </c>
      <c r="E162" s="19">
        <v>22.8</v>
      </c>
      <c r="F162" s="121">
        <v>5.2026312157872834</v>
      </c>
      <c r="H162" s="14" t="s">
        <v>367</v>
      </c>
      <c r="I162" s="14">
        <v>2</v>
      </c>
      <c r="J162" s="14" t="s">
        <v>354</v>
      </c>
      <c r="K162" s="14" t="s">
        <v>369</v>
      </c>
      <c r="L162" s="14">
        <v>35.378323108384457</v>
      </c>
      <c r="M162" s="14">
        <v>47.034764826175881</v>
      </c>
      <c r="O162" s="14">
        <f t="shared" si="53"/>
        <v>0.35378323108384457</v>
      </c>
      <c r="P162" s="14">
        <f t="shared" si="54"/>
        <v>0.47034764826175879</v>
      </c>
      <c r="Q162" s="14">
        <f t="shared" si="55"/>
        <v>1678.4593128998408</v>
      </c>
      <c r="R162" s="14">
        <f t="shared" si="56"/>
        <v>2231.477699231003</v>
      </c>
      <c r="S162" s="14">
        <f t="shared" si="57"/>
        <v>3909.9370121308439</v>
      </c>
      <c r="T162" s="14">
        <f t="shared" si="58"/>
        <v>42.928039702233242</v>
      </c>
      <c r="AD162" s="140"/>
      <c r="AE162" s="141"/>
      <c r="AG162" s="140"/>
      <c r="AH162" s="140"/>
      <c r="AI162" s="140"/>
      <c r="AJ162" s="140"/>
      <c r="AK162" s="139" t="s">
        <v>368</v>
      </c>
      <c r="AM162" s="14">
        <f t="shared" si="59"/>
        <v>0.17586912065439664</v>
      </c>
      <c r="AN162" s="14">
        <f t="shared" si="60"/>
        <v>834.37861797333085</v>
      </c>
      <c r="AO162" s="14">
        <f t="shared" si="61"/>
        <v>744.41508100482838</v>
      </c>
      <c r="AP162" s="138"/>
      <c r="AQ162" s="138"/>
      <c r="AR162" s="138"/>
    </row>
    <row r="163" spans="1:44" ht="16.5" thickBot="1" x14ac:dyDescent="0.25">
      <c r="A163" s="29"/>
      <c r="B163" s="28"/>
      <c r="C163" s="27" t="s">
        <v>355</v>
      </c>
      <c r="D163" s="26" t="s">
        <v>368</v>
      </c>
      <c r="E163" s="25">
        <v>23.5</v>
      </c>
      <c r="F163" s="122">
        <v>5.4580019010455869</v>
      </c>
      <c r="J163" s="14" t="s">
        <v>355</v>
      </c>
      <c r="K163" s="14" t="s">
        <v>369</v>
      </c>
      <c r="L163" s="14">
        <v>35.387673956262425</v>
      </c>
      <c r="M163" s="14">
        <v>47.316103379721675</v>
      </c>
      <c r="O163" s="14">
        <f t="shared" ref="O163:O194" si="62">L163/100</f>
        <v>0.35387673956262428</v>
      </c>
      <c r="P163" s="14">
        <f t="shared" ref="P163:P194" si="63">M163/100</f>
        <v>0.47316103379721675</v>
      </c>
      <c r="Q163" s="14">
        <f t="shared" ref="Q163:Q194" si="64">(E163-0.38)*0.453592*(1-F163/100)*(L163/100)/(40*2.54/100*2*10/10000)</f>
        <v>1726.6579252324632</v>
      </c>
      <c r="R163" s="14">
        <f t="shared" ref="R163:R194" si="65">(E163-0.38)*0.453592*(1-F163/100)*(M163/100)/(40*2.54/100*2*10/10000)</f>
        <v>2308.6774505917206</v>
      </c>
      <c r="S163" s="14">
        <f t="shared" ref="S163:S194" si="66">SUM(Q163:R163)</f>
        <v>4035.3353758241838</v>
      </c>
      <c r="T163" s="14">
        <f t="shared" ref="T163:T194" si="67">Q163/S163*100</f>
        <v>42.788461538461533</v>
      </c>
      <c r="U163" s="14">
        <f>AVERAGE(Q162:Q164)</f>
        <v>1694.8435070526209</v>
      </c>
      <c r="V163" s="14">
        <f>AVERAGE(R162:R164)</f>
        <v>2263.0082203335423</v>
      </c>
      <c r="W163" s="14">
        <f>AVERAGE(S162:S164)</f>
        <v>3957.851727386163</v>
      </c>
      <c r="X163" s="14">
        <f>AVERAGE(T162:T164)</f>
        <v>42.822781330845849</v>
      </c>
      <c r="Y163" s="14">
        <v>1079.5999999999999</v>
      </c>
      <c r="Z163" s="14">
        <f>(U163/10000)/(Y163/1000)</f>
        <v>0.15698809809676004</v>
      </c>
      <c r="AA163" s="14">
        <v>941</v>
      </c>
      <c r="AB163" s="14">
        <f>AA163+264+119.9</f>
        <v>1324.9</v>
      </c>
      <c r="AC163" s="14">
        <f>(U163/10000)/(AB163/1000)</f>
        <v>0.12792237203204926</v>
      </c>
      <c r="AD163" s="140">
        <v>4.2699999999999996</v>
      </c>
      <c r="AE163" s="141">
        <v>1.1599999999999999</v>
      </c>
      <c r="AF163" s="14">
        <f>AE163*25.4</f>
        <v>29.463999999999995</v>
      </c>
      <c r="AG163" s="140">
        <v>83</v>
      </c>
      <c r="AH163" s="140">
        <v>31.8</v>
      </c>
      <c r="AI163" s="140">
        <v>6</v>
      </c>
      <c r="AJ163" s="140">
        <v>8.9</v>
      </c>
      <c r="AK163" s="139" t="s">
        <v>368</v>
      </c>
      <c r="AM163" s="14">
        <f t="shared" ref="AM163:AM194" si="68">1-O163-P163</f>
        <v>0.17296222664015892</v>
      </c>
      <c r="AN163" s="14">
        <f t="shared" ref="AN163:AN194" si="69">(E163-0.38)*0.453592*(1-F163/100)*(AM163)/(40*2.54/100*2*10/10000)</f>
        <v>843.92831177092228</v>
      </c>
      <c r="AO163" s="14">
        <f t="shared" ref="AO163:AO194" si="70">AN163*0.892179</f>
        <v>752.93511726746976</v>
      </c>
      <c r="AP163" s="138">
        <f>AVERAGE(AM162:AM164)</f>
        <v>0.17330359234326323</v>
      </c>
      <c r="AQ163" s="138">
        <f>AVERAGE(AN162:AN164)</f>
        <v>829.68605660851915</v>
      </c>
      <c r="AR163" s="138">
        <f>AVERAGE(AO162:AO164)</f>
        <v>740.22847629893204</v>
      </c>
    </row>
    <row r="164" spans="1:44" ht="16.5" thickBot="1" x14ac:dyDescent="0.25">
      <c r="A164" s="23"/>
      <c r="B164" s="22"/>
      <c r="C164" s="32" t="s">
        <v>356</v>
      </c>
      <c r="D164" s="31" t="s">
        <v>368</v>
      </c>
      <c r="E164" s="30">
        <v>22.7</v>
      </c>
      <c r="F164" s="123">
        <v>4.8839175391819074</v>
      </c>
      <c r="J164" s="14" t="s">
        <v>356</v>
      </c>
      <c r="K164" s="14" t="s">
        <v>369</v>
      </c>
      <c r="L164" s="14">
        <v>35.437881873727086</v>
      </c>
      <c r="M164" s="14">
        <v>47.454175152749492</v>
      </c>
      <c r="O164" s="14">
        <f t="shared" si="62"/>
        <v>0.35437881873727084</v>
      </c>
      <c r="P164" s="14">
        <f t="shared" si="63"/>
        <v>0.47454175152749495</v>
      </c>
      <c r="Q164" s="14">
        <f t="shared" si="64"/>
        <v>1679.4132830255583</v>
      </c>
      <c r="R164" s="14">
        <f t="shared" si="65"/>
        <v>2248.8695111779034</v>
      </c>
      <c r="S164" s="14">
        <f t="shared" si="66"/>
        <v>3928.2827942034619</v>
      </c>
      <c r="T164" s="14">
        <f t="shared" si="67"/>
        <v>42.751842751842744</v>
      </c>
      <c r="AD164" s="140"/>
      <c r="AE164" s="141"/>
      <c r="AG164" s="140"/>
      <c r="AH164" s="140"/>
      <c r="AI164" s="140"/>
      <c r="AJ164" s="140"/>
      <c r="AK164" s="139" t="s">
        <v>368</v>
      </c>
      <c r="AM164" s="14">
        <f t="shared" si="68"/>
        <v>0.17107942973523421</v>
      </c>
      <c r="AN164" s="14">
        <f t="shared" si="69"/>
        <v>810.7512400813041</v>
      </c>
      <c r="AO164" s="14">
        <f t="shared" si="70"/>
        <v>723.33523062449785</v>
      </c>
      <c r="AP164" s="138"/>
      <c r="AQ164" s="138"/>
      <c r="AR164" s="138"/>
    </row>
    <row r="165" spans="1:44" ht="16.5" thickBot="1" x14ac:dyDescent="0.25">
      <c r="A165" s="34" t="s">
        <v>367</v>
      </c>
      <c r="B165" s="33">
        <v>3</v>
      </c>
      <c r="C165" s="21" t="s">
        <v>354</v>
      </c>
      <c r="D165" s="20" t="s">
        <v>369</v>
      </c>
      <c r="E165" s="19">
        <v>11.4</v>
      </c>
      <c r="F165" s="121">
        <v>5.3165102987167119</v>
      </c>
      <c r="H165" s="14" t="s">
        <v>367</v>
      </c>
      <c r="I165" s="14">
        <v>3</v>
      </c>
      <c r="J165" s="14" t="s">
        <v>354</v>
      </c>
      <c r="K165" s="14" t="s">
        <v>368</v>
      </c>
      <c r="L165" s="14">
        <v>31.35593220338983</v>
      </c>
      <c r="M165" s="14">
        <v>46.610169491525426</v>
      </c>
      <c r="O165" s="14">
        <f t="shared" si="62"/>
        <v>0.3135593220338983</v>
      </c>
      <c r="P165" s="14">
        <f t="shared" si="63"/>
        <v>0.46610169491525427</v>
      </c>
      <c r="Q165" s="14">
        <f t="shared" si="64"/>
        <v>730.3268207334645</v>
      </c>
      <c r="R165" s="14">
        <f t="shared" si="65"/>
        <v>1085.6209497389336</v>
      </c>
      <c r="S165" s="14">
        <f t="shared" si="66"/>
        <v>1815.9477704723981</v>
      </c>
      <c r="T165" s="14">
        <f t="shared" si="67"/>
        <v>40.217391304347828</v>
      </c>
      <c r="AD165" s="140"/>
      <c r="AE165" s="141"/>
      <c r="AG165" s="140"/>
      <c r="AH165" s="140"/>
      <c r="AI165" s="140"/>
      <c r="AJ165" s="140"/>
      <c r="AK165" s="139" t="s">
        <v>369</v>
      </c>
      <c r="AM165" s="14">
        <f t="shared" si="68"/>
        <v>0.22033898305084737</v>
      </c>
      <c r="AN165" s="14">
        <f t="shared" si="69"/>
        <v>513.20263078567757</v>
      </c>
      <c r="AO165" s="14">
        <f t="shared" si="70"/>
        <v>457.86860993173508</v>
      </c>
      <c r="AP165" s="138"/>
      <c r="AQ165" s="138"/>
      <c r="AR165" s="138"/>
    </row>
    <row r="166" spans="1:44" ht="16.5" thickBot="1" x14ac:dyDescent="0.25">
      <c r="A166" s="29"/>
      <c r="B166" s="28"/>
      <c r="C166" s="27" t="s">
        <v>355</v>
      </c>
      <c r="D166" s="26" t="s">
        <v>369</v>
      </c>
      <c r="E166" s="25">
        <v>10.3</v>
      </c>
      <c r="F166" s="122">
        <v>6.0513796384395757</v>
      </c>
      <c r="J166" s="14" t="s">
        <v>355</v>
      </c>
      <c r="K166" s="14" t="s">
        <v>368</v>
      </c>
      <c r="L166" s="14">
        <v>30.516431924882632</v>
      </c>
      <c r="M166" s="14">
        <v>46.009389671361511</v>
      </c>
      <c r="O166" s="14">
        <f t="shared" si="62"/>
        <v>0.30516431924882631</v>
      </c>
      <c r="P166" s="14">
        <f t="shared" si="63"/>
        <v>0.46009389671361511</v>
      </c>
      <c r="Q166" s="14">
        <f t="shared" si="64"/>
        <v>634.85934237689878</v>
      </c>
      <c r="R166" s="14">
        <f t="shared" si="65"/>
        <v>957.1725469682475</v>
      </c>
      <c r="S166" s="14">
        <f t="shared" si="66"/>
        <v>1592.0318893451463</v>
      </c>
      <c r="T166" s="14">
        <f t="shared" si="67"/>
        <v>39.877300613496928</v>
      </c>
      <c r="U166" s="14">
        <f>AVERAGE(Q165:Q167)</f>
        <v>711.60318296362095</v>
      </c>
      <c r="V166" s="14">
        <f>AVERAGE(R165:R167)</f>
        <v>1060.8718243720916</v>
      </c>
      <c r="W166" s="14">
        <f>AVERAGE(S165:S167)</f>
        <v>1772.4750073357129</v>
      </c>
      <c r="X166" s="14">
        <f>AVERAGE(T165:T167)</f>
        <v>40.133604788941447</v>
      </c>
      <c r="Y166" s="14">
        <v>957</v>
      </c>
      <c r="Z166" s="14">
        <f>(U166/10000)/(Y166/1000)</f>
        <v>7.4357699369239402E-2</v>
      </c>
      <c r="AA166" s="14">
        <v>819.7</v>
      </c>
      <c r="AB166" s="14">
        <f>AA166+264+119.9</f>
        <v>1203.6000000000001</v>
      </c>
      <c r="AC166" s="14">
        <f>(U166/10000)/(AB166/1000)</f>
        <v>5.9122896557296516E-2</v>
      </c>
      <c r="AD166" s="140">
        <v>3.39</v>
      </c>
      <c r="AE166" s="141">
        <v>1.1200000000000001</v>
      </c>
      <c r="AF166" s="14">
        <f>AE166*25.4</f>
        <v>28.448</v>
      </c>
      <c r="AG166" s="140">
        <v>79.599999999999994</v>
      </c>
      <c r="AH166" s="140">
        <v>30.4</v>
      </c>
      <c r="AI166" s="140">
        <v>6.1</v>
      </c>
      <c r="AJ166" s="140">
        <v>11.1</v>
      </c>
      <c r="AK166" s="139" t="s">
        <v>369</v>
      </c>
      <c r="AM166" s="14">
        <f t="shared" si="68"/>
        <v>0.23474178403755863</v>
      </c>
      <c r="AN166" s="14">
        <f t="shared" si="69"/>
        <v>488.35334028992202</v>
      </c>
      <c r="AO166" s="14">
        <f t="shared" si="70"/>
        <v>435.69859478652234</v>
      </c>
      <c r="AP166" s="138">
        <f>AVERAGE(AM165:AM167)</f>
        <v>0.21836025569613529</v>
      </c>
      <c r="AQ166" s="138">
        <f>AVERAGE(AN165:AN167)</f>
        <v>492.97243720766596</v>
      </c>
      <c r="AR166" s="138">
        <f>AVERAGE(AO165:AO167)</f>
        <v>439.81965605549823</v>
      </c>
    </row>
    <row r="167" spans="1:44" ht="16.5" thickBot="1" x14ac:dyDescent="0.25">
      <c r="A167" s="23"/>
      <c r="B167" s="22"/>
      <c r="C167" s="32" t="s">
        <v>356</v>
      </c>
      <c r="D167" s="31" t="s">
        <v>369</v>
      </c>
      <c r="E167" s="30">
        <v>11.7</v>
      </c>
      <c r="F167" s="123">
        <v>5.544089388655606</v>
      </c>
      <c r="J167" s="14" t="s">
        <v>356</v>
      </c>
      <c r="K167" s="14" t="s">
        <v>368</v>
      </c>
      <c r="L167" s="14">
        <v>32.244897959183675</v>
      </c>
      <c r="M167" s="14">
        <v>47.755102040816325</v>
      </c>
      <c r="O167" s="14">
        <f t="shared" si="62"/>
        <v>0.32244897959183677</v>
      </c>
      <c r="P167" s="14">
        <f t="shared" si="63"/>
        <v>0.47755102040816327</v>
      </c>
      <c r="Q167" s="14">
        <f t="shared" si="64"/>
        <v>769.62338578049969</v>
      </c>
      <c r="R167" s="14">
        <f t="shared" si="65"/>
        <v>1139.8219764090943</v>
      </c>
      <c r="S167" s="14">
        <f t="shared" si="66"/>
        <v>1909.4453621895941</v>
      </c>
      <c r="T167" s="14">
        <f t="shared" si="67"/>
        <v>40.306122448979593</v>
      </c>
      <c r="AD167" s="140"/>
      <c r="AE167" s="141"/>
      <c r="AG167" s="140"/>
      <c r="AH167" s="140"/>
      <c r="AI167" s="140"/>
      <c r="AJ167" s="140"/>
      <c r="AK167" s="139" t="s">
        <v>369</v>
      </c>
      <c r="AM167" s="14">
        <f t="shared" si="68"/>
        <v>0.1999999999999999</v>
      </c>
      <c r="AN167" s="14">
        <f t="shared" si="69"/>
        <v>477.36134054739824</v>
      </c>
      <c r="AO167" s="14">
        <f t="shared" si="70"/>
        <v>425.89176344823727</v>
      </c>
      <c r="AP167" s="138"/>
      <c r="AQ167" s="138"/>
      <c r="AR167" s="138"/>
    </row>
    <row r="168" spans="1:44" ht="16.5" thickBot="1" x14ac:dyDescent="0.25">
      <c r="A168" s="34" t="s">
        <v>367</v>
      </c>
      <c r="B168" s="33">
        <v>4</v>
      </c>
      <c r="C168" s="21" t="s">
        <v>354</v>
      </c>
      <c r="D168" s="20" t="s">
        <v>370</v>
      </c>
      <c r="E168" s="19">
        <v>16.8</v>
      </c>
      <c r="F168" s="121">
        <v>4.5208984930338456</v>
      </c>
      <c r="H168" s="14" t="s">
        <v>367</v>
      </c>
      <c r="I168" s="14">
        <v>4</v>
      </c>
      <c r="J168" s="14" t="s">
        <v>354</v>
      </c>
      <c r="K168" s="14" t="s">
        <v>366</v>
      </c>
      <c r="L168" s="14">
        <v>35.211267605633807</v>
      </c>
      <c r="M168" s="14">
        <v>48.169014084507047</v>
      </c>
      <c r="O168" s="14">
        <f t="shared" si="62"/>
        <v>0.35211267605633806</v>
      </c>
      <c r="P168" s="14">
        <f t="shared" si="63"/>
        <v>0.48169014084507045</v>
      </c>
      <c r="Q168" s="14">
        <f t="shared" si="64"/>
        <v>1232.2670018237754</v>
      </c>
      <c r="R168" s="14">
        <f t="shared" si="65"/>
        <v>1685.7412584949248</v>
      </c>
      <c r="S168" s="14">
        <f t="shared" si="66"/>
        <v>2918.0082603187002</v>
      </c>
      <c r="T168" s="14">
        <f t="shared" si="67"/>
        <v>42.229729729729733</v>
      </c>
      <c r="AD168" s="140"/>
      <c r="AE168" s="141"/>
      <c r="AG168" s="140"/>
      <c r="AH168" s="140"/>
      <c r="AI168" s="140"/>
      <c r="AJ168" s="140"/>
      <c r="AK168" s="139" t="s">
        <v>370</v>
      </c>
      <c r="AM168" s="14">
        <f t="shared" si="68"/>
        <v>0.16619718309859155</v>
      </c>
      <c r="AN168" s="14">
        <f t="shared" si="69"/>
        <v>581.63002486082189</v>
      </c>
      <c r="AO168" s="14">
        <f t="shared" si="70"/>
        <v>518.91809395030327</v>
      </c>
      <c r="AP168" s="138"/>
      <c r="AQ168" s="138"/>
      <c r="AR168" s="138"/>
    </row>
    <row r="169" spans="1:44" ht="16.5" thickBot="1" x14ac:dyDescent="0.25">
      <c r="A169" s="35"/>
      <c r="B169" s="28"/>
      <c r="C169" s="27" t="s">
        <v>355</v>
      </c>
      <c r="D169" s="26" t="s">
        <v>370</v>
      </c>
      <c r="E169" s="25">
        <v>18.3</v>
      </c>
      <c r="F169" s="122">
        <v>5.1187275985663163</v>
      </c>
      <c r="J169" s="14" t="s">
        <v>355</v>
      </c>
      <c r="K169" s="14" t="s">
        <v>366</v>
      </c>
      <c r="L169" s="14">
        <v>35.339308578745197</v>
      </c>
      <c r="M169" s="14">
        <v>48.911651728553139</v>
      </c>
      <c r="O169" s="14">
        <f t="shared" si="62"/>
        <v>0.35339308578745199</v>
      </c>
      <c r="P169" s="14">
        <f t="shared" si="63"/>
        <v>0.4891165172855314</v>
      </c>
      <c r="Q169" s="14">
        <f t="shared" si="64"/>
        <v>1341.2762554232579</v>
      </c>
      <c r="R169" s="14">
        <f t="shared" si="65"/>
        <v>1856.4040926510311</v>
      </c>
      <c r="S169" s="14">
        <f t="shared" si="66"/>
        <v>3197.6803480742892</v>
      </c>
      <c r="T169" s="14">
        <f t="shared" si="67"/>
        <v>41.945288753799389</v>
      </c>
      <c r="U169" s="14">
        <f>AVERAGE(Q168:Q170)</f>
        <v>1332.8231533233914</v>
      </c>
      <c r="V169" s="14">
        <f>AVERAGE(R168:R170)</f>
        <v>1831.3663511688076</v>
      </c>
      <c r="W169" s="14">
        <f>AVERAGE(S168:S170)</f>
        <v>3164.1895044921985</v>
      </c>
      <c r="X169" s="14">
        <f>AVERAGE(T168:T170)</f>
        <v>42.123850091812216</v>
      </c>
      <c r="Y169" s="14">
        <v>820.7</v>
      </c>
      <c r="Z169" s="14">
        <f>(U169/10000)/(Y169/1000)</f>
        <v>0.16240077413468884</v>
      </c>
      <c r="AA169" s="14">
        <v>618.4</v>
      </c>
      <c r="AB169" s="14">
        <f>AA169+264+119.9</f>
        <v>1002.3</v>
      </c>
      <c r="AC169" s="14">
        <f>(U169/10000)/(AB169/1000)</f>
        <v>0.13297646945259817</v>
      </c>
      <c r="AD169" s="140">
        <v>4.46</v>
      </c>
      <c r="AE169" s="141">
        <v>1.1000000000000001</v>
      </c>
      <c r="AF169" s="14">
        <f>AE169*25.4</f>
        <v>27.94</v>
      </c>
      <c r="AG169" s="140">
        <v>79</v>
      </c>
      <c r="AH169" s="140">
        <v>30.6</v>
      </c>
      <c r="AI169" s="140">
        <v>6.2</v>
      </c>
      <c r="AJ169" s="140">
        <v>11.1</v>
      </c>
      <c r="AK169" s="139" t="s">
        <v>370</v>
      </c>
      <c r="AM169" s="14">
        <f t="shared" si="68"/>
        <v>0.15749039692701661</v>
      </c>
      <c r="AN169" s="14">
        <f t="shared" si="69"/>
        <v>597.7426790473213</v>
      </c>
      <c r="AO169" s="14">
        <f t="shared" si="70"/>
        <v>533.29346564976015</v>
      </c>
      <c r="AP169" s="138">
        <f>AVERAGE(AM168:AM170)</f>
        <v>0.16465045633147771</v>
      </c>
      <c r="AQ169" s="138">
        <f>AVERAGE(AN168:AN170)</f>
        <v>624.10542274870295</v>
      </c>
      <c r="AR169" s="138">
        <f>AVERAGE(AO168:AO170)</f>
        <v>556.8137519625152</v>
      </c>
    </row>
    <row r="170" spans="1:44" ht="16.5" thickBot="1" x14ac:dyDescent="0.25">
      <c r="A170" s="23"/>
      <c r="B170" s="22"/>
      <c r="C170" s="32" t="s">
        <v>356</v>
      </c>
      <c r="D170" s="31" t="s">
        <v>370</v>
      </c>
      <c r="E170" s="30">
        <v>19.600000000000001</v>
      </c>
      <c r="F170" s="123">
        <v>5.1405710527757966</v>
      </c>
      <c r="J170" s="14" t="s">
        <v>356</v>
      </c>
      <c r="K170" s="14" t="s">
        <v>366</v>
      </c>
      <c r="L170" s="14">
        <v>35.011990407673856</v>
      </c>
      <c r="M170" s="14">
        <v>47.961630695443645</v>
      </c>
      <c r="O170" s="14">
        <f t="shared" si="62"/>
        <v>0.35011990407673854</v>
      </c>
      <c r="P170" s="14">
        <f t="shared" si="63"/>
        <v>0.47961630695443647</v>
      </c>
      <c r="Q170" s="14">
        <f t="shared" si="64"/>
        <v>1424.9262027231402</v>
      </c>
      <c r="R170" s="14">
        <f t="shared" si="65"/>
        <v>1951.9537023604667</v>
      </c>
      <c r="S170" s="14">
        <f t="shared" si="66"/>
        <v>3376.8799050836069</v>
      </c>
      <c r="T170" s="14">
        <f t="shared" si="67"/>
        <v>42.19653179190751</v>
      </c>
      <c r="AD170" s="140"/>
      <c r="AE170" s="141"/>
      <c r="AG170" s="140"/>
      <c r="AH170" s="140"/>
      <c r="AI170" s="140"/>
      <c r="AJ170" s="140"/>
      <c r="AK170" s="139" t="s">
        <v>370</v>
      </c>
      <c r="AM170" s="14">
        <f t="shared" si="68"/>
        <v>0.17026378896882499</v>
      </c>
      <c r="AN170" s="14">
        <f t="shared" si="69"/>
        <v>692.94356433796577</v>
      </c>
      <c r="AO170" s="14">
        <f t="shared" si="70"/>
        <v>618.22969628748194</v>
      </c>
      <c r="AP170" s="138"/>
      <c r="AQ170" s="138"/>
      <c r="AR170" s="138"/>
    </row>
    <row r="171" spans="1:44" ht="15.75" x14ac:dyDescent="0.2">
      <c r="A171" s="34" t="s">
        <v>362</v>
      </c>
      <c r="B171" s="33">
        <v>1</v>
      </c>
      <c r="C171" s="32" t="s">
        <v>354</v>
      </c>
      <c r="D171" s="31" t="s">
        <v>365</v>
      </c>
      <c r="E171" s="30">
        <v>22.8</v>
      </c>
      <c r="F171" s="123">
        <v>4.9724071229447473</v>
      </c>
      <c r="H171" s="14" t="s">
        <v>362</v>
      </c>
      <c r="I171" s="14">
        <v>1</v>
      </c>
      <c r="J171" s="14" t="s">
        <v>354</v>
      </c>
      <c r="K171" s="14" t="s">
        <v>365</v>
      </c>
      <c r="L171" s="14">
        <v>35.641547861507128</v>
      </c>
      <c r="M171" s="14">
        <v>47.861507128309569</v>
      </c>
      <c r="O171" s="14">
        <f t="shared" si="62"/>
        <v>0.35641547861507128</v>
      </c>
      <c r="P171" s="14">
        <f t="shared" si="63"/>
        <v>0.47861507128309566</v>
      </c>
      <c r="Q171" s="14">
        <f t="shared" si="64"/>
        <v>1695.0541469499503</v>
      </c>
      <c r="R171" s="14">
        <f t="shared" si="65"/>
        <v>2276.2155687613613</v>
      </c>
      <c r="S171" s="14">
        <f t="shared" si="66"/>
        <v>3971.2697157113116</v>
      </c>
      <c r="T171" s="14">
        <f t="shared" si="67"/>
        <v>42.682926829268297</v>
      </c>
      <c r="AD171" s="140"/>
      <c r="AE171" s="141"/>
      <c r="AG171" s="140"/>
      <c r="AH171" s="140"/>
      <c r="AI171" s="140"/>
      <c r="AJ171" s="140"/>
      <c r="AK171" s="139" t="s">
        <v>365</v>
      </c>
      <c r="AM171" s="14">
        <f t="shared" si="68"/>
        <v>0.16496945010183306</v>
      </c>
      <c r="AN171" s="14">
        <f t="shared" si="69"/>
        <v>784.56791944540589</v>
      </c>
      <c r="AO171" s="14">
        <f t="shared" si="70"/>
        <v>699.97502180288279</v>
      </c>
      <c r="AP171" s="138"/>
      <c r="AQ171" s="138"/>
      <c r="AR171" s="138"/>
    </row>
    <row r="172" spans="1:44" ht="15.75" x14ac:dyDescent="0.2">
      <c r="A172" s="35"/>
      <c r="B172" s="28"/>
      <c r="C172" s="27" t="s">
        <v>355</v>
      </c>
      <c r="D172" s="26" t="s">
        <v>365</v>
      </c>
      <c r="E172" s="25">
        <v>20.2</v>
      </c>
      <c r="F172" s="122">
        <v>5.1556479726010513</v>
      </c>
      <c r="J172" s="14" t="s">
        <v>355</v>
      </c>
      <c r="K172" s="14" t="s">
        <v>365</v>
      </c>
      <c r="L172" s="14">
        <v>35.212888377445339</v>
      </c>
      <c r="M172" s="14">
        <v>48.561565017261231</v>
      </c>
      <c r="O172" s="14">
        <f t="shared" si="62"/>
        <v>0.35212888377445339</v>
      </c>
      <c r="P172" s="14">
        <f t="shared" si="63"/>
        <v>0.48561565017261232</v>
      </c>
      <c r="Q172" s="14">
        <f t="shared" si="64"/>
        <v>1477.605356040059</v>
      </c>
      <c r="R172" s="14">
        <f t="shared" si="65"/>
        <v>2037.7433341467483</v>
      </c>
      <c r="S172" s="14">
        <f t="shared" si="66"/>
        <v>3515.3486901868073</v>
      </c>
      <c r="T172" s="14">
        <f t="shared" si="67"/>
        <v>42.032967032967029</v>
      </c>
      <c r="U172" s="14">
        <f>AVERAGE(Q171:Q173)</f>
        <v>1500.3513412242594</v>
      </c>
      <c r="V172" s="14">
        <f>AVERAGE(R171:R173)</f>
        <v>2050.5792628882414</v>
      </c>
      <c r="W172" s="14">
        <f>AVERAGE(S171:S173)</f>
        <v>3550.9306041125005</v>
      </c>
      <c r="X172" s="14">
        <f>AVERAGE(T171:T173)</f>
        <v>42.223909941460143</v>
      </c>
      <c r="Y172" s="14">
        <v>878.5</v>
      </c>
      <c r="Z172" s="14">
        <f>(U172/10000)/(Y172/1000)</f>
        <v>0.17078558238181668</v>
      </c>
      <c r="AA172" s="14">
        <v>689</v>
      </c>
      <c r="AB172" s="14">
        <f>AA172+264+119.9</f>
        <v>1072.9000000000001</v>
      </c>
      <c r="AC172" s="14">
        <f>(U172/10000)/(AB172/1000)</f>
        <v>0.13984074389265161</v>
      </c>
      <c r="AD172" s="140">
        <v>4.67</v>
      </c>
      <c r="AE172" s="141">
        <v>1.1000000000000001</v>
      </c>
      <c r="AF172" s="14">
        <f>AE172*25.4</f>
        <v>27.94</v>
      </c>
      <c r="AG172" s="140">
        <v>80.2</v>
      </c>
      <c r="AH172" s="140">
        <v>30.4</v>
      </c>
      <c r="AI172" s="140">
        <v>5.8</v>
      </c>
      <c r="AJ172" s="140">
        <v>10.1</v>
      </c>
      <c r="AK172" s="139" t="s">
        <v>365</v>
      </c>
      <c r="AM172" s="14">
        <f t="shared" si="68"/>
        <v>0.16225546605293428</v>
      </c>
      <c r="AN172" s="14">
        <f t="shared" si="69"/>
        <v>680.85736994002673</v>
      </c>
      <c r="AO172" s="14">
        <f t="shared" si="70"/>
        <v>607.44664745572311</v>
      </c>
      <c r="AP172" s="138">
        <f>AVERAGE(AM171:AM173)</f>
        <v>0.16866046427956838</v>
      </c>
      <c r="AQ172" s="138">
        <f>AVERAGE(AN171:AN173)</f>
        <v>718.19745718138768</v>
      </c>
      <c r="AR172" s="138">
        <f>AVERAGE(AO171:AO173)</f>
        <v>640.76068915063331</v>
      </c>
    </row>
    <row r="173" spans="1:44" ht="16.5" thickBot="1" x14ac:dyDescent="0.25">
      <c r="A173" s="23"/>
      <c r="B173" s="22"/>
      <c r="C173" s="21" t="s">
        <v>356</v>
      </c>
      <c r="D173" s="20" t="s">
        <v>365</v>
      </c>
      <c r="E173" s="19">
        <v>18.600000000000001</v>
      </c>
      <c r="F173" s="121">
        <v>5.2077822841356518</v>
      </c>
      <c r="J173" s="14" t="s">
        <v>356</v>
      </c>
      <c r="K173" s="14" t="s">
        <v>365</v>
      </c>
      <c r="L173" s="14">
        <v>34.455958549222792</v>
      </c>
      <c r="M173" s="14">
        <v>47.668393782383426</v>
      </c>
      <c r="O173" s="14">
        <f t="shared" si="62"/>
        <v>0.34455958549222793</v>
      </c>
      <c r="P173" s="14">
        <f t="shared" si="63"/>
        <v>0.47668393782383428</v>
      </c>
      <c r="Q173" s="14">
        <f t="shared" si="64"/>
        <v>1328.3945206827696</v>
      </c>
      <c r="R173" s="14">
        <f t="shared" si="65"/>
        <v>1837.7788857566138</v>
      </c>
      <c r="S173" s="14">
        <f t="shared" si="66"/>
        <v>3166.1734064393831</v>
      </c>
      <c r="T173" s="14">
        <f t="shared" si="67"/>
        <v>41.955835962145109</v>
      </c>
      <c r="AD173" s="140"/>
      <c r="AE173" s="141"/>
      <c r="AG173" s="140"/>
      <c r="AH173" s="140"/>
      <c r="AI173" s="140"/>
      <c r="AJ173" s="140"/>
      <c r="AK173" s="139" t="s">
        <v>365</v>
      </c>
      <c r="AM173" s="14">
        <f t="shared" si="68"/>
        <v>0.17875647668393785</v>
      </c>
      <c r="AN173" s="14">
        <f t="shared" si="69"/>
        <v>689.16708215873018</v>
      </c>
      <c r="AO173" s="14">
        <f t="shared" si="70"/>
        <v>614.8603981932938</v>
      </c>
      <c r="AP173" s="138"/>
      <c r="AQ173" s="138"/>
      <c r="AR173" s="138"/>
    </row>
    <row r="174" spans="1:44" ht="15.75" x14ac:dyDescent="0.2">
      <c r="A174" s="34" t="s">
        <v>362</v>
      </c>
      <c r="B174" s="33">
        <v>2</v>
      </c>
      <c r="C174" s="32" t="s">
        <v>354</v>
      </c>
      <c r="D174" s="31" t="s">
        <v>364</v>
      </c>
      <c r="E174" s="30">
        <v>19.100000000000001</v>
      </c>
      <c r="F174" s="123">
        <v>4.8962737193982795</v>
      </c>
      <c r="H174" s="14" t="s">
        <v>362</v>
      </c>
      <c r="I174" s="14">
        <v>2</v>
      </c>
      <c r="J174" s="14" t="s">
        <v>354</v>
      </c>
      <c r="K174" s="14" t="s">
        <v>364</v>
      </c>
      <c r="L174" s="14">
        <v>34.499396863691196</v>
      </c>
      <c r="M174" s="14">
        <v>48.009650180940902</v>
      </c>
      <c r="O174" s="14">
        <f t="shared" si="62"/>
        <v>0.34499396863691195</v>
      </c>
      <c r="P174" s="14">
        <f t="shared" si="63"/>
        <v>0.48009650180940899</v>
      </c>
      <c r="Q174" s="14">
        <f t="shared" si="64"/>
        <v>1371.0603233886268</v>
      </c>
      <c r="R174" s="14">
        <f t="shared" si="65"/>
        <v>1907.9790514289284</v>
      </c>
      <c r="S174" s="14">
        <f t="shared" si="66"/>
        <v>3279.0393748175552</v>
      </c>
      <c r="T174" s="14">
        <f t="shared" si="67"/>
        <v>41.812865497076018</v>
      </c>
      <c r="AD174" s="140"/>
      <c r="AE174" s="141"/>
      <c r="AG174" s="140"/>
      <c r="AH174" s="140"/>
      <c r="AI174" s="140"/>
      <c r="AJ174" s="140"/>
      <c r="AK174" s="139" t="s">
        <v>364</v>
      </c>
      <c r="AM174" s="14">
        <f t="shared" si="68"/>
        <v>0.17490952955367911</v>
      </c>
      <c r="AN174" s="14">
        <f t="shared" si="69"/>
        <v>695.11799612360437</v>
      </c>
      <c r="AO174" s="14">
        <f t="shared" si="70"/>
        <v>620.16967866356129</v>
      </c>
      <c r="AP174" s="138"/>
      <c r="AQ174" s="138"/>
      <c r="AR174" s="138"/>
    </row>
    <row r="175" spans="1:44" ht="15.75" x14ac:dyDescent="0.2">
      <c r="A175" s="29"/>
      <c r="B175" s="28"/>
      <c r="C175" s="27" t="s">
        <v>355</v>
      </c>
      <c r="D175" s="26" t="s">
        <v>364</v>
      </c>
      <c r="E175" s="25">
        <v>18.7</v>
      </c>
      <c r="F175" s="122">
        <v>5.0235318191119402</v>
      </c>
      <c r="J175" s="14" t="s">
        <v>355</v>
      </c>
      <c r="K175" s="14" t="s">
        <v>364</v>
      </c>
      <c r="L175" s="14">
        <v>34.696406443618336</v>
      </c>
      <c r="M175" s="14">
        <v>48.079306071871123</v>
      </c>
      <c r="O175" s="14">
        <f t="shared" si="62"/>
        <v>0.34696406443618338</v>
      </c>
      <c r="P175" s="14">
        <f t="shared" si="63"/>
        <v>0.48079306071871125</v>
      </c>
      <c r="Q175" s="14">
        <f t="shared" si="64"/>
        <v>1347.6206723967241</v>
      </c>
      <c r="R175" s="14">
        <f t="shared" si="65"/>
        <v>1867.4172174640316</v>
      </c>
      <c r="S175" s="14">
        <f t="shared" si="66"/>
        <v>3215.037889860756</v>
      </c>
      <c r="T175" s="14">
        <f t="shared" si="67"/>
        <v>41.91616766467066</v>
      </c>
      <c r="U175" s="14">
        <f>AVERAGE(Q174:Q176)</f>
        <v>1381.0471137346015</v>
      </c>
      <c r="V175" s="14">
        <f>AVERAGE(R174:R176)</f>
        <v>1931.6692848401644</v>
      </c>
      <c r="W175" s="14">
        <f>AVERAGE(S174:S176)</f>
        <v>3312.7163985747661</v>
      </c>
      <c r="X175" s="14">
        <f>AVERAGE(T174:T176)</f>
        <v>41.696268844283836</v>
      </c>
      <c r="Y175" s="14">
        <v>722.9</v>
      </c>
      <c r="Z175" s="14">
        <f>(U175/10000)/(Y175/1000)</f>
        <v>0.19104262190269766</v>
      </c>
      <c r="AA175" s="14">
        <v>547.70000000000005</v>
      </c>
      <c r="AB175" s="14">
        <f>AA175+264+119.9</f>
        <v>931.6</v>
      </c>
      <c r="AC175" s="14">
        <f>(U175/10000)/(AB175/1000)</f>
        <v>0.14824464509817534</v>
      </c>
      <c r="AD175" s="140">
        <v>4.41</v>
      </c>
      <c r="AE175" s="141">
        <v>1.1299999999999999</v>
      </c>
      <c r="AF175" s="14">
        <f>AE175*25.4</f>
        <v>28.701999999999995</v>
      </c>
      <c r="AG175" s="140">
        <v>82</v>
      </c>
      <c r="AH175" s="140">
        <v>31</v>
      </c>
      <c r="AI175" s="140">
        <v>5.9</v>
      </c>
      <c r="AJ175" s="140">
        <v>10.1</v>
      </c>
      <c r="AK175" s="139" t="s">
        <v>364</v>
      </c>
      <c r="AM175" s="14">
        <f t="shared" si="68"/>
        <v>0.17224287484510542</v>
      </c>
      <c r="AN175" s="14">
        <f t="shared" si="69"/>
        <v>668.9974052255169</v>
      </c>
      <c r="AO175" s="14">
        <f t="shared" si="70"/>
        <v>596.86543599669653</v>
      </c>
      <c r="AP175" s="138">
        <f>AVERAGE(AM174:AM176)</f>
        <v>0.17698914443350619</v>
      </c>
      <c r="AQ175" s="138">
        <f>AVERAGE(AN174:AN176)</f>
        <v>713.25444305419796</v>
      </c>
      <c r="AR175" s="138">
        <f>AVERAGE(AO174:AO176)</f>
        <v>636.35063574965136</v>
      </c>
    </row>
    <row r="176" spans="1:44" ht="16.5" thickBot="1" x14ac:dyDescent="0.25">
      <c r="A176" s="23"/>
      <c r="B176" s="22"/>
      <c r="C176" s="21" t="s">
        <v>356</v>
      </c>
      <c r="D176" s="20" t="s">
        <v>364</v>
      </c>
      <c r="E176" s="19">
        <v>20.3</v>
      </c>
      <c r="F176" s="121">
        <v>5.1029738320198668</v>
      </c>
      <c r="J176" s="14" t="s">
        <v>356</v>
      </c>
      <c r="K176" s="14" t="s">
        <v>364</v>
      </c>
      <c r="L176" s="14">
        <v>33.75722543352601</v>
      </c>
      <c r="M176" s="14">
        <v>47.861271676300582</v>
      </c>
      <c r="O176" s="14">
        <f t="shared" si="62"/>
        <v>0.33757225433526011</v>
      </c>
      <c r="P176" s="14">
        <f t="shared" si="63"/>
        <v>0.47861271676300582</v>
      </c>
      <c r="Q176" s="14">
        <f t="shared" si="64"/>
        <v>1424.4603454184535</v>
      </c>
      <c r="R176" s="14">
        <f t="shared" si="65"/>
        <v>2019.6115856275333</v>
      </c>
      <c r="S176" s="14">
        <f t="shared" si="66"/>
        <v>3444.0719310459867</v>
      </c>
      <c r="T176" s="14">
        <f t="shared" si="67"/>
        <v>41.359773371104822</v>
      </c>
      <c r="AD176" s="140"/>
      <c r="AE176" s="141"/>
      <c r="AG176" s="140"/>
      <c r="AH176" s="140"/>
      <c r="AI176" s="140"/>
      <c r="AJ176" s="140"/>
      <c r="AK176" s="139" t="s">
        <v>364</v>
      </c>
      <c r="AM176" s="14">
        <f t="shared" si="68"/>
        <v>0.18381502890173401</v>
      </c>
      <c r="AN176" s="14">
        <f t="shared" si="69"/>
        <v>775.64792781347239</v>
      </c>
      <c r="AO176" s="14">
        <f t="shared" si="70"/>
        <v>692.01679258869603</v>
      </c>
      <c r="AP176" s="138"/>
      <c r="AQ176" s="138"/>
      <c r="AR176" s="138"/>
    </row>
    <row r="177" spans="1:44" ht="15.75" x14ac:dyDescent="0.2">
      <c r="A177" s="34" t="s">
        <v>362</v>
      </c>
      <c r="B177" s="33">
        <v>3</v>
      </c>
      <c r="C177" s="32" t="s">
        <v>354</v>
      </c>
      <c r="D177" s="31" t="s">
        <v>363</v>
      </c>
      <c r="E177" s="30">
        <v>21.5</v>
      </c>
      <c r="F177" s="123">
        <v>4.8826207265910906</v>
      </c>
      <c r="H177" s="14" t="s">
        <v>362</v>
      </c>
      <c r="I177" s="14">
        <v>3</v>
      </c>
      <c r="J177" s="14" t="s">
        <v>354</v>
      </c>
      <c r="K177" s="14" t="s">
        <v>363</v>
      </c>
      <c r="L177" s="14">
        <v>35.331905781584581</v>
      </c>
      <c r="M177" s="14">
        <v>47.751605995717341</v>
      </c>
      <c r="O177" s="14">
        <f t="shared" si="62"/>
        <v>0.35331905781584583</v>
      </c>
      <c r="P177" s="14">
        <f t="shared" si="63"/>
        <v>0.47751605995717339</v>
      </c>
      <c r="Q177" s="14">
        <f t="shared" si="64"/>
        <v>1584.391617596968</v>
      </c>
      <c r="R177" s="14">
        <f t="shared" si="65"/>
        <v>2141.3292771159017</v>
      </c>
      <c r="S177" s="14">
        <f t="shared" si="66"/>
        <v>3725.7208947128697</v>
      </c>
      <c r="T177" s="14">
        <f t="shared" si="67"/>
        <v>42.52577319587629</v>
      </c>
      <c r="AD177" s="140"/>
      <c r="AE177" s="141"/>
      <c r="AG177" s="140"/>
      <c r="AH177" s="140"/>
      <c r="AI177" s="140"/>
      <c r="AJ177" s="140"/>
      <c r="AK177" s="139" t="s">
        <v>363</v>
      </c>
      <c r="AM177" s="14">
        <f t="shared" si="68"/>
        <v>0.16916488222698078</v>
      </c>
      <c r="AN177" s="14">
        <f t="shared" si="69"/>
        <v>758.58750175854857</v>
      </c>
      <c r="AO177" s="14">
        <f t="shared" si="70"/>
        <v>676.7958387314402</v>
      </c>
      <c r="AP177" s="138"/>
      <c r="AQ177" s="138"/>
      <c r="AR177" s="138"/>
    </row>
    <row r="178" spans="1:44" ht="15.75" x14ac:dyDescent="0.2">
      <c r="A178" s="29"/>
      <c r="B178" s="28"/>
      <c r="C178" s="27" t="s">
        <v>355</v>
      </c>
      <c r="D178" s="26" t="s">
        <v>363</v>
      </c>
      <c r="E178" s="25">
        <v>20</v>
      </c>
      <c r="F178" s="122">
        <v>5.5781785275677045</v>
      </c>
      <c r="J178" s="14" t="s">
        <v>355</v>
      </c>
      <c r="K178" s="14" t="s">
        <v>363</v>
      </c>
      <c r="L178" s="14">
        <v>35.075493612078979</v>
      </c>
      <c r="M178" s="14">
        <v>47.386759581881535</v>
      </c>
      <c r="O178" s="14">
        <f t="shared" si="62"/>
        <v>0.35075493612078978</v>
      </c>
      <c r="P178" s="14">
        <f t="shared" si="63"/>
        <v>0.47386759581881532</v>
      </c>
      <c r="Q178" s="14">
        <f t="shared" si="64"/>
        <v>1450.4970547570163</v>
      </c>
      <c r="R178" s="14">
        <f t="shared" si="65"/>
        <v>1959.6119150359687</v>
      </c>
      <c r="S178" s="14">
        <f t="shared" si="66"/>
        <v>3410.1089697929847</v>
      </c>
      <c r="T178" s="14">
        <f t="shared" si="67"/>
        <v>42.535211267605639</v>
      </c>
      <c r="U178" s="14">
        <f>AVERAGE(Q177:Q179)</f>
        <v>1563.5368139169168</v>
      </c>
      <c r="V178" s="14">
        <f>AVERAGE(R177:R179)</f>
        <v>2095.3696253937746</v>
      </c>
      <c r="W178" s="14">
        <f>AVERAGE(S177:S179)</f>
        <v>3658.9064393106914</v>
      </c>
      <c r="X178" s="14">
        <f>AVERAGE(T177:T179)</f>
        <v>42.722917962346941</v>
      </c>
      <c r="Y178" s="14">
        <v>926.4</v>
      </c>
      <c r="Z178" s="14">
        <f>(U178/10000)/(Y178/1000)</f>
        <v>0.1687755628148658</v>
      </c>
      <c r="AA178" s="14">
        <v>759.7</v>
      </c>
      <c r="AB178" s="14">
        <f>AA178+264+119.9</f>
        <v>1143.6000000000001</v>
      </c>
      <c r="AC178" s="14">
        <f>(U178/10000)/(AB178/1000)</f>
        <v>0.13672060282589335</v>
      </c>
      <c r="AD178" s="140">
        <v>4.17</v>
      </c>
      <c r="AE178" s="141">
        <v>1.1499999999999999</v>
      </c>
      <c r="AF178" s="14">
        <f>AE178*25.4</f>
        <v>29.209999999999997</v>
      </c>
      <c r="AG178" s="140">
        <v>80.3</v>
      </c>
      <c r="AH178" s="140">
        <v>31</v>
      </c>
      <c r="AI178" s="140">
        <v>6</v>
      </c>
      <c r="AJ178" s="140">
        <v>10</v>
      </c>
      <c r="AK178" s="139" t="s">
        <v>363</v>
      </c>
      <c r="AM178" s="14">
        <f t="shared" si="68"/>
        <v>0.17537746806039489</v>
      </c>
      <c r="AN178" s="14">
        <f t="shared" si="69"/>
        <v>725.24852737850813</v>
      </c>
      <c r="AO178" s="14">
        <f t="shared" si="70"/>
        <v>647.05150590803009</v>
      </c>
      <c r="AP178" s="138">
        <f>AVERAGE(AM177:AM179)</f>
        <v>0.17310322396687083</v>
      </c>
      <c r="AQ178" s="138">
        <f>AVERAGE(AN177:AN179)</f>
        <v>765.75249326666778</v>
      </c>
      <c r="AR178" s="138">
        <f>AVERAGE(AO177:AO179)</f>
        <v>683.18829369016237</v>
      </c>
    </row>
    <row r="179" spans="1:44" ht="16.5" thickBot="1" x14ac:dyDescent="0.25">
      <c r="A179" s="23"/>
      <c r="B179" s="22"/>
      <c r="C179" s="21" t="s">
        <v>356</v>
      </c>
      <c r="D179" s="20" t="s">
        <v>363</v>
      </c>
      <c r="E179" s="19">
        <v>22.3</v>
      </c>
      <c r="F179" s="121">
        <v>4.8797116976721586</v>
      </c>
      <c r="J179" s="14" t="s">
        <v>356</v>
      </c>
      <c r="K179" s="14" t="s">
        <v>363</v>
      </c>
      <c r="L179" s="14">
        <v>35.573940020682521</v>
      </c>
      <c r="M179" s="14">
        <v>46.949327817993797</v>
      </c>
      <c r="O179" s="14">
        <f t="shared" si="62"/>
        <v>0.35573940020682521</v>
      </c>
      <c r="P179" s="14">
        <f t="shared" si="63"/>
        <v>0.46949327817993797</v>
      </c>
      <c r="Q179" s="14">
        <f t="shared" si="64"/>
        <v>1655.7217693967664</v>
      </c>
      <c r="R179" s="14">
        <f t="shared" si="65"/>
        <v>2185.1676840294535</v>
      </c>
      <c r="S179" s="14">
        <f t="shared" si="66"/>
        <v>3840.8894534262199</v>
      </c>
      <c r="T179" s="14">
        <f t="shared" si="67"/>
        <v>43.107769423558892</v>
      </c>
      <c r="AD179" s="140"/>
      <c r="AE179" s="141"/>
      <c r="AG179" s="140"/>
      <c r="AH179" s="140"/>
      <c r="AI179" s="140"/>
      <c r="AJ179" s="140"/>
      <c r="AK179" s="139" t="s">
        <v>363</v>
      </c>
      <c r="AM179" s="14">
        <f t="shared" si="68"/>
        <v>0.17476732161323677</v>
      </c>
      <c r="AN179" s="14">
        <f t="shared" si="69"/>
        <v>813.4214506629462</v>
      </c>
      <c r="AO179" s="14">
        <f t="shared" si="70"/>
        <v>725.7175364310167</v>
      </c>
      <c r="AP179" s="138"/>
      <c r="AQ179" s="138"/>
      <c r="AR179" s="138"/>
    </row>
    <row r="180" spans="1:44" ht="15.75" x14ac:dyDescent="0.2">
      <c r="A180" s="34" t="s">
        <v>362</v>
      </c>
      <c r="B180" s="33">
        <v>4</v>
      </c>
      <c r="C180" s="32" t="s">
        <v>354</v>
      </c>
      <c r="D180" s="31" t="s">
        <v>361</v>
      </c>
      <c r="E180" s="30">
        <v>19.5</v>
      </c>
      <c r="F180" s="123">
        <v>4.7794405703988048</v>
      </c>
      <c r="H180" s="14" t="s">
        <v>362</v>
      </c>
      <c r="I180" s="14">
        <v>4</v>
      </c>
      <c r="J180" s="14" t="s">
        <v>354</v>
      </c>
      <c r="K180" s="14" t="s">
        <v>361</v>
      </c>
      <c r="L180" s="14">
        <v>35.238095238095234</v>
      </c>
      <c r="M180" s="14">
        <v>47.857142857142861</v>
      </c>
      <c r="O180" s="14">
        <f t="shared" si="62"/>
        <v>0.35238095238095235</v>
      </c>
      <c r="P180" s="14">
        <f t="shared" si="63"/>
        <v>0.47857142857142859</v>
      </c>
      <c r="Q180" s="14">
        <f t="shared" si="64"/>
        <v>1432.0979540617047</v>
      </c>
      <c r="R180" s="14">
        <f t="shared" si="65"/>
        <v>1944.9438430162347</v>
      </c>
      <c r="S180" s="14">
        <f t="shared" si="66"/>
        <v>3377.0417970779395</v>
      </c>
      <c r="T180" s="14">
        <f t="shared" si="67"/>
        <v>42.406876790830935</v>
      </c>
      <c r="AD180" s="140"/>
      <c r="AE180" s="141"/>
      <c r="AG180" s="140"/>
      <c r="AH180" s="140"/>
      <c r="AI180" s="140"/>
      <c r="AJ180" s="140"/>
      <c r="AK180" s="139" t="s">
        <v>361</v>
      </c>
      <c r="AM180" s="14">
        <f t="shared" si="68"/>
        <v>0.16904761904761906</v>
      </c>
      <c r="AN180" s="14">
        <f t="shared" si="69"/>
        <v>687.01996444852068</v>
      </c>
      <c r="AO180" s="14">
        <f t="shared" si="70"/>
        <v>612.94478486171681</v>
      </c>
      <c r="AP180" s="138"/>
      <c r="AQ180" s="138"/>
      <c r="AR180" s="138"/>
    </row>
    <row r="181" spans="1:44" ht="15.75" x14ac:dyDescent="0.2">
      <c r="A181" s="29"/>
      <c r="B181" s="28"/>
      <c r="C181" s="27" t="s">
        <v>355</v>
      </c>
      <c r="D181" s="26" t="s">
        <v>361</v>
      </c>
      <c r="E181" s="25">
        <v>19.399999999999999</v>
      </c>
      <c r="F181" s="122">
        <v>5.0205262803688058</v>
      </c>
      <c r="J181" s="14" t="s">
        <v>355</v>
      </c>
      <c r="K181" s="14" t="s">
        <v>361</v>
      </c>
      <c r="L181" s="14">
        <v>35.534213685474185</v>
      </c>
      <c r="M181" s="14">
        <v>47.779111644657867</v>
      </c>
      <c r="O181" s="14">
        <f t="shared" si="62"/>
        <v>0.35534213685474186</v>
      </c>
      <c r="P181" s="14">
        <f t="shared" si="63"/>
        <v>0.47779111644657868</v>
      </c>
      <c r="Q181" s="14">
        <f t="shared" si="64"/>
        <v>1432.9421702471341</v>
      </c>
      <c r="R181" s="14">
        <f t="shared" si="65"/>
        <v>1926.726296480944</v>
      </c>
      <c r="S181" s="14">
        <f t="shared" si="66"/>
        <v>3359.6684667280779</v>
      </c>
      <c r="T181" s="14">
        <f t="shared" si="67"/>
        <v>42.65129682997118</v>
      </c>
      <c r="U181" s="14">
        <f>AVERAGE(Q180:Q182)</f>
        <v>1409.5570269333396</v>
      </c>
      <c r="V181" s="14">
        <f>AVERAGE(R180:R182)</f>
        <v>1927.5580285219348</v>
      </c>
      <c r="W181" s="14">
        <f>AVERAGE(S180:S182)</f>
        <v>3337.1150554552737</v>
      </c>
      <c r="X181" s="14">
        <f>AVERAGE(T180:T182)</f>
        <v>42.233467453268347</v>
      </c>
      <c r="Y181" s="14">
        <v>1031.5</v>
      </c>
      <c r="Z181" s="14">
        <f>(U181/10000)/(Y181/1000)</f>
        <v>0.13665119020197183</v>
      </c>
      <c r="AA181" s="14">
        <v>870.3</v>
      </c>
      <c r="AB181" s="14">
        <f>AA181+264+119.9</f>
        <v>1254.2</v>
      </c>
      <c r="AC181" s="14">
        <f>(U181/10000)/(AB181/1000)</f>
        <v>0.11238694202944823</v>
      </c>
      <c r="AD181" s="140">
        <v>4.58</v>
      </c>
      <c r="AE181" s="141">
        <v>1.1200000000000001</v>
      </c>
      <c r="AF181" s="14">
        <f>AE181*25.4</f>
        <v>28.448</v>
      </c>
      <c r="AG181" s="140">
        <v>79.099999999999994</v>
      </c>
      <c r="AH181" s="140">
        <v>31.7</v>
      </c>
      <c r="AI181" s="140">
        <v>6.1</v>
      </c>
      <c r="AJ181" s="140">
        <v>10.199999999999999</v>
      </c>
      <c r="AK181" s="139" t="s">
        <v>361</v>
      </c>
      <c r="AM181" s="14">
        <f t="shared" si="68"/>
        <v>0.16686674669867951</v>
      </c>
      <c r="AN181" s="14">
        <f t="shared" si="69"/>
        <v>672.90189751470166</v>
      </c>
      <c r="AO181" s="14">
        <f t="shared" si="70"/>
        <v>600.34894202276905</v>
      </c>
      <c r="AP181" s="138">
        <f>AVERAGE(AM180:AM182)</f>
        <v>0.17304929956014345</v>
      </c>
      <c r="AQ181" s="138">
        <f>AVERAGE(AN180:AN182)</f>
        <v>698.1846773951944</v>
      </c>
      <c r="AR181" s="138">
        <f>AVERAGE(AO180:AO182)</f>
        <v>622.90570729376714</v>
      </c>
    </row>
    <row r="182" spans="1:44" ht="16.5" thickBot="1" x14ac:dyDescent="0.25">
      <c r="A182" s="23"/>
      <c r="B182" s="22"/>
      <c r="C182" s="21" t="s">
        <v>356</v>
      </c>
      <c r="D182" s="20" t="s">
        <v>361</v>
      </c>
      <c r="E182" s="19">
        <v>19.3</v>
      </c>
      <c r="F182" s="121">
        <v>5.070285991274833</v>
      </c>
      <c r="J182" s="14" t="s">
        <v>356</v>
      </c>
      <c r="K182" s="14" t="s">
        <v>361</v>
      </c>
      <c r="L182" s="14">
        <v>34.011976047904191</v>
      </c>
      <c r="M182" s="14">
        <v>47.664670658682638</v>
      </c>
      <c r="O182" s="14">
        <f t="shared" si="62"/>
        <v>0.34011976047904191</v>
      </c>
      <c r="P182" s="14">
        <f t="shared" si="63"/>
        <v>0.4766467065868264</v>
      </c>
      <c r="Q182" s="14">
        <f t="shared" si="64"/>
        <v>1363.6309564911796</v>
      </c>
      <c r="R182" s="14">
        <f t="shared" si="65"/>
        <v>1911.0039460686253</v>
      </c>
      <c r="S182" s="14">
        <f t="shared" si="66"/>
        <v>3274.6349025598047</v>
      </c>
      <c r="T182" s="14">
        <f t="shared" si="67"/>
        <v>41.642228739002931</v>
      </c>
      <c r="AD182" s="140"/>
      <c r="AE182" s="141"/>
      <c r="AG182" s="140"/>
      <c r="AH182" s="140"/>
      <c r="AI182" s="140"/>
      <c r="AJ182" s="140"/>
      <c r="AK182" s="139" t="s">
        <v>361</v>
      </c>
      <c r="AM182" s="14">
        <f t="shared" si="68"/>
        <v>0.18323353293413169</v>
      </c>
      <c r="AN182" s="14">
        <f t="shared" si="69"/>
        <v>734.63217022236063</v>
      </c>
      <c r="AO182" s="14">
        <f t="shared" si="70"/>
        <v>655.42339499681555</v>
      </c>
      <c r="AP182" s="138"/>
      <c r="AQ182" s="138"/>
      <c r="AR182" s="138"/>
    </row>
    <row r="183" spans="1:44" ht="16.5" thickBot="1" x14ac:dyDescent="0.25">
      <c r="A183" s="34" t="s">
        <v>357</v>
      </c>
      <c r="B183" s="33">
        <v>1</v>
      </c>
      <c r="C183" s="21" t="s">
        <v>354</v>
      </c>
      <c r="D183" s="20" t="s">
        <v>353</v>
      </c>
      <c r="E183" s="19">
        <v>19.600000000000001</v>
      </c>
      <c r="F183" s="121">
        <v>4.8088126257811732</v>
      </c>
      <c r="H183" s="14" t="s">
        <v>357</v>
      </c>
      <c r="I183" s="14">
        <v>1</v>
      </c>
      <c r="J183" s="14" t="s">
        <v>354</v>
      </c>
      <c r="K183" s="14" t="s">
        <v>360</v>
      </c>
      <c r="L183" s="14">
        <v>35.995232419547079</v>
      </c>
      <c r="M183" s="14">
        <v>47.437425506555428</v>
      </c>
      <c r="O183" s="14">
        <f t="shared" si="62"/>
        <v>0.3599523241954708</v>
      </c>
      <c r="P183" s="14">
        <f t="shared" si="63"/>
        <v>0.47437425506555431</v>
      </c>
      <c r="Q183" s="14">
        <f t="shared" si="64"/>
        <v>1470.0658610920877</v>
      </c>
      <c r="R183" s="14">
        <f t="shared" si="65"/>
        <v>1937.3715652803012</v>
      </c>
      <c r="S183" s="14">
        <f t="shared" si="66"/>
        <v>3407.4374263723889</v>
      </c>
      <c r="T183" s="14">
        <f t="shared" si="67"/>
        <v>43.142857142857146</v>
      </c>
      <c r="AD183" s="140"/>
      <c r="AE183" s="141"/>
      <c r="AG183" s="140"/>
      <c r="AH183" s="140"/>
      <c r="AI183" s="140"/>
      <c r="AJ183" s="140"/>
      <c r="AK183" s="139" t="s">
        <v>353</v>
      </c>
      <c r="AM183" s="14">
        <f t="shared" si="68"/>
        <v>0.16567342073897495</v>
      </c>
      <c r="AN183" s="14">
        <f t="shared" si="69"/>
        <v>676.61971752251702</v>
      </c>
      <c r="AO183" s="14">
        <f t="shared" si="70"/>
        <v>603.66590295952176</v>
      </c>
      <c r="AP183" s="138"/>
      <c r="AQ183" s="138"/>
      <c r="AR183" s="138"/>
    </row>
    <row r="184" spans="1:44" ht="16.5" thickBot="1" x14ac:dyDescent="0.25">
      <c r="A184" s="29"/>
      <c r="B184" s="28"/>
      <c r="C184" s="27" t="s">
        <v>355</v>
      </c>
      <c r="D184" s="26" t="s">
        <v>353</v>
      </c>
      <c r="E184" s="25">
        <v>18.899999999999999</v>
      </c>
      <c r="F184" s="122">
        <v>4.8569977999661456</v>
      </c>
      <c r="J184" s="14" t="s">
        <v>355</v>
      </c>
      <c r="K184" s="14" t="s">
        <v>360</v>
      </c>
      <c r="L184" s="14">
        <v>34.814814814814817</v>
      </c>
      <c r="M184" s="14">
        <v>47.901234567901234</v>
      </c>
      <c r="O184" s="14">
        <f t="shared" si="62"/>
        <v>0.34814814814814815</v>
      </c>
      <c r="P184" s="14">
        <f t="shared" si="63"/>
        <v>0.47901234567901235</v>
      </c>
      <c r="Q184" s="14">
        <f t="shared" si="64"/>
        <v>1369.3788179846958</v>
      </c>
      <c r="R184" s="14">
        <f t="shared" si="65"/>
        <v>1884.1098630427728</v>
      </c>
      <c r="S184" s="14">
        <f t="shared" si="66"/>
        <v>3253.4886810274684</v>
      </c>
      <c r="T184" s="14">
        <f t="shared" si="67"/>
        <v>42.089552238805979</v>
      </c>
      <c r="U184" s="14">
        <f>AVERAGE(Q183:Q185)</f>
        <v>1381.653479830303</v>
      </c>
      <c r="V184" s="14">
        <f>AVERAGE(R183:R185)</f>
        <v>1884.3668516247451</v>
      </c>
      <c r="W184" s="14">
        <f>AVERAGE(S183:S185)</f>
        <v>3266.0203314550477</v>
      </c>
      <c r="X184" s="14">
        <f>AVERAGE(T183:T185)</f>
        <v>42.282438737987093</v>
      </c>
      <c r="Y184" s="14">
        <v>993.2</v>
      </c>
      <c r="Z184" s="14">
        <f>(U184/10000)/(Y184/1000)</f>
        <v>0.13911130485605142</v>
      </c>
      <c r="AA184" s="14">
        <v>850.4</v>
      </c>
      <c r="AB184" s="14">
        <f>AA184+264+119.9</f>
        <v>1234.3000000000002</v>
      </c>
      <c r="AC184" s="14">
        <f>(U184/10000)/(AB184/1000)</f>
        <v>0.11193822246052845</v>
      </c>
      <c r="AD184" s="140">
        <v>4.43</v>
      </c>
      <c r="AE184" s="141">
        <v>1.1299999999999999</v>
      </c>
      <c r="AF184" s="14">
        <f>AE184*25.4</f>
        <v>28.701999999999995</v>
      </c>
      <c r="AG184" s="140">
        <v>80.599999999999994</v>
      </c>
      <c r="AH184" s="140">
        <v>31.1</v>
      </c>
      <c r="AI184" s="140">
        <v>5.9</v>
      </c>
      <c r="AJ184" s="140">
        <v>9.6999999999999993</v>
      </c>
      <c r="AK184" s="139" t="s">
        <v>353</v>
      </c>
      <c r="AM184" s="14">
        <f t="shared" si="68"/>
        <v>0.17283950617283955</v>
      </c>
      <c r="AN184" s="14">
        <f t="shared" si="69"/>
        <v>679.83345573708311</v>
      </c>
      <c r="AO184" s="14">
        <f t="shared" si="70"/>
        <v>606.53313270605508</v>
      </c>
      <c r="AP184" s="138">
        <f>AVERAGE(AM183:AM185)</f>
        <v>0.17580993449537394</v>
      </c>
      <c r="AQ184" s="138">
        <f>AVERAGE(AN183:AN185)</f>
        <v>695.71743096479042</v>
      </c>
      <c r="AR184" s="138">
        <f>AVERAGE(AO183:AO185)</f>
        <v>620.70448184073587</v>
      </c>
    </row>
    <row r="185" spans="1:44" ht="16.5" thickBot="1" x14ac:dyDescent="0.25">
      <c r="A185" s="23"/>
      <c r="B185" s="22"/>
      <c r="C185" s="32" t="s">
        <v>356</v>
      </c>
      <c r="D185" s="31" t="s">
        <v>353</v>
      </c>
      <c r="E185" s="30">
        <v>18.7</v>
      </c>
      <c r="F185" s="123">
        <v>5.4197025651262667</v>
      </c>
      <c r="J185" s="14" t="s">
        <v>356</v>
      </c>
      <c r="K185" s="14" t="s">
        <v>360</v>
      </c>
      <c r="L185" s="14">
        <v>33.753148614609572</v>
      </c>
      <c r="M185" s="14">
        <v>47.355163727959706</v>
      </c>
      <c r="O185" s="14">
        <f t="shared" si="62"/>
        <v>0.33753148614609574</v>
      </c>
      <c r="P185" s="14">
        <f t="shared" si="63"/>
        <v>0.47355163727959704</v>
      </c>
      <c r="Q185" s="14">
        <f t="shared" si="64"/>
        <v>1305.5157604141255</v>
      </c>
      <c r="R185" s="14">
        <f t="shared" si="65"/>
        <v>1831.6191265511611</v>
      </c>
      <c r="S185" s="14">
        <f t="shared" si="66"/>
        <v>3137.1348869652866</v>
      </c>
      <c r="T185" s="14">
        <f t="shared" si="67"/>
        <v>41.614906832298139</v>
      </c>
      <c r="AD185" s="140"/>
      <c r="AE185" s="141"/>
      <c r="AG185" s="140"/>
      <c r="AH185" s="140"/>
      <c r="AI185" s="140"/>
      <c r="AJ185" s="140"/>
      <c r="AK185" s="139" t="s">
        <v>353</v>
      </c>
      <c r="AM185" s="14">
        <f t="shared" si="68"/>
        <v>0.18891687657430722</v>
      </c>
      <c r="AN185" s="14">
        <f t="shared" si="69"/>
        <v>730.69911963477125</v>
      </c>
      <c r="AO185" s="14">
        <f t="shared" si="70"/>
        <v>651.91440985663064</v>
      </c>
      <c r="AP185" s="138"/>
      <c r="AQ185" s="138"/>
      <c r="AR185" s="138"/>
    </row>
    <row r="186" spans="1:44" ht="16.5" thickBot="1" x14ac:dyDescent="0.25">
      <c r="A186" s="34" t="s">
        <v>357</v>
      </c>
      <c r="B186" s="33">
        <v>2</v>
      </c>
      <c r="C186" s="21" t="s">
        <v>354</v>
      </c>
      <c r="D186" s="20" t="s">
        <v>358</v>
      </c>
      <c r="E186" s="19">
        <v>22.6</v>
      </c>
      <c r="F186" s="121">
        <v>4.5736482676523922</v>
      </c>
      <c r="H186" s="14" t="s">
        <v>357</v>
      </c>
      <c r="I186" s="14">
        <v>2</v>
      </c>
      <c r="J186" s="14" t="s">
        <v>354</v>
      </c>
      <c r="K186" s="14" t="s">
        <v>359</v>
      </c>
      <c r="L186" s="14">
        <v>33.981576253838277</v>
      </c>
      <c r="M186" s="14">
        <v>47.492323439099295</v>
      </c>
      <c r="O186" s="14">
        <f t="shared" si="62"/>
        <v>0.33981576253838275</v>
      </c>
      <c r="P186" s="14">
        <f t="shared" si="63"/>
        <v>0.47492323439099293</v>
      </c>
      <c r="Q186" s="14">
        <f t="shared" si="64"/>
        <v>1608.4130117713796</v>
      </c>
      <c r="R186" s="14">
        <f t="shared" si="65"/>
        <v>2247.9025224756638</v>
      </c>
      <c r="S186" s="14">
        <f t="shared" si="66"/>
        <v>3856.3155342470436</v>
      </c>
      <c r="T186" s="14">
        <f t="shared" si="67"/>
        <v>41.70854271356783</v>
      </c>
      <c r="AD186" s="140"/>
      <c r="AE186" s="141"/>
      <c r="AG186" s="140"/>
      <c r="AH186" s="140"/>
      <c r="AI186" s="140"/>
      <c r="AJ186" s="140"/>
      <c r="AK186" s="139" t="s">
        <v>358</v>
      </c>
      <c r="AM186" s="14">
        <f t="shared" si="68"/>
        <v>0.18526100307062432</v>
      </c>
      <c r="AN186" s="14">
        <f t="shared" si="69"/>
        <v>876.87576846572188</v>
      </c>
      <c r="AO186" s="14">
        <f t="shared" si="70"/>
        <v>782.33014623397935</v>
      </c>
      <c r="AP186" s="138"/>
      <c r="AQ186" s="138"/>
      <c r="AR186" s="138"/>
    </row>
    <row r="187" spans="1:44" ht="16.5" thickBot="1" x14ac:dyDescent="0.25">
      <c r="A187" s="29"/>
      <c r="B187" s="28"/>
      <c r="C187" s="27" t="s">
        <v>355</v>
      </c>
      <c r="D187" s="26" t="s">
        <v>358</v>
      </c>
      <c r="E187" s="25">
        <v>21</v>
      </c>
      <c r="F187" s="122">
        <v>5.7229336437718246</v>
      </c>
      <c r="J187" s="14" t="s">
        <v>355</v>
      </c>
      <c r="K187" s="14" t="s">
        <v>359</v>
      </c>
      <c r="L187" s="14">
        <v>33.74028856825749</v>
      </c>
      <c r="M187" s="14">
        <v>47.058823529411768</v>
      </c>
      <c r="O187" s="14">
        <f t="shared" si="62"/>
        <v>0.33740288568257493</v>
      </c>
      <c r="P187" s="14">
        <f t="shared" si="63"/>
        <v>0.4705882352941177</v>
      </c>
      <c r="Q187" s="14">
        <f t="shared" si="64"/>
        <v>1464.1487338934242</v>
      </c>
      <c r="R187" s="14">
        <f t="shared" si="65"/>
        <v>2042.1021814829339</v>
      </c>
      <c r="S187" s="14">
        <f t="shared" si="66"/>
        <v>3506.2509153763581</v>
      </c>
      <c r="T187" s="14">
        <f t="shared" si="67"/>
        <v>41.758241758241752</v>
      </c>
      <c r="U187" s="14">
        <f>AVERAGE(Q186:Q188)</f>
        <v>1475.4183320641212</v>
      </c>
      <c r="V187" s="14">
        <f>AVERAGE(R186:R188)</f>
        <v>2072.7623919777029</v>
      </c>
      <c r="W187" s="14">
        <f>AVERAGE(S186:S188)</f>
        <v>3548.1807240418239</v>
      </c>
      <c r="X187" s="14">
        <f>AVERAGE(T186:T188)</f>
        <v>41.571025090998837</v>
      </c>
      <c r="Y187" s="14">
        <v>1207.5</v>
      </c>
      <c r="Z187" s="14">
        <f>(U187/10000)/(Y187/1000)</f>
        <v>0.12218785358709078</v>
      </c>
      <c r="AA187" s="14">
        <v>1031.7</v>
      </c>
      <c r="AB187" s="14">
        <f>AA187+264+119.9</f>
        <v>1415.6000000000001</v>
      </c>
      <c r="AC187" s="14">
        <f>(U187/10000)/(AB187/1000)</f>
        <v>0.10422565216615717</v>
      </c>
      <c r="AD187" s="140">
        <v>4.32</v>
      </c>
      <c r="AE187" s="141">
        <v>1.1499999999999999</v>
      </c>
      <c r="AF187" s="14">
        <f>AE187*25.4</f>
        <v>29.209999999999997</v>
      </c>
      <c r="AG187" s="140">
        <v>80.400000000000006</v>
      </c>
      <c r="AH187" s="140">
        <v>32.5</v>
      </c>
      <c r="AI187" s="140">
        <v>5.8</v>
      </c>
      <c r="AJ187" s="140">
        <v>9.9</v>
      </c>
      <c r="AK187" s="139" t="s">
        <v>358</v>
      </c>
      <c r="AM187" s="14">
        <f t="shared" si="68"/>
        <v>0.19200887902330738</v>
      </c>
      <c r="AN187" s="14">
        <f t="shared" si="69"/>
        <v>833.21622027487592</v>
      </c>
      <c r="AO187" s="14">
        <f t="shared" si="70"/>
        <v>743.37801418861852</v>
      </c>
      <c r="AP187" s="138">
        <f>AVERAGE(AM186:AM188)</f>
        <v>0.19067100410697768</v>
      </c>
      <c r="AQ187" s="138">
        <f>AVERAGE(AN186:AN188)</f>
        <v>834.60140612215662</v>
      </c>
      <c r="AR187" s="138">
        <f>AVERAGE(AO186:AO188)</f>
        <v>744.61384791265948</v>
      </c>
    </row>
    <row r="188" spans="1:44" ht="16.5" thickBot="1" x14ac:dyDescent="0.25">
      <c r="A188" s="23"/>
      <c r="B188" s="22"/>
      <c r="C188" s="32" t="s">
        <v>356</v>
      </c>
      <c r="D188" s="31" t="s">
        <v>358</v>
      </c>
      <c r="E188" s="30">
        <v>19.600000000000001</v>
      </c>
      <c r="F188" s="123">
        <v>5.0038817136001157</v>
      </c>
      <c r="J188" s="14" t="s">
        <v>356</v>
      </c>
      <c r="K188" s="14" t="s">
        <v>359</v>
      </c>
      <c r="L188" s="14">
        <v>33.213859020310629</v>
      </c>
      <c r="M188" s="14">
        <v>47.311827956989248</v>
      </c>
      <c r="O188" s="14">
        <f t="shared" si="62"/>
        <v>0.33213859020310627</v>
      </c>
      <c r="P188" s="14">
        <f t="shared" si="63"/>
        <v>0.4731182795698925</v>
      </c>
      <c r="Q188" s="14">
        <f t="shared" si="64"/>
        <v>1353.6932505275597</v>
      </c>
      <c r="R188" s="14">
        <f t="shared" si="65"/>
        <v>1928.2824719745099</v>
      </c>
      <c r="S188" s="14">
        <f t="shared" si="66"/>
        <v>3281.9757225020694</v>
      </c>
      <c r="T188" s="14">
        <f t="shared" si="67"/>
        <v>41.246290801186944</v>
      </c>
      <c r="AD188" s="140"/>
      <c r="AE188" s="141"/>
      <c r="AG188" s="140"/>
      <c r="AH188" s="140"/>
      <c r="AI188" s="140"/>
      <c r="AJ188" s="140"/>
      <c r="AK188" s="139" t="s">
        <v>358</v>
      </c>
      <c r="AM188" s="14">
        <f t="shared" si="68"/>
        <v>0.19474313022700129</v>
      </c>
      <c r="AN188" s="14">
        <f t="shared" si="69"/>
        <v>793.71222962587183</v>
      </c>
      <c r="AO188" s="14">
        <f t="shared" si="70"/>
        <v>708.1333833153808</v>
      </c>
      <c r="AP188" s="138"/>
      <c r="AQ188" s="138"/>
      <c r="AR188" s="138"/>
    </row>
    <row r="189" spans="1:44" ht="16.5" thickBot="1" x14ac:dyDescent="0.25">
      <c r="A189" s="34" t="s">
        <v>357</v>
      </c>
      <c r="B189" s="33">
        <v>3</v>
      </c>
      <c r="C189" s="21" t="s">
        <v>354</v>
      </c>
      <c r="D189" s="20" t="s">
        <v>359</v>
      </c>
      <c r="E189" s="19">
        <v>18.7</v>
      </c>
      <c r="F189" s="121">
        <v>5.1438127090300991</v>
      </c>
      <c r="H189" s="14" t="s">
        <v>357</v>
      </c>
      <c r="I189" s="14">
        <v>3</v>
      </c>
      <c r="J189" s="14" t="s">
        <v>354</v>
      </c>
      <c r="K189" s="14" t="s">
        <v>358</v>
      </c>
      <c r="L189" s="14">
        <v>33.75</v>
      </c>
      <c r="M189" s="14">
        <v>47.000000000000007</v>
      </c>
      <c r="O189" s="14">
        <f t="shared" si="62"/>
        <v>0.33750000000000002</v>
      </c>
      <c r="P189" s="14">
        <f t="shared" si="63"/>
        <v>0.47000000000000008</v>
      </c>
      <c r="Q189" s="14">
        <f t="shared" si="64"/>
        <v>1309.2017994303849</v>
      </c>
      <c r="R189" s="14">
        <f t="shared" si="65"/>
        <v>1823.1847280956472</v>
      </c>
      <c r="S189" s="14">
        <f t="shared" si="66"/>
        <v>3132.3865275260323</v>
      </c>
      <c r="T189" s="14">
        <f t="shared" si="67"/>
        <v>41.795665634674918</v>
      </c>
      <c r="AD189" s="140"/>
      <c r="AE189" s="141"/>
      <c r="AG189" s="140"/>
      <c r="AH189" s="140"/>
      <c r="AI189" s="140"/>
      <c r="AJ189" s="140"/>
      <c r="AK189" s="139" t="s">
        <v>359</v>
      </c>
      <c r="AM189" s="14">
        <f t="shared" si="68"/>
        <v>0.19249999999999989</v>
      </c>
      <c r="AN189" s="14">
        <f t="shared" si="69"/>
        <v>746.72991523066344</v>
      </c>
      <c r="AO189" s="14">
        <f t="shared" si="70"/>
        <v>666.21674904057807</v>
      </c>
      <c r="AP189" s="138"/>
      <c r="AQ189" s="138"/>
      <c r="AR189" s="138"/>
    </row>
    <row r="190" spans="1:44" ht="16.5" thickBot="1" x14ac:dyDescent="0.25">
      <c r="A190" s="29"/>
      <c r="B190" s="28"/>
      <c r="C190" s="27" t="s">
        <v>355</v>
      </c>
      <c r="D190" s="26" t="s">
        <v>359</v>
      </c>
      <c r="E190" s="25">
        <v>17.5</v>
      </c>
      <c r="F190" s="122">
        <v>5.1770489284891275</v>
      </c>
      <c r="J190" s="14" t="s">
        <v>355</v>
      </c>
      <c r="K190" s="14" t="s">
        <v>358</v>
      </c>
      <c r="L190" s="14">
        <v>33.644859813084111</v>
      </c>
      <c r="M190" s="14">
        <v>47.263017356475302</v>
      </c>
      <c r="O190" s="14">
        <f t="shared" si="62"/>
        <v>0.3364485981308411</v>
      </c>
      <c r="P190" s="14">
        <f t="shared" si="63"/>
        <v>0.47263017356475301</v>
      </c>
      <c r="Q190" s="14">
        <f t="shared" si="64"/>
        <v>1219.2075218956184</v>
      </c>
      <c r="R190" s="14">
        <f t="shared" si="65"/>
        <v>1712.6962807581308</v>
      </c>
      <c r="S190" s="14">
        <f t="shared" si="66"/>
        <v>2931.9038026537492</v>
      </c>
      <c r="T190" s="14">
        <f t="shared" si="67"/>
        <v>41.584158415841586</v>
      </c>
      <c r="U190" s="14">
        <f>AVERAGE(Q189:Q191)</f>
        <v>1179.3699024080381</v>
      </c>
      <c r="V190" s="14">
        <f>AVERAGE(R189:R191)</f>
        <v>1656.2313124713185</v>
      </c>
      <c r="W190" s="14">
        <f>AVERAGE(S189:S191)</f>
        <v>2835.6012148793566</v>
      </c>
      <c r="X190" s="14">
        <f>AVERAGE(T189:T191)</f>
        <v>41.57280224256062</v>
      </c>
      <c r="Y190" s="14">
        <v>1042.5</v>
      </c>
      <c r="Z190" s="14">
        <f>(U190/10000)/(Y190/1000)</f>
        <v>0.11312900742523148</v>
      </c>
      <c r="AA190" s="14">
        <v>890.4</v>
      </c>
      <c r="AB190" s="14">
        <f>AA190+264+119.9</f>
        <v>1274.3000000000002</v>
      </c>
      <c r="AC190" s="14">
        <f>(U190/10000)/(AB190/1000)</f>
        <v>9.2550412179866426E-2</v>
      </c>
      <c r="AD190" s="140">
        <v>4.03</v>
      </c>
      <c r="AE190" s="141">
        <v>1.1299999999999999</v>
      </c>
      <c r="AF190" s="14">
        <f>AE190*25.4</f>
        <v>28.701999999999995</v>
      </c>
      <c r="AG190" s="140">
        <v>78.900000000000006</v>
      </c>
      <c r="AH190" s="140">
        <v>30.2</v>
      </c>
      <c r="AI190" s="140">
        <v>6.2</v>
      </c>
      <c r="AJ190" s="140">
        <v>11</v>
      </c>
      <c r="AK190" s="139" t="s">
        <v>359</v>
      </c>
      <c r="AM190" s="14">
        <f t="shared" si="68"/>
        <v>0.19092122830440583</v>
      </c>
      <c r="AN190" s="14">
        <f t="shared" si="69"/>
        <v>691.85188742489436</v>
      </c>
      <c r="AO190" s="14">
        <f t="shared" si="70"/>
        <v>617.25572507085485</v>
      </c>
      <c r="AP190" s="138">
        <f>AVERAGE(AM189:AM191)</f>
        <v>0.19860810969319984</v>
      </c>
      <c r="AQ190" s="138">
        <f>AVERAGE(AN189:AN191)</f>
        <v>699.09703400906108</v>
      </c>
      <c r="AR190" s="138">
        <f>AVERAGE(AO189:AO191)</f>
        <v>623.71969270517002</v>
      </c>
    </row>
    <row r="191" spans="1:44" ht="16.5" thickBot="1" x14ac:dyDescent="0.25">
      <c r="A191" s="23"/>
      <c r="B191" s="22"/>
      <c r="C191" s="32" t="s">
        <v>356</v>
      </c>
      <c r="D191" s="31" t="s">
        <v>359</v>
      </c>
      <c r="E191" s="30">
        <v>15.1</v>
      </c>
      <c r="F191" s="123">
        <v>5.6192445029129896</v>
      </c>
      <c r="J191" s="14" t="s">
        <v>356</v>
      </c>
      <c r="K191" s="14" t="s">
        <v>358</v>
      </c>
      <c r="L191" s="14">
        <v>32.558139534883715</v>
      </c>
      <c r="M191" s="14">
        <v>46.20155038759691</v>
      </c>
      <c r="O191" s="14">
        <f t="shared" si="62"/>
        <v>0.32558139534883712</v>
      </c>
      <c r="P191" s="14">
        <f t="shared" si="63"/>
        <v>0.46201550387596912</v>
      </c>
      <c r="Q191" s="14">
        <f t="shared" si="64"/>
        <v>1009.7003858981114</v>
      </c>
      <c r="R191" s="14">
        <f t="shared" si="65"/>
        <v>1432.8129285601779</v>
      </c>
      <c r="S191" s="14">
        <f t="shared" si="66"/>
        <v>2442.5133144582892</v>
      </c>
      <c r="T191" s="14">
        <f t="shared" si="67"/>
        <v>41.338582677165348</v>
      </c>
      <c r="AD191" s="140"/>
      <c r="AE191" s="141"/>
      <c r="AG191" s="140"/>
      <c r="AH191" s="140"/>
      <c r="AI191" s="140"/>
      <c r="AJ191" s="140"/>
      <c r="AK191" s="139" t="s">
        <v>359</v>
      </c>
      <c r="AM191" s="14">
        <f t="shared" si="68"/>
        <v>0.21240310077519375</v>
      </c>
      <c r="AN191" s="14">
        <f t="shared" si="69"/>
        <v>658.70929937162521</v>
      </c>
      <c r="AO191" s="14">
        <f t="shared" si="70"/>
        <v>587.68660400407725</v>
      </c>
      <c r="AP191" s="138"/>
      <c r="AQ191" s="138"/>
      <c r="AR191" s="138"/>
    </row>
    <row r="192" spans="1:44" ht="16.5" thickBot="1" x14ac:dyDescent="0.25">
      <c r="A192" s="34" t="s">
        <v>357</v>
      </c>
      <c r="B192" s="33">
        <v>4</v>
      </c>
      <c r="C192" s="21" t="s">
        <v>354</v>
      </c>
      <c r="D192" s="20" t="s">
        <v>360</v>
      </c>
      <c r="E192" s="19">
        <v>19.100000000000001</v>
      </c>
      <c r="F192" s="121">
        <v>4.5997125179676184</v>
      </c>
      <c r="H192" s="14" t="s">
        <v>357</v>
      </c>
      <c r="I192" s="14">
        <v>4</v>
      </c>
      <c r="J192" s="14" t="s">
        <v>354</v>
      </c>
      <c r="K192" s="14" t="s">
        <v>353</v>
      </c>
      <c r="L192" s="14">
        <v>33.737864077669897</v>
      </c>
      <c r="M192" s="14">
        <v>47.815533980582522</v>
      </c>
      <c r="O192" s="14">
        <f t="shared" si="62"/>
        <v>0.33737864077669899</v>
      </c>
      <c r="P192" s="14">
        <f t="shared" si="63"/>
        <v>0.4781553398058252</v>
      </c>
      <c r="Q192" s="14">
        <f t="shared" si="64"/>
        <v>1344.9768050727816</v>
      </c>
      <c r="R192" s="14">
        <f t="shared" si="65"/>
        <v>1906.1901481966761</v>
      </c>
      <c r="S192" s="14">
        <f t="shared" si="66"/>
        <v>3251.1669532694577</v>
      </c>
      <c r="T192" s="14">
        <f t="shared" si="67"/>
        <v>41.36904761904762</v>
      </c>
      <c r="AD192" s="140"/>
      <c r="AE192" s="141"/>
      <c r="AG192" s="140"/>
      <c r="AH192" s="140"/>
      <c r="AI192" s="140"/>
      <c r="AJ192" s="140"/>
      <c r="AK192" s="139" t="s">
        <v>360</v>
      </c>
      <c r="AM192" s="14">
        <f t="shared" si="68"/>
        <v>0.18446601941747581</v>
      </c>
      <c r="AN192" s="14">
        <f t="shared" si="69"/>
        <v>735.38300133475877</v>
      </c>
      <c r="AO192" s="14">
        <f t="shared" si="70"/>
        <v>656.0932707478438</v>
      </c>
      <c r="AP192" s="138"/>
      <c r="AQ192" s="138"/>
      <c r="AR192" s="138"/>
    </row>
    <row r="193" spans="1:44" ht="16.5" thickBot="1" x14ac:dyDescent="0.25">
      <c r="A193" s="35"/>
      <c r="B193" s="28"/>
      <c r="C193" s="27" t="s">
        <v>355</v>
      </c>
      <c r="D193" s="26" t="s">
        <v>360</v>
      </c>
      <c r="E193" s="25">
        <v>17.7</v>
      </c>
      <c r="F193" s="122">
        <v>5.2349372089741699</v>
      </c>
      <c r="J193" s="14" t="s">
        <v>355</v>
      </c>
      <c r="K193" s="14" t="s">
        <v>353</v>
      </c>
      <c r="L193" s="14">
        <v>33.06878306878307</v>
      </c>
      <c r="M193" s="14">
        <v>47.619047619047628</v>
      </c>
      <c r="O193" s="14">
        <f t="shared" si="62"/>
        <v>0.3306878306878307</v>
      </c>
      <c r="P193" s="14">
        <f t="shared" si="63"/>
        <v>0.47619047619047628</v>
      </c>
      <c r="Q193" s="14">
        <f t="shared" si="64"/>
        <v>1211.5909989462598</v>
      </c>
      <c r="R193" s="14">
        <f t="shared" si="65"/>
        <v>1744.6910384826147</v>
      </c>
      <c r="S193" s="14">
        <f t="shared" si="66"/>
        <v>2956.2820374288744</v>
      </c>
      <c r="T193" s="14">
        <f t="shared" si="67"/>
        <v>40.983606557377037</v>
      </c>
      <c r="U193" s="14">
        <f>AVERAGE(Q192:Q194)</f>
        <v>1285.9083237439597</v>
      </c>
      <c r="V193" s="14">
        <f>AVERAGE(R192:R194)</f>
        <v>1830.5925410848304</v>
      </c>
      <c r="W193" s="14">
        <f>AVERAGE(S192:S194)</f>
        <v>3116.5008648287899</v>
      </c>
      <c r="X193" s="14">
        <f>AVERAGE(T192:T194)</f>
        <v>41.254565707069979</v>
      </c>
      <c r="Y193" s="14">
        <v>1127.2</v>
      </c>
      <c r="Z193" s="14">
        <f>(U193/10000)/(Y193/1000)</f>
        <v>0.11407987258196946</v>
      </c>
      <c r="AA193" s="14">
        <v>961</v>
      </c>
      <c r="AB193" s="14">
        <f>AA193+264+119.9</f>
        <v>1344.9</v>
      </c>
      <c r="AC193" s="14">
        <f>(U193/10000)/(AB193/1000)</f>
        <v>9.5613675644580245E-2</v>
      </c>
      <c r="AD193" s="140">
        <v>3.72</v>
      </c>
      <c r="AE193" s="141">
        <v>1.1599999999999999</v>
      </c>
      <c r="AF193" s="14">
        <f>AE193*25.4</f>
        <v>29.463999999999995</v>
      </c>
      <c r="AG193" s="140">
        <v>78.400000000000006</v>
      </c>
      <c r="AH193" s="140">
        <v>33.4</v>
      </c>
      <c r="AI193" s="140">
        <v>6.2</v>
      </c>
      <c r="AJ193" s="140">
        <v>11.2</v>
      </c>
      <c r="AK193" s="139" t="s">
        <v>360</v>
      </c>
      <c r="AM193" s="14">
        <f t="shared" si="68"/>
        <v>0.19312169312169303</v>
      </c>
      <c r="AN193" s="14">
        <f t="shared" si="69"/>
        <v>707.56914338461536</v>
      </c>
      <c r="AO193" s="14">
        <f t="shared" si="70"/>
        <v>631.2783307757428</v>
      </c>
      <c r="AP193" s="138">
        <f>AVERAGE(AM192:AM194)</f>
        <v>0.18988570178401867</v>
      </c>
      <c r="AQ193" s="138">
        <f>AVERAGE(AN192:AN194)</f>
        <v>729.97091357064312</v>
      </c>
      <c r="AR193" s="138">
        <f>AVERAGE(AO192:AO194)</f>
        <v>651.26471969854288</v>
      </c>
    </row>
    <row r="194" spans="1:44" ht="16.5" thickBot="1" x14ac:dyDescent="0.25">
      <c r="A194" s="23"/>
      <c r="B194" s="22"/>
      <c r="C194" s="32" t="s">
        <v>356</v>
      </c>
      <c r="D194" s="31" t="s">
        <v>360</v>
      </c>
      <c r="E194" s="30">
        <v>18.7</v>
      </c>
      <c r="F194" s="123">
        <v>4.9017824663514018</v>
      </c>
      <c r="J194" s="14" t="s">
        <v>356</v>
      </c>
      <c r="K194" s="14" t="s">
        <v>353</v>
      </c>
      <c r="L194" s="14">
        <v>33.457249070631967</v>
      </c>
      <c r="M194" s="14">
        <v>47.335811648079307</v>
      </c>
      <c r="O194" s="14">
        <f t="shared" si="62"/>
        <v>0.33457249070631967</v>
      </c>
      <c r="P194" s="14">
        <f t="shared" si="63"/>
        <v>0.47335811648079307</v>
      </c>
      <c r="Q194" s="14">
        <f t="shared" si="64"/>
        <v>1301.1571672128377</v>
      </c>
      <c r="R194" s="14">
        <f t="shared" si="65"/>
        <v>1840.8964365752004</v>
      </c>
      <c r="S194" s="14">
        <f t="shared" si="66"/>
        <v>3142.0536037880383</v>
      </c>
      <c r="T194" s="14">
        <f t="shared" si="67"/>
        <v>41.411042944785272</v>
      </c>
      <c r="AK194" s="139" t="s">
        <v>360</v>
      </c>
      <c r="AM194" s="14">
        <f t="shared" si="68"/>
        <v>0.19206939281288726</v>
      </c>
      <c r="AN194" s="14">
        <f t="shared" si="69"/>
        <v>746.96059599255523</v>
      </c>
      <c r="AO194" s="14">
        <f t="shared" si="70"/>
        <v>666.42255757204202</v>
      </c>
      <c r="AP194" s="138"/>
      <c r="AQ194" s="138"/>
      <c r="AR194" s="138"/>
    </row>
    <row r="196" spans="1:44" x14ac:dyDescent="0.2">
      <c r="L196" s="14">
        <f>AVERAGE(L3:L194)</f>
        <v>35.293092208881752</v>
      </c>
      <c r="M196" s="14">
        <f>AVERAGE(M3:M194)</f>
        <v>48.439445382547895</v>
      </c>
      <c r="N196" s="14">
        <f>100-L196-M196</f>
        <v>16.26746240857036</v>
      </c>
      <c r="Q196" s="14">
        <f>AVERAGE(Q3:Q194)</f>
        <v>1408.3389795469466</v>
      </c>
      <c r="R196" s="14">
        <f>AVERAGE(R3:R194)</f>
        <v>1926.0344483859199</v>
      </c>
      <c r="S196" s="14">
        <f>AVERAGE(S3:S194)</f>
        <v>3334.373427932866</v>
      </c>
      <c r="AM196" s="14">
        <f>AVERAGE(AM3:AM194)</f>
        <v>0.16267462408570338</v>
      </c>
    </row>
    <row r="197" spans="1:44" x14ac:dyDescent="0.2">
      <c r="Q197" s="14">
        <f>MAX(Q3:Q194)</f>
        <v>2182.5866428070972</v>
      </c>
      <c r="R197" s="14">
        <f>MAX(R3:R194)</f>
        <v>2780.7012871726192</v>
      </c>
      <c r="S197" s="14">
        <f>MAX(S3:S194)</f>
        <v>4956.8967754418973</v>
      </c>
    </row>
    <row r="199" spans="1:44" x14ac:dyDescent="0.2">
      <c r="Q199" s="14">
        <f>Q197/0.453592*0.404686</f>
        <v>1947.2615437023424</v>
      </c>
      <c r="R199" s="14">
        <f>R197/0.453592*0.404686</f>
        <v>2480.8878487732118</v>
      </c>
      <c r="S199" s="14">
        <f>S197/0.453592*0.404686</f>
        <v>4422.447328141765</v>
      </c>
    </row>
    <row r="200" spans="1:44" x14ac:dyDescent="0.2">
      <c r="Q200" s="14">
        <f>Q199/480</f>
        <v>4.0567948827132136</v>
      </c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C7D7-0BA9-44E0-9EE2-B4F4AC5507E0}">
  <dimension ref="A1:V89"/>
  <sheetViews>
    <sheetView workbookViewId="0">
      <selection activeCell="A17" sqref="A17"/>
    </sheetView>
  </sheetViews>
  <sheetFormatPr defaultRowHeight="12.75" x14ac:dyDescent="0.2"/>
  <cols>
    <col min="1" max="1" width="20.28515625" style="168" customWidth="1"/>
    <col min="2" max="2" width="7.5703125" style="169" customWidth="1"/>
    <col min="3" max="3" width="7.5703125" style="171" customWidth="1"/>
    <col min="4" max="8" width="7.5703125" style="169" customWidth="1"/>
    <col min="9" max="9" width="7.5703125" style="170" customWidth="1"/>
    <col min="10" max="11" width="7.5703125" style="169" customWidth="1"/>
    <col min="12" max="16384" width="9.140625" style="168"/>
  </cols>
  <sheetData>
    <row r="1" spans="1:22" s="197" customFormat="1" ht="11.25" x14ac:dyDescent="0.2">
      <c r="A1" s="211"/>
      <c r="B1" s="199"/>
      <c r="C1" s="198"/>
      <c r="D1" s="199"/>
      <c r="E1" s="199"/>
      <c r="F1" s="199"/>
      <c r="G1" s="199"/>
      <c r="H1" s="199"/>
      <c r="I1" s="200"/>
      <c r="J1" s="199"/>
      <c r="K1" s="199"/>
      <c r="L1" s="198"/>
      <c r="Q1" s="198"/>
    </row>
    <row r="2" spans="1:22" s="197" customFormat="1" ht="11.25" x14ac:dyDescent="0.2">
      <c r="A2" s="211"/>
      <c r="B2" s="199"/>
      <c r="C2" s="198"/>
      <c r="D2" s="199"/>
      <c r="E2" s="199"/>
      <c r="F2" s="199"/>
      <c r="G2" s="199"/>
      <c r="H2" s="199"/>
      <c r="I2" s="200"/>
      <c r="J2" s="199"/>
      <c r="K2" s="199"/>
      <c r="L2" s="198"/>
      <c r="Q2" s="198"/>
    </row>
    <row r="3" spans="1:22" s="197" customFormat="1" x14ac:dyDescent="0.2">
      <c r="A3" s="203" t="s">
        <v>604</v>
      </c>
      <c r="B3" s="210">
        <v>38225</v>
      </c>
      <c r="C3" s="202"/>
      <c r="D3" s="202"/>
      <c r="E3" s="206" t="s">
        <v>603</v>
      </c>
      <c r="F3" s="205" t="s">
        <v>602</v>
      </c>
      <c r="G3" s="205"/>
      <c r="H3" s="204"/>
      <c r="I3" s="200" t="s">
        <v>601</v>
      </c>
      <c r="J3" s="205" t="s">
        <v>600</v>
      </c>
      <c r="K3" s="205"/>
      <c r="L3" s="168"/>
      <c r="Q3" s="168"/>
      <c r="R3" s="168"/>
      <c r="S3" s="168"/>
      <c r="T3" s="198"/>
      <c r="V3" s="198"/>
    </row>
    <row r="4" spans="1:22" s="197" customFormat="1" x14ac:dyDescent="0.2">
      <c r="A4" s="203" t="s">
        <v>599</v>
      </c>
      <c r="B4" s="208" t="s">
        <v>598</v>
      </c>
      <c r="C4" s="208"/>
      <c r="D4" s="208"/>
      <c r="E4" s="206" t="s">
        <v>597</v>
      </c>
      <c r="F4" s="205" t="s">
        <v>596</v>
      </c>
      <c r="G4" s="205"/>
      <c r="H4" s="204"/>
      <c r="I4" s="200" t="s">
        <v>595</v>
      </c>
      <c r="J4" s="209"/>
      <c r="K4" s="209"/>
      <c r="L4" s="168"/>
      <c r="Q4" s="168"/>
      <c r="R4" s="168"/>
      <c r="S4" s="168"/>
    </row>
    <row r="5" spans="1:22" s="197" customFormat="1" x14ac:dyDescent="0.2">
      <c r="A5" s="203" t="s">
        <v>594</v>
      </c>
      <c r="B5" s="208" t="s">
        <v>593</v>
      </c>
      <c r="C5" s="208"/>
      <c r="D5" s="208"/>
      <c r="E5" s="206" t="s">
        <v>592</v>
      </c>
      <c r="F5" s="205" t="s">
        <v>591</v>
      </c>
      <c r="G5" s="205"/>
      <c r="H5" s="204"/>
      <c r="I5" s="200"/>
      <c r="J5" s="169"/>
      <c r="K5" s="169"/>
      <c r="L5" s="168"/>
      <c r="U5" s="198"/>
    </row>
    <row r="6" spans="1:22" s="197" customFormat="1" x14ac:dyDescent="0.2">
      <c r="A6" s="203" t="s">
        <v>590</v>
      </c>
      <c r="B6" s="207">
        <v>43076</v>
      </c>
      <c r="C6" s="207"/>
      <c r="D6" s="207"/>
      <c r="E6" s="206" t="s">
        <v>589</v>
      </c>
      <c r="F6" s="205"/>
      <c r="G6" s="205"/>
      <c r="H6" s="204"/>
      <c r="I6" s="200"/>
      <c r="J6" s="169"/>
      <c r="K6" s="169"/>
      <c r="L6" s="168"/>
      <c r="U6" s="198"/>
    </row>
    <row r="7" spans="1:22" s="197" customFormat="1" x14ac:dyDescent="0.2">
      <c r="A7" s="203" t="s">
        <v>588</v>
      </c>
      <c r="B7" s="207">
        <v>43077</v>
      </c>
      <c r="C7" s="207"/>
      <c r="D7" s="207"/>
      <c r="E7" s="206" t="s">
        <v>587</v>
      </c>
      <c r="F7" s="205"/>
      <c r="G7" s="205"/>
      <c r="H7" s="204"/>
      <c r="I7" s="200"/>
      <c r="J7" s="169"/>
      <c r="K7" s="169"/>
      <c r="L7" s="168"/>
      <c r="U7" s="198"/>
    </row>
    <row r="8" spans="1:22" s="197" customFormat="1" x14ac:dyDescent="0.2">
      <c r="A8" s="203" t="s">
        <v>586</v>
      </c>
      <c r="B8" s="202"/>
      <c r="C8" s="202"/>
      <c r="D8" s="202"/>
      <c r="E8" s="201"/>
      <c r="F8" s="199"/>
      <c r="G8" s="199"/>
      <c r="H8" s="199"/>
      <c r="I8" s="200"/>
      <c r="J8" s="199"/>
      <c r="K8" s="199"/>
      <c r="U8" s="198"/>
    </row>
    <row r="9" spans="1:22" s="172" customFormat="1" ht="11.25" x14ac:dyDescent="0.2">
      <c r="A9" s="172" t="s">
        <v>585</v>
      </c>
      <c r="B9" s="173"/>
      <c r="C9" s="175" t="s">
        <v>585</v>
      </c>
      <c r="D9" s="173" t="s">
        <v>585</v>
      </c>
      <c r="E9" s="173"/>
      <c r="F9" s="173"/>
      <c r="G9" s="173"/>
      <c r="H9" s="173"/>
      <c r="I9" s="174"/>
      <c r="J9" s="173"/>
      <c r="K9" s="173"/>
    </row>
    <row r="10" spans="1:22" s="172" customFormat="1" ht="11.25" x14ac:dyDescent="0.2">
      <c r="A10" s="196" t="s">
        <v>584</v>
      </c>
      <c r="B10" s="193"/>
      <c r="C10" s="195"/>
      <c r="D10" s="193"/>
      <c r="E10" s="193"/>
      <c r="F10" s="193"/>
      <c r="G10" s="193"/>
      <c r="H10" s="193"/>
      <c r="I10" s="194"/>
      <c r="J10" s="193"/>
      <c r="K10" s="193"/>
      <c r="L10" s="192"/>
    </row>
    <row r="11" spans="1:22" s="172" customFormat="1" ht="11.25" x14ac:dyDescent="0.2">
      <c r="A11" s="191" t="s">
        <v>583</v>
      </c>
      <c r="B11" s="188"/>
      <c r="C11" s="190"/>
      <c r="D11" s="188"/>
      <c r="E11" s="188"/>
      <c r="F11" s="188"/>
      <c r="G11" s="188"/>
      <c r="H11" s="188"/>
      <c r="I11" s="189"/>
      <c r="J11" s="188"/>
      <c r="K11" s="188"/>
      <c r="L11" s="187"/>
    </row>
    <row r="12" spans="1:22" s="172" customFormat="1" ht="14.25" customHeight="1" thickBot="1" x14ac:dyDescent="0.25">
      <c r="A12" s="186" t="s">
        <v>8</v>
      </c>
      <c r="B12" s="182" t="s">
        <v>582</v>
      </c>
      <c r="C12" s="185" t="s">
        <v>581</v>
      </c>
      <c r="D12" s="182" t="s">
        <v>580</v>
      </c>
      <c r="E12" s="182" t="s">
        <v>579</v>
      </c>
      <c r="F12" s="182" t="s">
        <v>578</v>
      </c>
      <c r="G12" s="182" t="s">
        <v>577</v>
      </c>
      <c r="H12" s="184" t="s">
        <v>576</v>
      </c>
      <c r="I12" s="183" t="s">
        <v>575</v>
      </c>
      <c r="J12" s="182" t="s">
        <v>574</v>
      </c>
      <c r="K12" s="182" t="s">
        <v>573</v>
      </c>
      <c r="L12" s="182" t="s">
        <v>572</v>
      </c>
    </row>
    <row r="13" spans="1:22" s="172" customFormat="1" ht="12" thickTop="1" x14ac:dyDescent="0.2">
      <c r="A13" s="180" t="s">
        <v>571</v>
      </c>
      <c r="B13" s="173">
        <v>4.6500000000000004</v>
      </c>
      <c r="C13" s="175">
        <v>1.17</v>
      </c>
      <c r="D13" s="173">
        <v>80.8</v>
      </c>
      <c r="E13" s="173">
        <v>31.7</v>
      </c>
      <c r="F13" s="173">
        <v>6.2</v>
      </c>
      <c r="G13" s="173"/>
      <c r="H13" s="173"/>
      <c r="I13" s="174" t="s">
        <v>507</v>
      </c>
      <c r="J13" s="173"/>
      <c r="K13" s="173">
        <v>9.6</v>
      </c>
      <c r="L13" s="181"/>
    </row>
    <row r="14" spans="1:22" s="172" customFormat="1" ht="11.25" x14ac:dyDescent="0.2">
      <c r="A14" s="180" t="s">
        <v>570</v>
      </c>
      <c r="B14" s="173">
        <v>4.4400000000000004</v>
      </c>
      <c r="C14" s="175">
        <v>1.18</v>
      </c>
      <c r="D14" s="173">
        <v>81.400000000000006</v>
      </c>
      <c r="E14" s="173">
        <v>32.700000000000003</v>
      </c>
      <c r="F14" s="173">
        <v>6.1</v>
      </c>
      <c r="G14" s="173"/>
      <c r="H14" s="173"/>
      <c r="I14" s="174" t="s">
        <v>507</v>
      </c>
      <c r="J14" s="173"/>
      <c r="K14" s="173">
        <v>8.8000000000000007</v>
      </c>
      <c r="L14" s="173"/>
    </row>
    <row r="15" spans="1:22" s="172" customFormat="1" ht="11.25" x14ac:dyDescent="0.2">
      <c r="A15" s="180" t="s">
        <v>569</v>
      </c>
      <c r="B15" s="173">
        <v>4.7</v>
      </c>
      <c r="C15" s="175">
        <v>1.1399999999999999</v>
      </c>
      <c r="D15" s="173">
        <v>80.900000000000006</v>
      </c>
      <c r="E15" s="173">
        <v>31.2</v>
      </c>
      <c r="F15" s="173">
        <v>5.9</v>
      </c>
      <c r="G15" s="173"/>
      <c r="H15" s="173"/>
      <c r="I15" s="174" t="s">
        <v>507</v>
      </c>
      <c r="J15" s="173"/>
      <c r="K15" s="173">
        <v>9.4</v>
      </c>
      <c r="L15" s="173"/>
    </row>
    <row r="16" spans="1:22" s="172" customFormat="1" ht="11.25" x14ac:dyDescent="0.2">
      <c r="A16" s="180" t="s">
        <v>568</v>
      </c>
      <c r="B16" s="173">
        <v>5.01</v>
      </c>
      <c r="C16" s="175">
        <v>1.03</v>
      </c>
      <c r="D16" s="173">
        <v>79.3</v>
      </c>
      <c r="E16" s="173">
        <v>28.2</v>
      </c>
      <c r="F16" s="173">
        <v>6</v>
      </c>
      <c r="G16" s="173"/>
      <c r="H16" s="173"/>
      <c r="I16" s="174" t="s">
        <v>507</v>
      </c>
      <c r="J16" s="173"/>
      <c r="K16" s="173">
        <v>11.3</v>
      </c>
      <c r="L16" s="173"/>
    </row>
    <row r="17" spans="1:12" s="172" customFormat="1" ht="11.25" x14ac:dyDescent="0.2">
      <c r="A17" s="180" t="s">
        <v>567</v>
      </c>
      <c r="B17" s="173">
        <v>4.66</v>
      </c>
      <c r="C17" s="175">
        <v>1.1599999999999999</v>
      </c>
      <c r="D17" s="173">
        <v>80.8</v>
      </c>
      <c r="E17" s="173">
        <v>31.2</v>
      </c>
      <c r="F17" s="173">
        <v>6</v>
      </c>
      <c r="G17" s="173"/>
      <c r="H17" s="173"/>
      <c r="I17" s="174" t="s">
        <v>507</v>
      </c>
      <c r="J17" s="173"/>
      <c r="K17" s="173">
        <v>9.3000000000000007</v>
      </c>
      <c r="L17" s="173"/>
    </row>
    <row r="18" spans="1:12" s="172" customFormat="1" ht="11.25" x14ac:dyDescent="0.2">
      <c r="A18" s="180" t="s">
        <v>566</v>
      </c>
      <c r="B18" s="173">
        <v>3.96</v>
      </c>
      <c r="C18" s="175">
        <v>1.1299999999999999</v>
      </c>
      <c r="D18" s="173">
        <v>77.900000000000006</v>
      </c>
      <c r="E18" s="173">
        <v>31.2</v>
      </c>
      <c r="F18" s="173">
        <v>6</v>
      </c>
      <c r="G18" s="173"/>
      <c r="H18" s="173"/>
      <c r="I18" s="174" t="s">
        <v>507</v>
      </c>
      <c r="J18" s="173"/>
      <c r="K18" s="173">
        <v>11.2</v>
      </c>
      <c r="L18" s="173"/>
    </row>
    <row r="19" spans="1:12" s="172" customFormat="1" ht="11.25" x14ac:dyDescent="0.2">
      <c r="A19" s="180" t="s">
        <v>565</v>
      </c>
      <c r="B19" s="173">
        <v>4.79</v>
      </c>
      <c r="C19" s="175">
        <v>1.1399999999999999</v>
      </c>
      <c r="D19" s="173">
        <v>80</v>
      </c>
      <c r="E19" s="173">
        <v>30.7</v>
      </c>
      <c r="F19" s="173">
        <v>5.9</v>
      </c>
      <c r="G19" s="173"/>
      <c r="H19" s="173"/>
      <c r="I19" s="174" t="s">
        <v>507</v>
      </c>
      <c r="J19" s="173"/>
      <c r="K19" s="173">
        <v>10.3</v>
      </c>
      <c r="L19" s="173"/>
    </row>
    <row r="20" spans="1:12" s="172" customFormat="1" ht="11.25" x14ac:dyDescent="0.2">
      <c r="A20" s="180" t="s">
        <v>564</v>
      </c>
      <c r="B20" s="173">
        <v>4.68</v>
      </c>
      <c r="C20" s="175">
        <v>1.1200000000000001</v>
      </c>
      <c r="D20" s="173">
        <v>80.099999999999994</v>
      </c>
      <c r="E20" s="173">
        <v>31.3</v>
      </c>
      <c r="F20" s="173">
        <v>5.9</v>
      </c>
      <c r="G20" s="173"/>
      <c r="H20" s="173"/>
      <c r="I20" s="174" t="s">
        <v>507</v>
      </c>
      <c r="J20" s="173"/>
      <c r="K20" s="173">
        <v>10.3</v>
      </c>
      <c r="L20" s="173"/>
    </row>
    <row r="21" spans="1:12" s="172" customFormat="1" ht="11.25" x14ac:dyDescent="0.2">
      <c r="A21" s="180" t="s">
        <v>563</v>
      </c>
      <c r="B21" s="173">
        <v>4.25</v>
      </c>
      <c r="C21" s="175">
        <v>1.1499999999999999</v>
      </c>
      <c r="D21" s="173">
        <v>81.099999999999994</v>
      </c>
      <c r="E21" s="173">
        <v>31.8</v>
      </c>
      <c r="F21" s="173">
        <v>6.2</v>
      </c>
      <c r="G21" s="173"/>
      <c r="H21" s="173"/>
      <c r="I21" s="174" t="s">
        <v>507</v>
      </c>
      <c r="J21" s="173"/>
      <c r="K21" s="173">
        <v>9.3000000000000007</v>
      </c>
      <c r="L21" s="173"/>
    </row>
    <row r="22" spans="1:12" s="172" customFormat="1" ht="11.25" x14ac:dyDescent="0.2">
      <c r="A22" s="180" t="s">
        <v>562</v>
      </c>
      <c r="B22" s="173">
        <v>4.24</v>
      </c>
      <c r="C22" s="175">
        <v>1.1100000000000001</v>
      </c>
      <c r="D22" s="173">
        <v>79.599999999999994</v>
      </c>
      <c r="E22" s="173">
        <v>30.6</v>
      </c>
      <c r="F22" s="173">
        <v>5.6</v>
      </c>
      <c r="G22" s="173"/>
      <c r="H22" s="173"/>
      <c r="I22" s="174" t="s">
        <v>507</v>
      </c>
      <c r="J22" s="173"/>
      <c r="K22" s="173">
        <v>10.3</v>
      </c>
      <c r="L22" s="173"/>
    </row>
    <row r="23" spans="1:12" s="172" customFormat="1" ht="11.25" x14ac:dyDescent="0.2">
      <c r="A23" s="180" t="s">
        <v>561</v>
      </c>
      <c r="B23" s="173">
        <v>4.53</v>
      </c>
      <c r="C23" s="175">
        <v>1.1000000000000001</v>
      </c>
      <c r="D23" s="173">
        <v>79.400000000000006</v>
      </c>
      <c r="E23" s="173">
        <v>31.4</v>
      </c>
      <c r="F23" s="173">
        <v>6.1</v>
      </c>
      <c r="G23" s="173"/>
      <c r="H23" s="173"/>
      <c r="I23" s="174" t="s">
        <v>507</v>
      </c>
      <c r="J23" s="173"/>
      <c r="K23" s="173">
        <v>10.9</v>
      </c>
      <c r="L23" s="173"/>
    </row>
    <row r="24" spans="1:12" s="172" customFormat="1" ht="11.25" x14ac:dyDescent="0.2">
      <c r="A24" s="180" t="s">
        <v>560</v>
      </c>
      <c r="B24" s="173">
        <v>4.84</v>
      </c>
      <c r="C24" s="175">
        <v>1.1200000000000001</v>
      </c>
      <c r="D24" s="173">
        <v>80.2</v>
      </c>
      <c r="E24" s="173">
        <v>31</v>
      </c>
      <c r="F24" s="173">
        <v>5.7</v>
      </c>
      <c r="G24" s="173"/>
      <c r="H24" s="173"/>
      <c r="I24" s="174" t="s">
        <v>507</v>
      </c>
      <c r="J24" s="173"/>
      <c r="K24" s="173">
        <v>10.5</v>
      </c>
      <c r="L24" s="173"/>
    </row>
    <row r="25" spans="1:12" s="172" customFormat="1" ht="11.25" x14ac:dyDescent="0.2">
      <c r="A25" s="180" t="s">
        <v>559</v>
      </c>
      <c r="B25" s="173">
        <v>4.3899999999999997</v>
      </c>
      <c r="C25" s="175">
        <v>1.17</v>
      </c>
      <c r="D25" s="173">
        <v>80.900000000000006</v>
      </c>
      <c r="E25" s="173">
        <v>31.3</v>
      </c>
      <c r="F25" s="173">
        <v>6</v>
      </c>
      <c r="G25" s="173"/>
      <c r="H25" s="173"/>
      <c r="I25" s="174" t="s">
        <v>507</v>
      </c>
      <c r="J25" s="173"/>
      <c r="K25" s="173">
        <v>9</v>
      </c>
      <c r="L25" s="173"/>
    </row>
    <row r="26" spans="1:12" s="172" customFormat="1" ht="11.25" x14ac:dyDescent="0.2">
      <c r="A26" s="180" t="s">
        <v>558</v>
      </c>
      <c r="B26" s="173">
        <v>4.96</v>
      </c>
      <c r="C26" s="175">
        <v>1.0900000000000001</v>
      </c>
      <c r="D26" s="173">
        <v>79.400000000000006</v>
      </c>
      <c r="E26" s="173">
        <v>30.4</v>
      </c>
      <c r="F26" s="173">
        <v>6</v>
      </c>
      <c r="G26" s="173"/>
      <c r="H26" s="173"/>
      <c r="I26" s="174" t="s">
        <v>507</v>
      </c>
      <c r="J26" s="173"/>
      <c r="K26" s="173">
        <v>10.6</v>
      </c>
      <c r="L26" s="173"/>
    </row>
    <row r="27" spans="1:12" s="172" customFormat="1" ht="11.25" x14ac:dyDescent="0.2">
      <c r="A27" s="180" t="s">
        <v>557</v>
      </c>
      <c r="B27" s="173">
        <v>4.3099999999999996</v>
      </c>
      <c r="C27" s="175">
        <v>1.1100000000000001</v>
      </c>
      <c r="D27" s="173">
        <v>80.5</v>
      </c>
      <c r="E27" s="173">
        <v>30.1</v>
      </c>
      <c r="F27" s="173">
        <v>6.2</v>
      </c>
      <c r="G27" s="173"/>
      <c r="H27" s="173"/>
      <c r="I27" s="174" t="s">
        <v>507</v>
      </c>
      <c r="J27" s="173"/>
      <c r="K27" s="173">
        <v>9.8000000000000007</v>
      </c>
      <c r="L27" s="173"/>
    </row>
    <row r="28" spans="1:12" s="172" customFormat="1" ht="11.25" x14ac:dyDescent="0.2">
      <c r="A28" s="180" t="s">
        <v>556</v>
      </c>
      <c r="B28" s="173">
        <v>4.84</v>
      </c>
      <c r="C28" s="175">
        <v>1.0900000000000001</v>
      </c>
      <c r="D28" s="173">
        <v>79.099999999999994</v>
      </c>
      <c r="E28" s="173">
        <v>30.5</v>
      </c>
      <c r="F28" s="173">
        <v>6</v>
      </c>
      <c r="G28" s="173"/>
      <c r="H28" s="173"/>
      <c r="I28" s="174" t="s">
        <v>507</v>
      </c>
      <c r="J28" s="173"/>
      <c r="K28" s="173">
        <v>11</v>
      </c>
      <c r="L28" s="173"/>
    </row>
    <row r="29" spans="1:12" s="172" customFormat="1" ht="11.25" x14ac:dyDescent="0.2">
      <c r="A29" s="180" t="s">
        <v>555</v>
      </c>
      <c r="B29" s="173">
        <v>4.08</v>
      </c>
      <c r="C29" s="175">
        <v>1.18</v>
      </c>
      <c r="D29" s="173">
        <v>81.099999999999994</v>
      </c>
      <c r="E29" s="173">
        <v>34</v>
      </c>
      <c r="F29" s="173">
        <v>6.1</v>
      </c>
      <c r="G29" s="173"/>
      <c r="H29" s="173"/>
      <c r="I29" s="174" t="s">
        <v>507</v>
      </c>
      <c r="J29" s="173"/>
      <c r="K29" s="173">
        <v>8.6999999999999993</v>
      </c>
      <c r="L29" s="173"/>
    </row>
    <row r="30" spans="1:12" s="172" customFormat="1" ht="11.25" x14ac:dyDescent="0.2">
      <c r="A30" s="180" t="s">
        <v>554</v>
      </c>
      <c r="B30" s="173">
        <v>4.7300000000000004</v>
      </c>
      <c r="C30" s="175">
        <v>1.1599999999999999</v>
      </c>
      <c r="D30" s="173">
        <v>81.400000000000006</v>
      </c>
      <c r="E30" s="173">
        <v>31.6</v>
      </c>
      <c r="F30" s="173">
        <v>5.8</v>
      </c>
      <c r="G30" s="173"/>
      <c r="H30" s="173"/>
      <c r="I30" s="174" t="s">
        <v>507</v>
      </c>
      <c r="J30" s="173"/>
      <c r="K30" s="173">
        <v>9.1</v>
      </c>
      <c r="L30" s="173"/>
    </row>
    <row r="31" spans="1:12" s="172" customFormat="1" ht="11.25" x14ac:dyDescent="0.2">
      <c r="A31" s="180" t="s">
        <v>553</v>
      </c>
      <c r="B31" s="173">
        <v>4.3600000000000003</v>
      </c>
      <c r="C31" s="175">
        <v>1.1499999999999999</v>
      </c>
      <c r="D31" s="173">
        <v>80.8</v>
      </c>
      <c r="E31" s="173">
        <v>32.200000000000003</v>
      </c>
      <c r="F31" s="173">
        <v>6.1</v>
      </c>
      <c r="G31" s="173"/>
      <c r="H31" s="173"/>
      <c r="I31" s="174" t="s">
        <v>507</v>
      </c>
      <c r="J31" s="173"/>
      <c r="K31" s="173">
        <v>9.8000000000000007</v>
      </c>
      <c r="L31" s="173"/>
    </row>
    <row r="32" spans="1:12" s="172" customFormat="1" ht="11.25" x14ac:dyDescent="0.2">
      <c r="A32" s="180" t="s">
        <v>552</v>
      </c>
      <c r="B32" s="173">
        <v>4.1500000000000004</v>
      </c>
      <c r="C32" s="175">
        <v>1.1100000000000001</v>
      </c>
      <c r="D32" s="173">
        <v>80.900000000000006</v>
      </c>
      <c r="E32" s="173">
        <v>30.2</v>
      </c>
      <c r="F32" s="173">
        <v>5.8</v>
      </c>
      <c r="G32" s="173"/>
      <c r="H32" s="173"/>
      <c r="I32" s="174" t="s">
        <v>507</v>
      </c>
      <c r="J32" s="173"/>
      <c r="K32" s="173">
        <v>9.5</v>
      </c>
      <c r="L32" s="173"/>
    </row>
    <row r="33" spans="1:12" s="172" customFormat="1" ht="11.25" x14ac:dyDescent="0.2">
      <c r="A33" s="180" t="s">
        <v>551</v>
      </c>
      <c r="B33" s="173">
        <v>4.34</v>
      </c>
      <c r="C33" s="175">
        <v>1.1499999999999999</v>
      </c>
      <c r="D33" s="173">
        <v>80.7</v>
      </c>
      <c r="E33" s="173">
        <v>31.9</v>
      </c>
      <c r="F33" s="173">
        <v>6</v>
      </c>
      <c r="G33" s="173"/>
      <c r="H33" s="173"/>
      <c r="I33" s="174" t="s">
        <v>507</v>
      </c>
      <c r="J33" s="173"/>
      <c r="K33" s="173">
        <v>9.1</v>
      </c>
      <c r="L33" s="173"/>
    </row>
    <row r="34" spans="1:12" s="172" customFormat="1" ht="11.25" x14ac:dyDescent="0.2">
      <c r="A34" s="180" t="s">
        <v>550</v>
      </c>
      <c r="B34" s="173">
        <v>4.6100000000000003</v>
      </c>
      <c r="C34" s="175">
        <v>1.1100000000000001</v>
      </c>
      <c r="D34" s="173">
        <v>81.3</v>
      </c>
      <c r="E34" s="173">
        <v>31.1</v>
      </c>
      <c r="F34" s="173">
        <v>6.1</v>
      </c>
      <c r="G34" s="173"/>
      <c r="H34" s="173"/>
      <c r="I34" s="174" t="s">
        <v>507</v>
      </c>
      <c r="J34" s="173"/>
      <c r="K34" s="173">
        <v>9.9</v>
      </c>
      <c r="L34" s="173"/>
    </row>
    <row r="35" spans="1:12" s="172" customFormat="1" ht="11.25" x14ac:dyDescent="0.2">
      <c r="A35" s="180" t="s">
        <v>549</v>
      </c>
      <c r="B35" s="173">
        <v>4.08</v>
      </c>
      <c r="C35" s="175">
        <v>1.1499999999999999</v>
      </c>
      <c r="D35" s="173">
        <v>80.599999999999994</v>
      </c>
      <c r="E35" s="173">
        <v>31.4</v>
      </c>
      <c r="F35" s="173">
        <v>6</v>
      </c>
      <c r="G35" s="173"/>
      <c r="H35" s="173"/>
      <c r="I35" s="174" t="s">
        <v>507</v>
      </c>
      <c r="J35" s="173"/>
      <c r="K35" s="173">
        <v>10</v>
      </c>
      <c r="L35" s="173"/>
    </row>
    <row r="36" spans="1:12" s="172" customFormat="1" ht="11.25" x14ac:dyDescent="0.2">
      <c r="A36" s="180" t="s">
        <v>548</v>
      </c>
      <c r="B36" s="173">
        <v>4.16</v>
      </c>
      <c r="C36" s="175">
        <v>1.1599999999999999</v>
      </c>
      <c r="D36" s="173">
        <v>81.099999999999994</v>
      </c>
      <c r="E36" s="173">
        <v>32.9</v>
      </c>
      <c r="F36" s="173">
        <v>5.9</v>
      </c>
      <c r="G36" s="173"/>
      <c r="H36" s="173"/>
      <c r="I36" s="174" t="s">
        <v>507</v>
      </c>
      <c r="J36" s="173"/>
      <c r="K36" s="173">
        <v>9.1999999999999993</v>
      </c>
      <c r="L36" s="173"/>
    </row>
    <row r="37" spans="1:12" s="172" customFormat="1" ht="11.25" x14ac:dyDescent="0.2">
      <c r="A37" s="180" t="s">
        <v>547</v>
      </c>
      <c r="B37" s="173">
        <v>4.67</v>
      </c>
      <c r="C37" s="175">
        <v>1.1399999999999999</v>
      </c>
      <c r="D37" s="173">
        <v>80.7</v>
      </c>
      <c r="E37" s="173">
        <v>31.1</v>
      </c>
      <c r="F37" s="173">
        <v>6</v>
      </c>
      <c r="G37" s="173"/>
      <c r="H37" s="173"/>
      <c r="I37" s="174" t="s">
        <v>507</v>
      </c>
      <c r="J37" s="173"/>
      <c r="K37" s="173">
        <v>9.5</v>
      </c>
      <c r="L37" s="173"/>
    </row>
    <row r="38" spans="1:12" s="172" customFormat="1" ht="11.25" x14ac:dyDescent="0.2">
      <c r="A38" s="180" t="s">
        <v>546</v>
      </c>
      <c r="B38" s="173">
        <v>4.83</v>
      </c>
      <c r="C38" s="175">
        <v>1.1200000000000001</v>
      </c>
      <c r="D38" s="173">
        <v>80.2</v>
      </c>
      <c r="E38" s="173">
        <v>30.7</v>
      </c>
      <c r="F38" s="173">
        <v>5.9</v>
      </c>
      <c r="G38" s="173"/>
      <c r="H38" s="173"/>
      <c r="I38" s="174" t="s">
        <v>507</v>
      </c>
      <c r="J38" s="173"/>
      <c r="K38" s="173">
        <v>9.9</v>
      </c>
      <c r="L38" s="173"/>
    </row>
    <row r="39" spans="1:12" s="172" customFormat="1" ht="11.25" x14ac:dyDescent="0.2">
      <c r="A39" s="180" t="s">
        <v>545</v>
      </c>
      <c r="B39" s="173">
        <v>4.37</v>
      </c>
      <c r="C39" s="175">
        <v>1.1599999999999999</v>
      </c>
      <c r="D39" s="173">
        <v>81.599999999999994</v>
      </c>
      <c r="E39" s="173">
        <v>32.299999999999997</v>
      </c>
      <c r="F39" s="173">
        <v>6.1</v>
      </c>
      <c r="G39" s="173"/>
      <c r="H39" s="173"/>
      <c r="I39" s="174" t="s">
        <v>507</v>
      </c>
      <c r="J39" s="173"/>
      <c r="K39" s="173">
        <v>9.1999999999999993</v>
      </c>
      <c r="L39" s="173"/>
    </row>
    <row r="40" spans="1:12" s="172" customFormat="1" ht="11.25" x14ac:dyDescent="0.2">
      <c r="A40" s="180" t="s">
        <v>544</v>
      </c>
      <c r="B40" s="173">
        <v>4.1900000000000004</v>
      </c>
      <c r="C40" s="175">
        <v>1.1499999999999999</v>
      </c>
      <c r="D40" s="173">
        <v>81.400000000000006</v>
      </c>
      <c r="E40" s="173">
        <v>31.9</v>
      </c>
      <c r="F40" s="173">
        <v>6.1</v>
      </c>
      <c r="G40" s="173"/>
      <c r="H40" s="173"/>
      <c r="I40" s="174" t="s">
        <v>507</v>
      </c>
      <c r="J40" s="173"/>
      <c r="K40" s="173">
        <v>9.5</v>
      </c>
      <c r="L40" s="173"/>
    </row>
    <row r="41" spans="1:12" s="172" customFormat="1" ht="11.25" x14ac:dyDescent="0.2">
      <c r="A41" s="180" t="s">
        <v>543</v>
      </c>
      <c r="B41" s="173">
        <v>4.25</v>
      </c>
      <c r="C41" s="175">
        <v>1.1499999999999999</v>
      </c>
      <c r="D41" s="173">
        <v>80.7</v>
      </c>
      <c r="E41" s="173">
        <v>31.8</v>
      </c>
      <c r="F41" s="173">
        <v>6.2</v>
      </c>
      <c r="G41" s="173"/>
      <c r="H41" s="173"/>
      <c r="I41" s="174" t="s">
        <v>507</v>
      </c>
      <c r="J41" s="173"/>
      <c r="K41" s="173">
        <v>9.9</v>
      </c>
      <c r="L41" s="173"/>
    </row>
    <row r="42" spans="1:12" s="172" customFormat="1" ht="11.25" x14ac:dyDescent="0.2">
      <c r="A42" s="180" t="s">
        <v>542</v>
      </c>
      <c r="B42" s="173">
        <v>4.4000000000000004</v>
      </c>
      <c r="C42" s="175">
        <v>1.1499999999999999</v>
      </c>
      <c r="D42" s="173">
        <v>80</v>
      </c>
      <c r="E42" s="173">
        <v>32.9</v>
      </c>
      <c r="F42" s="173">
        <v>5.7</v>
      </c>
      <c r="G42" s="173"/>
      <c r="H42" s="173"/>
      <c r="I42" s="174" t="s">
        <v>507</v>
      </c>
      <c r="J42" s="173"/>
      <c r="K42" s="173">
        <v>10.199999999999999</v>
      </c>
      <c r="L42" s="173"/>
    </row>
    <row r="43" spans="1:12" s="172" customFormat="1" ht="11.25" x14ac:dyDescent="0.2">
      <c r="A43" s="180" t="s">
        <v>541</v>
      </c>
      <c r="B43" s="173">
        <v>4.54</v>
      </c>
      <c r="C43" s="175">
        <v>1.17</v>
      </c>
      <c r="D43" s="173">
        <v>81.599999999999994</v>
      </c>
      <c r="E43" s="173">
        <v>32.700000000000003</v>
      </c>
      <c r="F43" s="173">
        <v>6.1</v>
      </c>
      <c r="G43" s="173"/>
      <c r="H43" s="173"/>
      <c r="I43" s="174" t="s">
        <v>507</v>
      </c>
      <c r="J43" s="173"/>
      <c r="K43" s="173">
        <v>8.8000000000000007</v>
      </c>
      <c r="L43" s="173"/>
    </row>
    <row r="44" spans="1:12" s="172" customFormat="1" ht="11.25" x14ac:dyDescent="0.2">
      <c r="A44" s="180" t="s">
        <v>540</v>
      </c>
      <c r="B44" s="173">
        <v>4.68</v>
      </c>
      <c r="C44" s="175">
        <v>1.1200000000000001</v>
      </c>
      <c r="D44" s="173">
        <v>80.2</v>
      </c>
      <c r="E44" s="173">
        <v>29.7</v>
      </c>
      <c r="F44" s="173">
        <v>6</v>
      </c>
      <c r="G44" s="173"/>
      <c r="H44" s="173"/>
      <c r="I44" s="174" t="s">
        <v>507</v>
      </c>
      <c r="J44" s="173"/>
      <c r="K44" s="173">
        <v>10.5</v>
      </c>
      <c r="L44" s="173"/>
    </row>
    <row r="45" spans="1:12" s="172" customFormat="1" ht="11.25" x14ac:dyDescent="0.2">
      <c r="A45" s="180" t="s">
        <v>539</v>
      </c>
      <c r="B45" s="173">
        <v>4.29</v>
      </c>
      <c r="C45" s="175">
        <v>1.1499999999999999</v>
      </c>
      <c r="D45" s="173">
        <v>80.8</v>
      </c>
      <c r="E45" s="173">
        <v>32.6</v>
      </c>
      <c r="F45" s="173">
        <v>6.1</v>
      </c>
      <c r="G45" s="173"/>
      <c r="H45" s="173"/>
      <c r="I45" s="174" t="s">
        <v>507</v>
      </c>
      <c r="J45" s="173"/>
      <c r="K45" s="173">
        <v>9.5</v>
      </c>
      <c r="L45" s="173"/>
    </row>
    <row r="46" spans="1:12" s="172" customFormat="1" ht="11.25" x14ac:dyDescent="0.2">
      <c r="A46" s="180" t="s">
        <v>538</v>
      </c>
      <c r="B46" s="173">
        <v>3.81</v>
      </c>
      <c r="C46" s="175">
        <v>1.1399999999999999</v>
      </c>
      <c r="D46" s="173">
        <v>80.2</v>
      </c>
      <c r="E46" s="173">
        <v>30.3</v>
      </c>
      <c r="F46" s="173">
        <v>5.7</v>
      </c>
      <c r="G46" s="173"/>
      <c r="H46" s="173"/>
      <c r="I46" s="174" t="s">
        <v>507</v>
      </c>
      <c r="J46" s="173"/>
      <c r="K46" s="173">
        <v>10.199999999999999</v>
      </c>
      <c r="L46" s="173"/>
    </row>
    <row r="47" spans="1:12" s="172" customFormat="1" ht="11.25" x14ac:dyDescent="0.2">
      <c r="A47" s="180" t="s">
        <v>537</v>
      </c>
      <c r="B47" s="173">
        <v>4.63</v>
      </c>
      <c r="C47" s="175">
        <v>1.1499999999999999</v>
      </c>
      <c r="D47" s="173">
        <v>80.5</v>
      </c>
      <c r="E47" s="173">
        <v>30.7</v>
      </c>
      <c r="F47" s="173">
        <v>6</v>
      </c>
      <c r="G47" s="173"/>
      <c r="H47" s="173"/>
      <c r="I47" s="174" t="s">
        <v>507</v>
      </c>
      <c r="J47" s="173"/>
      <c r="K47" s="173">
        <v>10</v>
      </c>
      <c r="L47" s="173"/>
    </row>
    <row r="48" spans="1:12" s="172" customFormat="1" ht="11.25" x14ac:dyDescent="0.2">
      <c r="A48" s="180" t="s">
        <v>536</v>
      </c>
      <c r="B48" s="173">
        <v>4.79</v>
      </c>
      <c r="C48" s="175">
        <v>1.0900000000000001</v>
      </c>
      <c r="D48" s="173">
        <v>79.7</v>
      </c>
      <c r="E48" s="173">
        <v>29.2</v>
      </c>
      <c r="F48" s="173">
        <v>5.8</v>
      </c>
      <c r="G48" s="173"/>
      <c r="H48" s="173"/>
      <c r="I48" s="174" t="s">
        <v>507</v>
      </c>
      <c r="J48" s="173"/>
      <c r="K48" s="173">
        <v>10.8</v>
      </c>
      <c r="L48" s="173"/>
    </row>
    <row r="49" spans="1:12" s="172" customFormat="1" ht="11.25" x14ac:dyDescent="0.2">
      <c r="A49" s="180" t="s">
        <v>535</v>
      </c>
      <c r="B49" s="173">
        <v>4.4000000000000004</v>
      </c>
      <c r="C49" s="175">
        <v>1.1100000000000001</v>
      </c>
      <c r="D49" s="173">
        <v>80.8</v>
      </c>
      <c r="E49" s="173">
        <v>31.6</v>
      </c>
      <c r="F49" s="173">
        <v>6.2</v>
      </c>
      <c r="G49" s="173"/>
      <c r="H49" s="173"/>
      <c r="I49" s="174" t="s">
        <v>507</v>
      </c>
      <c r="J49" s="173"/>
      <c r="K49" s="173">
        <v>10.3</v>
      </c>
      <c r="L49" s="173"/>
    </row>
    <row r="50" spans="1:12" s="172" customFormat="1" ht="11.25" x14ac:dyDescent="0.2">
      <c r="A50" s="180" t="s">
        <v>534</v>
      </c>
      <c r="B50" s="173">
        <v>4.29</v>
      </c>
      <c r="C50" s="175">
        <v>1.0900000000000001</v>
      </c>
      <c r="D50" s="173">
        <v>78.900000000000006</v>
      </c>
      <c r="E50" s="173">
        <v>32</v>
      </c>
      <c r="F50" s="173">
        <v>6.2</v>
      </c>
      <c r="G50" s="173"/>
      <c r="H50" s="173"/>
      <c r="I50" s="174" t="s">
        <v>507</v>
      </c>
      <c r="J50" s="173"/>
      <c r="K50" s="173">
        <v>11.4</v>
      </c>
      <c r="L50" s="173"/>
    </row>
    <row r="51" spans="1:12" s="172" customFormat="1" ht="11.25" x14ac:dyDescent="0.2">
      <c r="A51" s="180" t="s">
        <v>533</v>
      </c>
      <c r="B51" s="173">
        <v>4.8</v>
      </c>
      <c r="C51" s="175">
        <v>1.07</v>
      </c>
      <c r="D51" s="173">
        <v>80.099999999999994</v>
      </c>
      <c r="E51" s="173">
        <v>29.4</v>
      </c>
      <c r="F51" s="173">
        <v>5.8</v>
      </c>
      <c r="G51" s="173"/>
      <c r="H51" s="173"/>
      <c r="I51" s="174" t="s">
        <v>507</v>
      </c>
      <c r="J51" s="173"/>
      <c r="K51" s="173">
        <v>10.5</v>
      </c>
      <c r="L51" s="173"/>
    </row>
    <row r="52" spans="1:12" s="172" customFormat="1" ht="11.25" x14ac:dyDescent="0.2">
      <c r="A52" s="180" t="s">
        <v>532</v>
      </c>
      <c r="B52" s="173">
        <v>4.46</v>
      </c>
      <c r="C52" s="175">
        <v>1.08</v>
      </c>
      <c r="D52" s="173">
        <v>79.400000000000006</v>
      </c>
      <c r="E52" s="173">
        <v>31.2</v>
      </c>
      <c r="F52" s="173">
        <v>5.9</v>
      </c>
      <c r="G52" s="173"/>
      <c r="H52" s="173"/>
      <c r="I52" s="174" t="s">
        <v>507</v>
      </c>
      <c r="J52" s="173"/>
      <c r="K52" s="173">
        <v>11.2</v>
      </c>
      <c r="L52" s="173"/>
    </row>
    <row r="53" spans="1:12" s="172" customFormat="1" ht="11.25" x14ac:dyDescent="0.2">
      <c r="A53" s="180" t="s">
        <v>531</v>
      </c>
      <c r="B53" s="173">
        <v>3.92</v>
      </c>
      <c r="C53" s="175">
        <v>1.1399999999999999</v>
      </c>
      <c r="D53" s="173">
        <v>79.3</v>
      </c>
      <c r="E53" s="173">
        <v>32.200000000000003</v>
      </c>
      <c r="F53" s="173">
        <v>6.2</v>
      </c>
      <c r="G53" s="173"/>
      <c r="H53" s="173"/>
      <c r="I53" s="174" t="s">
        <v>507</v>
      </c>
      <c r="J53" s="173"/>
      <c r="K53" s="173">
        <v>10.5</v>
      </c>
      <c r="L53" s="173"/>
    </row>
    <row r="54" spans="1:12" s="172" customFormat="1" ht="11.25" x14ac:dyDescent="0.2">
      <c r="A54" s="180" t="s">
        <v>530</v>
      </c>
      <c r="B54" s="173">
        <v>3.85</v>
      </c>
      <c r="C54" s="175">
        <v>1.1299999999999999</v>
      </c>
      <c r="D54" s="173">
        <v>81.099999999999994</v>
      </c>
      <c r="E54" s="173">
        <v>32.200000000000003</v>
      </c>
      <c r="F54" s="173">
        <v>6</v>
      </c>
      <c r="G54" s="173"/>
      <c r="H54" s="173"/>
      <c r="I54" s="174" t="s">
        <v>507</v>
      </c>
      <c r="J54" s="173"/>
      <c r="K54" s="173">
        <v>9.6999999999999993</v>
      </c>
      <c r="L54" s="173"/>
    </row>
    <row r="55" spans="1:12" s="172" customFormat="1" ht="11.25" x14ac:dyDescent="0.2">
      <c r="A55" s="180" t="s">
        <v>529</v>
      </c>
      <c r="B55" s="173">
        <v>4.91</v>
      </c>
      <c r="C55" s="175">
        <v>1.1200000000000001</v>
      </c>
      <c r="D55" s="173">
        <v>79.8</v>
      </c>
      <c r="E55" s="173">
        <v>30.6</v>
      </c>
      <c r="F55" s="173">
        <v>5.8</v>
      </c>
      <c r="G55" s="173"/>
      <c r="H55" s="173"/>
      <c r="I55" s="174" t="s">
        <v>507</v>
      </c>
      <c r="J55" s="173"/>
      <c r="K55" s="173">
        <v>10.5</v>
      </c>
      <c r="L55" s="173"/>
    </row>
    <row r="56" spans="1:12" s="172" customFormat="1" ht="11.25" x14ac:dyDescent="0.2">
      <c r="A56" s="180" t="s">
        <v>528</v>
      </c>
      <c r="B56" s="173">
        <v>4.93</v>
      </c>
      <c r="C56" s="175">
        <v>1.04</v>
      </c>
      <c r="D56" s="173">
        <v>79.099999999999994</v>
      </c>
      <c r="E56" s="173">
        <v>28.9</v>
      </c>
      <c r="F56" s="173">
        <v>6.1</v>
      </c>
      <c r="G56" s="173"/>
      <c r="H56" s="173"/>
      <c r="I56" s="174" t="s">
        <v>507</v>
      </c>
      <c r="J56" s="173"/>
      <c r="K56" s="173">
        <v>11.8</v>
      </c>
      <c r="L56" s="173"/>
    </row>
    <row r="57" spans="1:12" s="172" customFormat="1" ht="11.25" x14ac:dyDescent="0.2">
      <c r="A57" s="180" t="s">
        <v>527</v>
      </c>
      <c r="B57" s="173">
        <v>4.33</v>
      </c>
      <c r="C57" s="175">
        <v>1.0900000000000001</v>
      </c>
      <c r="D57" s="173">
        <v>79.3</v>
      </c>
      <c r="E57" s="173">
        <v>30.7</v>
      </c>
      <c r="F57" s="173">
        <v>6.2</v>
      </c>
      <c r="G57" s="173"/>
      <c r="H57" s="173"/>
      <c r="I57" s="174" t="s">
        <v>507</v>
      </c>
      <c r="J57" s="173"/>
      <c r="K57" s="173">
        <v>10.9</v>
      </c>
      <c r="L57" s="173"/>
    </row>
    <row r="58" spans="1:12" s="172" customFormat="1" ht="11.25" x14ac:dyDescent="0.2">
      <c r="A58" s="180" t="s">
        <v>526</v>
      </c>
      <c r="B58" s="173">
        <v>4.13</v>
      </c>
      <c r="C58" s="175">
        <v>1.1100000000000001</v>
      </c>
      <c r="D58" s="173">
        <v>79.400000000000006</v>
      </c>
      <c r="E58" s="173">
        <v>30.7</v>
      </c>
      <c r="F58" s="173">
        <v>5.9</v>
      </c>
      <c r="G58" s="173"/>
      <c r="H58" s="173"/>
      <c r="I58" s="174" t="s">
        <v>507</v>
      </c>
      <c r="J58" s="173"/>
      <c r="K58" s="173">
        <v>11.3</v>
      </c>
      <c r="L58" s="173"/>
    </row>
    <row r="59" spans="1:12" s="172" customFormat="1" ht="11.25" x14ac:dyDescent="0.2">
      <c r="A59" s="180" t="s">
        <v>525</v>
      </c>
      <c r="B59" s="173">
        <v>4.24</v>
      </c>
      <c r="C59" s="175">
        <v>1.1299999999999999</v>
      </c>
      <c r="D59" s="173">
        <v>78.3</v>
      </c>
      <c r="E59" s="173">
        <v>30.3</v>
      </c>
      <c r="F59" s="173">
        <v>6.2</v>
      </c>
      <c r="G59" s="173"/>
      <c r="H59" s="173"/>
      <c r="I59" s="174" t="s">
        <v>507</v>
      </c>
      <c r="J59" s="173"/>
      <c r="K59" s="173">
        <v>11.4</v>
      </c>
      <c r="L59" s="173"/>
    </row>
    <row r="60" spans="1:12" s="172" customFormat="1" ht="11.25" x14ac:dyDescent="0.2">
      <c r="A60" s="180" t="s">
        <v>524</v>
      </c>
      <c r="B60" s="173">
        <v>4.67</v>
      </c>
      <c r="C60" s="175">
        <v>1.1100000000000001</v>
      </c>
      <c r="D60" s="173">
        <v>80.3</v>
      </c>
      <c r="E60" s="173">
        <v>31.1</v>
      </c>
      <c r="F60" s="173">
        <v>6.1</v>
      </c>
      <c r="G60" s="173"/>
      <c r="H60" s="173"/>
      <c r="I60" s="174" t="s">
        <v>507</v>
      </c>
      <c r="J60" s="173"/>
      <c r="K60" s="173">
        <v>10.7</v>
      </c>
      <c r="L60" s="173"/>
    </row>
    <row r="61" spans="1:12" s="172" customFormat="1" ht="11.25" x14ac:dyDescent="0.2">
      <c r="A61" s="180" t="s">
        <v>523</v>
      </c>
      <c r="B61" s="173">
        <v>4.24</v>
      </c>
      <c r="C61" s="175">
        <v>1.1000000000000001</v>
      </c>
      <c r="D61" s="173">
        <v>78.8</v>
      </c>
      <c r="E61" s="173">
        <v>29.7</v>
      </c>
      <c r="F61" s="173">
        <v>6.2</v>
      </c>
      <c r="G61" s="173"/>
      <c r="H61" s="173"/>
      <c r="I61" s="174" t="s">
        <v>507</v>
      </c>
      <c r="J61" s="173"/>
      <c r="K61" s="173">
        <v>11.3</v>
      </c>
      <c r="L61" s="173"/>
    </row>
    <row r="62" spans="1:12" s="172" customFormat="1" ht="11.25" x14ac:dyDescent="0.2">
      <c r="A62" s="180" t="s">
        <v>522</v>
      </c>
      <c r="B62" s="173">
        <v>4.0599999999999996</v>
      </c>
      <c r="C62" s="175">
        <v>1.1100000000000001</v>
      </c>
      <c r="D62" s="173">
        <v>78.400000000000006</v>
      </c>
      <c r="E62" s="173">
        <v>30.7</v>
      </c>
      <c r="F62" s="173">
        <v>6.1</v>
      </c>
      <c r="G62" s="173"/>
      <c r="H62" s="173"/>
      <c r="I62" s="174" t="s">
        <v>507</v>
      </c>
      <c r="J62" s="173"/>
      <c r="K62" s="173">
        <v>11.9</v>
      </c>
      <c r="L62" s="173"/>
    </row>
    <row r="63" spans="1:12" s="172" customFormat="1" ht="11.25" x14ac:dyDescent="0.2">
      <c r="A63" s="180" t="s">
        <v>521</v>
      </c>
      <c r="B63" s="173">
        <v>3.81</v>
      </c>
      <c r="C63" s="175">
        <v>1.18</v>
      </c>
      <c r="D63" s="173">
        <v>80.599999999999994</v>
      </c>
      <c r="E63" s="173">
        <v>31.9</v>
      </c>
      <c r="F63" s="173">
        <v>5.9</v>
      </c>
      <c r="G63" s="173"/>
      <c r="H63" s="173"/>
      <c r="I63" s="174" t="s">
        <v>507</v>
      </c>
      <c r="J63" s="173"/>
      <c r="K63" s="173">
        <v>9.8000000000000007</v>
      </c>
      <c r="L63" s="173"/>
    </row>
    <row r="64" spans="1:12" s="172" customFormat="1" ht="11.25" x14ac:dyDescent="0.2">
      <c r="A64" s="180" t="s">
        <v>520</v>
      </c>
      <c r="B64" s="173">
        <v>4.13</v>
      </c>
      <c r="C64" s="175">
        <v>1.1599999999999999</v>
      </c>
      <c r="D64" s="173">
        <v>80.3</v>
      </c>
      <c r="E64" s="173">
        <v>31.3</v>
      </c>
      <c r="F64" s="173">
        <v>5.7</v>
      </c>
      <c r="G64" s="173"/>
      <c r="H64" s="173"/>
      <c r="I64" s="174" t="s">
        <v>507</v>
      </c>
      <c r="J64" s="173"/>
      <c r="K64" s="173">
        <v>10.6</v>
      </c>
      <c r="L64" s="173"/>
    </row>
    <row r="65" spans="1:12" s="172" customFormat="1" ht="11.25" x14ac:dyDescent="0.2">
      <c r="A65" s="180" t="s">
        <v>519</v>
      </c>
      <c r="B65" s="173">
        <v>4.91</v>
      </c>
      <c r="C65" s="175">
        <v>1.04</v>
      </c>
      <c r="D65" s="173">
        <v>78.7</v>
      </c>
      <c r="E65" s="173">
        <v>28.2</v>
      </c>
      <c r="F65" s="173">
        <v>6.1</v>
      </c>
      <c r="G65" s="173"/>
      <c r="H65" s="173"/>
      <c r="I65" s="174" t="s">
        <v>507</v>
      </c>
      <c r="J65" s="173"/>
      <c r="K65" s="173">
        <v>12.1</v>
      </c>
      <c r="L65" s="173"/>
    </row>
    <row r="66" spans="1:12" s="172" customFormat="1" ht="11.25" x14ac:dyDescent="0.2">
      <c r="A66" s="180" t="s">
        <v>518</v>
      </c>
      <c r="B66" s="173">
        <v>4.2699999999999996</v>
      </c>
      <c r="C66" s="175">
        <v>1.1599999999999999</v>
      </c>
      <c r="D66" s="173">
        <v>83</v>
      </c>
      <c r="E66" s="173">
        <v>31.8</v>
      </c>
      <c r="F66" s="173">
        <v>6</v>
      </c>
      <c r="G66" s="173"/>
      <c r="H66" s="173"/>
      <c r="I66" s="174" t="s">
        <v>507</v>
      </c>
      <c r="J66" s="173"/>
      <c r="K66" s="173">
        <v>8.9</v>
      </c>
      <c r="L66" s="173"/>
    </row>
    <row r="67" spans="1:12" s="172" customFormat="1" ht="11.25" x14ac:dyDescent="0.2">
      <c r="A67" s="180" t="s">
        <v>517</v>
      </c>
      <c r="B67" s="173">
        <v>3.39</v>
      </c>
      <c r="C67" s="175">
        <v>1.1200000000000001</v>
      </c>
      <c r="D67" s="173">
        <v>79.599999999999994</v>
      </c>
      <c r="E67" s="173">
        <v>30.4</v>
      </c>
      <c r="F67" s="173">
        <v>6.1</v>
      </c>
      <c r="G67" s="173"/>
      <c r="H67" s="173"/>
      <c r="I67" s="174" t="s">
        <v>507</v>
      </c>
      <c r="J67" s="173"/>
      <c r="K67" s="173">
        <v>11.1</v>
      </c>
      <c r="L67" s="173"/>
    </row>
    <row r="68" spans="1:12" s="172" customFormat="1" ht="11.25" x14ac:dyDescent="0.2">
      <c r="A68" s="180" t="s">
        <v>516</v>
      </c>
      <c r="B68" s="173">
        <v>4.46</v>
      </c>
      <c r="C68" s="175">
        <v>1.1000000000000001</v>
      </c>
      <c r="D68" s="173">
        <v>79</v>
      </c>
      <c r="E68" s="173">
        <v>30.6</v>
      </c>
      <c r="F68" s="173">
        <v>6.2</v>
      </c>
      <c r="G68" s="173"/>
      <c r="H68" s="173"/>
      <c r="I68" s="174" t="s">
        <v>507</v>
      </c>
      <c r="J68" s="173"/>
      <c r="K68" s="173">
        <v>11.1</v>
      </c>
      <c r="L68" s="173"/>
    </row>
    <row r="69" spans="1:12" s="172" customFormat="1" ht="11.25" x14ac:dyDescent="0.2">
      <c r="A69" s="180" t="s">
        <v>515</v>
      </c>
      <c r="B69" s="173">
        <v>4.67</v>
      </c>
      <c r="C69" s="175">
        <v>1.1000000000000001</v>
      </c>
      <c r="D69" s="173">
        <v>80.2</v>
      </c>
      <c r="E69" s="173">
        <v>30.4</v>
      </c>
      <c r="F69" s="173">
        <v>5.8</v>
      </c>
      <c r="G69" s="173"/>
      <c r="H69" s="173"/>
      <c r="I69" s="174" t="s">
        <v>507</v>
      </c>
      <c r="J69" s="173"/>
      <c r="K69" s="173">
        <v>10.1</v>
      </c>
      <c r="L69" s="173"/>
    </row>
    <row r="70" spans="1:12" s="172" customFormat="1" ht="11.25" x14ac:dyDescent="0.2">
      <c r="A70" s="180" t="s">
        <v>514</v>
      </c>
      <c r="B70" s="173">
        <v>4.41</v>
      </c>
      <c r="C70" s="175">
        <v>1.1299999999999999</v>
      </c>
      <c r="D70" s="173">
        <v>82</v>
      </c>
      <c r="E70" s="173">
        <v>31</v>
      </c>
      <c r="F70" s="173">
        <v>5.9</v>
      </c>
      <c r="G70" s="173"/>
      <c r="H70" s="173"/>
      <c r="I70" s="174" t="s">
        <v>507</v>
      </c>
      <c r="J70" s="173"/>
      <c r="K70" s="173">
        <v>10.1</v>
      </c>
      <c r="L70" s="173"/>
    </row>
    <row r="71" spans="1:12" s="172" customFormat="1" ht="11.25" x14ac:dyDescent="0.2">
      <c r="A71" s="180" t="s">
        <v>513</v>
      </c>
      <c r="B71" s="173">
        <v>4.17</v>
      </c>
      <c r="C71" s="175">
        <v>1.1499999999999999</v>
      </c>
      <c r="D71" s="173">
        <v>80.3</v>
      </c>
      <c r="E71" s="173">
        <v>31</v>
      </c>
      <c r="F71" s="173">
        <v>6</v>
      </c>
      <c r="G71" s="173"/>
      <c r="H71" s="173"/>
      <c r="I71" s="174" t="s">
        <v>507</v>
      </c>
      <c r="J71" s="173"/>
      <c r="K71" s="173">
        <v>10</v>
      </c>
      <c r="L71" s="173"/>
    </row>
    <row r="72" spans="1:12" s="172" customFormat="1" ht="11.25" x14ac:dyDescent="0.2">
      <c r="A72" s="180" t="s">
        <v>512</v>
      </c>
      <c r="B72" s="173">
        <v>4.58</v>
      </c>
      <c r="C72" s="175">
        <v>1.1200000000000001</v>
      </c>
      <c r="D72" s="173">
        <v>79.099999999999994</v>
      </c>
      <c r="E72" s="173">
        <v>31.7</v>
      </c>
      <c r="F72" s="173">
        <v>6.1</v>
      </c>
      <c r="G72" s="173"/>
      <c r="H72" s="173"/>
      <c r="I72" s="174" t="s">
        <v>507</v>
      </c>
      <c r="J72" s="173"/>
      <c r="K72" s="173">
        <v>10.199999999999999</v>
      </c>
      <c r="L72" s="173"/>
    </row>
    <row r="73" spans="1:12" s="172" customFormat="1" ht="11.25" x14ac:dyDescent="0.2">
      <c r="A73" s="180" t="s">
        <v>511</v>
      </c>
      <c r="B73" s="173">
        <v>4.43</v>
      </c>
      <c r="C73" s="175">
        <v>1.1299999999999999</v>
      </c>
      <c r="D73" s="173">
        <v>80.599999999999994</v>
      </c>
      <c r="E73" s="173">
        <v>31.1</v>
      </c>
      <c r="F73" s="173">
        <v>5.9</v>
      </c>
      <c r="G73" s="173"/>
      <c r="H73" s="173"/>
      <c r="I73" s="174" t="s">
        <v>507</v>
      </c>
      <c r="J73" s="173"/>
      <c r="K73" s="173">
        <v>9.6999999999999993</v>
      </c>
      <c r="L73" s="173"/>
    </row>
    <row r="74" spans="1:12" s="172" customFormat="1" ht="11.25" x14ac:dyDescent="0.2">
      <c r="A74" s="180" t="s">
        <v>510</v>
      </c>
      <c r="B74" s="173">
        <v>4.32</v>
      </c>
      <c r="C74" s="175">
        <v>1.1499999999999999</v>
      </c>
      <c r="D74" s="173">
        <v>80.400000000000006</v>
      </c>
      <c r="E74" s="173">
        <v>32.5</v>
      </c>
      <c r="F74" s="173">
        <v>5.8</v>
      </c>
      <c r="G74" s="173"/>
      <c r="H74" s="173"/>
      <c r="I74" s="174" t="s">
        <v>507</v>
      </c>
      <c r="J74" s="173"/>
      <c r="K74" s="173">
        <v>9.9</v>
      </c>
      <c r="L74" s="173"/>
    </row>
    <row r="75" spans="1:12" s="172" customFormat="1" ht="11.25" x14ac:dyDescent="0.2">
      <c r="A75" s="180" t="s">
        <v>509</v>
      </c>
      <c r="B75" s="173">
        <v>4.03</v>
      </c>
      <c r="C75" s="175">
        <v>1.1299999999999999</v>
      </c>
      <c r="D75" s="173">
        <v>78.900000000000006</v>
      </c>
      <c r="E75" s="173">
        <v>30.2</v>
      </c>
      <c r="F75" s="173">
        <v>6.2</v>
      </c>
      <c r="G75" s="173"/>
      <c r="H75" s="173"/>
      <c r="I75" s="174" t="s">
        <v>507</v>
      </c>
      <c r="J75" s="173"/>
      <c r="K75" s="173">
        <v>11</v>
      </c>
      <c r="L75" s="173"/>
    </row>
    <row r="76" spans="1:12" s="172" customFormat="1" ht="11.25" x14ac:dyDescent="0.2">
      <c r="A76" s="180" t="s">
        <v>508</v>
      </c>
      <c r="B76" s="173">
        <v>3.72</v>
      </c>
      <c r="C76" s="175">
        <v>1.1599999999999999</v>
      </c>
      <c r="D76" s="173">
        <v>78.400000000000006</v>
      </c>
      <c r="E76" s="173">
        <v>33.4</v>
      </c>
      <c r="F76" s="173">
        <v>6.2</v>
      </c>
      <c r="G76" s="173"/>
      <c r="H76" s="173"/>
      <c r="I76" s="174" t="s">
        <v>507</v>
      </c>
      <c r="J76" s="173"/>
      <c r="K76" s="173">
        <v>11.2</v>
      </c>
      <c r="L76" s="173"/>
    </row>
    <row r="77" spans="1:12" s="172" customFormat="1" ht="11.25" x14ac:dyDescent="0.2">
      <c r="A77" s="180"/>
      <c r="B77" s="173"/>
      <c r="C77" s="175"/>
      <c r="D77" s="173"/>
      <c r="E77" s="173"/>
      <c r="F77" s="173"/>
      <c r="G77" s="173"/>
      <c r="H77" s="173"/>
      <c r="I77" s="174"/>
      <c r="J77" s="173"/>
      <c r="K77" s="173"/>
      <c r="L77" s="173"/>
    </row>
    <row r="78" spans="1:12" s="172" customFormat="1" ht="12" thickBot="1" x14ac:dyDescent="0.25">
      <c r="B78" s="173"/>
      <c r="C78" s="175"/>
      <c r="D78" s="173"/>
      <c r="E78" s="173"/>
      <c r="F78" s="173"/>
      <c r="G78" s="173"/>
      <c r="H78" s="173"/>
      <c r="I78" s="174"/>
      <c r="J78" s="173"/>
      <c r="K78" s="173"/>
      <c r="L78" s="173"/>
    </row>
    <row r="79" spans="1:12" s="172" customFormat="1" ht="12" thickTop="1" x14ac:dyDescent="0.2">
      <c r="A79" s="179" t="s">
        <v>506</v>
      </c>
      <c r="B79" s="176">
        <f>AVERAGE(B12:B78)</f>
        <v>4.4021875000000001</v>
      </c>
      <c r="C79" s="178">
        <f>AVERAGE(C12:C78)</f>
        <v>1.1270312499999999</v>
      </c>
      <c r="D79" s="176">
        <f>AVERAGE(D12:D78)</f>
        <v>80.171875</v>
      </c>
      <c r="E79" s="176">
        <f>AVERAGE(E12:E78)</f>
        <v>31.145312500000006</v>
      </c>
      <c r="F79" s="176">
        <f>AVERAGE(F12:F78)</f>
        <v>6.0015624999999986</v>
      </c>
      <c r="G79" s="176" t="e">
        <f>AVERAGE(G12:G78)</f>
        <v>#DIV/0!</v>
      </c>
      <c r="H79" s="176" t="e">
        <f>AVERAGE(H12:H78)</f>
        <v>#DIV/0!</v>
      </c>
      <c r="I79" s="177"/>
      <c r="J79" s="176" t="e">
        <f>AVERAGE(J12:J78)</f>
        <v>#DIV/0!</v>
      </c>
      <c r="K79" s="176">
        <f>AVERAGE(K12:K78)</f>
        <v>10.2203125</v>
      </c>
      <c r="L79" s="176" t="e">
        <f>AVERAGE(L12:L78)</f>
        <v>#DIV/0!</v>
      </c>
    </row>
    <row r="80" spans="1:12" s="172" customFormat="1" ht="11.25" x14ac:dyDescent="0.2">
      <c r="A80" s="172" t="s">
        <v>505</v>
      </c>
      <c r="B80" s="173">
        <f>STDEV(B12:B79)</f>
        <v>0.33812196740784228</v>
      </c>
      <c r="C80" s="175">
        <f>STDEV(C12:C79)</f>
        <v>3.3245285732528981E-2</v>
      </c>
      <c r="D80" s="173">
        <f>STDEV(D12:D79)</f>
        <v>0.99002347667870894</v>
      </c>
      <c r="E80" s="173">
        <f>STDEV(E12:E79)</f>
        <v>1.1163458368013697</v>
      </c>
      <c r="F80" s="173">
        <f>STDEV(F12:F79)</f>
        <v>0.1566167570656154</v>
      </c>
      <c r="G80" s="173" t="e">
        <f>STDEV(G12:G79)</f>
        <v>#DIV/0!</v>
      </c>
      <c r="H80" s="173" t="e">
        <f>STDEV(H12:H79)</f>
        <v>#DIV/0!</v>
      </c>
      <c r="I80" s="174"/>
      <c r="J80" s="173" t="e">
        <f>STDEV(J12:J79)</f>
        <v>#DIV/0!</v>
      </c>
      <c r="K80" s="173">
        <f>STDEV(K12:K79)</f>
        <v>0.82560199390732469</v>
      </c>
      <c r="L80" s="173" t="e">
        <f>STDEV(L12:L79)</f>
        <v>#DIV/0!</v>
      </c>
    </row>
    <row r="81" spans="1:12" s="172" customFormat="1" ht="11.25" x14ac:dyDescent="0.2">
      <c r="A81" s="172" t="s">
        <v>504</v>
      </c>
      <c r="B81" s="173">
        <f>B80/B79 * 100</f>
        <v>7.6807716029324569</v>
      </c>
      <c r="C81" s="175">
        <f>C80/C79 * 100</f>
        <v>2.9498104628890265</v>
      </c>
      <c r="D81" s="173">
        <f>D80/D79 * 100</f>
        <v>1.2348762913162614</v>
      </c>
      <c r="E81" s="173">
        <f>E80/E79 * 100</f>
        <v>3.5843141301002177</v>
      </c>
      <c r="F81" s="173">
        <f>F80/F79 * 100</f>
        <v>2.6095997011714105</v>
      </c>
      <c r="G81" s="173" t="e">
        <f>G80/G79 * 100</f>
        <v>#DIV/0!</v>
      </c>
      <c r="H81" s="173" t="e">
        <f>H80/H79 * 100</f>
        <v>#DIV/0!</v>
      </c>
      <c r="I81" s="174"/>
      <c r="J81" s="173" t="e">
        <f>J80/J79 * 100</f>
        <v>#DIV/0!</v>
      </c>
      <c r="K81" s="173">
        <f>K80/K79 * 100</f>
        <v>8.0780503913879809</v>
      </c>
      <c r="L81" s="173" t="e">
        <f>L80/L79 * 100</f>
        <v>#DIV/0!</v>
      </c>
    </row>
    <row r="82" spans="1:12" s="172" customFormat="1" ht="11.25" x14ac:dyDescent="0.2">
      <c r="B82" s="173"/>
      <c r="C82" s="175"/>
      <c r="D82" s="173"/>
      <c r="E82" s="173"/>
      <c r="F82" s="173"/>
      <c r="G82" s="173"/>
      <c r="H82" s="173"/>
      <c r="I82" s="174"/>
      <c r="J82" s="173"/>
      <c r="K82" s="173"/>
    </row>
    <row r="83" spans="1:12" s="172" customFormat="1" ht="12" thickBot="1" x14ac:dyDescent="0.25">
      <c r="B83" s="173"/>
      <c r="C83" s="175"/>
      <c r="D83" s="173"/>
      <c r="E83" s="173"/>
      <c r="F83" s="173"/>
      <c r="G83" s="173"/>
      <c r="H83" s="173"/>
      <c r="I83" s="174"/>
      <c r="J83" s="173"/>
    </row>
    <row r="84" spans="1:12" s="172" customFormat="1" ht="12" thickTop="1" x14ac:dyDescent="0.2">
      <c r="A84" s="179" t="s">
        <v>503</v>
      </c>
      <c r="B84" s="176"/>
      <c r="C84" s="178"/>
      <c r="D84" s="176"/>
      <c r="E84" s="176"/>
      <c r="F84" s="176"/>
      <c r="G84" s="176"/>
      <c r="H84" s="176"/>
      <c r="I84" s="177"/>
      <c r="J84" s="176"/>
      <c r="K84" s="176"/>
      <c r="L84" s="176"/>
    </row>
    <row r="85" spans="1:12" s="172" customFormat="1" ht="11.25" x14ac:dyDescent="0.2">
      <c r="A85" s="172" t="s">
        <v>502</v>
      </c>
      <c r="B85" s="173"/>
      <c r="C85" s="175"/>
      <c r="D85" s="173"/>
      <c r="E85" s="173"/>
      <c r="F85" s="173"/>
      <c r="G85" s="173"/>
      <c r="H85" s="173"/>
      <c r="I85" s="174"/>
      <c r="J85" s="173"/>
      <c r="K85" s="173"/>
    </row>
    <row r="86" spans="1:12" s="172" customFormat="1" ht="11.25" x14ac:dyDescent="0.2">
      <c r="A86" s="172" t="s">
        <v>501</v>
      </c>
      <c r="B86" s="173"/>
      <c r="C86" s="175"/>
      <c r="D86" s="173"/>
      <c r="E86" s="173"/>
      <c r="F86" s="173"/>
      <c r="G86" s="173"/>
      <c r="H86" s="173"/>
      <c r="I86" s="174"/>
      <c r="J86" s="173"/>
      <c r="K86" s="173"/>
    </row>
    <row r="87" spans="1:12" s="172" customFormat="1" ht="11.25" x14ac:dyDescent="0.2">
      <c r="A87" s="172" t="s">
        <v>500</v>
      </c>
      <c r="B87" s="173"/>
      <c r="C87" s="175"/>
      <c r="D87" s="173"/>
      <c r="E87" s="173"/>
      <c r="F87" s="173"/>
      <c r="G87" s="173"/>
      <c r="H87" s="173"/>
      <c r="I87" s="174"/>
      <c r="J87" s="173"/>
      <c r="K87" s="173"/>
    </row>
    <row r="88" spans="1:12" s="172" customFormat="1" ht="11.25" x14ac:dyDescent="0.2">
      <c r="A88" s="172" t="s">
        <v>499</v>
      </c>
      <c r="B88" s="173"/>
      <c r="C88" s="175"/>
      <c r="D88" s="173"/>
      <c r="E88" s="173"/>
      <c r="F88" s="173"/>
      <c r="G88" s="173"/>
      <c r="H88" s="173"/>
      <c r="I88" s="174"/>
      <c r="J88" s="173"/>
      <c r="K88" s="173"/>
    </row>
    <row r="89" spans="1:12" s="172" customFormat="1" ht="11.25" x14ac:dyDescent="0.2">
      <c r="B89" s="173"/>
      <c r="C89" s="175"/>
      <c r="D89" s="173"/>
      <c r="E89" s="173"/>
      <c r="F89" s="173"/>
      <c r="G89" s="173"/>
      <c r="H89" s="173"/>
      <c r="I89" s="174"/>
      <c r="J89" s="173"/>
      <c r="K89" s="173"/>
    </row>
  </sheetData>
  <mergeCells count="13">
    <mergeCell ref="B8:D8"/>
    <mergeCell ref="B5:D5"/>
    <mergeCell ref="F5:H5"/>
    <mergeCell ref="B6:D6"/>
    <mergeCell ref="F6:H6"/>
    <mergeCell ref="B7:D7"/>
    <mergeCell ref="F7:H7"/>
    <mergeCell ref="B3:D3"/>
    <mergeCell ref="F3:H3"/>
    <mergeCell ref="J3:K3"/>
    <mergeCell ref="B4:D4"/>
    <mergeCell ref="F4:H4"/>
    <mergeCell ref="J4:K4"/>
  </mergeCells>
  <printOptions horizontalCentered="1"/>
  <pageMargins left="0.25" right="0.25" top="1" bottom="1" header="0.5" footer="0.76"/>
  <pageSetup orientation="portrait" r:id="rId1"/>
  <headerFooter alignWithMargins="0">
    <oddHeader>&amp;L&amp;D&amp;CCotton Incorporated
Report: HVI&amp;R&amp;P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Raw Scale</vt:lpstr>
      <vt:lpstr>Plot Scale</vt:lpstr>
      <vt:lpstr>Compare</vt:lpstr>
      <vt:lpstr>Harvest</vt:lpstr>
      <vt:lpstr>Ginning</vt:lpstr>
      <vt:lpstr>Moisture content</vt:lpstr>
      <vt:lpstr>OrigReduce</vt:lpstr>
      <vt:lpstr>HVI</vt:lpstr>
      <vt:lpstr>Ginning!Print_Area</vt:lpstr>
      <vt:lpstr>Harvest!Print_Area</vt:lpstr>
      <vt:lpstr>'Moisture content'!Print_Area</vt:lpstr>
      <vt:lpstr>Ginning!Print_Titles</vt:lpstr>
      <vt:lpstr>Harvest!Print_Titles</vt:lpstr>
      <vt:lpstr>'Moisture content'!Print_Titles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2025-05-27T22:23:26Z</dcterms:modified>
</cp:coreProperties>
</file>