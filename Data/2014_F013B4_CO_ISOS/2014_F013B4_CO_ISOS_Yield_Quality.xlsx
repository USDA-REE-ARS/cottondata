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nt\Data1\USDA-ALARC\GIS\PDI tool\tool\Data\2014_F013B4_CO_ISOS\"/>
    </mc:Choice>
  </mc:AlternateContent>
  <xr:revisionPtr revIDLastSave="0" documentId="13_ncr:1_{FA8247F0-D724-4246-AE3F-45B61E7C2E90}" xr6:coauthVersionLast="47" xr6:coauthVersionMax="47" xr10:uidLastSave="{00000000-0000-0000-0000-000000000000}"/>
  <bookViews>
    <workbookView xWindow="-4590" yWindow="-28920" windowWidth="18240" windowHeight="29040" xr2:uid="{5485CBB2-C13A-4C0B-BAC8-38661C175E52}"/>
  </bookViews>
  <sheets>
    <sheet name="Raw Scale" sheetId="1" r:id="rId1"/>
    <sheet name="Plot Scale" sheetId="2" r:id="rId2"/>
    <sheet name="Compar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118" i="1" l="1"/>
  <c r="AN118" i="1"/>
  <c r="AE118" i="1"/>
  <c r="AT52" i="1"/>
  <c r="AS52" i="1"/>
  <c r="AR52" i="1"/>
  <c r="AQ52" i="1"/>
  <c r="AP52" i="1"/>
  <c r="AO52" i="1"/>
  <c r="AN52" i="1"/>
  <c r="AF52" i="1"/>
  <c r="AE52" i="1"/>
  <c r="AE41" i="1" l="1"/>
  <c r="O41" i="1"/>
  <c r="N139" i="1"/>
  <c r="N150" i="1"/>
  <c r="AN140" i="1" s="1"/>
  <c r="AO140" i="1" s="1"/>
  <c r="AS140" i="1" s="1"/>
  <c r="O138" i="1"/>
  <c r="AQ151" i="1"/>
  <c r="AP151" i="1"/>
  <c r="AN151" i="1"/>
  <c r="AO151" i="1" s="1"/>
  <c r="AM151" i="1"/>
  <c r="AJ151" i="1"/>
  <c r="AH151" i="1"/>
  <c r="AI151" i="1" s="1"/>
  <c r="AK151" i="1" s="1"/>
  <c r="AG151" i="1"/>
  <c r="AQ140" i="1"/>
  <c r="AP140" i="1"/>
  <c r="AM140" i="1"/>
  <c r="AJ140" i="1"/>
  <c r="AH140" i="1"/>
  <c r="AG140" i="1"/>
  <c r="AQ129" i="1"/>
  <c r="AP129" i="1"/>
  <c r="AN129" i="1"/>
  <c r="AO129" i="1" s="1"/>
  <c r="AM129" i="1"/>
  <c r="AJ129" i="1"/>
  <c r="AH129" i="1"/>
  <c r="AI129" i="1" s="1"/>
  <c r="AK129" i="1" s="1"/>
  <c r="AG129" i="1"/>
  <c r="AQ118" i="1"/>
  <c r="AP118" i="1"/>
  <c r="AS118" i="1"/>
  <c r="AM118" i="1"/>
  <c r="AJ118" i="1"/>
  <c r="AH118" i="1"/>
  <c r="AG118" i="1"/>
  <c r="AQ107" i="1"/>
  <c r="AS107" i="1" s="1"/>
  <c r="AP107" i="1"/>
  <c r="AR107" i="1" s="1"/>
  <c r="AO107" i="1"/>
  <c r="AN107" i="1"/>
  <c r="AM107" i="1"/>
  <c r="AJ107" i="1"/>
  <c r="AH107" i="1"/>
  <c r="AI107" i="1" s="1"/>
  <c r="AK107" i="1" s="1"/>
  <c r="AG107" i="1"/>
  <c r="AQ96" i="1"/>
  <c r="AP96" i="1"/>
  <c r="AN96" i="1"/>
  <c r="AO96" i="1" s="1"/>
  <c r="AM96" i="1"/>
  <c r="AJ96" i="1"/>
  <c r="AH96" i="1"/>
  <c r="AI96" i="1" s="1"/>
  <c r="AG96" i="1"/>
  <c r="AQ85" i="1"/>
  <c r="AP85" i="1"/>
  <c r="AN85" i="1"/>
  <c r="AO85" i="1" s="1"/>
  <c r="AM85" i="1"/>
  <c r="AJ85" i="1"/>
  <c r="AH85" i="1"/>
  <c r="AG85" i="1"/>
  <c r="AI85" i="1" s="1"/>
  <c r="AK85" i="1" s="1"/>
  <c r="AQ74" i="1"/>
  <c r="AP74" i="1"/>
  <c r="AN74" i="1"/>
  <c r="AO74" i="1" s="1"/>
  <c r="AS74" i="1" s="1"/>
  <c r="AM74" i="1"/>
  <c r="AJ74" i="1"/>
  <c r="AH74" i="1"/>
  <c r="AI74" i="1" s="1"/>
  <c r="AK74" i="1" s="1"/>
  <c r="AG74" i="1"/>
  <c r="AQ63" i="1"/>
  <c r="AS63" i="1" s="1"/>
  <c r="AP63" i="1"/>
  <c r="AO63" i="1"/>
  <c r="AR63" i="1" s="1"/>
  <c r="AN63" i="1"/>
  <c r="AM63" i="1"/>
  <c r="AJ63" i="1"/>
  <c r="AH63" i="1"/>
  <c r="AI63" i="1" s="1"/>
  <c r="AK63" i="1" s="1"/>
  <c r="AG63" i="1"/>
  <c r="AM52" i="1"/>
  <c r="AJ52" i="1"/>
  <c r="AH52" i="1"/>
  <c r="AI52" i="1" s="1"/>
  <c r="AK52" i="1" s="1"/>
  <c r="AG52" i="1"/>
  <c r="AQ41" i="1"/>
  <c r="AP41" i="1"/>
  <c r="AN41" i="1"/>
  <c r="AO41" i="1" s="1"/>
  <c r="AM41" i="1"/>
  <c r="AJ41" i="1"/>
  <c r="AH41" i="1"/>
  <c r="AI41" i="1" s="1"/>
  <c r="AK41" i="1" s="1"/>
  <c r="AG41" i="1"/>
  <c r="AE151" i="1"/>
  <c r="AD151" i="1"/>
  <c r="AC151" i="1"/>
  <c r="AE140" i="1"/>
  <c r="AD140" i="1"/>
  <c r="AC140" i="1"/>
  <c r="AE129" i="1"/>
  <c r="AD129" i="1"/>
  <c r="AC129" i="1"/>
  <c r="AD118" i="1"/>
  <c r="AC118" i="1"/>
  <c r="AE107" i="1"/>
  <c r="AD107" i="1"/>
  <c r="AC107" i="1"/>
  <c r="AE96" i="1"/>
  <c r="AD96" i="1"/>
  <c r="AC96" i="1"/>
  <c r="AE85" i="1"/>
  <c r="AD85" i="1"/>
  <c r="AC85" i="1"/>
  <c r="AE74" i="1"/>
  <c r="AD74" i="1"/>
  <c r="AC74" i="1"/>
  <c r="AE63" i="1"/>
  <c r="AD63" i="1"/>
  <c r="AC63" i="1"/>
  <c r="AD52" i="1"/>
  <c r="AC52" i="1"/>
  <c r="AD41" i="1"/>
  <c r="AC41" i="1"/>
  <c r="R150" i="1"/>
  <c r="S150" i="1"/>
  <c r="S139" i="1"/>
  <c r="R139" i="1"/>
  <c r="O42" i="1"/>
  <c r="S42" i="1" s="1"/>
  <c r="O43" i="1"/>
  <c r="S43" i="1" s="1"/>
  <c r="O44" i="1"/>
  <c r="S44" i="1" s="1"/>
  <c r="O45" i="1"/>
  <c r="R45" i="1" s="1"/>
  <c r="O46" i="1"/>
  <c r="R46" i="1" s="1"/>
  <c r="O47" i="1"/>
  <c r="R47" i="1" s="1"/>
  <c r="O48" i="1"/>
  <c r="R48" i="1" s="1"/>
  <c r="O49" i="1"/>
  <c r="R49" i="1" s="1"/>
  <c r="O50" i="1"/>
  <c r="S50" i="1" s="1"/>
  <c r="O51" i="1"/>
  <c r="S51" i="1" s="1"/>
  <c r="O52" i="1"/>
  <c r="S52" i="1" s="1"/>
  <c r="O53" i="1"/>
  <c r="R53" i="1" s="1"/>
  <c r="O54" i="1"/>
  <c r="R54" i="1" s="1"/>
  <c r="O55" i="1"/>
  <c r="R55" i="1" s="1"/>
  <c r="O57" i="1"/>
  <c r="R57" i="1" s="1"/>
  <c r="O58" i="1"/>
  <c r="R58" i="1" s="1"/>
  <c r="O59" i="1"/>
  <c r="R59" i="1" s="1"/>
  <c r="O60" i="1"/>
  <c r="S60" i="1" s="1"/>
  <c r="O61" i="1"/>
  <c r="S61" i="1" s="1"/>
  <c r="O62" i="1"/>
  <c r="R62" i="1" s="1"/>
  <c r="O63" i="1"/>
  <c r="R63" i="1" s="1"/>
  <c r="O64" i="1"/>
  <c r="R64" i="1" s="1"/>
  <c r="O65" i="1"/>
  <c r="R65" i="1" s="1"/>
  <c r="O66" i="1"/>
  <c r="R66" i="1" s="1"/>
  <c r="O67" i="1"/>
  <c r="S67" i="1" s="1"/>
  <c r="O68" i="1"/>
  <c r="S68" i="1" s="1"/>
  <c r="O69" i="1"/>
  <c r="S69" i="1" s="1"/>
  <c r="O70" i="1"/>
  <c r="R70" i="1" s="1"/>
  <c r="O71" i="1"/>
  <c r="R71" i="1" s="1"/>
  <c r="O72" i="1"/>
  <c r="R72" i="1" s="1"/>
  <c r="O73" i="1"/>
  <c r="R73" i="1" s="1"/>
  <c r="O74" i="1"/>
  <c r="R74" i="1" s="1"/>
  <c r="O75" i="1"/>
  <c r="S75" i="1" s="1"/>
  <c r="O76" i="1"/>
  <c r="S76" i="1" s="1"/>
  <c r="O77" i="1"/>
  <c r="S77" i="1" s="1"/>
  <c r="O78" i="1"/>
  <c r="R78" i="1" s="1"/>
  <c r="O79" i="1"/>
  <c r="R79" i="1" s="1"/>
  <c r="O80" i="1"/>
  <c r="R80" i="1" s="1"/>
  <c r="O81" i="1"/>
  <c r="R81" i="1" s="1"/>
  <c r="O82" i="1"/>
  <c r="R82" i="1" s="1"/>
  <c r="O83" i="1"/>
  <c r="S83" i="1" s="1"/>
  <c r="O84" i="1"/>
  <c r="S84" i="1" s="1"/>
  <c r="O85" i="1"/>
  <c r="S85" i="1" s="1"/>
  <c r="O86" i="1"/>
  <c r="R86" i="1" s="1"/>
  <c r="O87" i="1"/>
  <c r="R87" i="1" s="1"/>
  <c r="O88" i="1"/>
  <c r="R88" i="1" s="1"/>
  <c r="O89" i="1"/>
  <c r="R89" i="1" s="1"/>
  <c r="O90" i="1"/>
  <c r="R90" i="1" s="1"/>
  <c r="O91" i="1"/>
  <c r="S91" i="1" s="1"/>
  <c r="O92" i="1"/>
  <c r="S92" i="1" s="1"/>
  <c r="O93" i="1"/>
  <c r="S93" i="1" s="1"/>
  <c r="O94" i="1"/>
  <c r="R94" i="1" s="1"/>
  <c r="O95" i="1"/>
  <c r="R95" i="1" s="1"/>
  <c r="O96" i="1"/>
  <c r="R96" i="1" s="1"/>
  <c r="O97" i="1"/>
  <c r="R97" i="1" s="1"/>
  <c r="O98" i="1"/>
  <c r="R98" i="1" s="1"/>
  <c r="O99" i="1"/>
  <c r="S99" i="1" s="1"/>
  <c r="O100" i="1"/>
  <c r="S100" i="1" s="1"/>
  <c r="O101" i="1"/>
  <c r="S101" i="1" s="1"/>
  <c r="O102" i="1"/>
  <c r="R102" i="1" s="1"/>
  <c r="O103" i="1"/>
  <c r="R103" i="1" s="1"/>
  <c r="O104" i="1"/>
  <c r="R104" i="1" s="1"/>
  <c r="O105" i="1"/>
  <c r="R105" i="1" s="1"/>
  <c r="O106" i="1"/>
  <c r="R106" i="1" s="1"/>
  <c r="O107" i="1"/>
  <c r="S107" i="1" s="1"/>
  <c r="O108" i="1"/>
  <c r="S108" i="1" s="1"/>
  <c r="O109" i="1"/>
  <c r="S109" i="1" s="1"/>
  <c r="O110" i="1"/>
  <c r="R110" i="1" s="1"/>
  <c r="O111" i="1"/>
  <c r="R111" i="1" s="1"/>
  <c r="O112" i="1"/>
  <c r="R112" i="1" s="1"/>
  <c r="O113" i="1"/>
  <c r="R113" i="1" s="1"/>
  <c r="O114" i="1"/>
  <c r="R114" i="1" s="1"/>
  <c r="O115" i="1"/>
  <c r="S115" i="1" s="1"/>
  <c r="O116" i="1"/>
  <c r="S116" i="1" s="1"/>
  <c r="O117" i="1"/>
  <c r="S117" i="1" s="1"/>
  <c r="O118" i="1"/>
  <c r="R118" i="1" s="1"/>
  <c r="O119" i="1"/>
  <c r="R119" i="1" s="1"/>
  <c r="O120" i="1"/>
  <c r="R120" i="1" s="1"/>
  <c r="O121" i="1"/>
  <c r="R121" i="1" s="1"/>
  <c r="O122" i="1"/>
  <c r="R122" i="1" s="1"/>
  <c r="O123" i="1"/>
  <c r="S123" i="1" s="1"/>
  <c r="O124" i="1"/>
  <c r="S124" i="1" s="1"/>
  <c r="O125" i="1"/>
  <c r="S125" i="1" s="1"/>
  <c r="O126" i="1"/>
  <c r="R126" i="1" s="1"/>
  <c r="O128" i="1"/>
  <c r="R128" i="1" s="1"/>
  <c r="O129" i="1"/>
  <c r="R129" i="1" s="1"/>
  <c r="O130" i="1"/>
  <c r="R130" i="1" s="1"/>
  <c r="O131" i="1"/>
  <c r="R131" i="1" s="1"/>
  <c r="O132" i="1"/>
  <c r="S132" i="1" s="1"/>
  <c r="O133" i="1"/>
  <c r="S133" i="1" s="1"/>
  <c r="O134" i="1"/>
  <c r="S134" i="1" s="1"/>
  <c r="O135" i="1"/>
  <c r="R135" i="1" s="1"/>
  <c r="O136" i="1"/>
  <c r="R136" i="1" s="1"/>
  <c r="O137" i="1"/>
  <c r="R137" i="1" s="1"/>
  <c r="R138" i="1"/>
  <c r="O140" i="1"/>
  <c r="R140" i="1" s="1"/>
  <c r="O141" i="1"/>
  <c r="S141" i="1" s="1"/>
  <c r="O142" i="1"/>
  <c r="S142" i="1" s="1"/>
  <c r="O143" i="1"/>
  <c r="R143" i="1" s="1"/>
  <c r="O144" i="1"/>
  <c r="R144" i="1" s="1"/>
  <c r="O145" i="1"/>
  <c r="R145" i="1" s="1"/>
  <c r="O146" i="1"/>
  <c r="R146" i="1" s="1"/>
  <c r="O147" i="1"/>
  <c r="R147" i="1" s="1"/>
  <c r="O148" i="1"/>
  <c r="S148" i="1" s="1"/>
  <c r="O149" i="1"/>
  <c r="S149" i="1" s="1"/>
  <c r="O151" i="1"/>
  <c r="S151" i="1" s="1"/>
  <c r="O152" i="1"/>
  <c r="R152" i="1" s="1"/>
  <c r="O153" i="1"/>
  <c r="R153" i="1" s="1"/>
  <c r="O154" i="1"/>
  <c r="R154" i="1" s="1"/>
  <c r="O155" i="1"/>
  <c r="R155" i="1" s="1"/>
  <c r="O156" i="1"/>
  <c r="R156" i="1" s="1"/>
  <c r="O157" i="1"/>
  <c r="S157" i="1" s="1"/>
  <c r="O158" i="1"/>
  <c r="S158" i="1" s="1"/>
  <c r="O159" i="1"/>
  <c r="S159" i="1" s="1"/>
  <c r="O160" i="1"/>
  <c r="R160" i="1" s="1"/>
  <c r="O161" i="1"/>
  <c r="R161" i="1" s="1"/>
  <c r="R41" i="1"/>
  <c r="AR41" i="1" l="1"/>
  <c r="AT41" i="1" s="1"/>
  <c r="AS41" i="1"/>
  <c r="AS96" i="1"/>
  <c r="AK96" i="1"/>
  <c r="AI140" i="1"/>
  <c r="AK140" i="1" s="1"/>
  <c r="AI118" i="1"/>
  <c r="AK118" i="1" s="1"/>
  <c r="AR74" i="1"/>
  <c r="AT74" i="1" s="1"/>
  <c r="AS151" i="1"/>
  <c r="AS129" i="1"/>
  <c r="AR96" i="1"/>
  <c r="AR118" i="1"/>
  <c r="AR151" i="1"/>
  <c r="AR140" i="1"/>
  <c r="AR129" i="1"/>
  <c r="AT118" i="1"/>
  <c r="AT107" i="1"/>
  <c r="AT96" i="1"/>
  <c r="AR85" i="1"/>
  <c r="AS85" i="1"/>
  <c r="AT63" i="1"/>
  <c r="R67" i="1"/>
  <c r="R142" i="1"/>
  <c r="S73" i="1"/>
  <c r="R151" i="1"/>
  <c r="S140" i="1"/>
  <c r="S138" i="1"/>
  <c r="S121" i="1"/>
  <c r="S113" i="1"/>
  <c r="R83" i="1"/>
  <c r="S105" i="1"/>
  <c r="S57" i="1"/>
  <c r="S48" i="1"/>
  <c r="S89" i="1"/>
  <c r="R148" i="1"/>
  <c r="S81" i="1"/>
  <c r="R101" i="1"/>
  <c r="R159" i="1"/>
  <c r="R132" i="1"/>
  <c r="R99" i="1"/>
  <c r="R42" i="1"/>
  <c r="T150" i="1"/>
  <c r="R157" i="1"/>
  <c r="R125" i="1"/>
  <c r="R91" i="1"/>
  <c r="S130" i="1"/>
  <c r="S97" i="1"/>
  <c r="S65" i="1"/>
  <c r="R134" i="1"/>
  <c r="R50" i="1"/>
  <c r="R123" i="1"/>
  <c r="R85" i="1"/>
  <c r="S155" i="1"/>
  <c r="S59" i="1"/>
  <c r="R117" i="1"/>
  <c r="R115" i="1"/>
  <c r="R75" i="1"/>
  <c r="S146" i="1"/>
  <c r="R109" i="1"/>
  <c r="R107" i="1"/>
  <c r="R93" i="1"/>
  <c r="R77" i="1"/>
  <c r="R69" i="1"/>
  <c r="R61" i="1"/>
  <c r="R52" i="1"/>
  <c r="R44" i="1"/>
  <c r="R158" i="1"/>
  <c r="R149" i="1"/>
  <c r="R141" i="1"/>
  <c r="R133" i="1"/>
  <c r="R124" i="1"/>
  <c r="R116" i="1"/>
  <c r="R108" i="1"/>
  <c r="R100" i="1"/>
  <c r="R92" i="1"/>
  <c r="R84" i="1"/>
  <c r="R76" i="1"/>
  <c r="R68" i="1"/>
  <c r="R60" i="1"/>
  <c r="R51" i="1"/>
  <c r="R43" i="1"/>
  <c r="S156" i="1"/>
  <c r="S147" i="1"/>
  <c r="S131" i="1"/>
  <c r="S122" i="1"/>
  <c r="S114" i="1"/>
  <c r="S106" i="1"/>
  <c r="S98" i="1"/>
  <c r="S90" i="1"/>
  <c r="S82" i="1"/>
  <c r="S74" i="1"/>
  <c r="S66" i="1"/>
  <c r="S58" i="1"/>
  <c r="S49" i="1"/>
  <c r="S41" i="1"/>
  <c r="T41" i="1" s="1"/>
  <c r="S154" i="1"/>
  <c r="S145" i="1"/>
  <c r="S137" i="1"/>
  <c r="S129" i="1"/>
  <c r="S120" i="1"/>
  <c r="S112" i="1"/>
  <c r="S104" i="1"/>
  <c r="S96" i="1"/>
  <c r="S88" i="1"/>
  <c r="S80" i="1"/>
  <c r="S72" i="1"/>
  <c r="S64" i="1"/>
  <c r="S55" i="1"/>
  <c r="S47" i="1"/>
  <c r="S161" i="1"/>
  <c r="S153" i="1"/>
  <c r="S144" i="1"/>
  <c r="S136" i="1"/>
  <c r="S128" i="1"/>
  <c r="S119" i="1"/>
  <c r="S111" i="1"/>
  <c r="S103" i="1"/>
  <c r="S95" i="1"/>
  <c r="S87" i="1"/>
  <c r="S79" i="1"/>
  <c r="S71" i="1"/>
  <c r="S63" i="1"/>
  <c r="S54" i="1"/>
  <c r="S46" i="1"/>
  <c r="S160" i="1"/>
  <c r="S152" i="1"/>
  <c r="S143" i="1"/>
  <c r="S135" i="1"/>
  <c r="S126" i="1"/>
  <c r="S118" i="1"/>
  <c r="S110" i="1"/>
  <c r="S102" i="1"/>
  <c r="S94" i="1"/>
  <c r="S86" i="1"/>
  <c r="S78" i="1"/>
  <c r="S70" i="1"/>
  <c r="S62" i="1"/>
  <c r="S53" i="1"/>
  <c r="S45" i="1"/>
  <c r="AT151" i="1" l="1"/>
  <c r="AT140" i="1"/>
  <c r="AT129" i="1"/>
  <c r="AT85" i="1"/>
  <c r="I41" i="1"/>
  <c r="K41" i="1" s="1"/>
  <c r="I42" i="1"/>
  <c r="K42" i="1" s="1"/>
  <c r="I43" i="1"/>
  <c r="K43" i="1" s="1"/>
  <c r="I44" i="1"/>
  <c r="K44" i="1" s="1"/>
  <c r="I45" i="1"/>
  <c r="K45" i="1" s="1"/>
  <c r="I46" i="1"/>
  <c r="K46" i="1" s="1"/>
  <c r="I47" i="1"/>
  <c r="K47" i="1" s="1"/>
  <c r="I48" i="1"/>
  <c r="K48" i="1" s="1"/>
  <c r="I49" i="1"/>
  <c r="K49" i="1" s="1"/>
  <c r="I50" i="1"/>
  <c r="K50" i="1" s="1"/>
  <c r="I51" i="1"/>
  <c r="K51" i="1" s="1"/>
  <c r="I52" i="1"/>
  <c r="K52" i="1" s="1"/>
  <c r="I53" i="1"/>
  <c r="K53" i="1" s="1"/>
  <c r="I54" i="1"/>
  <c r="K54" i="1" s="1"/>
  <c r="I55" i="1"/>
  <c r="K55" i="1" s="1"/>
  <c r="I56" i="1"/>
  <c r="K56" i="1" s="1"/>
  <c r="I57" i="1"/>
  <c r="K57" i="1" s="1"/>
  <c r="I58" i="1"/>
  <c r="K58" i="1" s="1"/>
  <c r="I59" i="1"/>
  <c r="K59" i="1" s="1"/>
  <c r="I60" i="1"/>
  <c r="K60" i="1" s="1"/>
  <c r="I61" i="1"/>
  <c r="K61" i="1" s="1"/>
  <c r="I62" i="1"/>
  <c r="K62" i="1" s="1"/>
  <c r="I63" i="1"/>
  <c r="K63" i="1" s="1"/>
  <c r="I64" i="1"/>
  <c r="K64" i="1" s="1"/>
  <c r="I65" i="1"/>
  <c r="K65" i="1" s="1"/>
  <c r="I66" i="1"/>
  <c r="K66" i="1" s="1"/>
  <c r="I67" i="1"/>
  <c r="K67" i="1" s="1"/>
  <c r="I68" i="1"/>
  <c r="K68" i="1" s="1"/>
  <c r="I69" i="1"/>
  <c r="K69" i="1" s="1"/>
  <c r="I70" i="1"/>
  <c r="K70" i="1" s="1"/>
  <c r="I71" i="1"/>
  <c r="K71" i="1" s="1"/>
  <c r="I72" i="1"/>
  <c r="K72" i="1" s="1"/>
  <c r="I73" i="1"/>
  <c r="K73" i="1" s="1"/>
  <c r="I74" i="1"/>
  <c r="K74" i="1" s="1"/>
  <c r="I75" i="1"/>
  <c r="K75" i="1" s="1"/>
  <c r="I76" i="1"/>
  <c r="K76" i="1" s="1"/>
  <c r="I77" i="1"/>
  <c r="K77" i="1" s="1"/>
  <c r="I78" i="1"/>
  <c r="K78" i="1" s="1"/>
  <c r="I79" i="1"/>
  <c r="K79" i="1" s="1"/>
  <c r="I80" i="1"/>
  <c r="K80" i="1" s="1"/>
  <c r="I81" i="1"/>
  <c r="K81" i="1" s="1"/>
  <c r="I82" i="1"/>
  <c r="K82" i="1" s="1"/>
  <c r="I83" i="1"/>
  <c r="K83" i="1" s="1"/>
  <c r="I84" i="1"/>
  <c r="K84" i="1" s="1"/>
  <c r="I85" i="1"/>
  <c r="K85" i="1" s="1"/>
  <c r="I86" i="1"/>
  <c r="K86" i="1" s="1"/>
  <c r="I87" i="1"/>
  <c r="K87" i="1" s="1"/>
  <c r="I88" i="1"/>
  <c r="K88" i="1" s="1"/>
  <c r="I89" i="1"/>
  <c r="K89" i="1" s="1"/>
  <c r="I90" i="1"/>
  <c r="K90" i="1" s="1"/>
  <c r="I91" i="1"/>
  <c r="K91" i="1" s="1"/>
  <c r="I92" i="1"/>
  <c r="K92" i="1" s="1"/>
  <c r="I93" i="1"/>
  <c r="K93" i="1" s="1"/>
  <c r="I94" i="1"/>
  <c r="K94" i="1" s="1"/>
  <c r="I95" i="1"/>
  <c r="K95" i="1" s="1"/>
  <c r="I96" i="1"/>
  <c r="K96" i="1" s="1"/>
  <c r="I97" i="1"/>
  <c r="K97" i="1" s="1"/>
  <c r="I98" i="1"/>
  <c r="K98" i="1" s="1"/>
  <c r="I99" i="1"/>
  <c r="K99" i="1" s="1"/>
  <c r="I100" i="1"/>
  <c r="K100" i="1" s="1"/>
  <c r="I101" i="1"/>
  <c r="K101" i="1" s="1"/>
  <c r="I102" i="1"/>
  <c r="K102" i="1" s="1"/>
  <c r="I103" i="1"/>
  <c r="K103" i="1" s="1"/>
  <c r="I104" i="1"/>
  <c r="K104" i="1" s="1"/>
  <c r="I105" i="1"/>
  <c r="K105" i="1" s="1"/>
  <c r="I106" i="1"/>
  <c r="K106" i="1" s="1"/>
  <c r="I107" i="1"/>
  <c r="K107" i="1" s="1"/>
  <c r="I108" i="1"/>
  <c r="K108" i="1" s="1"/>
  <c r="I109" i="1"/>
  <c r="K109" i="1" s="1"/>
  <c r="I110" i="1"/>
  <c r="K110" i="1" s="1"/>
  <c r="I111" i="1"/>
  <c r="K111" i="1" s="1"/>
  <c r="I112" i="1"/>
  <c r="K112" i="1" s="1"/>
  <c r="I113" i="1"/>
  <c r="K113" i="1" s="1"/>
  <c r="I114" i="1"/>
  <c r="K114" i="1" s="1"/>
  <c r="I115" i="1"/>
  <c r="K115" i="1" s="1"/>
  <c r="I116" i="1"/>
  <c r="K116" i="1" s="1"/>
  <c r="I117" i="1"/>
  <c r="K117" i="1" s="1"/>
  <c r="I118" i="1"/>
  <c r="K118" i="1" s="1"/>
  <c r="I119" i="1"/>
  <c r="K119" i="1" s="1"/>
  <c r="I120" i="1"/>
  <c r="K120" i="1" s="1"/>
  <c r="I121" i="1"/>
  <c r="K121" i="1" s="1"/>
  <c r="I122" i="1"/>
  <c r="K122" i="1" s="1"/>
  <c r="I123" i="1"/>
  <c r="K123" i="1" s="1"/>
  <c r="I124" i="1"/>
  <c r="K124" i="1" s="1"/>
  <c r="I125" i="1"/>
  <c r="K125" i="1" s="1"/>
  <c r="I126" i="1"/>
  <c r="K126" i="1" s="1"/>
  <c r="I127" i="1"/>
  <c r="K127" i="1" s="1"/>
  <c r="I128" i="1"/>
  <c r="K128" i="1" s="1"/>
  <c r="I129" i="1"/>
  <c r="K129" i="1" s="1"/>
  <c r="I130" i="1"/>
  <c r="K130" i="1" s="1"/>
  <c r="I131" i="1"/>
  <c r="K131" i="1" s="1"/>
  <c r="I132" i="1"/>
  <c r="K132" i="1" s="1"/>
  <c r="I133" i="1"/>
  <c r="K133" i="1" s="1"/>
  <c r="I134" i="1"/>
  <c r="K134" i="1" s="1"/>
  <c r="I135" i="1"/>
  <c r="K135" i="1" s="1"/>
  <c r="I136" i="1"/>
  <c r="K136" i="1" s="1"/>
  <c r="I137" i="1"/>
  <c r="K137" i="1" s="1"/>
  <c r="I138" i="1"/>
  <c r="K138" i="1" s="1"/>
  <c r="I139" i="1"/>
  <c r="K139" i="1" s="1"/>
  <c r="I140" i="1"/>
  <c r="K140" i="1" s="1"/>
  <c r="I141" i="1"/>
  <c r="K141" i="1" s="1"/>
  <c r="I142" i="1"/>
  <c r="K142" i="1" s="1"/>
  <c r="I143" i="1"/>
  <c r="K143" i="1" s="1"/>
  <c r="I144" i="1"/>
  <c r="K144" i="1" s="1"/>
  <c r="I145" i="1"/>
  <c r="K145" i="1" s="1"/>
  <c r="I146" i="1"/>
  <c r="K146" i="1" s="1"/>
  <c r="I147" i="1"/>
  <c r="K147" i="1" s="1"/>
  <c r="I148" i="1"/>
  <c r="K148" i="1" s="1"/>
  <c r="I149" i="1"/>
  <c r="K149" i="1" s="1"/>
  <c r="I150" i="1"/>
  <c r="K150" i="1" s="1"/>
  <c r="I151" i="1"/>
  <c r="K151" i="1" s="1"/>
  <c r="I152" i="1"/>
  <c r="K152" i="1" s="1"/>
  <c r="I153" i="1"/>
  <c r="K153" i="1" s="1"/>
  <c r="I154" i="1"/>
  <c r="K154" i="1" s="1"/>
  <c r="I155" i="1"/>
  <c r="K155" i="1" s="1"/>
  <c r="I156" i="1"/>
  <c r="K156" i="1" s="1"/>
  <c r="I157" i="1"/>
  <c r="K157" i="1" s="1"/>
  <c r="I158" i="1"/>
  <c r="K158" i="1" s="1"/>
  <c r="I159" i="1"/>
  <c r="K159" i="1" s="1"/>
  <c r="I160" i="1"/>
  <c r="K160" i="1" s="1"/>
  <c r="I161" i="1"/>
  <c r="K161" i="1" s="1"/>
  <c r="A31" i="1" l="1"/>
  <c r="F51" i="1" s="1"/>
  <c r="L51" i="1" s="1"/>
  <c r="A30" i="1"/>
  <c r="F45" i="1" l="1"/>
  <c r="L45" i="1" s="1"/>
  <c r="Y45" i="1" s="1"/>
  <c r="AF63" i="1"/>
  <c r="AF85" i="1"/>
  <c r="AF96" i="1"/>
  <c r="AF151" i="1"/>
  <c r="AF107" i="1"/>
  <c r="AF118" i="1"/>
  <c r="AF74" i="1"/>
  <c r="AF129" i="1"/>
  <c r="AF140" i="1"/>
  <c r="AF41" i="1"/>
  <c r="X51" i="1"/>
  <c r="Y51" i="1"/>
  <c r="F138" i="1"/>
  <c r="L138" i="1" s="1"/>
  <c r="F95" i="1"/>
  <c r="L95" i="1" s="1"/>
  <c r="F123" i="1"/>
  <c r="L123" i="1" s="1"/>
  <c r="F54" i="1"/>
  <c r="L54" i="1" s="1"/>
  <c r="F119" i="1"/>
  <c r="L119" i="1" s="1"/>
  <c r="F159" i="1"/>
  <c r="L159" i="1" s="1"/>
  <c r="F115" i="1"/>
  <c r="L115" i="1" s="1"/>
  <c r="F41" i="1"/>
  <c r="F146" i="1"/>
  <c r="L146" i="1" s="1"/>
  <c r="F103" i="1"/>
  <c r="L103" i="1" s="1"/>
  <c r="F122" i="1"/>
  <c r="L122" i="1" s="1"/>
  <c r="F143" i="1"/>
  <c r="L143" i="1" s="1"/>
  <c r="F99" i="1"/>
  <c r="L99" i="1" s="1"/>
  <c r="F139" i="1"/>
  <c r="L139" i="1" s="1"/>
  <c r="F98" i="1"/>
  <c r="L98" i="1" s="1"/>
  <c r="F47" i="1"/>
  <c r="L47" i="1" s="1"/>
  <c r="F82" i="1"/>
  <c r="L82" i="1" s="1"/>
  <c r="F79" i="1"/>
  <c r="L79" i="1" s="1"/>
  <c r="F75" i="1"/>
  <c r="L75" i="1" s="1"/>
  <c r="F58" i="1"/>
  <c r="L58" i="1" s="1"/>
  <c r="F155" i="1"/>
  <c r="L155" i="1" s="1"/>
  <c r="F135" i="1"/>
  <c r="L135" i="1" s="1"/>
  <c r="F114" i="1"/>
  <c r="L114" i="1" s="1"/>
  <c r="F91" i="1"/>
  <c r="L91" i="1" s="1"/>
  <c r="F71" i="1"/>
  <c r="L71" i="1" s="1"/>
  <c r="F154" i="1"/>
  <c r="L154" i="1" s="1"/>
  <c r="F131" i="1"/>
  <c r="L131" i="1" s="1"/>
  <c r="F111" i="1"/>
  <c r="L111" i="1" s="1"/>
  <c r="F90" i="1"/>
  <c r="L90" i="1" s="1"/>
  <c r="F67" i="1"/>
  <c r="L67" i="1" s="1"/>
  <c r="F74" i="1"/>
  <c r="L74" i="1" s="1"/>
  <c r="F151" i="1"/>
  <c r="L151" i="1" s="1"/>
  <c r="F130" i="1"/>
  <c r="L130" i="1" s="1"/>
  <c r="F107" i="1"/>
  <c r="L107" i="1" s="1"/>
  <c r="F87" i="1"/>
  <c r="L87" i="1" s="1"/>
  <c r="F66" i="1"/>
  <c r="L66" i="1" s="1"/>
  <c r="F147" i="1"/>
  <c r="L147" i="1" s="1"/>
  <c r="F127" i="1"/>
  <c r="L127" i="1" s="1"/>
  <c r="F106" i="1"/>
  <c r="L106" i="1" s="1"/>
  <c r="F83" i="1"/>
  <c r="L83" i="1" s="1"/>
  <c r="F63" i="1"/>
  <c r="L63" i="1" s="1"/>
  <c r="F57" i="1"/>
  <c r="L57" i="1" s="1"/>
  <c r="F153" i="1"/>
  <c r="L153" i="1" s="1"/>
  <c r="F129" i="1"/>
  <c r="L129" i="1" s="1"/>
  <c r="F113" i="1"/>
  <c r="L113" i="1" s="1"/>
  <c r="F97" i="1"/>
  <c r="L97" i="1" s="1"/>
  <c r="F89" i="1"/>
  <c r="L89" i="1" s="1"/>
  <c r="F81" i="1"/>
  <c r="L81" i="1" s="1"/>
  <c r="F73" i="1"/>
  <c r="L73" i="1" s="1"/>
  <c r="F65" i="1"/>
  <c r="L65" i="1" s="1"/>
  <c r="F56" i="1"/>
  <c r="L56" i="1" s="1"/>
  <c r="F161" i="1"/>
  <c r="L161" i="1" s="1"/>
  <c r="F145" i="1"/>
  <c r="L145" i="1" s="1"/>
  <c r="F137" i="1"/>
  <c r="L137" i="1" s="1"/>
  <c r="F121" i="1"/>
  <c r="L121" i="1" s="1"/>
  <c r="F105" i="1"/>
  <c r="L105" i="1" s="1"/>
  <c r="F160" i="1"/>
  <c r="L160" i="1" s="1"/>
  <c r="F152" i="1"/>
  <c r="L152" i="1" s="1"/>
  <c r="F144" i="1"/>
  <c r="L144" i="1" s="1"/>
  <c r="F136" i="1"/>
  <c r="L136" i="1" s="1"/>
  <c r="F128" i="1"/>
  <c r="L128" i="1" s="1"/>
  <c r="F120" i="1"/>
  <c r="L120" i="1" s="1"/>
  <c r="F112" i="1"/>
  <c r="L112" i="1" s="1"/>
  <c r="F104" i="1"/>
  <c r="L104" i="1" s="1"/>
  <c r="F96" i="1"/>
  <c r="L96" i="1" s="1"/>
  <c r="F88" i="1"/>
  <c r="L88" i="1" s="1"/>
  <c r="F80" i="1"/>
  <c r="L80" i="1" s="1"/>
  <c r="F72" i="1"/>
  <c r="L72" i="1" s="1"/>
  <c r="F64" i="1"/>
  <c r="L64" i="1" s="1"/>
  <c r="F55" i="1"/>
  <c r="L55" i="1" s="1"/>
  <c r="F62" i="1"/>
  <c r="L62" i="1" s="1"/>
  <c r="F150" i="1"/>
  <c r="F134" i="1"/>
  <c r="L134" i="1" s="1"/>
  <c r="F118" i="1"/>
  <c r="L118" i="1" s="1"/>
  <c r="F102" i="1"/>
  <c r="L102" i="1" s="1"/>
  <c r="F86" i="1"/>
  <c r="L86" i="1" s="1"/>
  <c r="F70" i="1"/>
  <c r="L70" i="1" s="1"/>
  <c r="F53" i="1"/>
  <c r="L53" i="1" s="1"/>
  <c r="F157" i="1"/>
  <c r="L157" i="1" s="1"/>
  <c r="F149" i="1"/>
  <c r="L149" i="1" s="1"/>
  <c r="F141" i="1"/>
  <c r="L141" i="1" s="1"/>
  <c r="F133" i="1"/>
  <c r="L133" i="1" s="1"/>
  <c r="F125" i="1"/>
  <c r="L125" i="1" s="1"/>
  <c r="F117" i="1"/>
  <c r="L117" i="1" s="1"/>
  <c r="F109" i="1"/>
  <c r="L109" i="1" s="1"/>
  <c r="F101" i="1"/>
  <c r="L101" i="1" s="1"/>
  <c r="F93" i="1"/>
  <c r="L93" i="1" s="1"/>
  <c r="F85" i="1"/>
  <c r="L85" i="1" s="1"/>
  <c r="F77" i="1"/>
  <c r="L77" i="1" s="1"/>
  <c r="F69" i="1"/>
  <c r="L69" i="1" s="1"/>
  <c r="F60" i="1"/>
  <c r="L60" i="1" s="1"/>
  <c r="F49" i="1"/>
  <c r="L49" i="1" s="1"/>
  <c r="F158" i="1"/>
  <c r="L158" i="1" s="1"/>
  <c r="F142" i="1"/>
  <c r="L142" i="1" s="1"/>
  <c r="F126" i="1"/>
  <c r="L126" i="1" s="1"/>
  <c r="F110" i="1"/>
  <c r="L110" i="1" s="1"/>
  <c r="F94" i="1"/>
  <c r="L94" i="1" s="1"/>
  <c r="F78" i="1"/>
  <c r="L78" i="1" s="1"/>
  <c r="F61" i="1"/>
  <c r="L61" i="1" s="1"/>
  <c r="F156" i="1"/>
  <c r="L156" i="1" s="1"/>
  <c r="F148" i="1"/>
  <c r="L148" i="1" s="1"/>
  <c r="F140" i="1"/>
  <c r="L140" i="1" s="1"/>
  <c r="F132" i="1"/>
  <c r="L132" i="1" s="1"/>
  <c r="F124" i="1"/>
  <c r="L124" i="1" s="1"/>
  <c r="F116" i="1"/>
  <c r="L116" i="1" s="1"/>
  <c r="F108" i="1"/>
  <c r="L108" i="1" s="1"/>
  <c r="F100" i="1"/>
  <c r="L100" i="1" s="1"/>
  <c r="F92" i="1"/>
  <c r="L92" i="1" s="1"/>
  <c r="F84" i="1"/>
  <c r="L84" i="1" s="1"/>
  <c r="F76" i="1"/>
  <c r="L76" i="1" s="1"/>
  <c r="F68" i="1"/>
  <c r="L68" i="1" s="1"/>
  <c r="F59" i="1"/>
  <c r="L59" i="1" s="1"/>
  <c r="F48" i="1"/>
  <c r="L48" i="1" s="1"/>
  <c r="F46" i="1"/>
  <c r="L46" i="1" s="1"/>
  <c r="F44" i="1"/>
  <c r="L44" i="1" s="1"/>
  <c r="F52" i="1"/>
  <c r="L52" i="1" s="1"/>
  <c r="F43" i="1"/>
  <c r="L43" i="1" s="1"/>
  <c r="F50" i="1"/>
  <c r="L50" i="1" s="1"/>
  <c r="F42" i="1"/>
  <c r="L42" i="1" s="1"/>
  <c r="X45" i="1" l="1"/>
  <c r="AL151" i="1"/>
  <c r="AV151" i="1"/>
  <c r="AU151" i="1"/>
  <c r="AL107" i="1"/>
  <c r="AV107" i="1"/>
  <c r="AU107" i="1"/>
  <c r="AW107" i="1" s="1"/>
  <c r="AU96" i="1"/>
  <c r="AW96" i="1" s="1"/>
  <c r="AL96" i="1"/>
  <c r="AV96" i="1"/>
  <c r="AV118" i="1"/>
  <c r="AL118" i="1"/>
  <c r="AU118" i="1"/>
  <c r="AU41" i="1"/>
  <c r="AV41" i="1"/>
  <c r="AL41" i="1"/>
  <c r="AL85" i="1"/>
  <c r="AV85" i="1"/>
  <c r="AU85" i="1"/>
  <c r="AW85" i="1" s="1"/>
  <c r="AV140" i="1"/>
  <c r="AL140" i="1"/>
  <c r="AU140" i="1"/>
  <c r="AW140" i="1" s="1"/>
  <c r="AL52" i="1"/>
  <c r="AV52" i="1"/>
  <c r="AU52" i="1"/>
  <c r="AL129" i="1"/>
  <c r="AV129" i="1"/>
  <c r="AU129" i="1"/>
  <c r="AL63" i="1"/>
  <c r="AV63" i="1"/>
  <c r="AU63" i="1"/>
  <c r="AW63" i="1" s="1"/>
  <c r="AU74" i="1"/>
  <c r="AW74" i="1" s="1"/>
  <c r="AL74" i="1"/>
  <c r="AV74" i="1"/>
  <c r="Z45" i="1"/>
  <c r="Z51" i="1"/>
  <c r="Y52" i="1"/>
  <c r="X52" i="1"/>
  <c r="X92" i="1"/>
  <c r="Y92" i="1"/>
  <c r="X156" i="1"/>
  <c r="Y156" i="1"/>
  <c r="Y49" i="1"/>
  <c r="X49" i="1"/>
  <c r="X117" i="1"/>
  <c r="Y117" i="1"/>
  <c r="X86" i="1"/>
  <c r="Y86" i="1"/>
  <c r="X72" i="1"/>
  <c r="Y72" i="1"/>
  <c r="X136" i="1"/>
  <c r="Y136" i="1"/>
  <c r="X161" i="1"/>
  <c r="Y161" i="1"/>
  <c r="X129" i="1"/>
  <c r="Y129" i="1"/>
  <c r="X66" i="1"/>
  <c r="Y66" i="1"/>
  <c r="X111" i="1"/>
  <c r="Y111" i="1"/>
  <c r="X58" i="1"/>
  <c r="Y58" i="1"/>
  <c r="X143" i="1"/>
  <c r="Y143" i="1"/>
  <c r="X54" i="1"/>
  <c r="Y54" i="1"/>
  <c r="X44" i="1"/>
  <c r="Y44" i="1"/>
  <c r="X100" i="1"/>
  <c r="Y100" i="1"/>
  <c r="X61" i="1"/>
  <c r="Y61" i="1"/>
  <c r="Y60" i="1"/>
  <c r="X60" i="1"/>
  <c r="X125" i="1"/>
  <c r="Y125" i="1"/>
  <c r="X102" i="1"/>
  <c r="Y102" i="1"/>
  <c r="X80" i="1"/>
  <c r="Y80" i="1"/>
  <c r="Y144" i="1"/>
  <c r="X144" i="1"/>
  <c r="X153" i="1"/>
  <c r="Y153" i="1"/>
  <c r="X87" i="1"/>
  <c r="Y87" i="1"/>
  <c r="X131" i="1"/>
  <c r="Y131" i="1"/>
  <c r="X75" i="1"/>
  <c r="Y75" i="1"/>
  <c r="Y122" i="1"/>
  <c r="X122" i="1"/>
  <c r="X123" i="1"/>
  <c r="Y123" i="1"/>
  <c r="X46" i="1"/>
  <c r="Y46" i="1"/>
  <c r="X69" i="1"/>
  <c r="Y69" i="1"/>
  <c r="X88" i="1"/>
  <c r="Y88" i="1"/>
  <c r="X57" i="1"/>
  <c r="Y57" i="1"/>
  <c r="X154" i="1"/>
  <c r="Y154" i="1"/>
  <c r="X103" i="1"/>
  <c r="Y103" i="1"/>
  <c r="X116" i="1"/>
  <c r="Y116" i="1"/>
  <c r="Y77" i="1"/>
  <c r="X77" i="1"/>
  <c r="X96" i="1"/>
  <c r="Y96" i="1"/>
  <c r="X73" i="1"/>
  <c r="Y73" i="1"/>
  <c r="Y130" i="1"/>
  <c r="X130" i="1"/>
  <c r="X146" i="1"/>
  <c r="Y146" i="1"/>
  <c r="X59" i="1"/>
  <c r="Y59" i="1"/>
  <c r="X124" i="1"/>
  <c r="Y124" i="1"/>
  <c r="X110" i="1"/>
  <c r="Y110" i="1"/>
  <c r="X85" i="1"/>
  <c r="Y85" i="1"/>
  <c r="X149" i="1"/>
  <c r="Y149" i="1"/>
  <c r="X104" i="1"/>
  <c r="Y104" i="1"/>
  <c r="Y105" i="1"/>
  <c r="X105" i="1"/>
  <c r="X81" i="1"/>
  <c r="Y81" i="1"/>
  <c r="X83" i="1"/>
  <c r="Y83" i="1"/>
  <c r="X151" i="1"/>
  <c r="Y151" i="1"/>
  <c r="X91" i="1"/>
  <c r="Y91" i="1"/>
  <c r="X47" i="1"/>
  <c r="Y47" i="1"/>
  <c r="L41" i="1"/>
  <c r="U41" i="1"/>
  <c r="X78" i="1"/>
  <c r="Y78" i="1"/>
  <c r="X133" i="1"/>
  <c r="Y133" i="1"/>
  <c r="Y118" i="1"/>
  <c r="X118" i="1"/>
  <c r="X152" i="1"/>
  <c r="Y152" i="1"/>
  <c r="X65" i="1"/>
  <c r="Y65" i="1"/>
  <c r="X107" i="1"/>
  <c r="Y107" i="1"/>
  <c r="X79" i="1"/>
  <c r="Y79" i="1"/>
  <c r="X95" i="1"/>
  <c r="Y95" i="1"/>
  <c r="X48" i="1"/>
  <c r="Y48" i="1"/>
  <c r="Y94" i="1"/>
  <c r="X94" i="1"/>
  <c r="X141" i="1"/>
  <c r="Y141" i="1"/>
  <c r="X134" i="1"/>
  <c r="Y134" i="1"/>
  <c r="X160" i="1"/>
  <c r="Y160" i="1"/>
  <c r="X63" i="1"/>
  <c r="Y63" i="1"/>
  <c r="X71" i="1"/>
  <c r="Y71" i="1"/>
  <c r="X82" i="1"/>
  <c r="Y82" i="1"/>
  <c r="X138" i="1"/>
  <c r="Y138" i="1"/>
  <c r="Y42" i="1"/>
  <c r="X42" i="1"/>
  <c r="X68" i="1"/>
  <c r="Y68" i="1"/>
  <c r="X132" i="1"/>
  <c r="Y132" i="1"/>
  <c r="X126" i="1"/>
  <c r="Y126" i="1"/>
  <c r="X93" i="1"/>
  <c r="Y93" i="1"/>
  <c r="X157" i="1"/>
  <c r="Y157" i="1"/>
  <c r="X62" i="1"/>
  <c r="Y62" i="1"/>
  <c r="Y112" i="1"/>
  <c r="X112" i="1"/>
  <c r="X121" i="1"/>
  <c r="Y121" i="1"/>
  <c r="X89" i="1"/>
  <c r="Y89" i="1"/>
  <c r="X106" i="1"/>
  <c r="Y106" i="1"/>
  <c r="Y74" i="1"/>
  <c r="X74" i="1"/>
  <c r="X114" i="1"/>
  <c r="Y114" i="1"/>
  <c r="X98" i="1"/>
  <c r="Y98" i="1"/>
  <c r="Y115" i="1"/>
  <c r="X115" i="1"/>
  <c r="X76" i="1"/>
  <c r="Y76" i="1"/>
  <c r="X53" i="1"/>
  <c r="Y53" i="1"/>
  <c r="Y108" i="1"/>
  <c r="X108" i="1"/>
  <c r="X50" i="1"/>
  <c r="Y50" i="1"/>
  <c r="X140" i="1"/>
  <c r="Y140" i="1"/>
  <c r="X142" i="1"/>
  <c r="Y142" i="1"/>
  <c r="Y101" i="1"/>
  <c r="X101" i="1"/>
  <c r="X55" i="1"/>
  <c r="Y55" i="1"/>
  <c r="X120" i="1"/>
  <c r="Y120" i="1"/>
  <c r="Y137" i="1"/>
  <c r="X137" i="1"/>
  <c r="X97" i="1"/>
  <c r="Y97" i="1"/>
  <c r="Y67" i="1"/>
  <c r="X67" i="1"/>
  <c r="X135" i="1"/>
  <c r="Y135" i="1"/>
  <c r="X139" i="1"/>
  <c r="Y139" i="1"/>
  <c r="X159" i="1"/>
  <c r="Y159" i="1"/>
  <c r="X43" i="1"/>
  <c r="Y43" i="1"/>
  <c r="X84" i="1"/>
  <c r="Y84" i="1"/>
  <c r="X148" i="1"/>
  <c r="Y148" i="1"/>
  <c r="X158" i="1"/>
  <c r="Y158" i="1"/>
  <c r="X109" i="1"/>
  <c r="Y109" i="1"/>
  <c r="Y70" i="1"/>
  <c r="X70" i="1"/>
  <c r="Y64" i="1"/>
  <c r="X64" i="1"/>
  <c r="X128" i="1"/>
  <c r="Y128" i="1"/>
  <c r="X145" i="1"/>
  <c r="Y145" i="1"/>
  <c r="X113" i="1"/>
  <c r="Y113" i="1"/>
  <c r="X147" i="1"/>
  <c r="Y147" i="1"/>
  <c r="X90" i="1"/>
  <c r="Y90" i="1"/>
  <c r="Y155" i="1"/>
  <c r="X155" i="1"/>
  <c r="X99" i="1"/>
  <c r="Y99" i="1"/>
  <c r="X119" i="1"/>
  <c r="Y119" i="1"/>
  <c r="L150" i="1"/>
  <c r="V150" i="1"/>
  <c r="U150" i="1"/>
  <c r="W150" i="1" s="1"/>
  <c r="AY52" i="1" l="1"/>
  <c r="AX52" i="1"/>
  <c r="AW41" i="1"/>
  <c r="AY63" i="1"/>
  <c r="AX63" i="1"/>
  <c r="AZ63" i="1" s="1"/>
  <c r="AY140" i="1"/>
  <c r="AX140" i="1"/>
  <c r="AZ140" i="1" s="1"/>
  <c r="AW118" i="1"/>
  <c r="AY107" i="1"/>
  <c r="AX107" i="1"/>
  <c r="AW129" i="1"/>
  <c r="AY118" i="1"/>
  <c r="AX118" i="1"/>
  <c r="AZ118" i="1" s="1"/>
  <c r="AW151" i="1"/>
  <c r="AY41" i="1"/>
  <c r="AX41" i="1"/>
  <c r="AZ41" i="1" s="1"/>
  <c r="AY129" i="1"/>
  <c r="AX129" i="1"/>
  <c r="AY151" i="1"/>
  <c r="AX151" i="1"/>
  <c r="AX74" i="1"/>
  <c r="AZ74" i="1" s="1"/>
  <c r="AY74" i="1"/>
  <c r="AW52" i="1"/>
  <c r="AX85" i="1"/>
  <c r="AY85" i="1"/>
  <c r="AY96" i="1"/>
  <c r="AX96" i="1"/>
  <c r="AZ96" i="1" s="1"/>
  <c r="Z140" i="1"/>
  <c r="Z76" i="1"/>
  <c r="Z74" i="1"/>
  <c r="Z112" i="1"/>
  <c r="Z124" i="1"/>
  <c r="Z144" i="1"/>
  <c r="Z60" i="1"/>
  <c r="Z54" i="1"/>
  <c r="Z156" i="1"/>
  <c r="Z118" i="1"/>
  <c r="Z77" i="1"/>
  <c r="Z52" i="1"/>
  <c r="Z109" i="1"/>
  <c r="Z55" i="1"/>
  <c r="Z106" i="1"/>
  <c r="Z134" i="1"/>
  <c r="Z95" i="1"/>
  <c r="Z152" i="1"/>
  <c r="Z83" i="1"/>
  <c r="Z149" i="1"/>
  <c r="Z59" i="1"/>
  <c r="Z96" i="1"/>
  <c r="Z154" i="1"/>
  <c r="Z131" i="1"/>
  <c r="Z80" i="1"/>
  <c r="Z143" i="1"/>
  <c r="Z129" i="1"/>
  <c r="Z86" i="1"/>
  <c r="Z92" i="1"/>
  <c r="Z82" i="1"/>
  <c r="Z145" i="1"/>
  <c r="Z43" i="1"/>
  <c r="Z50" i="1"/>
  <c r="Z158" i="1"/>
  <c r="Z159" i="1"/>
  <c r="Z97" i="1"/>
  <c r="Z98" i="1"/>
  <c r="Z89" i="1"/>
  <c r="Z157" i="1"/>
  <c r="Z90" i="1"/>
  <c r="Z128" i="1"/>
  <c r="Z64" i="1"/>
  <c r="Z148" i="1"/>
  <c r="Z137" i="1"/>
  <c r="Z53" i="1"/>
  <c r="Z42" i="1"/>
  <c r="Z94" i="1"/>
  <c r="Z105" i="1"/>
  <c r="Z130" i="1"/>
  <c r="Z116" i="1"/>
  <c r="Z122" i="1"/>
  <c r="Z49" i="1"/>
  <c r="Z119" i="1"/>
  <c r="Z147" i="1"/>
  <c r="Z139" i="1"/>
  <c r="Z142" i="1"/>
  <c r="Z114" i="1"/>
  <c r="Z121" i="1"/>
  <c r="Z93" i="1"/>
  <c r="Z63" i="1"/>
  <c r="Z107" i="1"/>
  <c r="Z133" i="1"/>
  <c r="Z91" i="1"/>
  <c r="Z110" i="1"/>
  <c r="Z88" i="1"/>
  <c r="Z153" i="1"/>
  <c r="Z125" i="1"/>
  <c r="Z44" i="1"/>
  <c r="Z111" i="1"/>
  <c r="Z136" i="1"/>
  <c r="Z99" i="1"/>
  <c r="Z120" i="1"/>
  <c r="Z126" i="1"/>
  <c r="Z160" i="1"/>
  <c r="Z104" i="1"/>
  <c r="Z103" i="1"/>
  <c r="Z75" i="1"/>
  <c r="Z72" i="1"/>
  <c r="Z84" i="1"/>
  <c r="Z138" i="1"/>
  <c r="Z48" i="1"/>
  <c r="Z151" i="1"/>
  <c r="Z73" i="1"/>
  <c r="Z69" i="1"/>
  <c r="Z66" i="1"/>
  <c r="Z155" i="1"/>
  <c r="Z67" i="1"/>
  <c r="Z115" i="1"/>
  <c r="Z62" i="1"/>
  <c r="Z132" i="1"/>
  <c r="Z46" i="1"/>
  <c r="Z61" i="1"/>
  <c r="Z113" i="1"/>
  <c r="Z78" i="1"/>
  <c r="Y41" i="1"/>
  <c r="X41" i="1"/>
  <c r="Z41" i="1" s="1"/>
  <c r="Z70" i="1"/>
  <c r="Z101" i="1"/>
  <c r="Z108" i="1"/>
  <c r="Z135" i="1"/>
  <c r="Z65" i="1"/>
  <c r="X150" i="1"/>
  <c r="Y150" i="1"/>
  <c r="Z68" i="1"/>
  <c r="Z71" i="1"/>
  <c r="Z141" i="1"/>
  <c r="Z79" i="1"/>
  <c r="Z47" i="1"/>
  <c r="Z81" i="1"/>
  <c r="Z85" i="1"/>
  <c r="Z146" i="1"/>
  <c r="Z57" i="1"/>
  <c r="Z123" i="1"/>
  <c r="Z87" i="1"/>
  <c r="Z102" i="1"/>
  <c r="Z100" i="1"/>
  <c r="Z58" i="1"/>
  <c r="Z161" i="1"/>
  <c r="Z117" i="1"/>
  <c r="AZ151" i="1" l="1"/>
  <c r="AZ129" i="1"/>
  <c r="AZ107" i="1"/>
  <c r="AZ52" i="1"/>
  <c r="AZ85" i="1"/>
  <c r="Z150" i="1"/>
  <c r="T95" i="1" l="1"/>
  <c r="T86" i="1"/>
  <c r="T61" i="1"/>
  <c r="T43" i="1"/>
  <c r="T134" i="1"/>
  <c r="T148" i="1"/>
  <c r="T123" i="1"/>
  <c r="T118" i="1"/>
  <c r="T107" i="1"/>
  <c r="T103" i="1"/>
  <c r="T136" i="1"/>
  <c r="T135" i="1"/>
  <c r="T106" i="1"/>
  <c r="T92" i="1"/>
  <c r="T46" i="1"/>
  <c r="T160" i="1"/>
  <c r="T144" i="1"/>
  <c r="T133" i="1"/>
  <c r="T102" i="1"/>
  <c r="T83" i="1"/>
  <c r="T42" i="1"/>
  <c r="T159" i="1"/>
  <c r="T143" i="1"/>
  <c r="T132" i="1"/>
  <c r="T116" i="1"/>
  <c r="T100" i="1"/>
  <c r="T69" i="1"/>
  <c r="T158" i="1"/>
  <c r="T140" i="1"/>
  <c r="T128" i="1"/>
  <c r="T112" i="1"/>
  <c r="T99" i="1"/>
  <c r="T68" i="1"/>
  <c r="T157" i="1"/>
  <c r="T139" i="1"/>
  <c r="T110" i="1"/>
  <c r="T98" i="1"/>
  <c r="T67" i="1"/>
  <c r="T156" i="1"/>
  <c r="T138" i="1"/>
  <c r="T108" i="1"/>
  <c r="T96" i="1"/>
  <c r="T64" i="1"/>
  <c r="T153" i="1"/>
  <c r="T154" i="1"/>
  <c r="T152" i="1"/>
  <c r="T147" i="1"/>
  <c r="T142" i="1"/>
  <c r="T130" i="1"/>
  <c r="T115" i="1"/>
  <c r="T113" i="1"/>
  <c r="T97" i="1"/>
  <c r="T94" i="1"/>
  <c r="T91" i="1"/>
  <c r="T66" i="1"/>
  <c r="T50" i="1"/>
  <c r="T48" i="1"/>
  <c r="T45" i="1"/>
  <c r="T89" i="1"/>
  <c r="T161" i="1"/>
  <c r="T122" i="1"/>
  <c r="T105" i="1"/>
  <c r="T63" i="1"/>
  <c r="T149" i="1"/>
  <c r="T151" i="1"/>
  <c r="T146" i="1"/>
  <c r="T137" i="1"/>
  <c r="T119" i="1"/>
  <c r="T117" i="1"/>
  <c r="T114" i="1"/>
  <c r="T93" i="1"/>
  <c r="T90" i="1"/>
  <c r="T65" i="1"/>
  <c r="T49" i="1"/>
  <c r="T47" i="1"/>
  <c r="T121" i="1"/>
  <c r="T81" i="1"/>
  <c r="T155" i="1"/>
  <c r="T131" i="1"/>
  <c r="T126" i="1"/>
  <c r="T124" i="1"/>
  <c r="T109" i="1"/>
  <c r="T104" i="1"/>
  <c r="T101" i="1"/>
  <c r="T84" i="1"/>
  <c r="T70" i="1"/>
  <c r="T62" i="1"/>
  <c r="T44" i="1"/>
  <c r="T141" i="1" l="1"/>
  <c r="T125" i="1"/>
  <c r="T120" i="1"/>
  <c r="T145" i="1"/>
  <c r="T88" i="1"/>
  <c r="T85" i="1"/>
  <c r="T129" i="1"/>
  <c r="T82" i="1"/>
  <c r="T111" i="1"/>
  <c r="T87" i="1"/>
  <c r="T51" i="1" l="1"/>
  <c r="T58" i="1"/>
  <c r="T54" i="1" l="1"/>
  <c r="T80" i="1"/>
  <c r="T78" i="1"/>
  <c r="T71" i="1"/>
  <c r="T60" i="1"/>
  <c r="T74" i="1"/>
  <c r="T57" i="1"/>
  <c r="T55" i="1"/>
  <c r="T73" i="1"/>
  <c r="T76" i="1"/>
  <c r="T59" i="1"/>
  <c r="T72" i="1"/>
  <c r="T53" i="1"/>
  <c r="T79" i="1"/>
  <c r="T75" i="1"/>
  <c r="T52" i="1"/>
  <c r="T77" i="1"/>
  <c r="U73" i="1"/>
  <c r="V58" i="1"/>
  <c r="U51" i="1"/>
  <c r="U59" i="1"/>
  <c r="U75" i="1"/>
  <c r="U60" i="1"/>
  <c r="U76" i="1"/>
  <c r="U77" i="1"/>
  <c r="V54" i="1"/>
  <c r="U55" i="1"/>
  <c r="U71" i="1"/>
  <c r="U79" i="1"/>
  <c r="U80" i="1"/>
  <c r="U72" i="1"/>
  <c r="U54" i="1" l="1"/>
  <c r="W54" i="1" s="1"/>
  <c r="V60" i="1"/>
  <c r="W60" i="1" s="1"/>
  <c r="V51" i="1"/>
  <c r="W51" i="1" s="1"/>
  <c r="U70" i="1"/>
  <c r="V70" i="1"/>
  <c r="V42" i="1"/>
  <c r="U42" i="1"/>
  <c r="U108" i="1"/>
  <c r="V108" i="1"/>
  <c r="V109" i="1"/>
  <c r="U109" i="1"/>
  <c r="V45" i="1"/>
  <c r="U45" i="1"/>
  <c r="U100" i="1"/>
  <c r="V100" i="1"/>
  <c r="U155" i="1"/>
  <c r="V155" i="1"/>
  <c r="U91" i="1"/>
  <c r="V91" i="1"/>
  <c r="V154" i="1"/>
  <c r="U154" i="1"/>
  <c r="U90" i="1"/>
  <c r="V90" i="1"/>
  <c r="V153" i="1"/>
  <c r="U153" i="1"/>
  <c r="V89" i="1"/>
  <c r="U89" i="1"/>
  <c r="V71" i="1"/>
  <c r="W71" i="1" s="1"/>
  <c r="V79" i="1"/>
  <c r="W79" i="1" s="1"/>
  <c r="V76" i="1"/>
  <c r="W76" i="1" s="1"/>
  <c r="U64" i="1"/>
  <c r="V64" i="1"/>
  <c r="U125" i="1"/>
  <c r="V125" i="1"/>
  <c r="V106" i="1"/>
  <c r="U106" i="1"/>
  <c r="U44" i="1"/>
  <c r="V44" i="1"/>
  <c r="U119" i="1"/>
  <c r="V119" i="1"/>
  <c r="V110" i="1"/>
  <c r="U110" i="1"/>
  <c r="U46" i="1"/>
  <c r="V46" i="1"/>
  <c r="U101" i="1"/>
  <c r="V101" i="1"/>
  <c r="V156" i="1"/>
  <c r="U156" i="1"/>
  <c r="U92" i="1"/>
  <c r="V92" i="1"/>
  <c r="U147" i="1"/>
  <c r="V147" i="1"/>
  <c r="U83" i="1"/>
  <c r="V83" i="1"/>
  <c r="V146" i="1"/>
  <c r="U146" i="1"/>
  <c r="U82" i="1"/>
  <c r="V82" i="1"/>
  <c r="U145" i="1"/>
  <c r="V145" i="1"/>
  <c r="V81" i="1"/>
  <c r="U81" i="1"/>
  <c r="U58" i="1"/>
  <c r="W58" i="1" s="1"/>
  <c r="V73" i="1"/>
  <c r="W73" i="1" s="1"/>
  <c r="V134" i="1"/>
  <c r="U134" i="1"/>
  <c r="U107" i="1"/>
  <c r="V107" i="1"/>
  <c r="U135" i="1"/>
  <c r="V135" i="1"/>
  <c r="U62" i="1"/>
  <c r="V62" i="1"/>
  <c r="U63" i="1"/>
  <c r="V63" i="1"/>
  <c r="U144" i="1"/>
  <c r="V144" i="1"/>
  <c r="U102" i="1"/>
  <c r="V102" i="1"/>
  <c r="V157" i="1"/>
  <c r="U157" i="1"/>
  <c r="V93" i="1"/>
  <c r="U93" i="1"/>
  <c r="U148" i="1"/>
  <c r="V148" i="1"/>
  <c r="U84" i="1"/>
  <c r="V84" i="1"/>
  <c r="U139" i="1"/>
  <c r="V139" i="1"/>
  <c r="V138" i="1"/>
  <c r="U138" i="1"/>
  <c r="U74" i="1"/>
  <c r="V74" i="1"/>
  <c r="U137" i="1"/>
  <c r="V137" i="1"/>
  <c r="V80" i="1"/>
  <c r="W80" i="1" s="1"/>
  <c r="V72" i="1"/>
  <c r="W72" i="1" s="1"/>
  <c r="V55" i="1"/>
  <c r="W55" i="1" s="1"/>
  <c r="V61" i="1"/>
  <c r="U61" i="1"/>
  <c r="U43" i="1"/>
  <c r="V43" i="1"/>
  <c r="V126" i="1"/>
  <c r="U126" i="1"/>
  <c r="U99" i="1"/>
  <c r="V99" i="1"/>
  <c r="V97" i="1"/>
  <c r="U97" i="1"/>
  <c r="U120" i="1"/>
  <c r="V120" i="1"/>
  <c r="U47" i="1"/>
  <c r="V47" i="1"/>
  <c r="V48" i="1"/>
  <c r="U48" i="1"/>
  <c r="U103" i="1"/>
  <c r="V103" i="1"/>
  <c r="V158" i="1"/>
  <c r="U158" i="1"/>
  <c r="U94" i="1"/>
  <c r="V94" i="1"/>
  <c r="U149" i="1"/>
  <c r="V149" i="1"/>
  <c r="U85" i="1"/>
  <c r="V85" i="1"/>
  <c r="U140" i="1"/>
  <c r="V140" i="1"/>
  <c r="U131" i="1"/>
  <c r="V131" i="1"/>
  <c r="U67" i="1"/>
  <c r="V67" i="1"/>
  <c r="V130" i="1"/>
  <c r="U130" i="1"/>
  <c r="U66" i="1"/>
  <c r="V66" i="1"/>
  <c r="U129" i="1"/>
  <c r="V129" i="1"/>
  <c r="V65" i="1"/>
  <c r="U65" i="1"/>
  <c r="V75" i="1"/>
  <c r="W75" i="1" s="1"/>
  <c r="V41" i="1"/>
  <c r="U116" i="1"/>
  <c r="V116" i="1"/>
  <c r="V105" i="1"/>
  <c r="U105" i="1"/>
  <c r="U152" i="1"/>
  <c r="V152" i="1"/>
  <c r="V53" i="1"/>
  <c r="U53" i="1"/>
  <c r="U161" i="1"/>
  <c r="V161" i="1"/>
  <c r="U88" i="1"/>
  <c r="V88" i="1"/>
  <c r="U160" i="1"/>
  <c r="V160" i="1"/>
  <c r="U112" i="1"/>
  <c r="V112" i="1"/>
  <c r="U136" i="1"/>
  <c r="V136" i="1"/>
  <c r="U104" i="1"/>
  <c r="V104" i="1"/>
  <c r="U95" i="1"/>
  <c r="V95" i="1"/>
  <c r="U86" i="1"/>
  <c r="V86" i="1"/>
  <c r="U141" i="1"/>
  <c r="V141" i="1"/>
  <c r="U132" i="1"/>
  <c r="V132" i="1"/>
  <c r="U68" i="1"/>
  <c r="V68" i="1"/>
  <c r="U123" i="1"/>
  <c r="V123" i="1"/>
  <c r="V122" i="1"/>
  <c r="U122" i="1"/>
  <c r="U121" i="1"/>
  <c r="V121" i="1"/>
  <c r="V57" i="1"/>
  <c r="U57" i="1"/>
  <c r="U143" i="1"/>
  <c r="V143" i="1"/>
  <c r="U52" i="1"/>
  <c r="V52" i="1"/>
  <c r="U117" i="1"/>
  <c r="V117" i="1"/>
  <c r="U98" i="1"/>
  <c r="V98" i="1"/>
  <c r="V118" i="1"/>
  <c r="U118" i="1"/>
  <c r="U111" i="1"/>
  <c r="V111" i="1"/>
  <c r="U159" i="1"/>
  <c r="V159" i="1"/>
  <c r="U128" i="1"/>
  <c r="V128" i="1"/>
  <c r="U96" i="1"/>
  <c r="V96" i="1"/>
  <c r="U151" i="1"/>
  <c r="V151" i="1"/>
  <c r="U87" i="1"/>
  <c r="V87" i="1"/>
  <c r="V142" i="1"/>
  <c r="U142" i="1"/>
  <c r="U78" i="1"/>
  <c r="V78" i="1"/>
  <c r="U133" i="1"/>
  <c r="V133" i="1"/>
  <c r="V69" i="1"/>
  <c r="U69" i="1"/>
  <c r="V124" i="1"/>
  <c r="U124" i="1"/>
  <c r="U115" i="1"/>
  <c r="V115" i="1"/>
  <c r="V114" i="1"/>
  <c r="U114" i="1"/>
  <c r="V50" i="1"/>
  <c r="U50" i="1"/>
  <c r="U113" i="1"/>
  <c r="V113" i="1"/>
  <c r="V49" i="1"/>
  <c r="U49" i="1"/>
  <c r="V77" i="1"/>
  <c r="W77" i="1" s="1"/>
  <c r="V59" i="1"/>
  <c r="W59" i="1" s="1"/>
  <c r="W157" i="1" l="1"/>
  <c r="W94" i="1"/>
  <c r="W151" i="1"/>
  <c r="W134" i="1"/>
  <c r="W111" i="1"/>
  <c r="W110" i="1"/>
  <c r="W89" i="1"/>
  <c r="W52" i="1"/>
  <c r="W109" i="1"/>
  <c r="W141" i="1"/>
  <c r="W86" i="1"/>
  <c r="W70" i="1"/>
  <c r="W124" i="1"/>
  <c r="W142" i="1"/>
  <c r="W98" i="1"/>
  <c r="W93" i="1"/>
  <c r="W154" i="1"/>
  <c r="W45" i="1"/>
  <c r="W42" i="1"/>
  <c r="W158" i="1"/>
  <c r="W43" i="1"/>
  <c r="W102" i="1"/>
  <c r="W62" i="1"/>
  <c r="W153" i="1"/>
  <c r="W132" i="1"/>
  <c r="W81" i="1"/>
  <c r="W90" i="1"/>
  <c r="W123" i="1"/>
  <c r="W46" i="1"/>
  <c r="W67" i="1"/>
  <c r="W116" i="1"/>
  <c r="W131" i="1"/>
  <c r="W47" i="1"/>
  <c r="W149" i="1"/>
  <c r="W87" i="1"/>
  <c r="W126" i="1"/>
  <c r="W106" i="1"/>
  <c r="W121" i="1"/>
  <c r="W115" i="1"/>
  <c r="W137" i="1"/>
  <c r="W82" i="1"/>
  <c r="W125" i="1"/>
  <c r="W96" i="1"/>
  <c r="W143" i="1"/>
  <c r="W122" i="1"/>
  <c r="W130" i="1"/>
  <c r="W97" i="1"/>
  <c r="W61" i="1"/>
  <c r="W160" i="1"/>
  <c r="W140" i="1"/>
  <c r="W135" i="1"/>
  <c r="W119" i="1"/>
  <c r="W50" i="1"/>
  <c r="W128" i="1"/>
  <c r="W152" i="1"/>
  <c r="W83" i="1"/>
  <c r="W101" i="1"/>
  <c r="W64" i="1"/>
  <c r="W108" i="1"/>
  <c r="W95" i="1"/>
  <c r="W63" i="1"/>
  <c r="W155" i="1"/>
  <c r="W114" i="1"/>
  <c r="W69" i="1"/>
  <c r="W159" i="1"/>
  <c r="W117" i="1"/>
  <c r="W57" i="1"/>
  <c r="W104" i="1"/>
  <c r="W88" i="1"/>
  <c r="W105" i="1"/>
  <c r="W65" i="1"/>
  <c r="W85" i="1"/>
  <c r="W103" i="1"/>
  <c r="W120" i="1"/>
  <c r="W139" i="1"/>
  <c r="W107" i="1"/>
  <c r="W145" i="1"/>
  <c r="W147" i="1"/>
  <c r="W44" i="1"/>
  <c r="W100" i="1"/>
  <c r="W49" i="1"/>
  <c r="W133" i="1"/>
  <c r="W136" i="1"/>
  <c r="W129" i="1"/>
  <c r="W48" i="1"/>
  <c r="W74" i="1"/>
  <c r="W84" i="1"/>
  <c r="W68" i="1"/>
  <c r="W161" i="1"/>
  <c r="W92" i="1"/>
  <c r="W113" i="1"/>
  <c r="W78" i="1"/>
  <c r="W118" i="1"/>
  <c r="W112" i="1"/>
  <c r="W53" i="1"/>
  <c r="W41" i="1"/>
  <c r="W66" i="1"/>
  <c r="W99" i="1"/>
  <c r="W138" i="1"/>
  <c r="W148" i="1"/>
  <c r="W144" i="1"/>
  <c r="W146" i="1"/>
  <c r="W156" i="1"/>
  <c r="W91" i="1"/>
</calcChain>
</file>

<file path=xl/sharedStrings.xml><?xml version="1.0" encoding="utf-8"?>
<sst xmlns="http://schemas.openxmlformats.org/spreadsheetml/2006/main" count="737" uniqueCount="216">
  <si>
    <t>Harvest</t>
  </si>
  <si>
    <t>Field wt</t>
  </si>
  <si>
    <t>HADAT</t>
  </si>
  <si>
    <t>WBWAH</t>
  </si>
  <si>
    <t>(kg/ha)</t>
  </si>
  <si>
    <t>Parameters</t>
  </si>
  <si>
    <t>m2 per ha</t>
  </si>
  <si>
    <t>Ginning</t>
  </si>
  <si>
    <t>Sample</t>
  </si>
  <si>
    <t>(g)</t>
  </si>
  <si>
    <t>Fiber</t>
  </si>
  <si>
    <t>Seed</t>
  </si>
  <si>
    <t>FFRAC</t>
  </si>
  <si>
    <t>SFRAC</t>
  </si>
  <si>
    <t>TFRAC</t>
  </si>
  <si>
    <t>(g/g)</t>
  </si>
  <si>
    <t>Compute</t>
  </si>
  <si>
    <t>WFWAH</t>
  </si>
  <si>
    <t>WSWAH</t>
  </si>
  <si>
    <t>WSCWAH</t>
  </si>
  <si>
    <t>PID</t>
  </si>
  <si>
    <t>HARM</t>
  </si>
  <si>
    <t>Column C - Harvest method (HARM)</t>
  </si>
  <si>
    <t>Column F - Wet bulk weight at harvest (fiber + seed + trash) (WBWAH, kg/ha)</t>
  </si>
  <si>
    <t>Date</t>
  </si>
  <si>
    <t>GNDAT</t>
  </si>
  <si>
    <t>Column D - Harvest date (HADAT, mm/dd/yyyy)</t>
  </si>
  <si>
    <t>HID</t>
  </si>
  <si>
    <t>p02</t>
  </si>
  <si>
    <t>p04</t>
  </si>
  <si>
    <t>p05</t>
  </si>
  <si>
    <t>p06</t>
  </si>
  <si>
    <t>p07</t>
  </si>
  <si>
    <t>p08</t>
  </si>
  <si>
    <t>p11</t>
  </si>
  <si>
    <t>ID</t>
  </si>
  <si>
    <t>Column A - ID (ID)</t>
  </si>
  <si>
    <t>Column B - Harvest Area ID (HID)</t>
  </si>
  <si>
    <t>(kg)</t>
  </si>
  <si>
    <t>p01-01</t>
  </si>
  <si>
    <t>p01-02</t>
  </si>
  <si>
    <t>p01-03</t>
  </si>
  <si>
    <t>p01-04</t>
  </si>
  <si>
    <t>p01-05</t>
  </si>
  <si>
    <t>p01-06</t>
  </si>
  <si>
    <t>p01-07</t>
  </si>
  <si>
    <t>p01-08</t>
  </si>
  <si>
    <t>p01-09</t>
  </si>
  <si>
    <t>p01-10</t>
  </si>
  <si>
    <t>p01-11</t>
  </si>
  <si>
    <t>p02-01</t>
  </si>
  <si>
    <t>p02-02</t>
  </si>
  <si>
    <t>p02-03</t>
  </si>
  <si>
    <t>p02-04</t>
  </si>
  <si>
    <t>p02-05</t>
  </si>
  <si>
    <t>p02-06</t>
  </si>
  <si>
    <t>p02-07</t>
  </si>
  <si>
    <t>p02-08</t>
  </si>
  <si>
    <t>p02-09</t>
  </si>
  <si>
    <t>p02-10</t>
  </si>
  <si>
    <t>p02-11</t>
  </si>
  <si>
    <t>p03-01</t>
  </si>
  <si>
    <t>p03-02</t>
  </si>
  <si>
    <t>p03-03</t>
  </si>
  <si>
    <t>p03-04</t>
  </si>
  <si>
    <t>p03-05</t>
  </si>
  <si>
    <t>p03-06</t>
  </si>
  <si>
    <t>p03-07</t>
  </si>
  <si>
    <t>p03-08</t>
  </si>
  <si>
    <t>p03-09</t>
  </si>
  <si>
    <t>p03-10</t>
  </si>
  <si>
    <t>p03-11</t>
  </si>
  <si>
    <t>p04-01</t>
  </si>
  <si>
    <t>p04-02</t>
  </si>
  <si>
    <t>p04-03</t>
  </si>
  <si>
    <t>p04-04</t>
  </si>
  <si>
    <t>p04-05</t>
  </si>
  <si>
    <t>p04-06</t>
  </si>
  <si>
    <t>p04-07</t>
  </si>
  <si>
    <t>p04-08</t>
  </si>
  <si>
    <t>p04-09</t>
  </si>
  <si>
    <t>p04-10</t>
  </si>
  <si>
    <t>p04-11</t>
  </si>
  <si>
    <t>p05-01</t>
  </si>
  <si>
    <t>p05-02</t>
  </si>
  <si>
    <t>p05-03</t>
  </si>
  <si>
    <t>p05-04</t>
  </si>
  <si>
    <t>p05-05</t>
  </si>
  <si>
    <t>p05-06</t>
  </si>
  <si>
    <t>p05-07</t>
  </si>
  <si>
    <t>p05-08</t>
  </si>
  <si>
    <t>p05-09</t>
  </si>
  <si>
    <t>p05-10</t>
  </si>
  <si>
    <t>p05-11</t>
  </si>
  <si>
    <t>p06-01</t>
  </si>
  <si>
    <t>p06-02</t>
  </si>
  <si>
    <t>p06-03</t>
  </si>
  <si>
    <t>p06-04</t>
  </si>
  <si>
    <t>p06-05</t>
  </si>
  <si>
    <t>p06-06</t>
  </si>
  <si>
    <t>p06-07</t>
  </si>
  <si>
    <t>p06-08</t>
  </si>
  <si>
    <t>p06-09</t>
  </si>
  <si>
    <t>p06-10</t>
  </si>
  <si>
    <t>p06-11</t>
  </si>
  <si>
    <t>p07-01</t>
  </si>
  <si>
    <t>p07-02</t>
  </si>
  <si>
    <t>p07-03</t>
  </si>
  <si>
    <t>p07-04</t>
  </si>
  <si>
    <t>p07-05</t>
  </si>
  <si>
    <t>p07-06</t>
  </si>
  <si>
    <t>p07-07</t>
  </si>
  <si>
    <t>p07-08</t>
  </si>
  <si>
    <t>p07-09</t>
  </si>
  <si>
    <t>p07-10</t>
  </si>
  <si>
    <t>p07-11</t>
  </si>
  <si>
    <t>p08-01</t>
  </si>
  <si>
    <t>p08-02</t>
  </si>
  <si>
    <t>p08-03</t>
  </si>
  <si>
    <t>p08-04</t>
  </si>
  <si>
    <t>p08-05</t>
  </si>
  <si>
    <t>p08-06</t>
  </si>
  <si>
    <t>p08-07</t>
  </si>
  <si>
    <t>p08-08</t>
  </si>
  <si>
    <t>p08-09</t>
  </si>
  <si>
    <t>p08-10</t>
  </si>
  <si>
    <t>p08-11</t>
  </si>
  <si>
    <t>p09-01</t>
  </si>
  <si>
    <t>p09-02</t>
  </si>
  <si>
    <t>p09-03</t>
  </si>
  <si>
    <t>p09-04</t>
  </si>
  <si>
    <t>p09-05</t>
  </si>
  <si>
    <t>p09-06</t>
  </si>
  <si>
    <t>p09-07</t>
  </si>
  <si>
    <t>p09-08</t>
  </si>
  <si>
    <t>p09-09</t>
  </si>
  <si>
    <t>p09-10</t>
  </si>
  <si>
    <t>p09-11</t>
  </si>
  <si>
    <t>p10-01</t>
  </si>
  <si>
    <t>p10-02</t>
  </si>
  <si>
    <t>p10-03</t>
  </si>
  <si>
    <t>p10-04</t>
  </si>
  <si>
    <t>p10-05</t>
  </si>
  <si>
    <t>p10-06</t>
  </si>
  <si>
    <t>p10-07</t>
  </si>
  <si>
    <t>p10-08</t>
  </si>
  <si>
    <t>p10-09</t>
  </si>
  <si>
    <t>p10-10</t>
  </si>
  <si>
    <t>p10-11</t>
  </si>
  <si>
    <t>p11-01</t>
  </si>
  <si>
    <t>p11-02</t>
  </si>
  <si>
    <t>p11-03</t>
  </si>
  <si>
    <t>p11-04</t>
  </si>
  <si>
    <t>p11-05</t>
  </si>
  <si>
    <t>p11-06</t>
  </si>
  <si>
    <t>p11-07</t>
  </si>
  <si>
    <t>p11-08</t>
  </si>
  <si>
    <t>p11-09</t>
  </si>
  <si>
    <t>p11-10</t>
  </si>
  <si>
    <t>p11-11</t>
  </si>
  <si>
    <t>Machine</t>
  </si>
  <si>
    <t>(lbs)</t>
  </si>
  <si>
    <t>in bag</t>
  </si>
  <si>
    <t>kg per lb</t>
  </si>
  <si>
    <t>wt in bag</t>
  </si>
  <si>
    <t>Weight of a single subsample bag (lbs)</t>
  </si>
  <si>
    <t>Weight</t>
  </si>
  <si>
    <t>p01</t>
  </si>
  <si>
    <t>p03</t>
  </si>
  <si>
    <t>p09</t>
  </si>
  <si>
    <t>p10</t>
  </si>
  <si>
    <t>minus bag</t>
  </si>
  <si>
    <t>Size of harvest area (2 40-inch rows by 14.6 m) (m2)</t>
  </si>
  <si>
    <t>Size of harvest area in p01-11 and p02-11 (2 40-inch rows by 11.9 m) (m2)</t>
  </si>
  <si>
    <t>Moisture</t>
  </si>
  <si>
    <t>Bag</t>
  </si>
  <si>
    <t>weight</t>
  </si>
  <si>
    <t>Sample wt</t>
  </si>
  <si>
    <t>Wet</t>
  </si>
  <si>
    <t>Dry</t>
  </si>
  <si>
    <t>BWCAH</t>
  </si>
  <si>
    <t>DBWAH</t>
  </si>
  <si>
    <t>(%)</t>
  </si>
  <si>
    <t xml:space="preserve">Sample </t>
  </si>
  <si>
    <t>wt no bag</t>
  </si>
  <si>
    <t>wt no bin</t>
  </si>
  <si>
    <t>DFWAH</t>
  </si>
  <si>
    <t>DSWAH</t>
  </si>
  <si>
    <t>DSCWAH</t>
  </si>
  <si>
    <t>Column K - Bulk water content at harvest (BWCAH, %)</t>
  </si>
  <si>
    <t>Column L - Dry bulk weight at harvest (fiber + seed + trash) (0% water content) (DBWAH, kg/ha)</t>
  </si>
  <si>
    <t>Column R - Fiber fraction after ginning (FFRAC, g/g)</t>
  </si>
  <si>
    <t>Column S - Seed fraction after ginning (SFRAC, g/g)</t>
  </si>
  <si>
    <t>Column T - Trash fraction after ginning (TFRAC, g/g)</t>
  </si>
  <si>
    <t>Column U - Wet fiber weight at harvest (WFWAH, kg/ha)</t>
  </si>
  <si>
    <t>Column V - Wet seed weight at harvest (WSWAH, kg/ha)</t>
  </si>
  <si>
    <t>Column W - Wet seed cotton weight at harvest (fiber + seed) (WSCWAH, kg/ha)</t>
  </si>
  <si>
    <t>Column X - Dry fiber weight at harvest (DFWAH, kg/ha)</t>
  </si>
  <si>
    <t>Column Y - Dry seed weight at harvest (DSWAH, kg/ha)</t>
  </si>
  <si>
    <t>Column Z - Dry seed cotton weight at harvest (fiber + seed) (DSCWAH, kg/ha)</t>
  </si>
  <si>
    <t>Dry Lint Wt</t>
  </si>
  <si>
    <t>Dry Seed Wt</t>
  </si>
  <si>
    <t>kg/ha</t>
  </si>
  <si>
    <t>Original</t>
  </si>
  <si>
    <t>Spreadsheet</t>
  </si>
  <si>
    <t>Column E - Weight of machine-picked cotton, no bag (lbs), Machine harvest 2 rows by 14.6 m into mesh bags. Weigh in field using IQ plus 390-DC scale.</t>
  </si>
  <si>
    <t>Column N - Weight of bulk cotton subsample in bag prior to ginning (kg). Weigh using scale at MAC gin.</t>
  </si>
  <si>
    <t>Column O - Weight of bulk cotton subsample prior to ginning, no bag (lbs).  Weigh using scale at MAC gin.</t>
  </si>
  <si>
    <t>Column P - Weight of fiber after ginning, no bag (lbs).  Weigh using scale at MAC gin.</t>
  </si>
  <si>
    <t>Column M - Ginning Date (GNDAT, mm/dd/yyyy). Ginned using the MAC large gin with cleaners.</t>
  </si>
  <si>
    <t>Column G - Weight of Zip-lock plastic bag for subsampling harvest bags for moisture content. Weigh in Room 189 on Sartorius scale.</t>
  </si>
  <si>
    <t>Column H - Weight of bulk subsample for moisture content in plastic bag (g). Weigh in Room 189 on Sartorius scale.</t>
  </si>
  <si>
    <t>Column I - Wet weight of bulk subsample prior to oven drying (g). Weigh in Room 189 on Sartorius scale.</t>
  </si>
  <si>
    <t>Column J - Dry weight of bulk subsample after oven drying (g). Weigh in Room 189 on Sartorius scale.</t>
  </si>
  <si>
    <t>Column Q - Weight of fuzzy seed after ginning, no bag (lbs).  Weigh using scale at MAC gin.</t>
  </si>
  <si>
    <t>Plot-scale calculations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</si>
</sst>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mm/dd/yyyy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14" fontId="0" fillId="2" borderId="0" xfId="0" applyNumberFormat="1" applyFill="1"/>
    <xf numFmtId="164" fontId="0" fillId="0" borderId="0" xfId="0" applyNumberFormat="1"/>
    <xf numFmtId="164" fontId="0" fillId="2" borderId="0" xfId="0" applyNumberFormat="1" applyFill="1"/>
    <xf numFmtId="2" fontId="0" fillId="2" borderId="0" xfId="0" applyNumberFormat="1" applyFill="1"/>
    <xf numFmtId="165" fontId="0" fillId="2" borderId="0" xfId="0" applyNumberFormat="1" applyFill="1"/>
    <xf numFmtId="2" fontId="0" fillId="0" borderId="0" xfId="0" applyNumberFormat="1"/>
    <xf numFmtId="14" fontId="0" fillId="0" borderId="0" xfId="0" applyNumberFormat="1"/>
    <xf numFmtId="165" fontId="0" fillId="0" borderId="0" xfId="0" applyNumberFormat="1"/>
    <xf numFmtId="166" fontId="0" fillId="2" borderId="0" xfId="0" applyNumberFormat="1" applyFill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DFWAH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"1:1"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Compare!$N$4:$N$5</c:f>
              <c:numCache>
                <c:formatCode>General</c:formatCode>
                <c:ptCount val="2"/>
                <c:pt idx="0">
                  <c:v>0</c:v>
                </c:pt>
                <c:pt idx="1">
                  <c:v>4000</c:v>
                </c:pt>
              </c:numCache>
            </c:numRef>
          </c:xVal>
          <c:yVal>
            <c:numRef>
              <c:f>Compare!$N$4:$N$5</c:f>
              <c:numCache>
                <c:formatCode>General</c:formatCode>
                <c:ptCount val="2"/>
                <c:pt idx="0">
                  <c:v>0</c:v>
                </c:pt>
                <c:pt idx="1">
                  <c:v>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33-4CC7-B03A-291E583CC2E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Compare!$B$6:$B$126</c:f>
              <c:numCache>
                <c:formatCode>General</c:formatCode>
                <c:ptCount val="121"/>
                <c:pt idx="0">
                  <c:v>504.98316440630566</c:v>
                </c:pt>
                <c:pt idx="1">
                  <c:v>1478.0394289010023</c:v>
                </c:pt>
                <c:pt idx="2">
                  <c:v>1375.6879827604139</c:v>
                </c:pt>
                <c:pt idx="3">
                  <c:v>1251.8570748743462</c:v>
                </c:pt>
                <c:pt idx="4">
                  <c:v>1374.8667660909473</c:v>
                </c:pt>
                <c:pt idx="5">
                  <c:v>1242.8976934873872</c:v>
                </c:pt>
                <c:pt idx="6">
                  <c:v>921.19503283959568</c:v>
                </c:pt>
                <c:pt idx="7">
                  <c:v>719.29361861788743</c:v>
                </c:pt>
                <c:pt idx="8">
                  <c:v>1117.1174700557681</c:v>
                </c:pt>
                <c:pt idx="9">
                  <c:v>1438.5552424922234</c:v>
                </c:pt>
                <c:pt idx="10">
                  <c:v>860.43015400789648</c:v>
                </c:pt>
                <c:pt idx="11">
                  <c:v>1166.8533588792097</c:v>
                </c:pt>
                <c:pt idx="12">
                  <c:v>1594.7256733450504</c:v>
                </c:pt>
                <c:pt idx="13">
                  <c:v>1467.1569194095248</c:v>
                </c:pt>
                <c:pt idx="14">
                  <c:v>1412.4657260801625</c:v>
                </c:pt>
                <c:pt idx="15">
                  <c:v>2312.1936000700548</c:v>
                </c:pt>
                <c:pt idx="16">
                  <c:v>1409.5384627516698</c:v>
                </c:pt>
                <c:pt idx="17">
                  <c:v>1473.1419585340836</c:v>
                </c:pt>
                <c:pt idx="18">
                  <c:v>1186.4888496897527</c:v>
                </c:pt>
                <c:pt idx="19">
                  <c:v>1544.8217853086537</c:v>
                </c:pt>
                <c:pt idx="20">
                  <c:v>1077.522577187219</c:v>
                </c:pt>
                <c:pt idx="21">
                  <c:v>575.84765036112901</c:v>
                </c:pt>
                <c:pt idx="22">
                  <c:v>2295.4877573170179</c:v>
                </c:pt>
                <c:pt idx="23">
                  <c:v>1880.7833971766117</c:v>
                </c:pt>
                <c:pt idx="24">
                  <c:v>2229.5328327923744</c:v>
                </c:pt>
                <c:pt idx="25">
                  <c:v>2137.757699506074</c:v>
                </c:pt>
                <c:pt idx="26">
                  <c:v>2321.7365352039474</c:v>
                </c:pt>
                <c:pt idx="27">
                  <c:v>2101.7883217009762</c:v>
                </c:pt>
                <c:pt idx="28">
                  <c:v>2081.3786150778192</c:v>
                </c:pt>
                <c:pt idx="29">
                  <c:v>2083.492627117957</c:v>
                </c:pt>
                <c:pt idx="30">
                  <c:v>2019.936874316837</c:v>
                </c:pt>
                <c:pt idx="31">
                  <c:v>1827.094345013963</c:v>
                </c:pt>
                <c:pt idx="32">
                  <c:v>1690.442265238004</c:v>
                </c:pt>
                <c:pt idx="33">
                  <c:v>1560.5200005786185</c:v>
                </c:pt>
                <c:pt idx="34">
                  <c:v>1606.6398436191373</c:v>
                </c:pt>
                <c:pt idx="35">
                  <c:v>1908.3760002665799</c:v>
                </c:pt>
                <c:pt idx="36">
                  <c:v>1522.0003896655999</c:v>
                </c:pt>
                <c:pt idx="37">
                  <c:v>1861.2067002463687</c:v>
                </c:pt>
                <c:pt idx="38">
                  <c:v>1689.422803980865</c:v>
                </c:pt>
                <c:pt idx="39">
                  <c:v>1598.9547373943958</c:v>
                </c:pt>
                <c:pt idx="40">
                  <c:v>1511.9707058023721</c:v>
                </c:pt>
                <c:pt idx="41">
                  <c:v>1464.2796231541126</c:v>
                </c:pt>
                <c:pt idx="42">
                  <c:v>1189.2337316357093</c:v>
                </c:pt>
                <c:pt idx="43">
                  <c:v>1193.6533766681105</c:v>
                </c:pt>
                <c:pt idx="44">
                  <c:v>1465.450676297786</c:v>
                </c:pt>
                <c:pt idx="45">
                  <c:v>1520.7221494151618</c:v>
                </c:pt>
                <c:pt idx="46">
                  <c:v>1773.8174930974462</c:v>
                </c:pt>
                <c:pt idx="47">
                  <c:v>1978.2982447630002</c:v>
                </c:pt>
                <c:pt idx="48">
                  <c:v>1743.5331865158778</c:v>
                </c:pt>
                <c:pt idx="49">
                  <c:v>1592.866852759978</c:v>
                </c:pt>
                <c:pt idx="50">
                  <c:v>1579.4844231563418</c:v>
                </c:pt>
                <c:pt idx="51">
                  <c:v>1881.9914261214974</c:v>
                </c:pt>
                <c:pt idx="52">
                  <c:v>1790.016478571074</c:v>
                </c:pt>
                <c:pt idx="53">
                  <c:v>1272.0926535121782</c:v>
                </c:pt>
                <c:pt idx="54">
                  <c:v>1203.073423968217</c:v>
                </c:pt>
                <c:pt idx="55">
                  <c:v>519.55774715341829</c:v>
                </c:pt>
                <c:pt idx="56">
                  <c:v>574.40826154970864</c:v>
                </c:pt>
                <c:pt idx="57">
                  <c:v>657.5685072252511</c:v>
                </c:pt>
                <c:pt idx="58">
                  <c:v>870.959037289756</c:v>
                </c:pt>
                <c:pt idx="59">
                  <c:v>686.36542440026028</c:v>
                </c:pt>
                <c:pt idx="60">
                  <c:v>746.53002454191312</c:v>
                </c:pt>
                <c:pt idx="61">
                  <c:v>800.48151873755239</c:v>
                </c:pt>
                <c:pt idx="62">
                  <c:v>932.14732263756548</c:v>
                </c:pt>
                <c:pt idx="63">
                  <c:v>708.307426131645</c:v>
                </c:pt>
                <c:pt idx="64">
                  <c:v>706.85204741375787</c:v>
                </c:pt>
                <c:pt idx="65">
                  <c:v>833.16716825465471</c:v>
                </c:pt>
                <c:pt idx="66">
                  <c:v>1434.7963068925774</c:v>
                </c:pt>
                <c:pt idx="67">
                  <c:v>1563.5280202980218</c:v>
                </c:pt>
                <c:pt idx="68">
                  <c:v>1937.9382391829035</c:v>
                </c:pt>
                <c:pt idx="69">
                  <c:v>2052.8419941397724</c:v>
                </c:pt>
                <c:pt idx="70">
                  <c:v>1996.2051266114074</c:v>
                </c:pt>
                <c:pt idx="71">
                  <c:v>1732.9866374883773</c:v>
                </c:pt>
                <c:pt idx="72">
                  <c:v>2193.0086265154237</c:v>
                </c:pt>
                <c:pt idx="73">
                  <c:v>2209.2456226673162</c:v>
                </c:pt>
                <c:pt idx="74">
                  <c:v>1863.5803016666466</c:v>
                </c:pt>
                <c:pt idx="75">
                  <c:v>1630.4741748138561</c:v>
                </c:pt>
                <c:pt idx="76">
                  <c:v>1657.0720540465406</c:v>
                </c:pt>
                <c:pt idx="77">
                  <c:v>1294.0202933283172</c:v>
                </c:pt>
                <c:pt idx="78">
                  <c:v>1625.9084403167446</c:v>
                </c:pt>
                <c:pt idx="79">
                  <c:v>1689.5242066808075</c:v>
                </c:pt>
                <c:pt idx="80">
                  <c:v>1667.4516620376282</c:v>
                </c:pt>
                <c:pt idx="81">
                  <c:v>1728.8385119560387</c:v>
                </c:pt>
                <c:pt idx="82">
                  <c:v>1655.3937956701584</c:v>
                </c:pt>
                <c:pt idx="83">
                  <c:v>1336.9204823464111</c:v>
                </c:pt>
                <c:pt idx="84">
                  <c:v>1885.7203543447947</c:v>
                </c:pt>
                <c:pt idx="85">
                  <c:v>1711.7814915041415</c:v>
                </c:pt>
                <c:pt idx="86">
                  <c:v>1448.9039442609285</c:v>
                </c:pt>
                <c:pt idx="87">
                  <c:v>1453.8040390614815</c:v>
                </c:pt>
                <c:pt idx="88">
                  <c:v>1210.9558285408432</c:v>
                </c:pt>
                <c:pt idx="89">
                  <c:v>1342.8780384542631</c:v>
                </c:pt>
                <c:pt idx="90">
                  <c:v>1783.6543257916776</c:v>
                </c:pt>
                <c:pt idx="91">
                  <c:v>1914.9622004946571</c:v>
                </c:pt>
                <c:pt idx="92">
                  <c:v>1588.3789123421172</c:v>
                </c:pt>
                <c:pt idx="93">
                  <c:v>1261.6061705052509</c:v>
                </c:pt>
                <c:pt idx="94">
                  <c:v>1670.3465164897154</c:v>
                </c:pt>
                <c:pt idx="95">
                  <c:v>1806.0961763738305</c:v>
                </c:pt>
                <c:pt idx="96">
                  <c:v>1395.4217665125284</c:v>
                </c:pt>
                <c:pt idx="97">
                  <c:v>1262.1317473063805</c:v>
                </c:pt>
                <c:pt idx="98">
                  <c:v>1246.2136415416267</c:v>
                </c:pt>
                <c:pt idx="99">
                  <c:v>1236.6128176798286</c:v>
                </c:pt>
                <c:pt idx="100">
                  <c:v>1144.1821610641859</c:v>
                </c:pt>
                <c:pt idx="101">
                  <c:v>1431.1375752081813</c:v>
                </c:pt>
                <c:pt idx="102">
                  <c:v>1611.017017575429</c:v>
                </c:pt>
                <c:pt idx="103">
                  <c:v>1408.4801068134282</c:v>
                </c:pt>
                <c:pt idx="104">
                  <c:v>1328.4608667894806</c:v>
                </c:pt>
                <c:pt idx="105">
                  <c:v>1583.1985200548902</c:v>
                </c:pt>
                <c:pt idx="106">
                  <c:v>1580.1258643711344</c:v>
                </c:pt>
                <c:pt idx="107">
                  <c:v>1385.7812677274342</c:v>
                </c:pt>
                <c:pt idx="108">
                  <c:v>1012.3816168351444</c:v>
                </c:pt>
                <c:pt idx="109">
                  <c:v>950.71176452055829</c:v>
                </c:pt>
                <c:pt idx="110">
                  <c:v>1481.9113021459634</c:v>
                </c:pt>
                <c:pt idx="111">
                  <c:v>869.35086562048571</c:v>
                </c:pt>
                <c:pt idx="112">
                  <c:v>1286.5520214925953</c:v>
                </c:pt>
                <c:pt idx="113">
                  <c:v>1824.7253431254633</c:v>
                </c:pt>
                <c:pt idx="114">
                  <c:v>1541.7592177472495</c:v>
                </c:pt>
                <c:pt idx="115">
                  <c:v>1245.8509737916991</c:v>
                </c:pt>
                <c:pt idx="116">
                  <c:v>1494.2327561728239</c:v>
                </c:pt>
                <c:pt idx="117">
                  <c:v>1586.4885758658459</c:v>
                </c:pt>
                <c:pt idx="118">
                  <c:v>1115.0854569758517</c:v>
                </c:pt>
                <c:pt idx="119">
                  <c:v>1054.6557713334878</c:v>
                </c:pt>
                <c:pt idx="120">
                  <c:v>1277.945844856406</c:v>
                </c:pt>
              </c:numCache>
            </c:numRef>
          </c:xVal>
          <c:yVal>
            <c:numRef>
              <c:f>'Raw Scale'!$X$41:$X$161</c:f>
              <c:numCache>
                <c:formatCode>0.0</c:formatCode>
                <c:ptCount val="121"/>
                <c:pt idx="0">
                  <c:v>551.26979491074144</c:v>
                </c:pt>
                <c:pt idx="1">
                  <c:v>1478.0300826918119</c:v>
                </c:pt>
                <c:pt idx="2">
                  <c:v>1375.6792692686399</c:v>
                </c:pt>
                <c:pt idx="3">
                  <c:v>1251.8491513346271</c:v>
                </c:pt>
                <c:pt idx="4">
                  <c:v>1374.858069717885</c:v>
                </c:pt>
                <c:pt idx="5">
                  <c:v>1242.8898320405469</c:v>
                </c:pt>
                <c:pt idx="6">
                  <c:v>921.18920518077232</c:v>
                </c:pt>
                <c:pt idx="7">
                  <c:v>719.28906470338791</c:v>
                </c:pt>
                <c:pt idx="8">
                  <c:v>1117.1103896128427</c:v>
                </c:pt>
                <c:pt idx="9">
                  <c:v>1438.5461315251425</c:v>
                </c:pt>
                <c:pt idx="10">
                  <c:v>1122.769189855255</c:v>
                </c:pt>
                <c:pt idx="11">
                  <c:v>1166.8459646186661</c:v>
                </c:pt>
                <c:pt idx="12">
                  <c:v>1594.7155609648316</c:v>
                </c:pt>
                <c:pt idx="13">
                  <c:v>1467.1476077292866</c:v>
                </c:pt>
                <c:pt idx="14">
                  <c:v>1412.456767353284</c:v>
                </c:pt>
                <c:pt idx="16">
                  <c:v>1409.529523646871</c:v>
                </c:pt>
                <c:pt idx="17">
                  <c:v>1473.1326181695604</c:v>
                </c:pt>
                <c:pt idx="18">
                  <c:v>1186.4813272391448</c:v>
                </c:pt>
                <c:pt idx="19">
                  <c:v>1544.811982739589</c:v>
                </c:pt>
                <c:pt idx="20">
                  <c:v>1077.515743682852</c:v>
                </c:pt>
                <c:pt idx="21">
                  <c:v>706.49767679507659</c:v>
                </c:pt>
                <c:pt idx="22">
                  <c:v>2295.4732233577665</c:v>
                </c:pt>
                <c:pt idx="23">
                  <c:v>1880.7714844530399</c:v>
                </c:pt>
                <c:pt idx="24">
                  <c:v>2229.5187197735445</c:v>
                </c:pt>
                <c:pt idx="25">
                  <c:v>2137.7441514210909</c:v>
                </c:pt>
                <c:pt idx="26">
                  <c:v>2321.7218312537007</c:v>
                </c:pt>
                <c:pt idx="27">
                  <c:v>2101.7749996192651</c:v>
                </c:pt>
                <c:pt idx="28">
                  <c:v>2081.3654236609614</c:v>
                </c:pt>
                <c:pt idx="29">
                  <c:v>2083.4794440751493</c:v>
                </c:pt>
                <c:pt idx="30">
                  <c:v>2019.9240753050833</c:v>
                </c:pt>
                <c:pt idx="31">
                  <c:v>1827.0827628923969</c:v>
                </c:pt>
                <c:pt idx="32">
                  <c:v>1690.4315535291955</c:v>
                </c:pt>
                <c:pt idx="33">
                  <c:v>1560.5101125895017</c:v>
                </c:pt>
                <c:pt idx="34">
                  <c:v>1606.6296619884824</c:v>
                </c:pt>
                <c:pt idx="35">
                  <c:v>1908.3639058930048</c:v>
                </c:pt>
                <c:pt idx="36">
                  <c:v>1521.9907434909676</c:v>
                </c:pt>
                <c:pt idx="37">
                  <c:v>1861.1949159524847</c:v>
                </c:pt>
                <c:pt idx="38">
                  <c:v>1689.4120972278374</c:v>
                </c:pt>
                <c:pt idx="39">
                  <c:v>1598.9446085082393</c:v>
                </c:pt>
                <c:pt idx="40">
                  <c:v>1511.9611245595811</c:v>
                </c:pt>
                <c:pt idx="41">
                  <c:v>1464.2703529817093</c:v>
                </c:pt>
                <c:pt idx="42">
                  <c:v>1189.2262003057015</c:v>
                </c:pt>
                <c:pt idx="43">
                  <c:v>1193.6458161681942</c:v>
                </c:pt>
                <c:pt idx="44">
                  <c:v>1465.4413876108845</c:v>
                </c:pt>
                <c:pt idx="45">
                  <c:v>1520.7125184245288</c:v>
                </c:pt>
                <c:pt idx="46">
                  <c:v>1773.8062608995258</c:v>
                </c:pt>
                <c:pt idx="47">
                  <c:v>1978.285718655073</c:v>
                </c:pt>
                <c:pt idx="48">
                  <c:v>1743.5221491663631</c:v>
                </c:pt>
                <c:pt idx="49">
                  <c:v>1592.8567584118002</c:v>
                </c:pt>
                <c:pt idx="50">
                  <c:v>1579.4744218818125</c:v>
                </c:pt>
                <c:pt idx="51">
                  <c:v>1881.9795102284097</c:v>
                </c:pt>
                <c:pt idx="52">
                  <c:v>1790.0051379208307</c:v>
                </c:pt>
                <c:pt idx="53">
                  <c:v>1272.084598344996</c:v>
                </c:pt>
                <c:pt idx="54">
                  <c:v>1203.0658124952508</c:v>
                </c:pt>
                <c:pt idx="55">
                  <c:v>519.55445591499256</c:v>
                </c:pt>
                <c:pt idx="56">
                  <c:v>574.4046212251086</c:v>
                </c:pt>
                <c:pt idx="57">
                  <c:v>657.56433925966996</c:v>
                </c:pt>
                <c:pt idx="58">
                  <c:v>870.95352258694015</c:v>
                </c:pt>
                <c:pt idx="59">
                  <c:v>686.36107390683856</c:v>
                </c:pt>
                <c:pt idx="60">
                  <c:v>746.52529510443821</c:v>
                </c:pt>
                <c:pt idx="61">
                  <c:v>800.47644728651369</c:v>
                </c:pt>
                <c:pt idx="62">
                  <c:v>932.14141752340504</c:v>
                </c:pt>
                <c:pt idx="63">
                  <c:v>708.30293922209376</c:v>
                </c:pt>
                <c:pt idx="64">
                  <c:v>706.84756793660381</c:v>
                </c:pt>
                <c:pt idx="65">
                  <c:v>833.16188752747928</c:v>
                </c:pt>
                <c:pt idx="66">
                  <c:v>1434.7872142722742</c:v>
                </c:pt>
                <c:pt idx="67">
                  <c:v>1563.518117437435</c:v>
                </c:pt>
                <c:pt idx="68">
                  <c:v>1937.9259668261634</c:v>
                </c:pt>
                <c:pt idx="69">
                  <c:v>2052.828996038781</c:v>
                </c:pt>
                <c:pt idx="70">
                  <c:v>1996.1924791003241</c:v>
                </c:pt>
                <c:pt idx="71">
                  <c:v>1732.9756646344536</c:v>
                </c:pt>
                <c:pt idx="72">
                  <c:v>2192.994728936606</c:v>
                </c:pt>
                <c:pt idx="73">
                  <c:v>2209.2316283556329</c:v>
                </c:pt>
                <c:pt idx="74">
                  <c:v>1863.5684997492654</c:v>
                </c:pt>
                <c:pt idx="75">
                  <c:v>1630.4638483445665</c:v>
                </c:pt>
                <c:pt idx="76">
                  <c:v>1657.0615611061162</c:v>
                </c:pt>
                <c:pt idx="77">
                  <c:v>1294.0121001945683</c:v>
                </c:pt>
                <c:pt idx="78">
                  <c:v>1625.8981345762127</c:v>
                </c:pt>
                <c:pt idx="79">
                  <c:v>1689.5134982458965</c:v>
                </c:pt>
                <c:pt idx="80">
                  <c:v>1667.4410992445353</c:v>
                </c:pt>
                <c:pt idx="81">
                  <c:v>1728.8275532469361</c:v>
                </c:pt>
                <c:pt idx="82">
                  <c:v>1655.3833050749683</c:v>
                </c:pt>
                <c:pt idx="83">
                  <c:v>1336.9120052190647</c:v>
                </c:pt>
                <c:pt idx="84">
                  <c:v>1885.7084011978302</c:v>
                </c:pt>
                <c:pt idx="85">
                  <c:v>1711.7706450704193</c:v>
                </c:pt>
                <c:pt idx="87">
                  <c:v>1453.7948255473987</c:v>
                </c:pt>
                <c:pt idx="88">
                  <c:v>1210.9481517810264</c:v>
                </c:pt>
                <c:pt idx="89">
                  <c:v>1342.8695287387798</c:v>
                </c:pt>
                <c:pt idx="90">
                  <c:v>1783.6430244545793</c:v>
                </c:pt>
                <c:pt idx="91">
                  <c:v>1914.9500717681776</c:v>
                </c:pt>
                <c:pt idx="92">
                  <c:v>1588.368845471914</c:v>
                </c:pt>
                <c:pt idx="93">
                  <c:v>1261.5981726515504</c:v>
                </c:pt>
                <c:pt idx="94">
                  <c:v>1670.3359394925092</c:v>
                </c:pt>
                <c:pt idx="95">
                  <c:v>1806.0847143354738</c:v>
                </c:pt>
                <c:pt idx="96">
                  <c:v>1395.4129290704168</c:v>
                </c:pt>
                <c:pt idx="97">
                  <c:v>1262.1237481341552</c:v>
                </c:pt>
                <c:pt idx="98">
                  <c:v>1246.2068129737279</c:v>
                </c:pt>
                <c:pt idx="99">
                  <c:v>1236.604977013541</c:v>
                </c:pt>
                <c:pt idx="100">
                  <c:v>1144.1749035179666</c:v>
                </c:pt>
                <c:pt idx="101">
                  <c:v>1431.1285049063154</c:v>
                </c:pt>
                <c:pt idx="102">
                  <c:v>1611.0068223116657</c:v>
                </c:pt>
                <c:pt idx="103">
                  <c:v>1408.4711822011436</c:v>
                </c:pt>
                <c:pt idx="104">
                  <c:v>1328.4524484345122</c:v>
                </c:pt>
                <c:pt idx="105">
                  <c:v>1583.1884725931873</c:v>
                </c:pt>
                <c:pt idx="106">
                  <c:v>1580.1158410185919</c:v>
                </c:pt>
                <c:pt idx="107">
                  <c:v>1385.772484885983</c:v>
                </c:pt>
                <c:pt idx="108">
                  <c:v>1012.3752020385346</c:v>
                </c:pt>
                <c:pt idx="109">
                  <c:v>954.32140896285557</c:v>
                </c:pt>
                <c:pt idx="110">
                  <c:v>1481.9018974839037</c:v>
                </c:pt>
                <c:pt idx="111">
                  <c:v>869.345351328878</c:v>
                </c:pt>
                <c:pt idx="112">
                  <c:v>1286.5438659192639</c:v>
                </c:pt>
                <c:pt idx="113">
                  <c:v>1824.7137840520043</c:v>
                </c:pt>
                <c:pt idx="114">
                  <c:v>1541.749450767323</c:v>
                </c:pt>
                <c:pt idx="115">
                  <c:v>1245.8430736751125</c:v>
                </c:pt>
                <c:pt idx="116">
                  <c:v>1494.2232770816822</c:v>
                </c:pt>
                <c:pt idx="117">
                  <c:v>1586.4785237823564</c:v>
                </c:pt>
                <c:pt idx="118">
                  <c:v>1115.0783835553714</c:v>
                </c:pt>
                <c:pt idx="119">
                  <c:v>1054.6490904137643</c:v>
                </c:pt>
                <c:pt idx="120">
                  <c:v>1277.937761532193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333-4CC7-B03A-291E583CC2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5039328"/>
        <c:axId val="751178384"/>
      </c:scatterChart>
      <c:valAx>
        <c:axId val="355039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Original</a:t>
                </a:r>
                <a:r>
                  <a:rPr lang="en-US" baseline="0"/>
                  <a:t> Spreadsheet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178384"/>
        <c:crosses val="autoZero"/>
        <c:crossBetween val="midCat"/>
      </c:valAx>
      <c:valAx>
        <c:axId val="75117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This</a:t>
                </a:r>
                <a:r>
                  <a:rPr lang="en-US" baseline="0"/>
                  <a:t> Spreadsheet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0393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DSWAH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"1:1"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Compare!$N$21:$N$22</c:f>
              <c:numCache>
                <c:formatCode>General</c:formatCode>
                <c:ptCount val="2"/>
                <c:pt idx="0">
                  <c:v>0</c:v>
                </c:pt>
                <c:pt idx="1">
                  <c:v>4000</c:v>
                </c:pt>
              </c:numCache>
            </c:numRef>
          </c:xVal>
          <c:yVal>
            <c:numRef>
              <c:f>Compare!$N$21:$N$22</c:f>
              <c:numCache>
                <c:formatCode>General</c:formatCode>
                <c:ptCount val="2"/>
                <c:pt idx="0">
                  <c:v>0</c:v>
                </c:pt>
                <c:pt idx="1">
                  <c:v>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D9-406E-9A58-1103B9362593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Compare!$C$6:$C$126</c:f>
              <c:numCache>
                <c:formatCode>General</c:formatCode>
                <c:ptCount val="121"/>
                <c:pt idx="0">
                  <c:v>772.29549049544937</c:v>
                </c:pt>
                <c:pt idx="1">
                  <c:v>2361.6265035505789</c:v>
                </c:pt>
                <c:pt idx="2">
                  <c:v>2381.3937118862236</c:v>
                </c:pt>
                <c:pt idx="3">
                  <c:v>2419.5444638179724</c:v>
                </c:pt>
                <c:pt idx="4">
                  <c:v>2156.9202573730981</c:v>
                </c:pt>
                <c:pt idx="5">
                  <c:v>2048.0015508502233</c:v>
                </c:pt>
                <c:pt idx="6">
                  <c:v>1425.203497292569</c:v>
                </c:pt>
                <c:pt idx="7">
                  <c:v>1257.3252453440673</c:v>
                </c:pt>
                <c:pt idx="8">
                  <c:v>1638.3688954063418</c:v>
                </c:pt>
                <c:pt idx="9">
                  <c:v>2280.3062874876732</c:v>
                </c:pt>
                <c:pt idx="10">
                  <c:v>1287.8962528840241</c:v>
                </c:pt>
                <c:pt idx="11">
                  <c:v>1892.636148102079</c:v>
                </c:pt>
                <c:pt idx="12">
                  <c:v>2338.8309734195036</c:v>
                </c:pt>
                <c:pt idx="13">
                  <c:v>2145.1493912391124</c:v>
                </c:pt>
                <c:pt idx="14">
                  <c:v>2024.0633854728735</c:v>
                </c:pt>
                <c:pt idx="15">
                  <c:v>3694.4465624477007</c:v>
                </c:pt>
                <c:pt idx="16">
                  <c:v>1983.6966512478812</c:v>
                </c:pt>
                <c:pt idx="17">
                  <c:v>2247.8233835769365</c:v>
                </c:pt>
                <c:pt idx="18">
                  <c:v>1774.9873191358702</c:v>
                </c:pt>
                <c:pt idx="19">
                  <c:v>2116.405845872855</c:v>
                </c:pt>
                <c:pt idx="20">
                  <c:v>1552.1684015965095</c:v>
                </c:pt>
                <c:pt idx="21">
                  <c:v>880.67202024279413</c:v>
                </c:pt>
                <c:pt idx="22">
                  <c:v>3381.2621946182994</c:v>
                </c:pt>
                <c:pt idx="23">
                  <c:v>3024.954469171264</c:v>
                </c:pt>
                <c:pt idx="24">
                  <c:v>3390.9244605207214</c:v>
                </c:pt>
                <c:pt idx="25">
                  <c:v>3515.334392038209</c:v>
                </c:pt>
                <c:pt idx="26">
                  <c:v>3475.1871141950451</c:v>
                </c:pt>
                <c:pt idx="27">
                  <c:v>3207.0561221062871</c:v>
                </c:pt>
                <c:pt idx="28">
                  <c:v>3114.6740376608573</c:v>
                </c:pt>
                <c:pt idx="29">
                  <c:v>3274.2675479899781</c:v>
                </c:pt>
                <c:pt idx="30">
                  <c:v>2969.5960103497309</c:v>
                </c:pt>
                <c:pt idx="31">
                  <c:v>2963.5470276126489</c:v>
                </c:pt>
                <c:pt idx="32">
                  <c:v>2485.1918247569643</c:v>
                </c:pt>
                <c:pt idx="33">
                  <c:v>2422.5479227454925</c:v>
                </c:pt>
                <c:pt idx="34">
                  <c:v>2404.2523414726879</c:v>
                </c:pt>
                <c:pt idx="35">
                  <c:v>2962.5588352273367</c:v>
                </c:pt>
                <c:pt idx="36">
                  <c:v>2232.1717850316741</c:v>
                </c:pt>
                <c:pt idx="37">
                  <c:v>2830.7326239488498</c:v>
                </c:pt>
                <c:pt idx="38">
                  <c:v>2528.1327040033375</c:v>
                </c:pt>
                <c:pt idx="39">
                  <c:v>2435.4138178479816</c:v>
                </c:pt>
                <c:pt idx="40">
                  <c:v>2262.5849371909389</c:v>
                </c:pt>
                <c:pt idx="41">
                  <c:v>2227.041251945418</c:v>
                </c:pt>
                <c:pt idx="42">
                  <c:v>1811.3560033576694</c:v>
                </c:pt>
                <c:pt idx="43">
                  <c:v>1786.6664759393282</c:v>
                </c:pt>
                <c:pt idx="44">
                  <c:v>2236.0874853763012</c:v>
                </c:pt>
                <c:pt idx="45">
                  <c:v>2396.8320504659491</c:v>
                </c:pt>
                <c:pt idx="46">
                  <c:v>2795.739261618683</c:v>
                </c:pt>
                <c:pt idx="47">
                  <c:v>3222.8458369267705</c:v>
                </c:pt>
                <c:pt idx="48">
                  <c:v>2785.1967835716887</c:v>
                </c:pt>
                <c:pt idx="49">
                  <c:v>2583.6300351766845</c:v>
                </c:pt>
                <c:pt idx="50">
                  <c:v>2363.6156776362668</c:v>
                </c:pt>
                <c:pt idx="51">
                  <c:v>2772.1805265379007</c:v>
                </c:pt>
                <c:pt idx="52">
                  <c:v>2726.4254354013565</c:v>
                </c:pt>
                <c:pt idx="53">
                  <c:v>1968.0858385408053</c:v>
                </c:pt>
                <c:pt idx="54">
                  <c:v>1760.3794953652584</c:v>
                </c:pt>
                <c:pt idx="55">
                  <c:v>823.56990023848539</c:v>
                </c:pt>
                <c:pt idx="56">
                  <c:v>967.87792071125921</c:v>
                </c:pt>
                <c:pt idx="57">
                  <c:v>1066.5761187193575</c:v>
                </c:pt>
                <c:pt idx="58">
                  <c:v>1282.9259735591311</c:v>
                </c:pt>
                <c:pt idx="59">
                  <c:v>1113.2847183772224</c:v>
                </c:pt>
                <c:pt idx="60">
                  <c:v>1097.5058729177995</c:v>
                </c:pt>
                <c:pt idx="61">
                  <c:v>1242.6658035108717</c:v>
                </c:pt>
                <c:pt idx="62">
                  <c:v>1395.2428774942471</c:v>
                </c:pt>
                <c:pt idx="63">
                  <c:v>1099.5749386128909</c:v>
                </c:pt>
                <c:pt idx="64">
                  <c:v>1097.3156117932936</c:v>
                </c:pt>
                <c:pt idx="65">
                  <c:v>1200.175086064876</c:v>
                </c:pt>
                <c:pt idx="66">
                  <c:v>2227.374728639631</c:v>
                </c:pt>
                <c:pt idx="67">
                  <c:v>2602.1771847588757</c:v>
                </c:pt>
                <c:pt idx="68">
                  <c:v>2998.2319243588527</c:v>
                </c:pt>
                <c:pt idx="69">
                  <c:v>3176.0023503584162</c:v>
                </c:pt>
                <c:pt idx="70">
                  <c:v>3210.5927924451671</c:v>
                </c:pt>
                <c:pt idx="71">
                  <c:v>2823.208676883924</c:v>
                </c:pt>
                <c:pt idx="72">
                  <c:v>3281.7225006025656</c:v>
                </c:pt>
                <c:pt idx="73">
                  <c:v>3306.8101412767969</c:v>
                </c:pt>
                <c:pt idx="74">
                  <c:v>2838.4726041364984</c:v>
                </c:pt>
                <c:pt idx="75">
                  <c:v>2483.4219769452411</c:v>
                </c:pt>
                <c:pt idx="76">
                  <c:v>2757.8623705890031</c:v>
                </c:pt>
                <c:pt idx="77">
                  <c:v>2002.0106295343048</c:v>
                </c:pt>
                <c:pt idx="78">
                  <c:v>2480.9252024400375</c:v>
                </c:pt>
                <c:pt idx="79">
                  <c:v>2678.1263294987398</c:v>
                </c:pt>
                <c:pt idx="80">
                  <c:v>2363.0412536025265</c:v>
                </c:pt>
                <c:pt idx="81">
                  <c:v>2804.1760663926962</c:v>
                </c:pt>
                <c:pt idx="82">
                  <c:v>2345.9533605586348</c:v>
                </c:pt>
                <c:pt idx="83">
                  <c:v>2084.2590319780547</c:v>
                </c:pt>
                <c:pt idx="84">
                  <c:v>3058.6384147472581</c:v>
                </c:pt>
                <c:pt idx="85">
                  <c:v>2814.8579935552566</c:v>
                </c:pt>
                <c:pt idx="86">
                  <c:v>2283.6383444448948</c:v>
                </c:pt>
                <c:pt idx="87">
                  <c:v>2390.6391912318613</c:v>
                </c:pt>
                <c:pt idx="88">
                  <c:v>1964.1703538932484</c:v>
                </c:pt>
                <c:pt idx="89">
                  <c:v>2009.5466205998521</c:v>
                </c:pt>
                <c:pt idx="90">
                  <c:v>2868.7371083558864</c:v>
                </c:pt>
                <c:pt idx="91">
                  <c:v>3079.9258837440702</c:v>
                </c:pt>
                <c:pt idx="92">
                  <c:v>2517.7972411067421</c:v>
                </c:pt>
                <c:pt idx="93">
                  <c:v>1887.9275286868099</c:v>
                </c:pt>
                <c:pt idx="94">
                  <c:v>2584.2341872528573</c:v>
                </c:pt>
                <c:pt idx="95">
                  <c:v>2831.0660888239672</c:v>
                </c:pt>
                <c:pt idx="96">
                  <c:v>2125.4069126612176</c:v>
                </c:pt>
                <c:pt idx="97">
                  <c:v>1925.8491948550793</c:v>
                </c:pt>
                <c:pt idx="98">
                  <c:v>1864.3356077462738</c:v>
                </c:pt>
                <c:pt idx="99">
                  <c:v>1927.8793827628526</c:v>
                </c:pt>
                <c:pt idx="100">
                  <c:v>1711.6965129520224</c:v>
                </c:pt>
                <c:pt idx="101">
                  <c:v>2268.5482730251974</c:v>
                </c:pt>
                <c:pt idx="102">
                  <c:v>2390.1061963470765</c:v>
                </c:pt>
                <c:pt idx="103">
                  <c:v>2186.5215157281282</c:v>
                </c:pt>
                <c:pt idx="104">
                  <c:v>1987.9720786325718</c:v>
                </c:pt>
                <c:pt idx="105">
                  <c:v>2797.4395551648063</c:v>
                </c:pt>
                <c:pt idx="106">
                  <c:v>2416.5638886273596</c:v>
                </c:pt>
                <c:pt idx="107">
                  <c:v>2114.5223106809958</c:v>
                </c:pt>
                <c:pt idx="108">
                  <c:v>1604.7629580124346</c:v>
                </c:pt>
                <c:pt idx="109">
                  <c:v>1445.9494517422934</c:v>
                </c:pt>
                <c:pt idx="110">
                  <c:v>2429.7241372713574</c:v>
                </c:pt>
                <c:pt idx="111">
                  <c:v>1387.9924172553322</c:v>
                </c:pt>
                <c:pt idx="112">
                  <c:v>2227.0943210896371</c:v>
                </c:pt>
                <c:pt idx="113">
                  <c:v>2875.975856196063</c:v>
                </c:pt>
                <c:pt idx="114">
                  <c:v>2479.6855624691548</c:v>
                </c:pt>
                <c:pt idx="115">
                  <c:v>1942.2816681412587</c:v>
                </c:pt>
                <c:pt idx="116">
                  <c:v>2385.669373782865</c:v>
                </c:pt>
                <c:pt idx="117">
                  <c:v>2462.861483670958</c:v>
                </c:pt>
                <c:pt idx="118">
                  <c:v>1908.6588599952793</c:v>
                </c:pt>
                <c:pt idx="119">
                  <c:v>1696.2536428818348</c:v>
                </c:pt>
                <c:pt idx="120">
                  <c:v>1994.3824506322233</c:v>
                </c:pt>
              </c:numCache>
            </c:numRef>
          </c:xVal>
          <c:yVal>
            <c:numRef>
              <c:f>'Raw Scale'!$Y$41:$Y$161</c:f>
              <c:numCache>
                <c:formatCode>0.0</c:formatCode>
                <c:ptCount val="121"/>
                <c:pt idx="0">
                  <c:v>843.08390192859417</c:v>
                </c:pt>
                <c:pt idx="1">
                  <c:v>2361.611570082026</c:v>
                </c:pt>
                <c:pt idx="2">
                  <c:v>2381.3786283390978</c:v>
                </c:pt>
                <c:pt idx="3">
                  <c:v>2419.5291494845346</c:v>
                </c:pt>
                <c:pt idx="4">
                  <c:v>2156.9066143178684</c:v>
                </c:pt>
                <c:pt idx="5">
                  <c:v>2047.9885970444475</c:v>
                </c:pt>
                <c:pt idx="6">
                  <c:v>1425.1944811782391</c:v>
                </c:pt>
                <c:pt idx="7">
                  <c:v>1257.3172851015222</c:v>
                </c:pt>
                <c:pt idx="8">
                  <c:v>1638.3585112007725</c:v>
                </c:pt>
                <c:pt idx="9">
                  <c:v>2280.2918453620555</c:v>
                </c:pt>
                <c:pt idx="10">
                  <c:v>1680.5666627705655</c:v>
                </c:pt>
                <c:pt idx="11">
                  <c:v>1892.6241546114773</c:v>
                </c:pt>
                <c:pt idx="12">
                  <c:v>2338.81614256272</c:v>
                </c:pt>
                <c:pt idx="13">
                  <c:v>2145.1357765092021</c:v>
                </c:pt>
                <c:pt idx="14">
                  <c:v>2024.0505476172564</c:v>
                </c:pt>
                <c:pt idx="16">
                  <c:v>1983.684070908484</c:v>
                </c:pt>
                <c:pt idx="17">
                  <c:v>2247.8091313932518</c:v>
                </c:pt>
                <c:pt idx="18">
                  <c:v>1774.9760655497607</c:v>
                </c:pt>
                <c:pt idx="19">
                  <c:v>2116.3924163532365</c:v>
                </c:pt>
                <c:pt idx="20">
                  <c:v>1552.1585579516752</c:v>
                </c:pt>
                <c:pt idx="21">
                  <c:v>1080.4815057068781</c:v>
                </c:pt>
                <c:pt idx="22">
                  <c:v>3381.2407860410599</c:v>
                </c:pt>
                <c:pt idx="23">
                  <c:v>3024.9353093645245</c:v>
                </c:pt>
                <c:pt idx="24">
                  <c:v>3390.9029958532992</c:v>
                </c:pt>
                <c:pt idx="25">
                  <c:v>3515.312113531576</c:v>
                </c:pt>
                <c:pt idx="26">
                  <c:v>3475.165105247152</c:v>
                </c:pt>
                <c:pt idx="27">
                  <c:v>3207.0357943390859</c:v>
                </c:pt>
                <c:pt idx="28">
                  <c:v>3114.6542973967325</c:v>
                </c:pt>
                <c:pt idx="29">
                  <c:v>3274.2468304656218</c:v>
                </c:pt>
                <c:pt idx="30">
                  <c:v>2969.577193972485</c:v>
                </c:pt>
                <c:pt idx="31">
                  <c:v>2963.5282414114686</c:v>
                </c:pt>
                <c:pt idx="32">
                  <c:v>2485.1760770134842</c:v>
                </c:pt>
                <c:pt idx="33">
                  <c:v>2422.5325726522638</c:v>
                </c:pt>
                <c:pt idx="34">
                  <c:v>2404.2371051959085</c:v>
                </c:pt>
                <c:pt idx="35">
                  <c:v>2962.5400599475774</c:v>
                </c:pt>
                <c:pt idx="36">
                  <c:v>2232.1576379138455</c:v>
                </c:pt>
                <c:pt idx="37">
                  <c:v>2830.7147010684175</c:v>
                </c:pt>
                <c:pt idx="38">
                  <c:v>2528.1166819084424</c:v>
                </c:pt>
                <c:pt idx="39">
                  <c:v>2435.3983902509844</c:v>
                </c:pt>
                <c:pt idx="40">
                  <c:v>2262.5705993631386</c:v>
                </c:pt>
                <c:pt idx="41">
                  <c:v>2227.0271528238918</c:v>
                </c:pt>
                <c:pt idx="42">
                  <c:v>1811.3445321729394</c:v>
                </c:pt>
                <c:pt idx="43">
                  <c:v>1786.6551593444055</c:v>
                </c:pt>
                <c:pt idx="44">
                  <c:v>2236.0733120459595</c:v>
                </c:pt>
                <c:pt idx="45">
                  <c:v>2396.8168709231013</c:v>
                </c:pt>
                <c:pt idx="46">
                  <c:v>2795.7215583900015</c:v>
                </c:pt>
                <c:pt idx="47">
                  <c:v>3222.8254306432937</c:v>
                </c:pt>
                <c:pt idx="48">
                  <c:v>2785.1791520229431</c:v>
                </c:pt>
                <c:pt idx="49">
                  <c:v>2583.6136621439409</c:v>
                </c:pt>
                <c:pt idx="50">
                  <c:v>2363.6007112529792</c:v>
                </c:pt>
                <c:pt idx="51">
                  <c:v>2772.1629743820758</c:v>
                </c:pt>
                <c:pt idx="52">
                  <c:v>2726.4081621317268</c:v>
                </c:pt>
                <c:pt idx="53">
                  <c:v>1968.0733761934953</c:v>
                </c:pt>
                <c:pt idx="54">
                  <c:v>1760.3683579893743</c:v>
                </c:pt>
                <c:pt idx="55">
                  <c:v>823.5646831766345</c:v>
                </c:pt>
                <c:pt idx="56">
                  <c:v>967.87178676430801</c:v>
                </c:pt>
                <c:pt idx="57">
                  <c:v>1066.5693582791851</c:v>
                </c:pt>
                <c:pt idx="58">
                  <c:v>1282.9178503809151</c:v>
                </c:pt>
                <c:pt idx="59">
                  <c:v>1113.2776618768924</c:v>
                </c:pt>
                <c:pt idx="60">
                  <c:v>1097.4989199685097</c:v>
                </c:pt>
                <c:pt idx="61">
                  <c:v>1242.6579306010885</c:v>
                </c:pt>
                <c:pt idx="62">
                  <c:v>1395.234038689186</c:v>
                </c:pt>
                <c:pt idx="63">
                  <c:v>1099.5679731440673</c:v>
                </c:pt>
                <c:pt idx="64">
                  <c:v>1097.3086578625073</c:v>
                </c:pt>
                <c:pt idx="65">
                  <c:v>1200.1674791914493</c:v>
                </c:pt>
                <c:pt idx="66">
                  <c:v>2227.3606132752534</c:v>
                </c:pt>
                <c:pt idx="67">
                  <c:v>2602.1607034438312</c:v>
                </c:pt>
                <c:pt idx="68">
                  <c:v>2998.2129374938318</c:v>
                </c:pt>
                <c:pt idx="69">
                  <c:v>3175.982240676612</c:v>
                </c:pt>
                <c:pt idx="70">
                  <c:v>3210.5724508443036</c:v>
                </c:pt>
                <c:pt idx="71">
                  <c:v>2823.190801006675</c:v>
                </c:pt>
                <c:pt idx="72">
                  <c:v>3281.7017036040688</c:v>
                </c:pt>
                <c:pt idx="73">
                  <c:v>3306.7891945195329</c:v>
                </c:pt>
                <c:pt idx="74">
                  <c:v>2838.4546282976607</c:v>
                </c:pt>
                <c:pt idx="75">
                  <c:v>2483.4062484037081</c:v>
                </c:pt>
                <c:pt idx="76">
                  <c:v>2757.8449072050284</c:v>
                </c:pt>
                <c:pt idx="77">
                  <c:v>2001.9979537355262</c:v>
                </c:pt>
                <c:pt idx="78">
                  <c:v>2480.9094772178901</c:v>
                </c:pt>
                <c:pt idx="79">
                  <c:v>2678.1093551687068</c:v>
                </c:pt>
                <c:pt idx="80">
                  <c:v>2363.0262844634499</c:v>
                </c:pt>
                <c:pt idx="81">
                  <c:v>2804.1582913665311</c:v>
                </c:pt>
                <c:pt idx="82">
                  <c:v>2345.9384937353416</c:v>
                </c:pt>
                <c:pt idx="83">
                  <c:v>2084.2458161365216</c:v>
                </c:pt>
                <c:pt idx="84">
                  <c:v>3058.619026742881</c:v>
                </c:pt>
                <c:pt idx="85">
                  <c:v>2814.8401576510742</c:v>
                </c:pt>
                <c:pt idx="87">
                  <c:v>2390.6240405050344</c:v>
                </c:pt>
                <c:pt idx="88">
                  <c:v>1964.1579021888253</c:v>
                </c:pt>
                <c:pt idx="89">
                  <c:v>2009.5338862565225</c:v>
                </c:pt>
                <c:pt idx="90">
                  <c:v>2868.7189318714413</c:v>
                </c:pt>
                <c:pt idx="91">
                  <c:v>3079.9063765294577</c:v>
                </c:pt>
                <c:pt idx="92">
                  <c:v>2517.7812837442848</c:v>
                </c:pt>
                <c:pt idx="93">
                  <c:v>1887.9155603178174</c:v>
                </c:pt>
                <c:pt idx="94">
                  <c:v>2584.2178233202785</c:v>
                </c:pt>
                <c:pt idx="95">
                  <c:v>2831.0481220132706</c:v>
                </c:pt>
                <c:pt idx="96">
                  <c:v>2125.3934520996841</c:v>
                </c:pt>
                <c:pt idx="97">
                  <c:v>1925.8369891567261</c:v>
                </c:pt>
                <c:pt idx="98">
                  <c:v>1864.3253922086972</c:v>
                </c:pt>
                <c:pt idx="99">
                  <c:v>1927.8671591641103</c:v>
                </c:pt>
                <c:pt idx="100">
                  <c:v>1711.6856556628784</c:v>
                </c:pt>
                <c:pt idx="101">
                  <c:v>2268.5338953594928</c:v>
                </c:pt>
                <c:pt idx="102">
                  <c:v>2390.09107064522</c:v>
                </c:pt>
                <c:pt idx="103">
                  <c:v>2186.50766117904</c:v>
                </c:pt>
                <c:pt idx="104">
                  <c:v>1987.9594810054648</c:v>
                </c:pt>
                <c:pt idx="105">
                  <c:v>2797.4218017583694</c:v>
                </c:pt>
                <c:pt idx="106">
                  <c:v>2416.5485594233114</c:v>
                </c:pt>
                <c:pt idx="107">
                  <c:v>2114.5089092051408</c:v>
                </c:pt>
                <c:pt idx="108">
                  <c:v>1604.7527896847887</c:v>
                </c:pt>
                <c:pt idx="109">
                  <c:v>1445.9415287315992</c:v>
                </c:pt>
                <c:pt idx="110">
                  <c:v>2429.7087174993526</c:v>
                </c:pt>
                <c:pt idx="111">
                  <c:v>1387.9836132209198</c:v>
                </c:pt>
                <c:pt idx="112">
                  <c:v>2227.0802033308933</c:v>
                </c:pt>
                <c:pt idx="113">
                  <c:v>2875.9576377741428</c:v>
                </c:pt>
                <c:pt idx="114">
                  <c:v>2479.6698537652051</c:v>
                </c:pt>
                <c:pt idx="115">
                  <c:v>1942.2693518595001</c:v>
                </c:pt>
                <c:pt idx="116">
                  <c:v>2385.654239609602</c:v>
                </c:pt>
                <c:pt idx="117">
                  <c:v>2462.8458788379739</c:v>
                </c:pt>
                <c:pt idx="118">
                  <c:v>1908.6467526302467</c:v>
                </c:pt>
                <c:pt idx="119">
                  <c:v>1696.2428976370577</c:v>
                </c:pt>
                <c:pt idx="120">
                  <c:v>1994.3698356689067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ED9-406E-9A58-1103B93625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5039328"/>
        <c:axId val="751178384"/>
      </c:scatterChart>
      <c:valAx>
        <c:axId val="355039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Original</a:t>
                </a:r>
                <a:r>
                  <a:rPr lang="en-US" baseline="0"/>
                  <a:t> Spreadsheet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178384"/>
        <c:crosses val="autoZero"/>
        <c:crossBetween val="midCat"/>
      </c:valAx>
      <c:valAx>
        <c:axId val="75117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This</a:t>
                </a:r>
                <a:r>
                  <a:rPr lang="en-US" baseline="0"/>
                  <a:t> Spreadsheet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0393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588645</xdr:colOff>
      <xdr:row>3</xdr:row>
      <xdr:rowOff>124777</xdr:rowOff>
    </xdr:from>
    <xdr:to>
      <xdr:col>11</xdr:col>
      <xdr:colOff>283845</xdr:colOff>
      <xdr:row>18</xdr:row>
      <xdr:rowOff>149542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9A3B44-7EDC-3097-A385-B694B8551F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20</xdr:row>
      <xdr:rowOff>0</xdr:rowOff>
    </xdr:from>
    <xdr:to>
      <xdr:col>11</xdr:col>
      <xdr:colOff>304800</xdr:colOff>
      <xdr:row>35</xdr:row>
      <xdr:rowOff>24765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83E2748-56A2-40A5-AE08-A957AB1397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7E8EA-A5C9-47F2-8D6E-B68B0450AD04}">
  <dimension ref="A1:AZ161"/>
  <sheetViews>
    <sheetView tabSelected="1" zoomScaleNormal="100" workbookViewId="0"/>
  </sheetViews>
  <sheetFormatPr defaultRowHeight="14.4" x14ac:dyDescent="0.3"/>
  <cols>
    <col min="1" max="2" width="8.88671875" customWidth="1"/>
    <col min="3" max="6" width="10.5546875" bestFit="1" customWidth="1"/>
    <col min="7" max="12" width="10.5546875" customWidth="1"/>
    <col min="13" max="13" width="10.5546875" bestFit="1" customWidth="1"/>
    <col min="30" max="30" width="10.5546875" bestFit="1" customWidth="1"/>
    <col min="31" max="31" width="8.88671875" customWidth="1"/>
    <col min="33" max="33" width="9.5546875" bestFit="1" customWidth="1"/>
    <col min="39" max="39" width="10.5546875" bestFit="1" customWidth="1"/>
  </cols>
  <sheetData>
    <row r="1" spans="1:1" x14ac:dyDescent="0.3">
      <c r="A1" t="s">
        <v>36</v>
      </c>
    </row>
    <row r="2" spans="1:1" x14ac:dyDescent="0.3">
      <c r="A2" t="s">
        <v>37</v>
      </c>
    </row>
    <row r="3" spans="1:1" x14ac:dyDescent="0.3">
      <c r="A3" t="s">
        <v>22</v>
      </c>
    </row>
    <row r="4" spans="1:1" x14ac:dyDescent="0.3">
      <c r="A4" t="s">
        <v>26</v>
      </c>
    </row>
    <row r="5" spans="1:1" x14ac:dyDescent="0.3">
      <c r="A5" t="s">
        <v>205</v>
      </c>
    </row>
    <row r="6" spans="1:1" x14ac:dyDescent="0.3">
      <c r="A6" t="s">
        <v>23</v>
      </c>
    </row>
    <row r="7" spans="1:1" x14ac:dyDescent="0.3">
      <c r="A7" t="s">
        <v>210</v>
      </c>
    </row>
    <row r="8" spans="1:1" x14ac:dyDescent="0.3">
      <c r="A8" t="s">
        <v>211</v>
      </c>
    </row>
    <row r="9" spans="1:1" x14ac:dyDescent="0.3">
      <c r="A9" t="s">
        <v>212</v>
      </c>
    </row>
    <row r="10" spans="1:1" x14ac:dyDescent="0.3">
      <c r="A10" t="s">
        <v>213</v>
      </c>
    </row>
    <row r="11" spans="1:1" x14ac:dyDescent="0.3">
      <c r="A11" t="s">
        <v>189</v>
      </c>
    </row>
    <row r="12" spans="1:1" x14ac:dyDescent="0.3">
      <c r="A12" t="s">
        <v>190</v>
      </c>
    </row>
    <row r="13" spans="1:1" x14ac:dyDescent="0.3">
      <c r="A13" t="s">
        <v>209</v>
      </c>
    </row>
    <row r="14" spans="1:1" x14ac:dyDescent="0.3">
      <c r="A14" t="s">
        <v>206</v>
      </c>
    </row>
    <row r="15" spans="1:1" x14ac:dyDescent="0.3">
      <c r="A15" t="s">
        <v>207</v>
      </c>
    </row>
    <row r="16" spans="1:1" x14ac:dyDescent="0.3">
      <c r="A16" t="s">
        <v>208</v>
      </c>
    </row>
    <row r="17" spans="1:2" x14ac:dyDescent="0.3">
      <c r="A17" t="s">
        <v>214</v>
      </c>
    </row>
    <row r="18" spans="1:2" x14ac:dyDescent="0.3">
      <c r="A18" t="s">
        <v>191</v>
      </c>
    </row>
    <row r="19" spans="1:2" x14ac:dyDescent="0.3">
      <c r="A19" t="s">
        <v>192</v>
      </c>
    </row>
    <row r="20" spans="1:2" x14ac:dyDescent="0.3">
      <c r="A20" t="s">
        <v>193</v>
      </c>
    </row>
    <row r="21" spans="1:2" x14ac:dyDescent="0.3">
      <c r="A21" t="s">
        <v>194</v>
      </c>
    </row>
    <row r="22" spans="1:2" x14ac:dyDescent="0.3">
      <c r="A22" t="s">
        <v>195</v>
      </c>
    </row>
    <row r="23" spans="1:2" x14ac:dyDescent="0.3">
      <c r="A23" t="s">
        <v>196</v>
      </c>
    </row>
    <row r="24" spans="1:2" x14ac:dyDescent="0.3">
      <c r="A24" t="s">
        <v>197</v>
      </c>
    </row>
    <row r="25" spans="1:2" x14ac:dyDescent="0.3">
      <c r="A25" t="s">
        <v>198</v>
      </c>
    </row>
    <row r="26" spans="1:2" x14ac:dyDescent="0.3">
      <c r="A26" t="s">
        <v>199</v>
      </c>
    </row>
    <row r="28" spans="1:2" x14ac:dyDescent="0.3">
      <c r="A28" t="s">
        <v>5</v>
      </c>
    </row>
    <row r="29" spans="1:2" x14ac:dyDescent="0.3">
      <c r="A29">
        <v>0.453592</v>
      </c>
      <c r="B29" t="s">
        <v>163</v>
      </c>
    </row>
    <row r="30" spans="1:2" x14ac:dyDescent="0.3">
      <c r="A30">
        <f>2*1.016*14.6</f>
        <v>29.667200000000001</v>
      </c>
      <c r="B30" t="s">
        <v>172</v>
      </c>
    </row>
    <row r="31" spans="1:2" x14ac:dyDescent="0.3">
      <c r="A31">
        <f>2*1.016*11.9</f>
        <v>24.180800000000001</v>
      </c>
      <c r="B31" t="s">
        <v>173</v>
      </c>
    </row>
    <row r="32" spans="1:2" x14ac:dyDescent="0.3">
      <c r="A32">
        <v>10000</v>
      </c>
      <c r="B32" t="s">
        <v>6</v>
      </c>
    </row>
    <row r="33" spans="1:52" x14ac:dyDescent="0.3">
      <c r="A33">
        <v>0.16</v>
      </c>
      <c r="B33" t="s">
        <v>165</v>
      </c>
      <c r="AB33" t="s">
        <v>215</v>
      </c>
    </row>
    <row r="35" spans="1:52" x14ac:dyDescent="0.3">
      <c r="B35" s="1"/>
      <c r="C35" s="1" t="s">
        <v>0</v>
      </c>
      <c r="D35" s="1" t="s">
        <v>0</v>
      </c>
      <c r="E35" t="s">
        <v>0</v>
      </c>
      <c r="F35" s="1" t="s">
        <v>0</v>
      </c>
      <c r="G35" t="s">
        <v>174</v>
      </c>
      <c r="H35" t="s">
        <v>174</v>
      </c>
      <c r="I35" t="s">
        <v>174</v>
      </c>
      <c r="J35" t="s">
        <v>174</v>
      </c>
      <c r="K35" s="1" t="s">
        <v>174</v>
      </c>
      <c r="L35" s="1" t="s">
        <v>174</v>
      </c>
      <c r="M35" s="1" t="s">
        <v>7</v>
      </c>
      <c r="N35" t="s">
        <v>7</v>
      </c>
      <c r="O35" t="s">
        <v>7</v>
      </c>
      <c r="P35" t="s">
        <v>7</v>
      </c>
      <c r="Q35" t="s">
        <v>7</v>
      </c>
      <c r="R35" s="1" t="s">
        <v>7</v>
      </c>
      <c r="S35" s="1" t="s">
        <v>7</v>
      </c>
      <c r="T35" s="1" t="s">
        <v>7</v>
      </c>
      <c r="U35" s="1" t="s">
        <v>16</v>
      </c>
      <c r="V35" s="1" t="s">
        <v>16</v>
      </c>
      <c r="W35" s="1" t="s">
        <v>16</v>
      </c>
      <c r="X35" s="1" t="s">
        <v>16</v>
      </c>
      <c r="Y35" s="1" t="s">
        <v>16</v>
      </c>
      <c r="Z35" s="1" t="s">
        <v>16</v>
      </c>
      <c r="AC35" t="s">
        <v>0</v>
      </c>
      <c r="AD35" t="s">
        <v>0</v>
      </c>
      <c r="AE35" t="s">
        <v>0</v>
      </c>
      <c r="AF35" t="s">
        <v>0</v>
      </c>
      <c r="AG35" t="s">
        <v>174</v>
      </c>
      <c r="AH35" t="s">
        <v>174</v>
      </c>
      <c r="AI35" t="s">
        <v>174</v>
      </c>
      <c r="AJ35" t="s">
        <v>174</v>
      </c>
      <c r="AK35" t="s">
        <v>174</v>
      </c>
      <c r="AL35" t="s">
        <v>174</v>
      </c>
      <c r="AM35" t="s">
        <v>7</v>
      </c>
      <c r="AN35" t="s">
        <v>7</v>
      </c>
      <c r="AO35" t="s">
        <v>7</v>
      </c>
      <c r="AP35" t="s">
        <v>7</v>
      </c>
      <c r="AQ35" t="s">
        <v>7</v>
      </c>
      <c r="AR35" t="s">
        <v>7</v>
      </c>
      <c r="AS35" t="s">
        <v>7</v>
      </c>
      <c r="AT35" t="s">
        <v>7</v>
      </c>
      <c r="AU35" t="s">
        <v>16</v>
      </c>
      <c r="AV35" t="s">
        <v>16</v>
      </c>
      <c r="AW35" t="s">
        <v>16</v>
      </c>
      <c r="AX35" t="s">
        <v>16</v>
      </c>
      <c r="AY35" t="s">
        <v>16</v>
      </c>
      <c r="AZ35" t="s">
        <v>16</v>
      </c>
    </row>
    <row r="36" spans="1:52" x14ac:dyDescent="0.3">
      <c r="B36" s="1"/>
      <c r="C36" s="1"/>
      <c r="D36" s="1"/>
      <c r="F36" s="1"/>
      <c r="H36" t="s">
        <v>177</v>
      </c>
      <c r="I36" t="s">
        <v>178</v>
      </c>
      <c r="J36" t="s">
        <v>179</v>
      </c>
      <c r="K36" s="1"/>
      <c r="L36" s="1"/>
      <c r="M36" s="1"/>
      <c r="R36" s="1"/>
      <c r="S36" s="1"/>
      <c r="T36" s="1"/>
      <c r="U36" s="1"/>
      <c r="V36" s="1"/>
      <c r="W36" s="1"/>
      <c r="X36" s="1"/>
      <c r="Y36" s="1"/>
      <c r="Z36" s="1"/>
      <c r="AH36" t="s">
        <v>177</v>
      </c>
      <c r="AI36" t="s">
        <v>178</v>
      </c>
      <c r="AJ36" t="s">
        <v>179</v>
      </c>
    </row>
    <row r="37" spans="1:52" x14ac:dyDescent="0.3">
      <c r="B37" s="1"/>
      <c r="C37" s="1"/>
      <c r="D37" s="1"/>
      <c r="E37" t="s">
        <v>1</v>
      </c>
      <c r="F37" s="1"/>
      <c r="G37" t="s">
        <v>175</v>
      </c>
      <c r="H37" t="s">
        <v>176</v>
      </c>
      <c r="I37" t="s">
        <v>8</v>
      </c>
      <c r="J37" t="s">
        <v>8</v>
      </c>
      <c r="K37" s="1"/>
      <c r="L37" s="1"/>
      <c r="M37" s="1" t="s">
        <v>24</v>
      </c>
      <c r="N37" t="s">
        <v>8</v>
      </c>
      <c r="O37" t="s">
        <v>183</v>
      </c>
      <c r="P37" t="s">
        <v>10</v>
      </c>
      <c r="Q37" t="s">
        <v>11</v>
      </c>
      <c r="R37" s="1"/>
      <c r="S37" s="1"/>
      <c r="T37" s="1"/>
      <c r="U37" s="1"/>
      <c r="V37" s="1"/>
      <c r="W37" s="1"/>
      <c r="X37" s="1"/>
      <c r="Y37" s="1"/>
      <c r="Z37" s="1"/>
      <c r="AE37" t="s">
        <v>1</v>
      </c>
      <c r="AG37" t="s">
        <v>175</v>
      </c>
      <c r="AH37" t="s">
        <v>176</v>
      </c>
      <c r="AI37" t="s">
        <v>8</v>
      </c>
      <c r="AJ37" t="s">
        <v>8</v>
      </c>
      <c r="AM37" t="s">
        <v>24</v>
      </c>
      <c r="AN37" t="s">
        <v>8</v>
      </c>
      <c r="AO37" t="s">
        <v>183</v>
      </c>
      <c r="AP37" t="s">
        <v>10</v>
      </c>
      <c r="AQ37" t="s">
        <v>11</v>
      </c>
    </row>
    <row r="38" spans="1:52" x14ac:dyDescent="0.3">
      <c r="A38" t="s">
        <v>35</v>
      </c>
      <c r="B38" s="1" t="s">
        <v>27</v>
      </c>
      <c r="C38" s="1" t="s">
        <v>21</v>
      </c>
      <c r="D38" s="1" t="s">
        <v>2</v>
      </c>
      <c r="E38" t="s">
        <v>171</v>
      </c>
      <c r="F38" s="1" t="s">
        <v>3</v>
      </c>
      <c r="G38" t="s">
        <v>176</v>
      </c>
      <c r="H38" t="s">
        <v>162</v>
      </c>
      <c r="I38" t="s">
        <v>166</v>
      </c>
      <c r="J38" t="s">
        <v>166</v>
      </c>
      <c r="K38" s="1" t="s">
        <v>180</v>
      </c>
      <c r="L38" s="1" t="s">
        <v>181</v>
      </c>
      <c r="M38" s="1" t="s">
        <v>25</v>
      </c>
      <c r="N38" t="s">
        <v>164</v>
      </c>
      <c r="O38" t="s">
        <v>184</v>
      </c>
      <c r="P38" t="s">
        <v>184</v>
      </c>
      <c r="Q38" t="s">
        <v>185</v>
      </c>
      <c r="R38" s="1" t="s">
        <v>12</v>
      </c>
      <c r="S38" s="1" t="s">
        <v>13</v>
      </c>
      <c r="T38" s="1" t="s">
        <v>14</v>
      </c>
      <c r="U38" s="1" t="s">
        <v>17</v>
      </c>
      <c r="V38" s="1" t="s">
        <v>18</v>
      </c>
      <c r="W38" s="1" t="s">
        <v>19</v>
      </c>
      <c r="X38" s="1" t="s">
        <v>186</v>
      </c>
      <c r="Y38" s="1" t="s">
        <v>187</v>
      </c>
      <c r="Z38" s="1" t="s">
        <v>188</v>
      </c>
      <c r="AB38" t="s">
        <v>20</v>
      </c>
      <c r="AC38" t="s">
        <v>21</v>
      </c>
      <c r="AD38" t="s">
        <v>2</v>
      </c>
      <c r="AE38" t="s">
        <v>171</v>
      </c>
      <c r="AF38" t="s">
        <v>3</v>
      </c>
      <c r="AG38" t="s">
        <v>176</v>
      </c>
      <c r="AH38" t="s">
        <v>162</v>
      </c>
      <c r="AI38" t="s">
        <v>166</v>
      </c>
      <c r="AJ38" t="s">
        <v>166</v>
      </c>
      <c r="AK38" t="s">
        <v>180</v>
      </c>
      <c r="AL38" t="s">
        <v>181</v>
      </c>
      <c r="AM38" t="s">
        <v>25</v>
      </c>
      <c r="AN38" t="s">
        <v>164</v>
      </c>
      <c r="AO38" t="s">
        <v>184</v>
      </c>
      <c r="AP38" t="s">
        <v>184</v>
      </c>
      <c r="AQ38" t="s">
        <v>185</v>
      </c>
      <c r="AR38" t="s">
        <v>12</v>
      </c>
      <c r="AS38" t="s">
        <v>13</v>
      </c>
      <c r="AT38" t="s">
        <v>14</v>
      </c>
      <c r="AU38" t="s">
        <v>17</v>
      </c>
      <c r="AV38" t="s">
        <v>18</v>
      </c>
      <c r="AW38" t="s">
        <v>19</v>
      </c>
      <c r="AX38" t="s">
        <v>186</v>
      </c>
      <c r="AY38" t="s">
        <v>187</v>
      </c>
      <c r="AZ38" t="s">
        <v>188</v>
      </c>
    </row>
    <row r="39" spans="1:52" x14ac:dyDescent="0.3">
      <c r="B39" s="1"/>
      <c r="C39" s="1"/>
      <c r="D39" s="1"/>
      <c r="E39" t="s">
        <v>161</v>
      </c>
      <c r="F39" s="1" t="s">
        <v>4</v>
      </c>
      <c r="G39" t="s">
        <v>9</v>
      </c>
      <c r="H39" t="s">
        <v>9</v>
      </c>
      <c r="I39" t="s">
        <v>9</v>
      </c>
      <c r="J39" t="s">
        <v>9</v>
      </c>
      <c r="K39" s="1" t="s">
        <v>182</v>
      </c>
      <c r="L39" s="1" t="s">
        <v>4</v>
      </c>
      <c r="M39" s="1"/>
      <c r="N39" t="s">
        <v>38</v>
      </c>
      <c r="O39" t="s">
        <v>161</v>
      </c>
      <c r="P39" t="s">
        <v>161</v>
      </c>
      <c r="Q39" t="s">
        <v>161</v>
      </c>
      <c r="R39" s="5" t="s">
        <v>15</v>
      </c>
      <c r="S39" s="5" t="s">
        <v>15</v>
      </c>
      <c r="T39" s="5" t="s">
        <v>15</v>
      </c>
      <c r="U39" s="5" t="s">
        <v>4</v>
      </c>
      <c r="V39" s="5" t="s">
        <v>4</v>
      </c>
      <c r="W39" s="5" t="s">
        <v>4</v>
      </c>
      <c r="X39" s="5" t="s">
        <v>4</v>
      </c>
      <c r="Y39" s="5" t="s">
        <v>4</v>
      </c>
      <c r="Z39" s="5" t="s">
        <v>4</v>
      </c>
      <c r="AE39" t="s">
        <v>161</v>
      </c>
      <c r="AF39" s="7" t="s">
        <v>4</v>
      </c>
      <c r="AG39" t="s">
        <v>9</v>
      </c>
      <c r="AH39" t="s">
        <v>9</v>
      </c>
      <c r="AI39" t="s">
        <v>9</v>
      </c>
      <c r="AJ39" t="s">
        <v>9</v>
      </c>
      <c r="AK39" t="s">
        <v>182</v>
      </c>
      <c r="AL39" t="s">
        <v>4</v>
      </c>
      <c r="AN39" t="s">
        <v>38</v>
      </c>
      <c r="AO39" t="s">
        <v>161</v>
      </c>
      <c r="AP39" t="s">
        <v>161</v>
      </c>
      <c r="AQ39" t="s">
        <v>161</v>
      </c>
      <c r="AR39" t="s">
        <v>15</v>
      </c>
      <c r="AS39" t="s">
        <v>15</v>
      </c>
      <c r="AT39" t="s">
        <v>15</v>
      </c>
      <c r="AU39" t="s">
        <v>4</v>
      </c>
      <c r="AV39" t="s">
        <v>4</v>
      </c>
      <c r="AW39" t="s">
        <v>4</v>
      </c>
      <c r="AX39" t="s">
        <v>4</v>
      </c>
      <c r="AY39" t="s">
        <v>4</v>
      </c>
      <c r="AZ39" t="s">
        <v>4</v>
      </c>
    </row>
    <row r="40" spans="1:52" x14ac:dyDescent="0.3">
      <c r="A40" t="s">
        <v>35</v>
      </c>
      <c r="B40" s="1" t="s">
        <v>27</v>
      </c>
      <c r="C40" s="1" t="s">
        <v>21</v>
      </c>
      <c r="D40" s="1" t="s">
        <v>2</v>
      </c>
      <c r="F40" s="1" t="s">
        <v>3</v>
      </c>
      <c r="K40" s="1" t="s">
        <v>180</v>
      </c>
      <c r="L40" s="1" t="s">
        <v>181</v>
      </c>
      <c r="M40" s="1" t="s">
        <v>25</v>
      </c>
      <c r="R40" s="1" t="s">
        <v>12</v>
      </c>
      <c r="S40" s="1" t="s">
        <v>13</v>
      </c>
      <c r="T40" s="1" t="s">
        <v>14</v>
      </c>
      <c r="U40" s="1" t="s">
        <v>17</v>
      </c>
      <c r="V40" s="1" t="s">
        <v>18</v>
      </c>
      <c r="W40" s="1" t="s">
        <v>19</v>
      </c>
      <c r="X40" s="1" t="s">
        <v>186</v>
      </c>
      <c r="Y40" s="1" t="s">
        <v>187</v>
      </c>
      <c r="Z40" s="1" t="s">
        <v>188</v>
      </c>
      <c r="AB40" t="s">
        <v>20</v>
      </c>
      <c r="AC40" t="s">
        <v>21</v>
      </c>
      <c r="AD40" t="s">
        <v>2</v>
      </c>
      <c r="AF40" t="s">
        <v>3</v>
      </c>
      <c r="AK40" t="s">
        <v>180</v>
      </c>
      <c r="AL40" t="s">
        <v>181</v>
      </c>
      <c r="AM40" t="s">
        <v>25</v>
      </c>
      <c r="AR40" t="s">
        <v>12</v>
      </c>
      <c r="AS40" t="s">
        <v>13</v>
      </c>
      <c r="AT40" t="s">
        <v>14</v>
      </c>
      <c r="AU40" t="s">
        <v>17</v>
      </c>
      <c r="AV40" t="s">
        <v>18</v>
      </c>
      <c r="AW40" t="s">
        <v>19</v>
      </c>
      <c r="AX40" t="s">
        <v>186</v>
      </c>
      <c r="AY40" t="s">
        <v>187</v>
      </c>
      <c r="AZ40" t="s">
        <v>188</v>
      </c>
    </row>
    <row r="41" spans="1:52" x14ac:dyDescent="0.3">
      <c r="A41">
        <v>1</v>
      </c>
      <c r="B41" s="1" t="s">
        <v>39</v>
      </c>
      <c r="C41" s="1" t="s">
        <v>160</v>
      </c>
      <c r="D41" s="2">
        <v>41955</v>
      </c>
      <c r="E41" s="3">
        <v>13.099999999999998</v>
      </c>
      <c r="F41" s="4">
        <f>E41*$A$29/$A$30*$A$32</f>
        <v>2002.9039477941965</v>
      </c>
      <c r="G41" s="7">
        <v>11.91</v>
      </c>
      <c r="H41" s="7">
        <v>240.43</v>
      </c>
      <c r="I41" s="7">
        <f>H41-G41</f>
        <v>228.52</v>
      </c>
      <c r="J41" s="7">
        <v>214.2</v>
      </c>
      <c r="K41" s="5">
        <f>(I41-J41)/I41*100</f>
        <v>6.2664099422370123</v>
      </c>
      <c r="L41" s="4">
        <f>F41*(1-K41/100)</f>
        <v>1877.3937756761632</v>
      </c>
      <c r="M41" s="2">
        <v>41957</v>
      </c>
      <c r="N41" s="7">
        <v>1.52</v>
      </c>
      <c r="O41" s="7">
        <f>N41/$A$29-$A$33</f>
        <v>3.1910291186793418</v>
      </c>
      <c r="P41" s="7">
        <v>0.93699999999999994</v>
      </c>
      <c r="Q41" s="7">
        <v>1.4330000000000003</v>
      </c>
      <c r="R41" s="6">
        <f>P41/O41</f>
        <v>0.29363567838196108</v>
      </c>
      <c r="S41" s="6">
        <f>Q41/O41</f>
        <v>0.44907142702385311</v>
      </c>
      <c r="T41" s="6">
        <f>1-R41-S41</f>
        <v>0.25729289459418575</v>
      </c>
      <c r="U41" s="4">
        <f t="shared" ref="U41:U55" si="0">F41*R41</f>
        <v>588.12405944445686</v>
      </c>
      <c r="V41" s="4">
        <f t="shared" ref="V41:V55" si="1">F41*S41</f>
        <v>899.44693402764881</v>
      </c>
      <c r="W41" s="4">
        <f>U41+V41</f>
        <v>1487.5709934721058</v>
      </c>
      <c r="X41" s="4">
        <f>L41*R41</f>
        <v>551.26979491074144</v>
      </c>
      <c r="Y41" s="4">
        <f>L41*S41</f>
        <v>843.08390192859417</v>
      </c>
      <c r="Z41" s="4">
        <f>X41+Y41</f>
        <v>1394.3536968393355</v>
      </c>
      <c r="AA41" s="3"/>
      <c r="AB41" t="s">
        <v>167</v>
      </c>
      <c r="AC41" t="str">
        <f>C41</f>
        <v>Machine</v>
      </c>
      <c r="AD41" s="8">
        <f>D41</f>
        <v>41955</v>
      </c>
      <c r="AE41" s="3">
        <f>SUM(E41:E51)</f>
        <v>294.19999999999993</v>
      </c>
      <c r="AF41" s="3">
        <f>AE41*$A$29/($A$30*10+$A$31)*$A$32</f>
        <v>4159.1273755441734</v>
      </c>
      <c r="AG41" s="7">
        <f>SUM(G41:G51)</f>
        <v>131.18</v>
      </c>
      <c r="AH41" s="7">
        <f>SUM(H41:H51)</f>
        <v>2563.6699999999996</v>
      </c>
      <c r="AI41" s="7">
        <f>AH41-AG41</f>
        <v>2432.4899999999998</v>
      </c>
      <c r="AJ41" s="7">
        <f>SUM(J41:J51)</f>
        <v>2268.08</v>
      </c>
      <c r="AK41" s="7">
        <f>(AI41-AJ41)/AI41*100</f>
        <v>6.7589178167227777</v>
      </c>
      <c r="AL41" s="3">
        <f>AF41*(1-AK41/100)</f>
        <v>3878.0153743383239</v>
      </c>
      <c r="AM41" s="11">
        <f>M41</f>
        <v>41957</v>
      </c>
      <c r="AN41" s="7">
        <f>SUM(N41:N51)</f>
        <v>19.660000000000004</v>
      </c>
      <c r="AO41" s="7">
        <f>AN41/$A$29-$A$33*11</f>
        <v>41.582916100813073</v>
      </c>
      <c r="AP41" s="7">
        <f>SUM(P41:P51)</f>
        <v>12.378000000000004</v>
      </c>
      <c r="AQ41" s="7">
        <f>SUM(Q41:Q51)</f>
        <v>19.983999999999998</v>
      </c>
      <c r="AR41" s="9">
        <f>AP41/AO41</f>
        <v>0.29767032138849869</v>
      </c>
      <c r="AS41" s="9">
        <f>AQ41/AO41</f>
        <v>0.48058197629889765</v>
      </c>
      <c r="AT41" s="9">
        <f>1-AR41-AS41</f>
        <v>0.22174770231260366</v>
      </c>
      <c r="AU41" s="3">
        <f>AF41*AR41</f>
        <v>1238.0487825739372</v>
      </c>
      <c r="AV41" s="3">
        <f>AF41*AS41</f>
        <v>1998.8016538178663</v>
      </c>
      <c r="AW41" s="3">
        <f>AU41+AV41</f>
        <v>3236.8504363918037</v>
      </c>
      <c r="AX41" s="3">
        <f>AL41*AR41</f>
        <v>1154.3700828288279</v>
      </c>
      <c r="AY41" s="3">
        <f>AL41*AS41</f>
        <v>1863.7042927170212</v>
      </c>
      <c r="AZ41" s="3">
        <f>AX41+AY41</f>
        <v>3018.0743755458489</v>
      </c>
    </row>
    <row r="42" spans="1:52" x14ac:dyDescent="0.3">
      <c r="A42">
        <v>2</v>
      </c>
      <c r="B42" s="1" t="s">
        <v>40</v>
      </c>
      <c r="C42" s="1" t="s">
        <v>160</v>
      </c>
      <c r="D42" s="2">
        <v>41955</v>
      </c>
      <c r="E42" s="3">
        <v>35.4</v>
      </c>
      <c r="F42" s="4">
        <f t="shared" ref="F42:F105" si="2">E42*$A$29/$A$30*$A$32</f>
        <v>5412.4274619782109</v>
      </c>
      <c r="G42" s="7">
        <v>12.03</v>
      </c>
      <c r="H42" s="7">
        <v>276.02999999999997</v>
      </c>
      <c r="I42" s="7">
        <f t="shared" ref="I42:I105" si="3">H42-G42</f>
        <v>264</v>
      </c>
      <c r="J42" s="7">
        <v>243.33</v>
      </c>
      <c r="K42" s="5">
        <f t="shared" ref="K42:K105" si="4">(I42-J42)/I42*100</f>
        <v>7.8295454545454497</v>
      </c>
      <c r="L42" s="4">
        <f t="shared" ref="L42:L105" si="5">F42*(1-K42/100)</f>
        <v>4988.658993648326</v>
      </c>
      <c r="M42" s="2">
        <v>41957</v>
      </c>
      <c r="N42" s="7">
        <v>2.17</v>
      </c>
      <c r="O42" s="7">
        <f t="shared" ref="O42:O105" si="6">N42/$A$29-$A$33</f>
        <v>4.6240349917987968</v>
      </c>
      <c r="P42" s="7">
        <v>1.37</v>
      </c>
      <c r="Q42" s="7">
        <v>2.1889999999999996</v>
      </c>
      <c r="R42" s="6">
        <f t="shared" ref="R42:R105" si="7">P42/O42</f>
        <v>0.29627803475316178</v>
      </c>
      <c r="S42" s="6">
        <f t="shared" ref="S42:S105" si="8">Q42/O42</f>
        <v>0.47339607158735109</v>
      </c>
      <c r="T42" s="6">
        <f t="shared" ref="T42:T105" si="9">1-R42-S42</f>
        <v>0.23032589365948719</v>
      </c>
      <c r="U42" s="4">
        <f t="shared" si="0"/>
        <v>1603.5833716789475</v>
      </c>
      <c r="V42" s="4">
        <f t="shared" si="1"/>
        <v>2562.2218982519821</v>
      </c>
      <c r="W42" s="4">
        <f t="shared" ref="W42:W105" si="10">U42+V42</f>
        <v>4165.8052699309301</v>
      </c>
      <c r="X42" s="4">
        <f t="shared" ref="X42:X105" si="11">L42*R42</f>
        <v>1478.0300826918119</v>
      </c>
      <c r="Y42" s="4">
        <f t="shared" ref="Y42:Y105" si="12">L42*S42</f>
        <v>2361.611570082026</v>
      </c>
      <c r="Z42" s="4">
        <f t="shared" ref="Z42:Z105" si="13">X42+Y42</f>
        <v>3839.6416527738379</v>
      </c>
      <c r="AA42" s="3"/>
      <c r="AE42" s="3"/>
      <c r="AF42" s="3"/>
      <c r="AG42" s="7"/>
      <c r="AH42" s="7"/>
      <c r="AI42" s="7"/>
      <c r="AJ42" s="7"/>
      <c r="AK42" s="7"/>
      <c r="AL42" s="3"/>
      <c r="AM42" s="9"/>
      <c r="AN42" s="7"/>
      <c r="AO42" s="7"/>
      <c r="AP42" s="7"/>
      <c r="AQ42" s="7"/>
      <c r="AR42" s="9"/>
      <c r="AS42" s="9"/>
      <c r="AT42" s="9"/>
      <c r="AU42" s="3"/>
      <c r="AV42" s="3"/>
      <c r="AW42" s="3"/>
      <c r="AX42" s="3"/>
      <c r="AY42" s="3"/>
      <c r="AZ42" s="3"/>
    </row>
    <row r="43" spans="1:52" x14ac:dyDescent="0.3">
      <c r="A43">
        <v>3</v>
      </c>
      <c r="B43" s="1" t="s">
        <v>41</v>
      </c>
      <c r="C43" s="1" t="s">
        <v>160</v>
      </c>
      <c r="D43" s="2">
        <v>41955</v>
      </c>
      <c r="E43" s="3">
        <v>34.599999999999994</v>
      </c>
      <c r="F43" s="4">
        <f t="shared" si="2"/>
        <v>5290.1127170747486</v>
      </c>
      <c r="G43" s="7">
        <v>11.88</v>
      </c>
      <c r="H43" s="7">
        <v>259.13</v>
      </c>
      <c r="I43" s="7">
        <f t="shared" si="3"/>
        <v>247.25</v>
      </c>
      <c r="J43" s="7">
        <v>231.07</v>
      </c>
      <c r="K43" s="5">
        <f t="shared" si="4"/>
        <v>6.5439838220424695</v>
      </c>
      <c r="L43" s="4">
        <f t="shared" si="5"/>
        <v>4943.9285967015658</v>
      </c>
      <c r="M43" s="2">
        <v>41957</v>
      </c>
      <c r="N43" s="7">
        <v>1.6</v>
      </c>
      <c r="O43" s="7">
        <f t="shared" si="6"/>
        <v>3.3673990722940439</v>
      </c>
      <c r="P43" s="7">
        <v>0.93699999999999994</v>
      </c>
      <c r="Q43" s="7">
        <v>1.6220000000000003</v>
      </c>
      <c r="R43" s="6">
        <f t="shared" si="7"/>
        <v>0.27825629807567409</v>
      </c>
      <c r="S43" s="6">
        <f t="shared" si="8"/>
        <v>0.48167739111925667</v>
      </c>
      <c r="T43" s="6">
        <f t="shared" si="9"/>
        <v>0.24006631080506924</v>
      </c>
      <c r="U43" s="4">
        <f t="shared" si="0"/>
        <v>1472.0071810562654</v>
      </c>
      <c r="V43" s="4">
        <f t="shared" si="1"/>
        <v>2548.1276922873672</v>
      </c>
      <c r="W43" s="4">
        <f t="shared" si="10"/>
        <v>4020.1348733436325</v>
      </c>
      <c r="X43" s="4">
        <f t="shared" si="11"/>
        <v>1375.6792692686399</v>
      </c>
      <c r="Y43" s="4">
        <f t="shared" si="12"/>
        <v>2381.3786283390978</v>
      </c>
      <c r="Z43" s="4">
        <f t="shared" si="13"/>
        <v>3757.0578976077377</v>
      </c>
      <c r="AA43" s="3"/>
      <c r="AE43" s="3"/>
      <c r="AF43" s="3"/>
      <c r="AG43" s="7"/>
      <c r="AH43" s="7"/>
      <c r="AI43" s="7"/>
      <c r="AJ43" s="7"/>
      <c r="AK43" s="7"/>
      <c r="AL43" s="3"/>
      <c r="AM43" s="9"/>
      <c r="AN43" s="7"/>
      <c r="AO43" s="7"/>
      <c r="AP43" s="7"/>
      <c r="AQ43" s="7"/>
      <c r="AR43" s="9"/>
      <c r="AS43" s="9"/>
      <c r="AT43" s="9"/>
      <c r="AU43" s="3"/>
      <c r="AV43" s="3"/>
      <c r="AW43" s="3"/>
      <c r="AX43" s="3"/>
      <c r="AY43" s="3"/>
      <c r="AZ43" s="3"/>
    </row>
    <row r="44" spans="1:52" x14ac:dyDescent="0.3">
      <c r="A44">
        <v>4</v>
      </c>
      <c r="B44" s="1" t="s">
        <v>42</v>
      </c>
      <c r="C44" s="1" t="s">
        <v>160</v>
      </c>
      <c r="D44" s="2">
        <v>41955</v>
      </c>
      <c r="E44" s="3">
        <v>35.599999999999994</v>
      </c>
      <c r="F44" s="4">
        <f t="shared" si="2"/>
        <v>5443.0061482040755</v>
      </c>
      <c r="G44" s="7">
        <v>12.02</v>
      </c>
      <c r="H44" s="7">
        <v>268.06</v>
      </c>
      <c r="I44" s="7">
        <f t="shared" si="3"/>
        <v>256.04000000000002</v>
      </c>
      <c r="J44" s="7">
        <v>239.34</v>
      </c>
      <c r="K44" s="5">
        <f t="shared" si="4"/>
        <v>6.5224183721293612</v>
      </c>
      <c r="L44" s="4">
        <f t="shared" si="5"/>
        <v>5087.9905151974826</v>
      </c>
      <c r="M44" s="2">
        <v>41957</v>
      </c>
      <c r="N44" s="7">
        <v>1.8</v>
      </c>
      <c r="O44" s="7">
        <f t="shared" si="6"/>
        <v>3.8083239563307996</v>
      </c>
      <c r="P44" s="7">
        <v>0.93699999999999994</v>
      </c>
      <c r="Q44" s="7">
        <v>1.8109999999999995</v>
      </c>
      <c r="R44" s="6">
        <f t="shared" si="7"/>
        <v>0.24603999311622901</v>
      </c>
      <c r="S44" s="6">
        <f t="shared" si="8"/>
        <v>0.47553727591621198</v>
      </c>
      <c r="T44" s="6">
        <f t="shared" si="9"/>
        <v>0.27842273096755898</v>
      </c>
      <c r="U44" s="4">
        <f t="shared" si="0"/>
        <v>1339.197195235723</v>
      </c>
      <c r="V44" s="4">
        <f t="shared" si="1"/>
        <v>2588.3523165121596</v>
      </c>
      <c r="W44" s="4">
        <f t="shared" si="10"/>
        <v>3927.5495117478827</v>
      </c>
      <c r="X44" s="4">
        <f t="shared" si="11"/>
        <v>1251.8491513346271</v>
      </c>
      <c r="Y44" s="4">
        <f t="shared" si="12"/>
        <v>2419.5291494845346</v>
      </c>
      <c r="Z44" s="4">
        <f t="shared" si="13"/>
        <v>3671.3783008191617</v>
      </c>
      <c r="AA44" s="3"/>
      <c r="AE44" s="3"/>
      <c r="AF44" s="3"/>
      <c r="AG44" s="7"/>
      <c r="AH44" s="7"/>
      <c r="AI44" s="7"/>
      <c r="AJ44" s="7"/>
      <c r="AK44" s="7"/>
      <c r="AL44" s="3"/>
      <c r="AM44" s="9"/>
      <c r="AN44" s="7"/>
      <c r="AO44" s="7"/>
      <c r="AP44" s="7"/>
      <c r="AQ44" s="7"/>
      <c r="AR44" s="9"/>
      <c r="AS44" s="9"/>
      <c r="AT44" s="9"/>
      <c r="AU44" s="3"/>
      <c r="AV44" s="3"/>
      <c r="AW44" s="3"/>
      <c r="AX44" s="3"/>
      <c r="AY44" s="3"/>
      <c r="AZ44" s="3"/>
    </row>
    <row r="45" spans="1:52" x14ac:dyDescent="0.3">
      <c r="A45">
        <v>5</v>
      </c>
      <c r="B45" s="1" t="s">
        <v>43</v>
      </c>
      <c r="C45" s="1" t="s">
        <v>160</v>
      </c>
      <c r="D45" s="2">
        <v>41955</v>
      </c>
      <c r="E45" s="3">
        <v>31.7</v>
      </c>
      <c r="F45" s="4">
        <f t="shared" si="2"/>
        <v>4846.7217667996974</v>
      </c>
      <c r="G45" s="7">
        <v>11.9</v>
      </c>
      <c r="H45" s="7">
        <v>182.86</v>
      </c>
      <c r="I45" s="7">
        <f t="shared" si="3"/>
        <v>170.96</v>
      </c>
      <c r="J45" s="7">
        <v>159.96</v>
      </c>
      <c r="K45" s="5">
        <f t="shared" si="4"/>
        <v>6.4342536265793173</v>
      </c>
      <c r="L45" s="4">
        <f t="shared" si="5"/>
        <v>4534.8713957491782</v>
      </c>
      <c r="M45" s="2">
        <v>41957</v>
      </c>
      <c r="N45" s="7">
        <v>2.04</v>
      </c>
      <c r="O45" s="7">
        <f t="shared" si="6"/>
        <v>4.3374338171749063</v>
      </c>
      <c r="P45" s="7">
        <v>1.3149999999999999</v>
      </c>
      <c r="Q45" s="7">
        <v>2.0630000000000002</v>
      </c>
      <c r="R45" s="6">
        <f t="shared" si="7"/>
        <v>0.30317465474470268</v>
      </c>
      <c r="S45" s="6">
        <f t="shared" si="8"/>
        <v>0.47562685379340047</v>
      </c>
      <c r="T45" s="6">
        <f t="shared" si="9"/>
        <v>0.2211984914618968</v>
      </c>
      <c r="U45" s="4">
        <f t="shared" si="0"/>
        <v>1469.4031982931335</v>
      </c>
      <c r="V45" s="4">
        <f t="shared" si="1"/>
        <v>2305.2310251549311</v>
      </c>
      <c r="W45" s="4">
        <f t="shared" si="10"/>
        <v>3774.6342234480644</v>
      </c>
      <c r="X45" s="4">
        <f t="shared" si="11"/>
        <v>1374.858069717885</v>
      </c>
      <c r="Y45" s="4">
        <f t="shared" si="12"/>
        <v>2156.9066143178684</v>
      </c>
      <c r="Z45" s="4">
        <f t="shared" si="13"/>
        <v>3531.7646840357534</v>
      </c>
      <c r="AA45" s="3"/>
      <c r="AE45" s="3"/>
      <c r="AF45" s="3"/>
      <c r="AG45" s="7"/>
      <c r="AH45" s="7"/>
      <c r="AI45" s="7"/>
      <c r="AJ45" s="7"/>
      <c r="AK45" s="7"/>
      <c r="AL45" s="3"/>
      <c r="AM45" s="9"/>
      <c r="AN45" s="7"/>
      <c r="AO45" s="7"/>
      <c r="AP45" s="7"/>
      <c r="AQ45" s="7"/>
      <c r="AR45" s="9"/>
      <c r="AS45" s="9"/>
      <c r="AT45" s="9"/>
      <c r="AU45" s="3"/>
      <c r="AV45" s="3"/>
      <c r="AW45" s="3"/>
      <c r="AX45" s="3"/>
      <c r="AY45" s="3"/>
      <c r="AZ45" s="3"/>
    </row>
    <row r="46" spans="1:52" x14ac:dyDescent="0.3">
      <c r="A46">
        <v>6</v>
      </c>
      <c r="B46" s="1" t="s">
        <v>44</v>
      </c>
      <c r="C46" s="1" t="s">
        <v>160</v>
      </c>
      <c r="D46" s="2">
        <v>41955</v>
      </c>
      <c r="E46" s="3">
        <v>30.2</v>
      </c>
      <c r="F46" s="4">
        <f t="shared" si="2"/>
        <v>4617.3816201057052</v>
      </c>
      <c r="G46" s="7">
        <v>11.96</v>
      </c>
      <c r="H46" s="7">
        <v>237.39</v>
      </c>
      <c r="I46" s="7">
        <f t="shared" si="3"/>
        <v>225.42999999999998</v>
      </c>
      <c r="J46" s="7">
        <v>211.29</v>
      </c>
      <c r="K46" s="5">
        <f t="shared" si="4"/>
        <v>6.2724570820210213</v>
      </c>
      <c r="L46" s="4">
        <f t="shared" si="5"/>
        <v>4327.7583396714481</v>
      </c>
      <c r="M46" s="2">
        <v>41957</v>
      </c>
      <c r="N46" s="7">
        <v>2.0499999999999998</v>
      </c>
      <c r="O46" s="7">
        <f t="shared" si="6"/>
        <v>4.3594800613767433</v>
      </c>
      <c r="P46" s="7">
        <v>1.2520000000000002</v>
      </c>
      <c r="Q46" s="7">
        <v>2.0630000000000002</v>
      </c>
      <c r="R46" s="6">
        <f t="shared" si="7"/>
        <v>0.28719021130345829</v>
      </c>
      <c r="S46" s="6">
        <f t="shared" si="8"/>
        <v>0.47322157022287092</v>
      </c>
      <c r="T46" s="6">
        <f t="shared" si="9"/>
        <v>0.23958821847367073</v>
      </c>
      <c r="U46" s="4">
        <f t="shared" si="0"/>
        <v>1326.066803146862</v>
      </c>
      <c r="V46" s="4">
        <f t="shared" si="1"/>
        <v>2185.0445805846457</v>
      </c>
      <c r="W46" s="4">
        <f t="shared" si="10"/>
        <v>3511.1113837315079</v>
      </c>
      <c r="X46" s="4">
        <f t="shared" si="11"/>
        <v>1242.8898320405469</v>
      </c>
      <c r="Y46" s="4">
        <f t="shared" si="12"/>
        <v>2047.9885970444475</v>
      </c>
      <c r="Z46" s="4">
        <f t="shared" si="13"/>
        <v>3290.8784290849944</v>
      </c>
      <c r="AA46" s="3"/>
      <c r="AE46" s="3"/>
      <c r="AF46" s="3"/>
      <c r="AG46" s="7"/>
      <c r="AH46" s="7"/>
      <c r="AI46" s="7"/>
      <c r="AJ46" s="7"/>
      <c r="AK46" s="7"/>
      <c r="AL46" s="3"/>
      <c r="AM46" s="9"/>
      <c r="AN46" s="7"/>
      <c r="AO46" s="7"/>
      <c r="AP46" s="7"/>
      <c r="AQ46" s="7"/>
      <c r="AR46" s="9"/>
      <c r="AS46" s="9"/>
      <c r="AT46" s="9"/>
      <c r="AU46" s="3"/>
      <c r="AV46" s="3"/>
      <c r="AW46" s="3"/>
      <c r="AX46" s="3"/>
      <c r="AY46" s="3"/>
      <c r="AZ46" s="3"/>
    </row>
    <row r="47" spans="1:52" x14ac:dyDescent="0.3">
      <c r="A47">
        <v>7</v>
      </c>
      <c r="B47" s="1" t="s">
        <v>45</v>
      </c>
      <c r="C47" s="1" t="s">
        <v>160</v>
      </c>
      <c r="D47" s="2">
        <v>41955</v>
      </c>
      <c r="E47" s="3">
        <v>21.6</v>
      </c>
      <c r="F47" s="4">
        <f t="shared" si="2"/>
        <v>3302.4981123934849</v>
      </c>
      <c r="G47" s="7">
        <v>11.9</v>
      </c>
      <c r="H47" s="7">
        <v>169.22</v>
      </c>
      <c r="I47" s="7">
        <f t="shared" si="3"/>
        <v>157.32</v>
      </c>
      <c r="J47" s="7">
        <v>147.38999999999999</v>
      </c>
      <c r="K47" s="5">
        <f t="shared" si="4"/>
        <v>6.3119755911517972</v>
      </c>
      <c r="L47" s="4">
        <f t="shared" si="5"/>
        <v>3094.0452376409594</v>
      </c>
      <c r="M47" s="2">
        <v>41957</v>
      </c>
      <c r="N47" s="7">
        <v>1.98</v>
      </c>
      <c r="O47" s="7">
        <f t="shared" si="6"/>
        <v>4.205156351963879</v>
      </c>
      <c r="P47" s="7">
        <v>1.2520000000000002</v>
      </c>
      <c r="Q47" s="7">
        <v>1.9369999999999998</v>
      </c>
      <c r="R47" s="6">
        <f t="shared" si="7"/>
        <v>0.29772971447667934</v>
      </c>
      <c r="S47" s="6">
        <f t="shared" si="8"/>
        <v>0.46062496560808924</v>
      </c>
      <c r="T47" s="6">
        <f t="shared" si="9"/>
        <v>0.24164531991523147</v>
      </c>
      <c r="U47" s="4">
        <f t="shared" si="0"/>
        <v>983.25182006268471</v>
      </c>
      <c r="V47" s="4">
        <f t="shared" si="1"/>
        <v>1521.2130794420286</v>
      </c>
      <c r="W47" s="4">
        <f t="shared" si="10"/>
        <v>2504.4648995047132</v>
      </c>
      <c r="X47" s="4">
        <f t="shared" si="11"/>
        <v>921.18920518077232</v>
      </c>
      <c r="Y47" s="4">
        <f t="shared" si="12"/>
        <v>1425.1944811782391</v>
      </c>
      <c r="Z47" s="4">
        <f t="shared" si="13"/>
        <v>2346.3836863590113</v>
      </c>
      <c r="AA47" s="3"/>
      <c r="AE47" s="3"/>
      <c r="AF47" s="3"/>
      <c r="AG47" s="7"/>
      <c r="AH47" s="7"/>
      <c r="AI47" s="7"/>
      <c r="AJ47" s="7"/>
      <c r="AK47" s="7"/>
      <c r="AL47" s="3"/>
      <c r="AM47" s="9"/>
      <c r="AN47" s="7"/>
      <c r="AO47" s="7"/>
      <c r="AP47" s="7"/>
      <c r="AQ47" s="7"/>
      <c r="AR47" s="9"/>
      <c r="AS47" s="9"/>
      <c r="AT47" s="9"/>
      <c r="AU47" s="3"/>
      <c r="AV47" s="3"/>
      <c r="AW47" s="3"/>
      <c r="AX47" s="3"/>
      <c r="AY47" s="3"/>
      <c r="AZ47" s="3"/>
    </row>
    <row r="48" spans="1:52" x14ac:dyDescent="0.3">
      <c r="A48">
        <v>8</v>
      </c>
      <c r="B48" s="1" t="s">
        <v>46</v>
      </c>
      <c r="C48" s="1" t="s">
        <v>160</v>
      </c>
      <c r="D48" s="2">
        <v>41955</v>
      </c>
      <c r="E48" s="3">
        <v>18.400000000000002</v>
      </c>
      <c r="F48" s="4">
        <f t="shared" si="2"/>
        <v>2813.2391327796358</v>
      </c>
      <c r="G48" s="7">
        <v>11.93</v>
      </c>
      <c r="H48" s="7">
        <v>210.86</v>
      </c>
      <c r="I48" s="7">
        <f t="shared" si="3"/>
        <v>198.93</v>
      </c>
      <c r="J48" s="7">
        <v>184.73</v>
      </c>
      <c r="K48" s="5">
        <f t="shared" si="4"/>
        <v>7.1381893128236147</v>
      </c>
      <c r="L48" s="4">
        <f t="shared" si="5"/>
        <v>2612.4247976593879</v>
      </c>
      <c r="M48" s="2">
        <v>41957</v>
      </c>
      <c r="N48" s="7">
        <v>1.72</v>
      </c>
      <c r="O48" s="7">
        <f t="shared" si="6"/>
        <v>3.631954002716097</v>
      </c>
      <c r="P48" s="7">
        <v>0.99999999999999989</v>
      </c>
      <c r="Q48" s="7">
        <v>1.7479999999999998</v>
      </c>
      <c r="R48" s="6">
        <f t="shared" si="7"/>
        <v>0.27533388342808479</v>
      </c>
      <c r="S48" s="6">
        <f t="shared" si="8"/>
        <v>0.48128362823229226</v>
      </c>
      <c r="T48" s="6">
        <f t="shared" si="9"/>
        <v>0.243382488339623</v>
      </c>
      <c r="U48" s="4">
        <f t="shared" si="0"/>
        <v>774.5800554400746</v>
      </c>
      <c r="V48" s="4">
        <f t="shared" si="1"/>
        <v>1353.9659369092506</v>
      </c>
      <c r="W48" s="4">
        <f t="shared" si="10"/>
        <v>2128.5459923493254</v>
      </c>
      <c r="X48" s="4">
        <f t="shared" si="11"/>
        <v>719.28906470338791</v>
      </c>
      <c r="Y48" s="4">
        <f t="shared" si="12"/>
        <v>1257.3172851015222</v>
      </c>
      <c r="Z48" s="4">
        <f t="shared" si="13"/>
        <v>1976.6063498049102</v>
      </c>
      <c r="AA48" s="3"/>
      <c r="AE48" s="3"/>
      <c r="AF48" s="3"/>
      <c r="AG48" s="7"/>
      <c r="AH48" s="7"/>
      <c r="AI48" s="7"/>
      <c r="AJ48" s="7"/>
      <c r="AK48" s="7"/>
      <c r="AL48" s="3"/>
      <c r="AM48" s="9"/>
      <c r="AN48" s="7"/>
      <c r="AO48" s="7"/>
      <c r="AP48" s="7"/>
      <c r="AQ48" s="7"/>
      <c r="AR48" s="9"/>
      <c r="AS48" s="9"/>
      <c r="AT48" s="9"/>
      <c r="AU48" s="3"/>
      <c r="AV48" s="3"/>
      <c r="AW48" s="3"/>
      <c r="AX48" s="3"/>
      <c r="AY48" s="3"/>
      <c r="AZ48" s="3"/>
    </row>
    <row r="49" spans="1:52" x14ac:dyDescent="0.3">
      <c r="A49">
        <v>9</v>
      </c>
      <c r="B49" s="1" t="s">
        <v>47</v>
      </c>
      <c r="C49" s="1" t="s">
        <v>160</v>
      </c>
      <c r="D49" s="2">
        <v>41955</v>
      </c>
      <c r="E49" s="3">
        <v>22.3</v>
      </c>
      <c r="F49" s="4">
        <f t="shared" si="2"/>
        <v>3409.5235141840149</v>
      </c>
      <c r="G49" s="7">
        <v>11.98</v>
      </c>
      <c r="H49" s="7">
        <v>296.16000000000003</v>
      </c>
      <c r="I49" s="7">
        <f t="shared" si="3"/>
        <v>284.18</v>
      </c>
      <c r="J49" s="7">
        <v>265.99</v>
      </c>
      <c r="K49" s="5">
        <f t="shared" si="4"/>
        <v>6.4008726863255676</v>
      </c>
      <c r="L49" s="4">
        <f t="shared" si="5"/>
        <v>3191.2842548307626</v>
      </c>
      <c r="M49" s="2">
        <v>41957</v>
      </c>
      <c r="N49" s="7">
        <v>1.45</v>
      </c>
      <c r="O49" s="7">
        <f t="shared" si="6"/>
        <v>3.0367054092664771</v>
      </c>
      <c r="P49" s="7">
        <v>1.0630000000000002</v>
      </c>
      <c r="Q49" s="7">
        <v>1.5589999999999997</v>
      </c>
      <c r="R49" s="6">
        <f t="shared" si="7"/>
        <v>0.35005041870583364</v>
      </c>
      <c r="S49" s="6">
        <f t="shared" si="8"/>
        <v>0.51338532715182916</v>
      </c>
      <c r="T49" s="6">
        <f t="shared" si="9"/>
        <v>0.13656425414233719</v>
      </c>
      <c r="U49" s="4">
        <f t="shared" si="0"/>
        <v>1193.5051337274997</v>
      </c>
      <c r="V49" s="4">
        <f t="shared" si="1"/>
        <v>1750.3993447612147</v>
      </c>
      <c r="W49" s="4">
        <f t="shared" si="10"/>
        <v>2943.9044784887146</v>
      </c>
      <c r="X49" s="4">
        <f t="shared" si="11"/>
        <v>1117.1103896128427</v>
      </c>
      <c r="Y49" s="4">
        <f t="shared" si="12"/>
        <v>1638.3585112007725</v>
      </c>
      <c r="Z49" s="4">
        <f t="shared" si="13"/>
        <v>2755.4689008136152</v>
      </c>
      <c r="AA49" s="3"/>
      <c r="AE49" s="3"/>
      <c r="AF49" s="3"/>
      <c r="AG49" s="7"/>
      <c r="AH49" s="7"/>
      <c r="AI49" s="7"/>
      <c r="AJ49" s="7"/>
      <c r="AK49" s="7"/>
      <c r="AL49" s="3"/>
      <c r="AM49" s="9"/>
      <c r="AN49" s="7"/>
      <c r="AO49" s="7"/>
      <c r="AP49" s="7"/>
      <c r="AQ49" s="7"/>
      <c r="AR49" s="9"/>
      <c r="AS49" s="9"/>
      <c r="AT49" s="9"/>
      <c r="AU49" s="3"/>
      <c r="AV49" s="3"/>
      <c r="AW49" s="3"/>
      <c r="AX49" s="3"/>
      <c r="AY49" s="3"/>
      <c r="AZ49" s="3"/>
    </row>
    <row r="50" spans="1:52" x14ac:dyDescent="0.3">
      <c r="A50">
        <v>10</v>
      </c>
      <c r="B50" s="1" t="s">
        <v>48</v>
      </c>
      <c r="C50" s="1" t="s">
        <v>160</v>
      </c>
      <c r="D50" s="2">
        <v>41955</v>
      </c>
      <c r="E50" s="3">
        <v>32.899999999999991</v>
      </c>
      <c r="F50" s="4">
        <f t="shared" si="2"/>
        <v>5030.1938841548899</v>
      </c>
      <c r="G50" s="7">
        <v>11.82</v>
      </c>
      <c r="H50" s="7">
        <v>223.51</v>
      </c>
      <c r="I50" s="7">
        <f t="shared" si="3"/>
        <v>211.69</v>
      </c>
      <c r="J50" s="7">
        <v>194.29</v>
      </c>
      <c r="K50" s="5">
        <f t="shared" si="4"/>
        <v>8.2195663470168672</v>
      </c>
      <c r="L50" s="4">
        <f t="shared" si="5"/>
        <v>4616.7337604631939</v>
      </c>
      <c r="M50" s="2">
        <v>41957</v>
      </c>
      <c r="N50" s="7">
        <v>1.62</v>
      </c>
      <c r="O50" s="7">
        <f t="shared" si="6"/>
        <v>3.4114915606977196</v>
      </c>
      <c r="P50" s="7">
        <v>1.0630000000000002</v>
      </c>
      <c r="Q50" s="7">
        <v>1.6850000000000001</v>
      </c>
      <c r="R50" s="6">
        <f t="shared" si="7"/>
        <v>0.31159391166208689</v>
      </c>
      <c r="S50" s="6">
        <f t="shared" si="8"/>
        <v>0.49391885338722141</v>
      </c>
      <c r="T50" s="6">
        <f t="shared" si="9"/>
        <v>0.19448723495069165</v>
      </c>
      <c r="U50" s="4">
        <f t="shared" si="0"/>
        <v>1567.3777887825286</v>
      </c>
      <c r="V50" s="4">
        <f t="shared" si="1"/>
        <v>2484.5075955771968</v>
      </c>
      <c r="W50" s="4">
        <f t="shared" si="10"/>
        <v>4051.8853843597253</v>
      </c>
      <c r="X50" s="4">
        <f t="shared" si="11"/>
        <v>1438.5461315251425</v>
      </c>
      <c r="Y50" s="4">
        <f t="shared" si="12"/>
        <v>2280.2918453620555</v>
      </c>
      <c r="Z50" s="4">
        <f t="shared" si="13"/>
        <v>3718.8379768871982</v>
      </c>
      <c r="AA50" s="3"/>
      <c r="AE50" s="3"/>
      <c r="AF50" s="3"/>
      <c r="AG50" s="7"/>
      <c r="AH50" s="7"/>
      <c r="AI50" s="7"/>
      <c r="AJ50" s="7"/>
      <c r="AK50" s="7"/>
      <c r="AL50" s="3"/>
      <c r="AM50" s="9"/>
      <c r="AN50" s="7"/>
      <c r="AO50" s="7"/>
      <c r="AP50" s="7"/>
      <c r="AQ50" s="7"/>
      <c r="AR50" s="9"/>
      <c r="AS50" s="9"/>
      <c r="AT50" s="9"/>
      <c r="AU50" s="3"/>
      <c r="AV50" s="3"/>
      <c r="AW50" s="3"/>
      <c r="AX50" s="3"/>
      <c r="AY50" s="3"/>
      <c r="AZ50" s="3"/>
    </row>
    <row r="51" spans="1:52" x14ac:dyDescent="0.3">
      <c r="A51">
        <v>11</v>
      </c>
      <c r="B51" s="1" t="s">
        <v>49</v>
      </c>
      <c r="C51" s="1" t="s">
        <v>160</v>
      </c>
      <c r="D51" s="2">
        <v>41955</v>
      </c>
      <c r="E51" s="3">
        <v>18.400000000000002</v>
      </c>
      <c r="F51" s="4">
        <f>E51*$A$29/$A$31*$A$32</f>
        <v>3451.5370872758554</v>
      </c>
      <c r="G51" s="7">
        <v>11.85</v>
      </c>
      <c r="H51" s="7">
        <v>200.02</v>
      </c>
      <c r="I51" s="7">
        <f t="shared" si="3"/>
        <v>188.17000000000002</v>
      </c>
      <c r="J51" s="7">
        <v>176.49</v>
      </c>
      <c r="K51" s="5">
        <f t="shared" si="4"/>
        <v>6.2071531062337284</v>
      </c>
      <c r="L51" s="4">
        <f t="shared" si="5"/>
        <v>3237.2948957502026</v>
      </c>
      <c r="M51" s="2">
        <v>41957</v>
      </c>
      <c r="N51" s="7">
        <v>1.71</v>
      </c>
      <c r="O51" s="7">
        <f t="shared" si="6"/>
        <v>3.6099077585142592</v>
      </c>
      <c r="P51" s="7">
        <v>1.2520000000000002</v>
      </c>
      <c r="Q51" s="7">
        <v>1.8740000000000001</v>
      </c>
      <c r="R51" s="6">
        <f t="shared" si="7"/>
        <v>0.34682326634165572</v>
      </c>
      <c r="S51" s="6">
        <f t="shared" si="8"/>
        <v>0.51912683795867631</v>
      </c>
      <c r="T51" s="6">
        <f t="shared" si="9"/>
        <v>0.13404989569966796</v>
      </c>
      <c r="U51" s="4">
        <f t="shared" si="0"/>
        <v>1197.0733665083767</v>
      </c>
      <c r="V51" s="4">
        <f t="shared" si="1"/>
        <v>1791.7855342146145</v>
      </c>
      <c r="W51" s="4">
        <f t="shared" si="10"/>
        <v>2988.8589007229912</v>
      </c>
      <c r="X51" s="4">
        <f t="shared" si="11"/>
        <v>1122.769189855255</v>
      </c>
      <c r="Y51" s="4">
        <f t="shared" si="12"/>
        <v>1680.5666627705655</v>
      </c>
      <c r="Z51" s="4">
        <f t="shared" si="13"/>
        <v>2803.3358526258207</v>
      </c>
      <c r="AA51" s="3"/>
      <c r="AE51" s="3"/>
      <c r="AF51" s="3"/>
      <c r="AG51" s="7"/>
      <c r="AH51" s="7"/>
      <c r="AI51" s="7"/>
      <c r="AJ51" s="7"/>
      <c r="AK51" s="7"/>
      <c r="AL51" s="3"/>
      <c r="AM51" s="9"/>
      <c r="AN51" s="7"/>
      <c r="AO51" s="7"/>
      <c r="AP51" s="7"/>
      <c r="AQ51" s="7"/>
      <c r="AR51" s="9"/>
      <c r="AS51" s="9"/>
      <c r="AT51" s="9"/>
      <c r="AU51" s="3"/>
      <c r="AV51" s="3"/>
      <c r="AW51" s="3"/>
      <c r="AX51" s="3"/>
      <c r="AY51" s="3"/>
      <c r="AZ51" s="3"/>
    </row>
    <row r="52" spans="1:52" x14ac:dyDescent="0.3">
      <c r="A52">
        <v>12</v>
      </c>
      <c r="B52" s="1" t="s">
        <v>50</v>
      </c>
      <c r="C52" s="1" t="s">
        <v>160</v>
      </c>
      <c r="D52" s="2">
        <v>41955</v>
      </c>
      <c r="E52" s="3">
        <v>25.299999999999997</v>
      </c>
      <c r="F52" s="4">
        <f t="shared" si="2"/>
        <v>3868.2038075719984</v>
      </c>
      <c r="G52" s="7">
        <v>11.91</v>
      </c>
      <c r="H52" s="7">
        <v>208.86</v>
      </c>
      <c r="I52" s="7">
        <f t="shared" si="3"/>
        <v>196.95000000000002</v>
      </c>
      <c r="J52" s="7">
        <v>185.65</v>
      </c>
      <c r="K52" s="5">
        <f t="shared" si="4"/>
        <v>5.7374968266057422</v>
      </c>
      <c r="L52" s="4">
        <f t="shared" si="5"/>
        <v>3646.2657368659125</v>
      </c>
      <c r="M52" s="2">
        <v>41957</v>
      </c>
      <c r="N52" s="7">
        <v>1.49</v>
      </c>
      <c r="O52" s="7">
        <f t="shared" si="6"/>
        <v>3.1248903860738282</v>
      </c>
      <c r="P52" s="7">
        <v>0.99999999999999989</v>
      </c>
      <c r="Q52" s="7">
        <v>1.6220000000000003</v>
      </c>
      <c r="R52" s="6">
        <f t="shared" si="7"/>
        <v>0.32001122485976824</v>
      </c>
      <c r="S52" s="6">
        <f t="shared" si="8"/>
        <v>0.51905820672254432</v>
      </c>
      <c r="T52" s="6">
        <f t="shared" si="9"/>
        <v>0.16093056841768749</v>
      </c>
      <c r="U52" s="4">
        <f t="shared" si="0"/>
        <v>1237.8686384683344</v>
      </c>
      <c r="V52" s="4">
        <f t="shared" si="1"/>
        <v>2007.8229315956394</v>
      </c>
      <c r="W52" s="4">
        <f t="shared" si="10"/>
        <v>3245.6915700639738</v>
      </c>
      <c r="X52" s="4">
        <f t="shared" si="11"/>
        <v>1166.8459646186661</v>
      </c>
      <c r="Y52" s="4">
        <f t="shared" si="12"/>
        <v>1892.6241546114773</v>
      </c>
      <c r="Z52" s="4">
        <f t="shared" si="13"/>
        <v>3059.4701192301436</v>
      </c>
      <c r="AA52" s="3"/>
      <c r="AB52" t="s">
        <v>28</v>
      </c>
      <c r="AC52" t="str">
        <f>C52</f>
        <v>Machine</v>
      </c>
      <c r="AD52" s="8">
        <f>D52</f>
        <v>41955</v>
      </c>
      <c r="AE52" s="3">
        <f>SUM(E52:E62)</f>
        <v>277.20000000000005</v>
      </c>
      <c r="AF52" s="3">
        <f>AE52*$A$29/($A$30*10+$A$31)*$A$32</f>
        <v>3918.797105713275</v>
      </c>
      <c r="AG52" s="7">
        <f>SUM(G52:G62)</f>
        <v>130.97</v>
      </c>
      <c r="AH52" s="7">
        <f>SUM(H52:H62)</f>
        <v>2403.21</v>
      </c>
      <c r="AI52" s="7">
        <f>AH52-AG52</f>
        <v>2272.2400000000002</v>
      </c>
      <c r="AJ52" s="7">
        <f>SUM(J52:J62)</f>
        <v>2136.6</v>
      </c>
      <c r="AK52" s="7">
        <f>(AI52-AJ52)/AI52*100</f>
        <v>5.9694398479034048</v>
      </c>
      <c r="AL52" s="3">
        <f>AF52*(1-AK52/100)</f>
        <v>3684.8668697263415</v>
      </c>
      <c r="AM52" s="11">
        <f>M52</f>
        <v>41957</v>
      </c>
      <c r="AN52" s="7">
        <f>SUM(N52:N62)</f>
        <v>13.36</v>
      </c>
      <c r="AO52" s="7">
        <f>AN52/$A$29-$A$33*10</f>
        <v>27.853782253655265</v>
      </c>
      <c r="AP52" s="7">
        <f>SUM(P52:P62)</f>
        <v>10.189</v>
      </c>
      <c r="AQ52" s="7">
        <f>SUM(Q52:Q62)</f>
        <v>15.023</v>
      </c>
      <c r="AR52" s="9">
        <f>AP52/AO52</f>
        <v>0.36580310376566161</v>
      </c>
      <c r="AS52" s="9">
        <f>AQ52/AO52</f>
        <v>0.53935224535003767</v>
      </c>
      <c r="AT52" s="9">
        <f>1-AR52-AS52</f>
        <v>9.4844650884300719E-2</v>
      </c>
      <c r="AU52" s="3">
        <f>AF52*AR52</f>
        <v>1433.5081442978076</v>
      </c>
      <c r="AV52" s="3">
        <f>AF52*AS52</f>
        <v>2113.6120180376838</v>
      </c>
      <c r="AW52" s="3">
        <f>AU52+AV52</f>
        <v>3547.1201623354914</v>
      </c>
      <c r="AX52" s="3">
        <f>AL52*AR52</f>
        <v>1347.9357379091537</v>
      </c>
      <c r="AY52" s="3">
        <f>AL52*AS52</f>
        <v>1987.4412200028671</v>
      </c>
      <c r="AZ52" s="3">
        <f>AX52+AY52</f>
        <v>3335.3769579120208</v>
      </c>
    </row>
    <row r="53" spans="1:52" x14ac:dyDescent="0.3">
      <c r="A53">
        <v>13</v>
      </c>
      <c r="B53" s="1" t="s">
        <v>51</v>
      </c>
      <c r="C53" s="1" t="s">
        <v>160</v>
      </c>
      <c r="D53" s="2">
        <v>41955</v>
      </c>
      <c r="E53" s="3">
        <v>29.8</v>
      </c>
      <c r="F53" s="4">
        <f t="shared" si="2"/>
        <v>4556.224247653975</v>
      </c>
      <c r="G53" s="7">
        <v>11.93</v>
      </c>
      <c r="H53" s="7">
        <v>212.84</v>
      </c>
      <c r="I53" s="7">
        <f t="shared" si="3"/>
        <v>200.91</v>
      </c>
      <c r="J53" s="7">
        <v>187.76</v>
      </c>
      <c r="K53" s="5">
        <f t="shared" si="4"/>
        <v>6.5452192524015755</v>
      </c>
      <c r="L53" s="4">
        <f t="shared" si="5"/>
        <v>4258.0093810139379</v>
      </c>
      <c r="M53" s="2">
        <v>41957</v>
      </c>
      <c r="N53" s="7">
        <v>1.36</v>
      </c>
      <c r="O53" s="7">
        <f t="shared" si="6"/>
        <v>2.8382892114499376</v>
      </c>
      <c r="P53" s="7">
        <v>1.0630000000000002</v>
      </c>
      <c r="Q53" s="7">
        <v>1.5589999999999997</v>
      </c>
      <c r="R53" s="6">
        <f t="shared" si="7"/>
        <v>0.37452138270890567</v>
      </c>
      <c r="S53" s="6">
        <f t="shared" si="8"/>
        <v>0.5492745396455162</v>
      </c>
      <c r="T53" s="6">
        <f t="shared" si="9"/>
        <v>7.6204077645578128E-2</v>
      </c>
      <c r="U53" s="4">
        <f t="shared" si="0"/>
        <v>1706.4034051632102</v>
      </c>
      <c r="V53" s="4">
        <f t="shared" si="1"/>
        <v>2502.6179761518756</v>
      </c>
      <c r="W53" s="4">
        <f t="shared" si="10"/>
        <v>4209.0213813150858</v>
      </c>
      <c r="X53" s="4">
        <f t="shared" si="11"/>
        <v>1594.7155609648316</v>
      </c>
      <c r="Y53" s="4">
        <f t="shared" si="12"/>
        <v>2338.81614256272</v>
      </c>
      <c r="Z53" s="4">
        <f t="shared" si="13"/>
        <v>3933.5317035275516</v>
      </c>
      <c r="AA53" s="3"/>
      <c r="AE53" s="3"/>
      <c r="AF53" s="3"/>
      <c r="AG53" s="7"/>
      <c r="AH53" s="7"/>
      <c r="AI53" s="7"/>
      <c r="AJ53" s="7"/>
      <c r="AK53" s="7"/>
      <c r="AL53" s="3"/>
      <c r="AM53" s="9"/>
      <c r="AN53" s="7"/>
      <c r="AO53" s="7"/>
      <c r="AP53" s="7"/>
      <c r="AQ53" s="7"/>
      <c r="AR53" s="9"/>
      <c r="AS53" s="9"/>
      <c r="AT53" s="9"/>
      <c r="AU53" s="3"/>
      <c r="AV53" s="3"/>
      <c r="AW53" s="3"/>
      <c r="AX53" s="3"/>
      <c r="AY53" s="3"/>
      <c r="AZ53" s="3"/>
    </row>
    <row r="54" spans="1:52" x14ac:dyDescent="0.3">
      <c r="A54">
        <v>14</v>
      </c>
      <c r="B54" s="1" t="s">
        <v>52</v>
      </c>
      <c r="C54" s="1" t="s">
        <v>160</v>
      </c>
      <c r="D54" s="2">
        <v>41955</v>
      </c>
      <c r="E54" s="3">
        <v>27.4</v>
      </c>
      <c r="F54" s="4">
        <f t="shared" si="2"/>
        <v>4189.2800129435873</v>
      </c>
      <c r="G54" s="7">
        <v>11.88</v>
      </c>
      <c r="H54" s="7">
        <v>233.28</v>
      </c>
      <c r="I54" s="7">
        <f t="shared" si="3"/>
        <v>221.4</v>
      </c>
      <c r="J54" s="7">
        <v>209.33</v>
      </c>
      <c r="K54" s="5">
        <f t="shared" si="4"/>
        <v>5.4516711833784974</v>
      </c>
      <c r="L54" s="4">
        <f t="shared" si="5"/>
        <v>3960.8942416869068</v>
      </c>
      <c r="M54" s="2">
        <v>41957</v>
      </c>
      <c r="N54" s="7">
        <v>1.22</v>
      </c>
      <c r="O54" s="7">
        <f t="shared" si="6"/>
        <v>2.5296417926242083</v>
      </c>
      <c r="P54" s="7">
        <v>0.93699999999999994</v>
      </c>
      <c r="Q54" s="7">
        <v>1.3699999999999997</v>
      </c>
      <c r="R54" s="6">
        <f t="shared" si="7"/>
        <v>0.37040817507524326</v>
      </c>
      <c r="S54" s="6">
        <f t="shared" si="8"/>
        <v>0.54157865512602255</v>
      </c>
      <c r="T54" s="6">
        <f t="shared" si="9"/>
        <v>8.8013169798734192E-2</v>
      </c>
      <c r="U54" s="4">
        <f t="shared" si="0"/>
        <v>1551.7435644736256</v>
      </c>
      <c r="V54" s="4">
        <f t="shared" si="1"/>
        <v>2268.8246353563145</v>
      </c>
      <c r="W54" s="4">
        <f t="shared" si="10"/>
        <v>3820.5681998299401</v>
      </c>
      <c r="X54" s="4">
        <f t="shared" si="11"/>
        <v>1467.1476077292866</v>
      </c>
      <c r="Y54" s="4">
        <f t="shared" si="12"/>
        <v>2145.1357765092021</v>
      </c>
      <c r="Z54" s="4">
        <f t="shared" si="13"/>
        <v>3612.2833842384889</v>
      </c>
      <c r="AA54" s="3"/>
      <c r="AE54" s="3"/>
      <c r="AF54" s="3"/>
      <c r="AG54" s="7"/>
      <c r="AH54" s="7"/>
      <c r="AI54" s="7"/>
      <c r="AJ54" s="7"/>
      <c r="AK54" s="7"/>
      <c r="AL54" s="3"/>
      <c r="AM54" s="9"/>
      <c r="AN54" s="7"/>
      <c r="AO54" s="7"/>
      <c r="AP54" s="7"/>
      <c r="AQ54" s="7"/>
      <c r="AR54" s="9"/>
      <c r="AS54" s="9"/>
      <c r="AT54" s="9"/>
      <c r="AU54" s="3"/>
      <c r="AV54" s="3"/>
      <c r="AW54" s="3"/>
      <c r="AX54" s="3"/>
      <c r="AY54" s="3"/>
      <c r="AZ54" s="3"/>
    </row>
    <row r="55" spans="1:52" x14ac:dyDescent="0.3">
      <c r="A55">
        <v>15</v>
      </c>
      <c r="B55" s="1" t="s">
        <v>53</v>
      </c>
      <c r="C55" s="1" t="s">
        <v>160</v>
      </c>
      <c r="D55" s="2">
        <v>41955</v>
      </c>
      <c r="E55" s="3">
        <v>26.900000000000002</v>
      </c>
      <c r="F55" s="4">
        <f t="shared" si="2"/>
        <v>4112.8332973789238</v>
      </c>
      <c r="G55" s="7">
        <v>11.88</v>
      </c>
      <c r="H55" s="7">
        <v>199.85</v>
      </c>
      <c r="I55" s="7">
        <f t="shared" si="3"/>
        <v>187.97</v>
      </c>
      <c r="J55" s="7">
        <v>177.53</v>
      </c>
      <c r="K55" s="5">
        <f t="shared" si="4"/>
        <v>5.5540777783688879</v>
      </c>
      <c r="L55" s="4">
        <f t="shared" si="5"/>
        <v>3884.4033371478445</v>
      </c>
      <c r="M55" s="2">
        <v>41957</v>
      </c>
      <c r="N55" s="7">
        <v>1.32</v>
      </c>
      <c r="O55" s="7">
        <f t="shared" si="6"/>
        <v>2.7501042346425861</v>
      </c>
      <c r="P55" s="7">
        <v>0.99999999999999989</v>
      </c>
      <c r="Q55" s="7">
        <v>1.4330000000000003</v>
      </c>
      <c r="R55" s="6">
        <f t="shared" si="7"/>
        <v>0.36362258106553685</v>
      </c>
      <c r="S55" s="6">
        <f t="shared" si="8"/>
        <v>0.52107115866691445</v>
      </c>
      <c r="T55" s="6">
        <f t="shared" si="9"/>
        <v>0.11530626026754864</v>
      </c>
      <c r="U55" s="4">
        <f t="shared" si="0"/>
        <v>1495.5190590852069</v>
      </c>
      <c r="V55" s="4">
        <f t="shared" si="1"/>
        <v>2143.0788116691019</v>
      </c>
      <c r="W55" s="4">
        <f t="shared" si="10"/>
        <v>3638.597870754309</v>
      </c>
      <c r="X55" s="4">
        <f t="shared" si="11"/>
        <v>1412.456767353284</v>
      </c>
      <c r="Y55" s="4">
        <f t="shared" si="12"/>
        <v>2024.0505476172564</v>
      </c>
      <c r="Z55" s="4">
        <f t="shared" si="13"/>
        <v>3436.5073149705404</v>
      </c>
      <c r="AA55" s="3"/>
      <c r="AE55" s="3"/>
      <c r="AF55" s="3"/>
      <c r="AG55" s="7"/>
      <c r="AH55" s="7"/>
      <c r="AI55" s="7"/>
      <c r="AJ55" s="7"/>
      <c r="AK55" s="7"/>
      <c r="AL55" s="3"/>
      <c r="AM55" s="9"/>
      <c r="AN55" s="7"/>
      <c r="AO55" s="7"/>
      <c r="AP55" s="7"/>
      <c r="AQ55" s="7"/>
      <c r="AR55" s="9"/>
      <c r="AS55" s="9"/>
      <c r="AT55" s="9"/>
      <c r="AU55" s="3"/>
      <c r="AV55" s="3"/>
      <c r="AW55" s="3"/>
      <c r="AX55" s="3"/>
      <c r="AY55" s="3"/>
      <c r="AZ55" s="3"/>
    </row>
    <row r="56" spans="1:52" x14ac:dyDescent="0.3">
      <c r="A56">
        <v>16</v>
      </c>
      <c r="B56" s="1" t="s">
        <v>54</v>
      </c>
      <c r="C56" s="1" t="s">
        <v>160</v>
      </c>
      <c r="D56" s="2">
        <v>41955</v>
      </c>
      <c r="E56" s="3">
        <v>32.200000000000003</v>
      </c>
      <c r="F56" s="4">
        <f t="shared" si="2"/>
        <v>4923.1684823643627</v>
      </c>
      <c r="G56" s="7">
        <v>11.94</v>
      </c>
      <c r="H56" s="7">
        <v>241.44</v>
      </c>
      <c r="I56" s="7">
        <f t="shared" si="3"/>
        <v>229.5</v>
      </c>
      <c r="J56" s="7">
        <v>218.1</v>
      </c>
      <c r="K56" s="5">
        <f t="shared" si="4"/>
        <v>4.9673202614379113</v>
      </c>
      <c r="L56" s="4">
        <f t="shared" si="5"/>
        <v>4678.6189368351525</v>
      </c>
      <c r="M56" s="2">
        <v>41957</v>
      </c>
      <c r="N56" s="7"/>
      <c r="O56" s="7"/>
      <c r="P56" s="7"/>
      <c r="Q56" s="7"/>
      <c r="R56" s="6"/>
      <c r="S56" s="6"/>
      <c r="T56" s="6"/>
      <c r="U56" s="4"/>
      <c r="V56" s="4"/>
      <c r="W56" s="4"/>
      <c r="X56" s="4"/>
      <c r="Y56" s="4"/>
      <c r="Z56" s="4"/>
      <c r="AA56" s="3"/>
      <c r="AE56" s="3"/>
      <c r="AF56" s="3"/>
      <c r="AG56" s="7"/>
      <c r="AH56" s="7"/>
      <c r="AI56" s="7"/>
      <c r="AJ56" s="7"/>
      <c r="AK56" s="7"/>
      <c r="AL56" s="3"/>
      <c r="AM56" s="9"/>
      <c r="AN56" s="7"/>
      <c r="AO56" s="7"/>
      <c r="AP56" s="7"/>
      <c r="AQ56" s="7"/>
      <c r="AR56" s="9"/>
      <c r="AS56" s="9"/>
      <c r="AT56" s="9"/>
      <c r="AU56" s="3"/>
      <c r="AV56" s="3"/>
      <c r="AW56" s="3"/>
      <c r="AX56" s="3"/>
      <c r="AY56" s="3"/>
      <c r="AZ56" s="3"/>
    </row>
    <row r="57" spans="1:52" x14ac:dyDescent="0.3">
      <c r="A57">
        <v>17</v>
      </c>
      <c r="B57" s="1" t="s">
        <v>55</v>
      </c>
      <c r="C57" s="1" t="s">
        <v>160</v>
      </c>
      <c r="D57" s="2">
        <v>41955</v>
      </c>
      <c r="E57" s="3">
        <v>25.7</v>
      </c>
      <c r="F57" s="4">
        <f t="shared" si="2"/>
        <v>3929.3611800237295</v>
      </c>
      <c r="G57" s="7">
        <v>11.88</v>
      </c>
      <c r="H57" s="7">
        <v>208.98</v>
      </c>
      <c r="I57" s="7">
        <f t="shared" si="3"/>
        <v>197.1</v>
      </c>
      <c r="J57" s="7">
        <v>185.85</v>
      </c>
      <c r="K57" s="5">
        <f t="shared" si="4"/>
        <v>5.7077625570776256</v>
      </c>
      <c r="L57" s="4">
        <f t="shared" si="5"/>
        <v>3705.0825738579915</v>
      </c>
      <c r="M57" s="2">
        <v>41957</v>
      </c>
      <c r="N57" s="7">
        <v>1.34</v>
      </c>
      <c r="O57" s="7">
        <f t="shared" si="6"/>
        <v>2.7941967230462619</v>
      </c>
      <c r="P57" s="7">
        <v>1.0630000000000002</v>
      </c>
      <c r="Q57" s="7">
        <v>1.496</v>
      </c>
      <c r="R57" s="6">
        <f t="shared" si="7"/>
        <v>0.38043133872160106</v>
      </c>
      <c r="S57" s="6">
        <f t="shared" si="8"/>
        <v>0.53539537415570559</v>
      </c>
      <c r="T57" s="6">
        <f t="shared" si="9"/>
        <v>8.4173287122693341E-2</v>
      </c>
      <c r="U57" s="4">
        <f t="shared" ref="U57:U88" si="14">F57*R57</f>
        <v>1494.8521340371176</v>
      </c>
      <c r="V57" s="4">
        <f t="shared" ref="V57:V88" si="15">F57*S57</f>
        <v>2103.7617991717093</v>
      </c>
      <c r="W57" s="4">
        <f t="shared" si="10"/>
        <v>3598.6139332088269</v>
      </c>
      <c r="X57" s="4">
        <f t="shared" si="11"/>
        <v>1409.529523646871</v>
      </c>
      <c r="Y57" s="4">
        <f t="shared" si="12"/>
        <v>1983.684070908484</v>
      </c>
      <c r="Z57" s="4">
        <f t="shared" si="13"/>
        <v>3393.213594555355</v>
      </c>
      <c r="AA57" s="3"/>
      <c r="AE57" s="3"/>
      <c r="AF57" s="3"/>
      <c r="AG57" s="7"/>
      <c r="AH57" s="7"/>
      <c r="AI57" s="7"/>
      <c r="AJ57" s="7"/>
      <c r="AK57" s="7"/>
      <c r="AL57" s="3"/>
      <c r="AM57" s="9"/>
      <c r="AN57" s="7"/>
      <c r="AO57" s="7"/>
      <c r="AP57" s="7"/>
      <c r="AQ57" s="7"/>
      <c r="AR57" s="9"/>
      <c r="AS57" s="9"/>
      <c r="AT57" s="9"/>
      <c r="AU57" s="3"/>
      <c r="AV57" s="3"/>
      <c r="AW57" s="3"/>
      <c r="AX57" s="3"/>
      <c r="AY57" s="3"/>
      <c r="AZ57" s="3"/>
    </row>
    <row r="58" spans="1:52" x14ac:dyDescent="0.3">
      <c r="A58">
        <v>18</v>
      </c>
      <c r="B58" s="1" t="s">
        <v>56</v>
      </c>
      <c r="C58" s="1" t="s">
        <v>160</v>
      </c>
      <c r="D58" s="2">
        <v>41955</v>
      </c>
      <c r="E58" s="3">
        <v>27.8</v>
      </c>
      <c r="F58" s="4">
        <f t="shared" si="2"/>
        <v>4250.4373853953184</v>
      </c>
      <c r="G58" s="7">
        <v>11.85</v>
      </c>
      <c r="H58" s="7">
        <v>241.51</v>
      </c>
      <c r="I58" s="7">
        <f t="shared" si="3"/>
        <v>229.66</v>
      </c>
      <c r="J58" s="7">
        <v>215.83</v>
      </c>
      <c r="K58" s="5">
        <f t="shared" si="4"/>
        <v>6.0219454846294456</v>
      </c>
      <c r="L58" s="4">
        <f t="shared" si="5"/>
        <v>3994.4783631885034</v>
      </c>
      <c r="M58" s="2">
        <v>41957</v>
      </c>
      <c r="N58" s="7">
        <v>1.38</v>
      </c>
      <c r="O58" s="7">
        <f t="shared" si="6"/>
        <v>2.8823816998536125</v>
      </c>
      <c r="P58" s="7">
        <v>1.0630000000000002</v>
      </c>
      <c r="Q58" s="7">
        <v>1.6220000000000003</v>
      </c>
      <c r="R58" s="6">
        <f t="shared" si="7"/>
        <v>0.36879223874269906</v>
      </c>
      <c r="S58" s="6">
        <f t="shared" si="8"/>
        <v>0.56272907924803184</v>
      </c>
      <c r="T58" s="6">
        <f t="shared" si="9"/>
        <v>6.8478682009269098E-2</v>
      </c>
      <c r="U58" s="4">
        <f t="shared" si="14"/>
        <v>1567.528318995604</v>
      </c>
      <c r="V58" s="4">
        <f t="shared" si="15"/>
        <v>2391.8447162849193</v>
      </c>
      <c r="W58" s="4">
        <f t="shared" si="10"/>
        <v>3959.3730352805233</v>
      </c>
      <c r="X58" s="4">
        <f t="shared" si="11"/>
        <v>1473.1326181695604</v>
      </c>
      <c r="Y58" s="4">
        <f t="shared" si="12"/>
        <v>2247.8091313932518</v>
      </c>
      <c r="Z58" s="4">
        <f t="shared" si="13"/>
        <v>3720.9417495628122</v>
      </c>
      <c r="AA58" s="3"/>
      <c r="AE58" s="3"/>
      <c r="AF58" s="3"/>
      <c r="AG58" s="7"/>
      <c r="AH58" s="7"/>
      <c r="AI58" s="7"/>
      <c r="AJ58" s="7"/>
      <c r="AK58" s="7"/>
      <c r="AL58" s="3"/>
      <c r="AM58" s="9"/>
      <c r="AN58" s="7"/>
      <c r="AO58" s="7"/>
      <c r="AP58" s="7"/>
      <c r="AQ58" s="7"/>
      <c r="AR58" s="9"/>
      <c r="AS58" s="9"/>
      <c r="AT58" s="9"/>
      <c r="AU58" s="3"/>
      <c r="AV58" s="3"/>
      <c r="AW58" s="3"/>
      <c r="AX58" s="3"/>
      <c r="AY58" s="3"/>
      <c r="AZ58" s="3"/>
    </row>
    <row r="59" spans="1:52" x14ac:dyDescent="0.3">
      <c r="A59">
        <v>19</v>
      </c>
      <c r="B59" s="1" t="s">
        <v>57</v>
      </c>
      <c r="C59" s="1" t="s">
        <v>160</v>
      </c>
      <c r="D59" s="2">
        <v>41955</v>
      </c>
      <c r="E59" s="3">
        <v>23.900000000000002</v>
      </c>
      <c r="F59" s="4">
        <f t="shared" si="2"/>
        <v>3654.1530039909399</v>
      </c>
      <c r="G59" s="7">
        <v>11.93</v>
      </c>
      <c r="H59" s="7">
        <v>214.74</v>
      </c>
      <c r="I59" s="7">
        <f t="shared" si="3"/>
        <v>202.81</v>
      </c>
      <c r="J59" s="7">
        <v>191.26</v>
      </c>
      <c r="K59" s="5">
        <f t="shared" si="4"/>
        <v>5.6949854543661607</v>
      </c>
      <c r="L59" s="4">
        <f t="shared" si="5"/>
        <v>3446.0495219333716</v>
      </c>
      <c r="M59" s="2">
        <v>41957</v>
      </c>
      <c r="N59" s="7">
        <v>1.39</v>
      </c>
      <c r="O59" s="7">
        <f t="shared" si="6"/>
        <v>2.9044279440554504</v>
      </c>
      <c r="P59" s="7">
        <v>0.99999999999999989</v>
      </c>
      <c r="Q59" s="7">
        <v>1.496</v>
      </c>
      <c r="R59" s="6">
        <f t="shared" si="7"/>
        <v>0.34430187949634611</v>
      </c>
      <c r="S59" s="6">
        <f t="shared" si="8"/>
        <v>0.51507561172653382</v>
      </c>
      <c r="T59" s="6">
        <f t="shared" si="9"/>
        <v>0.14062250877712001</v>
      </c>
      <c r="U59" s="4">
        <f t="shared" si="14"/>
        <v>1258.1317472412998</v>
      </c>
      <c r="V59" s="4">
        <f t="shared" si="15"/>
        <v>1882.1650938729845</v>
      </c>
      <c r="W59" s="4">
        <f t="shared" si="10"/>
        <v>3140.2968411142842</v>
      </c>
      <c r="X59" s="4">
        <f t="shared" si="11"/>
        <v>1186.4813272391448</v>
      </c>
      <c r="Y59" s="4">
        <f t="shared" si="12"/>
        <v>1774.9760655497607</v>
      </c>
      <c r="Z59" s="4">
        <f t="shared" si="13"/>
        <v>2961.4573927889055</v>
      </c>
      <c r="AA59" s="3"/>
      <c r="AE59" s="3"/>
      <c r="AF59" s="3"/>
      <c r="AG59" s="7"/>
      <c r="AH59" s="7"/>
      <c r="AI59" s="7"/>
      <c r="AJ59" s="7"/>
      <c r="AK59" s="7"/>
      <c r="AL59" s="3"/>
      <c r="AM59" s="9"/>
      <c r="AN59" s="7"/>
      <c r="AO59" s="7"/>
      <c r="AP59" s="7"/>
      <c r="AQ59" s="7"/>
      <c r="AR59" s="9"/>
      <c r="AS59" s="9"/>
      <c r="AT59" s="9"/>
      <c r="AU59" s="3"/>
      <c r="AV59" s="3"/>
      <c r="AW59" s="3"/>
      <c r="AX59" s="3"/>
      <c r="AY59" s="3"/>
      <c r="AZ59" s="3"/>
    </row>
    <row r="60" spans="1:52" x14ac:dyDescent="0.3">
      <c r="A60">
        <v>20</v>
      </c>
      <c r="B60" s="1" t="s">
        <v>58</v>
      </c>
      <c r="C60" s="1" t="s">
        <v>160</v>
      </c>
      <c r="D60" s="2">
        <v>41955</v>
      </c>
      <c r="E60" s="3">
        <v>27.9</v>
      </c>
      <c r="F60" s="4">
        <f t="shared" si="2"/>
        <v>4265.7267285082507</v>
      </c>
      <c r="G60" s="7">
        <v>11.93</v>
      </c>
      <c r="H60" s="7">
        <v>190.91</v>
      </c>
      <c r="I60" s="7">
        <f t="shared" si="3"/>
        <v>178.98</v>
      </c>
      <c r="J60" s="7">
        <v>168.25</v>
      </c>
      <c r="K60" s="5">
        <f t="shared" si="4"/>
        <v>5.9950832495250816</v>
      </c>
      <c r="L60" s="4">
        <f t="shared" si="5"/>
        <v>4009.9928599369387</v>
      </c>
      <c r="M60" s="2">
        <v>41957</v>
      </c>
      <c r="N60" s="7">
        <v>1.25</v>
      </c>
      <c r="O60" s="7">
        <f t="shared" si="6"/>
        <v>2.5957805252297219</v>
      </c>
      <c r="P60" s="7">
        <v>0.99999999999999989</v>
      </c>
      <c r="Q60" s="7">
        <v>1.3699999999999997</v>
      </c>
      <c r="R60" s="6">
        <f t="shared" si="7"/>
        <v>0.38524058189068267</v>
      </c>
      <c r="S60" s="6">
        <f t="shared" si="8"/>
        <v>0.52777959719023515</v>
      </c>
      <c r="T60" s="6">
        <f t="shared" si="9"/>
        <v>8.6979820919082185E-2</v>
      </c>
      <c r="U60" s="4">
        <f t="shared" si="14"/>
        <v>1643.3310470771567</v>
      </c>
      <c r="V60" s="4">
        <f t="shared" si="15"/>
        <v>2251.3635344957042</v>
      </c>
      <c r="W60" s="4">
        <f t="shared" si="10"/>
        <v>3894.6945815728609</v>
      </c>
      <c r="X60" s="4">
        <f t="shared" si="11"/>
        <v>1544.811982739589</v>
      </c>
      <c r="Y60" s="4">
        <f t="shared" si="12"/>
        <v>2116.3924163532365</v>
      </c>
      <c r="Z60" s="4">
        <f t="shared" si="13"/>
        <v>3661.2043990928255</v>
      </c>
      <c r="AA60" s="3"/>
      <c r="AE60" s="3"/>
      <c r="AF60" s="3"/>
      <c r="AG60" s="7"/>
      <c r="AH60" s="7"/>
      <c r="AI60" s="7"/>
      <c r="AJ60" s="7"/>
      <c r="AK60" s="7"/>
      <c r="AL60" s="3"/>
      <c r="AM60" s="9"/>
      <c r="AN60" s="7"/>
      <c r="AO60" s="7"/>
      <c r="AP60" s="7"/>
      <c r="AQ60" s="7"/>
      <c r="AR60" s="9"/>
      <c r="AS60" s="9"/>
      <c r="AT60" s="9"/>
      <c r="AU60" s="3"/>
      <c r="AV60" s="3"/>
      <c r="AW60" s="3"/>
      <c r="AX60" s="3"/>
      <c r="AY60" s="3"/>
      <c r="AZ60" s="3"/>
    </row>
    <row r="61" spans="1:52" x14ac:dyDescent="0.3">
      <c r="A61">
        <v>21</v>
      </c>
      <c r="B61" s="1" t="s">
        <v>59</v>
      </c>
      <c r="C61" s="1" t="s">
        <v>160</v>
      </c>
      <c r="D61" s="2">
        <v>41955</v>
      </c>
      <c r="E61" s="3">
        <v>19</v>
      </c>
      <c r="F61" s="4">
        <f t="shared" si="2"/>
        <v>2904.9751914572321</v>
      </c>
      <c r="G61" s="7">
        <v>11.95</v>
      </c>
      <c r="H61" s="7">
        <v>221.25</v>
      </c>
      <c r="I61" s="7">
        <f t="shared" si="3"/>
        <v>209.3</v>
      </c>
      <c r="J61" s="7">
        <v>192.65</v>
      </c>
      <c r="K61" s="5">
        <f t="shared" si="4"/>
        <v>7.9550883898710012</v>
      </c>
      <c r="L61" s="4">
        <f t="shared" si="5"/>
        <v>2673.8818472729849</v>
      </c>
      <c r="M61" s="2">
        <v>41957</v>
      </c>
      <c r="N61" s="7">
        <v>1.34</v>
      </c>
      <c r="O61" s="7">
        <f t="shared" si="6"/>
        <v>2.7941967230462619</v>
      </c>
      <c r="P61" s="7">
        <v>1.1259999999999999</v>
      </c>
      <c r="Q61" s="7">
        <v>1.6220000000000003</v>
      </c>
      <c r="R61" s="6">
        <f t="shared" si="7"/>
        <v>0.40297806905035061</v>
      </c>
      <c r="S61" s="6">
        <f t="shared" si="8"/>
        <v>0.58048883481320501</v>
      </c>
      <c r="T61" s="6">
        <f t="shared" si="9"/>
        <v>1.6533096136444381E-2</v>
      </c>
      <c r="U61" s="4">
        <f t="shared" si="14"/>
        <v>1170.641293292608</v>
      </c>
      <c r="V61" s="4">
        <f t="shared" si="15"/>
        <v>1686.3056640502757</v>
      </c>
      <c r="W61" s="4">
        <f t="shared" si="10"/>
        <v>2856.9469573428837</v>
      </c>
      <c r="X61" s="4">
        <f t="shared" si="11"/>
        <v>1077.515743682852</v>
      </c>
      <c r="Y61" s="4">
        <f t="shared" si="12"/>
        <v>1552.1585579516752</v>
      </c>
      <c r="Z61" s="4">
        <f t="shared" si="13"/>
        <v>2629.6743016345272</v>
      </c>
      <c r="AA61" s="3"/>
      <c r="AE61" s="3"/>
      <c r="AF61" s="3"/>
      <c r="AG61" s="7"/>
      <c r="AH61" s="7"/>
      <c r="AI61" s="7"/>
      <c r="AJ61" s="7"/>
      <c r="AK61" s="7"/>
      <c r="AL61" s="3"/>
      <c r="AM61" s="9"/>
      <c r="AN61" s="7"/>
      <c r="AO61" s="7"/>
      <c r="AP61" s="7"/>
      <c r="AQ61" s="7"/>
      <c r="AR61" s="9"/>
      <c r="AS61" s="9"/>
      <c r="AT61" s="9"/>
      <c r="AU61" s="3"/>
      <c r="AV61" s="3"/>
      <c r="AW61" s="3"/>
      <c r="AX61" s="3"/>
      <c r="AY61" s="3"/>
      <c r="AZ61" s="3"/>
    </row>
    <row r="62" spans="1:52" x14ac:dyDescent="0.3">
      <c r="A62">
        <v>22</v>
      </c>
      <c r="B62" s="1" t="s">
        <v>60</v>
      </c>
      <c r="C62" s="1" t="s">
        <v>160</v>
      </c>
      <c r="D62" s="2">
        <v>41955</v>
      </c>
      <c r="E62" s="3">
        <v>11.3</v>
      </c>
      <c r="F62" s="4">
        <f>E62*$A$29/$A$31*$A$32</f>
        <v>2119.6939720770201</v>
      </c>
      <c r="G62" s="7">
        <v>11.89</v>
      </c>
      <c r="H62" s="7">
        <v>229.55</v>
      </c>
      <c r="I62" s="7">
        <f t="shared" si="3"/>
        <v>217.66000000000003</v>
      </c>
      <c r="J62" s="7">
        <v>204.39</v>
      </c>
      <c r="K62" s="5">
        <f t="shared" si="4"/>
        <v>6.0966645226500216</v>
      </c>
      <c r="L62" s="4">
        <f t="shared" si="5"/>
        <v>1990.4633416926495</v>
      </c>
      <c r="M62" s="2">
        <v>41957</v>
      </c>
      <c r="N62" s="7">
        <v>1.27</v>
      </c>
      <c r="O62" s="7">
        <f t="shared" si="6"/>
        <v>2.6398730136333972</v>
      </c>
      <c r="P62" s="7">
        <v>0.93699999999999994</v>
      </c>
      <c r="Q62" s="7">
        <v>1.4330000000000003</v>
      </c>
      <c r="R62" s="6">
        <f t="shared" si="7"/>
        <v>0.35494131541969787</v>
      </c>
      <c r="S62" s="6">
        <f t="shared" si="8"/>
        <v>0.54282914087132028</v>
      </c>
      <c r="T62" s="6">
        <f t="shared" si="9"/>
        <v>0.10222954370898185</v>
      </c>
      <c r="U62" s="4">
        <f t="shared" si="14"/>
        <v>752.3669667362218</v>
      </c>
      <c r="V62" s="4">
        <f t="shared" si="15"/>
        <v>1150.6316577726852</v>
      </c>
      <c r="W62" s="4">
        <f t="shared" si="10"/>
        <v>1902.9986245089071</v>
      </c>
      <c r="X62" s="4">
        <f t="shared" si="11"/>
        <v>706.49767679507659</v>
      </c>
      <c r="Y62" s="4">
        <f t="shared" si="12"/>
        <v>1080.4815057068781</v>
      </c>
      <c r="Z62" s="4">
        <f t="shared" si="13"/>
        <v>1786.9791825019547</v>
      </c>
      <c r="AA62" s="3"/>
      <c r="AE62" s="3"/>
      <c r="AF62" s="3"/>
      <c r="AG62" s="7"/>
      <c r="AH62" s="7"/>
      <c r="AI62" s="7"/>
      <c r="AJ62" s="7"/>
      <c r="AK62" s="7"/>
      <c r="AL62" s="3"/>
      <c r="AM62" s="9"/>
      <c r="AN62" s="7"/>
      <c r="AO62" s="7"/>
      <c r="AP62" s="7"/>
      <c r="AQ62" s="7"/>
      <c r="AR62" s="9"/>
      <c r="AS62" s="9"/>
      <c r="AT62" s="9"/>
      <c r="AU62" s="3"/>
      <c r="AV62" s="3"/>
      <c r="AW62" s="3"/>
      <c r="AX62" s="3"/>
      <c r="AY62" s="3"/>
      <c r="AZ62" s="3"/>
    </row>
    <row r="63" spans="1:52" x14ac:dyDescent="0.3">
      <c r="A63">
        <v>23</v>
      </c>
      <c r="B63" s="1" t="s">
        <v>61</v>
      </c>
      <c r="C63" s="1" t="s">
        <v>160</v>
      </c>
      <c r="D63" s="2">
        <v>41955</v>
      </c>
      <c r="E63" s="3">
        <v>43.199999999999996</v>
      </c>
      <c r="F63" s="4">
        <f t="shared" si="2"/>
        <v>6604.9962247869689</v>
      </c>
      <c r="G63" s="7">
        <v>11.96</v>
      </c>
      <c r="H63" s="7">
        <v>216.29</v>
      </c>
      <c r="I63" s="7">
        <f t="shared" si="3"/>
        <v>204.32999999999998</v>
      </c>
      <c r="J63" s="7">
        <v>193.75</v>
      </c>
      <c r="K63" s="5">
        <f t="shared" si="4"/>
        <v>5.177898497528501</v>
      </c>
      <c r="L63" s="4">
        <f t="shared" si="5"/>
        <v>6262.9962245019105</v>
      </c>
      <c r="M63" s="2">
        <v>41957</v>
      </c>
      <c r="N63" s="7">
        <v>1.7</v>
      </c>
      <c r="O63" s="7">
        <f t="shared" si="6"/>
        <v>3.5878615143124217</v>
      </c>
      <c r="P63" s="7">
        <v>1.3149999999999999</v>
      </c>
      <c r="Q63" s="7">
        <v>1.9369999999999998</v>
      </c>
      <c r="R63" s="6">
        <f t="shared" si="7"/>
        <v>0.36651358887579771</v>
      </c>
      <c r="S63" s="6">
        <f t="shared" si="8"/>
        <v>0.53987591000184043</v>
      </c>
      <c r="T63" s="6">
        <f t="shared" si="9"/>
        <v>9.36105011223618E-2</v>
      </c>
      <c r="U63" s="4">
        <f t="shared" si="14"/>
        <v>2420.8208708577672</v>
      </c>
      <c r="V63" s="4">
        <f t="shared" si="15"/>
        <v>3565.8783474155853</v>
      </c>
      <c r="W63" s="4">
        <f t="shared" si="10"/>
        <v>5986.699218273352</v>
      </c>
      <c r="X63" s="4">
        <f t="shared" si="11"/>
        <v>2295.4732233577665</v>
      </c>
      <c r="Y63" s="4">
        <f t="shared" si="12"/>
        <v>3381.2407860410599</v>
      </c>
      <c r="Z63" s="4">
        <f t="shared" si="13"/>
        <v>5676.7140093988264</v>
      </c>
      <c r="AA63" s="3"/>
      <c r="AB63" t="s">
        <v>168</v>
      </c>
      <c r="AC63" t="str">
        <f>C63</f>
        <v>Machine</v>
      </c>
      <c r="AD63" s="8">
        <f>D63</f>
        <v>41955</v>
      </c>
      <c r="AE63" s="3">
        <f>SUM(E63:E73)</f>
        <v>439.4</v>
      </c>
      <c r="AF63" s="3">
        <f>AE63*$A$29/($A$30*11)*$A$32</f>
        <v>6107.3976034751568</v>
      </c>
      <c r="AG63" s="7">
        <f>SUM(G63:G73)</f>
        <v>131.08999999999997</v>
      </c>
      <c r="AH63" s="7">
        <f>SUM(H63:H73)</f>
        <v>2505.6799999999998</v>
      </c>
      <c r="AI63" s="7">
        <f>AH63-AG63</f>
        <v>2374.5899999999997</v>
      </c>
      <c r="AJ63" s="7">
        <f>SUM(J63:J73)</f>
        <v>2247.2799999999997</v>
      </c>
      <c r="AK63" s="7">
        <f>(AI63-AJ63)/AI63*100</f>
        <v>5.3613465903587549</v>
      </c>
      <c r="AL63" s="3">
        <f>AF63*(1-AK63/100)</f>
        <v>5779.9588503015893</v>
      </c>
      <c r="AM63" s="11">
        <f>M63</f>
        <v>41957</v>
      </c>
      <c r="AN63" s="7">
        <f>SUM(N63:N73)</f>
        <v>17.41</v>
      </c>
      <c r="AO63" s="7">
        <f>AN63/$A$29-$A$33*11</f>
        <v>36.622511155399572</v>
      </c>
      <c r="AP63" s="7">
        <f>SUM(P63:P73)</f>
        <v>13.071</v>
      </c>
      <c r="AQ63" s="7">
        <f>SUM(Q63:Q73)</f>
        <v>20.047000000000001</v>
      </c>
      <c r="AR63" s="9">
        <f>AP63/AO63</f>
        <v>0.35691162587229713</v>
      </c>
      <c r="AS63" s="9">
        <f>AQ63/AO63</f>
        <v>0.54739555993129374</v>
      </c>
      <c r="AT63" s="9">
        <f>1-AR63-AS63</f>
        <v>9.5692814196409182E-2</v>
      </c>
      <c r="AU63" s="3">
        <f>AF63*AR63</f>
        <v>2179.8012085048895</v>
      </c>
      <c r="AV63" s="3">
        <f>AF63*AS63</f>
        <v>3343.1623308773251</v>
      </c>
      <c r="AW63" s="3">
        <f>AU63+AV63</f>
        <v>5522.9635393822145</v>
      </c>
      <c r="AX63" s="3">
        <f>AL63*AR63</f>
        <v>2062.9345107361137</v>
      </c>
      <c r="AY63" s="3">
        <f>AL63*AS63</f>
        <v>3163.9238112406751</v>
      </c>
      <c r="AZ63" s="3">
        <f>AX63+AY63</f>
        <v>5226.8583219767888</v>
      </c>
    </row>
    <row r="64" spans="1:52" x14ac:dyDescent="0.3">
      <c r="A64">
        <v>24</v>
      </c>
      <c r="B64" s="1" t="s">
        <v>62</v>
      </c>
      <c r="C64" s="1" t="s">
        <v>160</v>
      </c>
      <c r="D64" s="2">
        <v>41955</v>
      </c>
      <c r="E64" s="3">
        <v>39.099999999999994</v>
      </c>
      <c r="F64" s="4">
        <f t="shared" si="2"/>
        <v>5978.1331571567234</v>
      </c>
      <c r="G64" s="7">
        <v>11.87</v>
      </c>
      <c r="H64" s="7">
        <v>237.45</v>
      </c>
      <c r="I64" s="7">
        <f t="shared" si="3"/>
        <v>225.57999999999998</v>
      </c>
      <c r="J64" s="7">
        <v>212.24</v>
      </c>
      <c r="K64" s="5">
        <f t="shared" si="4"/>
        <v>5.9136448266690209</v>
      </c>
      <c r="L64" s="4">
        <f t="shared" si="5"/>
        <v>5624.6075949771393</v>
      </c>
      <c r="M64" s="2">
        <v>41957</v>
      </c>
      <c r="N64" s="7">
        <v>1.6</v>
      </c>
      <c r="O64" s="7">
        <f t="shared" si="6"/>
        <v>3.3673990722940439</v>
      </c>
      <c r="P64" s="7">
        <v>1.1259999999999999</v>
      </c>
      <c r="Q64" s="7">
        <v>1.8109999999999995</v>
      </c>
      <c r="R64" s="6">
        <f t="shared" si="7"/>
        <v>0.33438270184974284</v>
      </c>
      <c r="S64" s="6">
        <f t="shared" si="8"/>
        <v>0.53780379489332519</v>
      </c>
      <c r="T64" s="6">
        <f t="shared" si="9"/>
        <v>0.12781350325693197</v>
      </c>
      <c r="U64" s="4">
        <f t="shared" si="14"/>
        <v>1998.9843171075984</v>
      </c>
      <c r="V64" s="4">
        <f t="shared" si="15"/>
        <v>3215.0626982965009</v>
      </c>
      <c r="W64" s="4">
        <f t="shared" si="10"/>
        <v>5214.0470154040995</v>
      </c>
      <c r="X64" s="4">
        <f t="shared" si="11"/>
        <v>1880.7714844530399</v>
      </c>
      <c r="Y64" s="4">
        <f t="shared" si="12"/>
        <v>3024.9353093645245</v>
      </c>
      <c r="Z64" s="4">
        <f t="shared" si="13"/>
        <v>4905.7067938175642</v>
      </c>
      <c r="AA64" s="3"/>
      <c r="AE64" s="3"/>
      <c r="AF64" s="3"/>
      <c r="AG64" s="7"/>
      <c r="AH64" s="7"/>
      <c r="AI64" s="7"/>
      <c r="AJ64" s="7"/>
      <c r="AK64" s="7"/>
      <c r="AL64" s="3"/>
      <c r="AM64" s="9"/>
      <c r="AN64" s="7"/>
      <c r="AO64" s="7"/>
      <c r="AP64" s="7"/>
      <c r="AQ64" s="7"/>
      <c r="AR64" s="9"/>
      <c r="AS64" s="9"/>
      <c r="AT64" s="9"/>
      <c r="AU64" s="3"/>
      <c r="AV64" s="3"/>
      <c r="AW64" s="3"/>
      <c r="AX64" s="3"/>
      <c r="AY64" s="3"/>
      <c r="AZ64" s="3"/>
    </row>
    <row r="65" spans="1:52" x14ac:dyDescent="0.3">
      <c r="A65">
        <v>25</v>
      </c>
      <c r="B65" s="1" t="s">
        <v>63</v>
      </c>
      <c r="C65" s="1" t="s">
        <v>160</v>
      </c>
      <c r="D65" s="2">
        <v>41955</v>
      </c>
      <c r="E65" s="3">
        <v>43.599999999999994</v>
      </c>
      <c r="F65" s="4">
        <f t="shared" si="2"/>
        <v>6666.1535972387001</v>
      </c>
      <c r="G65" s="7">
        <v>11.9</v>
      </c>
      <c r="H65" s="7">
        <v>333.74</v>
      </c>
      <c r="I65" s="7">
        <f t="shared" si="3"/>
        <v>321.84000000000003</v>
      </c>
      <c r="J65" s="7">
        <v>306.32</v>
      </c>
      <c r="K65" s="5">
        <f t="shared" si="4"/>
        <v>4.8222719363659081</v>
      </c>
      <c r="L65" s="4">
        <f t="shared" si="5"/>
        <v>6344.6935430840122</v>
      </c>
      <c r="M65" s="2">
        <v>41957</v>
      </c>
      <c r="N65" s="7">
        <v>1.77</v>
      </c>
      <c r="O65" s="7">
        <f t="shared" si="6"/>
        <v>3.7421852237252859</v>
      </c>
      <c r="P65" s="7">
        <v>1.3149999999999999</v>
      </c>
      <c r="Q65" s="7">
        <v>1.9999999999999996</v>
      </c>
      <c r="R65" s="6">
        <f t="shared" si="7"/>
        <v>0.35139896113718772</v>
      </c>
      <c r="S65" s="6">
        <f t="shared" si="8"/>
        <v>0.53444708918203443</v>
      </c>
      <c r="T65" s="6">
        <f t="shared" si="9"/>
        <v>0.11415394968077786</v>
      </c>
      <c r="U65" s="4">
        <f t="shared" si="14"/>
        <v>2342.4794488506059</v>
      </c>
      <c r="V65" s="4">
        <f t="shared" si="15"/>
        <v>3562.706386084571</v>
      </c>
      <c r="W65" s="4">
        <f t="shared" si="10"/>
        <v>5905.1858349351769</v>
      </c>
      <c r="X65" s="4">
        <f t="shared" si="11"/>
        <v>2229.5187197735445</v>
      </c>
      <c r="Y65" s="4">
        <f t="shared" si="12"/>
        <v>3390.9029958532992</v>
      </c>
      <c r="Z65" s="4">
        <f t="shared" si="13"/>
        <v>5620.4217156268442</v>
      </c>
      <c r="AA65" s="3"/>
      <c r="AE65" s="3"/>
      <c r="AF65" s="3"/>
      <c r="AG65" s="7"/>
      <c r="AH65" s="7"/>
      <c r="AI65" s="7"/>
      <c r="AJ65" s="7"/>
      <c r="AK65" s="7"/>
      <c r="AL65" s="3"/>
      <c r="AM65" s="9"/>
      <c r="AN65" s="7"/>
      <c r="AO65" s="7"/>
      <c r="AP65" s="7"/>
      <c r="AQ65" s="7"/>
      <c r="AR65" s="9"/>
      <c r="AS65" s="9"/>
      <c r="AT65" s="9"/>
      <c r="AU65" s="3"/>
      <c r="AV65" s="3"/>
      <c r="AW65" s="3"/>
      <c r="AX65" s="3"/>
      <c r="AY65" s="3"/>
      <c r="AZ65" s="3"/>
    </row>
    <row r="66" spans="1:52" x14ac:dyDescent="0.3">
      <c r="A66">
        <v>26</v>
      </c>
      <c r="B66" s="1" t="s">
        <v>64</v>
      </c>
      <c r="C66" s="1" t="s">
        <v>160</v>
      </c>
      <c r="D66" s="2">
        <v>41955</v>
      </c>
      <c r="E66" s="3">
        <v>42.8</v>
      </c>
      <c r="F66" s="4">
        <f t="shared" si="2"/>
        <v>6543.8388523352378</v>
      </c>
      <c r="G66" s="7">
        <v>11.89</v>
      </c>
      <c r="H66" s="7">
        <v>216.17</v>
      </c>
      <c r="I66" s="7">
        <f t="shared" si="3"/>
        <v>204.27999999999997</v>
      </c>
      <c r="J66" s="7">
        <v>193.41</v>
      </c>
      <c r="K66" s="5">
        <f t="shared" si="4"/>
        <v>5.3211278637164563</v>
      </c>
      <c r="L66" s="4">
        <f t="shared" si="5"/>
        <v>6195.6328198069241</v>
      </c>
      <c r="M66" s="2">
        <v>41957</v>
      </c>
      <c r="N66" s="7">
        <v>1.47</v>
      </c>
      <c r="O66" s="7">
        <f t="shared" si="6"/>
        <v>3.0807978976701529</v>
      </c>
      <c r="P66" s="7">
        <v>1.0630000000000002</v>
      </c>
      <c r="Q66" s="7">
        <v>1.7479999999999998</v>
      </c>
      <c r="R66" s="6">
        <f t="shared" si="7"/>
        <v>0.34504048474062249</v>
      </c>
      <c r="S66" s="6">
        <f t="shared" si="8"/>
        <v>0.56738548196294247</v>
      </c>
      <c r="T66" s="6">
        <f t="shared" si="9"/>
        <v>8.7574033296434983E-2</v>
      </c>
      <c r="U66" s="4">
        <f t="shared" si="14"/>
        <v>2257.889329674269</v>
      </c>
      <c r="V66" s="4">
        <f t="shared" si="15"/>
        <v>3712.8791611200572</v>
      </c>
      <c r="W66" s="4">
        <f t="shared" si="10"/>
        <v>5970.7684907943258</v>
      </c>
      <c r="X66" s="4">
        <f t="shared" si="11"/>
        <v>2137.7441514210909</v>
      </c>
      <c r="Y66" s="4">
        <f t="shared" si="12"/>
        <v>3515.312113531576</v>
      </c>
      <c r="Z66" s="4">
        <f t="shared" si="13"/>
        <v>5653.0562649526673</v>
      </c>
      <c r="AA66" s="3"/>
      <c r="AE66" s="3"/>
      <c r="AF66" s="3"/>
      <c r="AG66" s="7"/>
      <c r="AH66" s="7"/>
      <c r="AI66" s="7"/>
      <c r="AJ66" s="7"/>
      <c r="AK66" s="7"/>
      <c r="AL66" s="3"/>
      <c r="AM66" s="9"/>
      <c r="AN66" s="7"/>
      <c r="AO66" s="7"/>
      <c r="AP66" s="7"/>
      <c r="AQ66" s="7"/>
      <c r="AR66" s="9"/>
      <c r="AS66" s="9"/>
      <c r="AT66" s="9"/>
      <c r="AU66" s="3"/>
      <c r="AV66" s="3"/>
      <c r="AW66" s="3"/>
      <c r="AX66" s="3"/>
      <c r="AY66" s="3"/>
      <c r="AZ66" s="3"/>
    </row>
    <row r="67" spans="1:52" x14ac:dyDescent="0.3">
      <c r="A67">
        <v>27</v>
      </c>
      <c r="B67" s="1" t="s">
        <v>65</v>
      </c>
      <c r="C67" s="1" t="s">
        <v>160</v>
      </c>
      <c r="D67" s="2">
        <v>41955</v>
      </c>
      <c r="E67" s="3">
        <v>43.9</v>
      </c>
      <c r="F67" s="4">
        <f t="shared" si="2"/>
        <v>6712.0216265774989</v>
      </c>
      <c r="G67" s="7">
        <v>11.9</v>
      </c>
      <c r="H67" s="7">
        <v>206.74</v>
      </c>
      <c r="I67" s="7">
        <f t="shared" si="3"/>
        <v>194.84</v>
      </c>
      <c r="J67" s="7">
        <v>184.83</v>
      </c>
      <c r="K67" s="5">
        <f t="shared" si="4"/>
        <v>5.1375487579552406</v>
      </c>
      <c r="L67" s="4">
        <f t="shared" si="5"/>
        <v>6367.188242867579</v>
      </c>
      <c r="M67" s="2">
        <v>41957</v>
      </c>
      <c r="N67" s="7">
        <v>1.63</v>
      </c>
      <c r="O67" s="7">
        <f t="shared" si="6"/>
        <v>3.4335378048995571</v>
      </c>
      <c r="P67" s="7">
        <v>1.2520000000000002</v>
      </c>
      <c r="Q67" s="7">
        <v>1.8740000000000001</v>
      </c>
      <c r="R67" s="6">
        <f t="shared" si="7"/>
        <v>0.36463847819395878</v>
      </c>
      <c r="S67" s="6">
        <f t="shared" si="8"/>
        <v>0.54579273812737916</v>
      </c>
      <c r="T67" s="6">
        <f t="shared" si="9"/>
        <v>8.9568783678662056E-2</v>
      </c>
      <c r="U67" s="4">
        <f t="shared" si="14"/>
        <v>2447.461351520159</v>
      </c>
      <c r="V67" s="4">
        <f t="shared" si="15"/>
        <v>3663.3726619399185</v>
      </c>
      <c r="W67" s="4">
        <f t="shared" si="10"/>
        <v>6110.8340134600776</v>
      </c>
      <c r="X67" s="4">
        <f t="shared" si="11"/>
        <v>2321.7218312537007</v>
      </c>
      <c r="Y67" s="4">
        <f t="shared" si="12"/>
        <v>3475.165105247152</v>
      </c>
      <c r="Z67" s="4">
        <f t="shared" si="13"/>
        <v>5796.8869365008522</v>
      </c>
      <c r="AA67" s="3"/>
      <c r="AE67" s="3"/>
      <c r="AF67" s="3"/>
      <c r="AG67" s="7"/>
      <c r="AH67" s="7"/>
      <c r="AI67" s="7"/>
      <c r="AJ67" s="7"/>
      <c r="AK67" s="7"/>
      <c r="AL67" s="3"/>
      <c r="AM67" s="9"/>
      <c r="AN67" s="7"/>
      <c r="AO67" s="7"/>
      <c r="AP67" s="7"/>
      <c r="AQ67" s="7"/>
      <c r="AR67" s="9"/>
      <c r="AS67" s="9"/>
      <c r="AT67" s="9"/>
      <c r="AU67" s="3"/>
      <c r="AV67" s="3"/>
      <c r="AW67" s="3"/>
      <c r="AX67" s="3"/>
      <c r="AY67" s="3"/>
      <c r="AZ67" s="3"/>
    </row>
    <row r="68" spans="1:52" x14ac:dyDescent="0.3">
      <c r="A68">
        <v>28</v>
      </c>
      <c r="B68" s="1" t="s">
        <v>66</v>
      </c>
      <c r="C68" s="1" t="s">
        <v>160</v>
      </c>
      <c r="D68" s="2">
        <v>41955</v>
      </c>
      <c r="E68" s="3">
        <v>41.4</v>
      </c>
      <c r="F68" s="4">
        <f t="shared" si="2"/>
        <v>6329.7880487541788</v>
      </c>
      <c r="G68" s="7">
        <v>11.88</v>
      </c>
      <c r="H68" s="7">
        <v>251.58</v>
      </c>
      <c r="I68" s="7">
        <f t="shared" si="3"/>
        <v>239.70000000000002</v>
      </c>
      <c r="J68" s="7">
        <v>225.72</v>
      </c>
      <c r="K68" s="5">
        <f t="shared" si="4"/>
        <v>5.8322903629536995</v>
      </c>
      <c r="L68" s="4">
        <f t="shared" si="5"/>
        <v>5960.6164303912938</v>
      </c>
      <c r="M68" s="2">
        <v>41957</v>
      </c>
      <c r="N68" s="7">
        <v>1.44</v>
      </c>
      <c r="O68" s="7">
        <f t="shared" si="6"/>
        <v>3.0146591650646393</v>
      </c>
      <c r="P68" s="7">
        <v>1.0630000000000002</v>
      </c>
      <c r="Q68" s="7">
        <v>1.6220000000000003</v>
      </c>
      <c r="R68" s="6">
        <f t="shared" si="7"/>
        <v>0.35261034226308885</v>
      </c>
      <c r="S68" s="6">
        <f t="shared" si="8"/>
        <v>0.53803760597434636</v>
      </c>
      <c r="T68" s="6">
        <f t="shared" si="9"/>
        <v>0.10935205176256479</v>
      </c>
      <c r="U68" s="4">
        <f t="shared" si="14"/>
        <v>2231.9487303240203</v>
      </c>
      <c r="V68" s="4">
        <f t="shared" si="15"/>
        <v>3405.6640080767274</v>
      </c>
      <c r="W68" s="4">
        <f t="shared" si="10"/>
        <v>5637.6127384007477</v>
      </c>
      <c r="X68" s="4">
        <f t="shared" si="11"/>
        <v>2101.7749996192651</v>
      </c>
      <c r="Y68" s="4">
        <f t="shared" si="12"/>
        <v>3207.0357943390859</v>
      </c>
      <c r="Z68" s="4">
        <f t="shared" si="13"/>
        <v>5308.8107939583515</v>
      </c>
      <c r="AA68" s="3"/>
      <c r="AE68" s="3"/>
      <c r="AF68" s="3"/>
      <c r="AG68" s="7"/>
      <c r="AH68" s="7"/>
      <c r="AI68" s="7"/>
      <c r="AJ68" s="7"/>
      <c r="AK68" s="7"/>
      <c r="AL68" s="3"/>
      <c r="AM68" s="9"/>
      <c r="AN68" s="7"/>
      <c r="AO68" s="7"/>
      <c r="AP68" s="7"/>
      <c r="AQ68" s="7"/>
      <c r="AR68" s="9"/>
      <c r="AS68" s="9"/>
      <c r="AT68" s="9"/>
      <c r="AU68" s="3"/>
      <c r="AV68" s="3"/>
      <c r="AW68" s="3"/>
      <c r="AX68" s="3"/>
      <c r="AY68" s="3"/>
      <c r="AZ68" s="3"/>
    </row>
    <row r="69" spans="1:52" x14ac:dyDescent="0.3">
      <c r="A69">
        <v>29</v>
      </c>
      <c r="B69" s="1" t="s">
        <v>67</v>
      </c>
      <c r="C69" s="1" t="s">
        <v>160</v>
      </c>
      <c r="D69" s="2">
        <v>41955</v>
      </c>
      <c r="E69" s="3">
        <v>39.199999999999996</v>
      </c>
      <c r="F69" s="4">
        <f t="shared" si="2"/>
        <v>5993.4225002696576</v>
      </c>
      <c r="G69" s="7">
        <v>11.93</v>
      </c>
      <c r="H69" s="7">
        <v>204.74</v>
      </c>
      <c r="I69" s="7">
        <f t="shared" si="3"/>
        <v>192.81</v>
      </c>
      <c r="J69" s="7">
        <v>181.89</v>
      </c>
      <c r="K69" s="5">
        <f t="shared" si="4"/>
        <v>5.6636066594056409</v>
      </c>
      <c r="L69" s="4">
        <f t="shared" si="5"/>
        <v>5653.9786244180696</v>
      </c>
      <c r="M69" s="2">
        <v>41957</v>
      </c>
      <c r="N69" s="7">
        <v>1.46</v>
      </c>
      <c r="O69" s="7">
        <f t="shared" si="6"/>
        <v>3.058751653468315</v>
      </c>
      <c r="P69" s="7">
        <v>1.1259999999999999</v>
      </c>
      <c r="Q69" s="7">
        <v>1.6850000000000001</v>
      </c>
      <c r="R69" s="6">
        <f t="shared" si="7"/>
        <v>0.36812403475883038</v>
      </c>
      <c r="S69" s="6">
        <f t="shared" si="8"/>
        <v>0.55087832910180223</v>
      </c>
      <c r="T69" s="6">
        <f t="shared" si="9"/>
        <v>8.099763613936739E-2</v>
      </c>
      <c r="U69" s="4">
        <f t="shared" si="14"/>
        <v>2206.3228728136237</v>
      </c>
      <c r="V69" s="4">
        <f t="shared" si="15"/>
        <v>3301.6465725496946</v>
      </c>
      <c r="W69" s="4">
        <f t="shared" si="10"/>
        <v>5507.9694453633183</v>
      </c>
      <c r="X69" s="4">
        <f t="shared" si="11"/>
        <v>2081.3654236609614</v>
      </c>
      <c r="Y69" s="4">
        <f t="shared" si="12"/>
        <v>3114.6542973967325</v>
      </c>
      <c r="Z69" s="4">
        <f t="shared" si="13"/>
        <v>5196.0197210576935</v>
      </c>
      <c r="AA69" s="3"/>
      <c r="AE69" s="3"/>
      <c r="AF69" s="3"/>
      <c r="AG69" s="7"/>
      <c r="AH69" s="7"/>
      <c r="AI69" s="7"/>
      <c r="AJ69" s="7"/>
      <c r="AK69" s="7"/>
      <c r="AL69" s="3"/>
      <c r="AM69" s="9"/>
      <c r="AN69" s="7"/>
      <c r="AO69" s="7"/>
      <c r="AP69" s="7"/>
      <c r="AQ69" s="7"/>
      <c r="AR69" s="9"/>
      <c r="AS69" s="9"/>
      <c r="AT69" s="9"/>
      <c r="AU69" s="3"/>
      <c r="AV69" s="3"/>
      <c r="AW69" s="3"/>
      <c r="AX69" s="3"/>
      <c r="AY69" s="3"/>
      <c r="AZ69" s="3"/>
    </row>
    <row r="70" spans="1:52" x14ac:dyDescent="0.3">
      <c r="A70">
        <v>30</v>
      </c>
      <c r="B70" s="1" t="s">
        <v>68</v>
      </c>
      <c r="C70" s="1" t="s">
        <v>160</v>
      </c>
      <c r="D70" s="2">
        <v>41955</v>
      </c>
      <c r="E70" s="3">
        <v>40.599999999999994</v>
      </c>
      <c r="F70" s="4">
        <f t="shared" si="2"/>
        <v>6207.4733038507156</v>
      </c>
      <c r="G70" s="7">
        <v>11.93</v>
      </c>
      <c r="H70" s="7">
        <v>194.53</v>
      </c>
      <c r="I70" s="7">
        <f t="shared" si="3"/>
        <v>182.6</v>
      </c>
      <c r="J70" s="7">
        <v>173.25</v>
      </c>
      <c r="K70" s="5">
        <f t="shared" si="4"/>
        <v>5.1204819277108404</v>
      </c>
      <c r="L70" s="4">
        <f t="shared" si="5"/>
        <v>5889.6207551595644</v>
      </c>
      <c r="M70" s="2">
        <v>41957</v>
      </c>
      <c r="N70" s="7">
        <v>1.91</v>
      </c>
      <c r="O70" s="7">
        <f t="shared" si="6"/>
        <v>4.0508326425510148</v>
      </c>
      <c r="P70" s="7">
        <v>1.4330000000000003</v>
      </c>
      <c r="Q70" s="7">
        <v>2.2520000000000002</v>
      </c>
      <c r="R70" s="6">
        <f t="shared" si="7"/>
        <v>0.3537544318536861</v>
      </c>
      <c r="S70" s="6">
        <f t="shared" si="8"/>
        <v>0.5559350876025827</v>
      </c>
      <c r="T70" s="6">
        <f t="shared" si="9"/>
        <v>9.0310480543731253E-2</v>
      </c>
      <c r="U70" s="4">
        <f t="shared" si="14"/>
        <v>2195.9211918506339</v>
      </c>
      <c r="V70" s="4">
        <f t="shared" si="15"/>
        <v>3450.952214966941</v>
      </c>
      <c r="W70" s="4">
        <f t="shared" si="10"/>
        <v>5646.8734068175745</v>
      </c>
      <c r="X70" s="4">
        <f t="shared" si="11"/>
        <v>2083.4794440751493</v>
      </c>
      <c r="Y70" s="4">
        <f t="shared" si="12"/>
        <v>3274.2468304656218</v>
      </c>
      <c r="Z70" s="4">
        <f t="shared" si="13"/>
        <v>5357.7262745407716</v>
      </c>
      <c r="AA70" s="3"/>
      <c r="AE70" s="3"/>
      <c r="AF70" s="3"/>
      <c r="AG70" s="7"/>
      <c r="AH70" s="7"/>
      <c r="AI70" s="7"/>
      <c r="AJ70" s="7"/>
      <c r="AK70" s="7"/>
      <c r="AL70" s="3"/>
      <c r="AM70" s="9"/>
      <c r="AN70" s="7"/>
      <c r="AO70" s="7"/>
      <c r="AP70" s="7"/>
      <c r="AQ70" s="7"/>
      <c r="AR70" s="9"/>
      <c r="AS70" s="9"/>
      <c r="AT70" s="9"/>
      <c r="AU70" s="3"/>
      <c r="AV70" s="3"/>
      <c r="AW70" s="3"/>
      <c r="AX70" s="3"/>
      <c r="AY70" s="3"/>
      <c r="AZ70" s="3"/>
    </row>
    <row r="71" spans="1:52" x14ac:dyDescent="0.3">
      <c r="A71">
        <v>31</v>
      </c>
      <c r="B71" s="1" t="s">
        <v>69</v>
      </c>
      <c r="C71" s="1" t="s">
        <v>160</v>
      </c>
      <c r="D71" s="2">
        <v>41955</v>
      </c>
      <c r="E71" s="3">
        <v>37.199999999999996</v>
      </c>
      <c r="F71" s="4">
        <f t="shared" si="2"/>
        <v>5687.6356380110019</v>
      </c>
      <c r="G71" s="7">
        <v>11.94</v>
      </c>
      <c r="H71" s="7">
        <v>212.67</v>
      </c>
      <c r="I71" s="7">
        <f t="shared" si="3"/>
        <v>200.73</v>
      </c>
      <c r="J71" s="7">
        <v>190</v>
      </c>
      <c r="K71" s="5">
        <f t="shared" si="4"/>
        <v>5.3454889652767354</v>
      </c>
      <c r="L71" s="4">
        <f t="shared" si="5"/>
        <v>5383.6037025959768</v>
      </c>
      <c r="M71" s="2">
        <v>41957</v>
      </c>
      <c r="N71" s="7">
        <v>1.51</v>
      </c>
      <c r="O71" s="7">
        <f t="shared" si="6"/>
        <v>3.1689828744775039</v>
      </c>
      <c r="P71" s="7">
        <v>1.1890000000000001</v>
      </c>
      <c r="Q71" s="7">
        <v>1.7479999999999998</v>
      </c>
      <c r="R71" s="6">
        <f t="shared" si="7"/>
        <v>0.3751992507047045</v>
      </c>
      <c r="S71" s="6">
        <f t="shared" si="8"/>
        <v>0.55159654350868237</v>
      </c>
      <c r="T71" s="6">
        <f t="shared" si="9"/>
        <v>7.320420578661313E-2</v>
      </c>
      <c r="U71" s="4">
        <f t="shared" si="14"/>
        <v>2133.9966296631019</v>
      </c>
      <c r="V71" s="4">
        <f t="shared" si="15"/>
        <v>3137.2801586636679</v>
      </c>
      <c r="W71" s="4">
        <f t="shared" si="10"/>
        <v>5271.2767883267697</v>
      </c>
      <c r="X71" s="4">
        <f t="shared" si="11"/>
        <v>2019.9240753050833</v>
      </c>
      <c r="Y71" s="4">
        <f t="shared" si="12"/>
        <v>2969.577193972485</v>
      </c>
      <c r="Z71" s="4">
        <f t="shared" si="13"/>
        <v>4989.5012692775681</v>
      </c>
      <c r="AA71" s="3"/>
      <c r="AE71" s="3"/>
      <c r="AF71" s="3"/>
      <c r="AG71" s="7"/>
      <c r="AH71" s="7"/>
      <c r="AI71" s="7"/>
      <c r="AJ71" s="7"/>
      <c r="AK71" s="7"/>
      <c r="AL71" s="3"/>
      <c r="AM71" s="9"/>
      <c r="AN71" s="7"/>
      <c r="AO71" s="7"/>
      <c r="AP71" s="7"/>
      <c r="AQ71" s="7"/>
      <c r="AR71" s="9"/>
      <c r="AS71" s="9"/>
      <c r="AT71" s="9"/>
      <c r="AU71" s="3"/>
      <c r="AV71" s="3"/>
      <c r="AW71" s="3"/>
      <c r="AX71" s="3"/>
      <c r="AY71" s="3"/>
      <c r="AZ71" s="3"/>
    </row>
    <row r="72" spans="1:52" x14ac:dyDescent="0.3">
      <c r="A72">
        <v>32</v>
      </c>
      <c r="B72" s="1" t="s">
        <v>70</v>
      </c>
      <c r="C72" s="1" t="s">
        <v>160</v>
      </c>
      <c r="D72" s="2">
        <v>41955</v>
      </c>
      <c r="E72" s="3">
        <v>37.299999999999997</v>
      </c>
      <c r="F72" s="4">
        <f t="shared" si="2"/>
        <v>5702.9249811239342</v>
      </c>
      <c r="G72" s="7">
        <v>11.94</v>
      </c>
      <c r="H72" s="7">
        <v>205.52</v>
      </c>
      <c r="I72" s="7">
        <f t="shared" si="3"/>
        <v>193.58</v>
      </c>
      <c r="J72" s="7">
        <v>184.23</v>
      </c>
      <c r="K72" s="5">
        <f t="shared" si="4"/>
        <v>4.8300444260770856</v>
      </c>
      <c r="L72" s="4">
        <f t="shared" si="5"/>
        <v>5427.4711709497997</v>
      </c>
      <c r="M72" s="2">
        <v>41957</v>
      </c>
      <c r="N72" s="7">
        <v>1.42</v>
      </c>
      <c r="O72" s="7">
        <f t="shared" si="6"/>
        <v>2.970566676660964</v>
      </c>
      <c r="P72" s="7">
        <v>0.99999999999999989</v>
      </c>
      <c r="Q72" s="7">
        <v>1.6220000000000003</v>
      </c>
      <c r="R72" s="6">
        <f t="shared" si="7"/>
        <v>0.33663610645630754</v>
      </c>
      <c r="S72" s="6">
        <f t="shared" si="8"/>
        <v>0.54602376467213098</v>
      </c>
      <c r="T72" s="6">
        <f t="shared" si="9"/>
        <v>0.11734012887156153</v>
      </c>
      <c r="U72" s="4">
        <f t="shared" si="14"/>
        <v>1919.8104610579724</v>
      </c>
      <c r="V72" s="4">
        <f t="shared" si="15"/>
        <v>3113.9325678360319</v>
      </c>
      <c r="W72" s="4">
        <f t="shared" si="10"/>
        <v>5033.7430288940041</v>
      </c>
      <c r="X72" s="4">
        <f t="shared" si="11"/>
        <v>1827.0827628923969</v>
      </c>
      <c r="Y72" s="4">
        <f t="shared" si="12"/>
        <v>2963.5282414114686</v>
      </c>
      <c r="Z72" s="4">
        <f t="shared" si="13"/>
        <v>4790.6110043038652</v>
      </c>
      <c r="AA72" s="3"/>
      <c r="AE72" s="3"/>
      <c r="AF72" s="3"/>
      <c r="AG72" s="7"/>
      <c r="AH72" s="7"/>
      <c r="AI72" s="7"/>
      <c r="AJ72" s="7"/>
      <c r="AK72" s="7"/>
      <c r="AL72" s="3"/>
      <c r="AM72" s="9"/>
      <c r="AN72" s="7"/>
      <c r="AO72" s="7"/>
      <c r="AP72" s="7"/>
      <c r="AQ72" s="7"/>
      <c r="AR72" s="9"/>
      <c r="AS72" s="9"/>
      <c r="AT72" s="9"/>
      <c r="AU72" s="3"/>
      <c r="AV72" s="3"/>
      <c r="AW72" s="3"/>
      <c r="AX72" s="3"/>
      <c r="AY72" s="3"/>
      <c r="AZ72" s="3"/>
    </row>
    <row r="73" spans="1:52" x14ac:dyDescent="0.3">
      <c r="A73">
        <v>33</v>
      </c>
      <c r="B73" s="1" t="s">
        <v>71</v>
      </c>
      <c r="C73" s="1" t="s">
        <v>160</v>
      </c>
      <c r="D73" s="2">
        <v>41955</v>
      </c>
      <c r="E73" s="3">
        <v>31.099999999999998</v>
      </c>
      <c r="F73" s="4">
        <f t="shared" si="2"/>
        <v>4754.9857081221007</v>
      </c>
      <c r="G73" s="7">
        <v>11.95</v>
      </c>
      <c r="H73" s="7">
        <v>226.25</v>
      </c>
      <c r="I73" s="7">
        <f t="shared" si="3"/>
        <v>214.3</v>
      </c>
      <c r="J73" s="7">
        <v>201.64</v>
      </c>
      <c r="K73" s="5">
        <f t="shared" si="4"/>
        <v>5.9076061595893723</v>
      </c>
      <c r="L73" s="4">
        <f t="shared" si="5"/>
        <v>4474.0798795414848</v>
      </c>
      <c r="M73" s="2">
        <v>41957</v>
      </c>
      <c r="N73" s="7">
        <v>1.5</v>
      </c>
      <c r="O73" s="7">
        <f t="shared" si="6"/>
        <v>3.1469366302756661</v>
      </c>
      <c r="P73" s="7">
        <v>1.1890000000000001</v>
      </c>
      <c r="Q73" s="7">
        <v>1.7479999999999998</v>
      </c>
      <c r="R73" s="6">
        <f t="shared" si="7"/>
        <v>0.37782775431860088</v>
      </c>
      <c r="S73" s="6">
        <f t="shared" si="8"/>
        <v>0.55546081963743832</v>
      </c>
      <c r="T73" s="6">
        <f t="shared" si="9"/>
        <v>6.6711426043960853E-2</v>
      </c>
      <c r="U73" s="4">
        <f t="shared" si="14"/>
        <v>1796.5655719168155</v>
      </c>
      <c r="V73" s="4">
        <f t="shared" si="15"/>
        <v>2641.208258797807</v>
      </c>
      <c r="W73" s="4">
        <f t="shared" si="10"/>
        <v>4437.7738307146228</v>
      </c>
      <c r="X73" s="4">
        <f t="shared" si="11"/>
        <v>1690.4315535291955</v>
      </c>
      <c r="Y73" s="4">
        <f t="shared" si="12"/>
        <v>2485.1760770134842</v>
      </c>
      <c r="Z73" s="4">
        <f t="shared" si="13"/>
        <v>4175.6076305426795</v>
      </c>
      <c r="AA73" s="3"/>
      <c r="AE73" s="3"/>
      <c r="AF73" s="3"/>
      <c r="AG73" s="7"/>
      <c r="AH73" s="7"/>
      <c r="AI73" s="7"/>
      <c r="AJ73" s="7"/>
      <c r="AK73" s="7"/>
      <c r="AL73" s="3"/>
      <c r="AM73" s="9"/>
      <c r="AN73" s="7"/>
      <c r="AO73" s="7"/>
      <c r="AP73" s="7"/>
      <c r="AQ73" s="7"/>
      <c r="AR73" s="9"/>
      <c r="AS73" s="9"/>
      <c r="AT73" s="9"/>
      <c r="AU73" s="3"/>
      <c r="AV73" s="3"/>
      <c r="AW73" s="3"/>
      <c r="AX73" s="3"/>
      <c r="AY73" s="3"/>
      <c r="AZ73" s="3"/>
    </row>
    <row r="74" spans="1:52" x14ac:dyDescent="0.3">
      <c r="A74">
        <v>34</v>
      </c>
      <c r="B74" s="1" t="s">
        <v>72</v>
      </c>
      <c r="C74" s="1" t="s">
        <v>160</v>
      </c>
      <c r="D74" s="2">
        <v>41955</v>
      </c>
      <c r="E74" s="3">
        <v>29.900000000000002</v>
      </c>
      <c r="F74" s="4">
        <f t="shared" si="2"/>
        <v>4571.5135907669073</v>
      </c>
      <c r="G74" s="7">
        <v>11.9</v>
      </c>
      <c r="H74" s="7">
        <v>192.31</v>
      </c>
      <c r="I74" s="7">
        <f t="shared" si="3"/>
        <v>180.41</v>
      </c>
      <c r="J74" s="7">
        <v>173.32</v>
      </c>
      <c r="K74" s="5">
        <f t="shared" si="4"/>
        <v>3.9299373648910834</v>
      </c>
      <c r="L74" s="4">
        <f t="shared" si="5"/>
        <v>4391.855970022285</v>
      </c>
      <c r="M74" s="2">
        <v>41957</v>
      </c>
      <c r="N74" s="7">
        <v>1.51</v>
      </c>
      <c r="O74" s="7">
        <f t="shared" si="6"/>
        <v>3.1689828744775039</v>
      </c>
      <c r="P74" s="7">
        <v>1.1259999999999999</v>
      </c>
      <c r="Q74" s="7">
        <v>1.7479999999999998</v>
      </c>
      <c r="R74" s="6">
        <f t="shared" si="7"/>
        <v>0.35531905491463178</v>
      </c>
      <c r="S74" s="6">
        <f t="shared" si="8"/>
        <v>0.55159654350868237</v>
      </c>
      <c r="T74" s="6">
        <f t="shared" si="9"/>
        <v>9.3084401576685849E-2</v>
      </c>
      <c r="U74" s="4">
        <f t="shared" si="14"/>
        <v>1624.3458886006922</v>
      </c>
      <c r="V74" s="4">
        <f t="shared" si="15"/>
        <v>2521.631095269991</v>
      </c>
      <c r="W74" s="4">
        <f t="shared" si="10"/>
        <v>4145.9769838706834</v>
      </c>
      <c r="X74" s="4">
        <f t="shared" si="11"/>
        <v>1560.5101125895017</v>
      </c>
      <c r="Y74" s="4">
        <f t="shared" si="12"/>
        <v>2422.5325726522638</v>
      </c>
      <c r="Z74" s="4">
        <f t="shared" si="13"/>
        <v>3983.0426852417654</v>
      </c>
      <c r="AA74" s="3"/>
      <c r="AB74" t="s">
        <v>29</v>
      </c>
      <c r="AC74" t="str">
        <f>C74</f>
        <v>Machine</v>
      </c>
      <c r="AD74" s="8">
        <f>D74</f>
        <v>41955</v>
      </c>
      <c r="AE74" s="3">
        <f>SUM(E74:E84)</f>
        <v>327.5</v>
      </c>
      <c r="AF74" s="3">
        <f>AE74*$A$29/($A$30*11)*$A$32</f>
        <v>4552.0544268049925</v>
      </c>
      <c r="AG74" s="7">
        <f>SUM(G74:G84)</f>
        <v>131.04</v>
      </c>
      <c r="AH74" s="7">
        <f>SUM(H74:H84)</f>
        <v>2494.7000000000003</v>
      </c>
      <c r="AI74" s="7">
        <f>AH74-AG74</f>
        <v>2363.6600000000003</v>
      </c>
      <c r="AJ74" s="7">
        <f>SUM(J74:J84)</f>
        <v>2240.48</v>
      </c>
      <c r="AK74" s="7">
        <f>(AI74-AJ74)/AI74*100</f>
        <v>5.2114094243673064</v>
      </c>
      <c r="AL74" s="3">
        <f>AF74*(1-AK74/100)</f>
        <v>4314.8282334041478</v>
      </c>
      <c r="AM74" s="11">
        <f>M74</f>
        <v>41957</v>
      </c>
      <c r="AN74" s="7">
        <f>SUM(N74:N84)</f>
        <v>17.12</v>
      </c>
      <c r="AO74" s="7">
        <f>AN74/$A$29-$A$33*11</f>
        <v>35.983170073546276</v>
      </c>
      <c r="AP74" s="7">
        <f>SUM(P74:P84)</f>
        <v>12.952999999999999</v>
      </c>
      <c r="AQ74" s="7">
        <f>SUM(Q74:Q84)</f>
        <v>19.605999999999998</v>
      </c>
      <c r="AR74" s="9">
        <f>AP74/AO74</f>
        <v>0.35997384259155779</v>
      </c>
      <c r="AS74" s="9">
        <f>AQ74/AO74</f>
        <v>0.54486583477573391</v>
      </c>
      <c r="AT74" s="9">
        <f>1-AR74-AS74</f>
        <v>9.516032263270835E-2</v>
      </c>
      <c r="AU74" s="3">
        <f>AF74*AR74</f>
        <v>1638.6205237029042</v>
      </c>
      <c r="AV74" s="3">
        <f>AF74*AS74</f>
        <v>2480.2589352056771</v>
      </c>
      <c r="AW74" s="3">
        <f>AU74+AV74</f>
        <v>4118.879458908581</v>
      </c>
      <c r="AX74" s="3">
        <f>AL74*AR74</f>
        <v>1553.2252993010341</v>
      </c>
      <c r="AY74" s="3">
        <f>AL74*AS74</f>
        <v>2351.0024873076563</v>
      </c>
      <c r="AZ74" s="3">
        <f>AX74+AY74</f>
        <v>3904.2277866086906</v>
      </c>
    </row>
    <row r="75" spans="1:52" x14ac:dyDescent="0.3">
      <c r="A75">
        <v>35</v>
      </c>
      <c r="B75" s="1" t="s">
        <v>73</v>
      </c>
      <c r="C75" s="1" t="s">
        <v>160</v>
      </c>
      <c r="D75" s="2">
        <v>41955</v>
      </c>
      <c r="E75" s="3">
        <v>30.400000000000002</v>
      </c>
      <c r="F75" s="4">
        <f t="shared" si="2"/>
        <v>4647.9603063315717</v>
      </c>
      <c r="G75" s="7">
        <v>11.89</v>
      </c>
      <c r="H75" s="7">
        <v>224.83</v>
      </c>
      <c r="I75" s="7">
        <f t="shared" si="3"/>
        <v>212.94</v>
      </c>
      <c r="J75" s="7">
        <v>202.83</v>
      </c>
      <c r="K75" s="5">
        <f t="shared" si="4"/>
        <v>4.7478162862778177</v>
      </c>
      <c r="L75" s="4">
        <f t="shared" si="5"/>
        <v>4427.2836899278327</v>
      </c>
      <c r="M75" s="2">
        <v>41957</v>
      </c>
      <c r="N75" s="7">
        <v>1.48</v>
      </c>
      <c r="O75" s="7">
        <f t="shared" si="6"/>
        <v>3.1028441418719908</v>
      </c>
      <c r="P75" s="7">
        <v>1.1259999999999999</v>
      </c>
      <c r="Q75" s="7">
        <v>1.6850000000000001</v>
      </c>
      <c r="R75" s="6">
        <f t="shared" si="7"/>
        <v>0.36289286490576605</v>
      </c>
      <c r="S75" s="6">
        <f t="shared" si="8"/>
        <v>0.54305015751884178</v>
      </c>
      <c r="T75" s="6">
        <f t="shared" si="9"/>
        <v>9.4056977575392109E-2</v>
      </c>
      <c r="U75" s="4">
        <f t="shared" si="14"/>
        <v>1686.7116315329461</v>
      </c>
      <c r="V75" s="4">
        <f t="shared" si="15"/>
        <v>2524.0755764946839</v>
      </c>
      <c r="W75" s="4">
        <f t="shared" si="10"/>
        <v>4210.7872080276302</v>
      </c>
      <c r="X75" s="4">
        <f t="shared" si="11"/>
        <v>1606.6296619884824</v>
      </c>
      <c r="Y75" s="4">
        <f t="shared" si="12"/>
        <v>2404.2371051959085</v>
      </c>
      <c r="Z75" s="4">
        <f t="shared" si="13"/>
        <v>4010.8667671843909</v>
      </c>
      <c r="AA75" s="3"/>
      <c r="AE75" s="3"/>
      <c r="AF75" s="3"/>
      <c r="AG75" s="7"/>
      <c r="AH75" s="7"/>
      <c r="AI75" s="7"/>
      <c r="AJ75" s="7"/>
      <c r="AK75" s="7"/>
      <c r="AL75" s="3"/>
      <c r="AM75" s="9"/>
      <c r="AN75" s="7"/>
      <c r="AO75" s="7"/>
      <c r="AP75" s="7"/>
      <c r="AQ75" s="7"/>
      <c r="AR75" s="9"/>
      <c r="AS75" s="9"/>
      <c r="AT75" s="9"/>
      <c r="AU75" s="3"/>
      <c r="AV75" s="3"/>
      <c r="AW75" s="3"/>
      <c r="AX75" s="3"/>
      <c r="AY75" s="3"/>
      <c r="AZ75" s="3"/>
    </row>
    <row r="76" spans="1:52" x14ac:dyDescent="0.3">
      <c r="A76">
        <v>36</v>
      </c>
      <c r="B76" s="1" t="s">
        <v>74</v>
      </c>
      <c r="C76" s="1" t="s">
        <v>160</v>
      </c>
      <c r="D76" s="2">
        <v>41955</v>
      </c>
      <c r="E76" s="3">
        <v>36</v>
      </c>
      <c r="F76" s="4">
        <f t="shared" si="2"/>
        <v>5504.1635206558094</v>
      </c>
      <c r="G76" s="7">
        <v>11.99</v>
      </c>
      <c r="H76" s="7">
        <v>194.57</v>
      </c>
      <c r="I76" s="7">
        <f t="shared" si="3"/>
        <v>182.57999999999998</v>
      </c>
      <c r="J76" s="7">
        <v>173.2</v>
      </c>
      <c r="K76" s="5">
        <f t="shared" si="4"/>
        <v>5.1374739840070083</v>
      </c>
      <c r="L76" s="4">
        <f t="shared" si="5"/>
        <v>5221.3885517449125</v>
      </c>
      <c r="M76" s="2">
        <v>41957</v>
      </c>
      <c r="N76" s="7">
        <v>1.47</v>
      </c>
      <c r="O76" s="7">
        <f t="shared" si="6"/>
        <v>3.0807978976701529</v>
      </c>
      <c r="P76" s="7">
        <v>1.1259999999999999</v>
      </c>
      <c r="Q76" s="7">
        <v>1.7479999999999998</v>
      </c>
      <c r="R76" s="6">
        <f t="shared" si="7"/>
        <v>0.36548973266033941</v>
      </c>
      <c r="S76" s="6">
        <f t="shared" si="8"/>
        <v>0.56738548196294247</v>
      </c>
      <c r="T76" s="6">
        <f t="shared" si="9"/>
        <v>6.7124785376718066E-2</v>
      </c>
      <c r="U76" s="4">
        <f t="shared" si="14"/>
        <v>2011.7152536832843</v>
      </c>
      <c r="V76" s="4">
        <f t="shared" si="15"/>
        <v>3122.9824719701428</v>
      </c>
      <c r="W76" s="4">
        <f t="shared" si="10"/>
        <v>5134.6977256534274</v>
      </c>
      <c r="X76" s="4">
        <f t="shared" si="11"/>
        <v>1908.3639058930048</v>
      </c>
      <c r="Y76" s="4">
        <f t="shared" si="12"/>
        <v>2962.5400599475774</v>
      </c>
      <c r="Z76" s="4">
        <f t="shared" si="13"/>
        <v>4870.9039658405818</v>
      </c>
      <c r="AA76" s="3"/>
      <c r="AE76" s="3"/>
      <c r="AF76" s="3"/>
      <c r="AG76" s="7"/>
      <c r="AH76" s="7"/>
      <c r="AI76" s="7"/>
      <c r="AJ76" s="7"/>
      <c r="AK76" s="7"/>
      <c r="AL76" s="3"/>
      <c r="AM76" s="9"/>
      <c r="AN76" s="7"/>
      <c r="AO76" s="7"/>
      <c r="AP76" s="7"/>
      <c r="AQ76" s="7"/>
      <c r="AR76" s="9"/>
      <c r="AS76" s="9"/>
      <c r="AT76" s="9"/>
      <c r="AU76" s="3"/>
      <c r="AV76" s="3"/>
      <c r="AW76" s="3"/>
      <c r="AX76" s="3"/>
      <c r="AY76" s="3"/>
      <c r="AZ76" s="3"/>
    </row>
    <row r="77" spans="1:52" x14ac:dyDescent="0.3">
      <c r="A77">
        <v>37</v>
      </c>
      <c r="B77" s="1" t="s">
        <v>75</v>
      </c>
      <c r="C77" s="1" t="s">
        <v>160</v>
      </c>
      <c r="D77" s="2">
        <v>41955</v>
      </c>
      <c r="E77" s="3">
        <v>30.3</v>
      </c>
      <c r="F77" s="4">
        <f t="shared" si="2"/>
        <v>4632.6709632186394</v>
      </c>
      <c r="G77" s="7">
        <v>11.9</v>
      </c>
      <c r="H77" s="7">
        <v>212.44</v>
      </c>
      <c r="I77" s="7">
        <f t="shared" si="3"/>
        <v>200.54</v>
      </c>
      <c r="J77" s="7">
        <v>189.58</v>
      </c>
      <c r="K77" s="5">
        <f t="shared" si="4"/>
        <v>5.4652438416275952</v>
      </c>
      <c r="L77" s="4">
        <f t="shared" si="5"/>
        <v>4379.4841986984629</v>
      </c>
      <c r="M77" s="2">
        <v>41957</v>
      </c>
      <c r="N77" s="7">
        <v>1.46</v>
      </c>
      <c r="O77" s="7">
        <f t="shared" si="6"/>
        <v>3.058751653468315</v>
      </c>
      <c r="P77" s="7">
        <v>1.0630000000000002</v>
      </c>
      <c r="Q77" s="7">
        <v>1.5589999999999997</v>
      </c>
      <c r="R77" s="6">
        <f t="shared" si="7"/>
        <v>0.34752739693484619</v>
      </c>
      <c r="S77" s="6">
        <f t="shared" si="8"/>
        <v>0.50968505345383353</v>
      </c>
      <c r="T77" s="6">
        <f t="shared" si="9"/>
        <v>0.14278754961132023</v>
      </c>
      <c r="U77" s="4">
        <f t="shared" si="14"/>
        <v>1609.9800807030203</v>
      </c>
      <c r="V77" s="4">
        <f t="shared" si="15"/>
        <v>2361.2031475221147</v>
      </c>
      <c r="W77" s="4">
        <f t="shared" si="10"/>
        <v>3971.1832282251353</v>
      </c>
      <c r="X77" s="4">
        <f t="shared" si="11"/>
        <v>1521.9907434909676</v>
      </c>
      <c r="Y77" s="4">
        <f t="shared" si="12"/>
        <v>2232.1576379138455</v>
      </c>
      <c r="Z77" s="4">
        <f t="shared" si="13"/>
        <v>3754.1483814048133</v>
      </c>
      <c r="AE77" s="3"/>
      <c r="AF77" s="3"/>
      <c r="AG77" s="7"/>
      <c r="AH77" s="7"/>
      <c r="AI77" s="7"/>
      <c r="AJ77" s="7"/>
      <c r="AK77" s="7"/>
      <c r="AL77" s="3"/>
      <c r="AM77" s="9"/>
      <c r="AN77" s="7"/>
      <c r="AO77" s="7"/>
      <c r="AP77" s="7"/>
      <c r="AQ77" s="7"/>
      <c r="AR77" s="9"/>
      <c r="AS77" s="9"/>
      <c r="AT77" s="9"/>
      <c r="AU77" s="3"/>
      <c r="AV77" s="3"/>
      <c r="AW77" s="3"/>
      <c r="AX77" s="3"/>
      <c r="AY77" s="3"/>
      <c r="AZ77" s="3"/>
    </row>
    <row r="78" spans="1:52" x14ac:dyDescent="0.3">
      <c r="A78">
        <v>38</v>
      </c>
      <c r="B78" s="1" t="s">
        <v>76</v>
      </c>
      <c r="C78" s="1" t="s">
        <v>160</v>
      </c>
      <c r="D78" s="2">
        <v>41955</v>
      </c>
      <c r="E78" s="3">
        <v>34.900000000000006</v>
      </c>
      <c r="F78" s="4">
        <f t="shared" si="2"/>
        <v>5335.9807464135492</v>
      </c>
      <c r="G78" s="7">
        <v>11.81</v>
      </c>
      <c r="H78" s="7">
        <v>220.18</v>
      </c>
      <c r="I78" s="7">
        <f t="shared" si="3"/>
        <v>208.37</v>
      </c>
      <c r="J78" s="7">
        <v>198.3</v>
      </c>
      <c r="K78" s="5">
        <f t="shared" si="4"/>
        <v>4.8327494360992427</v>
      </c>
      <c r="L78" s="4">
        <f t="shared" si="5"/>
        <v>5078.1061669808842</v>
      </c>
      <c r="M78" s="2">
        <v>41957</v>
      </c>
      <c r="N78" s="7">
        <v>1.7</v>
      </c>
      <c r="O78" s="7">
        <f t="shared" si="6"/>
        <v>3.5878615143124217</v>
      </c>
      <c r="P78" s="7">
        <v>1.3149999999999999</v>
      </c>
      <c r="Q78" s="7">
        <v>1.9999999999999996</v>
      </c>
      <c r="R78" s="6">
        <f t="shared" si="7"/>
        <v>0.36651358887579771</v>
      </c>
      <c r="S78" s="6">
        <f t="shared" si="8"/>
        <v>0.55743511616090902</v>
      </c>
      <c r="T78" s="6">
        <f t="shared" si="9"/>
        <v>7.6051294963293214E-2</v>
      </c>
      <c r="U78" s="4">
        <f t="shared" si="14"/>
        <v>1955.7094535401877</v>
      </c>
      <c r="V78" s="4">
        <f t="shared" si="15"/>
        <v>2974.4630472094109</v>
      </c>
      <c r="W78" s="4">
        <f t="shared" si="10"/>
        <v>4930.1725007495988</v>
      </c>
      <c r="X78" s="4">
        <f t="shared" si="11"/>
        <v>1861.1949159524847</v>
      </c>
      <c r="Y78" s="4">
        <f t="shared" si="12"/>
        <v>2830.7147010684175</v>
      </c>
      <c r="Z78" s="4">
        <f t="shared" si="13"/>
        <v>4691.9096170209023</v>
      </c>
      <c r="AE78" s="3"/>
      <c r="AF78" s="3"/>
      <c r="AG78" s="7"/>
      <c r="AH78" s="7"/>
      <c r="AI78" s="7"/>
      <c r="AJ78" s="7"/>
      <c r="AK78" s="7"/>
      <c r="AL78" s="3"/>
      <c r="AM78" s="9"/>
      <c r="AN78" s="7"/>
      <c r="AO78" s="7"/>
      <c r="AP78" s="7"/>
      <c r="AQ78" s="7"/>
      <c r="AR78" s="9"/>
      <c r="AS78" s="9"/>
      <c r="AT78" s="9"/>
      <c r="AU78" s="3"/>
      <c r="AV78" s="3"/>
      <c r="AW78" s="3"/>
      <c r="AX78" s="3"/>
      <c r="AY78" s="3"/>
      <c r="AZ78" s="3"/>
    </row>
    <row r="79" spans="1:52" x14ac:dyDescent="0.3">
      <c r="A79">
        <v>39</v>
      </c>
      <c r="B79" s="1" t="s">
        <v>77</v>
      </c>
      <c r="C79" s="1" t="s">
        <v>160</v>
      </c>
      <c r="D79" s="2">
        <v>41955</v>
      </c>
      <c r="E79" s="3">
        <v>31.999999999999996</v>
      </c>
      <c r="F79" s="4">
        <f t="shared" si="2"/>
        <v>4892.5897961384953</v>
      </c>
      <c r="G79" s="7">
        <v>12.03</v>
      </c>
      <c r="H79" s="7">
        <v>242.48</v>
      </c>
      <c r="I79" s="7">
        <f t="shared" si="3"/>
        <v>230.45</v>
      </c>
      <c r="J79" s="7">
        <v>217.72</v>
      </c>
      <c r="K79" s="5">
        <f t="shared" si="4"/>
        <v>5.5239748318507225</v>
      </c>
      <c r="L79" s="4">
        <f t="shared" si="5"/>
        <v>4622.3243671741084</v>
      </c>
      <c r="M79" s="2">
        <v>41957</v>
      </c>
      <c r="N79" s="7">
        <v>1.47</v>
      </c>
      <c r="O79" s="7">
        <f t="shared" si="6"/>
        <v>3.0807978976701529</v>
      </c>
      <c r="P79" s="7">
        <v>1.1259999999999999</v>
      </c>
      <c r="Q79" s="7">
        <v>1.6850000000000001</v>
      </c>
      <c r="R79" s="6">
        <f t="shared" si="7"/>
        <v>0.36548973266033941</v>
      </c>
      <c r="S79" s="6">
        <f t="shared" si="8"/>
        <v>0.54693623404322556</v>
      </c>
      <c r="T79" s="6">
        <f t="shared" si="9"/>
        <v>8.7574033296434983E-2</v>
      </c>
      <c r="U79" s="4">
        <f t="shared" si="14"/>
        <v>1788.1913366073632</v>
      </c>
      <c r="V79" s="4">
        <f t="shared" si="15"/>
        <v>2675.9346378183013</v>
      </c>
      <c r="W79" s="4">
        <f t="shared" si="10"/>
        <v>4464.125974425664</v>
      </c>
      <c r="X79" s="4">
        <f t="shared" si="11"/>
        <v>1689.4120972278374</v>
      </c>
      <c r="Y79" s="4">
        <f t="shared" si="12"/>
        <v>2528.1166819084424</v>
      </c>
      <c r="Z79" s="4">
        <f t="shared" si="13"/>
        <v>4217.5287791362798</v>
      </c>
      <c r="AE79" s="3"/>
      <c r="AF79" s="3"/>
      <c r="AG79" s="7"/>
      <c r="AH79" s="7"/>
      <c r="AI79" s="7"/>
      <c r="AJ79" s="7"/>
      <c r="AK79" s="7"/>
      <c r="AL79" s="3"/>
      <c r="AM79" s="9"/>
      <c r="AN79" s="7"/>
      <c r="AO79" s="7"/>
      <c r="AP79" s="7"/>
      <c r="AQ79" s="7"/>
      <c r="AR79" s="9"/>
      <c r="AS79" s="9"/>
      <c r="AT79" s="9"/>
      <c r="AU79" s="3"/>
      <c r="AV79" s="3"/>
      <c r="AW79" s="3"/>
      <c r="AX79" s="3"/>
      <c r="AY79" s="3"/>
      <c r="AZ79" s="3"/>
    </row>
    <row r="80" spans="1:52" x14ac:dyDescent="0.3">
      <c r="A80">
        <v>40</v>
      </c>
      <c r="B80" s="1" t="s">
        <v>78</v>
      </c>
      <c r="C80" s="1" t="s">
        <v>160</v>
      </c>
      <c r="D80" s="2">
        <v>41955</v>
      </c>
      <c r="E80" s="3">
        <v>30.7</v>
      </c>
      <c r="F80" s="4">
        <f t="shared" si="2"/>
        <v>4693.8283356703696</v>
      </c>
      <c r="G80" s="7">
        <v>11.85</v>
      </c>
      <c r="H80" s="7">
        <v>183.47</v>
      </c>
      <c r="I80" s="7">
        <f t="shared" si="3"/>
        <v>171.62</v>
      </c>
      <c r="J80" s="7">
        <v>162.32</v>
      </c>
      <c r="K80" s="5">
        <f t="shared" si="4"/>
        <v>5.4189488404614909</v>
      </c>
      <c r="L80" s="4">
        <f t="shared" si="5"/>
        <v>4439.4721795013074</v>
      </c>
      <c r="M80" s="2">
        <v>41957</v>
      </c>
      <c r="N80" s="7">
        <v>1.57</v>
      </c>
      <c r="O80" s="7">
        <f t="shared" si="6"/>
        <v>3.3012603396885307</v>
      </c>
      <c r="P80" s="7">
        <v>1.1890000000000001</v>
      </c>
      <c r="Q80" s="7">
        <v>1.8109999999999995</v>
      </c>
      <c r="R80" s="6">
        <f t="shared" si="7"/>
        <v>0.36016547550205646</v>
      </c>
      <c r="S80" s="6">
        <f t="shared" si="8"/>
        <v>0.54857836512550384</v>
      </c>
      <c r="T80" s="6">
        <f t="shared" si="9"/>
        <v>9.1256159372439694E-2</v>
      </c>
      <c r="U80" s="4">
        <f t="shared" si="14"/>
        <v>1690.554914441745</v>
      </c>
      <c r="V80" s="4">
        <f t="shared" si="15"/>
        <v>2574.9326745618159</v>
      </c>
      <c r="W80" s="4">
        <f t="shared" si="10"/>
        <v>4265.487589003561</v>
      </c>
      <c r="X80" s="4">
        <f t="shared" si="11"/>
        <v>1598.9446085082393</v>
      </c>
      <c r="Y80" s="4">
        <f t="shared" si="12"/>
        <v>2435.3983902509844</v>
      </c>
      <c r="Z80" s="4">
        <f t="shared" si="13"/>
        <v>4034.3429987592235</v>
      </c>
      <c r="AE80" s="3"/>
      <c r="AF80" s="3"/>
      <c r="AG80" s="7"/>
      <c r="AH80" s="7"/>
      <c r="AI80" s="7"/>
      <c r="AJ80" s="7"/>
      <c r="AK80" s="7"/>
      <c r="AL80" s="3"/>
      <c r="AM80" s="9"/>
      <c r="AN80" s="7"/>
      <c r="AO80" s="7"/>
      <c r="AP80" s="7"/>
      <c r="AQ80" s="7"/>
      <c r="AR80" s="9"/>
      <c r="AS80" s="9"/>
      <c r="AT80" s="9"/>
      <c r="AU80" s="3"/>
      <c r="AV80" s="3"/>
      <c r="AW80" s="3"/>
      <c r="AX80" s="3"/>
      <c r="AY80" s="3"/>
      <c r="AZ80" s="3"/>
    </row>
    <row r="81" spans="1:52" x14ac:dyDescent="0.3">
      <c r="A81">
        <v>41</v>
      </c>
      <c r="B81" s="1" t="s">
        <v>79</v>
      </c>
      <c r="C81" s="1" t="s">
        <v>160</v>
      </c>
      <c r="D81" s="2">
        <v>41955</v>
      </c>
      <c r="E81" s="3">
        <v>29</v>
      </c>
      <c r="F81" s="4">
        <f t="shared" si="2"/>
        <v>4433.9095027505118</v>
      </c>
      <c r="G81" s="7">
        <v>11.92</v>
      </c>
      <c r="H81" s="7">
        <v>242.66</v>
      </c>
      <c r="I81" s="7">
        <f t="shared" si="3"/>
        <v>230.74</v>
      </c>
      <c r="J81" s="7">
        <v>218.36</v>
      </c>
      <c r="K81" s="5">
        <f t="shared" si="4"/>
        <v>5.3653462771951093</v>
      </c>
      <c r="L81" s="4">
        <f t="shared" si="5"/>
        <v>4196.0149043104875</v>
      </c>
      <c r="M81" s="2">
        <v>41957</v>
      </c>
      <c r="N81" s="7">
        <v>1.49</v>
      </c>
      <c r="O81" s="7">
        <f t="shared" si="6"/>
        <v>3.1248903860738282</v>
      </c>
      <c r="P81" s="7">
        <v>1.1259999999999999</v>
      </c>
      <c r="Q81" s="7">
        <v>1.6850000000000001</v>
      </c>
      <c r="R81" s="6">
        <f t="shared" si="7"/>
        <v>0.36033263919209907</v>
      </c>
      <c r="S81" s="6">
        <f t="shared" si="8"/>
        <v>0.53921891388870957</v>
      </c>
      <c r="T81" s="6">
        <f t="shared" si="9"/>
        <v>0.1004484469191913</v>
      </c>
      <c r="U81" s="4">
        <f t="shared" si="14"/>
        <v>1597.6823130650196</v>
      </c>
      <c r="V81" s="4">
        <f t="shared" si="15"/>
        <v>2390.8478663539595</v>
      </c>
      <c r="W81" s="4">
        <f t="shared" si="10"/>
        <v>3988.5301794189791</v>
      </c>
      <c r="X81" s="4">
        <f t="shared" si="11"/>
        <v>1511.9611245595811</v>
      </c>
      <c r="Y81" s="4">
        <f t="shared" si="12"/>
        <v>2262.5705993631386</v>
      </c>
      <c r="Z81" s="4">
        <f t="shared" si="13"/>
        <v>3774.5317239227197</v>
      </c>
      <c r="AE81" s="3"/>
      <c r="AF81" s="3"/>
      <c r="AG81" s="7"/>
      <c r="AH81" s="7"/>
      <c r="AI81" s="7"/>
      <c r="AJ81" s="7"/>
      <c r="AK81" s="7"/>
      <c r="AL81" s="3"/>
      <c r="AM81" s="9"/>
      <c r="AN81" s="7"/>
      <c r="AO81" s="7"/>
      <c r="AP81" s="7"/>
      <c r="AQ81" s="7"/>
      <c r="AR81" s="9"/>
      <c r="AS81" s="9"/>
      <c r="AT81" s="9"/>
      <c r="AU81" s="3"/>
      <c r="AV81" s="3"/>
      <c r="AW81" s="3"/>
      <c r="AX81" s="3"/>
      <c r="AY81" s="3"/>
      <c r="AZ81" s="3"/>
    </row>
    <row r="82" spans="1:52" x14ac:dyDescent="0.3">
      <c r="A82">
        <v>42</v>
      </c>
      <c r="B82" s="1" t="s">
        <v>80</v>
      </c>
      <c r="C82" s="1" t="s">
        <v>160</v>
      </c>
      <c r="D82" s="2">
        <v>41955</v>
      </c>
      <c r="E82" s="3">
        <v>28.1</v>
      </c>
      <c r="F82" s="4">
        <f t="shared" si="2"/>
        <v>4296.3054147341163</v>
      </c>
      <c r="G82" s="7">
        <v>11.89</v>
      </c>
      <c r="H82" s="7">
        <v>267.75</v>
      </c>
      <c r="I82" s="7">
        <f t="shared" si="3"/>
        <v>255.86</v>
      </c>
      <c r="J82" s="7">
        <v>242.31</v>
      </c>
      <c r="K82" s="5">
        <f t="shared" si="4"/>
        <v>5.2958649261314816</v>
      </c>
      <c r="L82" s="4">
        <f t="shared" si="5"/>
        <v>4068.7788831557245</v>
      </c>
      <c r="M82" s="2">
        <v>41957</v>
      </c>
      <c r="N82" s="7">
        <v>1.73</v>
      </c>
      <c r="O82" s="7">
        <f t="shared" si="6"/>
        <v>3.6540002469179349</v>
      </c>
      <c r="P82" s="7">
        <v>1.3149999999999999</v>
      </c>
      <c r="Q82" s="7">
        <v>1.9999999999999996</v>
      </c>
      <c r="R82" s="6">
        <f t="shared" si="7"/>
        <v>0.35987955969876362</v>
      </c>
      <c r="S82" s="6">
        <f t="shared" si="8"/>
        <v>0.54734533794488749</v>
      </c>
      <c r="T82" s="6">
        <f t="shared" si="9"/>
        <v>9.2775102356348893E-2</v>
      </c>
      <c r="U82" s="4">
        <f t="shared" si="14"/>
        <v>1546.1525009859279</v>
      </c>
      <c r="V82" s="4">
        <f t="shared" si="15"/>
        <v>2351.5627391420949</v>
      </c>
      <c r="W82" s="4">
        <f t="shared" si="10"/>
        <v>3897.7152401280227</v>
      </c>
      <c r="X82" s="4">
        <f t="shared" si="11"/>
        <v>1464.2703529817093</v>
      </c>
      <c r="Y82" s="4">
        <f t="shared" si="12"/>
        <v>2227.0271528238918</v>
      </c>
      <c r="Z82" s="4">
        <f t="shared" si="13"/>
        <v>3691.2975058056008</v>
      </c>
      <c r="AE82" s="3"/>
      <c r="AF82" s="3"/>
      <c r="AG82" s="7"/>
      <c r="AH82" s="7"/>
      <c r="AI82" s="7"/>
      <c r="AJ82" s="7"/>
      <c r="AK82" s="7"/>
      <c r="AL82" s="3"/>
      <c r="AM82" s="9"/>
      <c r="AN82" s="7"/>
      <c r="AO82" s="7"/>
      <c r="AP82" s="7"/>
      <c r="AQ82" s="7"/>
      <c r="AR82" s="9"/>
      <c r="AS82" s="9"/>
      <c r="AT82" s="9"/>
      <c r="AU82" s="3"/>
      <c r="AV82" s="3"/>
      <c r="AW82" s="3"/>
      <c r="AX82" s="3"/>
      <c r="AY82" s="3"/>
      <c r="AZ82" s="3"/>
    </row>
    <row r="83" spans="1:52" x14ac:dyDescent="0.3">
      <c r="A83">
        <v>43</v>
      </c>
      <c r="B83" s="1" t="s">
        <v>81</v>
      </c>
      <c r="C83" s="1" t="s">
        <v>160</v>
      </c>
      <c r="D83" s="2">
        <v>41955</v>
      </c>
      <c r="E83" s="3">
        <v>24</v>
      </c>
      <c r="F83" s="4">
        <f t="shared" si="2"/>
        <v>3669.4423471038722</v>
      </c>
      <c r="G83" s="7">
        <v>11.93</v>
      </c>
      <c r="H83" s="7">
        <v>282.49</v>
      </c>
      <c r="I83" s="7">
        <f t="shared" si="3"/>
        <v>270.56</v>
      </c>
      <c r="J83" s="7">
        <v>254.84</v>
      </c>
      <c r="K83" s="5">
        <f t="shared" si="4"/>
        <v>5.8101714961561202</v>
      </c>
      <c r="L83" s="4">
        <f t="shared" si="5"/>
        <v>3456.2414537845607</v>
      </c>
      <c r="M83" s="2">
        <v>41957</v>
      </c>
      <c r="N83" s="7">
        <v>1.64</v>
      </c>
      <c r="O83" s="7">
        <f t="shared" si="6"/>
        <v>3.4555840491013949</v>
      </c>
      <c r="P83" s="7">
        <v>1.1890000000000001</v>
      </c>
      <c r="Q83" s="7">
        <v>1.8109999999999995</v>
      </c>
      <c r="R83" s="6">
        <f t="shared" si="7"/>
        <v>0.34408076409230814</v>
      </c>
      <c r="S83" s="6">
        <f t="shared" si="8"/>
        <v>0.5240792798748275</v>
      </c>
      <c r="T83" s="6">
        <f t="shared" si="9"/>
        <v>0.13183995603286436</v>
      </c>
      <c r="U83" s="4">
        <f t="shared" si="14"/>
        <v>1262.5845265841729</v>
      </c>
      <c r="V83" s="4">
        <f t="shared" si="15"/>
        <v>1923.0787028123941</v>
      </c>
      <c r="W83" s="4">
        <f t="shared" si="10"/>
        <v>3185.6632293965667</v>
      </c>
      <c r="X83" s="4">
        <f t="shared" si="11"/>
        <v>1189.2262003057015</v>
      </c>
      <c r="Y83" s="4">
        <f t="shared" si="12"/>
        <v>1811.3445321729394</v>
      </c>
      <c r="Z83" s="4">
        <f t="shared" si="13"/>
        <v>3000.5707324786408</v>
      </c>
      <c r="AE83" s="3"/>
      <c r="AF83" s="3"/>
      <c r="AG83" s="7"/>
      <c r="AH83" s="7"/>
      <c r="AI83" s="7"/>
      <c r="AJ83" s="7"/>
      <c r="AK83" s="7"/>
      <c r="AL83" s="3"/>
      <c r="AM83" s="9"/>
      <c r="AN83" s="7"/>
      <c r="AO83" s="7"/>
      <c r="AP83" s="7"/>
      <c r="AQ83" s="7"/>
      <c r="AR83" s="9"/>
      <c r="AS83" s="9"/>
      <c r="AT83" s="9"/>
      <c r="AU83" s="3"/>
      <c r="AV83" s="3"/>
      <c r="AW83" s="3"/>
      <c r="AX83" s="3"/>
      <c r="AY83" s="3"/>
      <c r="AZ83" s="3"/>
    </row>
    <row r="84" spans="1:52" x14ac:dyDescent="0.3">
      <c r="A84">
        <v>44</v>
      </c>
      <c r="B84" s="1" t="s">
        <v>82</v>
      </c>
      <c r="C84" s="1" t="s">
        <v>160</v>
      </c>
      <c r="D84" s="2">
        <v>41955</v>
      </c>
      <c r="E84" s="3">
        <v>22.2</v>
      </c>
      <c r="F84" s="4">
        <f t="shared" si="2"/>
        <v>3394.2341710710816</v>
      </c>
      <c r="G84" s="7">
        <v>11.93</v>
      </c>
      <c r="H84" s="7">
        <v>231.52</v>
      </c>
      <c r="I84" s="7">
        <f t="shared" si="3"/>
        <v>219.59</v>
      </c>
      <c r="J84" s="7">
        <v>207.7</v>
      </c>
      <c r="K84" s="5">
        <f t="shared" si="4"/>
        <v>5.4146363677763167</v>
      </c>
      <c r="L84" s="4">
        <f t="shared" si="5"/>
        <v>3210.4487332367758</v>
      </c>
      <c r="M84" s="2">
        <v>41957</v>
      </c>
      <c r="N84" s="7">
        <v>1.6</v>
      </c>
      <c r="O84" s="7">
        <f t="shared" si="6"/>
        <v>3.3673990722940439</v>
      </c>
      <c r="P84" s="7">
        <v>1.2520000000000002</v>
      </c>
      <c r="Q84" s="7">
        <v>1.8740000000000001</v>
      </c>
      <c r="R84" s="6">
        <f t="shared" si="7"/>
        <v>0.37180030436578876</v>
      </c>
      <c r="S84" s="6">
        <f t="shared" si="8"/>
        <v>0.55651259615134829</v>
      </c>
      <c r="T84" s="6">
        <f t="shared" si="9"/>
        <v>7.1687099482863004E-2</v>
      </c>
      <c r="U84" s="4">
        <f t="shared" si="14"/>
        <v>1261.9772978929889</v>
      </c>
      <c r="V84" s="4">
        <f t="shared" si="15"/>
        <v>1888.9340704883873</v>
      </c>
      <c r="W84" s="4">
        <f t="shared" si="10"/>
        <v>3150.9113683813762</v>
      </c>
      <c r="X84" s="4">
        <f t="shared" si="11"/>
        <v>1193.6458161681942</v>
      </c>
      <c r="Y84" s="4">
        <f t="shared" si="12"/>
        <v>1786.6551593444055</v>
      </c>
      <c r="Z84" s="4">
        <f t="shared" si="13"/>
        <v>2980.3009755125995</v>
      </c>
      <c r="AE84" s="3"/>
      <c r="AF84" s="3"/>
      <c r="AG84" s="7"/>
      <c r="AH84" s="7"/>
      <c r="AI84" s="7"/>
      <c r="AJ84" s="7"/>
      <c r="AK84" s="7"/>
      <c r="AL84" s="3"/>
      <c r="AM84" s="9"/>
      <c r="AN84" s="7"/>
      <c r="AO84" s="7"/>
      <c r="AP84" s="7"/>
      <c r="AQ84" s="7"/>
      <c r="AR84" s="9"/>
      <c r="AS84" s="9"/>
      <c r="AT84" s="9"/>
      <c r="AU84" s="3"/>
      <c r="AV84" s="3"/>
      <c r="AW84" s="3"/>
      <c r="AX84" s="3"/>
      <c r="AY84" s="3"/>
      <c r="AZ84" s="3"/>
    </row>
    <row r="85" spans="1:52" x14ac:dyDescent="0.3">
      <c r="A85">
        <v>45</v>
      </c>
      <c r="B85" s="1" t="s">
        <v>83</v>
      </c>
      <c r="C85" s="1" t="s">
        <v>160</v>
      </c>
      <c r="D85" s="2">
        <v>41955</v>
      </c>
      <c r="E85" s="3">
        <v>28.7</v>
      </c>
      <c r="F85" s="4">
        <f t="shared" si="2"/>
        <v>4388.0414734117139</v>
      </c>
      <c r="G85" s="7">
        <v>11.93</v>
      </c>
      <c r="H85" s="7">
        <v>223.71</v>
      </c>
      <c r="I85" s="7">
        <f t="shared" si="3"/>
        <v>211.78</v>
      </c>
      <c r="J85" s="7">
        <v>200.58</v>
      </c>
      <c r="K85" s="5">
        <f t="shared" si="4"/>
        <v>5.2885069411653554</v>
      </c>
      <c r="L85" s="4">
        <f t="shared" si="5"/>
        <v>4155.9795955091204</v>
      </c>
      <c r="M85" s="2">
        <v>41957</v>
      </c>
      <c r="N85" s="7">
        <v>1.44</v>
      </c>
      <c r="O85" s="7">
        <f t="shared" si="6"/>
        <v>3.0146591650646393</v>
      </c>
      <c r="P85" s="7">
        <v>1.0630000000000002</v>
      </c>
      <c r="Q85" s="7">
        <v>1.6220000000000003</v>
      </c>
      <c r="R85" s="6">
        <f t="shared" si="7"/>
        <v>0.35261034226308885</v>
      </c>
      <c r="S85" s="6">
        <f t="shared" si="8"/>
        <v>0.53803760597434636</v>
      </c>
      <c r="T85" s="6">
        <f t="shared" si="9"/>
        <v>0.10935205176256479</v>
      </c>
      <c r="U85" s="4">
        <f t="shared" si="14"/>
        <v>1547.2688058043332</v>
      </c>
      <c r="V85" s="4">
        <f t="shared" si="15"/>
        <v>2360.931329270582</v>
      </c>
      <c r="W85" s="4">
        <f t="shared" si="10"/>
        <v>3908.2001350749151</v>
      </c>
      <c r="X85" s="4">
        <f t="shared" si="11"/>
        <v>1465.4413876108845</v>
      </c>
      <c r="Y85" s="4">
        <f t="shared" si="12"/>
        <v>2236.0733120459595</v>
      </c>
      <c r="Z85" s="4">
        <f t="shared" si="13"/>
        <v>3701.5146996568437</v>
      </c>
      <c r="AB85" t="s">
        <v>30</v>
      </c>
      <c r="AC85" t="str">
        <f>C85</f>
        <v>Machine</v>
      </c>
      <c r="AD85" s="8">
        <f>D85</f>
        <v>41955</v>
      </c>
      <c r="AE85" s="3">
        <f>SUM(E85:E95)</f>
        <v>357.9</v>
      </c>
      <c r="AF85" s="3">
        <f>AE85*$A$29/($A$30*11)*$A$32</f>
        <v>4974.5962728351351</v>
      </c>
      <c r="AG85" s="7">
        <f>SUM(G85:G95)</f>
        <v>131.14000000000001</v>
      </c>
      <c r="AH85" s="7">
        <f>SUM(H85:H95)</f>
        <v>2420.2600000000002</v>
      </c>
      <c r="AI85" s="7">
        <f>AH85-AG85</f>
        <v>2289.1200000000003</v>
      </c>
      <c r="AJ85" s="7">
        <f>SUM(J85:J95)</f>
        <v>2163.81</v>
      </c>
      <c r="AK85" s="7">
        <f>(AI85-AJ85)/AI85*100</f>
        <v>5.4741560075487685</v>
      </c>
      <c r="AL85" s="3">
        <f>AF85*(1-AK85/100)</f>
        <v>4702.2791121144337</v>
      </c>
      <c r="AM85" s="11">
        <f>M85</f>
        <v>41957</v>
      </c>
      <c r="AN85" s="7">
        <f>SUM(N85:N95)</f>
        <v>18.2</v>
      </c>
      <c r="AO85" s="7">
        <f>AN85/$A$29-$A$33*11</f>
        <v>38.364164447344749</v>
      </c>
      <c r="AP85" s="7">
        <f>SUM(P85:P95)</f>
        <v>13.260000000000002</v>
      </c>
      <c r="AQ85" s="7">
        <f>SUM(Q85:Q95)</f>
        <v>20.488</v>
      </c>
      <c r="AR85" s="9">
        <f>AP85/AO85</f>
        <v>0.34563505268567762</v>
      </c>
      <c r="AS85" s="9">
        <f>AQ85/AO85</f>
        <v>0.53404004218885082</v>
      </c>
      <c r="AT85" s="9">
        <f>1-AR85-AS85</f>
        <v>0.12032490512547156</v>
      </c>
      <c r="AU85" s="3">
        <f>AF85*AR85</f>
        <v>1719.3948448513474</v>
      </c>
      <c r="AV85" s="3">
        <f>AF85*AS85</f>
        <v>2656.6336034173755</v>
      </c>
      <c r="AW85" s="3">
        <f>AU85+AV85</f>
        <v>4376.028448268723</v>
      </c>
      <c r="AX85" s="3">
        <f>AL85*AR85</f>
        <v>1625.2724886584338</v>
      </c>
      <c r="AY85" s="3">
        <f>AL85*AS85</f>
        <v>2511.205335417344</v>
      </c>
      <c r="AZ85" s="3">
        <f>AX85+AY85</f>
        <v>4136.4778240757778</v>
      </c>
    </row>
    <row r="86" spans="1:52" x14ac:dyDescent="0.3">
      <c r="A86">
        <v>46</v>
      </c>
      <c r="B86" s="1" t="s">
        <v>84</v>
      </c>
      <c r="C86" s="1" t="s">
        <v>160</v>
      </c>
      <c r="D86" s="2">
        <v>41955</v>
      </c>
      <c r="E86" s="3">
        <v>30.3</v>
      </c>
      <c r="F86" s="4">
        <f t="shared" si="2"/>
        <v>4632.6709632186394</v>
      </c>
      <c r="G86" s="7">
        <v>11.9</v>
      </c>
      <c r="H86" s="7">
        <v>212.01</v>
      </c>
      <c r="I86" s="7">
        <f t="shared" si="3"/>
        <v>200.10999999999999</v>
      </c>
      <c r="J86" s="7">
        <v>189.69</v>
      </c>
      <c r="K86" s="5">
        <f t="shared" si="4"/>
        <v>5.2071360751586564</v>
      </c>
      <c r="L86" s="4">
        <f t="shared" si="5"/>
        <v>4391.4414822494819</v>
      </c>
      <c r="M86" s="2">
        <v>41957</v>
      </c>
      <c r="N86" s="7">
        <v>1.63</v>
      </c>
      <c r="O86" s="7">
        <f t="shared" si="6"/>
        <v>3.4335378048995571</v>
      </c>
      <c r="P86" s="7">
        <v>1.1890000000000001</v>
      </c>
      <c r="Q86" s="7">
        <v>1.8740000000000001</v>
      </c>
      <c r="R86" s="6">
        <f t="shared" si="7"/>
        <v>0.34629005636790489</v>
      </c>
      <c r="S86" s="6">
        <f t="shared" si="8"/>
        <v>0.54579273812737916</v>
      </c>
      <c r="T86" s="6">
        <f t="shared" si="9"/>
        <v>0.10791720550471595</v>
      </c>
      <c r="U86" s="4">
        <f t="shared" si="14"/>
        <v>1604.247888986939</v>
      </c>
      <c r="V86" s="4">
        <f t="shared" si="15"/>
        <v>2528.4781698583042</v>
      </c>
      <c r="W86" s="4">
        <f t="shared" si="10"/>
        <v>4132.7260588452427</v>
      </c>
      <c r="X86" s="4">
        <f t="shared" si="11"/>
        <v>1520.7125184245288</v>
      </c>
      <c r="Y86" s="4">
        <f t="shared" si="12"/>
        <v>2396.8168709231013</v>
      </c>
      <c r="Z86" s="4">
        <f t="shared" si="13"/>
        <v>3917.5293893476301</v>
      </c>
      <c r="AE86" s="3"/>
      <c r="AF86" s="3"/>
      <c r="AG86" s="7"/>
      <c r="AH86" s="7"/>
      <c r="AI86" s="7"/>
      <c r="AJ86" s="7"/>
      <c r="AK86" s="7"/>
      <c r="AL86" s="3"/>
      <c r="AM86" s="9"/>
      <c r="AN86" s="7"/>
      <c r="AO86" s="7"/>
      <c r="AP86" s="7"/>
      <c r="AQ86" s="7"/>
      <c r="AR86" s="9"/>
      <c r="AS86" s="9"/>
      <c r="AT86" s="9"/>
      <c r="AU86" s="3"/>
      <c r="AV86" s="3"/>
      <c r="AW86" s="3"/>
      <c r="AX86" s="3"/>
      <c r="AY86" s="3"/>
      <c r="AZ86" s="3"/>
    </row>
    <row r="87" spans="1:52" x14ac:dyDescent="0.3">
      <c r="A87">
        <v>47</v>
      </c>
      <c r="B87" s="1" t="s">
        <v>85</v>
      </c>
      <c r="C87" s="1" t="s">
        <v>160</v>
      </c>
      <c r="D87" s="2">
        <v>41955</v>
      </c>
      <c r="E87" s="3">
        <v>36.599999999999994</v>
      </c>
      <c r="F87" s="4">
        <f t="shared" si="2"/>
        <v>5595.8995793334043</v>
      </c>
      <c r="G87" s="7">
        <v>11.93</v>
      </c>
      <c r="H87" s="7">
        <v>229.04</v>
      </c>
      <c r="I87" s="7">
        <f t="shared" si="3"/>
        <v>217.10999999999999</v>
      </c>
      <c r="J87" s="7">
        <v>203.84</v>
      </c>
      <c r="K87" s="5">
        <f t="shared" si="4"/>
        <v>6.1121090691354532</v>
      </c>
      <c r="L87" s="4">
        <f t="shared" si="5"/>
        <v>5253.8720936452546</v>
      </c>
      <c r="M87" s="2">
        <v>41957</v>
      </c>
      <c r="N87" s="7">
        <v>1.67</v>
      </c>
      <c r="O87" s="7">
        <f t="shared" si="6"/>
        <v>3.5217227817069081</v>
      </c>
      <c r="P87" s="7">
        <v>1.1890000000000001</v>
      </c>
      <c r="Q87" s="7">
        <v>1.8740000000000001</v>
      </c>
      <c r="R87" s="6">
        <f t="shared" si="7"/>
        <v>0.33761885125544028</v>
      </c>
      <c r="S87" s="6">
        <f t="shared" si="8"/>
        <v>0.53212592704179573</v>
      </c>
      <c r="T87" s="6">
        <f t="shared" si="9"/>
        <v>0.13025522170276393</v>
      </c>
      <c r="U87" s="4">
        <f t="shared" si="14"/>
        <v>1889.2811877153454</v>
      </c>
      <c r="V87" s="4">
        <f t="shared" si="15"/>
        <v>2977.7232512855826</v>
      </c>
      <c r="W87" s="4">
        <f t="shared" si="10"/>
        <v>4867.004439000928</v>
      </c>
      <c r="X87" s="4">
        <f t="shared" si="11"/>
        <v>1773.8062608995258</v>
      </c>
      <c r="Y87" s="4">
        <f t="shared" si="12"/>
        <v>2795.7215583900015</v>
      </c>
      <c r="Z87" s="4">
        <f t="shared" si="13"/>
        <v>4569.5278192895275</v>
      </c>
      <c r="AE87" s="3"/>
      <c r="AF87" s="3"/>
      <c r="AG87" s="7"/>
      <c r="AH87" s="7"/>
      <c r="AI87" s="7"/>
      <c r="AJ87" s="7"/>
      <c r="AK87" s="7"/>
      <c r="AL87" s="3"/>
      <c r="AM87" s="9"/>
      <c r="AN87" s="7"/>
      <c r="AO87" s="7"/>
      <c r="AP87" s="7"/>
      <c r="AQ87" s="7"/>
      <c r="AR87" s="9"/>
      <c r="AS87" s="9"/>
      <c r="AT87" s="9"/>
      <c r="AU87" s="3"/>
      <c r="AV87" s="3"/>
      <c r="AW87" s="3"/>
      <c r="AX87" s="3"/>
      <c r="AY87" s="3"/>
      <c r="AZ87" s="3"/>
    </row>
    <row r="88" spans="1:52" x14ac:dyDescent="0.3">
      <c r="A88">
        <v>48</v>
      </c>
      <c r="B88" s="1" t="s">
        <v>86</v>
      </c>
      <c r="C88" s="1" t="s">
        <v>160</v>
      </c>
      <c r="D88" s="2">
        <v>41955</v>
      </c>
      <c r="E88" s="3">
        <v>41</v>
      </c>
      <c r="F88" s="4">
        <f t="shared" si="2"/>
        <v>6268.6306763024477</v>
      </c>
      <c r="G88" s="7">
        <v>11.91</v>
      </c>
      <c r="H88" s="7">
        <v>206.46</v>
      </c>
      <c r="I88" s="7">
        <f t="shared" si="3"/>
        <v>194.55</v>
      </c>
      <c r="J88" s="7">
        <v>184.13</v>
      </c>
      <c r="K88" s="5">
        <f t="shared" si="4"/>
        <v>5.3559496273451632</v>
      </c>
      <c r="L88" s="4">
        <f t="shared" si="5"/>
        <v>5932.8859749553822</v>
      </c>
      <c r="M88" s="2">
        <v>41957</v>
      </c>
      <c r="N88" s="7">
        <v>1.69</v>
      </c>
      <c r="O88" s="7">
        <f t="shared" si="6"/>
        <v>3.5658152701105839</v>
      </c>
      <c r="P88" s="7">
        <v>1.1890000000000001</v>
      </c>
      <c r="Q88" s="7">
        <v>1.9369999999999998</v>
      </c>
      <c r="R88" s="6">
        <f t="shared" si="7"/>
        <v>0.33344408218968857</v>
      </c>
      <c r="S88" s="6">
        <f t="shared" si="8"/>
        <v>0.54321378233929918</v>
      </c>
      <c r="T88" s="6">
        <f t="shared" si="9"/>
        <v>0.12334213547101225</v>
      </c>
      <c r="U88" s="4">
        <f t="shared" si="14"/>
        <v>2090.2378024457962</v>
      </c>
      <c r="V88" s="4">
        <f t="shared" si="15"/>
        <v>3405.2065797624118</v>
      </c>
      <c r="W88" s="4">
        <f t="shared" si="10"/>
        <v>5495.4443822082085</v>
      </c>
      <c r="X88" s="4">
        <f t="shared" si="11"/>
        <v>1978.285718655073</v>
      </c>
      <c r="Y88" s="4">
        <f t="shared" si="12"/>
        <v>3222.8254306432937</v>
      </c>
      <c r="Z88" s="4">
        <f t="shared" si="13"/>
        <v>5201.1111492983664</v>
      </c>
      <c r="AE88" s="3"/>
      <c r="AF88" s="3"/>
      <c r="AG88" s="7"/>
      <c r="AH88" s="7"/>
      <c r="AI88" s="7"/>
      <c r="AJ88" s="7"/>
      <c r="AK88" s="7"/>
      <c r="AL88" s="3"/>
      <c r="AM88" s="9"/>
      <c r="AN88" s="7"/>
      <c r="AO88" s="7"/>
      <c r="AP88" s="7"/>
      <c r="AQ88" s="7"/>
      <c r="AR88" s="9"/>
      <c r="AS88" s="9"/>
      <c r="AT88" s="9"/>
      <c r="AU88" s="3"/>
      <c r="AV88" s="3"/>
      <c r="AW88" s="3"/>
      <c r="AX88" s="3"/>
      <c r="AY88" s="3"/>
      <c r="AZ88" s="3"/>
    </row>
    <row r="89" spans="1:52" x14ac:dyDescent="0.3">
      <c r="A89">
        <v>49</v>
      </c>
      <c r="B89" s="1" t="s">
        <v>87</v>
      </c>
      <c r="C89" s="1" t="s">
        <v>160</v>
      </c>
      <c r="D89" s="2">
        <v>41955</v>
      </c>
      <c r="E89" s="3">
        <v>35.699999999999996</v>
      </c>
      <c r="F89" s="4">
        <f t="shared" si="2"/>
        <v>5458.2954913170088</v>
      </c>
      <c r="G89" s="7">
        <v>11.91</v>
      </c>
      <c r="H89" s="7">
        <v>200.42</v>
      </c>
      <c r="I89" s="7">
        <f t="shared" si="3"/>
        <v>188.51</v>
      </c>
      <c r="J89" s="7">
        <v>177.86</v>
      </c>
      <c r="K89" s="5">
        <f t="shared" si="4"/>
        <v>5.6495676621929753</v>
      </c>
      <c r="L89" s="4">
        <f t="shared" si="5"/>
        <v>5149.9253943326257</v>
      </c>
      <c r="M89" s="2">
        <v>41957</v>
      </c>
      <c r="N89" s="7">
        <v>1.75</v>
      </c>
      <c r="O89" s="7">
        <f t="shared" si="6"/>
        <v>3.6980927353216106</v>
      </c>
      <c r="P89" s="7">
        <v>1.2520000000000002</v>
      </c>
      <c r="Q89" s="7">
        <v>1.9999999999999996</v>
      </c>
      <c r="R89" s="6">
        <f t="shared" si="7"/>
        <v>0.33855289458854471</v>
      </c>
      <c r="S89" s="6">
        <f t="shared" si="8"/>
        <v>0.54081932042898495</v>
      </c>
      <c r="T89" s="6">
        <f t="shared" si="9"/>
        <v>0.12062778498247029</v>
      </c>
      <c r="U89" s="4">
        <f t="shared" ref="U89:U120" si="16">F89*R89</f>
        <v>1847.9217381049762</v>
      </c>
      <c r="V89" s="4">
        <f t="shared" ref="V89:V120" si="17">F89*S89</f>
        <v>2951.9516583146574</v>
      </c>
      <c r="W89" s="4">
        <f t="shared" si="10"/>
        <v>4799.8733964196335</v>
      </c>
      <c r="X89" s="4">
        <f t="shared" si="11"/>
        <v>1743.5221491663631</v>
      </c>
      <c r="Y89" s="4">
        <f t="shared" si="12"/>
        <v>2785.1791520229431</v>
      </c>
      <c r="Z89" s="4">
        <f t="shared" si="13"/>
        <v>4528.7013011893059</v>
      </c>
      <c r="AE89" s="3"/>
      <c r="AF89" s="3"/>
      <c r="AG89" s="7"/>
      <c r="AH89" s="7"/>
      <c r="AI89" s="7"/>
      <c r="AJ89" s="7"/>
      <c r="AK89" s="7"/>
      <c r="AL89" s="3"/>
      <c r="AM89" s="9"/>
      <c r="AN89" s="7"/>
      <c r="AO89" s="7"/>
      <c r="AP89" s="7"/>
      <c r="AQ89" s="7"/>
      <c r="AR89" s="9"/>
      <c r="AS89" s="9"/>
      <c r="AT89" s="9"/>
      <c r="AU89" s="3"/>
      <c r="AV89" s="3"/>
      <c r="AW89" s="3"/>
      <c r="AX89" s="3"/>
      <c r="AY89" s="3"/>
      <c r="AZ89" s="3"/>
    </row>
    <row r="90" spans="1:52" x14ac:dyDescent="0.3">
      <c r="A90">
        <v>50</v>
      </c>
      <c r="B90" s="1" t="s">
        <v>88</v>
      </c>
      <c r="C90" s="1" t="s">
        <v>160</v>
      </c>
      <c r="D90" s="2">
        <v>41955</v>
      </c>
      <c r="E90" s="3">
        <v>34.199999999999996</v>
      </c>
      <c r="F90" s="4">
        <f t="shared" si="2"/>
        <v>5228.9553446230166</v>
      </c>
      <c r="G90" s="7">
        <v>11.9</v>
      </c>
      <c r="H90" s="7">
        <v>222.65</v>
      </c>
      <c r="I90" s="7">
        <f t="shared" si="3"/>
        <v>210.75</v>
      </c>
      <c r="J90" s="7">
        <v>199.2</v>
      </c>
      <c r="K90" s="5">
        <f t="shared" si="4"/>
        <v>5.4804270462633502</v>
      </c>
      <c r="L90" s="4">
        <f t="shared" si="5"/>
        <v>4942.386261679264</v>
      </c>
      <c r="M90" s="2">
        <v>41957</v>
      </c>
      <c r="N90" s="7">
        <v>1.48</v>
      </c>
      <c r="O90" s="7">
        <f t="shared" si="6"/>
        <v>3.1028441418719908</v>
      </c>
      <c r="P90" s="7">
        <v>0.99999999999999989</v>
      </c>
      <c r="Q90" s="7">
        <v>1.6220000000000003</v>
      </c>
      <c r="R90" s="6">
        <f t="shared" si="7"/>
        <v>0.32228495995183482</v>
      </c>
      <c r="S90" s="6">
        <f t="shared" si="8"/>
        <v>0.5227462050418763</v>
      </c>
      <c r="T90" s="6">
        <f t="shared" si="9"/>
        <v>0.15496883500628889</v>
      </c>
      <c r="U90" s="4">
        <f t="shared" si="16"/>
        <v>1685.2136638317616</v>
      </c>
      <c r="V90" s="4">
        <f t="shared" si="17"/>
        <v>2733.4165627351185</v>
      </c>
      <c r="W90" s="4">
        <f t="shared" si="10"/>
        <v>4418.6302265668801</v>
      </c>
      <c r="X90" s="4">
        <f t="shared" si="11"/>
        <v>1592.8567584118002</v>
      </c>
      <c r="Y90" s="4">
        <f t="shared" si="12"/>
        <v>2583.6136621439409</v>
      </c>
      <c r="Z90" s="4">
        <f t="shared" si="13"/>
        <v>4176.4704205557409</v>
      </c>
      <c r="AE90" s="3"/>
      <c r="AF90" s="3"/>
      <c r="AG90" s="7"/>
      <c r="AH90" s="7"/>
      <c r="AI90" s="7"/>
      <c r="AJ90" s="7"/>
      <c r="AK90" s="7"/>
      <c r="AL90" s="3"/>
      <c r="AM90" s="9"/>
      <c r="AN90" s="7"/>
      <c r="AO90" s="7"/>
      <c r="AP90" s="7"/>
      <c r="AQ90" s="7"/>
      <c r="AR90" s="9"/>
      <c r="AS90" s="9"/>
      <c r="AT90" s="9"/>
      <c r="AU90" s="3"/>
      <c r="AV90" s="3"/>
      <c r="AW90" s="3"/>
      <c r="AX90" s="3"/>
      <c r="AY90" s="3"/>
      <c r="AZ90" s="3"/>
    </row>
    <row r="91" spans="1:52" x14ac:dyDescent="0.3">
      <c r="A91">
        <v>51</v>
      </c>
      <c r="B91" s="1" t="s">
        <v>89</v>
      </c>
      <c r="C91" s="1" t="s">
        <v>160</v>
      </c>
      <c r="D91" s="2">
        <v>41955</v>
      </c>
      <c r="E91" s="3">
        <v>34.599999999999994</v>
      </c>
      <c r="F91" s="4">
        <f t="shared" si="2"/>
        <v>5290.1127170747486</v>
      </c>
      <c r="G91" s="7">
        <v>11.92</v>
      </c>
      <c r="H91" s="7">
        <v>256.89999999999998</v>
      </c>
      <c r="I91" s="7">
        <f t="shared" si="3"/>
        <v>244.98</v>
      </c>
      <c r="J91" s="7">
        <v>230.2</v>
      </c>
      <c r="K91" s="5">
        <f t="shared" si="4"/>
        <v>6.033145562903095</v>
      </c>
      <c r="L91" s="4">
        <f t="shared" si="5"/>
        <v>4970.9525164119814</v>
      </c>
      <c r="M91" s="2">
        <v>41957</v>
      </c>
      <c r="N91" s="7">
        <v>1.68</v>
      </c>
      <c r="O91" s="7">
        <f t="shared" si="6"/>
        <v>3.543769025908746</v>
      </c>
      <c r="P91" s="7">
        <v>1.1259999999999999</v>
      </c>
      <c r="Q91" s="7">
        <v>1.6850000000000001</v>
      </c>
      <c r="R91" s="6">
        <f t="shared" si="7"/>
        <v>0.31774079850231046</v>
      </c>
      <c r="S91" s="6">
        <f t="shared" si="8"/>
        <v>0.47548245601811118</v>
      </c>
      <c r="T91" s="6">
        <f t="shared" si="9"/>
        <v>0.20677674547957842</v>
      </c>
      <c r="U91" s="4">
        <f t="shared" si="16"/>
        <v>1680.8846388905579</v>
      </c>
      <c r="V91" s="4">
        <f t="shared" si="17"/>
        <v>2515.3557873273448</v>
      </c>
      <c r="W91" s="4">
        <f t="shared" si="10"/>
        <v>4196.2404262179025</v>
      </c>
      <c r="X91" s="4">
        <f t="shared" si="11"/>
        <v>1579.4744218818125</v>
      </c>
      <c r="Y91" s="4">
        <f t="shared" si="12"/>
        <v>2363.6007112529792</v>
      </c>
      <c r="Z91" s="4">
        <f t="shared" si="13"/>
        <v>3943.0751331347919</v>
      </c>
      <c r="AE91" s="3"/>
      <c r="AF91" s="3"/>
      <c r="AG91" s="7"/>
      <c r="AH91" s="7"/>
      <c r="AI91" s="7"/>
      <c r="AJ91" s="7"/>
      <c r="AK91" s="7"/>
      <c r="AL91" s="3"/>
      <c r="AM91" s="9"/>
      <c r="AN91" s="7"/>
      <c r="AO91" s="7"/>
      <c r="AP91" s="7"/>
      <c r="AQ91" s="7"/>
      <c r="AR91" s="9"/>
      <c r="AS91" s="9"/>
      <c r="AT91" s="9"/>
      <c r="AU91" s="3"/>
      <c r="AV91" s="3"/>
      <c r="AW91" s="3"/>
      <c r="AX91" s="3"/>
      <c r="AY91" s="3"/>
      <c r="AZ91" s="3"/>
    </row>
    <row r="92" spans="1:52" x14ac:dyDescent="0.3">
      <c r="A92">
        <v>52</v>
      </c>
      <c r="B92" s="1" t="s">
        <v>90</v>
      </c>
      <c r="C92" s="1" t="s">
        <v>160</v>
      </c>
      <c r="D92" s="2">
        <v>41955</v>
      </c>
      <c r="E92" s="3">
        <v>35.700000000000003</v>
      </c>
      <c r="F92" s="4">
        <f t="shared" si="2"/>
        <v>5458.2954913170097</v>
      </c>
      <c r="G92" s="7">
        <v>11.86</v>
      </c>
      <c r="H92" s="7">
        <v>230.88</v>
      </c>
      <c r="I92" s="7">
        <f t="shared" si="3"/>
        <v>219.01999999999998</v>
      </c>
      <c r="J92" s="7">
        <v>206.04</v>
      </c>
      <c r="K92" s="5">
        <f t="shared" si="4"/>
        <v>5.9263994155784818</v>
      </c>
      <c r="L92" s="4">
        <f t="shared" si="5"/>
        <v>5134.8150992190513</v>
      </c>
      <c r="M92" s="2">
        <v>41957</v>
      </c>
      <c r="N92" s="7">
        <v>1.7</v>
      </c>
      <c r="O92" s="7">
        <f t="shared" si="6"/>
        <v>3.5878615143124217</v>
      </c>
      <c r="P92" s="7">
        <v>1.3149999999999999</v>
      </c>
      <c r="Q92" s="7">
        <v>1.9369999999999998</v>
      </c>
      <c r="R92" s="6">
        <f t="shared" si="7"/>
        <v>0.36651358887579771</v>
      </c>
      <c r="S92" s="6">
        <f t="shared" si="8"/>
        <v>0.53987591000184043</v>
      </c>
      <c r="T92" s="6">
        <f t="shared" si="9"/>
        <v>9.36105011223618E-2</v>
      </c>
      <c r="U92" s="4">
        <f t="shared" si="16"/>
        <v>2000.5394696671829</v>
      </c>
      <c r="V92" s="4">
        <f t="shared" si="17"/>
        <v>2946.8022454337133</v>
      </c>
      <c r="W92" s="4">
        <f t="shared" si="10"/>
        <v>4947.3417151008962</v>
      </c>
      <c r="X92" s="4">
        <f t="shared" si="11"/>
        <v>1881.9795102284097</v>
      </c>
      <c r="Y92" s="4">
        <f t="shared" si="12"/>
        <v>2772.1629743820758</v>
      </c>
      <c r="Z92" s="4">
        <f t="shared" si="13"/>
        <v>4654.1424846104856</v>
      </c>
      <c r="AE92" s="3"/>
      <c r="AF92" s="3"/>
      <c r="AG92" s="7"/>
      <c r="AH92" s="7"/>
      <c r="AI92" s="7"/>
      <c r="AJ92" s="7"/>
      <c r="AK92" s="7"/>
      <c r="AL92" s="3"/>
      <c r="AM92" s="9"/>
      <c r="AN92" s="7"/>
      <c r="AO92" s="7"/>
      <c r="AP92" s="7"/>
      <c r="AQ92" s="7"/>
      <c r="AR92" s="9"/>
      <c r="AS92" s="9"/>
      <c r="AT92" s="9"/>
      <c r="AU92" s="3"/>
      <c r="AV92" s="3"/>
      <c r="AW92" s="3"/>
      <c r="AX92" s="3"/>
      <c r="AY92" s="3"/>
      <c r="AZ92" s="3"/>
    </row>
    <row r="93" spans="1:52" x14ac:dyDescent="0.3">
      <c r="A93">
        <v>53</v>
      </c>
      <c r="B93" s="1" t="s">
        <v>91</v>
      </c>
      <c r="C93" s="1" t="s">
        <v>160</v>
      </c>
      <c r="D93" s="2">
        <v>41955</v>
      </c>
      <c r="E93" s="3">
        <v>33.599999999999994</v>
      </c>
      <c r="F93" s="4">
        <f t="shared" si="2"/>
        <v>5137.2192859454199</v>
      </c>
      <c r="G93" s="7">
        <v>12.06</v>
      </c>
      <c r="H93" s="7">
        <v>224.99</v>
      </c>
      <c r="I93" s="7">
        <f t="shared" si="3"/>
        <v>212.93</v>
      </c>
      <c r="J93" s="7">
        <v>201.87</v>
      </c>
      <c r="K93" s="5">
        <f t="shared" si="4"/>
        <v>5.1941952754426346</v>
      </c>
      <c r="L93" s="4">
        <f t="shared" si="5"/>
        <v>4870.3820845057153</v>
      </c>
      <c r="M93" s="2">
        <v>41957</v>
      </c>
      <c r="N93" s="7">
        <v>1.54</v>
      </c>
      <c r="O93" s="7">
        <f t="shared" si="6"/>
        <v>3.2351216070830171</v>
      </c>
      <c r="P93" s="7">
        <v>1.1890000000000001</v>
      </c>
      <c r="Q93" s="7">
        <v>1.8109999999999995</v>
      </c>
      <c r="R93" s="6">
        <f t="shared" si="7"/>
        <v>0.36752868807057765</v>
      </c>
      <c r="S93" s="6">
        <f t="shared" si="8"/>
        <v>0.55979348536233464</v>
      </c>
      <c r="T93" s="6">
        <f t="shared" si="9"/>
        <v>7.2677826567087656E-2</v>
      </c>
      <c r="U93" s="4">
        <f t="shared" si="16"/>
        <v>1888.07546449439</v>
      </c>
      <c r="V93" s="4">
        <f t="shared" si="17"/>
        <v>2875.7818891499905</v>
      </c>
      <c r="W93" s="4">
        <f t="shared" si="10"/>
        <v>4763.8573536443801</v>
      </c>
      <c r="X93" s="4">
        <f t="shared" si="11"/>
        <v>1790.0051379208307</v>
      </c>
      <c r="Y93" s="4">
        <f t="shared" si="12"/>
        <v>2726.4081621317268</v>
      </c>
      <c r="Z93" s="4">
        <f t="shared" si="13"/>
        <v>4516.413300052558</v>
      </c>
      <c r="AE93" s="3"/>
      <c r="AF93" s="3"/>
      <c r="AG93" s="7"/>
      <c r="AH93" s="7"/>
      <c r="AI93" s="7"/>
      <c r="AJ93" s="7"/>
      <c r="AK93" s="7"/>
      <c r="AL93" s="3"/>
      <c r="AM93" s="9"/>
      <c r="AN93" s="7"/>
      <c r="AO93" s="7"/>
      <c r="AP93" s="7"/>
      <c r="AQ93" s="7"/>
      <c r="AR93" s="9"/>
      <c r="AS93" s="9"/>
      <c r="AT93" s="9"/>
      <c r="AU93" s="3"/>
      <c r="AV93" s="3"/>
      <c r="AW93" s="3"/>
      <c r="AX93" s="3"/>
      <c r="AY93" s="3"/>
      <c r="AZ93" s="3"/>
    </row>
    <row r="94" spans="1:52" x14ac:dyDescent="0.3">
      <c r="A94">
        <v>54</v>
      </c>
      <c r="B94" s="1" t="s">
        <v>92</v>
      </c>
      <c r="C94" s="1" t="s">
        <v>160</v>
      </c>
      <c r="D94" s="2">
        <v>41955</v>
      </c>
      <c r="E94" s="3">
        <v>24.5</v>
      </c>
      <c r="F94" s="4">
        <f t="shared" si="2"/>
        <v>3745.8890626685361</v>
      </c>
      <c r="G94" s="7">
        <v>11.88</v>
      </c>
      <c r="H94" s="7">
        <v>223</v>
      </c>
      <c r="I94" s="7">
        <f t="shared" si="3"/>
        <v>211.12</v>
      </c>
      <c r="J94" s="7">
        <v>201.67</v>
      </c>
      <c r="K94" s="5">
        <f t="shared" si="4"/>
        <v>4.4761273209549151</v>
      </c>
      <c r="L94" s="4">
        <f t="shared" si="5"/>
        <v>3578.2182989217677</v>
      </c>
      <c r="M94" s="2">
        <v>41957</v>
      </c>
      <c r="N94" s="7">
        <v>1.67</v>
      </c>
      <c r="O94" s="7">
        <f t="shared" si="6"/>
        <v>3.5217227817069081</v>
      </c>
      <c r="P94" s="7">
        <v>1.2520000000000002</v>
      </c>
      <c r="Q94" s="7">
        <v>1.9369999999999998</v>
      </c>
      <c r="R94" s="6">
        <f t="shared" si="7"/>
        <v>0.35550782318907598</v>
      </c>
      <c r="S94" s="6">
        <f t="shared" si="8"/>
        <v>0.55001489897543121</v>
      </c>
      <c r="T94" s="6">
        <f t="shared" si="9"/>
        <v>9.4477277835492757E-2</v>
      </c>
      <c r="U94" s="4">
        <f t="shared" si="16"/>
        <v>1331.6928665770595</v>
      </c>
      <c r="V94" s="4">
        <f t="shared" si="17"/>
        <v>2060.2947943768077</v>
      </c>
      <c r="W94" s="4">
        <f t="shared" si="10"/>
        <v>3391.9876609538669</v>
      </c>
      <c r="X94" s="4">
        <f t="shared" si="11"/>
        <v>1272.084598344996</v>
      </c>
      <c r="Y94" s="4">
        <f t="shared" si="12"/>
        <v>1968.0733761934953</v>
      </c>
      <c r="Z94" s="4">
        <f t="shared" si="13"/>
        <v>3240.1579745384915</v>
      </c>
      <c r="AE94" s="3"/>
      <c r="AF94" s="3"/>
      <c r="AG94" s="7"/>
      <c r="AH94" s="7"/>
      <c r="AI94" s="7"/>
      <c r="AJ94" s="7"/>
      <c r="AK94" s="7"/>
      <c r="AL94" s="3"/>
      <c r="AM94" s="9"/>
      <c r="AN94" s="7"/>
      <c r="AO94" s="7"/>
      <c r="AP94" s="7"/>
      <c r="AQ94" s="7"/>
      <c r="AR94" s="9"/>
      <c r="AS94" s="9"/>
      <c r="AT94" s="9"/>
      <c r="AU94" s="3"/>
      <c r="AV94" s="3"/>
      <c r="AW94" s="3"/>
      <c r="AX94" s="3"/>
      <c r="AY94" s="3"/>
      <c r="AZ94" s="3"/>
    </row>
    <row r="95" spans="1:52" x14ac:dyDescent="0.3">
      <c r="A95">
        <v>55</v>
      </c>
      <c r="B95" s="1" t="s">
        <v>93</v>
      </c>
      <c r="C95" s="1" t="s">
        <v>160</v>
      </c>
      <c r="D95" s="2">
        <v>41955</v>
      </c>
      <c r="E95" s="3">
        <v>23.000000000000004</v>
      </c>
      <c r="F95" s="4">
        <f t="shared" si="2"/>
        <v>3516.5489159745443</v>
      </c>
      <c r="G95" s="7">
        <v>11.94</v>
      </c>
      <c r="H95" s="7">
        <v>190.2</v>
      </c>
      <c r="I95" s="7">
        <f t="shared" si="3"/>
        <v>178.26</v>
      </c>
      <c r="J95" s="7">
        <v>168.73</v>
      </c>
      <c r="K95" s="5">
        <f t="shared" si="4"/>
        <v>5.3461236396275114</v>
      </c>
      <c r="L95" s="4">
        <f t="shared" si="5"/>
        <v>3328.5498630785642</v>
      </c>
      <c r="M95" s="2">
        <v>41957</v>
      </c>
      <c r="N95" s="7">
        <v>1.95</v>
      </c>
      <c r="O95" s="7">
        <f t="shared" si="6"/>
        <v>4.1390176193583663</v>
      </c>
      <c r="P95" s="7">
        <v>1.496</v>
      </c>
      <c r="Q95" s="7">
        <v>2.1889999999999996</v>
      </c>
      <c r="R95" s="6">
        <f t="shared" si="7"/>
        <v>0.36143842273179572</v>
      </c>
      <c r="S95" s="6">
        <f t="shared" si="8"/>
        <v>0.52886945679137753</v>
      </c>
      <c r="T95" s="6">
        <f t="shared" si="9"/>
        <v>0.10969212047682675</v>
      </c>
      <c r="U95" s="4">
        <f t="shared" si="16"/>
        <v>1271.0158936490454</v>
      </c>
      <c r="V95" s="4">
        <f t="shared" si="17"/>
        <v>1859.7953149717648</v>
      </c>
      <c r="W95" s="4">
        <f t="shared" si="10"/>
        <v>3130.8112086208102</v>
      </c>
      <c r="X95" s="4">
        <f t="shared" si="11"/>
        <v>1203.0658124952508</v>
      </c>
      <c r="Y95" s="4">
        <f t="shared" si="12"/>
        <v>1760.3683579893743</v>
      </c>
      <c r="Z95" s="4">
        <f t="shared" si="13"/>
        <v>2963.4341704846252</v>
      </c>
      <c r="AE95" s="3"/>
      <c r="AF95" s="3"/>
      <c r="AG95" s="7"/>
      <c r="AH95" s="7"/>
      <c r="AI95" s="7"/>
      <c r="AJ95" s="7"/>
      <c r="AK95" s="7"/>
      <c r="AL95" s="3"/>
      <c r="AM95" s="9"/>
      <c r="AN95" s="7"/>
      <c r="AO95" s="7"/>
      <c r="AP95" s="7"/>
      <c r="AQ95" s="7"/>
      <c r="AR95" s="9"/>
      <c r="AS95" s="9"/>
      <c r="AT95" s="9"/>
      <c r="AU95" s="3"/>
      <c r="AV95" s="3"/>
      <c r="AW95" s="3"/>
      <c r="AX95" s="3"/>
      <c r="AY95" s="3"/>
      <c r="AZ95" s="3"/>
    </row>
    <row r="96" spans="1:52" x14ac:dyDescent="0.3">
      <c r="A96">
        <v>56</v>
      </c>
      <c r="B96" s="1" t="s">
        <v>94</v>
      </c>
      <c r="C96" s="1" t="s">
        <v>160</v>
      </c>
      <c r="D96" s="2">
        <v>41955</v>
      </c>
      <c r="E96" s="3">
        <v>11</v>
      </c>
      <c r="F96" s="4">
        <f t="shared" si="2"/>
        <v>1681.827742422608</v>
      </c>
      <c r="G96" s="7">
        <v>11.95</v>
      </c>
      <c r="H96" s="7">
        <v>198.12</v>
      </c>
      <c r="I96" s="7">
        <f t="shared" si="3"/>
        <v>186.17000000000002</v>
      </c>
      <c r="J96" s="7">
        <v>178.61</v>
      </c>
      <c r="K96" s="5">
        <f t="shared" si="4"/>
        <v>4.0608046409195904</v>
      </c>
      <c r="L96" s="4">
        <f t="shared" si="5"/>
        <v>1613.5320034060376</v>
      </c>
      <c r="M96" s="2">
        <v>41957</v>
      </c>
      <c r="N96" s="7">
        <v>1.57</v>
      </c>
      <c r="O96" s="7">
        <f t="shared" si="6"/>
        <v>3.3012603396885307</v>
      </c>
      <c r="P96" s="7">
        <v>1.0630000000000002</v>
      </c>
      <c r="Q96" s="7">
        <v>1.6850000000000001</v>
      </c>
      <c r="R96" s="6">
        <f t="shared" si="7"/>
        <v>0.32199823419569895</v>
      </c>
      <c r="S96" s="6">
        <f t="shared" si="8"/>
        <v>0.51041112381914644</v>
      </c>
      <c r="T96" s="6">
        <f t="shared" si="9"/>
        <v>0.16759064198515461</v>
      </c>
      <c r="U96" s="4">
        <f t="shared" si="16"/>
        <v>541.54556328141859</v>
      </c>
      <c r="V96" s="4">
        <f t="shared" si="17"/>
        <v>858.42358808014126</v>
      </c>
      <c r="W96" s="4">
        <f t="shared" si="10"/>
        <v>1399.9691513615599</v>
      </c>
      <c r="X96" s="4">
        <f t="shared" si="11"/>
        <v>519.55445591499256</v>
      </c>
      <c r="Y96" s="4">
        <f t="shared" si="12"/>
        <v>823.5646831766345</v>
      </c>
      <c r="Z96" s="4">
        <f t="shared" si="13"/>
        <v>1343.1191390916269</v>
      </c>
      <c r="AB96" t="s">
        <v>31</v>
      </c>
      <c r="AC96" t="str">
        <f>C96</f>
        <v>Machine</v>
      </c>
      <c r="AD96" s="8">
        <f>D96</f>
        <v>41955</v>
      </c>
      <c r="AE96" s="3">
        <f>SUM(E96:E106)</f>
        <v>158</v>
      </c>
      <c r="AF96" s="3">
        <f>AE96*$A$29/($A$30*11)*$A$32</f>
        <v>2196.1056471303477</v>
      </c>
      <c r="AG96" s="7">
        <f>SUM(G96:G106)</f>
        <v>131.32</v>
      </c>
      <c r="AH96" s="7">
        <f>SUM(H96:H106)</f>
        <v>2355.56</v>
      </c>
      <c r="AI96" s="7">
        <f>AH96-AG96</f>
        <v>2224.2399999999998</v>
      </c>
      <c r="AJ96" s="7">
        <f>SUM(J96:J106)</f>
        <v>2105.5099999999998</v>
      </c>
      <c r="AK96" s="7">
        <f>(AI96-AJ96)/AI96*100</f>
        <v>5.3380030931913831</v>
      </c>
      <c r="AL96" s="3">
        <f>AF96*(1-AK96/100)</f>
        <v>2078.8774597567794</v>
      </c>
      <c r="AM96" s="11">
        <f>M96</f>
        <v>41957</v>
      </c>
      <c r="AN96" s="7">
        <f>SUM(N96:N106)</f>
        <v>16.760000000000002</v>
      </c>
      <c r="AO96" s="7">
        <f>AN96/$A$29-$A$33*11</f>
        <v>35.189505282280116</v>
      </c>
      <c r="AP96" s="7">
        <f>SUM(P96:P106)</f>
        <v>12.322999999999999</v>
      </c>
      <c r="AQ96" s="7">
        <f>SUM(Q96:Q106)</f>
        <v>19.038999999999998</v>
      </c>
      <c r="AR96" s="9">
        <f>AP96/AO96</f>
        <v>0.35018963469785747</v>
      </c>
      <c r="AS96" s="9">
        <f>AQ96/AO96</f>
        <v>0.54104199099346817</v>
      </c>
      <c r="AT96" s="9">
        <f>1-AR96-AS96</f>
        <v>0.10876837430867436</v>
      </c>
      <c r="AU96" s="3">
        <f>AF96*AR96</f>
        <v>769.0534343264784</v>
      </c>
      <c r="AV96" s="3">
        <f>AF96*AS96</f>
        <v>1188.1853717554022</v>
      </c>
      <c r="AW96" s="3">
        <f>AU96+AV96</f>
        <v>1957.2388060818807</v>
      </c>
      <c r="AX96" s="3">
        <f>AL96*AR96</f>
        <v>728.00133821383645</v>
      </c>
      <c r="AY96" s="3">
        <f>AL96*AS96</f>
        <v>1124.7599998582514</v>
      </c>
      <c r="AZ96" s="3">
        <f>AX96+AY96</f>
        <v>1852.7613380720877</v>
      </c>
    </row>
    <row r="97" spans="1:52" x14ac:dyDescent="0.3">
      <c r="A97">
        <v>57</v>
      </c>
      <c r="B97" s="1" t="s">
        <v>95</v>
      </c>
      <c r="C97" s="1" t="s">
        <v>160</v>
      </c>
      <c r="D97" s="2">
        <v>41955</v>
      </c>
      <c r="E97" s="3">
        <v>12.2</v>
      </c>
      <c r="F97" s="4">
        <f t="shared" si="2"/>
        <v>1865.2998597778017</v>
      </c>
      <c r="G97" s="7">
        <v>11.88</v>
      </c>
      <c r="H97" s="7">
        <v>214.25</v>
      </c>
      <c r="I97" s="7">
        <f t="shared" si="3"/>
        <v>202.37</v>
      </c>
      <c r="J97" s="7">
        <v>191.99</v>
      </c>
      <c r="K97" s="5">
        <f t="shared" si="4"/>
        <v>5.129218757721004</v>
      </c>
      <c r="L97" s="4">
        <f t="shared" si="5"/>
        <v>1769.6245494823352</v>
      </c>
      <c r="M97" s="2">
        <v>41957</v>
      </c>
      <c r="N97" s="7">
        <v>1.47</v>
      </c>
      <c r="O97" s="7">
        <f t="shared" si="6"/>
        <v>3.0807978976701529</v>
      </c>
      <c r="P97" s="7">
        <v>0.99999999999999989</v>
      </c>
      <c r="Q97" s="7">
        <v>1.6850000000000001</v>
      </c>
      <c r="R97" s="6">
        <f t="shared" si="7"/>
        <v>0.32459123682090535</v>
      </c>
      <c r="S97" s="6">
        <f t="shared" si="8"/>
        <v>0.54693623404322556</v>
      </c>
      <c r="T97" s="6">
        <f t="shared" si="9"/>
        <v>0.12847252913586904</v>
      </c>
      <c r="U97" s="4">
        <f t="shared" si="16"/>
        <v>605.45998852713797</v>
      </c>
      <c r="V97" s="4">
        <f t="shared" si="17"/>
        <v>1020.2000806682275</v>
      </c>
      <c r="W97" s="4">
        <f t="shared" si="10"/>
        <v>1625.6600691953654</v>
      </c>
      <c r="X97" s="4">
        <f t="shared" si="11"/>
        <v>574.4046212251086</v>
      </c>
      <c r="Y97" s="4">
        <f t="shared" si="12"/>
        <v>967.87178676430801</v>
      </c>
      <c r="Z97" s="4">
        <f t="shared" si="13"/>
        <v>1542.2764079894166</v>
      </c>
      <c r="AE97" s="3"/>
      <c r="AF97" s="3"/>
      <c r="AG97" s="7"/>
      <c r="AH97" s="7"/>
      <c r="AI97" s="7"/>
      <c r="AJ97" s="7"/>
      <c r="AK97" s="7"/>
      <c r="AL97" s="3"/>
      <c r="AM97" s="9"/>
      <c r="AN97" s="7"/>
      <c r="AO97" s="7"/>
      <c r="AP97" s="7"/>
      <c r="AQ97" s="7"/>
      <c r="AR97" s="9"/>
      <c r="AS97" s="9"/>
      <c r="AT97" s="9"/>
      <c r="AU97" s="3"/>
      <c r="AV97" s="3"/>
      <c r="AW97" s="3"/>
      <c r="AX97" s="3"/>
      <c r="AY97" s="3"/>
      <c r="AZ97" s="3"/>
    </row>
    <row r="98" spans="1:52" x14ac:dyDescent="0.3">
      <c r="A98">
        <v>58</v>
      </c>
      <c r="B98" s="1" t="s">
        <v>96</v>
      </c>
      <c r="C98" s="1" t="s">
        <v>160</v>
      </c>
      <c r="D98" s="2">
        <v>41955</v>
      </c>
      <c r="E98" s="3">
        <v>13.7</v>
      </c>
      <c r="F98" s="4">
        <f t="shared" si="2"/>
        <v>2094.6400064717936</v>
      </c>
      <c r="G98" s="7">
        <v>11.96</v>
      </c>
      <c r="H98" s="7">
        <v>236.89</v>
      </c>
      <c r="I98" s="7">
        <f t="shared" si="3"/>
        <v>224.92999999999998</v>
      </c>
      <c r="J98" s="7">
        <v>212.87</v>
      </c>
      <c r="K98" s="5">
        <f t="shared" si="4"/>
        <v>5.3616680745120586</v>
      </c>
      <c r="L98" s="4">
        <f t="shared" si="5"/>
        <v>1982.3323619688381</v>
      </c>
      <c r="M98" s="2">
        <v>41957</v>
      </c>
      <c r="N98" s="7">
        <v>1.44</v>
      </c>
      <c r="O98" s="7">
        <f t="shared" si="6"/>
        <v>3.0146591650646393</v>
      </c>
      <c r="P98" s="7">
        <v>0.99999999999999989</v>
      </c>
      <c r="Q98" s="7">
        <v>1.6220000000000003</v>
      </c>
      <c r="R98" s="6">
        <f t="shared" si="7"/>
        <v>0.33171245744410988</v>
      </c>
      <c r="S98" s="6">
        <f t="shared" si="8"/>
        <v>0.53803760597434636</v>
      </c>
      <c r="T98" s="6">
        <f t="shared" si="9"/>
        <v>0.13024993658154371</v>
      </c>
      <c r="U98" s="4">
        <f t="shared" si="16"/>
        <v>694.8181840075049</v>
      </c>
      <c r="V98" s="4">
        <f t="shared" si="17"/>
        <v>1126.9950944601733</v>
      </c>
      <c r="W98" s="4">
        <f t="shared" si="10"/>
        <v>1821.8132784676782</v>
      </c>
      <c r="X98" s="4">
        <f t="shared" si="11"/>
        <v>657.56433925966996</v>
      </c>
      <c r="Y98" s="4">
        <f t="shared" si="12"/>
        <v>1066.5693582791851</v>
      </c>
      <c r="Z98" s="4">
        <f t="shared" si="13"/>
        <v>1724.1336975388549</v>
      </c>
      <c r="AE98" s="3"/>
      <c r="AF98" s="3"/>
      <c r="AG98" s="7"/>
      <c r="AH98" s="7"/>
      <c r="AI98" s="7"/>
      <c r="AJ98" s="7"/>
      <c r="AK98" s="7"/>
      <c r="AL98" s="3"/>
      <c r="AM98" s="9"/>
      <c r="AN98" s="7"/>
      <c r="AO98" s="7"/>
      <c r="AP98" s="7"/>
      <c r="AQ98" s="7"/>
      <c r="AR98" s="9"/>
      <c r="AS98" s="9"/>
      <c r="AT98" s="9"/>
      <c r="AU98" s="3"/>
      <c r="AV98" s="3"/>
      <c r="AW98" s="3"/>
      <c r="AX98" s="3"/>
      <c r="AY98" s="3"/>
      <c r="AZ98" s="3"/>
    </row>
    <row r="99" spans="1:52" x14ac:dyDescent="0.3">
      <c r="A99">
        <v>59</v>
      </c>
      <c r="B99" s="1" t="s">
        <v>97</v>
      </c>
      <c r="C99" s="1" t="s">
        <v>160</v>
      </c>
      <c r="D99" s="2">
        <v>41955</v>
      </c>
      <c r="E99" s="3">
        <v>16.3</v>
      </c>
      <c r="F99" s="4">
        <f t="shared" si="2"/>
        <v>2492.1629274080465</v>
      </c>
      <c r="G99" s="7">
        <v>11.84</v>
      </c>
      <c r="H99" s="7">
        <v>220.85</v>
      </c>
      <c r="I99" s="7">
        <f t="shared" si="3"/>
        <v>209.01</v>
      </c>
      <c r="J99" s="7">
        <v>198.07</v>
      </c>
      <c r="K99" s="5">
        <f t="shared" si="4"/>
        <v>5.2341993206066686</v>
      </c>
      <c r="L99" s="4">
        <f t="shared" si="5"/>
        <v>2361.7181523932431</v>
      </c>
      <c r="M99" s="2">
        <v>41957</v>
      </c>
      <c r="N99" s="7">
        <v>1.69</v>
      </c>
      <c r="O99" s="7">
        <f t="shared" si="6"/>
        <v>3.5658152701105839</v>
      </c>
      <c r="P99" s="7">
        <v>1.3149999999999999</v>
      </c>
      <c r="Q99" s="7">
        <v>1.9369999999999998</v>
      </c>
      <c r="R99" s="6">
        <f t="shared" si="7"/>
        <v>0.36877961991542507</v>
      </c>
      <c r="S99" s="6">
        <f t="shared" si="8"/>
        <v>0.54321378233929918</v>
      </c>
      <c r="T99" s="6">
        <f t="shared" si="9"/>
        <v>8.800659774527575E-2</v>
      </c>
      <c r="U99" s="4">
        <f t="shared" si="16"/>
        <v>919.05889713685247</v>
      </c>
      <c r="V99" s="4">
        <f t="shared" si="17"/>
        <v>1353.7772500031051</v>
      </c>
      <c r="W99" s="4">
        <f t="shared" si="10"/>
        <v>2272.8361471399576</v>
      </c>
      <c r="X99" s="4">
        <f t="shared" si="11"/>
        <v>870.95352258694015</v>
      </c>
      <c r="Y99" s="4">
        <f t="shared" si="12"/>
        <v>1282.9178503809151</v>
      </c>
      <c r="Z99" s="4">
        <f t="shared" si="13"/>
        <v>2153.8713729678552</v>
      </c>
      <c r="AE99" s="3"/>
      <c r="AF99" s="3"/>
      <c r="AG99" s="7"/>
      <c r="AH99" s="7"/>
      <c r="AI99" s="7"/>
      <c r="AJ99" s="7"/>
      <c r="AK99" s="7"/>
      <c r="AL99" s="3"/>
      <c r="AM99" s="9"/>
      <c r="AN99" s="7"/>
      <c r="AO99" s="7"/>
      <c r="AP99" s="7"/>
      <c r="AQ99" s="7"/>
      <c r="AR99" s="9"/>
      <c r="AS99" s="9"/>
      <c r="AT99" s="9"/>
      <c r="AU99" s="3"/>
      <c r="AV99" s="3"/>
      <c r="AW99" s="3"/>
      <c r="AX99" s="3"/>
      <c r="AY99" s="3"/>
      <c r="AZ99" s="3"/>
    </row>
    <row r="100" spans="1:52" x14ac:dyDescent="0.3">
      <c r="A100">
        <v>60</v>
      </c>
      <c r="B100" s="1" t="s">
        <v>98</v>
      </c>
      <c r="C100" s="1" t="s">
        <v>160</v>
      </c>
      <c r="D100" s="2">
        <v>41955</v>
      </c>
      <c r="E100" s="3">
        <v>14.2</v>
      </c>
      <c r="F100" s="4">
        <f t="shared" si="2"/>
        <v>2171.0867220364576</v>
      </c>
      <c r="G100" s="7">
        <v>11.98</v>
      </c>
      <c r="H100" s="7">
        <v>222.61</v>
      </c>
      <c r="I100" s="7">
        <f t="shared" si="3"/>
        <v>210.63000000000002</v>
      </c>
      <c r="J100" s="7">
        <v>200.74</v>
      </c>
      <c r="K100" s="5">
        <f t="shared" si="4"/>
        <v>4.6954374970327182</v>
      </c>
      <c r="L100" s="4">
        <f t="shared" si="5"/>
        <v>2069.1447019968591</v>
      </c>
      <c r="M100" s="2">
        <v>41957</v>
      </c>
      <c r="N100" s="7">
        <v>1.44</v>
      </c>
      <c r="O100" s="7">
        <f t="shared" si="6"/>
        <v>3.0146591650646393</v>
      </c>
      <c r="P100" s="7">
        <v>0.99999999999999989</v>
      </c>
      <c r="Q100" s="7">
        <v>1.6220000000000003</v>
      </c>
      <c r="R100" s="6">
        <f t="shared" si="7"/>
        <v>0.33171245744410988</v>
      </c>
      <c r="S100" s="6">
        <f t="shared" si="8"/>
        <v>0.53803760597434636</v>
      </c>
      <c r="T100" s="6">
        <f t="shared" si="9"/>
        <v>0.13024993658154371</v>
      </c>
      <c r="U100" s="4">
        <f t="shared" si="16"/>
        <v>720.17651189099047</v>
      </c>
      <c r="V100" s="4">
        <f t="shared" si="17"/>
        <v>1168.1263022871867</v>
      </c>
      <c r="W100" s="4">
        <f t="shared" si="10"/>
        <v>1888.3028141781772</v>
      </c>
      <c r="X100" s="4">
        <f t="shared" si="11"/>
        <v>686.36107390683856</v>
      </c>
      <c r="Y100" s="4">
        <f t="shared" si="12"/>
        <v>1113.2776618768924</v>
      </c>
      <c r="Z100" s="4">
        <f t="shared" si="13"/>
        <v>1799.6387357837309</v>
      </c>
      <c r="AE100" s="3"/>
      <c r="AF100" s="3"/>
      <c r="AG100" s="7"/>
      <c r="AH100" s="7"/>
      <c r="AI100" s="7"/>
      <c r="AJ100" s="7"/>
      <c r="AK100" s="7"/>
      <c r="AL100" s="3"/>
      <c r="AM100" s="9"/>
      <c r="AN100" s="7"/>
      <c r="AO100" s="7"/>
      <c r="AP100" s="7"/>
      <c r="AQ100" s="7"/>
      <c r="AR100" s="9"/>
      <c r="AS100" s="9"/>
      <c r="AT100" s="9"/>
      <c r="AU100" s="3"/>
      <c r="AV100" s="3"/>
      <c r="AW100" s="3"/>
      <c r="AX100" s="3"/>
      <c r="AY100" s="3"/>
      <c r="AZ100" s="3"/>
    </row>
    <row r="101" spans="1:52" x14ac:dyDescent="0.3">
      <c r="A101">
        <v>61</v>
      </c>
      <c r="B101" s="1" t="s">
        <v>99</v>
      </c>
      <c r="C101" s="1" t="s">
        <v>160</v>
      </c>
      <c r="D101" s="2">
        <v>41955</v>
      </c>
      <c r="E101" s="3">
        <v>14.099999999999998</v>
      </c>
      <c r="F101" s="4">
        <f t="shared" si="2"/>
        <v>2155.7973789235248</v>
      </c>
      <c r="G101" s="7">
        <v>11.93</v>
      </c>
      <c r="H101" s="7">
        <v>203.66</v>
      </c>
      <c r="I101" s="7">
        <f t="shared" si="3"/>
        <v>191.73</v>
      </c>
      <c r="J101" s="7">
        <v>181.88</v>
      </c>
      <c r="K101" s="5">
        <f t="shared" si="4"/>
        <v>5.1374328482762186</v>
      </c>
      <c r="L101" s="4">
        <f t="shared" si="5"/>
        <v>2045.04473623643</v>
      </c>
      <c r="M101" s="2">
        <v>41957</v>
      </c>
      <c r="N101" s="7">
        <v>1.55</v>
      </c>
      <c r="O101" s="7">
        <f t="shared" si="6"/>
        <v>3.257167851284855</v>
      </c>
      <c r="P101" s="7">
        <v>1.1890000000000001</v>
      </c>
      <c r="Q101" s="7">
        <v>1.7479999999999998</v>
      </c>
      <c r="R101" s="6">
        <f t="shared" si="7"/>
        <v>0.36504105845542323</v>
      </c>
      <c r="S101" s="6">
        <f t="shared" si="8"/>
        <v>0.53666254851142114</v>
      </c>
      <c r="T101" s="6">
        <f t="shared" si="9"/>
        <v>9.8296393033155627E-2</v>
      </c>
      <c r="U101" s="4">
        <f t="shared" si="16"/>
        <v>786.9545570176706</v>
      </c>
      <c r="V101" s="4">
        <f t="shared" si="17"/>
        <v>1156.9357154473407</v>
      </c>
      <c r="W101" s="4">
        <f t="shared" si="10"/>
        <v>1943.8902724650113</v>
      </c>
      <c r="X101" s="4">
        <f t="shared" si="11"/>
        <v>746.52529510443821</v>
      </c>
      <c r="Y101" s="4">
        <f t="shared" si="12"/>
        <v>1097.4989199685097</v>
      </c>
      <c r="Z101" s="4">
        <f t="shared" si="13"/>
        <v>1844.0242150729478</v>
      </c>
      <c r="AE101" s="3"/>
      <c r="AF101" s="3"/>
      <c r="AG101" s="7"/>
      <c r="AH101" s="7"/>
      <c r="AI101" s="7"/>
      <c r="AJ101" s="7"/>
      <c r="AK101" s="7"/>
      <c r="AL101" s="3"/>
      <c r="AM101" s="9"/>
      <c r="AN101" s="7"/>
      <c r="AO101" s="7"/>
      <c r="AP101" s="7"/>
      <c r="AQ101" s="7"/>
      <c r="AR101" s="9"/>
      <c r="AS101" s="9"/>
      <c r="AT101" s="9"/>
      <c r="AU101" s="3"/>
      <c r="AV101" s="3"/>
      <c r="AW101" s="3"/>
      <c r="AX101" s="3"/>
      <c r="AY101" s="3"/>
      <c r="AZ101" s="3"/>
    </row>
    <row r="102" spans="1:52" x14ac:dyDescent="0.3">
      <c r="A102">
        <v>62</v>
      </c>
      <c r="B102" s="1" t="s">
        <v>100</v>
      </c>
      <c r="C102" s="1" t="s">
        <v>160</v>
      </c>
      <c r="D102" s="2">
        <v>41955</v>
      </c>
      <c r="E102" s="3">
        <v>16.2</v>
      </c>
      <c r="F102" s="4">
        <f t="shared" si="2"/>
        <v>2476.8735842951137</v>
      </c>
      <c r="G102" s="7">
        <v>11.91</v>
      </c>
      <c r="H102" s="7">
        <v>193.67</v>
      </c>
      <c r="I102" s="7">
        <f t="shared" si="3"/>
        <v>181.76</v>
      </c>
      <c r="J102" s="7">
        <v>168.77</v>
      </c>
      <c r="K102" s="5">
        <f t="shared" si="4"/>
        <v>7.1467869718309762</v>
      </c>
      <c r="L102" s="4">
        <f t="shared" si="5"/>
        <v>2299.8567056639877</v>
      </c>
      <c r="M102" s="2">
        <v>41957</v>
      </c>
      <c r="N102" s="7">
        <v>1.54</v>
      </c>
      <c r="O102" s="7">
        <f t="shared" si="6"/>
        <v>3.2351216070830171</v>
      </c>
      <c r="P102" s="7">
        <v>1.1259999999999999</v>
      </c>
      <c r="Q102" s="7">
        <v>1.7479999999999998</v>
      </c>
      <c r="R102" s="6">
        <f t="shared" si="7"/>
        <v>0.34805492242848646</v>
      </c>
      <c r="S102" s="6">
        <f t="shared" si="8"/>
        <v>0.54031971972024362</v>
      </c>
      <c r="T102" s="6">
        <f t="shared" si="9"/>
        <v>0.11162535785126992</v>
      </c>
      <c r="U102" s="4">
        <f t="shared" si="16"/>
        <v>862.08804324700304</v>
      </c>
      <c r="V102" s="4">
        <f t="shared" si="17"/>
        <v>1338.303640848811</v>
      </c>
      <c r="W102" s="4">
        <f t="shared" si="10"/>
        <v>2200.3916840958141</v>
      </c>
      <c r="X102" s="4">
        <f t="shared" si="11"/>
        <v>800.47644728651369</v>
      </c>
      <c r="Y102" s="4">
        <f t="shared" si="12"/>
        <v>1242.6579306010885</v>
      </c>
      <c r="Z102" s="4">
        <f t="shared" si="13"/>
        <v>2043.1343778876021</v>
      </c>
      <c r="AE102" s="3"/>
      <c r="AF102" s="3"/>
      <c r="AG102" s="7"/>
      <c r="AH102" s="7"/>
      <c r="AI102" s="7"/>
      <c r="AJ102" s="7"/>
      <c r="AK102" s="7"/>
      <c r="AL102" s="3"/>
      <c r="AM102" s="9"/>
      <c r="AN102" s="7"/>
      <c r="AO102" s="7"/>
      <c r="AP102" s="7"/>
      <c r="AQ102" s="7"/>
      <c r="AR102" s="9"/>
      <c r="AS102" s="9"/>
      <c r="AT102" s="9"/>
      <c r="AU102" s="3"/>
      <c r="AV102" s="3"/>
      <c r="AW102" s="3"/>
      <c r="AX102" s="3"/>
      <c r="AY102" s="3"/>
      <c r="AZ102" s="3"/>
    </row>
    <row r="103" spans="1:52" x14ac:dyDescent="0.3">
      <c r="A103">
        <v>63</v>
      </c>
      <c r="B103" s="1" t="s">
        <v>101</v>
      </c>
      <c r="C103" s="1" t="s">
        <v>160</v>
      </c>
      <c r="D103" s="2">
        <v>41955</v>
      </c>
      <c r="E103" s="3">
        <v>16.899999999999999</v>
      </c>
      <c r="F103" s="4">
        <f t="shared" si="2"/>
        <v>2583.8989860856432</v>
      </c>
      <c r="G103" s="7">
        <v>11.96</v>
      </c>
      <c r="H103" s="7">
        <v>223.82</v>
      </c>
      <c r="I103" s="7">
        <f t="shared" si="3"/>
        <v>211.85999999999999</v>
      </c>
      <c r="J103" s="7">
        <v>200.18</v>
      </c>
      <c r="K103" s="5">
        <f t="shared" si="4"/>
        <v>5.5130746719531665</v>
      </c>
      <c r="L103" s="4">
        <f t="shared" si="5"/>
        <v>2441.446705534901</v>
      </c>
      <c r="M103" s="2">
        <v>41957</v>
      </c>
      <c r="N103" s="7">
        <v>1.56</v>
      </c>
      <c r="O103" s="7">
        <f t="shared" si="6"/>
        <v>3.2792140954866928</v>
      </c>
      <c r="P103" s="7">
        <v>1.2520000000000002</v>
      </c>
      <c r="Q103" s="7">
        <v>1.8740000000000001</v>
      </c>
      <c r="R103" s="6">
        <f t="shared" si="7"/>
        <v>0.38179879798735172</v>
      </c>
      <c r="S103" s="6">
        <f t="shared" si="8"/>
        <v>0.5714783925146143</v>
      </c>
      <c r="T103" s="6">
        <f t="shared" si="9"/>
        <v>4.6722809498033979E-2</v>
      </c>
      <c r="U103" s="4">
        <f t="shared" si="16"/>
        <v>986.52952700823539</v>
      </c>
      <c r="V103" s="4">
        <f t="shared" si="17"/>
        <v>1476.642438988365</v>
      </c>
      <c r="W103" s="4">
        <f t="shared" si="10"/>
        <v>2463.1719659966002</v>
      </c>
      <c r="X103" s="4">
        <f t="shared" si="11"/>
        <v>932.14141752340504</v>
      </c>
      <c r="Y103" s="4">
        <f t="shared" si="12"/>
        <v>1395.234038689186</v>
      </c>
      <c r="Z103" s="4">
        <f t="shared" si="13"/>
        <v>2327.375456212591</v>
      </c>
      <c r="AE103" s="3"/>
      <c r="AF103" s="3"/>
      <c r="AG103" s="7"/>
      <c r="AH103" s="7"/>
      <c r="AI103" s="7"/>
      <c r="AJ103" s="7"/>
      <c r="AK103" s="7"/>
      <c r="AL103" s="3"/>
      <c r="AM103" s="9"/>
      <c r="AN103" s="7"/>
      <c r="AO103" s="7"/>
      <c r="AP103" s="7"/>
      <c r="AQ103" s="7"/>
      <c r="AR103" s="9"/>
      <c r="AS103" s="9"/>
      <c r="AT103" s="9"/>
      <c r="AU103" s="3"/>
      <c r="AV103" s="3"/>
      <c r="AW103" s="3"/>
      <c r="AX103" s="3"/>
      <c r="AY103" s="3"/>
      <c r="AZ103" s="3"/>
    </row>
    <row r="104" spans="1:52" x14ac:dyDescent="0.3">
      <c r="A104">
        <v>64</v>
      </c>
      <c r="B104" s="1" t="s">
        <v>102</v>
      </c>
      <c r="C104" s="1" t="s">
        <v>160</v>
      </c>
      <c r="D104" s="2">
        <v>41955</v>
      </c>
      <c r="E104" s="3">
        <v>14.399999999999999</v>
      </c>
      <c r="F104" s="4">
        <f t="shared" si="2"/>
        <v>2201.6654082623231</v>
      </c>
      <c r="G104" s="7">
        <v>12.04</v>
      </c>
      <c r="H104" s="7">
        <v>233.74</v>
      </c>
      <c r="I104" s="7">
        <f t="shared" si="3"/>
        <v>221.70000000000002</v>
      </c>
      <c r="J104" s="7">
        <v>209.11</v>
      </c>
      <c r="K104" s="5">
        <f t="shared" si="4"/>
        <v>5.6788452864230958</v>
      </c>
      <c r="L104" s="4">
        <f t="shared" si="5"/>
        <v>2076.6362360024104</v>
      </c>
      <c r="M104" s="2">
        <v>41957</v>
      </c>
      <c r="N104" s="7">
        <v>1.57</v>
      </c>
      <c r="O104" s="7">
        <f t="shared" si="6"/>
        <v>3.3012603396885307</v>
      </c>
      <c r="P104" s="7">
        <v>1.1259999999999999</v>
      </c>
      <c r="Q104" s="7">
        <v>1.7479999999999998</v>
      </c>
      <c r="R104" s="6">
        <f t="shared" si="7"/>
        <v>0.34108185484887765</v>
      </c>
      <c r="S104" s="6">
        <f t="shared" si="8"/>
        <v>0.52949474447232514</v>
      </c>
      <c r="T104" s="6">
        <f t="shared" si="9"/>
        <v>0.12942340067879721</v>
      </c>
      <c r="U104" s="4">
        <f t="shared" si="16"/>
        <v>750.94812120672464</v>
      </c>
      <c r="V104" s="4">
        <f t="shared" si="17"/>
        <v>1165.7702627614162</v>
      </c>
      <c r="W104" s="4">
        <f t="shared" si="10"/>
        <v>1916.7183839681409</v>
      </c>
      <c r="X104" s="4">
        <f t="shared" si="11"/>
        <v>708.30293922209376</v>
      </c>
      <c r="Y104" s="4">
        <f t="shared" si="12"/>
        <v>1099.5679731440673</v>
      </c>
      <c r="Z104" s="4">
        <f t="shared" si="13"/>
        <v>1807.8709123661611</v>
      </c>
      <c r="AE104" s="3"/>
      <c r="AF104" s="3"/>
      <c r="AG104" s="7"/>
      <c r="AH104" s="7"/>
      <c r="AI104" s="7"/>
      <c r="AJ104" s="7"/>
      <c r="AK104" s="7"/>
      <c r="AL104" s="3"/>
      <c r="AM104" s="9"/>
      <c r="AN104" s="7"/>
      <c r="AO104" s="7"/>
      <c r="AP104" s="7"/>
      <c r="AQ104" s="7"/>
      <c r="AR104" s="9"/>
      <c r="AS104" s="9"/>
      <c r="AT104" s="9"/>
      <c r="AU104" s="3"/>
      <c r="AV104" s="3"/>
      <c r="AW104" s="3"/>
      <c r="AX104" s="3"/>
      <c r="AY104" s="3"/>
      <c r="AZ104" s="3"/>
    </row>
    <row r="105" spans="1:52" x14ac:dyDescent="0.3">
      <c r="A105">
        <v>65</v>
      </c>
      <c r="B105" s="1" t="s">
        <v>103</v>
      </c>
      <c r="C105" s="1" t="s">
        <v>160</v>
      </c>
      <c r="D105" s="2">
        <v>41955</v>
      </c>
      <c r="E105" s="3">
        <v>13.5</v>
      </c>
      <c r="F105" s="4">
        <f t="shared" si="2"/>
        <v>2064.0613202459281</v>
      </c>
      <c r="G105" s="7">
        <v>11.86</v>
      </c>
      <c r="H105" s="7">
        <v>207.35</v>
      </c>
      <c r="I105" s="7">
        <f t="shared" si="3"/>
        <v>195.49</v>
      </c>
      <c r="J105" s="7">
        <v>184.48</v>
      </c>
      <c r="K105" s="5">
        <f t="shared" si="4"/>
        <v>5.632001636912384</v>
      </c>
      <c r="L105" s="4">
        <f t="shared" si="5"/>
        <v>1947.8133529028021</v>
      </c>
      <c r="M105" s="2">
        <v>41957</v>
      </c>
      <c r="N105" s="7">
        <v>1.48</v>
      </c>
      <c r="O105" s="7">
        <f t="shared" si="6"/>
        <v>3.1028441418719908</v>
      </c>
      <c r="P105" s="7">
        <v>1.1259999999999999</v>
      </c>
      <c r="Q105" s="7">
        <v>1.7479999999999998</v>
      </c>
      <c r="R105" s="6">
        <f t="shared" si="7"/>
        <v>0.36289286490576605</v>
      </c>
      <c r="S105" s="6">
        <f t="shared" si="8"/>
        <v>0.56335410999580726</v>
      </c>
      <c r="T105" s="6">
        <f t="shared" si="9"/>
        <v>7.3753025098426628E-2</v>
      </c>
      <c r="U105" s="4">
        <f t="shared" si="16"/>
        <v>749.03312584522268</v>
      </c>
      <c r="V105" s="4">
        <f t="shared" si="17"/>
        <v>1162.7974280439157</v>
      </c>
      <c r="W105" s="4">
        <f t="shared" si="10"/>
        <v>1911.8305538891384</v>
      </c>
      <c r="X105" s="4">
        <f t="shared" si="11"/>
        <v>706.84756793660381</v>
      </c>
      <c r="Y105" s="4">
        <f t="shared" si="12"/>
        <v>1097.3086578625073</v>
      </c>
      <c r="Z105" s="4">
        <f t="shared" si="13"/>
        <v>1804.1562257991111</v>
      </c>
      <c r="AE105" s="3"/>
      <c r="AF105" s="3"/>
      <c r="AG105" s="7"/>
      <c r="AH105" s="7"/>
      <c r="AI105" s="7"/>
      <c r="AJ105" s="7"/>
      <c r="AK105" s="7"/>
      <c r="AL105" s="3"/>
      <c r="AM105" s="9"/>
      <c r="AN105" s="7"/>
      <c r="AO105" s="7"/>
      <c r="AP105" s="7"/>
      <c r="AQ105" s="7"/>
      <c r="AR105" s="9"/>
      <c r="AS105" s="9"/>
      <c r="AT105" s="9"/>
      <c r="AU105" s="3"/>
      <c r="AV105" s="3"/>
      <c r="AW105" s="3"/>
      <c r="AX105" s="3"/>
      <c r="AY105" s="3"/>
      <c r="AZ105" s="3"/>
    </row>
    <row r="106" spans="1:52" x14ac:dyDescent="0.3">
      <c r="A106">
        <v>66</v>
      </c>
      <c r="B106" s="1" t="s">
        <v>104</v>
      </c>
      <c r="C106" s="1" t="s">
        <v>160</v>
      </c>
      <c r="D106" s="2">
        <v>41955</v>
      </c>
      <c r="E106" s="3">
        <v>15.499999999999996</v>
      </c>
      <c r="F106" s="4">
        <f t="shared" ref="F106:F161" si="18">E106*$A$29/$A$30*$A$32</f>
        <v>2369.8481825045833</v>
      </c>
      <c r="G106" s="7">
        <v>12.01</v>
      </c>
      <c r="H106" s="7">
        <v>200.6</v>
      </c>
      <c r="I106" s="7">
        <f t="shared" ref="I106:I161" si="19">H106-G106</f>
        <v>188.59</v>
      </c>
      <c r="J106" s="7">
        <v>178.81</v>
      </c>
      <c r="K106" s="5">
        <f t="shared" ref="K106:K161" si="20">(I106-J106)/I106*100</f>
        <v>5.1858529084256855</v>
      </c>
      <c r="L106" s="4">
        <f t="shared" ref="L106:L161" si="21">F106*(1-K106/100)</f>
        <v>2246.9513416068962</v>
      </c>
      <c r="M106" s="2">
        <v>41957</v>
      </c>
      <c r="N106" s="7">
        <v>1.45</v>
      </c>
      <c r="O106" s="7">
        <f t="shared" ref="O106:O137" si="22">N106/$A$29-$A$33</f>
        <v>3.0367054092664771</v>
      </c>
      <c r="P106" s="7">
        <v>1.1259999999999999</v>
      </c>
      <c r="Q106" s="7">
        <v>1.6220000000000003</v>
      </c>
      <c r="R106" s="6">
        <f t="shared" ref="R106:R161" si="23">P106/O106</f>
        <v>0.37079658651248215</v>
      </c>
      <c r="S106" s="6">
        <f t="shared" ref="S106:S161" si="24">Q106/O106</f>
        <v>0.534131494958478</v>
      </c>
      <c r="T106" s="6">
        <f t="shared" ref="T106:T161" si="25">1-R106-S106</f>
        <v>9.5071918529039845E-2</v>
      </c>
      <c r="U106" s="4">
        <f t="shared" si="16"/>
        <v>878.73161662550933</v>
      </c>
      <c r="V106" s="4">
        <f t="shared" si="17"/>
        <v>1265.8105525458052</v>
      </c>
      <c r="W106" s="4">
        <f t="shared" ref="W106:W161" si="26">U106+V106</f>
        <v>2144.5421691713145</v>
      </c>
      <c r="X106" s="4">
        <f t="shared" ref="X106:X161" si="27">L106*R106</f>
        <v>833.16188752747928</v>
      </c>
      <c r="Y106" s="4">
        <f t="shared" ref="Y106:Y161" si="28">L106*S106</f>
        <v>1200.1674791914493</v>
      </c>
      <c r="Z106" s="4">
        <f t="shared" ref="Z106:Z161" si="29">X106+Y106</f>
        <v>2033.3293667189287</v>
      </c>
      <c r="AE106" s="3"/>
      <c r="AF106" s="3"/>
      <c r="AG106" s="7"/>
      <c r="AH106" s="7"/>
      <c r="AI106" s="7"/>
      <c r="AJ106" s="7"/>
      <c r="AK106" s="7"/>
      <c r="AL106" s="3"/>
      <c r="AM106" s="9"/>
      <c r="AN106" s="7"/>
      <c r="AO106" s="7"/>
      <c r="AP106" s="7"/>
      <c r="AQ106" s="7"/>
      <c r="AR106" s="9"/>
      <c r="AS106" s="9"/>
      <c r="AT106" s="9"/>
      <c r="AU106" s="3"/>
      <c r="AV106" s="3"/>
      <c r="AW106" s="3"/>
      <c r="AX106" s="3"/>
      <c r="AY106" s="3"/>
      <c r="AZ106" s="3"/>
    </row>
    <row r="107" spans="1:52" x14ac:dyDescent="0.3">
      <c r="A107">
        <v>67</v>
      </c>
      <c r="B107" s="1" t="s">
        <v>105</v>
      </c>
      <c r="C107" s="1" t="s">
        <v>160</v>
      </c>
      <c r="D107" s="2">
        <v>41955</v>
      </c>
      <c r="E107" s="3">
        <v>27.099999999999998</v>
      </c>
      <c r="F107" s="4">
        <f t="shared" si="18"/>
        <v>4143.4119836047885</v>
      </c>
      <c r="G107" s="7">
        <v>12.04</v>
      </c>
      <c r="H107" s="7">
        <v>244.92</v>
      </c>
      <c r="I107" s="7">
        <f t="shared" si="19"/>
        <v>232.88</v>
      </c>
      <c r="J107" s="7">
        <v>222.22</v>
      </c>
      <c r="K107" s="5">
        <f t="shared" si="20"/>
        <v>4.5774647887323932</v>
      </c>
      <c r="L107" s="4">
        <f t="shared" si="21"/>
        <v>3953.748759003161</v>
      </c>
      <c r="M107" s="2">
        <v>41957</v>
      </c>
      <c r="N107" s="7">
        <v>1.48</v>
      </c>
      <c r="O107" s="7">
        <f t="shared" si="22"/>
        <v>3.1028441418719908</v>
      </c>
      <c r="P107" s="7">
        <v>1.1259999999999999</v>
      </c>
      <c r="Q107" s="7">
        <v>1.7479999999999998</v>
      </c>
      <c r="R107" s="6">
        <f t="shared" si="23"/>
        <v>0.36289286490576605</v>
      </c>
      <c r="S107" s="6">
        <f t="shared" si="24"/>
        <v>0.56335410999580726</v>
      </c>
      <c r="T107" s="6">
        <f t="shared" si="25"/>
        <v>7.3753025098426628E-2</v>
      </c>
      <c r="U107" s="4">
        <f t="shared" si="16"/>
        <v>1503.6146452152248</v>
      </c>
      <c r="V107" s="4">
        <f t="shared" si="17"/>
        <v>2334.2081703696381</v>
      </c>
      <c r="W107" s="4">
        <f t="shared" si="26"/>
        <v>3837.8228155848628</v>
      </c>
      <c r="X107" s="4">
        <f t="shared" si="27"/>
        <v>1434.7872142722742</v>
      </c>
      <c r="Y107" s="4">
        <f t="shared" si="28"/>
        <v>2227.3606132752534</v>
      </c>
      <c r="Z107" s="4">
        <f t="shared" si="29"/>
        <v>3662.1478275475274</v>
      </c>
      <c r="AB107" t="s">
        <v>32</v>
      </c>
      <c r="AC107" t="str">
        <f>C107</f>
        <v>Machine</v>
      </c>
      <c r="AD107" s="8">
        <f>D107</f>
        <v>41955</v>
      </c>
      <c r="AE107" s="3">
        <f>SUM(E107:E117)</f>
        <v>398.09999999999991</v>
      </c>
      <c r="AF107" s="3">
        <f>AE107*$A$29/($A$30*11)*$A$32</f>
        <v>5533.3522665986793</v>
      </c>
      <c r="AG107" s="7">
        <f>SUM(G107:G117)</f>
        <v>131.47</v>
      </c>
      <c r="AH107" s="7">
        <f>SUM(H107:H117)</f>
        <v>2529.29</v>
      </c>
      <c r="AI107" s="7">
        <f>AH107-AG107</f>
        <v>2397.8200000000002</v>
      </c>
      <c r="AJ107" s="7">
        <f>SUM(J107:J117)</f>
        <v>2283.5099999999998</v>
      </c>
      <c r="AK107" s="7">
        <f>(AI107-AJ107)/AI107*100</f>
        <v>4.7672469159486699</v>
      </c>
      <c r="AL107" s="3">
        <f>AF107*(1-AK107/100)</f>
        <v>5269.5637013206779</v>
      </c>
      <c r="AM107" s="11">
        <f>M107</f>
        <v>41957</v>
      </c>
      <c r="AN107" s="7">
        <f>SUM(N107:N117)</f>
        <v>17.64</v>
      </c>
      <c r="AO107" s="7">
        <f>AN107/$A$29-$A$33*11</f>
        <v>37.129574772041842</v>
      </c>
      <c r="AP107" s="7">
        <f>SUM(P107:P117)</f>
        <v>12.952999999999999</v>
      </c>
      <c r="AQ107" s="7">
        <f>SUM(Q107:Q117)</f>
        <v>20.298999999999996</v>
      </c>
      <c r="AR107" s="9">
        <f>AP107/AO107</f>
        <v>0.34885936829401731</v>
      </c>
      <c r="AS107" s="9">
        <f>AQ107/AO107</f>
        <v>0.54670704215241694</v>
      </c>
      <c r="AT107" s="9">
        <f>1-AR107-AS107</f>
        <v>0.10443358955356574</v>
      </c>
      <c r="AU107" s="3">
        <f>AF107*AR107</f>
        <v>1930.3617762738841</v>
      </c>
      <c r="AV107" s="3">
        <f>AF107*AS107</f>
        <v>3025.122650859536</v>
      </c>
      <c r="AW107" s="3">
        <f>AU107+AV107</f>
        <v>4955.4844271334205</v>
      </c>
      <c r="AX107" s="3">
        <f>AL107*AR107</f>
        <v>1838.3366640278155</v>
      </c>
      <c r="AY107" s="3">
        <f>AL107*AS107</f>
        <v>2880.9075845827701</v>
      </c>
      <c r="AZ107" s="3">
        <f>AX107+AY107</f>
        <v>4719.2442486105856</v>
      </c>
    </row>
    <row r="108" spans="1:52" x14ac:dyDescent="0.3">
      <c r="A108">
        <v>68</v>
      </c>
      <c r="B108" s="1" t="s">
        <v>106</v>
      </c>
      <c r="C108" s="1" t="s">
        <v>160</v>
      </c>
      <c r="D108" s="2">
        <v>41955</v>
      </c>
      <c r="E108" s="3">
        <v>32.099999999999994</v>
      </c>
      <c r="F108" s="4">
        <f t="shared" si="18"/>
        <v>4907.8791392514286</v>
      </c>
      <c r="G108" s="7">
        <v>12.01</v>
      </c>
      <c r="H108" s="7">
        <v>238.36</v>
      </c>
      <c r="I108" s="7">
        <f t="shared" si="19"/>
        <v>226.35000000000002</v>
      </c>
      <c r="J108" s="7">
        <v>217.06</v>
      </c>
      <c r="K108" s="5">
        <f t="shared" si="20"/>
        <v>4.1042633090346889</v>
      </c>
      <c r="L108" s="4">
        <f t="shared" si="21"/>
        <v>4706.446856487365</v>
      </c>
      <c r="M108" s="2">
        <v>41957</v>
      </c>
      <c r="N108" s="7">
        <v>1.61</v>
      </c>
      <c r="O108" s="7">
        <f t="shared" si="22"/>
        <v>3.3894453164958818</v>
      </c>
      <c r="P108" s="7">
        <v>1.1259999999999999</v>
      </c>
      <c r="Q108" s="7">
        <v>1.8740000000000001</v>
      </c>
      <c r="R108" s="6">
        <f t="shared" si="23"/>
        <v>0.3322077493092867</v>
      </c>
      <c r="S108" s="6">
        <f t="shared" si="24"/>
        <v>0.55289282611510071</v>
      </c>
      <c r="T108" s="6">
        <f t="shared" si="25"/>
        <v>0.11489942457561253</v>
      </c>
      <c r="U108" s="4">
        <f t="shared" si="16"/>
        <v>1630.4354827327163</v>
      </c>
      <c r="V108" s="4">
        <f t="shared" si="17"/>
        <v>2713.5311675320704</v>
      </c>
      <c r="W108" s="4">
        <f t="shared" si="26"/>
        <v>4343.9666502647869</v>
      </c>
      <c r="X108" s="4">
        <f t="shared" si="27"/>
        <v>1563.518117437435</v>
      </c>
      <c r="Y108" s="4">
        <f t="shared" si="28"/>
        <v>2602.1607034438312</v>
      </c>
      <c r="Z108" s="4">
        <f t="shared" si="29"/>
        <v>4165.6788208812659</v>
      </c>
      <c r="AE108" s="3"/>
      <c r="AF108" s="3"/>
      <c r="AG108" s="7"/>
      <c r="AH108" s="7"/>
      <c r="AI108" s="7"/>
      <c r="AJ108" s="7"/>
      <c r="AK108" s="7"/>
      <c r="AL108" s="3"/>
      <c r="AM108" s="9"/>
      <c r="AN108" s="7"/>
      <c r="AO108" s="7"/>
      <c r="AP108" s="7"/>
      <c r="AQ108" s="7"/>
      <c r="AR108" s="9"/>
      <c r="AS108" s="9"/>
      <c r="AT108" s="9"/>
      <c r="AU108" s="3"/>
      <c r="AV108" s="3"/>
      <c r="AW108" s="3"/>
      <c r="AX108" s="3"/>
      <c r="AY108" s="3"/>
      <c r="AZ108" s="3"/>
    </row>
    <row r="109" spans="1:52" x14ac:dyDescent="0.3">
      <c r="A109">
        <v>69</v>
      </c>
      <c r="B109" s="1" t="s">
        <v>107</v>
      </c>
      <c r="C109" s="1" t="s">
        <v>160</v>
      </c>
      <c r="D109" s="2">
        <v>41955</v>
      </c>
      <c r="E109" s="3">
        <v>37</v>
      </c>
      <c r="F109" s="4">
        <f t="shared" si="18"/>
        <v>5657.0569517851354</v>
      </c>
      <c r="G109" s="7">
        <v>11.94</v>
      </c>
      <c r="H109" s="7">
        <v>233.14</v>
      </c>
      <c r="I109" s="7">
        <f t="shared" si="19"/>
        <v>221.2</v>
      </c>
      <c r="J109" s="7">
        <v>210.48</v>
      </c>
      <c r="K109" s="5">
        <f t="shared" si="20"/>
        <v>4.8462929475587702</v>
      </c>
      <c r="L109" s="4">
        <f t="shared" si="21"/>
        <v>5382.8993996913896</v>
      </c>
      <c r="M109" s="2">
        <v>41957</v>
      </c>
      <c r="N109" s="7">
        <v>1.65</v>
      </c>
      <c r="O109" s="7">
        <f t="shared" si="22"/>
        <v>3.4776302933032324</v>
      </c>
      <c r="P109" s="7">
        <v>1.2520000000000002</v>
      </c>
      <c r="Q109" s="7">
        <v>1.9369999999999998</v>
      </c>
      <c r="R109" s="6">
        <f t="shared" si="23"/>
        <v>0.36001526741095474</v>
      </c>
      <c r="S109" s="6">
        <f t="shared" si="24"/>
        <v>0.55698847681710795</v>
      </c>
      <c r="T109" s="6">
        <f t="shared" si="25"/>
        <v>8.2996255771937366E-2</v>
      </c>
      <c r="U109" s="4">
        <f t="shared" si="16"/>
        <v>2036.6268712559261</v>
      </c>
      <c r="V109" s="4">
        <f t="shared" si="17"/>
        <v>3150.9155348424342</v>
      </c>
      <c r="W109" s="4">
        <f t="shared" si="26"/>
        <v>5187.5424060983605</v>
      </c>
      <c r="X109" s="4">
        <f t="shared" si="27"/>
        <v>1937.9259668261634</v>
      </c>
      <c r="Y109" s="4">
        <f t="shared" si="28"/>
        <v>2998.2129374938318</v>
      </c>
      <c r="Z109" s="4">
        <f t="shared" si="29"/>
        <v>4936.1389043199952</v>
      </c>
      <c r="AE109" s="3"/>
      <c r="AF109" s="3"/>
      <c r="AG109" s="7"/>
      <c r="AH109" s="7"/>
      <c r="AI109" s="7"/>
      <c r="AJ109" s="7"/>
      <c r="AK109" s="7"/>
      <c r="AL109" s="3"/>
      <c r="AM109" s="9"/>
      <c r="AN109" s="7"/>
      <c r="AO109" s="7"/>
      <c r="AP109" s="7"/>
      <c r="AQ109" s="7"/>
      <c r="AR109" s="9"/>
      <c r="AS109" s="9"/>
      <c r="AT109" s="9"/>
      <c r="AU109" s="3"/>
      <c r="AV109" s="3"/>
      <c r="AW109" s="3"/>
      <c r="AX109" s="3"/>
      <c r="AY109" s="3"/>
      <c r="AZ109" s="3"/>
    </row>
    <row r="110" spans="1:52" x14ac:dyDescent="0.3">
      <c r="A110">
        <v>70</v>
      </c>
      <c r="B110" s="1" t="s">
        <v>108</v>
      </c>
      <c r="C110" s="1" t="s">
        <v>160</v>
      </c>
      <c r="D110" s="2">
        <v>41955</v>
      </c>
      <c r="E110" s="3">
        <v>40.200000000000003</v>
      </c>
      <c r="F110" s="4">
        <f t="shared" si="18"/>
        <v>6146.3159313989854</v>
      </c>
      <c r="G110" s="7">
        <v>11.97</v>
      </c>
      <c r="H110" s="7">
        <v>241.28</v>
      </c>
      <c r="I110" s="7">
        <f t="shared" si="19"/>
        <v>229.31</v>
      </c>
      <c r="J110" s="7">
        <v>218.13</v>
      </c>
      <c r="K110" s="5">
        <f t="shared" si="20"/>
        <v>4.8754960533775265</v>
      </c>
      <c r="L110" s="4">
        <f t="shared" si="21"/>
        <v>5846.6525407355139</v>
      </c>
      <c r="M110" s="2">
        <v>41957</v>
      </c>
      <c r="N110" s="7">
        <v>1.69</v>
      </c>
      <c r="O110" s="7">
        <f t="shared" si="22"/>
        <v>3.5658152701105839</v>
      </c>
      <c r="P110" s="7">
        <v>1.2520000000000002</v>
      </c>
      <c r="Q110" s="7">
        <v>1.9369999999999998</v>
      </c>
      <c r="R110" s="6">
        <f t="shared" si="23"/>
        <v>0.35111185105255688</v>
      </c>
      <c r="S110" s="6">
        <f t="shared" si="24"/>
        <v>0.54321378233929918</v>
      </c>
      <c r="T110" s="6">
        <f t="shared" si="25"/>
        <v>0.105674366608144</v>
      </c>
      <c r="U110" s="4">
        <f t="shared" si="16"/>
        <v>2158.0443638273177</v>
      </c>
      <c r="V110" s="4">
        <f t="shared" si="17"/>
        <v>3338.7635245475353</v>
      </c>
      <c r="W110" s="4">
        <f t="shared" si="26"/>
        <v>5496.8078883748531</v>
      </c>
      <c r="X110" s="4">
        <f t="shared" si="27"/>
        <v>2052.828996038781</v>
      </c>
      <c r="Y110" s="4">
        <f t="shared" si="28"/>
        <v>3175.982240676612</v>
      </c>
      <c r="Z110" s="4">
        <f t="shared" si="29"/>
        <v>5228.8112367153935</v>
      </c>
      <c r="AE110" s="3"/>
      <c r="AF110" s="3"/>
      <c r="AG110" s="7"/>
      <c r="AH110" s="7"/>
      <c r="AI110" s="7"/>
      <c r="AJ110" s="7"/>
      <c r="AK110" s="7"/>
      <c r="AL110" s="3"/>
      <c r="AM110" s="9"/>
      <c r="AN110" s="7"/>
      <c r="AO110" s="7"/>
      <c r="AP110" s="7"/>
      <c r="AQ110" s="7"/>
      <c r="AR110" s="9"/>
      <c r="AS110" s="9"/>
      <c r="AT110" s="9"/>
      <c r="AU110" s="3"/>
      <c r="AV110" s="3"/>
      <c r="AW110" s="3"/>
      <c r="AX110" s="3"/>
      <c r="AY110" s="3"/>
      <c r="AZ110" s="3"/>
    </row>
    <row r="111" spans="1:52" x14ac:dyDescent="0.3">
      <c r="A111">
        <v>71</v>
      </c>
      <c r="B111" s="1" t="s">
        <v>109</v>
      </c>
      <c r="C111" s="1" t="s">
        <v>160</v>
      </c>
      <c r="D111" s="2">
        <v>41955</v>
      </c>
      <c r="E111" s="3">
        <v>39.200000000000003</v>
      </c>
      <c r="F111" s="4">
        <f t="shared" si="18"/>
        <v>5993.4225002696576</v>
      </c>
      <c r="G111" s="7">
        <v>11.88</v>
      </c>
      <c r="H111" s="7">
        <v>214.13</v>
      </c>
      <c r="I111" s="7">
        <f t="shared" si="19"/>
        <v>202.25</v>
      </c>
      <c r="J111" s="7">
        <v>192.22</v>
      </c>
      <c r="K111" s="5">
        <f t="shared" si="20"/>
        <v>4.9592088998763915</v>
      </c>
      <c r="L111" s="4">
        <f t="shared" si="21"/>
        <v>5696.1961582290905</v>
      </c>
      <c r="M111" s="2">
        <v>41957</v>
      </c>
      <c r="N111" s="7">
        <v>1.53</v>
      </c>
      <c r="O111" s="7">
        <f t="shared" si="22"/>
        <v>3.2130753628811797</v>
      </c>
      <c r="P111" s="7">
        <v>1.1259999999999999</v>
      </c>
      <c r="Q111" s="7">
        <v>1.8109999999999995</v>
      </c>
      <c r="R111" s="6">
        <f t="shared" si="23"/>
        <v>0.35044307177106188</v>
      </c>
      <c r="S111" s="6">
        <f t="shared" si="24"/>
        <v>0.56363446090354608</v>
      </c>
      <c r="T111" s="6">
        <f t="shared" si="25"/>
        <v>8.5922467325392105E-2</v>
      </c>
      <c r="U111" s="4">
        <f t="shared" si="16"/>
        <v>2100.3533914162967</v>
      </c>
      <c r="V111" s="4">
        <f t="shared" si="17"/>
        <v>3378.0994599066717</v>
      </c>
      <c r="W111" s="4">
        <f t="shared" si="26"/>
        <v>5478.4528513229689</v>
      </c>
      <c r="X111" s="4">
        <f t="shared" si="27"/>
        <v>1996.1924791003241</v>
      </c>
      <c r="Y111" s="4">
        <f t="shared" si="28"/>
        <v>3210.5724508443036</v>
      </c>
      <c r="Z111" s="4">
        <f t="shared" si="29"/>
        <v>5206.7649299446275</v>
      </c>
      <c r="AE111" s="3"/>
      <c r="AF111" s="3"/>
      <c r="AG111" s="7"/>
      <c r="AH111" s="7"/>
      <c r="AI111" s="7"/>
      <c r="AJ111" s="7"/>
      <c r="AK111" s="7"/>
      <c r="AL111" s="3"/>
      <c r="AM111" s="9"/>
      <c r="AN111" s="7"/>
      <c r="AO111" s="7"/>
      <c r="AP111" s="7"/>
      <c r="AQ111" s="7"/>
      <c r="AR111" s="9"/>
      <c r="AS111" s="9"/>
      <c r="AT111" s="9"/>
      <c r="AU111" s="3"/>
      <c r="AV111" s="3"/>
      <c r="AW111" s="3"/>
      <c r="AX111" s="3"/>
      <c r="AY111" s="3"/>
      <c r="AZ111" s="3"/>
    </row>
    <row r="112" spans="1:52" x14ac:dyDescent="0.3">
      <c r="A112">
        <v>72</v>
      </c>
      <c r="B112" s="1" t="s">
        <v>110</v>
      </c>
      <c r="C112" s="1" t="s">
        <v>160</v>
      </c>
      <c r="D112" s="2">
        <v>41955</v>
      </c>
      <c r="E112" s="3">
        <v>35.700000000000003</v>
      </c>
      <c r="F112" s="4">
        <f t="shared" si="18"/>
        <v>5458.2954913170097</v>
      </c>
      <c r="G112" s="7">
        <v>12.1</v>
      </c>
      <c r="H112" s="7">
        <v>237.46</v>
      </c>
      <c r="I112" s="7">
        <f t="shared" si="19"/>
        <v>225.36</v>
      </c>
      <c r="J112" s="7">
        <v>214.58</v>
      </c>
      <c r="K112" s="5">
        <f t="shared" si="20"/>
        <v>4.783457578984736</v>
      </c>
      <c r="L112" s="4">
        <f t="shared" si="21"/>
        <v>5197.2002419542241</v>
      </c>
      <c r="M112" s="2">
        <v>41957</v>
      </c>
      <c r="N112" s="7">
        <v>1.69</v>
      </c>
      <c r="O112" s="7">
        <f t="shared" si="22"/>
        <v>3.5658152701105839</v>
      </c>
      <c r="P112" s="7">
        <v>1.1890000000000001</v>
      </c>
      <c r="Q112" s="7">
        <v>1.9369999999999998</v>
      </c>
      <c r="R112" s="6">
        <f t="shared" si="23"/>
        <v>0.33344408218968857</v>
      </c>
      <c r="S112" s="6">
        <f t="shared" si="24"/>
        <v>0.54321378233929918</v>
      </c>
      <c r="T112" s="6">
        <f t="shared" si="25"/>
        <v>0.12334213547101225</v>
      </c>
      <c r="U112" s="4">
        <f t="shared" si="16"/>
        <v>1820.0363304223156</v>
      </c>
      <c r="V112" s="4">
        <f t="shared" si="17"/>
        <v>2965.0213389638561</v>
      </c>
      <c r="W112" s="4">
        <f t="shared" si="26"/>
        <v>4785.0576693861713</v>
      </c>
      <c r="X112" s="4">
        <f t="shared" si="27"/>
        <v>1732.9756646344536</v>
      </c>
      <c r="Y112" s="4">
        <f t="shared" si="28"/>
        <v>2823.190801006675</v>
      </c>
      <c r="Z112" s="4">
        <f t="shared" si="29"/>
        <v>4556.1664656411285</v>
      </c>
      <c r="AE112" s="3"/>
      <c r="AF112" s="3"/>
      <c r="AG112" s="7"/>
      <c r="AH112" s="7"/>
      <c r="AI112" s="7"/>
      <c r="AJ112" s="7"/>
      <c r="AK112" s="7"/>
      <c r="AL112" s="3"/>
      <c r="AM112" s="9"/>
      <c r="AN112" s="7"/>
      <c r="AO112" s="7"/>
      <c r="AP112" s="7"/>
      <c r="AQ112" s="7"/>
      <c r="AR112" s="9"/>
      <c r="AS112" s="9"/>
      <c r="AT112" s="9"/>
      <c r="AU112" s="3"/>
      <c r="AV112" s="3"/>
      <c r="AW112" s="3"/>
      <c r="AX112" s="3"/>
      <c r="AY112" s="3"/>
      <c r="AZ112" s="3"/>
    </row>
    <row r="113" spans="1:52" x14ac:dyDescent="0.3">
      <c r="A113">
        <v>73</v>
      </c>
      <c r="B113" s="1" t="s">
        <v>111</v>
      </c>
      <c r="C113" s="1" t="s">
        <v>160</v>
      </c>
      <c r="D113" s="2">
        <v>41955</v>
      </c>
      <c r="E113" s="3">
        <v>41.3</v>
      </c>
      <c r="F113" s="4">
        <f t="shared" si="18"/>
        <v>6314.4987056412465</v>
      </c>
      <c r="G113" s="7">
        <v>11.92</v>
      </c>
      <c r="H113" s="7">
        <v>200.14</v>
      </c>
      <c r="I113" s="7">
        <f t="shared" si="19"/>
        <v>188.22</v>
      </c>
      <c r="J113" s="7">
        <v>180.13</v>
      </c>
      <c r="K113" s="5">
        <f t="shared" si="20"/>
        <v>4.2981617256402105</v>
      </c>
      <c r="L113" s="4">
        <f t="shared" si="21"/>
        <v>6043.0913391093272</v>
      </c>
      <c r="M113" s="2">
        <v>41957</v>
      </c>
      <c r="N113" s="7">
        <v>1.48</v>
      </c>
      <c r="O113" s="7">
        <f t="shared" si="22"/>
        <v>3.1028441418719908</v>
      </c>
      <c r="P113" s="7">
        <v>1.1259999999999999</v>
      </c>
      <c r="Q113" s="7">
        <v>1.6850000000000001</v>
      </c>
      <c r="R113" s="6">
        <f t="shared" si="23"/>
        <v>0.36289286490576605</v>
      </c>
      <c r="S113" s="6">
        <f t="shared" si="24"/>
        <v>0.54305015751884178</v>
      </c>
      <c r="T113" s="6">
        <f t="shared" si="25"/>
        <v>9.4056977575392109E-2</v>
      </c>
      <c r="U113" s="4">
        <f t="shared" si="16"/>
        <v>2291.4865257339034</v>
      </c>
      <c r="V113" s="4">
        <f t="shared" si="17"/>
        <v>3429.0895167510016</v>
      </c>
      <c r="W113" s="4">
        <f t="shared" si="26"/>
        <v>5720.576042484905</v>
      </c>
      <c r="X113" s="4">
        <f t="shared" si="27"/>
        <v>2192.994728936606</v>
      </c>
      <c r="Y113" s="4">
        <f t="shared" si="28"/>
        <v>3281.7017036040688</v>
      </c>
      <c r="Z113" s="4">
        <f t="shared" si="29"/>
        <v>5474.6964325406752</v>
      </c>
      <c r="AE113" s="3"/>
      <c r="AF113" s="3"/>
      <c r="AG113" s="7"/>
      <c r="AH113" s="7"/>
      <c r="AI113" s="7"/>
      <c r="AJ113" s="7"/>
      <c r="AK113" s="7"/>
      <c r="AL113" s="3"/>
      <c r="AM113" s="9"/>
      <c r="AN113" s="7"/>
      <c r="AO113" s="7"/>
      <c r="AP113" s="7"/>
      <c r="AQ113" s="7"/>
      <c r="AR113" s="9"/>
      <c r="AS113" s="9"/>
      <c r="AT113" s="9"/>
      <c r="AU113" s="3"/>
      <c r="AV113" s="3"/>
      <c r="AW113" s="3"/>
      <c r="AX113" s="3"/>
      <c r="AY113" s="3"/>
      <c r="AZ113" s="3"/>
    </row>
    <row r="114" spans="1:52" x14ac:dyDescent="0.3">
      <c r="A114">
        <v>74</v>
      </c>
      <c r="B114" s="1" t="s">
        <v>112</v>
      </c>
      <c r="C114" s="1" t="s">
        <v>160</v>
      </c>
      <c r="D114" s="2">
        <v>41955</v>
      </c>
      <c r="E114" s="3">
        <v>40.200000000000003</v>
      </c>
      <c r="F114" s="4">
        <f t="shared" si="18"/>
        <v>6146.3159313989854</v>
      </c>
      <c r="G114" s="7">
        <v>11.89</v>
      </c>
      <c r="H114" s="7">
        <v>246.95</v>
      </c>
      <c r="I114" s="7">
        <f t="shared" si="19"/>
        <v>235.06</v>
      </c>
      <c r="J114" s="7">
        <v>224.27</v>
      </c>
      <c r="K114" s="5">
        <f t="shared" si="20"/>
        <v>4.5903173657789464</v>
      </c>
      <c r="L114" s="4">
        <f t="shared" si="21"/>
        <v>5864.1805238443394</v>
      </c>
      <c r="M114" s="2">
        <v>41957</v>
      </c>
      <c r="N114" s="7">
        <v>1.58</v>
      </c>
      <c r="O114" s="7">
        <f t="shared" si="22"/>
        <v>3.3233065838903686</v>
      </c>
      <c r="P114" s="7">
        <v>1.2520000000000002</v>
      </c>
      <c r="Q114" s="7">
        <v>1.8740000000000001</v>
      </c>
      <c r="R114" s="6">
        <f t="shared" si="23"/>
        <v>0.37673322288982714</v>
      </c>
      <c r="S114" s="6">
        <f t="shared" si="24"/>
        <v>0.56389621381432586</v>
      </c>
      <c r="T114" s="6">
        <f t="shared" si="25"/>
        <v>5.9370563295847001E-2</v>
      </c>
      <c r="U114" s="4">
        <f t="shared" si="16"/>
        <v>2315.5214097350295</v>
      </c>
      <c r="V114" s="4">
        <f t="shared" si="17"/>
        <v>3465.8842826225596</v>
      </c>
      <c r="W114" s="4">
        <f t="shared" si="26"/>
        <v>5781.405692357589</v>
      </c>
      <c r="X114" s="4">
        <f t="shared" si="27"/>
        <v>2209.2316283556329</v>
      </c>
      <c r="Y114" s="4">
        <f t="shared" si="28"/>
        <v>3306.7891945195329</v>
      </c>
      <c r="Z114" s="4">
        <f t="shared" si="29"/>
        <v>5516.0208228751653</v>
      </c>
      <c r="AE114" s="3"/>
      <c r="AF114" s="3"/>
      <c r="AG114" s="7"/>
      <c r="AH114" s="7"/>
      <c r="AI114" s="7"/>
      <c r="AJ114" s="7"/>
      <c r="AK114" s="7"/>
      <c r="AL114" s="3"/>
      <c r="AM114" s="9"/>
      <c r="AN114" s="7"/>
      <c r="AO114" s="7"/>
      <c r="AP114" s="7"/>
      <c r="AQ114" s="7"/>
      <c r="AR114" s="9"/>
      <c r="AS114" s="9"/>
      <c r="AT114" s="9"/>
      <c r="AU114" s="3"/>
      <c r="AV114" s="3"/>
      <c r="AW114" s="3"/>
      <c r="AX114" s="3"/>
      <c r="AY114" s="3"/>
      <c r="AZ114" s="3"/>
    </row>
    <row r="115" spans="1:52" x14ac:dyDescent="0.3">
      <c r="A115">
        <v>75</v>
      </c>
      <c r="B115" s="1" t="s">
        <v>113</v>
      </c>
      <c r="C115" s="1" t="s">
        <v>160</v>
      </c>
      <c r="D115" s="2">
        <v>41955</v>
      </c>
      <c r="E115" s="3">
        <v>37.4</v>
      </c>
      <c r="F115" s="4">
        <f t="shared" si="18"/>
        <v>5718.2143242368666</v>
      </c>
      <c r="G115" s="7">
        <v>11.78</v>
      </c>
      <c r="H115" s="7">
        <v>247.03</v>
      </c>
      <c r="I115" s="7">
        <f t="shared" si="19"/>
        <v>235.25</v>
      </c>
      <c r="J115" s="7">
        <v>222.82</v>
      </c>
      <c r="K115" s="5">
        <f t="shared" si="20"/>
        <v>5.2837407013815119</v>
      </c>
      <c r="L115" s="4">
        <f t="shared" si="21"/>
        <v>5416.0787065949353</v>
      </c>
      <c r="M115" s="2">
        <v>41957</v>
      </c>
      <c r="N115" s="7">
        <v>1.64</v>
      </c>
      <c r="O115" s="7">
        <f t="shared" si="22"/>
        <v>3.4555840491013949</v>
      </c>
      <c r="P115" s="7">
        <v>1.1890000000000001</v>
      </c>
      <c r="Q115" s="7">
        <v>1.8109999999999995</v>
      </c>
      <c r="R115" s="6">
        <f t="shared" si="23"/>
        <v>0.34408076409230814</v>
      </c>
      <c r="S115" s="6">
        <f t="shared" si="24"/>
        <v>0.5240792798748275</v>
      </c>
      <c r="T115" s="6">
        <f t="shared" si="25"/>
        <v>0.13183995603286436</v>
      </c>
      <c r="U115" s="4">
        <f t="shared" si="16"/>
        <v>1967.5275539270026</v>
      </c>
      <c r="V115" s="4">
        <f t="shared" si="17"/>
        <v>2996.7976452159805</v>
      </c>
      <c r="W115" s="4">
        <f t="shared" si="26"/>
        <v>4964.3251991429834</v>
      </c>
      <c r="X115" s="4">
        <f t="shared" si="27"/>
        <v>1863.5684997492654</v>
      </c>
      <c r="Y115" s="4">
        <f t="shared" si="28"/>
        <v>2838.4546282976607</v>
      </c>
      <c r="Z115" s="4">
        <f t="shared" si="29"/>
        <v>4702.0231280469261</v>
      </c>
      <c r="AE115" s="3"/>
      <c r="AF115" s="3"/>
      <c r="AG115" s="7"/>
      <c r="AH115" s="7"/>
      <c r="AI115" s="7"/>
      <c r="AJ115" s="7"/>
      <c r="AK115" s="7"/>
      <c r="AL115" s="3"/>
      <c r="AM115" s="9"/>
      <c r="AN115" s="7"/>
      <c r="AO115" s="7"/>
      <c r="AP115" s="7"/>
      <c r="AQ115" s="7"/>
      <c r="AR115" s="9"/>
      <c r="AS115" s="9"/>
      <c r="AT115" s="9"/>
      <c r="AU115" s="3"/>
      <c r="AV115" s="3"/>
      <c r="AW115" s="3"/>
      <c r="AX115" s="3"/>
      <c r="AY115" s="3"/>
      <c r="AZ115" s="3"/>
    </row>
    <row r="116" spans="1:52" x14ac:dyDescent="0.3">
      <c r="A116">
        <v>76</v>
      </c>
      <c r="B116" s="1" t="s">
        <v>114</v>
      </c>
      <c r="C116" s="1" t="s">
        <v>160</v>
      </c>
      <c r="D116" s="2">
        <v>41955</v>
      </c>
      <c r="E116" s="3">
        <v>32.4</v>
      </c>
      <c r="F116" s="4">
        <f t="shared" si="18"/>
        <v>4953.7471685902274</v>
      </c>
      <c r="G116" s="7">
        <v>11.99</v>
      </c>
      <c r="H116" s="7">
        <v>221.21</v>
      </c>
      <c r="I116" s="7">
        <f t="shared" si="19"/>
        <v>209.22</v>
      </c>
      <c r="J116" s="7">
        <v>197.58</v>
      </c>
      <c r="K116" s="5">
        <f t="shared" si="20"/>
        <v>5.5635216518497215</v>
      </c>
      <c r="L116" s="4">
        <f t="shared" si="21"/>
        <v>4678.1443722878175</v>
      </c>
      <c r="M116" s="2">
        <v>41957</v>
      </c>
      <c r="N116" s="7">
        <v>1.62</v>
      </c>
      <c r="O116" s="7">
        <f t="shared" si="22"/>
        <v>3.4114915606977196</v>
      </c>
      <c r="P116" s="7">
        <v>1.1890000000000001</v>
      </c>
      <c r="Q116" s="7">
        <v>1.8109999999999995</v>
      </c>
      <c r="R116" s="6">
        <f t="shared" si="23"/>
        <v>0.34852790307264464</v>
      </c>
      <c r="S116" s="6">
        <f t="shared" si="24"/>
        <v>0.53085284479777906</v>
      </c>
      <c r="T116" s="6">
        <f t="shared" si="25"/>
        <v>0.12061925212957625</v>
      </c>
      <c r="U116" s="4">
        <f t="shared" si="16"/>
        <v>1726.5191130208027</v>
      </c>
      <c r="V116" s="4">
        <f t="shared" si="17"/>
        <v>2629.7107768550654</v>
      </c>
      <c r="W116" s="4">
        <f t="shared" si="26"/>
        <v>4356.2298898758681</v>
      </c>
      <c r="X116" s="4">
        <f t="shared" si="27"/>
        <v>1630.4638483445665</v>
      </c>
      <c r="Y116" s="4">
        <f t="shared" si="28"/>
        <v>2483.4062484037081</v>
      </c>
      <c r="Z116" s="4">
        <f t="shared" si="29"/>
        <v>4113.8700967482746</v>
      </c>
      <c r="AE116" s="3"/>
      <c r="AF116" s="3"/>
      <c r="AG116" s="7"/>
      <c r="AH116" s="7"/>
      <c r="AI116" s="7"/>
      <c r="AJ116" s="7"/>
      <c r="AK116" s="7"/>
      <c r="AL116" s="3"/>
      <c r="AM116" s="9"/>
      <c r="AN116" s="7"/>
      <c r="AO116" s="7"/>
      <c r="AP116" s="7"/>
      <c r="AQ116" s="7"/>
      <c r="AR116" s="9"/>
      <c r="AS116" s="9"/>
      <c r="AT116" s="9"/>
      <c r="AU116" s="3"/>
      <c r="AV116" s="3"/>
      <c r="AW116" s="3"/>
      <c r="AX116" s="3"/>
      <c r="AY116" s="3"/>
      <c r="AZ116" s="3"/>
    </row>
    <row r="117" spans="1:52" x14ac:dyDescent="0.3">
      <c r="A117">
        <v>77</v>
      </c>
      <c r="B117" s="1" t="s">
        <v>115</v>
      </c>
      <c r="C117" s="1" t="s">
        <v>160</v>
      </c>
      <c r="D117" s="2">
        <v>41955</v>
      </c>
      <c r="E117" s="3">
        <v>35.5</v>
      </c>
      <c r="F117" s="4">
        <f t="shared" si="18"/>
        <v>5427.716805091145</v>
      </c>
      <c r="G117" s="7">
        <v>11.95</v>
      </c>
      <c r="H117" s="7">
        <v>204.67</v>
      </c>
      <c r="I117" s="7">
        <f t="shared" si="19"/>
        <v>192.72</v>
      </c>
      <c r="J117" s="7">
        <v>184.02</v>
      </c>
      <c r="K117" s="5">
        <f t="shared" si="20"/>
        <v>4.5143212951432075</v>
      </c>
      <c r="L117" s="4">
        <f t="shared" si="21"/>
        <v>5182.6922295188488</v>
      </c>
      <c r="M117" s="2">
        <v>41957</v>
      </c>
      <c r="N117" s="7">
        <v>1.67</v>
      </c>
      <c r="O117" s="7">
        <f t="shared" si="22"/>
        <v>3.5217227817069081</v>
      </c>
      <c r="P117" s="7">
        <v>1.1259999999999999</v>
      </c>
      <c r="Q117" s="7">
        <v>1.8740000000000001</v>
      </c>
      <c r="R117" s="6">
        <f t="shared" si="23"/>
        <v>0.31972987932180463</v>
      </c>
      <c r="S117" s="6">
        <f t="shared" si="24"/>
        <v>0.53212592704179573</v>
      </c>
      <c r="T117" s="6">
        <f t="shared" si="25"/>
        <v>0.14814419363639963</v>
      </c>
      <c r="U117" s="4">
        <f t="shared" si="16"/>
        <v>1735.4032390847228</v>
      </c>
      <c r="V117" s="4">
        <f t="shared" si="17"/>
        <v>2888.2288366294592</v>
      </c>
      <c r="W117" s="4">
        <f t="shared" si="26"/>
        <v>4623.6320757141821</v>
      </c>
      <c r="X117" s="4">
        <f t="shared" si="27"/>
        <v>1657.0615611061162</v>
      </c>
      <c r="Y117" s="4">
        <f t="shared" si="28"/>
        <v>2757.8449072050284</v>
      </c>
      <c r="Z117" s="4">
        <f t="shared" si="29"/>
        <v>4414.9064683111446</v>
      </c>
      <c r="AE117" s="3"/>
      <c r="AF117" s="3"/>
      <c r="AG117" s="7"/>
      <c r="AH117" s="7"/>
      <c r="AI117" s="7"/>
      <c r="AJ117" s="7"/>
      <c r="AK117" s="7"/>
      <c r="AL117" s="3"/>
      <c r="AM117" s="9"/>
      <c r="AN117" s="7"/>
      <c r="AO117" s="7"/>
      <c r="AP117" s="7"/>
      <c r="AQ117" s="7"/>
      <c r="AR117" s="9"/>
      <c r="AS117" s="9"/>
      <c r="AT117" s="9"/>
      <c r="AU117" s="3"/>
      <c r="AV117" s="3"/>
      <c r="AW117" s="3"/>
      <c r="AX117" s="3"/>
      <c r="AY117" s="3"/>
      <c r="AZ117" s="3"/>
    </row>
    <row r="118" spans="1:52" x14ac:dyDescent="0.3">
      <c r="A118">
        <v>78</v>
      </c>
      <c r="B118" s="1" t="s">
        <v>116</v>
      </c>
      <c r="C118" s="1" t="s">
        <v>160</v>
      </c>
      <c r="D118" s="2">
        <v>41955</v>
      </c>
      <c r="E118" s="3">
        <v>25.5</v>
      </c>
      <c r="F118" s="4">
        <f t="shared" si="18"/>
        <v>3898.7824937978644</v>
      </c>
      <c r="G118" s="7">
        <v>12.02</v>
      </c>
      <c r="H118" s="7">
        <v>223.2</v>
      </c>
      <c r="I118" s="7">
        <f t="shared" si="19"/>
        <v>211.17999999999998</v>
      </c>
      <c r="J118" s="7">
        <v>200.86</v>
      </c>
      <c r="K118" s="5">
        <f t="shared" si="20"/>
        <v>4.8868264040155163</v>
      </c>
      <c r="L118" s="4">
        <f t="shared" si="21"/>
        <v>3708.2557614558154</v>
      </c>
      <c r="M118" s="2">
        <v>41957</v>
      </c>
      <c r="N118" s="7">
        <v>1.7</v>
      </c>
      <c r="O118" s="7">
        <f t="shared" si="22"/>
        <v>3.5878615143124217</v>
      </c>
      <c r="P118" s="7">
        <v>1.2520000000000002</v>
      </c>
      <c r="Q118" s="7">
        <v>1.9369999999999998</v>
      </c>
      <c r="R118" s="6">
        <f t="shared" si="23"/>
        <v>0.34895438271672913</v>
      </c>
      <c r="S118" s="6">
        <f t="shared" si="24"/>
        <v>0.53987591000184043</v>
      </c>
      <c r="T118" s="6">
        <f t="shared" si="25"/>
        <v>0.11116970728143039</v>
      </c>
      <c r="U118" s="4">
        <f t="shared" si="16"/>
        <v>1360.4972384700236</v>
      </c>
      <c r="V118" s="4">
        <f t="shared" si="17"/>
        <v>2104.8587467383668</v>
      </c>
      <c r="W118" s="4">
        <f t="shared" si="26"/>
        <v>3465.3559852083904</v>
      </c>
      <c r="X118" s="4">
        <f t="shared" si="27"/>
        <v>1294.0121001945683</v>
      </c>
      <c r="Y118" s="4">
        <f t="shared" si="28"/>
        <v>2001.9979537355262</v>
      </c>
      <c r="Z118" s="4">
        <f t="shared" si="29"/>
        <v>3296.0100539300947</v>
      </c>
      <c r="AB118" t="s">
        <v>33</v>
      </c>
      <c r="AC118" t="str">
        <f>C118</f>
        <v>Machine</v>
      </c>
      <c r="AD118" s="8">
        <f>D118</f>
        <v>41955</v>
      </c>
      <c r="AE118" s="3">
        <f>SUM(E118:E128)</f>
        <v>342</v>
      </c>
      <c r="AF118" s="3">
        <f>AE118*$A$29/($A$30*11)*$A$32</f>
        <v>4753.5957678391069</v>
      </c>
      <c r="AG118" s="7">
        <f>SUM(G118:G128)</f>
        <v>131.93</v>
      </c>
      <c r="AH118" s="7">
        <f>SUM(H118:H128)</f>
        <v>2491.79</v>
      </c>
      <c r="AI118" s="7">
        <f>AH118-AG118</f>
        <v>2359.86</v>
      </c>
      <c r="AJ118" s="7">
        <f>SUM(J118:J128)</f>
        <v>2241.88</v>
      </c>
      <c r="AK118" s="7">
        <f>(AI118-AJ118)/AI118*100</f>
        <v>4.9994491198630433</v>
      </c>
      <c r="AL118" s="3">
        <f>AF118*(1-AK118/100)</f>
        <v>4515.9421660620283</v>
      </c>
      <c r="AM118" s="11">
        <f>M118</f>
        <v>41957</v>
      </c>
      <c r="AN118" s="7">
        <f>SUM(N118:N128)</f>
        <v>14.850000000000001</v>
      </c>
      <c r="AO118" s="7">
        <f>AN118/$A$29-$A$33*10</f>
        <v>31.138672639729094</v>
      </c>
      <c r="AP118" s="7">
        <f>SUM(P118:P128)</f>
        <v>10.882000000000001</v>
      </c>
      <c r="AQ118" s="7">
        <f>SUM(Q118:Q128)</f>
        <v>16.913</v>
      </c>
      <c r="AR118" s="9">
        <f>AP118/AO118</f>
        <v>0.34946897467029198</v>
      </c>
      <c r="AS118" s="9">
        <f>AQ118/AO118</f>
        <v>0.54315096201053559</v>
      </c>
      <c r="AT118" s="9">
        <f>1-AR118-AS118</f>
        <v>0.10738006331917249</v>
      </c>
      <c r="AU118" s="3">
        <f>AF118*AR118</f>
        <v>1661.234238983772</v>
      </c>
      <c r="AV118" s="3">
        <f>AF118*AS118</f>
        <v>2581.9201143110213</v>
      </c>
      <c r="AW118" s="3">
        <f>AU118+AV118</f>
        <v>4243.1543532947935</v>
      </c>
      <c r="AX118" s="3">
        <f>AL118*AR118</f>
        <v>1578.1816784440343</v>
      </c>
      <c r="AY118" s="3">
        <f>AL118*AS118</f>
        <v>2452.8383318805327</v>
      </c>
      <c r="AZ118" s="3">
        <f>AX118+AY118</f>
        <v>4031.020010324567</v>
      </c>
    </row>
    <row r="119" spans="1:52" x14ac:dyDescent="0.3">
      <c r="A119">
        <v>79</v>
      </c>
      <c r="B119" s="1" t="s">
        <v>117</v>
      </c>
      <c r="C119" s="1" t="s">
        <v>160</v>
      </c>
      <c r="D119" s="2">
        <v>41955</v>
      </c>
      <c r="E119" s="3">
        <v>31.7</v>
      </c>
      <c r="F119" s="4">
        <f t="shared" si="18"/>
        <v>4846.7217667996974</v>
      </c>
      <c r="G119" s="7">
        <v>11.94</v>
      </c>
      <c r="H119" s="7">
        <v>217.17</v>
      </c>
      <c r="I119" s="7">
        <f t="shared" si="19"/>
        <v>205.23</v>
      </c>
      <c r="J119" s="7">
        <v>195.25</v>
      </c>
      <c r="K119" s="5">
        <f t="shared" si="20"/>
        <v>4.8628368172294456</v>
      </c>
      <c r="L119" s="4">
        <f t="shared" si="21"/>
        <v>4611.0335962950885</v>
      </c>
      <c r="M119" s="2">
        <v>41957</v>
      </c>
      <c r="N119" s="7">
        <v>1.44</v>
      </c>
      <c r="O119" s="7">
        <f t="shared" si="22"/>
        <v>3.0146591650646393</v>
      </c>
      <c r="P119" s="7">
        <v>1.0630000000000002</v>
      </c>
      <c r="Q119" s="7">
        <v>1.6220000000000003</v>
      </c>
      <c r="R119" s="6">
        <f t="shared" si="23"/>
        <v>0.35261034226308885</v>
      </c>
      <c r="S119" s="6">
        <f t="shared" si="24"/>
        <v>0.53803760597434636</v>
      </c>
      <c r="T119" s="6">
        <f t="shared" si="25"/>
        <v>0.10935205176256479</v>
      </c>
      <c r="U119" s="4">
        <f t="shared" si="16"/>
        <v>1709.0042210452041</v>
      </c>
      <c r="V119" s="4">
        <f t="shared" si="17"/>
        <v>2607.7185762326635</v>
      </c>
      <c r="W119" s="4">
        <f t="shared" si="26"/>
        <v>4316.7227972778674</v>
      </c>
      <c r="X119" s="4">
        <f t="shared" si="27"/>
        <v>1625.8981345762127</v>
      </c>
      <c r="Y119" s="4">
        <f t="shared" si="28"/>
        <v>2480.9094772178901</v>
      </c>
      <c r="Z119" s="4">
        <f t="shared" si="29"/>
        <v>4106.8076117941027</v>
      </c>
      <c r="AE119" s="3"/>
      <c r="AF119" s="3"/>
      <c r="AG119" s="7"/>
      <c r="AH119" s="7"/>
      <c r="AI119" s="7"/>
      <c r="AJ119" s="7"/>
      <c r="AK119" s="7"/>
      <c r="AL119" s="3"/>
      <c r="AM119" s="9"/>
      <c r="AN119" s="7"/>
      <c r="AO119" s="7"/>
      <c r="AP119" s="7"/>
      <c r="AQ119" s="7"/>
      <c r="AR119" s="9"/>
      <c r="AS119" s="9"/>
      <c r="AT119" s="9"/>
      <c r="AU119" s="3"/>
      <c r="AV119" s="3"/>
      <c r="AW119" s="3"/>
      <c r="AX119" s="3"/>
      <c r="AY119" s="3"/>
      <c r="AZ119" s="3"/>
    </row>
    <row r="120" spans="1:52" x14ac:dyDescent="0.3">
      <c r="A120">
        <v>80</v>
      </c>
      <c r="B120" s="1" t="s">
        <v>118</v>
      </c>
      <c r="C120" s="1" t="s">
        <v>160</v>
      </c>
      <c r="D120" s="2">
        <v>41955</v>
      </c>
      <c r="E120" s="3">
        <v>33.400000000000006</v>
      </c>
      <c r="F120" s="4">
        <f t="shared" si="18"/>
        <v>5106.6405997195561</v>
      </c>
      <c r="G120" s="7">
        <v>11.96</v>
      </c>
      <c r="H120" s="7">
        <v>220.67</v>
      </c>
      <c r="I120" s="7">
        <f t="shared" si="19"/>
        <v>208.70999999999998</v>
      </c>
      <c r="J120" s="7">
        <v>197.26</v>
      </c>
      <c r="K120" s="5">
        <f t="shared" si="20"/>
        <v>5.4860811652532169</v>
      </c>
      <c r="L120" s="4">
        <f t="shared" si="21"/>
        <v>4826.4861516011679</v>
      </c>
      <c r="M120" s="2">
        <v>41957</v>
      </c>
      <c r="N120" s="7">
        <v>1.45</v>
      </c>
      <c r="O120" s="7">
        <f t="shared" si="22"/>
        <v>3.0367054092664771</v>
      </c>
      <c r="P120" s="7">
        <v>1.0630000000000002</v>
      </c>
      <c r="Q120" s="7">
        <v>1.6850000000000001</v>
      </c>
      <c r="R120" s="6">
        <f t="shared" si="23"/>
        <v>0.35005041870583364</v>
      </c>
      <c r="S120" s="6">
        <f t="shared" si="24"/>
        <v>0.55487766276512662</v>
      </c>
      <c r="T120" s="6">
        <f t="shared" si="25"/>
        <v>9.5071918529039734E-2</v>
      </c>
      <c r="U120" s="4">
        <f t="shared" si="16"/>
        <v>1787.58168011204</v>
      </c>
      <c r="V120" s="4">
        <f t="shared" si="17"/>
        <v>2833.560800553892</v>
      </c>
      <c r="W120" s="4">
        <f t="shared" si="26"/>
        <v>4621.1424806659325</v>
      </c>
      <c r="X120" s="4">
        <f t="shared" si="27"/>
        <v>1689.5134982458965</v>
      </c>
      <c r="Y120" s="4">
        <f t="shared" si="28"/>
        <v>2678.1093551687068</v>
      </c>
      <c r="Z120" s="4">
        <f t="shared" si="29"/>
        <v>4367.622853414603</v>
      </c>
      <c r="AE120" s="3"/>
      <c r="AF120" s="3"/>
      <c r="AG120" s="7"/>
      <c r="AH120" s="7"/>
      <c r="AI120" s="7"/>
      <c r="AJ120" s="7"/>
      <c r="AK120" s="7"/>
      <c r="AL120" s="3"/>
      <c r="AM120" s="9"/>
      <c r="AN120" s="7"/>
      <c r="AO120" s="7"/>
      <c r="AP120" s="7"/>
      <c r="AQ120" s="7"/>
      <c r="AR120" s="9"/>
      <c r="AS120" s="9"/>
      <c r="AT120" s="9"/>
      <c r="AU120" s="3"/>
      <c r="AV120" s="3"/>
      <c r="AW120" s="3"/>
      <c r="AX120" s="3"/>
      <c r="AY120" s="3"/>
      <c r="AZ120" s="3"/>
    </row>
    <row r="121" spans="1:52" x14ac:dyDescent="0.3">
      <c r="A121">
        <v>81</v>
      </c>
      <c r="B121" s="1" t="s">
        <v>119</v>
      </c>
      <c r="C121" s="1" t="s">
        <v>160</v>
      </c>
      <c r="D121" s="2">
        <v>41955</v>
      </c>
      <c r="E121" s="3">
        <v>31.999999999999996</v>
      </c>
      <c r="F121" s="4">
        <f t="shared" si="18"/>
        <v>4892.5897961384953</v>
      </c>
      <c r="G121" s="7">
        <v>11.89</v>
      </c>
      <c r="H121" s="7">
        <v>221.41</v>
      </c>
      <c r="I121" s="7">
        <f t="shared" si="19"/>
        <v>209.51999999999998</v>
      </c>
      <c r="J121" s="7">
        <v>198.26</v>
      </c>
      <c r="K121" s="5">
        <f t="shared" si="20"/>
        <v>5.3741886216112986</v>
      </c>
      <c r="L121" s="4">
        <f t="shared" si="21"/>
        <v>4629.6527920123053</v>
      </c>
      <c r="M121" s="2">
        <v>41957</v>
      </c>
      <c r="N121" s="7">
        <v>1.57</v>
      </c>
      <c r="O121" s="7">
        <f t="shared" si="22"/>
        <v>3.3012603396885307</v>
      </c>
      <c r="P121" s="7">
        <v>1.1890000000000001</v>
      </c>
      <c r="Q121" s="7">
        <v>1.6850000000000001</v>
      </c>
      <c r="R121" s="6">
        <f t="shared" si="23"/>
        <v>0.36016547550205646</v>
      </c>
      <c r="S121" s="6">
        <f t="shared" si="24"/>
        <v>0.51041112381914644</v>
      </c>
      <c r="T121" s="6">
        <f t="shared" si="25"/>
        <v>0.1294234006787971</v>
      </c>
      <c r="U121" s="4">
        <f t="shared" ref="U121:U126" si="30">F121*R121</f>
        <v>1762.1419303627306</v>
      </c>
      <c r="V121" s="4">
        <f t="shared" ref="V121:V126" si="31">F121*S121</f>
        <v>2497.2322562331378</v>
      </c>
      <c r="W121" s="4">
        <f t="shared" si="26"/>
        <v>4259.3741865958682</v>
      </c>
      <c r="X121" s="4">
        <f t="shared" si="27"/>
        <v>1667.4410992445353</v>
      </c>
      <c r="Y121" s="4">
        <f t="shared" si="28"/>
        <v>2363.0262844634499</v>
      </c>
      <c r="Z121" s="4">
        <f t="shared" si="29"/>
        <v>4030.4673837079854</v>
      </c>
      <c r="AE121" s="3"/>
      <c r="AF121" s="3"/>
      <c r="AG121" s="7"/>
      <c r="AH121" s="7"/>
      <c r="AI121" s="7"/>
      <c r="AJ121" s="7"/>
      <c r="AK121" s="7"/>
      <c r="AL121" s="3"/>
      <c r="AM121" s="9"/>
      <c r="AN121" s="7"/>
      <c r="AO121" s="7"/>
      <c r="AP121" s="7"/>
      <c r="AQ121" s="7"/>
      <c r="AR121" s="9"/>
      <c r="AS121" s="9"/>
      <c r="AT121" s="9"/>
      <c r="AU121" s="3"/>
      <c r="AV121" s="3"/>
      <c r="AW121" s="3"/>
      <c r="AX121" s="3"/>
      <c r="AY121" s="3"/>
      <c r="AZ121" s="3"/>
    </row>
    <row r="122" spans="1:52" x14ac:dyDescent="0.3">
      <c r="A122">
        <v>82</v>
      </c>
      <c r="B122" s="1" t="s">
        <v>120</v>
      </c>
      <c r="C122" s="1" t="s">
        <v>160</v>
      </c>
      <c r="D122" s="2">
        <v>41955</v>
      </c>
      <c r="E122" s="3">
        <v>35.6</v>
      </c>
      <c r="F122" s="4">
        <f t="shared" si="18"/>
        <v>5443.0061482040774</v>
      </c>
      <c r="G122" s="7">
        <v>12.03</v>
      </c>
      <c r="H122" s="7">
        <v>269.33</v>
      </c>
      <c r="I122" s="7">
        <f t="shared" si="19"/>
        <v>257.3</v>
      </c>
      <c r="J122" s="7">
        <v>244.57</v>
      </c>
      <c r="K122" s="5">
        <f t="shared" si="20"/>
        <v>4.9475320637388336</v>
      </c>
      <c r="L122" s="4">
        <f t="shared" si="21"/>
        <v>5173.7116737904043</v>
      </c>
      <c r="M122" s="2">
        <v>41957</v>
      </c>
      <c r="N122" s="7">
        <v>1.43</v>
      </c>
      <c r="O122" s="7">
        <f t="shared" si="22"/>
        <v>2.9926129208628014</v>
      </c>
      <c r="P122" s="7">
        <v>0.99999999999999989</v>
      </c>
      <c r="Q122" s="7">
        <v>1.6220000000000003</v>
      </c>
      <c r="R122" s="6">
        <f t="shared" si="23"/>
        <v>0.33415614596480775</v>
      </c>
      <c r="S122" s="6">
        <f t="shared" si="24"/>
        <v>0.54200126875491828</v>
      </c>
      <c r="T122" s="6">
        <f t="shared" si="25"/>
        <v>0.12384258528027403</v>
      </c>
      <c r="U122" s="4">
        <f t="shared" si="30"/>
        <v>1818.8139569466277</v>
      </c>
      <c r="V122" s="4">
        <f t="shared" si="31"/>
        <v>2950.1162381674308</v>
      </c>
      <c r="W122" s="4">
        <f t="shared" si="26"/>
        <v>4768.9301951140587</v>
      </c>
      <c r="X122" s="4">
        <f t="shared" si="27"/>
        <v>1728.8275532469361</v>
      </c>
      <c r="Y122" s="4">
        <f t="shared" si="28"/>
        <v>2804.1582913665311</v>
      </c>
      <c r="Z122" s="4">
        <f t="shared" si="29"/>
        <v>4532.9858446134676</v>
      </c>
      <c r="AE122" s="3"/>
      <c r="AF122" s="3"/>
      <c r="AG122" s="7"/>
      <c r="AH122" s="7"/>
      <c r="AI122" s="7"/>
      <c r="AJ122" s="7"/>
      <c r="AK122" s="7"/>
      <c r="AL122" s="3"/>
      <c r="AM122" s="9"/>
      <c r="AN122" s="7"/>
      <c r="AO122" s="7"/>
      <c r="AP122" s="7"/>
      <c r="AQ122" s="7"/>
      <c r="AR122" s="9"/>
      <c r="AS122" s="9"/>
      <c r="AT122" s="9"/>
      <c r="AU122" s="3"/>
      <c r="AV122" s="3"/>
      <c r="AW122" s="3"/>
      <c r="AX122" s="3"/>
      <c r="AY122" s="3"/>
      <c r="AZ122" s="3"/>
    </row>
    <row r="123" spans="1:52" x14ac:dyDescent="0.3">
      <c r="A123">
        <v>83</v>
      </c>
      <c r="B123" s="1" t="s">
        <v>121</v>
      </c>
      <c r="C123" s="1" t="s">
        <v>160</v>
      </c>
      <c r="D123" s="2">
        <v>41955</v>
      </c>
      <c r="E123" s="3">
        <v>29.999999999999996</v>
      </c>
      <c r="F123" s="4">
        <f t="shared" si="18"/>
        <v>4586.8029338798397</v>
      </c>
      <c r="G123" s="7">
        <v>11.98</v>
      </c>
      <c r="H123" s="7">
        <v>224.07</v>
      </c>
      <c r="I123" s="7">
        <f t="shared" si="19"/>
        <v>212.09</v>
      </c>
      <c r="J123" s="7">
        <v>199.75</v>
      </c>
      <c r="K123" s="5">
        <f t="shared" si="20"/>
        <v>5.8182846904615984</v>
      </c>
      <c r="L123" s="4">
        <f t="shared" si="21"/>
        <v>4319.9296809962652</v>
      </c>
      <c r="M123" s="2">
        <v>41957</v>
      </c>
      <c r="N123" s="7">
        <v>1.48</v>
      </c>
      <c r="O123" s="7">
        <f t="shared" si="22"/>
        <v>3.1028441418719908</v>
      </c>
      <c r="P123" s="7">
        <v>1.1890000000000001</v>
      </c>
      <c r="Q123" s="7">
        <v>1.6850000000000001</v>
      </c>
      <c r="R123" s="6">
        <f t="shared" si="23"/>
        <v>0.3831968173827317</v>
      </c>
      <c r="S123" s="6">
        <f t="shared" si="24"/>
        <v>0.54305015751884178</v>
      </c>
      <c r="T123" s="6">
        <f t="shared" si="25"/>
        <v>7.3753025098426517E-2</v>
      </c>
      <c r="U123" s="4">
        <f t="shared" si="30"/>
        <v>1757.6482862245309</v>
      </c>
      <c r="V123" s="4">
        <f t="shared" si="31"/>
        <v>2490.8640557513327</v>
      </c>
      <c r="W123" s="4">
        <f t="shared" si="26"/>
        <v>4248.5123419758638</v>
      </c>
      <c r="X123" s="4">
        <f t="shared" si="27"/>
        <v>1655.3833050749683</v>
      </c>
      <c r="Y123" s="4">
        <f t="shared" si="28"/>
        <v>2345.9384937353416</v>
      </c>
      <c r="Z123" s="4">
        <f t="shared" si="29"/>
        <v>4001.3217988103097</v>
      </c>
      <c r="AE123" s="3"/>
      <c r="AF123" s="3"/>
      <c r="AG123" s="7"/>
      <c r="AH123" s="7"/>
      <c r="AI123" s="7"/>
      <c r="AJ123" s="7"/>
      <c r="AK123" s="7"/>
      <c r="AL123" s="3"/>
      <c r="AM123" s="9"/>
      <c r="AN123" s="7"/>
      <c r="AO123" s="7"/>
      <c r="AP123" s="7"/>
      <c r="AQ123" s="7"/>
      <c r="AR123" s="9"/>
      <c r="AS123" s="9"/>
      <c r="AT123" s="9"/>
      <c r="AU123" s="3"/>
      <c r="AV123" s="3"/>
      <c r="AW123" s="3"/>
      <c r="AX123" s="3"/>
      <c r="AY123" s="3"/>
      <c r="AZ123" s="3"/>
    </row>
    <row r="124" spans="1:52" x14ac:dyDescent="0.3">
      <c r="A124">
        <v>84</v>
      </c>
      <c r="B124" s="1" t="s">
        <v>122</v>
      </c>
      <c r="C124" s="1" t="s">
        <v>160</v>
      </c>
      <c r="D124" s="2">
        <v>41955</v>
      </c>
      <c r="E124" s="3">
        <v>26.2</v>
      </c>
      <c r="F124" s="4">
        <f t="shared" si="18"/>
        <v>4005.8078955883934</v>
      </c>
      <c r="G124" s="7">
        <v>12.03</v>
      </c>
      <c r="H124" s="7">
        <v>205.94</v>
      </c>
      <c r="I124" s="7">
        <f t="shared" si="19"/>
        <v>193.91</v>
      </c>
      <c r="J124" s="7">
        <v>185.11</v>
      </c>
      <c r="K124" s="5">
        <f t="shared" si="20"/>
        <v>4.5381878190913225</v>
      </c>
      <c r="L124" s="4">
        <f t="shared" si="21"/>
        <v>3824.0168096146026</v>
      </c>
      <c r="M124" s="2">
        <v>41957</v>
      </c>
      <c r="N124" s="7">
        <v>1.37</v>
      </c>
      <c r="O124" s="7">
        <f t="shared" si="22"/>
        <v>2.8603354556517755</v>
      </c>
      <c r="P124" s="7">
        <v>0.99999999999999989</v>
      </c>
      <c r="Q124" s="7">
        <v>1.5589999999999997</v>
      </c>
      <c r="R124" s="6">
        <f t="shared" si="23"/>
        <v>0.34960934320626147</v>
      </c>
      <c r="S124" s="6">
        <f t="shared" si="24"/>
        <v>0.54504096605856156</v>
      </c>
      <c r="T124" s="6">
        <f t="shared" si="25"/>
        <v>0.10534969073517697</v>
      </c>
      <c r="U124" s="4">
        <f t="shared" si="30"/>
        <v>1400.4678673871147</v>
      </c>
      <c r="V124" s="4">
        <f t="shared" si="31"/>
        <v>2183.3294052565116</v>
      </c>
      <c r="W124" s="4">
        <f t="shared" si="26"/>
        <v>3583.7972726436265</v>
      </c>
      <c r="X124" s="4">
        <f t="shared" si="27"/>
        <v>1336.9120052190647</v>
      </c>
      <c r="Y124" s="4">
        <f t="shared" si="28"/>
        <v>2084.2458161365216</v>
      </c>
      <c r="Z124" s="4">
        <f t="shared" si="29"/>
        <v>3421.1578213555863</v>
      </c>
      <c r="AE124" s="3"/>
      <c r="AF124" s="3"/>
      <c r="AG124" s="7"/>
      <c r="AH124" s="7"/>
      <c r="AI124" s="7"/>
      <c r="AJ124" s="7"/>
      <c r="AK124" s="7"/>
      <c r="AL124" s="3"/>
      <c r="AM124" s="9"/>
      <c r="AN124" s="7"/>
      <c r="AO124" s="7"/>
      <c r="AP124" s="7"/>
      <c r="AQ124" s="7"/>
      <c r="AR124" s="9"/>
      <c r="AS124" s="9"/>
      <c r="AT124" s="9"/>
      <c r="AU124" s="3"/>
      <c r="AV124" s="3"/>
      <c r="AW124" s="3"/>
      <c r="AX124" s="3"/>
      <c r="AY124" s="3"/>
      <c r="AZ124" s="3"/>
    </row>
    <row r="125" spans="1:52" x14ac:dyDescent="0.3">
      <c r="A125">
        <v>85</v>
      </c>
      <c r="B125" s="1" t="s">
        <v>123</v>
      </c>
      <c r="C125" s="1" t="s">
        <v>160</v>
      </c>
      <c r="D125" s="2">
        <v>41955</v>
      </c>
      <c r="E125" s="3">
        <v>38.800000000000004</v>
      </c>
      <c r="F125" s="4">
        <f t="shared" si="18"/>
        <v>5932.2651278179274</v>
      </c>
      <c r="G125" s="7">
        <v>12.07</v>
      </c>
      <c r="H125" s="7">
        <v>218.11</v>
      </c>
      <c r="I125" s="7">
        <f t="shared" si="19"/>
        <v>206.04000000000002</v>
      </c>
      <c r="J125" s="7">
        <v>196</v>
      </c>
      <c r="K125" s="5">
        <f t="shared" si="20"/>
        <v>4.872840225199</v>
      </c>
      <c r="L125" s="4">
        <f t="shared" si="21"/>
        <v>5643.1953264041622</v>
      </c>
      <c r="M125" s="2">
        <v>41957</v>
      </c>
      <c r="N125" s="7">
        <v>1.43</v>
      </c>
      <c r="O125" s="7">
        <f t="shared" si="22"/>
        <v>2.9926129208628014</v>
      </c>
      <c r="P125" s="7">
        <v>0.99999999999999989</v>
      </c>
      <c r="Q125" s="7">
        <v>1.6220000000000003</v>
      </c>
      <c r="R125" s="6">
        <f t="shared" si="23"/>
        <v>0.33415614596480775</v>
      </c>
      <c r="S125" s="6">
        <f t="shared" si="24"/>
        <v>0.54200126875491828</v>
      </c>
      <c r="T125" s="6">
        <f t="shared" si="25"/>
        <v>0.12384258528027403</v>
      </c>
      <c r="U125" s="4">
        <f t="shared" si="30"/>
        <v>1982.3028519530662</v>
      </c>
      <c r="V125" s="4">
        <f t="shared" si="31"/>
        <v>3215.2952258678743</v>
      </c>
      <c r="W125" s="4">
        <f t="shared" si="26"/>
        <v>5197.5980778209405</v>
      </c>
      <c r="X125" s="4">
        <f t="shared" si="27"/>
        <v>1885.7084011978302</v>
      </c>
      <c r="Y125" s="4">
        <f t="shared" si="28"/>
        <v>3058.619026742881</v>
      </c>
      <c r="Z125" s="4">
        <f t="shared" si="29"/>
        <v>4944.3274279407115</v>
      </c>
      <c r="AE125" s="3"/>
      <c r="AF125" s="3"/>
      <c r="AG125" s="7"/>
      <c r="AH125" s="7"/>
      <c r="AI125" s="7"/>
      <c r="AJ125" s="7"/>
      <c r="AK125" s="7"/>
      <c r="AL125" s="3"/>
      <c r="AM125" s="9"/>
      <c r="AN125" s="7"/>
      <c r="AO125" s="7"/>
      <c r="AP125" s="7"/>
      <c r="AQ125" s="7"/>
      <c r="AR125" s="9"/>
      <c r="AS125" s="9"/>
      <c r="AT125" s="9"/>
      <c r="AU125" s="3"/>
      <c r="AV125" s="3"/>
      <c r="AW125" s="3"/>
      <c r="AX125" s="3"/>
      <c r="AY125" s="3"/>
      <c r="AZ125" s="3"/>
    </row>
    <row r="126" spans="1:52" x14ac:dyDescent="0.3">
      <c r="A126">
        <v>86</v>
      </c>
      <c r="B126" s="1" t="s">
        <v>124</v>
      </c>
      <c r="C126" s="1" t="s">
        <v>160</v>
      </c>
      <c r="D126" s="2">
        <v>41955</v>
      </c>
      <c r="E126" s="3">
        <v>35</v>
      </c>
      <c r="F126" s="4">
        <f t="shared" si="18"/>
        <v>5351.2700895264798</v>
      </c>
      <c r="G126" s="7">
        <v>12.03</v>
      </c>
      <c r="H126" s="7">
        <v>254.16</v>
      </c>
      <c r="I126" s="7">
        <f t="shared" si="19"/>
        <v>242.13</v>
      </c>
      <c r="J126" s="7">
        <v>230.9</v>
      </c>
      <c r="K126" s="5">
        <f t="shared" si="20"/>
        <v>4.6380043778135667</v>
      </c>
      <c r="L126" s="4">
        <f t="shared" si="21"/>
        <v>5103.0779485056137</v>
      </c>
      <c r="M126" s="2">
        <v>41957</v>
      </c>
      <c r="N126" s="7">
        <v>1.51</v>
      </c>
      <c r="O126" s="7">
        <f t="shared" si="22"/>
        <v>3.1689828744775039</v>
      </c>
      <c r="P126" s="7">
        <v>1.0630000000000002</v>
      </c>
      <c r="Q126" s="7">
        <v>1.7479999999999998</v>
      </c>
      <c r="R126" s="6">
        <f t="shared" si="23"/>
        <v>0.33543885912455923</v>
      </c>
      <c r="S126" s="6">
        <f t="shared" si="24"/>
        <v>0.55159654350868237</v>
      </c>
      <c r="T126" s="6">
        <f t="shared" si="25"/>
        <v>0.11296459736675846</v>
      </c>
      <c r="U126" s="4">
        <f t="shared" si="30"/>
        <v>1795.0239336981404</v>
      </c>
      <c r="V126" s="4">
        <f t="shared" si="31"/>
        <v>2951.7420847642034</v>
      </c>
      <c r="W126" s="4">
        <f t="shared" si="26"/>
        <v>4746.7660184623437</v>
      </c>
      <c r="X126" s="4">
        <f t="shared" si="27"/>
        <v>1711.7706450704193</v>
      </c>
      <c r="Y126" s="4">
        <f t="shared" si="28"/>
        <v>2814.8401576510742</v>
      </c>
      <c r="Z126" s="4">
        <f t="shared" si="29"/>
        <v>4526.6108027214932</v>
      </c>
      <c r="AE126" s="3"/>
      <c r="AF126" s="3"/>
      <c r="AG126" s="7"/>
      <c r="AH126" s="7"/>
      <c r="AI126" s="7"/>
      <c r="AJ126" s="7"/>
      <c r="AK126" s="7"/>
      <c r="AL126" s="3"/>
      <c r="AM126" s="9"/>
      <c r="AN126" s="7"/>
      <c r="AO126" s="7"/>
      <c r="AP126" s="7"/>
      <c r="AQ126" s="7"/>
      <c r="AR126" s="9"/>
      <c r="AS126" s="9"/>
      <c r="AT126" s="9"/>
      <c r="AU126" s="3"/>
      <c r="AV126" s="3"/>
      <c r="AW126" s="3"/>
      <c r="AX126" s="3"/>
      <c r="AY126" s="3"/>
      <c r="AZ126" s="3"/>
    </row>
    <row r="127" spans="1:52" x14ac:dyDescent="0.3">
      <c r="A127">
        <v>87</v>
      </c>
      <c r="B127" s="1" t="s">
        <v>125</v>
      </c>
      <c r="C127" s="1" t="s">
        <v>160</v>
      </c>
      <c r="D127" s="2">
        <v>41955</v>
      </c>
      <c r="E127" s="3">
        <v>24.900000000000002</v>
      </c>
      <c r="F127" s="4">
        <f t="shared" si="18"/>
        <v>3807.0464351202677</v>
      </c>
      <c r="G127" s="7">
        <v>11.92</v>
      </c>
      <c r="H127" s="7">
        <v>237.7</v>
      </c>
      <c r="I127" s="7">
        <f t="shared" si="19"/>
        <v>225.78</v>
      </c>
      <c r="J127" s="7">
        <v>214.68</v>
      </c>
      <c r="K127" s="5">
        <f t="shared" si="20"/>
        <v>4.9162901939941506</v>
      </c>
      <c r="L127" s="4">
        <f t="shared" si="21"/>
        <v>3619.8809845496457</v>
      </c>
      <c r="M127" s="2">
        <v>41957</v>
      </c>
      <c r="N127" s="7"/>
      <c r="O127" s="7"/>
      <c r="P127" s="7"/>
      <c r="Q127" s="7"/>
      <c r="R127" s="6"/>
      <c r="S127" s="6"/>
      <c r="T127" s="6"/>
      <c r="U127" s="4"/>
      <c r="V127" s="4"/>
      <c r="W127" s="4"/>
      <c r="X127" s="4"/>
      <c r="Y127" s="4"/>
      <c r="Z127" s="4"/>
      <c r="AE127" s="3"/>
      <c r="AF127" s="3"/>
      <c r="AG127" s="7"/>
      <c r="AH127" s="7"/>
      <c r="AI127" s="7"/>
      <c r="AJ127" s="7"/>
      <c r="AK127" s="7"/>
      <c r="AL127" s="3"/>
      <c r="AM127" s="9"/>
      <c r="AN127" s="7"/>
      <c r="AO127" s="7"/>
      <c r="AP127" s="7"/>
      <c r="AQ127" s="7"/>
      <c r="AR127" s="9"/>
      <c r="AS127" s="9"/>
      <c r="AT127" s="9"/>
      <c r="AU127" s="3"/>
      <c r="AV127" s="3"/>
      <c r="AW127" s="3"/>
      <c r="AX127" s="3"/>
      <c r="AY127" s="3"/>
      <c r="AZ127" s="3"/>
    </row>
    <row r="128" spans="1:52" x14ac:dyDescent="0.3">
      <c r="A128">
        <v>88</v>
      </c>
      <c r="B128" s="1" t="s">
        <v>126</v>
      </c>
      <c r="C128" s="1" t="s">
        <v>160</v>
      </c>
      <c r="D128" s="2">
        <v>41955</v>
      </c>
      <c r="E128" s="3">
        <v>28.900000000000002</v>
      </c>
      <c r="F128" s="4">
        <f t="shared" si="18"/>
        <v>4418.6201596375795</v>
      </c>
      <c r="G128" s="7">
        <v>12.06</v>
      </c>
      <c r="H128" s="7">
        <v>200.03</v>
      </c>
      <c r="I128" s="7">
        <f t="shared" si="19"/>
        <v>187.97</v>
      </c>
      <c r="J128" s="7">
        <v>179.24</v>
      </c>
      <c r="K128" s="5">
        <f t="shared" si="20"/>
        <v>4.6443581422567375</v>
      </c>
      <c r="L128" s="4">
        <f t="shared" si="21"/>
        <v>4213.4036144780539</v>
      </c>
      <c r="M128" s="2">
        <v>41957</v>
      </c>
      <c r="N128" s="7">
        <v>1.47</v>
      </c>
      <c r="O128" s="7">
        <f t="shared" si="22"/>
        <v>3.0807978976701529</v>
      </c>
      <c r="P128" s="7">
        <v>1.0630000000000002</v>
      </c>
      <c r="Q128" s="7">
        <v>1.7479999999999998</v>
      </c>
      <c r="R128" s="6">
        <f t="shared" si="23"/>
        <v>0.34504048474062249</v>
      </c>
      <c r="S128" s="6">
        <f t="shared" si="24"/>
        <v>0.56738548196294247</v>
      </c>
      <c r="T128" s="6">
        <f t="shared" si="25"/>
        <v>8.7574033296434983E-2</v>
      </c>
      <c r="U128" s="4">
        <f t="shared" ref="U128:U161" si="32">F128*R128</f>
        <v>1524.602841766037</v>
      </c>
      <c r="V128" s="4">
        <f t="shared" ref="V128:V161" si="33">F128*S128</f>
        <v>2507.0609288871419</v>
      </c>
      <c r="W128" s="4">
        <f t="shared" si="26"/>
        <v>4031.6637706531792</v>
      </c>
      <c r="X128" s="4">
        <f t="shared" si="27"/>
        <v>1453.7948255473987</v>
      </c>
      <c r="Y128" s="4">
        <f t="shared" si="28"/>
        <v>2390.6240405050344</v>
      </c>
      <c r="Z128" s="4">
        <f t="shared" si="29"/>
        <v>3844.4188660524333</v>
      </c>
      <c r="AE128" s="3"/>
      <c r="AF128" s="3"/>
      <c r="AG128" s="7"/>
      <c r="AH128" s="7"/>
      <c r="AI128" s="7"/>
      <c r="AJ128" s="7"/>
      <c r="AK128" s="7"/>
      <c r="AL128" s="3"/>
      <c r="AM128" s="9"/>
      <c r="AN128" s="7"/>
      <c r="AO128" s="7"/>
      <c r="AP128" s="7"/>
      <c r="AQ128" s="7"/>
      <c r="AR128" s="9"/>
      <c r="AS128" s="9"/>
      <c r="AT128" s="9"/>
      <c r="AU128" s="3"/>
      <c r="AV128" s="3"/>
      <c r="AW128" s="3"/>
      <c r="AX128" s="3"/>
      <c r="AY128" s="3"/>
      <c r="AZ128" s="3"/>
    </row>
    <row r="129" spans="1:52" x14ac:dyDescent="0.3">
      <c r="A129">
        <v>89</v>
      </c>
      <c r="B129" s="1" t="s">
        <v>127</v>
      </c>
      <c r="C129" s="1" t="s">
        <v>160</v>
      </c>
      <c r="D129" s="2">
        <v>41955</v>
      </c>
      <c r="E129" s="3">
        <v>24.9</v>
      </c>
      <c r="F129" s="4">
        <f t="shared" si="18"/>
        <v>3807.0464351202672</v>
      </c>
      <c r="G129" s="7">
        <v>11.88</v>
      </c>
      <c r="H129" s="7">
        <v>234.63</v>
      </c>
      <c r="I129" s="7">
        <f t="shared" si="19"/>
        <v>222.75</v>
      </c>
      <c r="J129" s="7">
        <v>208.91</v>
      </c>
      <c r="K129" s="5">
        <f t="shared" si="20"/>
        <v>6.2132435465768809</v>
      </c>
      <c r="L129" s="4">
        <f t="shared" si="21"/>
        <v>3570.5053681749719</v>
      </c>
      <c r="M129" s="2">
        <v>41957</v>
      </c>
      <c r="N129" s="7">
        <v>1.41</v>
      </c>
      <c r="O129" s="7">
        <f t="shared" si="22"/>
        <v>2.9485204324591261</v>
      </c>
      <c r="P129" s="7">
        <v>0.99999999999999989</v>
      </c>
      <c r="Q129" s="7">
        <v>1.6220000000000003</v>
      </c>
      <c r="R129" s="6">
        <f t="shared" si="23"/>
        <v>0.33915315254097783</v>
      </c>
      <c r="S129" s="6">
        <f t="shared" si="24"/>
        <v>0.55010641342146616</v>
      </c>
      <c r="T129" s="6">
        <f t="shared" si="25"/>
        <v>0.11074043403755596</v>
      </c>
      <c r="U129" s="4">
        <f t="shared" si="32"/>
        <v>1291.1718003409298</v>
      </c>
      <c r="V129" s="4">
        <f t="shared" si="33"/>
        <v>2094.2806601529887</v>
      </c>
      <c r="W129" s="4">
        <f t="shared" si="26"/>
        <v>3385.4524604939188</v>
      </c>
      <c r="X129" s="4">
        <f t="shared" si="27"/>
        <v>1210.9481517810264</v>
      </c>
      <c r="Y129" s="4">
        <f t="shared" si="28"/>
        <v>1964.1579021888253</v>
      </c>
      <c r="Z129" s="4">
        <f t="shared" si="29"/>
        <v>3175.1060539698519</v>
      </c>
      <c r="AB129" t="s">
        <v>169</v>
      </c>
      <c r="AC129" t="str">
        <f>C129</f>
        <v>Machine</v>
      </c>
      <c r="AD129" s="8">
        <f>D129</f>
        <v>41955</v>
      </c>
      <c r="AE129" s="3">
        <f>SUM(E129:E139)</f>
        <v>323.79999999999995</v>
      </c>
      <c r="AF129" s="3">
        <f>AE129*$A$29/($A$30*11)*$A$32</f>
        <v>4500.6266363342183</v>
      </c>
      <c r="AG129" s="7">
        <f>SUM(G129:G139)</f>
        <v>131.85</v>
      </c>
      <c r="AH129" s="7">
        <f>SUM(H129:H139)</f>
        <v>2402.79</v>
      </c>
      <c r="AI129" s="7">
        <f>AH129-AG129</f>
        <v>2270.94</v>
      </c>
      <c r="AJ129" s="7">
        <f>SUM(J129:J139)</f>
        <v>2158.6799999999998</v>
      </c>
      <c r="AK129" s="7">
        <f>(AI129-AJ129)/AI129*100</f>
        <v>4.9433274326930796</v>
      </c>
      <c r="AL129" s="3">
        <f>AF129*(1-AK129/100)</f>
        <v>4278.1459251772176</v>
      </c>
      <c r="AM129" s="11">
        <f>M129</f>
        <v>41957</v>
      </c>
      <c r="AN129" s="7">
        <f>SUM(N129:N139)</f>
        <v>16.219024560000001</v>
      </c>
      <c r="AO129" s="7">
        <f>AN129/$A$29-$A$33*11</f>
        <v>33.996857616536452</v>
      </c>
      <c r="AP129" s="7">
        <f>SUM(P129:P139)</f>
        <v>11.945000000000002</v>
      </c>
      <c r="AQ129" s="7">
        <f>SUM(Q129:Q139)</f>
        <v>18.535</v>
      </c>
      <c r="AR129" s="9">
        <f>AP129/AO129</f>
        <v>0.3513560028027361</v>
      </c>
      <c r="AS129" s="9">
        <f>AQ129/AO129</f>
        <v>0.5451974476307001</v>
      </c>
      <c r="AT129" s="9">
        <f>1-AR129-AS129</f>
        <v>0.10344654956656385</v>
      </c>
      <c r="AU129" s="3">
        <f>AF129*AR129</f>
        <v>1581.3221850499144</v>
      </c>
      <c r="AV129" s="3">
        <f>AF129*AS129</f>
        <v>2453.7301548681589</v>
      </c>
      <c r="AW129" s="3">
        <f>AU129+AV129</f>
        <v>4035.0523399180734</v>
      </c>
      <c r="AX129" s="3">
        <f>AL129*AR129</f>
        <v>1503.1522516770806</v>
      </c>
      <c r="AY129" s="3">
        <f>AL129*AS129</f>
        <v>2332.434238998299</v>
      </c>
      <c r="AZ129" s="3">
        <f>AX129+AY129</f>
        <v>3835.5864906753795</v>
      </c>
    </row>
    <row r="130" spans="1:52" x14ac:dyDescent="0.3">
      <c r="A130">
        <v>90</v>
      </c>
      <c r="B130" s="1" t="s">
        <v>128</v>
      </c>
      <c r="C130" s="1" t="s">
        <v>160</v>
      </c>
      <c r="D130" s="2">
        <v>41955</v>
      </c>
      <c r="E130" s="3">
        <v>25.6</v>
      </c>
      <c r="F130" s="4">
        <f t="shared" si="18"/>
        <v>3914.0718369107976</v>
      </c>
      <c r="G130" s="7">
        <v>12.03</v>
      </c>
      <c r="H130" s="7">
        <v>186.92</v>
      </c>
      <c r="I130" s="7">
        <f t="shared" si="19"/>
        <v>174.89</v>
      </c>
      <c r="J130" s="7">
        <v>166.52</v>
      </c>
      <c r="K130" s="5">
        <f t="shared" si="20"/>
        <v>4.7858654011092554</v>
      </c>
      <c r="L130" s="4">
        <f t="shared" si="21"/>
        <v>3726.7496270935221</v>
      </c>
      <c r="M130" s="2">
        <v>41957</v>
      </c>
      <c r="N130" s="7">
        <v>1.49</v>
      </c>
      <c r="O130" s="7">
        <f t="shared" si="22"/>
        <v>3.1248903860738282</v>
      </c>
      <c r="P130" s="7">
        <v>1.1259999999999999</v>
      </c>
      <c r="Q130" s="7">
        <v>1.6850000000000001</v>
      </c>
      <c r="R130" s="6">
        <f t="shared" si="23"/>
        <v>0.36033263919209907</v>
      </c>
      <c r="S130" s="6">
        <f t="shared" si="24"/>
        <v>0.53921891388870957</v>
      </c>
      <c r="T130" s="6">
        <f t="shared" si="25"/>
        <v>0.1004484469191913</v>
      </c>
      <c r="U130" s="4">
        <f t="shared" si="32"/>
        <v>1410.3678349815348</v>
      </c>
      <c r="V130" s="4">
        <f t="shared" si="33"/>
        <v>2110.5415647814266</v>
      </c>
      <c r="W130" s="4">
        <f t="shared" si="26"/>
        <v>3520.9093997629616</v>
      </c>
      <c r="X130" s="4">
        <f t="shared" si="27"/>
        <v>1342.8695287387798</v>
      </c>
      <c r="Y130" s="4">
        <f t="shared" si="28"/>
        <v>2009.5338862565225</v>
      </c>
      <c r="Z130" s="4">
        <f t="shared" si="29"/>
        <v>3352.4034149953022</v>
      </c>
      <c r="AE130" s="3"/>
      <c r="AF130" s="3"/>
      <c r="AG130" s="7"/>
      <c r="AH130" s="7"/>
      <c r="AI130" s="7"/>
      <c r="AJ130" s="7"/>
      <c r="AK130" s="7"/>
      <c r="AL130" s="3"/>
      <c r="AM130" s="9"/>
      <c r="AN130" s="7"/>
      <c r="AO130" s="7"/>
      <c r="AP130" s="7"/>
      <c r="AQ130" s="7"/>
      <c r="AR130" s="9"/>
      <c r="AS130" s="9"/>
      <c r="AT130" s="9"/>
      <c r="AU130" s="3"/>
      <c r="AV130" s="3"/>
      <c r="AW130" s="3"/>
      <c r="AX130" s="3"/>
      <c r="AY130" s="3"/>
      <c r="AZ130" s="3"/>
    </row>
    <row r="131" spans="1:52" x14ac:dyDescent="0.3">
      <c r="A131">
        <v>91</v>
      </c>
      <c r="B131" s="1" t="s">
        <v>129</v>
      </c>
      <c r="C131" s="1" t="s">
        <v>160</v>
      </c>
      <c r="D131" s="2">
        <v>41955</v>
      </c>
      <c r="E131" s="3">
        <v>34.799999999999997</v>
      </c>
      <c r="F131" s="4">
        <f t="shared" si="18"/>
        <v>5320.6914033006151</v>
      </c>
      <c r="G131" s="7">
        <v>12.05</v>
      </c>
      <c r="H131" s="7">
        <v>250.14</v>
      </c>
      <c r="I131" s="7">
        <f t="shared" si="19"/>
        <v>238.08999999999997</v>
      </c>
      <c r="J131" s="7">
        <v>226.19</v>
      </c>
      <c r="K131" s="5">
        <f t="shared" si="20"/>
        <v>4.998109958419076</v>
      </c>
      <c r="L131" s="4">
        <f t="shared" si="21"/>
        <v>5054.7573964154999</v>
      </c>
      <c r="M131" s="2">
        <v>41957</v>
      </c>
      <c r="N131" s="7">
        <v>1.52</v>
      </c>
      <c r="O131" s="7">
        <f t="shared" si="22"/>
        <v>3.1910291186793418</v>
      </c>
      <c r="P131" s="7">
        <v>1.1259999999999999</v>
      </c>
      <c r="Q131" s="7">
        <v>1.8109999999999995</v>
      </c>
      <c r="R131" s="6">
        <f t="shared" si="23"/>
        <v>0.35286421969913356</v>
      </c>
      <c r="S131" s="6">
        <f t="shared" si="24"/>
        <v>0.5675285096581979</v>
      </c>
      <c r="T131" s="6">
        <f t="shared" si="25"/>
        <v>7.9607270642668482E-2</v>
      </c>
      <c r="U131" s="4">
        <f t="shared" si="32"/>
        <v>1877.4816202855595</v>
      </c>
      <c r="V131" s="4">
        <f t="shared" si="33"/>
        <v>3019.6440624663837</v>
      </c>
      <c r="W131" s="4">
        <f t="shared" si="26"/>
        <v>4897.1256827519428</v>
      </c>
      <c r="X131" s="4">
        <f t="shared" si="27"/>
        <v>1783.6430244545793</v>
      </c>
      <c r="Y131" s="4">
        <f t="shared" si="28"/>
        <v>2868.7189318714413</v>
      </c>
      <c r="Z131" s="4">
        <f t="shared" si="29"/>
        <v>4652.3619563260208</v>
      </c>
      <c r="AE131" s="3"/>
      <c r="AF131" s="3"/>
      <c r="AG131" s="7"/>
      <c r="AH131" s="7"/>
      <c r="AI131" s="7"/>
      <c r="AJ131" s="7"/>
      <c r="AK131" s="7"/>
      <c r="AL131" s="3"/>
      <c r="AM131" s="9"/>
      <c r="AN131" s="7"/>
      <c r="AO131" s="7"/>
      <c r="AP131" s="7"/>
      <c r="AQ131" s="7"/>
      <c r="AR131" s="9"/>
      <c r="AS131" s="9"/>
      <c r="AT131" s="9"/>
      <c r="AU131" s="3"/>
      <c r="AV131" s="3"/>
      <c r="AW131" s="3"/>
      <c r="AX131" s="3"/>
      <c r="AY131" s="3"/>
      <c r="AZ131" s="3"/>
    </row>
    <row r="132" spans="1:52" x14ac:dyDescent="0.3">
      <c r="A132">
        <v>92</v>
      </c>
      <c r="B132" s="1" t="s">
        <v>130</v>
      </c>
      <c r="C132" s="1" t="s">
        <v>160</v>
      </c>
      <c r="D132" s="2">
        <v>41955</v>
      </c>
      <c r="E132" s="3">
        <v>39.5</v>
      </c>
      <c r="F132" s="4">
        <f t="shared" si="18"/>
        <v>6039.2905296084564</v>
      </c>
      <c r="G132" s="7">
        <v>12.03</v>
      </c>
      <c r="H132" s="7">
        <v>225.73</v>
      </c>
      <c r="I132" s="7">
        <f t="shared" si="19"/>
        <v>213.7</v>
      </c>
      <c r="J132" s="7">
        <v>203.97</v>
      </c>
      <c r="K132" s="5">
        <f t="shared" si="20"/>
        <v>4.5531118390266681</v>
      </c>
      <c r="L132" s="4">
        <f t="shared" si="21"/>
        <v>5764.314877511637</v>
      </c>
      <c r="M132" s="2">
        <v>41957</v>
      </c>
      <c r="N132" s="7">
        <v>1.61</v>
      </c>
      <c r="O132" s="7">
        <f t="shared" si="22"/>
        <v>3.3894453164958818</v>
      </c>
      <c r="P132" s="7">
        <v>1.1259999999999999</v>
      </c>
      <c r="Q132" s="7">
        <v>1.8109999999999995</v>
      </c>
      <c r="R132" s="6">
        <f t="shared" si="23"/>
        <v>0.3322077493092867</v>
      </c>
      <c r="S132" s="6">
        <f t="shared" si="24"/>
        <v>0.53430571403118843</v>
      </c>
      <c r="T132" s="6">
        <f t="shared" si="25"/>
        <v>0.13348653665952481</v>
      </c>
      <c r="U132" s="4">
        <f t="shared" si="32"/>
        <v>2006.2991142661153</v>
      </c>
      <c r="V132" s="4">
        <f t="shared" si="33"/>
        <v>3226.8274386642406</v>
      </c>
      <c r="W132" s="4">
        <f t="shared" si="26"/>
        <v>5233.1265529303564</v>
      </c>
      <c r="X132" s="4">
        <f t="shared" si="27"/>
        <v>1914.9500717681776</v>
      </c>
      <c r="Y132" s="4">
        <f t="shared" si="28"/>
        <v>3079.9063765294577</v>
      </c>
      <c r="Z132" s="4">
        <f t="shared" si="29"/>
        <v>4994.8564482976353</v>
      </c>
      <c r="AE132" s="3"/>
      <c r="AF132" s="3"/>
      <c r="AG132" s="7"/>
      <c r="AH132" s="7"/>
      <c r="AI132" s="7"/>
      <c r="AJ132" s="7"/>
      <c r="AK132" s="7"/>
      <c r="AL132" s="3"/>
      <c r="AM132" s="9"/>
      <c r="AN132" s="7"/>
      <c r="AO132" s="7"/>
      <c r="AP132" s="7"/>
      <c r="AQ132" s="7"/>
      <c r="AR132" s="9"/>
      <c r="AS132" s="9"/>
      <c r="AT132" s="9"/>
      <c r="AU132" s="3"/>
      <c r="AV132" s="3"/>
      <c r="AW132" s="3"/>
      <c r="AX132" s="3"/>
      <c r="AY132" s="3"/>
      <c r="AZ132" s="3"/>
    </row>
    <row r="133" spans="1:52" x14ac:dyDescent="0.3">
      <c r="A133">
        <v>93</v>
      </c>
      <c r="B133" s="1" t="s">
        <v>131</v>
      </c>
      <c r="C133" s="1" t="s">
        <v>160</v>
      </c>
      <c r="D133" s="2">
        <v>41955</v>
      </c>
      <c r="E133" s="3">
        <v>31.2</v>
      </c>
      <c r="F133" s="4">
        <f t="shared" si="18"/>
        <v>4770.2750512350331</v>
      </c>
      <c r="G133" s="7">
        <v>11.88</v>
      </c>
      <c r="H133" s="7">
        <v>214.83</v>
      </c>
      <c r="I133" s="7">
        <f t="shared" si="19"/>
        <v>202.95000000000002</v>
      </c>
      <c r="J133" s="7">
        <v>194.45</v>
      </c>
      <c r="K133" s="5">
        <f t="shared" si="20"/>
        <v>4.1882237004188365</v>
      </c>
      <c r="L133" s="4">
        <f t="shared" si="21"/>
        <v>4570.4852609640402</v>
      </c>
      <c r="M133" s="2">
        <v>41957</v>
      </c>
      <c r="N133" s="7">
        <v>1.46</v>
      </c>
      <c r="O133" s="7">
        <f t="shared" si="22"/>
        <v>3.058751653468315</v>
      </c>
      <c r="P133" s="7">
        <v>1.0630000000000002</v>
      </c>
      <c r="Q133" s="7">
        <v>1.6850000000000001</v>
      </c>
      <c r="R133" s="6">
        <f t="shared" si="23"/>
        <v>0.34752739693484619</v>
      </c>
      <c r="S133" s="6">
        <f t="shared" si="24"/>
        <v>0.55087832910180223</v>
      </c>
      <c r="T133" s="6">
        <f t="shared" si="25"/>
        <v>0.10159427396335152</v>
      </c>
      <c r="U133" s="4">
        <f t="shared" si="32"/>
        <v>1657.8012712189511</v>
      </c>
      <c r="V133" s="4">
        <f t="shared" si="33"/>
        <v>2627.8411495803689</v>
      </c>
      <c r="W133" s="4">
        <f t="shared" si="26"/>
        <v>4285.6424207993205</v>
      </c>
      <c r="X133" s="4">
        <f t="shared" si="27"/>
        <v>1588.368845471914</v>
      </c>
      <c r="Y133" s="4">
        <f t="shared" si="28"/>
        <v>2517.7812837442848</v>
      </c>
      <c r="Z133" s="4">
        <f t="shared" si="29"/>
        <v>4106.1501292161993</v>
      </c>
      <c r="AE133" s="3"/>
      <c r="AF133" s="3"/>
      <c r="AG133" s="7"/>
      <c r="AH133" s="7"/>
      <c r="AI133" s="7"/>
      <c r="AJ133" s="7"/>
      <c r="AK133" s="7"/>
      <c r="AL133" s="3"/>
      <c r="AM133" s="9"/>
      <c r="AN133" s="7"/>
      <c r="AO133" s="7"/>
      <c r="AP133" s="7"/>
      <c r="AQ133" s="7"/>
      <c r="AR133" s="9"/>
      <c r="AS133" s="9"/>
      <c r="AT133" s="9"/>
      <c r="AU133" s="3"/>
      <c r="AV133" s="3"/>
      <c r="AW133" s="3"/>
      <c r="AX133" s="3"/>
      <c r="AY133" s="3"/>
      <c r="AZ133" s="3"/>
    </row>
    <row r="134" spans="1:52" x14ac:dyDescent="0.3">
      <c r="A134">
        <v>94</v>
      </c>
      <c r="B134" s="1" t="s">
        <v>132</v>
      </c>
      <c r="C134" s="1" t="s">
        <v>160</v>
      </c>
      <c r="D134" s="2">
        <v>41955</v>
      </c>
      <c r="E134" s="3">
        <v>22.7</v>
      </c>
      <c r="F134" s="4">
        <f t="shared" si="18"/>
        <v>3470.6808866357451</v>
      </c>
      <c r="G134" s="7">
        <v>12.09</v>
      </c>
      <c r="H134" s="7">
        <v>214.2</v>
      </c>
      <c r="I134" s="7">
        <f t="shared" si="19"/>
        <v>202.10999999999999</v>
      </c>
      <c r="J134" s="7">
        <v>192.38</v>
      </c>
      <c r="K134" s="5">
        <f t="shared" si="20"/>
        <v>4.8142100836178274</v>
      </c>
      <c r="L134" s="4">
        <f t="shared" si="21"/>
        <v>3303.5950174211303</v>
      </c>
      <c r="M134" s="2">
        <v>41957</v>
      </c>
      <c r="N134" s="7">
        <v>1.41</v>
      </c>
      <c r="O134" s="7">
        <f t="shared" si="22"/>
        <v>2.9485204324591261</v>
      </c>
      <c r="P134" s="7">
        <v>1.1259999999999999</v>
      </c>
      <c r="Q134" s="7">
        <v>1.6850000000000001</v>
      </c>
      <c r="R134" s="6">
        <f t="shared" si="23"/>
        <v>0.38188644976114106</v>
      </c>
      <c r="S134" s="6">
        <f t="shared" si="24"/>
        <v>0.57147306203154769</v>
      </c>
      <c r="T134" s="6">
        <f t="shared" si="25"/>
        <v>4.6640488207311259E-2</v>
      </c>
      <c r="U134" s="4">
        <f t="shared" si="32"/>
        <v>1325.406002051174</v>
      </c>
      <c r="V134" s="4">
        <f t="shared" si="33"/>
        <v>1983.400633620096</v>
      </c>
      <c r="W134" s="4">
        <f t="shared" si="26"/>
        <v>3308.8066356712698</v>
      </c>
      <c r="X134" s="4">
        <f t="shared" si="27"/>
        <v>1261.5981726515504</v>
      </c>
      <c r="Y134" s="4">
        <f t="shared" si="28"/>
        <v>1887.9155603178174</v>
      </c>
      <c r="Z134" s="4">
        <f t="shared" si="29"/>
        <v>3149.513732969368</v>
      </c>
      <c r="AE134" s="3"/>
      <c r="AF134" s="3"/>
      <c r="AG134" s="7"/>
      <c r="AH134" s="7"/>
      <c r="AI134" s="7"/>
      <c r="AJ134" s="7"/>
      <c r="AK134" s="7"/>
      <c r="AL134" s="3"/>
      <c r="AM134" s="9"/>
      <c r="AN134" s="7"/>
      <c r="AO134" s="7"/>
      <c r="AP134" s="7"/>
      <c r="AQ134" s="7"/>
      <c r="AR134" s="9"/>
      <c r="AS134" s="9"/>
      <c r="AT134" s="9"/>
      <c r="AU134" s="3"/>
      <c r="AV134" s="3"/>
      <c r="AW134" s="3"/>
      <c r="AX134" s="3"/>
      <c r="AY134" s="3"/>
      <c r="AZ134" s="3"/>
    </row>
    <row r="135" spans="1:52" x14ac:dyDescent="0.3">
      <c r="A135">
        <v>95</v>
      </c>
      <c r="B135" s="1" t="s">
        <v>133</v>
      </c>
      <c r="C135" s="1" t="s">
        <v>160</v>
      </c>
      <c r="D135" s="2">
        <v>41955</v>
      </c>
      <c r="E135" s="3">
        <v>32.299999999999997</v>
      </c>
      <c r="F135" s="4">
        <f t="shared" si="18"/>
        <v>4938.4578254772941</v>
      </c>
      <c r="G135" s="7">
        <v>11.84</v>
      </c>
      <c r="H135" s="7">
        <v>235.71</v>
      </c>
      <c r="I135" s="7">
        <f t="shared" si="19"/>
        <v>223.87</v>
      </c>
      <c r="J135" s="7">
        <v>212.99</v>
      </c>
      <c r="K135" s="5">
        <f t="shared" si="20"/>
        <v>4.8599633715995871</v>
      </c>
      <c r="L135" s="4">
        <f t="shared" si="21"/>
        <v>4698.450584037204</v>
      </c>
      <c r="M135" s="2">
        <v>41957</v>
      </c>
      <c r="N135" s="7">
        <v>1.67</v>
      </c>
      <c r="O135" s="7">
        <f t="shared" si="22"/>
        <v>3.5217227817069081</v>
      </c>
      <c r="P135" s="7">
        <v>1.2520000000000002</v>
      </c>
      <c r="Q135" s="7">
        <v>1.9369999999999998</v>
      </c>
      <c r="R135" s="6">
        <f t="shared" si="23"/>
        <v>0.35550782318907598</v>
      </c>
      <c r="S135" s="6">
        <f t="shared" si="24"/>
        <v>0.55001489897543121</v>
      </c>
      <c r="T135" s="6">
        <f t="shared" si="25"/>
        <v>9.4477277835492757E-2</v>
      </c>
      <c r="U135" s="4">
        <f t="shared" si="32"/>
        <v>1755.6603914464906</v>
      </c>
      <c r="V135" s="4">
        <f t="shared" si="33"/>
        <v>2716.2253819743214</v>
      </c>
      <c r="W135" s="4">
        <f t="shared" si="26"/>
        <v>4471.8857734208123</v>
      </c>
      <c r="X135" s="4">
        <f t="shared" si="27"/>
        <v>1670.3359394925092</v>
      </c>
      <c r="Y135" s="4">
        <f t="shared" si="28"/>
        <v>2584.2178233202785</v>
      </c>
      <c r="Z135" s="4">
        <f t="shared" si="29"/>
        <v>4254.5537628127877</v>
      </c>
      <c r="AE135" s="3"/>
      <c r="AF135" s="3"/>
      <c r="AG135" s="7"/>
      <c r="AH135" s="7"/>
      <c r="AI135" s="7"/>
      <c r="AJ135" s="7"/>
      <c r="AK135" s="7"/>
      <c r="AL135" s="3"/>
      <c r="AM135" s="9"/>
      <c r="AN135" s="7"/>
      <c r="AO135" s="7"/>
      <c r="AP135" s="7"/>
      <c r="AQ135" s="7"/>
      <c r="AR135" s="9"/>
      <c r="AS135" s="9"/>
      <c r="AT135" s="9"/>
      <c r="AU135" s="3"/>
      <c r="AV135" s="3"/>
      <c r="AW135" s="3"/>
      <c r="AX135" s="3"/>
      <c r="AY135" s="3"/>
      <c r="AZ135" s="3"/>
    </row>
    <row r="136" spans="1:52" x14ac:dyDescent="0.3">
      <c r="A136">
        <v>96</v>
      </c>
      <c r="B136" s="1" t="s">
        <v>134</v>
      </c>
      <c r="C136" s="1" t="s">
        <v>160</v>
      </c>
      <c r="D136" s="2">
        <v>41955</v>
      </c>
      <c r="E136" s="3">
        <v>36.4</v>
      </c>
      <c r="F136" s="4">
        <f t="shared" si="18"/>
        <v>5565.3208931075396</v>
      </c>
      <c r="G136" s="7">
        <v>12.11</v>
      </c>
      <c r="H136" s="7">
        <v>231.21</v>
      </c>
      <c r="I136" s="7">
        <f t="shared" si="19"/>
        <v>219.10000000000002</v>
      </c>
      <c r="J136" s="7">
        <v>207.59</v>
      </c>
      <c r="K136" s="5">
        <f t="shared" si="20"/>
        <v>5.2533089913281694</v>
      </c>
      <c r="L136" s="4">
        <f t="shared" si="21"/>
        <v>5272.957390233656</v>
      </c>
      <c r="M136" s="2">
        <v>41957</v>
      </c>
      <c r="N136" s="7">
        <v>1.23</v>
      </c>
      <c r="O136" s="7">
        <f t="shared" si="22"/>
        <v>2.5516880368260462</v>
      </c>
      <c r="P136" s="7">
        <v>0.874</v>
      </c>
      <c r="Q136" s="7">
        <v>1.3699999999999997</v>
      </c>
      <c r="R136" s="6">
        <f t="shared" si="23"/>
        <v>0.34251835937089609</v>
      </c>
      <c r="S136" s="6">
        <f t="shared" si="24"/>
        <v>0.53689948780106123</v>
      </c>
      <c r="T136" s="6">
        <f t="shared" si="25"/>
        <v>0.12058215282804274</v>
      </c>
      <c r="U136" s="4">
        <f t="shared" si="32"/>
        <v>1906.2245816797647</v>
      </c>
      <c r="V136" s="4">
        <f t="shared" si="33"/>
        <v>2988.0179369579828</v>
      </c>
      <c r="W136" s="4">
        <f t="shared" si="26"/>
        <v>4894.2425186377477</v>
      </c>
      <c r="X136" s="4">
        <f t="shared" si="27"/>
        <v>1806.0847143354738</v>
      </c>
      <c r="Y136" s="4">
        <f t="shared" si="28"/>
        <v>2831.0481220132706</v>
      </c>
      <c r="Z136" s="4">
        <f t="shared" si="29"/>
        <v>4637.1328363487446</v>
      </c>
      <c r="AE136" s="3"/>
      <c r="AF136" s="3"/>
      <c r="AG136" s="7"/>
      <c r="AH136" s="7"/>
      <c r="AI136" s="7"/>
      <c r="AJ136" s="7"/>
      <c r="AK136" s="7"/>
      <c r="AL136" s="3"/>
      <c r="AM136" s="9"/>
      <c r="AN136" s="7"/>
      <c r="AO136" s="7"/>
      <c r="AP136" s="7"/>
      <c r="AQ136" s="7"/>
      <c r="AR136" s="9"/>
      <c r="AS136" s="9"/>
      <c r="AT136" s="9"/>
      <c r="AU136" s="3"/>
      <c r="AV136" s="3"/>
      <c r="AW136" s="3"/>
      <c r="AX136" s="3"/>
      <c r="AY136" s="3"/>
      <c r="AZ136" s="3"/>
    </row>
    <row r="137" spans="1:52" x14ac:dyDescent="0.3">
      <c r="A137">
        <v>97</v>
      </c>
      <c r="B137" s="1" t="s">
        <v>135</v>
      </c>
      <c r="C137" s="1" t="s">
        <v>160</v>
      </c>
      <c r="D137" s="2">
        <v>41955</v>
      </c>
      <c r="E137" s="3">
        <v>27.8</v>
      </c>
      <c r="F137" s="4">
        <f t="shared" si="18"/>
        <v>4250.4373853953184</v>
      </c>
      <c r="G137" s="7">
        <v>11.96</v>
      </c>
      <c r="H137" s="7">
        <v>207.9</v>
      </c>
      <c r="I137" s="7">
        <f t="shared" si="19"/>
        <v>195.94</v>
      </c>
      <c r="J137" s="7">
        <v>185.76</v>
      </c>
      <c r="K137" s="5">
        <f t="shared" si="20"/>
        <v>5.195468000408292</v>
      </c>
      <c r="L137" s="4">
        <f t="shared" si="21"/>
        <v>4029.6072711597139</v>
      </c>
      <c r="M137" s="2">
        <v>41957</v>
      </c>
      <c r="N137" s="7">
        <v>1.63</v>
      </c>
      <c r="O137" s="7">
        <f t="shared" si="22"/>
        <v>3.4335378048995571</v>
      </c>
      <c r="P137" s="7">
        <v>1.1890000000000001</v>
      </c>
      <c r="Q137" s="7">
        <v>1.8109999999999995</v>
      </c>
      <c r="R137" s="6">
        <f t="shared" si="23"/>
        <v>0.34629005636790489</v>
      </c>
      <c r="S137" s="6">
        <f t="shared" si="24"/>
        <v>0.52744431630132516</v>
      </c>
      <c r="T137" s="6">
        <f t="shared" si="25"/>
        <v>0.12626562733076996</v>
      </c>
      <c r="U137" s="4">
        <f t="shared" si="32"/>
        <v>1471.8842017767952</v>
      </c>
      <c r="V137" s="4">
        <f t="shared" si="33"/>
        <v>2241.8690407214258</v>
      </c>
      <c r="W137" s="4">
        <f t="shared" si="26"/>
        <v>3713.753242498221</v>
      </c>
      <c r="X137" s="4">
        <f t="shared" si="27"/>
        <v>1395.4129290704168</v>
      </c>
      <c r="Y137" s="4">
        <f t="shared" si="28"/>
        <v>2125.3934520996841</v>
      </c>
      <c r="Z137" s="4">
        <f t="shared" si="29"/>
        <v>3520.8063811701008</v>
      </c>
      <c r="AE137" s="3"/>
      <c r="AF137" s="3"/>
      <c r="AG137" s="7"/>
      <c r="AH137" s="7"/>
      <c r="AI137" s="7"/>
      <c r="AJ137" s="7"/>
      <c r="AK137" s="7"/>
      <c r="AL137" s="3"/>
      <c r="AM137" s="9"/>
      <c r="AN137" s="7"/>
      <c r="AO137" s="7"/>
      <c r="AP137" s="7"/>
      <c r="AQ137" s="7"/>
      <c r="AR137" s="9"/>
      <c r="AS137" s="9"/>
      <c r="AT137" s="9"/>
      <c r="AU137" s="3"/>
      <c r="AV137" s="3"/>
      <c r="AW137" s="3"/>
      <c r="AX137" s="3"/>
      <c r="AY137" s="3"/>
      <c r="AZ137" s="3"/>
    </row>
    <row r="138" spans="1:52" x14ac:dyDescent="0.3">
      <c r="A138">
        <v>98</v>
      </c>
      <c r="B138" s="1" t="s">
        <v>136</v>
      </c>
      <c r="C138" s="1" t="s">
        <v>160</v>
      </c>
      <c r="D138" s="2">
        <v>41955</v>
      </c>
      <c r="E138" s="3">
        <v>24.900000000000002</v>
      </c>
      <c r="F138" s="4">
        <f t="shared" si="18"/>
        <v>3807.0464351202677</v>
      </c>
      <c r="G138" s="7">
        <v>12.02</v>
      </c>
      <c r="H138" s="7">
        <v>209.84</v>
      </c>
      <c r="I138" s="7">
        <f t="shared" si="19"/>
        <v>197.82</v>
      </c>
      <c r="J138" s="7">
        <v>188.71</v>
      </c>
      <c r="K138" s="5">
        <f t="shared" si="20"/>
        <v>4.6051966434131968</v>
      </c>
      <c r="L138" s="4">
        <f t="shared" si="21"/>
        <v>3631.7244604769271</v>
      </c>
      <c r="M138" s="2">
        <v>41957</v>
      </c>
      <c r="N138" s="7">
        <v>1.46</v>
      </c>
      <c r="O138" s="7">
        <f>N138/$A$29-$A$33</f>
        <v>3.058751653468315</v>
      </c>
      <c r="P138" s="7">
        <v>1.0630000000000002</v>
      </c>
      <c r="Q138" s="7">
        <v>1.6220000000000003</v>
      </c>
      <c r="R138" s="6">
        <f t="shared" si="23"/>
        <v>0.34752739693484619</v>
      </c>
      <c r="S138" s="6">
        <f t="shared" si="24"/>
        <v>0.53028169127781799</v>
      </c>
      <c r="T138" s="6">
        <f t="shared" si="25"/>
        <v>0.12219091178733577</v>
      </c>
      <c r="U138" s="4">
        <f t="shared" si="32"/>
        <v>1323.0529376074323</v>
      </c>
      <c r="V138" s="4">
        <f t="shared" si="33"/>
        <v>2018.8070223887632</v>
      </c>
      <c r="W138" s="4">
        <f t="shared" si="26"/>
        <v>3341.8599599961954</v>
      </c>
      <c r="X138" s="4">
        <f t="shared" si="27"/>
        <v>1262.1237481341552</v>
      </c>
      <c r="Y138" s="4">
        <f t="shared" si="28"/>
        <v>1925.8369891567261</v>
      </c>
      <c r="Z138" s="4">
        <f t="shared" si="29"/>
        <v>3187.9607372908813</v>
      </c>
      <c r="AE138" s="3"/>
      <c r="AF138" s="3"/>
      <c r="AG138" s="7"/>
      <c r="AH138" s="7"/>
      <c r="AI138" s="7"/>
      <c r="AJ138" s="7"/>
      <c r="AK138" s="7"/>
      <c r="AL138" s="3"/>
      <c r="AM138" s="9"/>
      <c r="AN138" s="7"/>
      <c r="AO138" s="7"/>
      <c r="AP138" s="7"/>
      <c r="AQ138" s="7"/>
      <c r="AR138" s="9"/>
      <c r="AS138" s="9"/>
      <c r="AT138" s="9"/>
      <c r="AU138" s="3"/>
      <c r="AV138" s="3"/>
      <c r="AW138" s="3"/>
      <c r="AX138" s="3"/>
      <c r="AY138" s="3"/>
      <c r="AZ138" s="3"/>
    </row>
    <row r="139" spans="1:52" x14ac:dyDescent="0.3">
      <c r="A139">
        <v>99</v>
      </c>
      <c r="B139" s="1" t="s">
        <v>137</v>
      </c>
      <c r="C139" s="1" t="s">
        <v>160</v>
      </c>
      <c r="D139" s="2">
        <v>41955</v>
      </c>
      <c r="E139" s="3">
        <v>23.7</v>
      </c>
      <c r="F139" s="4">
        <f t="shared" si="18"/>
        <v>3623.5743177650738</v>
      </c>
      <c r="G139" s="7">
        <v>11.96</v>
      </c>
      <c r="H139" s="7">
        <v>191.68</v>
      </c>
      <c r="I139" s="7">
        <f t="shared" si="19"/>
        <v>179.72</v>
      </c>
      <c r="J139" s="7">
        <v>171.21</v>
      </c>
      <c r="K139" s="5">
        <f t="shared" si="20"/>
        <v>4.7351435566436635</v>
      </c>
      <c r="L139" s="4">
        <f t="shared" si="21"/>
        <v>3451.9928719372265</v>
      </c>
      <c r="M139" s="2">
        <v>41957</v>
      </c>
      <c r="N139" s="7">
        <f>(O139+$A$33)*$A$29</f>
        <v>1.3290245600000001</v>
      </c>
      <c r="O139" s="7">
        <v>2.77</v>
      </c>
      <c r="P139" s="7">
        <v>0.99999999999999989</v>
      </c>
      <c r="Q139" s="7">
        <v>1.496</v>
      </c>
      <c r="R139" s="6">
        <f t="shared" si="23"/>
        <v>0.36101083032490972</v>
      </c>
      <c r="S139" s="6">
        <f t="shared" si="24"/>
        <v>0.540072202166065</v>
      </c>
      <c r="T139" s="6">
        <f t="shared" si="25"/>
        <v>9.8916967509025233E-2</v>
      </c>
      <c r="U139" s="4">
        <f t="shared" si="32"/>
        <v>1308.1495732003875</v>
      </c>
      <c r="V139" s="4">
        <f t="shared" si="33"/>
        <v>1956.99176150778</v>
      </c>
      <c r="W139" s="4">
        <f t="shared" si="26"/>
        <v>3265.1413347081675</v>
      </c>
      <c r="X139" s="4">
        <f t="shared" si="27"/>
        <v>1246.2068129737279</v>
      </c>
      <c r="Y139" s="4">
        <f t="shared" si="28"/>
        <v>1864.3253922086972</v>
      </c>
      <c r="Z139" s="4">
        <f t="shared" si="29"/>
        <v>3110.5322051824251</v>
      </c>
      <c r="AE139" s="3"/>
      <c r="AF139" s="3"/>
      <c r="AG139" s="7"/>
      <c r="AH139" s="7"/>
      <c r="AI139" s="7"/>
      <c r="AJ139" s="7"/>
      <c r="AK139" s="7"/>
      <c r="AL139" s="3"/>
      <c r="AM139" s="9"/>
      <c r="AN139" s="7"/>
      <c r="AO139" s="7"/>
      <c r="AP139" s="7"/>
      <c r="AQ139" s="7"/>
      <c r="AR139" s="9"/>
      <c r="AS139" s="9"/>
      <c r="AT139" s="9"/>
      <c r="AU139" s="3"/>
      <c r="AV139" s="3"/>
      <c r="AW139" s="3"/>
      <c r="AX139" s="3"/>
      <c r="AY139" s="3"/>
      <c r="AZ139" s="3"/>
    </row>
    <row r="140" spans="1:52" x14ac:dyDescent="0.3">
      <c r="A140">
        <v>100</v>
      </c>
      <c r="B140" s="1" t="s">
        <v>138</v>
      </c>
      <c r="C140" s="1" t="s">
        <v>160</v>
      </c>
      <c r="D140" s="2">
        <v>41955</v>
      </c>
      <c r="E140" s="3">
        <v>24.4</v>
      </c>
      <c r="F140" s="4">
        <f t="shared" si="18"/>
        <v>3730.5997195556033</v>
      </c>
      <c r="G140" s="7">
        <v>12</v>
      </c>
      <c r="H140" s="7">
        <v>182.56</v>
      </c>
      <c r="I140" s="7">
        <f t="shared" si="19"/>
        <v>170.56</v>
      </c>
      <c r="J140" s="7">
        <v>162.96</v>
      </c>
      <c r="K140" s="5">
        <f t="shared" si="20"/>
        <v>4.4559099437148184</v>
      </c>
      <c r="L140" s="4">
        <f t="shared" si="21"/>
        <v>3564.3675556917278</v>
      </c>
      <c r="M140" s="2">
        <v>41957</v>
      </c>
      <c r="N140" s="7">
        <v>1.38</v>
      </c>
      <c r="O140" s="7">
        <f t="shared" ref="O140:O149" si="34">N140/$A$29-$A$33</f>
        <v>2.8823816998536125</v>
      </c>
      <c r="P140" s="7">
        <v>0.99999999999999989</v>
      </c>
      <c r="Q140" s="7">
        <v>1.5589999999999997</v>
      </c>
      <c r="R140" s="6">
        <f t="shared" si="23"/>
        <v>0.34693531396302818</v>
      </c>
      <c r="S140" s="6">
        <f t="shared" si="24"/>
        <v>0.5408721544683609</v>
      </c>
      <c r="T140" s="6">
        <f t="shared" si="25"/>
        <v>0.11219253156861086</v>
      </c>
      <c r="U140" s="4">
        <f t="shared" si="32"/>
        <v>1294.2767849744082</v>
      </c>
      <c r="V140" s="4">
        <f t="shared" si="33"/>
        <v>2017.7775077751021</v>
      </c>
      <c r="W140" s="4">
        <f t="shared" si="26"/>
        <v>3312.0542927495103</v>
      </c>
      <c r="X140" s="4">
        <f t="shared" si="27"/>
        <v>1236.604977013541</v>
      </c>
      <c r="Y140" s="4">
        <f t="shared" si="28"/>
        <v>1927.8671591641103</v>
      </c>
      <c r="Z140" s="4">
        <f t="shared" si="29"/>
        <v>3164.472136177651</v>
      </c>
      <c r="AB140" t="s">
        <v>170</v>
      </c>
      <c r="AC140" t="str">
        <f>C140</f>
        <v>Machine</v>
      </c>
      <c r="AD140" s="8">
        <f>D140</f>
        <v>41955</v>
      </c>
      <c r="AE140" s="3">
        <f>SUM(E140:E150)</f>
        <v>288.10000000000002</v>
      </c>
      <c r="AF140" s="3">
        <f>AE140*$A$29/($A$30*11)*$A$32</f>
        <v>4004.4179553054005</v>
      </c>
      <c r="AG140" s="7">
        <f>SUM(G140:G150)</f>
        <v>131.15</v>
      </c>
      <c r="AH140" s="7">
        <f>SUM(H140:H150)</f>
        <v>2490.8999999999996</v>
      </c>
      <c r="AI140" s="7">
        <f>AH140-AG140</f>
        <v>2359.7499999999995</v>
      </c>
      <c r="AJ140" s="7">
        <f>SUM(J140:J150)</f>
        <v>2254.7199999999998</v>
      </c>
      <c r="AK140" s="7">
        <f>(AI140-AJ140)/AI140*100</f>
        <v>4.4508952219514679</v>
      </c>
      <c r="AL140" s="3">
        <f>AF140*(1-AK140/100)</f>
        <v>3826.1855078657459</v>
      </c>
      <c r="AM140" s="11">
        <f>M140</f>
        <v>41957</v>
      </c>
      <c r="AN140" s="7">
        <f>SUM(N140:N150)</f>
        <v>16.259936960000001</v>
      </c>
      <c r="AO140" s="7">
        <f>AN140/$A$29-$A$33*11</f>
        <v>34.087054092664779</v>
      </c>
      <c r="AP140" s="7">
        <f>SUM(P140:P150)</f>
        <v>11.942</v>
      </c>
      <c r="AQ140" s="7">
        <f>SUM(Q140:Q150)</f>
        <v>18.471999999999998</v>
      </c>
      <c r="AR140" s="9">
        <f>AP140/AO140</f>
        <v>0.3503382829016547</v>
      </c>
      <c r="AS140" s="9">
        <f>AQ140/AO140</f>
        <v>0.54190661210512181</v>
      </c>
      <c r="AT140" s="9">
        <f>1-AR140-AS140</f>
        <v>0.10775510499322349</v>
      </c>
      <c r="AU140" s="3">
        <f>AF140*AR140</f>
        <v>1402.9009104822489</v>
      </c>
      <c r="AV140" s="3">
        <f>AF140*AS140</f>
        <v>2170.0205676124688</v>
      </c>
      <c r="AW140" s="3">
        <f>AU140+AV140</f>
        <v>3572.9214780947177</v>
      </c>
      <c r="AX140" s="3">
        <f>AL140*AR140</f>
        <v>1340.4592608888811</v>
      </c>
      <c r="AY140" s="3">
        <f>AL140*AS140</f>
        <v>2073.4352258532413</v>
      </c>
      <c r="AZ140" s="3">
        <f>AX140+AY140</f>
        <v>3413.8944867421224</v>
      </c>
    </row>
    <row r="141" spans="1:52" x14ac:dyDescent="0.3">
      <c r="A141">
        <v>101</v>
      </c>
      <c r="B141" s="1" t="s">
        <v>139</v>
      </c>
      <c r="C141" s="1" t="s">
        <v>160</v>
      </c>
      <c r="D141" s="2">
        <v>41955</v>
      </c>
      <c r="E141" s="3">
        <v>21.3</v>
      </c>
      <c r="F141" s="4">
        <f t="shared" si="18"/>
        <v>3256.630083054687</v>
      </c>
      <c r="G141" s="7">
        <v>11.93</v>
      </c>
      <c r="H141" s="7">
        <v>206.96</v>
      </c>
      <c r="I141" s="7">
        <f t="shared" si="19"/>
        <v>195.03</v>
      </c>
      <c r="J141" s="7">
        <v>186.93</v>
      </c>
      <c r="K141" s="5">
        <f t="shared" si="20"/>
        <v>4.153207198892475</v>
      </c>
      <c r="L141" s="4">
        <f t="shared" si="21"/>
        <v>3121.3754880039619</v>
      </c>
      <c r="M141" s="2">
        <v>41957</v>
      </c>
      <c r="N141" s="7">
        <v>1.31</v>
      </c>
      <c r="O141" s="7">
        <f t="shared" si="34"/>
        <v>2.7280579904407487</v>
      </c>
      <c r="P141" s="7">
        <v>0.99999999999999989</v>
      </c>
      <c r="Q141" s="7">
        <v>1.496</v>
      </c>
      <c r="R141" s="6">
        <f t="shared" si="23"/>
        <v>0.36656112278553088</v>
      </c>
      <c r="S141" s="6">
        <f t="shared" si="24"/>
        <v>0.5483754396871543</v>
      </c>
      <c r="T141" s="6">
        <f t="shared" si="25"/>
        <v>8.5063437527314822E-2</v>
      </c>
      <c r="U141" s="4">
        <f t="shared" si="32"/>
        <v>1193.7539797416628</v>
      </c>
      <c r="V141" s="4">
        <f t="shared" si="33"/>
        <v>1785.8559536935279</v>
      </c>
      <c r="W141" s="4">
        <f t="shared" si="26"/>
        <v>2979.6099334351907</v>
      </c>
      <c r="X141" s="4">
        <f t="shared" si="27"/>
        <v>1144.1749035179666</v>
      </c>
      <c r="Y141" s="4">
        <f t="shared" si="28"/>
        <v>1711.6856556628784</v>
      </c>
      <c r="Z141" s="4">
        <f t="shared" si="29"/>
        <v>2855.860559180845</v>
      </c>
      <c r="AE141" s="3"/>
      <c r="AF141" s="3"/>
      <c r="AG141" s="7"/>
      <c r="AH141" s="7"/>
      <c r="AI141" s="7"/>
      <c r="AJ141" s="7"/>
      <c r="AK141" s="7"/>
      <c r="AL141" s="3"/>
      <c r="AM141" s="9"/>
      <c r="AN141" s="7"/>
      <c r="AO141" s="7"/>
      <c r="AP141" s="7"/>
      <c r="AQ141" s="7"/>
      <c r="AR141" s="9"/>
      <c r="AS141" s="9"/>
      <c r="AT141" s="9"/>
      <c r="AU141" s="3"/>
      <c r="AV141" s="3"/>
      <c r="AW141" s="3"/>
      <c r="AX141" s="3"/>
      <c r="AY141" s="3"/>
      <c r="AZ141" s="3"/>
    </row>
    <row r="142" spans="1:52" x14ac:dyDescent="0.3">
      <c r="A142">
        <v>102</v>
      </c>
      <c r="B142" s="1" t="s">
        <v>140</v>
      </c>
      <c r="C142" s="1" t="s">
        <v>160</v>
      </c>
      <c r="D142" s="2">
        <v>41955</v>
      </c>
      <c r="E142" s="3">
        <v>28.299999999999997</v>
      </c>
      <c r="F142" s="4">
        <f t="shared" si="18"/>
        <v>4326.8841009599819</v>
      </c>
      <c r="G142" s="7">
        <v>12</v>
      </c>
      <c r="H142" s="7">
        <v>235.54</v>
      </c>
      <c r="I142" s="7">
        <f t="shared" si="19"/>
        <v>223.54</v>
      </c>
      <c r="J142" s="7">
        <v>212.75</v>
      </c>
      <c r="K142" s="5">
        <f t="shared" si="20"/>
        <v>4.8268766216337085</v>
      </c>
      <c r="L142" s="4">
        <f t="shared" si="21"/>
        <v>4118.0307438455584</v>
      </c>
      <c r="M142" s="2">
        <v>41957</v>
      </c>
      <c r="N142" s="7">
        <v>1.46</v>
      </c>
      <c r="O142" s="7">
        <f t="shared" si="34"/>
        <v>3.058751653468315</v>
      </c>
      <c r="P142" s="7">
        <v>1.0630000000000002</v>
      </c>
      <c r="Q142" s="7">
        <v>1.6850000000000001</v>
      </c>
      <c r="R142" s="6">
        <f t="shared" si="23"/>
        <v>0.34752739693484619</v>
      </c>
      <c r="S142" s="6">
        <f t="shared" si="24"/>
        <v>0.55087832910180223</v>
      </c>
      <c r="T142" s="6">
        <f t="shared" si="25"/>
        <v>0.10159427396335152</v>
      </c>
      <c r="U142" s="4">
        <f t="shared" si="32"/>
        <v>1503.7107684453947</v>
      </c>
      <c r="V142" s="4">
        <f t="shared" si="33"/>
        <v>2383.5866837539884</v>
      </c>
      <c r="W142" s="4">
        <f t="shared" si="26"/>
        <v>3887.2974521993829</v>
      </c>
      <c r="X142" s="4">
        <f t="shared" si="27"/>
        <v>1431.1285049063154</v>
      </c>
      <c r="Y142" s="4">
        <f t="shared" si="28"/>
        <v>2268.5338953594928</v>
      </c>
      <c r="Z142" s="4">
        <f t="shared" si="29"/>
        <v>3699.6624002658082</v>
      </c>
      <c r="AE142" s="3"/>
      <c r="AF142" s="3"/>
      <c r="AG142" s="7"/>
      <c r="AH142" s="7"/>
      <c r="AI142" s="7"/>
      <c r="AJ142" s="7"/>
      <c r="AK142" s="7"/>
      <c r="AL142" s="3"/>
      <c r="AM142" s="9"/>
      <c r="AN142" s="7"/>
      <c r="AO142" s="7"/>
      <c r="AP142" s="7"/>
      <c r="AQ142" s="7"/>
      <c r="AR142" s="9"/>
      <c r="AS142" s="9"/>
      <c r="AT142" s="9"/>
      <c r="AU142" s="3"/>
      <c r="AV142" s="3"/>
      <c r="AW142" s="3"/>
      <c r="AX142" s="3"/>
      <c r="AY142" s="3"/>
      <c r="AZ142" s="3"/>
    </row>
    <row r="143" spans="1:52" x14ac:dyDescent="0.3">
      <c r="A143">
        <v>103</v>
      </c>
      <c r="B143" s="1" t="s">
        <v>141</v>
      </c>
      <c r="C143" s="1" t="s">
        <v>160</v>
      </c>
      <c r="D143" s="2">
        <v>41955</v>
      </c>
      <c r="E143" s="3">
        <v>30.2</v>
      </c>
      <c r="F143" s="4">
        <f t="shared" si="18"/>
        <v>4617.3816201057052</v>
      </c>
      <c r="G143" s="7">
        <v>11.96</v>
      </c>
      <c r="H143" s="7">
        <v>202.26</v>
      </c>
      <c r="I143" s="7">
        <f t="shared" si="19"/>
        <v>190.29999999999998</v>
      </c>
      <c r="J143" s="7">
        <v>181.56</v>
      </c>
      <c r="K143" s="5">
        <f t="shared" si="20"/>
        <v>4.5927482921702474</v>
      </c>
      <c r="L143" s="4">
        <f t="shared" si="21"/>
        <v>4405.3169046053172</v>
      </c>
      <c r="M143" s="2">
        <v>41957</v>
      </c>
      <c r="N143" s="7">
        <v>1.85</v>
      </c>
      <c r="O143" s="7">
        <f t="shared" si="34"/>
        <v>3.9185551773399885</v>
      </c>
      <c r="P143" s="7">
        <v>1.4330000000000003</v>
      </c>
      <c r="Q143" s="7">
        <v>2.1259999999999999</v>
      </c>
      <c r="R143" s="6">
        <f t="shared" si="23"/>
        <v>0.36569601170520094</v>
      </c>
      <c r="S143" s="6">
        <f t="shared" si="24"/>
        <v>0.54254690920115634</v>
      </c>
      <c r="T143" s="6">
        <f t="shared" si="25"/>
        <v>9.1757079093642724E-2</v>
      </c>
      <c r="U143" s="4">
        <f t="shared" si="32"/>
        <v>1688.5580429935558</v>
      </c>
      <c r="V143" s="4">
        <f t="shared" si="33"/>
        <v>2505.1461265905782</v>
      </c>
      <c r="W143" s="4">
        <f t="shared" si="26"/>
        <v>4193.7041695841344</v>
      </c>
      <c r="X143" s="4">
        <f t="shared" si="27"/>
        <v>1611.0068223116657</v>
      </c>
      <c r="Y143" s="4">
        <f t="shared" si="28"/>
        <v>2390.09107064522</v>
      </c>
      <c r="Z143" s="4">
        <f t="shared" si="29"/>
        <v>4001.0978929568855</v>
      </c>
      <c r="AE143" s="3"/>
      <c r="AF143" s="3"/>
      <c r="AG143" s="7"/>
      <c r="AH143" s="7"/>
      <c r="AI143" s="7"/>
      <c r="AJ143" s="7"/>
      <c r="AK143" s="7"/>
      <c r="AL143" s="3"/>
      <c r="AM143" s="9"/>
      <c r="AN143" s="7"/>
      <c r="AO143" s="7"/>
      <c r="AP143" s="7"/>
      <c r="AQ143" s="7"/>
      <c r="AR143" s="9"/>
      <c r="AS143" s="9"/>
      <c r="AT143" s="9"/>
      <c r="AU143" s="3"/>
      <c r="AV143" s="3"/>
      <c r="AW143" s="3"/>
      <c r="AX143" s="3"/>
      <c r="AY143" s="3"/>
      <c r="AZ143" s="3"/>
    </row>
    <row r="144" spans="1:52" x14ac:dyDescent="0.3">
      <c r="A144">
        <v>104</v>
      </c>
      <c r="B144" s="1" t="s">
        <v>142</v>
      </c>
      <c r="C144" s="1" t="s">
        <v>160</v>
      </c>
      <c r="D144" s="2">
        <v>41955</v>
      </c>
      <c r="E144" s="3">
        <v>27.2</v>
      </c>
      <c r="F144" s="4">
        <f t="shared" si="18"/>
        <v>4158.7013267177217</v>
      </c>
      <c r="G144" s="7">
        <v>11.91</v>
      </c>
      <c r="H144" s="7">
        <v>256</v>
      </c>
      <c r="I144" s="7">
        <f t="shared" si="19"/>
        <v>244.09</v>
      </c>
      <c r="J144" s="7">
        <v>232.66</v>
      </c>
      <c r="K144" s="5">
        <f t="shared" si="20"/>
        <v>4.6826990044655687</v>
      </c>
      <c r="L144" s="4">
        <f t="shared" si="21"/>
        <v>3963.9618610928142</v>
      </c>
      <c r="M144" s="2">
        <v>41957</v>
      </c>
      <c r="N144" s="7">
        <v>1.51</v>
      </c>
      <c r="O144" s="7">
        <f t="shared" si="34"/>
        <v>3.1689828744775039</v>
      </c>
      <c r="P144" s="7">
        <v>1.1259999999999999</v>
      </c>
      <c r="Q144" s="7">
        <v>1.7479999999999998</v>
      </c>
      <c r="R144" s="6">
        <f t="shared" si="23"/>
        <v>0.35531905491463178</v>
      </c>
      <c r="S144" s="6">
        <f t="shared" si="24"/>
        <v>0.55159654350868237</v>
      </c>
      <c r="T144" s="6">
        <f t="shared" si="25"/>
        <v>9.3084401576685849E-2</v>
      </c>
      <c r="U144" s="4">
        <f t="shared" si="32"/>
        <v>1477.6658250815663</v>
      </c>
      <c r="V144" s="4">
        <f t="shared" si="33"/>
        <v>2293.9252773024668</v>
      </c>
      <c r="W144" s="4">
        <f t="shared" si="26"/>
        <v>3771.5911023840331</v>
      </c>
      <c r="X144" s="4">
        <f t="shared" si="27"/>
        <v>1408.4711822011436</v>
      </c>
      <c r="Y144" s="4">
        <f t="shared" si="28"/>
        <v>2186.50766117904</v>
      </c>
      <c r="Z144" s="4">
        <f t="shared" si="29"/>
        <v>3594.9788433801837</v>
      </c>
      <c r="AE144" s="3"/>
      <c r="AF144" s="3"/>
      <c r="AG144" s="7"/>
      <c r="AH144" s="7"/>
      <c r="AI144" s="7"/>
      <c r="AJ144" s="7"/>
      <c r="AK144" s="7"/>
      <c r="AL144" s="3"/>
      <c r="AM144" s="9"/>
      <c r="AN144" s="7"/>
      <c r="AO144" s="7"/>
      <c r="AP144" s="7"/>
      <c r="AQ144" s="7"/>
      <c r="AR144" s="9"/>
      <c r="AS144" s="9"/>
      <c r="AT144" s="9"/>
      <c r="AU144" s="3"/>
      <c r="AV144" s="3"/>
      <c r="AW144" s="3"/>
      <c r="AX144" s="3"/>
      <c r="AY144" s="3"/>
      <c r="AZ144" s="3"/>
    </row>
    <row r="145" spans="1:52" x14ac:dyDescent="0.3">
      <c r="A145">
        <v>105</v>
      </c>
      <c r="B145" s="1" t="s">
        <v>143</v>
      </c>
      <c r="C145" s="1" t="s">
        <v>160</v>
      </c>
      <c r="D145" s="2">
        <v>41955</v>
      </c>
      <c r="E145" s="3">
        <v>25.400000000000002</v>
      </c>
      <c r="F145" s="4">
        <f t="shared" si="18"/>
        <v>3883.4931506849312</v>
      </c>
      <c r="G145" s="7">
        <v>11.84</v>
      </c>
      <c r="H145" s="7">
        <v>226.39</v>
      </c>
      <c r="I145" s="7">
        <f t="shared" si="19"/>
        <v>214.54999999999998</v>
      </c>
      <c r="J145" s="7">
        <v>203.68</v>
      </c>
      <c r="K145" s="5">
        <f t="shared" si="20"/>
        <v>5.066418084362609</v>
      </c>
      <c r="L145" s="4">
        <f t="shared" si="21"/>
        <v>3686.7391513936464</v>
      </c>
      <c r="M145" s="2">
        <v>41957</v>
      </c>
      <c r="N145" s="7">
        <v>1.49</v>
      </c>
      <c r="O145" s="7">
        <f t="shared" si="34"/>
        <v>3.1248903860738282</v>
      </c>
      <c r="P145" s="7">
        <v>1.1259999999999999</v>
      </c>
      <c r="Q145" s="7">
        <v>1.6850000000000001</v>
      </c>
      <c r="R145" s="6">
        <f t="shared" si="23"/>
        <v>0.36033263919209907</v>
      </c>
      <c r="S145" s="6">
        <f t="shared" si="24"/>
        <v>0.53921891388870957</v>
      </c>
      <c r="T145" s="6">
        <f t="shared" si="25"/>
        <v>0.1004484469191913</v>
      </c>
      <c r="U145" s="4">
        <f t="shared" si="32"/>
        <v>1399.3493362707413</v>
      </c>
      <c r="V145" s="4">
        <f t="shared" si="33"/>
        <v>2094.0529588065715</v>
      </c>
      <c r="W145" s="4">
        <f t="shared" si="26"/>
        <v>3493.4022950773128</v>
      </c>
      <c r="X145" s="4">
        <f t="shared" si="27"/>
        <v>1328.4524484345122</v>
      </c>
      <c r="Y145" s="4">
        <f t="shared" si="28"/>
        <v>1987.9594810054648</v>
      </c>
      <c r="Z145" s="4">
        <f t="shared" si="29"/>
        <v>3316.411929439977</v>
      </c>
      <c r="AE145" s="3"/>
      <c r="AF145" s="3"/>
      <c r="AG145" s="7"/>
      <c r="AH145" s="7"/>
      <c r="AI145" s="7"/>
      <c r="AJ145" s="7"/>
      <c r="AK145" s="7"/>
      <c r="AL145" s="3"/>
      <c r="AM145" s="9"/>
      <c r="AN145" s="7"/>
      <c r="AO145" s="7"/>
      <c r="AP145" s="7"/>
      <c r="AQ145" s="7"/>
      <c r="AR145" s="9"/>
      <c r="AS145" s="9"/>
      <c r="AT145" s="9"/>
      <c r="AU145" s="3"/>
      <c r="AV145" s="3"/>
      <c r="AW145" s="3"/>
      <c r="AX145" s="3"/>
      <c r="AY145" s="3"/>
      <c r="AZ145" s="3"/>
    </row>
    <row r="146" spans="1:52" x14ac:dyDescent="0.3">
      <c r="A146">
        <v>106</v>
      </c>
      <c r="B146" s="1" t="s">
        <v>144</v>
      </c>
      <c r="C146" s="1" t="s">
        <v>160</v>
      </c>
      <c r="D146" s="2">
        <v>41955</v>
      </c>
      <c r="E146" s="3">
        <v>33.800000000000004</v>
      </c>
      <c r="F146" s="4">
        <f t="shared" si="18"/>
        <v>5167.7979721712873</v>
      </c>
      <c r="G146" s="7">
        <v>11.91</v>
      </c>
      <c r="H146" s="7">
        <v>214.98</v>
      </c>
      <c r="I146" s="7">
        <f t="shared" si="19"/>
        <v>203.07</v>
      </c>
      <c r="J146" s="7">
        <v>195.74</v>
      </c>
      <c r="K146" s="5">
        <f t="shared" si="20"/>
        <v>3.6095927512680279</v>
      </c>
      <c r="L146" s="4">
        <f t="shared" si="21"/>
        <v>4981.2615111676159</v>
      </c>
      <c r="M146" s="2">
        <v>41957</v>
      </c>
      <c r="N146" s="7">
        <v>1.23</v>
      </c>
      <c r="O146" s="7">
        <f t="shared" si="34"/>
        <v>2.5516880368260462</v>
      </c>
      <c r="P146" s="7">
        <v>0.81100000000000005</v>
      </c>
      <c r="Q146" s="7">
        <v>1.4330000000000003</v>
      </c>
      <c r="R146" s="6">
        <f t="shared" si="23"/>
        <v>0.3178288208807743</v>
      </c>
      <c r="S146" s="6">
        <f t="shared" si="24"/>
        <v>0.56158902629118324</v>
      </c>
      <c r="T146" s="6">
        <f t="shared" si="25"/>
        <v>0.12058215282804252</v>
      </c>
      <c r="U146" s="4">
        <f t="shared" si="32"/>
        <v>1642.4751360452567</v>
      </c>
      <c r="V146" s="4">
        <f t="shared" si="33"/>
        <v>2902.1786312612244</v>
      </c>
      <c r="W146" s="4">
        <f t="shared" si="26"/>
        <v>4544.6537673064813</v>
      </c>
      <c r="X146" s="4">
        <f t="shared" si="27"/>
        <v>1583.1884725931873</v>
      </c>
      <c r="Y146" s="4">
        <f t="shared" si="28"/>
        <v>2797.4218017583694</v>
      </c>
      <c r="Z146" s="4">
        <f t="shared" si="29"/>
        <v>4380.6102743515567</v>
      </c>
      <c r="AE146" s="3"/>
      <c r="AF146" s="3"/>
      <c r="AG146" s="7"/>
      <c r="AH146" s="7"/>
      <c r="AI146" s="7"/>
      <c r="AJ146" s="7"/>
      <c r="AK146" s="7"/>
      <c r="AL146" s="3"/>
      <c r="AM146" s="9"/>
      <c r="AN146" s="7"/>
      <c r="AO146" s="7"/>
      <c r="AP146" s="7"/>
      <c r="AQ146" s="7"/>
      <c r="AR146" s="9"/>
      <c r="AS146" s="9"/>
      <c r="AT146" s="9"/>
      <c r="AU146" s="3"/>
      <c r="AV146" s="3"/>
      <c r="AW146" s="3"/>
      <c r="AX146" s="3"/>
      <c r="AY146" s="3"/>
      <c r="AZ146" s="3"/>
    </row>
    <row r="147" spans="1:52" x14ac:dyDescent="0.3">
      <c r="A147">
        <v>107</v>
      </c>
      <c r="B147" s="1" t="s">
        <v>145</v>
      </c>
      <c r="C147" s="1" t="s">
        <v>160</v>
      </c>
      <c r="D147" s="2">
        <v>41955</v>
      </c>
      <c r="E147" s="3">
        <v>31.400000000000002</v>
      </c>
      <c r="F147" s="4">
        <f t="shared" si="18"/>
        <v>4800.8537374609004</v>
      </c>
      <c r="G147" s="7">
        <v>11.9</v>
      </c>
      <c r="H147" s="7">
        <v>227.94</v>
      </c>
      <c r="I147" s="7">
        <f t="shared" si="19"/>
        <v>216.04</v>
      </c>
      <c r="J147" s="7">
        <v>205.35</v>
      </c>
      <c r="K147" s="5">
        <f t="shared" si="20"/>
        <v>4.9481577485650794</v>
      </c>
      <c r="L147" s="4">
        <f t="shared" si="21"/>
        <v>4563.2999212534532</v>
      </c>
      <c r="M147" s="2">
        <v>41957</v>
      </c>
      <c r="N147" s="7">
        <v>1.3</v>
      </c>
      <c r="O147" s="7">
        <f t="shared" si="34"/>
        <v>2.7060117462389108</v>
      </c>
      <c r="P147" s="7">
        <v>0.93699999999999994</v>
      </c>
      <c r="Q147" s="7">
        <v>1.4330000000000003</v>
      </c>
      <c r="R147" s="6">
        <f t="shared" si="23"/>
        <v>0.34626605050858977</v>
      </c>
      <c r="S147" s="6">
        <f t="shared" si="24"/>
        <v>0.52956163327514327</v>
      </c>
      <c r="T147" s="6">
        <f t="shared" si="25"/>
        <v>0.12417231621626701</v>
      </c>
      <c r="U147" s="4">
        <f t="shared" si="32"/>
        <v>1662.3726627399881</v>
      </c>
      <c r="V147" s="4">
        <f t="shared" si="33"/>
        <v>2542.3479463248705</v>
      </c>
      <c r="W147" s="4">
        <f t="shared" si="26"/>
        <v>4204.7206090648588</v>
      </c>
      <c r="X147" s="4">
        <f t="shared" si="27"/>
        <v>1580.1158410185919</v>
      </c>
      <c r="Y147" s="4">
        <f t="shared" si="28"/>
        <v>2416.5485594233114</v>
      </c>
      <c r="Z147" s="4">
        <f t="shared" si="29"/>
        <v>3996.6644004419031</v>
      </c>
      <c r="AE147" s="3"/>
      <c r="AF147" s="3"/>
      <c r="AG147" s="7"/>
      <c r="AH147" s="7"/>
      <c r="AI147" s="7"/>
      <c r="AJ147" s="7"/>
      <c r="AK147" s="7"/>
      <c r="AL147" s="3"/>
      <c r="AM147" s="9"/>
      <c r="AN147" s="7"/>
      <c r="AO147" s="7"/>
      <c r="AP147" s="7"/>
      <c r="AQ147" s="7"/>
      <c r="AR147" s="9"/>
      <c r="AS147" s="9"/>
      <c r="AT147" s="9"/>
      <c r="AU147" s="3"/>
      <c r="AV147" s="3"/>
      <c r="AW147" s="3"/>
      <c r="AX147" s="3"/>
      <c r="AY147" s="3"/>
      <c r="AZ147" s="3"/>
    </row>
    <row r="148" spans="1:52" x14ac:dyDescent="0.3">
      <c r="A148">
        <v>108</v>
      </c>
      <c r="B148" s="1" t="s">
        <v>146</v>
      </c>
      <c r="C148" s="1" t="s">
        <v>160</v>
      </c>
      <c r="D148" s="2">
        <v>41955</v>
      </c>
      <c r="E148" s="3">
        <v>27</v>
      </c>
      <c r="F148" s="4">
        <f t="shared" si="18"/>
        <v>4128.1226404918561</v>
      </c>
      <c r="G148" s="7">
        <v>11.81</v>
      </c>
      <c r="H148" s="7">
        <v>215.57</v>
      </c>
      <c r="I148" s="7">
        <f t="shared" si="19"/>
        <v>203.76</v>
      </c>
      <c r="J148" s="7">
        <v>196.82</v>
      </c>
      <c r="K148" s="5">
        <f t="shared" si="20"/>
        <v>3.4059678052610907</v>
      </c>
      <c r="L148" s="4">
        <f t="shared" si="21"/>
        <v>3987.5201123950096</v>
      </c>
      <c r="M148" s="2">
        <v>41957</v>
      </c>
      <c r="N148" s="7">
        <v>1.46</v>
      </c>
      <c r="O148" s="7">
        <f t="shared" si="34"/>
        <v>3.058751653468315</v>
      </c>
      <c r="P148" s="7">
        <v>1.0630000000000002</v>
      </c>
      <c r="Q148" s="7">
        <v>1.6220000000000003</v>
      </c>
      <c r="R148" s="6">
        <f t="shared" si="23"/>
        <v>0.34752739693484619</v>
      </c>
      <c r="S148" s="6">
        <f t="shared" si="24"/>
        <v>0.53028169127781799</v>
      </c>
      <c r="T148" s="6">
        <f t="shared" si="25"/>
        <v>0.12219091178733577</v>
      </c>
      <c r="U148" s="4">
        <f t="shared" si="32"/>
        <v>1434.6357154779387</v>
      </c>
      <c r="V148" s="4">
        <f t="shared" si="33"/>
        <v>2189.0678556022731</v>
      </c>
      <c r="W148" s="4">
        <f t="shared" si="26"/>
        <v>3623.703571080212</v>
      </c>
      <c r="X148" s="4">
        <f t="shared" si="27"/>
        <v>1385.772484885983</v>
      </c>
      <c r="Y148" s="4">
        <f t="shared" si="28"/>
        <v>2114.5089092051408</v>
      </c>
      <c r="Z148" s="4">
        <f t="shared" si="29"/>
        <v>3500.2813940911237</v>
      </c>
      <c r="AE148" s="3"/>
      <c r="AF148" s="3"/>
      <c r="AG148" s="7"/>
      <c r="AH148" s="7"/>
      <c r="AI148" s="7"/>
      <c r="AJ148" s="7"/>
      <c r="AK148" s="7"/>
      <c r="AL148" s="3"/>
      <c r="AM148" s="9"/>
      <c r="AN148" s="7"/>
      <c r="AO148" s="7"/>
      <c r="AP148" s="7"/>
      <c r="AQ148" s="7"/>
      <c r="AR148" s="9"/>
      <c r="AS148" s="9"/>
      <c r="AT148" s="9"/>
      <c r="AU148" s="3"/>
      <c r="AV148" s="3"/>
      <c r="AW148" s="3"/>
      <c r="AX148" s="3"/>
      <c r="AY148" s="3"/>
      <c r="AZ148" s="3"/>
    </row>
    <row r="149" spans="1:52" x14ac:dyDescent="0.3">
      <c r="A149">
        <v>109</v>
      </c>
      <c r="B149" s="1" t="s">
        <v>147</v>
      </c>
      <c r="C149" s="1" t="s">
        <v>160</v>
      </c>
      <c r="D149" s="2">
        <v>41955</v>
      </c>
      <c r="E149" s="3">
        <v>20.7</v>
      </c>
      <c r="F149" s="4">
        <f t="shared" si="18"/>
        <v>3164.8940243770894</v>
      </c>
      <c r="G149" s="7">
        <v>11.94</v>
      </c>
      <c r="H149" s="7">
        <v>259.17</v>
      </c>
      <c r="I149" s="7">
        <f t="shared" si="19"/>
        <v>247.23000000000002</v>
      </c>
      <c r="J149" s="7">
        <v>235.76</v>
      </c>
      <c r="K149" s="5">
        <f t="shared" si="20"/>
        <v>4.6394046030012648</v>
      </c>
      <c r="L149" s="4">
        <f t="shared" si="21"/>
        <v>3018.0617853300269</v>
      </c>
      <c r="M149" s="2">
        <v>41957</v>
      </c>
      <c r="N149" s="7">
        <v>1.51</v>
      </c>
      <c r="O149" s="7">
        <f t="shared" si="34"/>
        <v>3.1689828744775039</v>
      </c>
      <c r="P149" s="7">
        <v>1.0630000000000002</v>
      </c>
      <c r="Q149" s="7">
        <v>1.6850000000000001</v>
      </c>
      <c r="R149" s="6">
        <f t="shared" si="23"/>
        <v>0.33543885912455923</v>
      </c>
      <c r="S149" s="6">
        <f t="shared" si="24"/>
        <v>0.53171634771860976</v>
      </c>
      <c r="T149" s="6">
        <f t="shared" si="25"/>
        <v>0.13284479315683106</v>
      </c>
      <c r="U149" s="4">
        <f t="shared" si="32"/>
        <v>1061.6284407871858</v>
      </c>
      <c r="V149" s="4">
        <f t="shared" si="33"/>
        <v>1682.8258915582387</v>
      </c>
      <c r="W149" s="4">
        <f t="shared" si="26"/>
        <v>2744.4543323454245</v>
      </c>
      <c r="X149" s="4">
        <f t="shared" si="27"/>
        <v>1012.3752020385346</v>
      </c>
      <c r="Y149" s="4">
        <f t="shared" si="28"/>
        <v>1604.7527896847887</v>
      </c>
      <c r="Z149" s="4">
        <f t="shared" si="29"/>
        <v>2617.1279917233232</v>
      </c>
      <c r="AE149" s="3"/>
      <c r="AF149" s="3"/>
      <c r="AG149" s="7"/>
      <c r="AH149" s="7"/>
      <c r="AI149" s="7"/>
      <c r="AJ149" s="7"/>
      <c r="AK149" s="7"/>
      <c r="AL149" s="3"/>
      <c r="AM149" s="9"/>
      <c r="AN149" s="7"/>
      <c r="AO149" s="7"/>
      <c r="AP149" s="7"/>
      <c r="AQ149" s="7"/>
      <c r="AR149" s="9"/>
      <c r="AS149" s="9"/>
      <c r="AT149" s="9"/>
      <c r="AU149" s="3"/>
      <c r="AV149" s="3"/>
      <c r="AW149" s="3"/>
      <c r="AX149" s="3"/>
      <c r="AY149" s="3"/>
      <c r="AZ149" s="3"/>
    </row>
    <row r="150" spans="1:52" x14ac:dyDescent="0.3">
      <c r="A150">
        <v>110</v>
      </c>
      <c r="B150" s="1" t="s">
        <v>148</v>
      </c>
      <c r="C150" s="1" t="s">
        <v>160</v>
      </c>
      <c r="D150" s="2">
        <v>41955</v>
      </c>
      <c r="E150" s="3">
        <v>18.399999999999999</v>
      </c>
      <c r="F150" s="4">
        <f t="shared" si="18"/>
        <v>2813.2391327796354</v>
      </c>
      <c r="G150" s="7">
        <v>11.95</v>
      </c>
      <c r="H150" s="7">
        <v>263.52999999999997</v>
      </c>
      <c r="I150" s="7">
        <f t="shared" si="19"/>
        <v>251.57999999999998</v>
      </c>
      <c r="J150" s="7">
        <v>240.51</v>
      </c>
      <c r="K150" s="5">
        <f t="shared" si="20"/>
        <v>4.4001907941807747</v>
      </c>
      <c r="L150" s="4">
        <f t="shared" si="21"/>
        <v>2689.4512434407748</v>
      </c>
      <c r="M150" s="2">
        <v>41957</v>
      </c>
      <c r="N150" s="7">
        <f>(O150+$A$33)*$A$29</f>
        <v>1.7599369600000001</v>
      </c>
      <c r="O150" s="7">
        <v>3.72</v>
      </c>
      <c r="P150" s="7">
        <v>1.32</v>
      </c>
      <c r="Q150" s="7">
        <v>2</v>
      </c>
      <c r="R150" s="6">
        <f t="shared" ref="R150" si="35">P150/O150</f>
        <v>0.35483870967741937</v>
      </c>
      <c r="S150" s="6">
        <f t="shared" ref="S150" si="36">Q150/O150</f>
        <v>0.5376344086021505</v>
      </c>
      <c r="T150" s="6">
        <f t="shared" ref="T150" si="37">1-R150-S150</f>
        <v>0.10752688172043012</v>
      </c>
      <c r="U150" s="4">
        <f t="shared" si="32"/>
        <v>998.24614388954808</v>
      </c>
      <c r="V150" s="4">
        <f t="shared" si="33"/>
        <v>1512.494157408406</v>
      </c>
      <c r="W150" s="4">
        <f t="shared" ref="W150" si="38">U150+V150</f>
        <v>2510.7403012979539</v>
      </c>
      <c r="X150" s="4">
        <f t="shared" si="27"/>
        <v>954.32140896285557</v>
      </c>
      <c r="Y150" s="4">
        <f t="shared" si="28"/>
        <v>1445.9415287315992</v>
      </c>
      <c r="Z150" s="4">
        <f t="shared" si="29"/>
        <v>2400.2629376944546</v>
      </c>
      <c r="AE150" s="3"/>
      <c r="AF150" s="3"/>
      <c r="AG150" s="7"/>
      <c r="AH150" s="7"/>
      <c r="AI150" s="7"/>
      <c r="AJ150" s="7"/>
      <c r="AK150" s="7"/>
      <c r="AL150" s="3"/>
      <c r="AM150" s="9"/>
      <c r="AN150" s="7"/>
      <c r="AO150" s="7"/>
      <c r="AP150" s="7"/>
      <c r="AQ150" s="7"/>
      <c r="AR150" s="9"/>
      <c r="AS150" s="9"/>
      <c r="AT150" s="9"/>
      <c r="AU150" s="3"/>
      <c r="AV150" s="3"/>
      <c r="AW150" s="3"/>
      <c r="AX150" s="3"/>
      <c r="AY150" s="3"/>
      <c r="AZ150" s="3"/>
    </row>
    <row r="151" spans="1:52" x14ac:dyDescent="0.3">
      <c r="A151">
        <v>111</v>
      </c>
      <c r="B151" s="1" t="s">
        <v>149</v>
      </c>
      <c r="C151" s="1" t="s">
        <v>160</v>
      </c>
      <c r="D151" s="2">
        <v>41955</v>
      </c>
      <c r="E151" s="3">
        <v>29.7</v>
      </c>
      <c r="F151" s="4">
        <f t="shared" si="18"/>
        <v>4540.9349045410418</v>
      </c>
      <c r="G151" s="7">
        <v>11.81</v>
      </c>
      <c r="H151" s="7">
        <v>255.96</v>
      </c>
      <c r="I151" s="7">
        <f t="shared" si="19"/>
        <v>244.15</v>
      </c>
      <c r="J151" s="7">
        <v>232.62</v>
      </c>
      <c r="K151" s="5">
        <f t="shared" si="20"/>
        <v>4.7225066557444197</v>
      </c>
      <c r="L151" s="4">
        <f t="shared" si="21"/>
        <v>4326.4889514410697</v>
      </c>
      <c r="M151" s="2">
        <v>41957</v>
      </c>
      <c r="N151" s="7">
        <v>1.23</v>
      </c>
      <c r="O151" s="7">
        <f t="shared" ref="O151:O161" si="39">N151/$A$29-$A$33</f>
        <v>2.5516880368260462</v>
      </c>
      <c r="P151" s="7">
        <v>0.874</v>
      </c>
      <c r="Q151" s="7">
        <v>1.4330000000000003</v>
      </c>
      <c r="R151" s="6">
        <f t="shared" si="23"/>
        <v>0.34251835937089609</v>
      </c>
      <c r="S151" s="6">
        <f t="shared" si="24"/>
        <v>0.56158902629118324</v>
      </c>
      <c r="T151" s="6">
        <f t="shared" si="25"/>
        <v>9.5892614337920734E-2</v>
      </c>
      <c r="U151" s="4">
        <f t="shared" si="32"/>
        <v>1555.3535735134342</v>
      </c>
      <c r="V151" s="4">
        <f t="shared" si="33"/>
        <v>2550.1392114928508</v>
      </c>
      <c r="W151" s="4">
        <f t="shared" si="26"/>
        <v>4105.492785006285</v>
      </c>
      <c r="X151" s="4">
        <f t="shared" si="27"/>
        <v>1481.9018974839037</v>
      </c>
      <c r="Y151" s="4">
        <f t="shared" si="28"/>
        <v>2429.7087174993526</v>
      </c>
      <c r="Z151" s="4">
        <f t="shared" si="29"/>
        <v>3911.6106149832563</v>
      </c>
      <c r="AB151" t="s">
        <v>34</v>
      </c>
      <c r="AC151" t="str">
        <f>C151</f>
        <v>Machine</v>
      </c>
      <c r="AD151" s="8">
        <f>D151</f>
        <v>41955</v>
      </c>
      <c r="AE151" s="3">
        <f>SUM(E151:E161)</f>
        <v>293.99999999999994</v>
      </c>
      <c r="AF151" s="3">
        <f>AE151*$A$29/($A$30*11)*$A$32</f>
        <v>4086.424432002038</v>
      </c>
      <c r="AG151" s="7">
        <f>SUM(G151:G161)</f>
        <v>132.4</v>
      </c>
      <c r="AH151" s="7">
        <f>SUM(H151:H161)</f>
        <v>2566.58</v>
      </c>
      <c r="AI151" s="7">
        <f>AH151-AG151</f>
        <v>2434.1799999999998</v>
      </c>
      <c r="AJ151" s="7">
        <f>SUM(J151:J161)</f>
        <v>2323.5100000000002</v>
      </c>
      <c r="AK151" s="7">
        <f>(AI151-AJ151)/AI151*100</f>
        <v>4.5465002588140413</v>
      </c>
      <c r="AL151" s="3">
        <f>AF151*(1-AK151/100)</f>
        <v>3900.6351346248248</v>
      </c>
      <c r="AM151" s="11">
        <f>M151</f>
        <v>41957</v>
      </c>
      <c r="AN151" s="7">
        <f>SUM(N151:N161)</f>
        <v>16.169999999999998</v>
      </c>
      <c r="AO151" s="7">
        <f>AN151/$A$29-$A$33*11</f>
        <v>33.888776874371679</v>
      </c>
      <c r="AP151" s="7">
        <f>SUM(P151:P161)</f>
        <v>11.684999999999999</v>
      </c>
      <c r="AQ151" s="7">
        <f>SUM(Q151:Q161)</f>
        <v>18.779</v>
      </c>
      <c r="AR151" s="9">
        <f>AP151/AO151</f>
        <v>0.34480441838657083</v>
      </c>
      <c r="AS151" s="9">
        <f>AQ151/AO151</f>
        <v>0.55413625784179843</v>
      </c>
      <c r="AT151" s="9">
        <f>1-AR151-AS151</f>
        <v>0.10105932377163074</v>
      </c>
      <c r="AU151" s="3">
        <f>AF151*AR151</f>
        <v>1409.0171995571359</v>
      </c>
      <c r="AV151" s="3">
        <f>AF151*AS151</f>
        <v>2264.4359427029062</v>
      </c>
      <c r="AW151" s="3">
        <f>AU151+AV151</f>
        <v>3673.4531422600421</v>
      </c>
      <c r="AX151" s="3">
        <f>AL151*AR151</f>
        <v>1344.9562289325361</v>
      </c>
      <c r="AY151" s="3">
        <f>AL151*AS151</f>
        <v>2161.4833567072401</v>
      </c>
      <c r="AZ151" s="3">
        <f>AX151+AY151</f>
        <v>3506.4395856397759</v>
      </c>
    </row>
    <row r="152" spans="1:52" x14ac:dyDescent="0.3">
      <c r="A152">
        <v>112</v>
      </c>
      <c r="B152" s="1" t="s">
        <v>150</v>
      </c>
      <c r="C152" s="1" t="s">
        <v>160</v>
      </c>
      <c r="D152" s="2">
        <v>41955</v>
      </c>
      <c r="E152" s="3">
        <v>17.400000000000002</v>
      </c>
      <c r="F152" s="4">
        <f t="shared" si="18"/>
        <v>2660.3457016503075</v>
      </c>
      <c r="G152" s="7">
        <v>12</v>
      </c>
      <c r="H152" s="7">
        <v>179.94</v>
      </c>
      <c r="I152" s="7">
        <f t="shared" si="19"/>
        <v>167.94</v>
      </c>
      <c r="J152" s="7">
        <v>159.78</v>
      </c>
      <c r="K152" s="5">
        <f t="shared" si="20"/>
        <v>4.8588781707752746</v>
      </c>
      <c r="L152" s="4">
        <f t="shared" si="21"/>
        <v>2531.0827450856627</v>
      </c>
      <c r="M152" s="2">
        <v>41957</v>
      </c>
      <c r="N152" s="7">
        <v>1.31</v>
      </c>
      <c r="O152" s="7">
        <f t="shared" si="39"/>
        <v>2.7280579904407487</v>
      </c>
      <c r="P152" s="7">
        <v>0.93699999999999994</v>
      </c>
      <c r="Q152" s="7">
        <v>1.496</v>
      </c>
      <c r="R152" s="6">
        <f t="shared" si="23"/>
        <v>0.34346777205004242</v>
      </c>
      <c r="S152" s="6">
        <f t="shared" si="24"/>
        <v>0.5483754396871543</v>
      </c>
      <c r="T152" s="6">
        <f t="shared" si="25"/>
        <v>0.10815678826280328</v>
      </c>
      <c r="U152" s="4">
        <f t="shared" si="32"/>
        <v>913.74301102873801</v>
      </c>
      <c r="V152" s="4">
        <f t="shared" si="33"/>
        <v>1458.8682438623184</v>
      </c>
      <c r="W152" s="4">
        <f t="shared" si="26"/>
        <v>2372.6112548910564</v>
      </c>
      <c r="X152" s="4">
        <f t="shared" si="27"/>
        <v>869.345351328878</v>
      </c>
      <c r="Y152" s="4">
        <f t="shared" si="28"/>
        <v>1387.9836132209198</v>
      </c>
      <c r="Z152" s="4">
        <f t="shared" si="29"/>
        <v>2257.328964549798</v>
      </c>
      <c r="AE152" s="3"/>
      <c r="AF152" s="3"/>
      <c r="AG152" s="7"/>
      <c r="AH152" s="7"/>
      <c r="AI152" s="7"/>
      <c r="AJ152" s="7"/>
      <c r="AK152" s="7"/>
      <c r="AL152" s="3"/>
      <c r="AM152" s="9"/>
      <c r="AN152" s="7"/>
      <c r="AO152" s="7"/>
      <c r="AP152" s="7"/>
      <c r="AQ152" s="7"/>
      <c r="AR152" s="9"/>
      <c r="AS152" s="9"/>
      <c r="AT152" s="9"/>
      <c r="AU152" s="3"/>
      <c r="AV152" s="3"/>
      <c r="AW152" s="3"/>
      <c r="AX152" s="3"/>
      <c r="AY152" s="3"/>
      <c r="AZ152" s="3"/>
    </row>
    <row r="153" spans="1:52" x14ac:dyDescent="0.3">
      <c r="A153">
        <v>113</v>
      </c>
      <c r="B153" s="1" t="s">
        <v>151</v>
      </c>
      <c r="C153" s="1" t="s">
        <v>160</v>
      </c>
      <c r="D153" s="2">
        <v>41955</v>
      </c>
      <c r="E153" s="3">
        <v>28</v>
      </c>
      <c r="F153" s="4">
        <f t="shared" si="18"/>
        <v>4281.016071621184</v>
      </c>
      <c r="G153" s="7">
        <v>12.13</v>
      </c>
      <c r="H153" s="7">
        <v>251.69</v>
      </c>
      <c r="I153" s="7">
        <f t="shared" si="19"/>
        <v>239.56</v>
      </c>
      <c r="J153" s="7">
        <v>228.24</v>
      </c>
      <c r="K153" s="5">
        <f t="shared" si="20"/>
        <v>4.7253297712472841</v>
      </c>
      <c r="L153" s="4">
        <f t="shared" si="21"/>
        <v>4078.7239446769872</v>
      </c>
      <c r="M153" s="2">
        <v>41957</v>
      </c>
      <c r="N153" s="7">
        <v>1.42</v>
      </c>
      <c r="O153" s="7">
        <f t="shared" si="39"/>
        <v>2.970566676660964</v>
      </c>
      <c r="P153" s="7">
        <v>0.93699999999999994</v>
      </c>
      <c r="Q153" s="7">
        <v>1.6220000000000003</v>
      </c>
      <c r="R153" s="6">
        <f t="shared" si="23"/>
        <v>0.31542803174956013</v>
      </c>
      <c r="S153" s="6">
        <f t="shared" si="24"/>
        <v>0.54602376467213098</v>
      </c>
      <c r="T153" s="6">
        <f t="shared" si="25"/>
        <v>0.13854820357830888</v>
      </c>
      <c r="U153" s="4">
        <f t="shared" si="32"/>
        <v>1350.3524733597039</v>
      </c>
      <c r="V153" s="4">
        <f t="shared" si="33"/>
        <v>2337.5365120484962</v>
      </c>
      <c r="W153" s="4">
        <f t="shared" si="26"/>
        <v>3687.8889854081999</v>
      </c>
      <c r="X153" s="4">
        <f t="shared" si="27"/>
        <v>1286.5438659192639</v>
      </c>
      <c r="Y153" s="4">
        <f t="shared" si="28"/>
        <v>2227.0802033308933</v>
      </c>
      <c r="Z153" s="4">
        <f t="shared" si="29"/>
        <v>3513.6240692501569</v>
      </c>
      <c r="AF153" s="3"/>
      <c r="AG153" s="7"/>
      <c r="AH153" s="7"/>
      <c r="AI153" s="7"/>
      <c r="AJ153" s="7"/>
      <c r="AK153" s="7"/>
      <c r="AL153" s="3"/>
      <c r="AM153" s="9"/>
      <c r="AN153" s="7"/>
      <c r="AO153" s="7"/>
      <c r="AP153" s="7"/>
      <c r="AQ153" s="7"/>
      <c r="AR153" s="9"/>
      <c r="AS153" s="9"/>
      <c r="AT153" s="9"/>
      <c r="AU153" s="3"/>
      <c r="AV153" s="3"/>
      <c r="AW153" s="3"/>
      <c r="AX153" s="3"/>
      <c r="AY153" s="3"/>
      <c r="AZ153" s="3"/>
    </row>
    <row r="154" spans="1:52" x14ac:dyDescent="0.3">
      <c r="A154">
        <v>114</v>
      </c>
      <c r="B154" s="1" t="s">
        <v>152</v>
      </c>
      <c r="C154" s="1" t="s">
        <v>160</v>
      </c>
      <c r="D154" s="2">
        <v>41955</v>
      </c>
      <c r="E154" s="3">
        <v>34.699999999999996</v>
      </c>
      <c r="F154" s="4">
        <f t="shared" si="18"/>
        <v>5305.4020601876809</v>
      </c>
      <c r="G154" s="7">
        <v>11.95</v>
      </c>
      <c r="H154" s="7">
        <v>223.65</v>
      </c>
      <c r="I154" s="7">
        <f t="shared" si="19"/>
        <v>211.70000000000002</v>
      </c>
      <c r="J154" s="7">
        <v>202.16</v>
      </c>
      <c r="K154" s="5">
        <f t="shared" si="20"/>
        <v>4.5063769485120542</v>
      </c>
      <c r="L154" s="4">
        <f t="shared" si="21"/>
        <v>5066.3206447214998</v>
      </c>
      <c r="M154" s="2">
        <v>41957</v>
      </c>
      <c r="N154" s="7">
        <v>1.57</v>
      </c>
      <c r="O154" s="7">
        <f t="shared" si="39"/>
        <v>3.3012603396885307</v>
      </c>
      <c r="P154" s="7">
        <v>1.1890000000000001</v>
      </c>
      <c r="Q154" s="7">
        <v>1.8740000000000001</v>
      </c>
      <c r="R154" s="6">
        <f t="shared" si="23"/>
        <v>0.36016547550205646</v>
      </c>
      <c r="S154" s="6">
        <f t="shared" si="24"/>
        <v>0.56766198577868276</v>
      </c>
      <c r="T154" s="6">
        <f t="shared" si="25"/>
        <v>7.217253871926077E-2</v>
      </c>
      <c r="U154" s="4">
        <f t="shared" si="32"/>
        <v>1910.8226557370861</v>
      </c>
      <c r="V154" s="4">
        <f t="shared" si="33"/>
        <v>3011.6750688404536</v>
      </c>
      <c r="W154" s="4">
        <f t="shared" si="26"/>
        <v>4922.4977245775399</v>
      </c>
      <c r="X154" s="4">
        <f t="shared" si="27"/>
        <v>1824.7137840520043</v>
      </c>
      <c r="Y154" s="4">
        <f t="shared" si="28"/>
        <v>2875.9576377741428</v>
      </c>
      <c r="Z154" s="4">
        <f t="shared" si="29"/>
        <v>4700.6714218261468</v>
      </c>
      <c r="AF154" s="3"/>
      <c r="AG154" s="7"/>
      <c r="AH154" s="7"/>
      <c r="AI154" s="7"/>
      <c r="AJ154" s="7"/>
      <c r="AK154" s="7"/>
      <c r="AL154" s="3"/>
      <c r="AM154" s="9"/>
      <c r="AN154" s="7"/>
      <c r="AO154" s="7"/>
      <c r="AP154" s="7"/>
      <c r="AQ154" s="7"/>
      <c r="AR154" s="9"/>
      <c r="AS154" s="9"/>
      <c r="AT154" s="9"/>
      <c r="AU154" s="3"/>
      <c r="AV154" s="3"/>
      <c r="AW154" s="3"/>
      <c r="AX154" s="3"/>
      <c r="AY154" s="3"/>
      <c r="AZ154" s="3"/>
    </row>
    <row r="155" spans="1:52" x14ac:dyDescent="0.3">
      <c r="A155">
        <v>115</v>
      </c>
      <c r="B155" s="1" t="s">
        <v>153</v>
      </c>
      <c r="C155" s="1" t="s">
        <v>160</v>
      </c>
      <c r="D155" s="2">
        <v>41955</v>
      </c>
      <c r="E155" s="3">
        <v>30.8</v>
      </c>
      <c r="F155" s="4">
        <f t="shared" si="18"/>
        <v>4709.1176787833019</v>
      </c>
      <c r="G155" s="7">
        <v>12</v>
      </c>
      <c r="H155" s="7">
        <v>229.05</v>
      </c>
      <c r="I155" s="7">
        <f t="shared" si="19"/>
        <v>217.05</v>
      </c>
      <c r="J155" s="7">
        <v>206.95</v>
      </c>
      <c r="K155" s="5">
        <f t="shared" si="20"/>
        <v>4.6533056899332053</v>
      </c>
      <c r="L155" s="4">
        <f t="shared" si="21"/>
        <v>4489.9880378908283</v>
      </c>
      <c r="M155" s="2">
        <v>41957</v>
      </c>
      <c r="N155" s="7">
        <v>1.56</v>
      </c>
      <c r="O155" s="7">
        <f t="shared" si="39"/>
        <v>3.2792140954866928</v>
      </c>
      <c r="P155" s="7">
        <v>1.1259999999999999</v>
      </c>
      <c r="Q155" s="7">
        <v>1.8109999999999995</v>
      </c>
      <c r="R155" s="6">
        <f t="shared" si="23"/>
        <v>0.34337495729533385</v>
      </c>
      <c r="S155" s="6">
        <f t="shared" si="24"/>
        <v>0.55226647216860514</v>
      </c>
      <c r="T155" s="6">
        <f t="shared" si="25"/>
        <v>0.10435857053606101</v>
      </c>
      <c r="U155" s="4">
        <f t="shared" si="32"/>
        <v>1616.9930818509179</v>
      </c>
      <c r="V155" s="4">
        <f t="shared" si="33"/>
        <v>2600.6878074884648</v>
      </c>
      <c r="W155" s="4">
        <f t="shared" si="26"/>
        <v>4217.6808893393827</v>
      </c>
      <c r="X155" s="4">
        <f t="shared" si="27"/>
        <v>1541.749450767323</v>
      </c>
      <c r="Y155" s="4">
        <f t="shared" si="28"/>
        <v>2479.6698537652051</v>
      </c>
      <c r="Z155" s="4">
        <f t="shared" si="29"/>
        <v>4021.4193045325283</v>
      </c>
      <c r="AF155" s="3"/>
      <c r="AG155" s="7"/>
      <c r="AH155" s="7"/>
      <c r="AI155" s="7"/>
      <c r="AJ155" s="7"/>
      <c r="AK155" s="7"/>
      <c r="AL155" s="3"/>
      <c r="AM155" s="9"/>
      <c r="AN155" s="7"/>
      <c r="AO155" s="7"/>
      <c r="AP155" s="7"/>
      <c r="AQ155" s="7"/>
      <c r="AR155" s="9"/>
      <c r="AS155" s="9"/>
      <c r="AT155" s="9"/>
      <c r="AU155" s="3"/>
      <c r="AV155" s="3"/>
      <c r="AW155" s="3"/>
      <c r="AX155" s="3"/>
      <c r="AY155" s="3"/>
      <c r="AZ155" s="3"/>
    </row>
    <row r="156" spans="1:52" x14ac:dyDescent="0.3">
      <c r="A156">
        <v>116</v>
      </c>
      <c r="B156" s="1" t="s">
        <v>154</v>
      </c>
      <c r="C156" s="1" t="s">
        <v>160</v>
      </c>
      <c r="D156" s="2">
        <v>41955</v>
      </c>
      <c r="E156" s="3">
        <v>24.2</v>
      </c>
      <c r="F156" s="4">
        <f t="shared" si="18"/>
        <v>3700.0210333297377</v>
      </c>
      <c r="G156" s="7">
        <v>11.96</v>
      </c>
      <c r="H156" s="7">
        <v>231.31</v>
      </c>
      <c r="I156" s="7">
        <f t="shared" si="19"/>
        <v>219.35</v>
      </c>
      <c r="J156" s="7">
        <v>209.63</v>
      </c>
      <c r="K156" s="5">
        <f t="shared" si="20"/>
        <v>4.4312742192842487</v>
      </c>
      <c r="L156" s="4">
        <f t="shared" si="21"/>
        <v>3536.062955171702</v>
      </c>
      <c r="M156" s="2">
        <v>41957</v>
      </c>
      <c r="N156" s="7">
        <v>1.36</v>
      </c>
      <c r="O156" s="7">
        <f t="shared" si="39"/>
        <v>2.8382892114499376</v>
      </c>
      <c r="P156" s="7">
        <v>0.99999999999999989</v>
      </c>
      <c r="Q156" s="7">
        <v>1.5589999999999997</v>
      </c>
      <c r="R156" s="6">
        <f t="shared" si="23"/>
        <v>0.35232491317865056</v>
      </c>
      <c r="S156" s="6">
        <f t="shared" si="24"/>
        <v>0.5492745396455162</v>
      </c>
      <c r="T156" s="6">
        <f t="shared" si="25"/>
        <v>9.8400547175833242E-2</v>
      </c>
      <c r="U156" s="4">
        <f t="shared" si="32"/>
        <v>1303.6095893270808</v>
      </c>
      <c r="V156" s="4">
        <f t="shared" si="33"/>
        <v>2032.3273497609189</v>
      </c>
      <c r="W156" s="4">
        <f t="shared" si="26"/>
        <v>3335.9369390879997</v>
      </c>
      <c r="X156" s="4">
        <f t="shared" si="27"/>
        <v>1245.8430736751125</v>
      </c>
      <c r="Y156" s="4">
        <f t="shared" si="28"/>
        <v>1942.2693518595001</v>
      </c>
      <c r="Z156" s="4">
        <f t="shared" si="29"/>
        <v>3188.1124255346126</v>
      </c>
      <c r="AF156" s="3"/>
      <c r="AG156" s="7"/>
      <c r="AH156" s="7"/>
      <c r="AI156" s="7"/>
      <c r="AJ156" s="7"/>
      <c r="AK156" s="7"/>
      <c r="AL156" s="3"/>
      <c r="AM156" s="9"/>
      <c r="AN156" s="9"/>
      <c r="AO156" s="3"/>
      <c r="AP156" s="3"/>
      <c r="AQ156" s="3"/>
      <c r="AR156" s="9"/>
      <c r="AS156" s="9"/>
      <c r="AT156" s="9"/>
      <c r="AU156" s="3"/>
      <c r="AV156" s="3"/>
      <c r="AW156" s="3"/>
      <c r="AX156" s="3"/>
      <c r="AY156" s="3"/>
      <c r="AZ156" s="3"/>
    </row>
    <row r="157" spans="1:52" x14ac:dyDescent="0.3">
      <c r="A157">
        <v>117</v>
      </c>
      <c r="B157" s="1" t="s">
        <v>155</v>
      </c>
      <c r="C157" s="1" t="s">
        <v>160</v>
      </c>
      <c r="D157" s="2">
        <v>41955</v>
      </c>
      <c r="E157" s="3">
        <v>29.599999999999998</v>
      </c>
      <c r="F157" s="4">
        <f t="shared" si="18"/>
        <v>4525.6455614281085</v>
      </c>
      <c r="G157" s="7">
        <v>12.14</v>
      </c>
      <c r="H157" s="7">
        <v>224.64</v>
      </c>
      <c r="I157" s="7">
        <f t="shared" si="19"/>
        <v>212.5</v>
      </c>
      <c r="J157" s="7">
        <v>200.97</v>
      </c>
      <c r="K157" s="5">
        <f t="shared" si="20"/>
        <v>5.4258823529411773</v>
      </c>
      <c r="L157" s="4">
        <f t="shared" si="21"/>
        <v>4280.0893575539149</v>
      </c>
      <c r="M157" s="2">
        <v>41957</v>
      </c>
      <c r="N157" s="7">
        <v>1.29</v>
      </c>
      <c r="O157" s="7">
        <f t="shared" si="39"/>
        <v>2.683965502037073</v>
      </c>
      <c r="P157" s="7">
        <v>0.93699999999999994</v>
      </c>
      <c r="Q157" s="7">
        <v>1.496</v>
      </c>
      <c r="R157" s="6">
        <f t="shared" si="23"/>
        <v>0.34911029940170124</v>
      </c>
      <c r="S157" s="6">
        <f t="shared" si="24"/>
        <v>0.55738421334572585</v>
      </c>
      <c r="T157" s="6">
        <f t="shared" si="25"/>
        <v>9.3505487252572905E-2</v>
      </c>
      <c r="U157" s="4">
        <f t="shared" si="32"/>
        <v>1579.9494769361472</v>
      </c>
      <c r="V157" s="4">
        <f t="shared" si="33"/>
        <v>2522.523391138182</v>
      </c>
      <c r="W157" s="4">
        <f t="shared" si="26"/>
        <v>4102.4728680743292</v>
      </c>
      <c r="X157" s="4">
        <f t="shared" si="27"/>
        <v>1494.2232770816822</v>
      </c>
      <c r="Y157" s="4">
        <f t="shared" si="28"/>
        <v>2385.654239609602</v>
      </c>
      <c r="Z157" s="4">
        <f t="shared" si="29"/>
        <v>3879.8775166912842</v>
      </c>
      <c r="AF157" s="3"/>
      <c r="AG157" s="7"/>
      <c r="AH157" s="7"/>
      <c r="AI157" s="7"/>
      <c r="AJ157" s="7"/>
      <c r="AK157" s="7"/>
      <c r="AL157" s="3"/>
      <c r="AM157" s="9"/>
      <c r="AN157" s="9"/>
      <c r="AO157" s="3"/>
      <c r="AP157" s="3"/>
      <c r="AQ157" s="3"/>
      <c r="AU157" s="3"/>
      <c r="AV157" s="3"/>
      <c r="AW157" s="3"/>
      <c r="AX157" s="3"/>
      <c r="AY157" s="3"/>
      <c r="AZ157" s="3"/>
    </row>
    <row r="158" spans="1:52" x14ac:dyDescent="0.3">
      <c r="A158">
        <v>118</v>
      </c>
      <c r="B158" s="1" t="s">
        <v>156</v>
      </c>
      <c r="C158" s="1" t="s">
        <v>160</v>
      </c>
      <c r="D158" s="2">
        <v>41955</v>
      </c>
      <c r="E158" s="3">
        <v>30.400000000000002</v>
      </c>
      <c r="F158" s="4">
        <f t="shared" si="18"/>
        <v>4647.9603063315717</v>
      </c>
      <c r="G158" s="7">
        <v>12.15</v>
      </c>
      <c r="H158" s="7">
        <v>247.06</v>
      </c>
      <c r="I158" s="7">
        <f t="shared" si="19"/>
        <v>234.91</v>
      </c>
      <c r="J158" s="7">
        <v>227.23</v>
      </c>
      <c r="K158" s="5">
        <f t="shared" si="20"/>
        <v>3.2693371929675226</v>
      </c>
      <c r="L158" s="4">
        <f t="shared" si="21"/>
        <v>4496.0028113223061</v>
      </c>
      <c r="M158" s="2">
        <v>41957</v>
      </c>
      <c r="N158" s="7">
        <v>1.52</v>
      </c>
      <c r="O158" s="7">
        <f t="shared" si="39"/>
        <v>3.1910291186793418</v>
      </c>
      <c r="P158" s="7">
        <v>1.1259999999999999</v>
      </c>
      <c r="Q158" s="7">
        <v>1.7479999999999998</v>
      </c>
      <c r="R158" s="6">
        <f t="shared" si="23"/>
        <v>0.35286421969913356</v>
      </c>
      <c r="S158" s="6">
        <f t="shared" si="24"/>
        <v>0.54778566255247374</v>
      </c>
      <c r="T158" s="6">
        <f t="shared" si="25"/>
        <v>9.9350117748392641E-2</v>
      </c>
      <c r="U158" s="4">
        <f t="shared" si="32"/>
        <v>1640.0988866862358</v>
      </c>
      <c r="V158" s="4">
        <f t="shared" si="33"/>
        <v>2546.086015921439</v>
      </c>
      <c r="W158" s="4">
        <f t="shared" si="26"/>
        <v>4186.1849026076743</v>
      </c>
      <c r="X158" s="4">
        <f t="shared" si="27"/>
        <v>1586.4785237823564</v>
      </c>
      <c r="Y158" s="4">
        <f t="shared" si="28"/>
        <v>2462.8458788379739</v>
      </c>
      <c r="Z158" s="4">
        <f t="shared" si="29"/>
        <v>4049.3244026203301</v>
      </c>
      <c r="AF158" s="3"/>
      <c r="AH158" s="7"/>
      <c r="AI158" s="7"/>
      <c r="AJ158" s="7"/>
      <c r="AK158" s="7"/>
      <c r="AL158" s="3"/>
      <c r="AM158" s="9"/>
      <c r="AN158" s="9"/>
      <c r="AO158" s="3"/>
      <c r="AP158" s="3"/>
      <c r="AQ158" s="3"/>
      <c r="AU158" s="3"/>
      <c r="AV158" s="3"/>
      <c r="AW158" s="3"/>
      <c r="AX158" s="3"/>
      <c r="AY158" s="3"/>
      <c r="AZ158" s="3"/>
    </row>
    <row r="159" spans="1:52" x14ac:dyDescent="0.3">
      <c r="A159">
        <v>119</v>
      </c>
      <c r="B159" s="1" t="s">
        <v>157</v>
      </c>
      <c r="C159" s="1" t="s">
        <v>160</v>
      </c>
      <c r="D159" s="2">
        <v>41955</v>
      </c>
      <c r="E159" s="3">
        <v>23.599999999999998</v>
      </c>
      <c r="F159" s="4">
        <f t="shared" si="18"/>
        <v>3608.2849746521406</v>
      </c>
      <c r="G159" s="7">
        <v>12.06</v>
      </c>
      <c r="H159" s="7">
        <v>268.10000000000002</v>
      </c>
      <c r="I159" s="7">
        <f t="shared" si="19"/>
        <v>256.04000000000002</v>
      </c>
      <c r="J159" s="7">
        <v>244.98</v>
      </c>
      <c r="K159" s="5">
        <f t="shared" si="20"/>
        <v>4.3196375566317879</v>
      </c>
      <c r="L159" s="4">
        <f t="shared" si="21"/>
        <v>3452.4201417367649</v>
      </c>
      <c r="M159" s="2">
        <v>41957</v>
      </c>
      <c r="N159" s="7">
        <v>1.3</v>
      </c>
      <c r="O159" s="7">
        <f t="shared" si="39"/>
        <v>2.7060117462389108</v>
      </c>
      <c r="P159" s="7">
        <v>0.874</v>
      </c>
      <c r="Q159" s="7">
        <v>1.496</v>
      </c>
      <c r="R159" s="6">
        <f t="shared" si="23"/>
        <v>0.3229845551168703</v>
      </c>
      <c r="S159" s="6">
        <f t="shared" si="24"/>
        <v>0.55284312866686269</v>
      </c>
      <c r="T159" s="6">
        <f t="shared" si="25"/>
        <v>0.12417231621626701</v>
      </c>
      <c r="U159" s="4">
        <f t="shared" si="32"/>
        <v>1165.4203172729092</v>
      </c>
      <c r="V159" s="4">
        <f t="shared" si="33"/>
        <v>1994.8155545083207</v>
      </c>
      <c r="W159" s="4">
        <f t="shared" si="26"/>
        <v>3160.2358717812299</v>
      </c>
      <c r="X159" s="4">
        <f t="shared" si="27"/>
        <v>1115.0783835553714</v>
      </c>
      <c r="Y159" s="4">
        <f t="shared" si="28"/>
        <v>1908.6467526302467</v>
      </c>
      <c r="Z159" s="4">
        <f t="shared" si="29"/>
        <v>3023.7251361856179</v>
      </c>
      <c r="AF159" s="3"/>
      <c r="AH159" s="7"/>
      <c r="AI159" s="7"/>
      <c r="AJ159" s="7"/>
      <c r="AK159" s="7"/>
      <c r="AL159" s="3"/>
      <c r="AM159" s="9"/>
      <c r="AN159" s="9"/>
      <c r="AO159" s="3"/>
      <c r="AP159" s="3"/>
      <c r="AQ159" s="3"/>
      <c r="AU159" s="3"/>
      <c r="AV159" s="3"/>
      <c r="AW159" s="3"/>
      <c r="AX159" s="3"/>
      <c r="AY159" s="3"/>
      <c r="AZ159" s="3"/>
    </row>
    <row r="160" spans="1:52" x14ac:dyDescent="0.3">
      <c r="A160">
        <v>120</v>
      </c>
      <c r="B160" s="1" t="s">
        <v>158</v>
      </c>
      <c r="C160" s="1" t="s">
        <v>160</v>
      </c>
      <c r="D160" s="2">
        <v>41955</v>
      </c>
      <c r="E160" s="3">
        <v>21.2</v>
      </c>
      <c r="F160" s="4">
        <f t="shared" si="18"/>
        <v>3241.3407399417538</v>
      </c>
      <c r="G160" s="7">
        <v>12.12</v>
      </c>
      <c r="H160" s="7">
        <v>238.82</v>
      </c>
      <c r="I160" s="7">
        <f t="shared" si="19"/>
        <v>226.7</v>
      </c>
      <c r="J160" s="7">
        <v>216.26</v>
      </c>
      <c r="K160" s="5">
        <f t="shared" si="20"/>
        <v>4.6052051168945738</v>
      </c>
      <c r="L160" s="4">
        <f t="shared" si="21"/>
        <v>3092.0703503299678</v>
      </c>
      <c r="M160" s="2">
        <v>41957</v>
      </c>
      <c r="N160" s="7">
        <v>1.57</v>
      </c>
      <c r="O160" s="7">
        <f t="shared" si="39"/>
        <v>3.3012603396885307</v>
      </c>
      <c r="P160" s="7">
        <v>1.1259999999999999</v>
      </c>
      <c r="Q160" s="7">
        <v>1.8109999999999995</v>
      </c>
      <c r="R160" s="6">
        <f t="shared" si="23"/>
        <v>0.34108185484887765</v>
      </c>
      <c r="S160" s="6">
        <f t="shared" si="24"/>
        <v>0.54857836512550384</v>
      </c>
      <c r="T160" s="6">
        <f t="shared" si="25"/>
        <v>0.11033978002561851</v>
      </c>
      <c r="U160" s="4">
        <f t="shared" si="32"/>
        <v>1105.5625117765669</v>
      </c>
      <c r="V160" s="4">
        <f t="shared" si="33"/>
        <v>1778.1294039319382</v>
      </c>
      <c r="W160" s="4">
        <f t="shared" si="26"/>
        <v>2883.6919157085049</v>
      </c>
      <c r="X160" s="4">
        <f t="shared" si="27"/>
        <v>1054.6490904137643</v>
      </c>
      <c r="Y160" s="4">
        <f t="shared" si="28"/>
        <v>1696.2428976370577</v>
      </c>
      <c r="Z160" s="4">
        <f t="shared" si="29"/>
        <v>2750.891988050822</v>
      </c>
      <c r="AF160" s="3"/>
      <c r="AH160" s="7"/>
      <c r="AI160" s="7"/>
      <c r="AJ160" s="7"/>
      <c r="AK160" s="7"/>
      <c r="AL160" s="3"/>
      <c r="AM160" s="9"/>
      <c r="AN160" s="9"/>
      <c r="AO160" s="3"/>
      <c r="AP160" s="3"/>
      <c r="AQ160" s="3"/>
      <c r="AU160" s="3"/>
      <c r="AV160" s="3"/>
      <c r="AW160" s="3"/>
      <c r="AX160" s="3"/>
      <c r="AY160" s="3"/>
      <c r="AZ160" s="3"/>
    </row>
    <row r="161" spans="1:43" x14ac:dyDescent="0.3">
      <c r="A161">
        <v>121</v>
      </c>
      <c r="B161" s="1" t="s">
        <v>159</v>
      </c>
      <c r="C161" s="1" t="s">
        <v>160</v>
      </c>
      <c r="D161" s="2">
        <v>41955</v>
      </c>
      <c r="E161" s="3">
        <v>24.400000000000002</v>
      </c>
      <c r="F161" s="4">
        <f t="shared" si="18"/>
        <v>3730.5997195556033</v>
      </c>
      <c r="G161" s="7">
        <v>12.08</v>
      </c>
      <c r="H161" s="7">
        <v>216.36</v>
      </c>
      <c r="I161" s="7">
        <f t="shared" si="19"/>
        <v>204.28</v>
      </c>
      <c r="J161" s="7">
        <v>194.69</v>
      </c>
      <c r="K161" s="5">
        <f t="shared" si="20"/>
        <v>4.6945369101233618</v>
      </c>
      <c r="L161" s="4">
        <f t="shared" si="21"/>
        <v>3555.4653387521071</v>
      </c>
      <c r="M161" s="2">
        <v>41957</v>
      </c>
      <c r="N161" s="7">
        <v>2.04</v>
      </c>
      <c r="O161" s="7">
        <f t="shared" si="39"/>
        <v>4.3374338171749063</v>
      </c>
      <c r="P161" s="7">
        <v>1.5590000000000002</v>
      </c>
      <c r="Q161" s="7">
        <v>2.4330000000000003</v>
      </c>
      <c r="R161" s="6">
        <f t="shared" si="23"/>
        <v>0.35942911539695171</v>
      </c>
      <c r="S161" s="6">
        <f t="shared" si="24"/>
        <v>0.5609307490447617</v>
      </c>
      <c r="T161" s="6">
        <f t="shared" si="25"/>
        <v>7.9640135558286529E-2</v>
      </c>
      <c r="U161" s="4">
        <f t="shared" si="32"/>
        <v>1340.8861570999866</v>
      </c>
      <c r="V161" s="4">
        <f t="shared" si="33"/>
        <v>2092.6080950765027</v>
      </c>
      <c r="W161" s="4">
        <f t="shared" si="26"/>
        <v>3433.4942521764892</v>
      </c>
      <c r="X161" s="4">
        <f t="shared" si="27"/>
        <v>1277.937761532193</v>
      </c>
      <c r="Y161" s="4">
        <f t="shared" si="28"/>
        <v>1994.3698356689067</v>
      </c>
      <c r="Z161" s="4">
        <f t="shared" si="29"/>
        <v>3272.3075972010997</v>
      </c>
      <c r="AF161" s="3"/>
      <c r="AG161" s="8"/>
      <c r="AH161" s="7"/>
      <c r="AI161" s="7"/>
      <c r="AJ161" s="7"/>
      <c r="AK161" s="7"/>
      <c r="AL161" s="9"/>
      <c r="AM161" s="9"/>
      <c r="AN161" s="9"/>
      <c r="AO161" s="3"/>
      <c r="AP161" s="3"/>
      <c r="AQ16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174ED-B270-4962-A7F2-21DE7C85D8A3}">
  <dimension ref="A1:Y17"/>
  <sheetViews>
    <sheetView workbookViewId="0"/>
  </sheetViews>
  <sheetFormatPr defaultRowHeight="14.4" x14ac:dyDescent="0.3"/>
  <cols>
    <col min="3" max="5" width="10.5546875" bestFit="1" customWidth="1"/>
    <col min="7" max="7" width="10.5546875" bestFit="1" customWidth="1"/>
    <col min="12" max="12" width="10.5546875" bestFit="1" customWidth="1"/>
    <col min="16" max="16" width="9.5546875" bestFit="1" customWidth="1"/>
  </cols>
  <sheetData>
    <row r="1" spans="1:25" x14ac:dyDescent="0.3">
      <c r="A1" s="1"/>
      <c r="B1" s="1" t="s">
        <v>0</v>
      </c>
      <c r="C1" s="1" t="s">
        <v>0</v>
      </c>
      <c r="D1" t="s">
        <v>0</v>
      </c>
      <c r="E1" s="1" t="s">
        <v>0</v>
      </c>
      <c r="F1" t="s">
        <v>174</v>
      </c>
      <c r="G1" t="s">
        <v>174</v>
      </c>
      <c r="H1" t="s">
        <v>174</v>
      </c>
      <c r="I1" t="s">
        <v>174</v>
      </c>
      <c r="J1" s="1" t="s">
        <v>174</v>
      </c>
      <c r="K1" s="1" t="s">
        <v>174</v>
      </c>
      <c r="L1" s="1" t="s">
        <v>7</v>
      </c>
      <c r="M1" t="s">
        <v>7</v>
      </c>
      <c r="N1" t="s">
        <v>7</v>
      </c>
      <c r="O1" t="s">
        <v>7</v>
      </c>
      <c r="P1" t="s">
        <v>7</v>
      </c>
      <c r="Q1" s="1" t="s">
        <v>7</v>
      </c>
      <c r="R1" s="1" t="s">
        <v>7</v>
      </c>
      <c r="S1" s="1" t="s">
        <v>7</v>
      </c>
      <c r="T1" s="1" t="s">
        <v>16</v>
      </c>
      <c r="U1" s="1" t="s">
        <v>16</v>
      </c>
      <c r="V1" s="1" t="s">
        <v>16</v>
      </c>
      <c r="W1" s="1" t="s">
        <v>16</v>
      </c>
      <c r="X1" s="1" t="s">
        <v>16</v>
      </c>
      <c r="Y1" s="1" t="s">
        <v>16</v>
      </c>
    </row>
    <row r="2" spans="1:25" x14ac:dyDescent="0.3">
      <c r="A2" s="1"/>
      <c r="B2" s="1"/>
      <c r="C2" s="1"/>
      <c r="E2" s="1"/>
      <c r="G2" t="s">
        <v>177</v>
      </c>
      <c r="H2" t="s">
        <v>178</v>
      </c>
      <c r="I2" t="s">
        <v>179</v>
      </c>
      <c r="J2" s="1"/>
      <c r="K2" s="1"/>
      <c r="L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3">
      <c r="A3" s="1"/>
      <c r="B3" s="1"/>
      <c r="C3" s="1"/>
      <c r="D3" t="s">
        <v>1</v>
      </c>
      <c r="E3" s="1"/>
      <c r="F3" t="s">
        <v>175</v>
      </c>
      <c r="G3" t="s">
        <v>176</v>
      </c>
      <c r="H3" t="s">
        <v>8</v>
      </c>
      <c r="I3" t="s">
        <v>8</v>
      </c>
      <c r="J3" s="1"/>
      <c r="K3" s="1"/>
      <c r="L3" s="1" t="s">
        <v>24</v>
      </c>
      <c r="M3" t="s">
        <v>8</v>
      </c>
      <c r="N3" t="s">
        <v>183</v>
      </c>
      <c r="O3" t="s">
        <v>10</v>
      </c>
      <c r="P3" t="s">
        <v>11</v>
      </c>
      <c r="Q3" s="1"/>
      <c r="R3" s="1"/>
      <c r="S3" s="1"/>
      <c r="T3" s="1"/>
      <c r="U3" s="1"/>
      <c r="V3" s="1"/>
      <c r="W3" s="1"/>
      <c r="X3" s="1"/>
      <c r="Y3" s="1"/>
    </row>
    <row r="4" spans="1:25" x14ac:dyDescent="0.3">
      <c r="A4" s="1" t="s">
        <v>20</v>
      </c>
      <c r="B4" s="1" t="s">
        <v>21</v>
      </c>
      <c r="C4" s="1" t="s">
        <v>2</v>
      </c>
      <c r="D4" t="s">
        <v>171</v>
      </c>
      <c r="E4" s="1" t="s">
        <v>3</v>
      </c>
      <c r="F4" t="s">
        <v>176</v>
      </c>
      <c r="G4" t="s">
        <v>162</v>
      </c>
      <c r="H4" t="s">
        <v>166</v>
      </c>
      <c r="I4" t="s">
        <v>166</v>
      </c>
      <c r="J4" s="1" t="s">
        <v>180</v>
      </c>
      <c r="K4" s="1" t="s">
        <v>181</v>
      </c>
      <c r="L4" s="1" t="s">
        <v>25</v>
      </c>
      <c r="M4" t="s">
        <v>164</v>
      </c>
      <c r="N4" t="s">
        <v>184</v>
      </c>
      <c r="O4" t="s">
        <v>184</v>
      </c>
      <c r="P4" t="s">
        <v>185</v>
      </c>
      <c r="Q4" s="1" t="s">
        <v>12</v>
      </c>
      <c r="R4" s="1" t="s">
        <v>13</v>
      </c>
      <c r="S4" s="1" t="s">
        <v>14</v>
      </c>
      <c r="T4" s="1" t="s">
        <v>17</v>
      </c>
      <c r="U4" s="1" t="s">
        <v>18</v>
      </c>
      <c r="V4" s="1" t="s">
        <v>19</v>
      </c>
      <c r="W4" s="1" t="s">
        <v>186</v>
      </c>
      <c r="X4" s="1" t="s">
        <v>187</v>
      </c>
      <c r="Y4" s="1" t="s">
        <v>188</v>
      </c>
    </row>
    <row r="5" spans="1:25" x14ac:dyDescent="0.3">
      <c r="A5" s="1"/>
      <c r="B5" s="1"/>
      <c r="C5" s="1"/>
      <c r="D5" t="s">
        <v>161</v>
      </c>
      <c r="E5" s="1" t="s">
        <v>4</v>
      </c>
      <c r="F5" t="s">
        <v>9</v>
      </c>
      <c r="G5" t="s">
        <v>9</v>
      </c>
      <c r="H5" t="s">
        <v>9</v>
      </c>
      <c r="I5" t="s">
        <v>9</v>
      </c>
      <c r="J5" s="1" t="s">
        <v>182</v>
      </c>
      <c r="K5" s="5" t="s">
        <v>4</v>
      </c>
      <c r="L5" s="5"/>
      <c r="M5" s="7" t="s">
        <v>38</v>
      </c>
      <c r="N5" s="7" t="s">
        <v>161</v>
      </c>
      <c r="O5" s="7" t="s">
        <v>161</v>
      </c>
      <c r="P5" t="s">
        <v>161</v>
      </c>
      <c r="Q5" s="1" t="s">
        <v>15</v>
      </c>
      <c r="R5" s="1" t="s">
        <v>15</v>
      </c>
      <c r="S5" s="1" t="s">
        <v>15</v>
      </c>
      <c r="T5" s="1" t="s">
        <v>4</v>
      </c>
      <c r="U5" s="1" t="s">
        <v>4</v>
      </c>
      <c r="V5" s="1" t="s">
        <v>4</v>
      </c>
      <c r="W5" s="1" t="s">
        <v>4</v>
      </c>
      <c r="X5" s="1" t="s">
        <v>4</v>
      </c>
      <c r="Y5" s="1" t="s">
        <v>4</v>
      </c>
    </row>
    <row r="6" spans="1:25" x14ac:dyDescent="0.3">
      <c r="A6" s="1" t="s">
        <v>20</v>
      </c>
      <c r="B6" s="1" t="s">
        <v>21</v>
      </c>
      <c r="C6" s="1" t="s">
        <v>2</v>
      </c>
      <c r="E6" s="1" t="s">
        <v>3</v>
      </c>
      <c r="J6" s="1" t="s">
        <v>180</v>
      </c>
      <c r="K6" s="1" t="s">
        <v>181</v>
      </c>
      <c r="L6" s="1" t="s">
        <v>25</v>
      </c>
      <c r="Q6" s="1" t="s">
        <v>12</v>
      </c>
      <c r="R6" s="1" t="s">
        <v>13</v>
      </c>
      <c r="S6" s="1" t="s">
        <v>14</v>
      </c>
      <c r="T6" s="1" t="s">
        <v>17</v>
      </c>
      <c r="U6" s="1" t="s">
        <v>18</v>
      </c>
      <c r="V6" s="1" t="s">
        <v>19</v>
      </c>
      <c r="W6" s="1" t="s">
        <v>186</v>
      </c>
      <c r="X6" s="1" t="s">
        <v>187</v>
      </c>
      <c r="Y6" s="1" t="s">
        <v>188</v>
      </c>
    </row>
    <row r="7" spans="1:25" x14ac:dyDescent="0.3">
      <c r="A7" s="1" t="s">
        <v>167</v>
      </c>
      <c r="B7" s="1" t="s">
        <v>160</v>
      </c>
      <c r="C7" s="10">
        <v>41955</v>
      </c>
      <c r="D7" s="3">
        <v>294.19999999999993</v>
      </c>
      <c r="E7" s="4">
        <v>4159.1273755441734</v>
      </c>
      <c r="F7" s="7">
        <v>131.18</v>
      </c>
      <c r="G7" s="7">
        <v>2563.6699999999996</v>
      </c>
      <c r="H7" s="7">
        <v>2432.4899999999998</v>
      </c>
      <c r="I7" s="7">
        <v>2268.08</v>
      </c>
      <c r="J7" s="5">
        <v>6.7589178167227777</v>
      </c>
      <c r="K7" s="4">
        <v>3878.0153743383239</v>
      </c>
      <c r="L7" s="10">
        <v>41957</v>
      </c>
      <c r="M7" s="7">
        <v>19.660000000000004</v>
      </c>
      <c r="N7" s="7">
        <v>41.582916100813073</v>
      </c>
      <c r="O7" s="7">
        <v>12.378000000000004</v>
      </c>
      <c r="P7" s="7">
        <v>19.983999999999998</v>
      </c>
      <c r="Q7" s="6">
        <v>0.29767032138849869</v>
      </c>
      <c r="R7" s="6">
        <v>0.48058197629889765</v>
      </c>
      <c r="S7" s="6">
        <v>0.22174770231260366</v>
      </c>
      <c r="T7" s="4">
        <v>1238.0487825739372</v>
      </c>
      <c r="U7" s="4">
        <v>1998.8016538178663</v>
      </c>
      <c r="V7" s="4">
        <v>3236.8504363918037</v>
      </c>
      <c r="W7" s="4">
        <v>1154.3700828288279</v>
      </c>
      <c r="X7" s="4">
        <v>1863.7042927170212</v>
      </c>
      <c r="Y7" s="4">
        <v>3018.0743755458489</v>
      </c>
    </row>
    <row r="8" spans="1:25" x14ac:dyDescent="0.3">
      <c r="A8" s="1" t="s">
        <v>28</v>
      </c>
      <c r="B8" s="1" t="s">
        <v>160</v>
      </c>
      <c r="C8" s="10">
        <v>41955</v>
      </c>
      <c r="D8" s="3">
        <v>277.20000000000005</v>
      </c>
      <c r="E8" s="4">
        <v>3918.797105713275</v>
      </c>
      <c r="F8" s="7">
        <v>130.97</v>
      </c>
      <c r="G8" s="7">
        <v>2403.21</v>
      </c>
      <c r="H8" s="7">
        <v>2272.2400000000002</v>
      </c>
      <c r="I8" s="7">
        <v>2136.6</v>
      </c>
      <c r="J8" s="5">
        <v>5.9694398479034048</v>
      </c>
      <c r="K8" s="4">
        <v>3684.8668697263415</v>
      </c>
      <c r="L8" s="10">
        <v>41957</v>
      </c>
      <c r="M8" s="7">
        <v>13.36</v>
      </c>
      <c r="N8" s="7">
        <v>27.853782253655265</v>
      </c>
      <c r="O8" s="7">
        <v>10.189</v>
      </c>
      <c r="P8" s="7">
        <v>15.023</v>
      </c>
      <c r="Q8" s="6">
        <v>0.36580310376566161</v>
      </c>
      <c r="R8" s="6">
        <v>0.53935224535003767</v>
      </c>
      <c r="S8" s="6">
        <v>9.4844650884300719E-2</v>
      </c>
      <c r="T8" s="4">
        <v>1433.5081442978076</v>
      </c>
      <c r="U8" s="4">
        <v>2113.6120180376838</v>
      </c>
      <c r="V8" s="4">
        <v>3547.1201623354914</v>
      </c>
      <c r="W8" s="4">
        <v>1347.9357379091537</v>
      </c>
      <c r="X8" s="4">
        <v>1987.4412200028671</v>
      </c>
      <c r="Y8" s="4">
        <v>3335.3769579120208</v>
      </c>
    </row>
    <row r="9" spans="1:25" x14ac:dyDescent="0.3">
      <c r="A9" s="1" t="s">
        <v>168</v>
      </c>
      <c r="B9" s="1" t="s">
        <v>160</v>
      </c>
      <c r="C9" s="10">
        <v>41955</v>
      </c>
      <c r="D9" s="3">
        <v>439.4</v>
      </c>
      <c r="E9" s="4">
        <v>6107.3976034751568</v>
      </c>
      <c r="F9" s="7">
        <v>131.08999999999997</v>
      </c>
      <c r="G9" s="7">
        <v>2505.6799999999998</v>
      </c>
      <c r="H9" s="7">
        <v>2374.5899999999997</v>
      </c>
      <c r="I9" s="7">
        <v>2247.2799999999997</v>
      </c>
      <c r="J9" s="5">
        <v>5.3613465903587549</v>
      </c>
      <c r="K9" s="4">
        <v>5779.9588503015893</v>
      </c>
      <c r="L9" s="10">
        <v>41957</v>
      </c>
      <c r="M9" s="7">
        <v>17.41</v>
      </c>
      <c r="N9" s="7">
        <v>36.622511155399572</v>
      </c>
      <c r="O9" s="7">
        <v>13.071</v>
      </c>
      <c r="P9" s="7">
        <v>20.047000000000001</v>
      </c>
      <c r="Q9" s="6">
        <v>0.35691162587229713</v>
      </c>
      <c r="R9" s="6">
        <v>0.54739555993129374</v>
      </c>
      <c r="S9" s="6">
        <v>9.5692814196409182E-2</v>
      </c>
      <c r="T9" s="4">
        <v>2179.8012085048895</v>
      </c>
      <c r="U9" s="4">
        <v>3343.1623308773251</v>
      </c>
      <c r="V9" s="4">
        <v>5522.9635393822145</v>
      </c>
      <c r="W9" s="4">
        <v>2062.9345107361137</v>
      </c>
      <c r="X9" s="4">
        <v>3163.9238112406751</v>
      </c>
      <c r="Y9" s="4">
        <v>5226.8583219767888</v>
      </c>
    </row>
    <row r="10" spans="1:25" x14ac:dyDescent="0.3">
      <c r="A10" s="1" t="s">
        <v>29</v>
      </c>
      <c r="B10" s="1" t="s">
        <v>160</v>
      </c>
      <c r="C10" s="10">
        <v>41955</v>
      </c>
      <c r="D10" s="3">
        <v>327.5</v>
      </c>
      <c r="E10" s="4">
        <v>4552.0544268049925</v>
      </c>
      <c r="F10" s="7">
        <v>131.04</v>
      </c>
      <c r="G10" s="7">
        <v>2494.7000000000003</v>
      </c>
      <c r="H10" s="7">
        <v>2363.6600000000003</v>
      </c>
      <c r="I10" s="7">
        <v>2240.48</v>
      </c>
      <c r="J10" s="5">
        <v>5.2114094243673064</v>
      </c>
      <c r="K10" s="4">
        <v>4314.8282334041478</v>
      </c>
      <c r="L10" s="10">
        <v>41957</v>
      </c>
      <c r="M10" s="7">
        <v>17.12</v>
      </c>
      <c r="N10" s="7">
        <v>35.983170073546276</v>
      </c>
      <c r="O10" s="7">
        <v>12.952999999999999</v>
      </c>
      <c r="P10" s="7">
        <v>19.605999999999998</v>
      </c>
      <c r="Q10" s="6">
        <v>0.35997384259155779</v>
      </c>
      <c r="R10" s="6">
        <v>0.54486583477573391</v>
      </c>
      <c r="S10" s="6">
        <v>9.516032263270835E-2</v>
      </c>
      <c r="T10" s="4">
        <v>1638.6205237029042</v>
      </c>
      <c r="U10" s="4">
        <v>2480.2589352056771</v>
      </c>
      <c r="V10" s="4">
        <v>4118.879458908581</v>
      </c>
      <c r="W10" s="4">
        <v>1553.2252993010341</v>
      </c>
      <c r="X10" s="4">
        <v>2351.0024873076563</v>
      </c>
      <c r="Y10" s="4">
        <v>3904.2277866086906</v>
      </c>
    </row>
    <row r="11" spans="1:25" x14ac:dyDescent="0.3">
      <c r="A11" s="1" t="s">
        <v>30</v>
      </c>
      <c r="B11" s="1" t="s">
        <v>160</v>
      </c>
      <c r="C11" s="10">
        <v>41955</v>
      </c>
      <c r="D11" s="3">
        <v>357.9</v>
      </c>
      <c r="E11" s="4">
        <v>4974.5962728351351</v>
      </c>
      <c r="F11" s="7">
        <v>131.14000000000001</v>
      </c>
      <c r="G11" s="7">
        <v>2420.2600000000002</v>
      </c>
      <c r="H11" s="7">
        <v>2289.1200000000003</v>
      </c>
      <c r="I11" s="7">
        <v>2163.81</v>
      </c>
      <c r="J11" s="5">
        <v>5.4741560075487685</v>
      </c>
      <c r="K11" s="4">
        <v>4702.2791121144337</v>
      </c>
      <c r="L11" s="10">
        <v>41957</v>
      </c>
      <c r="M11" s="7">
        <v>18.2</v>
      </c>
      <c r="N11" s="7">
        <v>38.364164447344749</v>
      </c>
      <c r="O11" s="7">
        <v>13.260000000000002</v>
      </c>
      <c r="P11" s="7">
        <v>20.488</v>
      </c>
      <c r="Q11" s="6">
        <v>0.34563505268567762</v>
      </c>
      <c r="R11" s="6">
        <v>0.53404004218885082</v>
      </c>
      <c r="S11" s="6">
        <v>0.12032490512547156</v>
      </c>
      <c r="T11" s="4">
        <v>1719.3948448513474</v>
      </c>
      <c r="U11" s="4">
        <v>2656.6336034173755</v>
      </c>
      <c r="V11" s="4">
        <v>4376.028448268723</v>
      </c>
      <c r="W11" s="4">
        <v>1625.2724886584338</v>
      </c>
      <c r="X11" s="4">
        <v>2511.205335417344</v>
      </c>
      <c r="Y11" s="4">
        <v>4136.4778240757778</v>
      </c>
    </row>
    <row r="12" spans="1:25" x14ac:dyDescent="0.3">
      <c r="A12" s="1" t="s">
        <v>31</v>
      </c>
      <c r="B12" s="1" t="s">
        <v>160</v>
      </c>
      <c r="C12" s="10">
        <v>41955</v>
      </c>
      <c r="D12" s="3">
        <v>158</v>
      </c>
      <c r="E12" s="4">
        <v>2196.1056471303477</v>
      </c>
      <c r="F12" s="7">
        <v>131.32</v>
      </c>
      <c r="G12" s="7">
        <v>2355.56</v>
      </c>
      <c r="H12" s="7">
        <v>2224.2399999999998</v>
      </c>
      <c r="I12" s="7">
        <v>2105.5099999999998</v>
      </c>
      <c r="J12" s="5">
        <v>5.3380030931913831</v>
      </c>
      <c r="K12" s="4">
        <v>2078.8774597567794</v>
      </c>
      <c r="L12" s="10">
        <v>41957</v>
      </c>
      <c r="M12" s="7">
        <v>16.760000000000002</v>
      </c>
      <c r="N12" s="7">
        <v>35.189505282280116</v>
      </c>
      <c r="O12" s="7">
        <v>12.322999999999999</v>
      </c>
      <c r="P12" s="7">
        <v>19.038999999999998</v>
      </c>
      <c r="Q12" s="6">
        <v>0.35018963469785747</v>
      </c>
      <c r="R12" s="6">
        <v>0.54104199099346817</v>
      </c>
      <c r="S12" s="6">
        <v>0.10876837430867436</v>
      </c>
      <c r="T12" s="4">
        <v>769.0534343264784</v>
      </c>
      <c r="U12" s="4">
        <v>1188.1853717554022</v>
      </c>
      <c r="V12" s="4">
        <v>1957.2388060818807</v>
      </c>
      <c r="W12" s="4">
        <v>728.00133821383645</v>
      </c>
      <c r="X12" s="4">
        <v>1124.7599998582514</v>
      </c>
      <c r="Y12" s="4">
        <v>1852.7613380720877</v>
      </c>
    </row>
    <row r="13" spans="1:25" x14ac:dyDescent="0.3">
      <c r="A13" s="1" t="s">
        <v>32</v>
      </c>
      <c r="B13" s="1" t="s">
        <v>160</v>
      </c>
      <c r="C13" s="10">
        <v>41955</v>
      </c>
      <c r="D13" s="3">
        <v>398.09999999999991</v>
      </c>
      <c r="E13" s="4">
        <v>5533.3522665986793</v>
      </c>
      <c r="F13" s="7">
        <v>131.47</v>
      </c>
      <c r="G13" s="7">
        <v>2529.29</v>
      </c>
      <c r="H13" s="7">
        <v>2397.8200000000002</v>
      </c>
      <c r="I13" s="7">
        <v>2283.5099999999998</v>
      </c>
      <c r="J13" s="5">
        <v>4.7672469159486699</v>
      </c>
      <c r="K13" s="4">
        <v>5269.5637013206779</v>
      </c>
      <c r="L13" s="10">
        <v>41957</v>
      </c>
      <c r="M13" s="7">
        <v>17.64</v>
      </c>
      <c r="N13" s="7">
        <v>37.129574772041842</v>
      </c>
      <c r="O13" s="7">
        <v>12.952999999999999</v>
      </c>
      <c r="P13" s="7">
        <v>20.298999999999996</v>
      </c>
      <c r="Q13" s="6">
        <v>0.34885936829401731</v>
      </c>
      <c r="R13" s="6">
        <v>0.54670704215241694</v>
      </c>
      <c r="S13" s="6">
        <v>0.10443358955356574</v>
      </c>
      <c r="T13" s="4">
        <v>1930.3617762738841</v>
      </c>
      <c r="U13" s="4">
        <v>3025.122650859536</v>
      </c>
      <c r="V13" s="4">
        <v>4955.4844271334205</v>
      </c>
      <c r="W13" s="4">
        <v>1838.3366640278155</v>
      </c>
      <c r="X13" s="4">
        <v>2880.9075845827701</v>
      </c>
      <c r="Y13" s="4">
        <v>4719.2442486105856</v>
      </c>
    </row>
    <row r="14" spans="1:25" x14ac:dyDescent="0.3">
      <c r="A14" s="1" t="s">
        <v>33</v>
      </c>
      <c r="B14" s="1" t="s">
        <v>160</v>
      </c>
      <c r="C14" s="10">
        <v>41955</v>
      </c>
      <c r="D14" s="3">
        <v>342</v>
      </c>
      <c r="E14" s="4">
        <v>4753.5957678391069</v>
      </c>
      <c r="F14" s="7">
        <v>131.93</v>
      </c>
      <c r="G14" s="7">
        <v>2491.79</v>
      </c>
      <c r="H14" s="7">
        <v>2359.86</v>
      </c>
      <c r="I14" s="7">
        <v>2241.88</v>
      </c>
      <c r="J14" s="5">
        <v>4.9994491198630433</v>
      </c>
      <c r="K14" s="4">
        <v>4515.9421660620283</v>
      </c>
      <c r="L14" s="10">
        <v>41957</v>
      </c>
      <c r="M14" s="7">
        <v>14.850000000000001</v>
      </c>
      <c r="N14" s="7">
        <v>31.138672639729094</v>
      </c>
      <c r="O14" s="7">
        <v>10.882000000000001</v>
      </c>
      <c r="P14" s="7">
        <v>16.913</v>
      </c>
      <c r="Q14" s="6">
        <v>0.34946897467029198</v>
      </c>
      <c r="R14" s="6">
        <v>0.54315096201053559</v>
      </c>
      <c r="S14" s="6">
        <v>0.10738006331917249</v>
      </c>
      <c r="T14" s="4">
        <v>1661.234238983772</v>
      </c>
      <c r="U14" s="4">
        <v>2581.9201143110213</v>
      </c>
      <c r="V14" s="4">
        <v>4243.1543532947935</v>
      </c>
      <c r="W14" s="4">
        <v>1578.1816784440343</v>
      </c>
      <c r="X14" s="4">
        <v>2452.8383318805327</v>
      </c>
      <c r="Y14" s="4">
        <v>4031.020010324567</v>
      </c>
    </row>
    <row r="15" spans="1:25" x14ac:dyDescent="0.3">
      <c r="A15" s="1" t="s">
        <v>169</v>
      </c>
      <c r="B15" s="1" t="s">
        <v>160</v>
      </c>
      <c r="C15" s="10">
        <v>41955</v>
      </c>
      <c r="D15" s="3">
        <v>323.79999999999995</v>
      </c>
      <c r="E15" s="4">
        <v>4500.6266363342183</v>
      </c>
      <c r="F15" s="7">
        <v>131.85</v>
      </c>
      <c r="G15" s="7">
        <v>2402.79</v>
      </c>
      <c r="H15" s="7">
        <v>2270.94</v>
      </c>
      <c r="I15" s="7">
        <v>2158.6799999999998</v>
      </c>
      <c r="J15" s="5">
        <v>4.9433274326930796</v>
      </c>
      <c r="K15" s="4">
        <v>4278.1459251772176</v>
      </c>
      <c r="L15" s="10">
        <v>41957</v>
      </c>
      <c r="M15" s="7">
        <v>16.219024560000001</v>
      </c>
      <c r="N15" s="7">
        <v>33.996857616536452</v>
      </c>
      <c r="O15" s="7">
        <v>11.945000000000002</v>
      </c>
      <c r="P15" s="7">
        <v>18.535</v>
      </c>
      <c r="Q15" s="6">
        <v>0.3513560028027361</v>
      </c>
      <c r="R15" s="6">
        <v>0.5451974476307001</v>
      </c>
      <c r="S15" s="6">
        <v>0.10344654956656385</v>
      </c>
      <c r="T15" s="4">
        <v>1581.3221850499144</v>
      </c>
      <c r="U15" s="4">
        <v>2453.7301548681589</v>
      </c>
      <c r="V15" s="4">
        <v>4035.0523399180734</v>
      </c>
      <c r="W15" s="4">
        <v>1503.1522516770806</v>
      </c>
      <c r="X15" s="4">
        <v>2332.434238998299</v>
      </c>
      <c r="Y15" s="4">
        <v>3835.5864906753795</v>
      </c>
    </row>
    <row r="16" spans="1:25" x14ac:dyDescent="0.3">
      <c r="A16" s="1" t="s">
        <v>170</v>
      </c>
      <c r="B16" s="1" t="s">
        <v>160</v>
      </c>
      <c r="C16" s="10">
        <v>41955</v>
      </c>
      <c r="D16" s="3">
        <v>288.10000000000002</v>
      </c>
      <c r="E16" s="4">
        <v>4004.4179553054005</v>
      </c>
      <c r="F16" s="7">
        <v>131.15</v>
      </c>
      <c r="G16" s="7">
        <v>2490.8999999999996</v>
      </c>
      <c r="H16" s="7">
        <v>2359.7499999999995</v>
      </c>
      <c r="I16" s="7">
        <v>2254.7199999999998</v>
      </c>
      <c r="J16" s="5">
        <v>4.4508952219514679</v>
      </c>
      <c r="K16" s="4">
        <v>3826.1855078657459</v>
      </c>
      <c r="L16" s="10">
        <v>41957</v>
      </c>
      <c r="M16" s="7">
        <v>16.259936960000001</v>
      </c>
      <c r="N16" s="7">
        <v>34.087054092664779</v>
      </c>
      <c r="O16" s="7">
        <v>11.942</v>
      </c>
      <c r="P16" s="7">
        <v>18.471999999999998</v>
      </c>
      <c r="Q16" s="6">
        <v>0.3503382829016547</v>
      </c>
      <c r="R16" s="6">
        <v>0.54190661210512181</v>
      </c>
      <c r="S16" s="6">
        <v>0.10775510499322349</v>
      </c>
      <c r="T16" s="4">
        <v>1402.9009104822489</v>
      </c>
      <c r="U16" s="4">
        <v>2170.0205676124688</v>
      </c>
      <c r="V16" s="4">
        <v>3572.9214780947177</v>
      </c>
      <c r="W16" s="4">
        <v>1340.4592608888811</v>
      </c>
      <c r="X16" s="4">
        <v>2073.4352258532413</v>
      </c>
      <c r="Y16" s="4">
        <v>3413.8944867421224</v>
      </c>
    </row>
    <row r="17" spans="1:25" x14ac:dyDescent="0.3">
      <c r="A17" s="1" t="s">
        <v>34</v>
      </c>
      <c r="B17" s="1" t="s">
        <v>160</v>
      </c>
      <c r="C17" s="10">
        <v>41955</v>
      </c>
      <c r="D17" s="3">
        <v>293.99999999999994</v>
      </c>
      <c r="E17" s="4">
        <v>4086.424432002038</v>
      </c>
      <c r="F17" s="7">
        <v>132.4</v>
      </c>
      <c r="G17" s="7">
        <v>2566.58</v>
      </c>
      <c r="H17" s="7">
        <v>2434.1799999999998</v>
      </c>
      <c r="I17" s="7">
        <v>2323.5100000000002</v>
      </c>
      <c r="J17" s="5">
        <v>4.5465002588140413</v>
      </c>
      <c r="K17" s="4">
        <v>3900.6351346248248</v>
      </c>
      <c r="L17" s="10">
        <v>41957</v>
      </c>
      <c r="M17" s="7">
        <v>16.169999999999998</v>
      </c>
      <c r="N17" s="7">
        <v>33.888776874371679</v>
      </c>
      <c r="O17" s="7">
        <v>11.684999999999999</v>
      </c>
      <c r="P17" s="7">
        <v>18.779</v>
      </c>
      <c r="Q17" s="6">
        <v>0.34480441838657083</v>
      </c>
      <c r="R17" s="6">
        <v>0.55413625784179843</v>
      </c>
      <c r="S17" s="6">
        <v>0.10105932377163074</v>
      </c>
      <c r="T17" s="4">
        <v>1409.0171995571359</v>
      </c>
      <c r="U17" s="4">
        <v>2264.4359427029062</v>
      </c>
      <c r="V17" s="4">
        <v>3673.4531422600421</v>
      </c>
      <c r="W17" s="4">
        <v>1344.9562289325361</v>
      </c>
      <c r="X17" s="4">
        <v>2161.4833567072401</v>
      </c>
      <c r="Y17" s="4">
        <v>3506.4395856397759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FB5DC-A560-41D7-B9E2-807CE5257771}">
  <dimension ref="A1:N126"/>
  <sheetViews>
    <sheetView workbookViewId="0"/>
  </sheetViews>
  <sheetFormatPr defaultRowHeight="14.4" x14ac:dyDescent="0.3"/>
  <sheetData>
    <row r="1" spans="1:14" x14ac:dyDescent="0.3">
      <c r="B1" t="s">
        <v>203</v>
      </c>
      <c r="C1" t="s">
        <v>203</v>
      </c>
    </row>
    <row r="2" spans="1:14" x14ac:dyDescent="0.3">
      <c r="B2" t="s">
        <v>204</v>
      </c>
      <c r="C2" t="s">
        <v>204</v>
      </c>
    </row>
    <row r="4" spans="1:14" x14ac:dyDescent="0.3">
      <c r="B4" t="s">
        <v>200</v>
      </c>
      <c r="C4" t="s">
        <v>201</v>
      </c>
      <c r="N4">
        <v>0</v>
      </c>
    </row>
    <row r="5" spans="1:14" x14ac:dyDescent="0.3">
      <c r="A5" t="s">
        <v>27</v>
      </c>
      <c r="B5" t="s">
        <v>202</v>
      </c>
      <c r="C5" t="s">
        <v>202</v>
      </c>
      <c r="N5">
        <v>4000</v>
      </c>
    </row>
    <row r="6" spans="1:14" x14ac:dyDescent="0.3">
      <c r="A6" t="s">
        <v>39</v>
      </c>
      <c r="B6">
        <v>504.98316440630566</v>
      </c>
      <c r="C6">
        <v>772.29549049544937</v>
      </c>
    </row>
    <row r="7" spans="1:14" x14ac:dyDescent="0.3">
      <c r="A7" t="s">
        <v>40</v>
      </c>
      <c r="B7">
        <v>1478.0394289010023</v>
      </c>
      <c r="C7">
        <v>2361.6265035505789</v>
      </c>
    </row>
    <row r="8" spans="1:14" x14ac:dyDescent="0.3">
      <c r="A8" t="s">
        <v>41</v>
      </c>
      <c r="B8">
        <v>1375.6879827604139</v>
      </c>
      <c r="C8">
        <v>2381.3937118862236</v>
      </c>
    </row>
    <row r="9" spans="1:14" x14ac:dyDescent="0.3">
      <c r="A9" t="s">
        <v>42</v>
      </c>
      <c r="B9">
        <v>1251.8570748743462</v>
      </c>
      <c r="C9">
        <v>2419.5444638179724</v>
      </c>
    </row>
    <row r="10" spans="1:14" x14ac:dyDescent="0.3">
      <c r="A10" t="s">
        <v>43</v>
      </c>
      <c r="B10">
        <v>1374.8667660909473</v>
      </c>
      <c r="C10">
        <v>2156.9202573730981</v>
      </c>
    </row>
    <row r="11" spans="1:14" x14ac:dyDescent="0.3">
      <c r="A11" t="s">
        <v>44</v>
      </c>
      <c r="B11">
        <v>1242.8976934873872</v>
      </c>
      <c r="C11">
        <v>2048.0015508502233</v>
      </c>
    </row>
    <row r="12" spans="1:14" x14ac:dyDescent="0.3">
      <c r="A12" t="s">
        <v>45</v>
      </c>
      <c r="B12">
        <v>921.19503283959568</v>
      </c>
      <c r="C12">
        <v>1425.203497292569</v>
      </c>
    </row>
    <row r="13" spans="1:14" x14ac:dyDescent="0.3">
      <c r="A13" t="s">
        <v>46</v>
      </c>
      <c r="B13">
        <v>719.29361861788743</v>
      </c>
      <c r="C13">
        <v>1257.3252453440673</v>
      </c>
    </row>
    <row r="14" spans="1:14" x14ac:dyDescent="0.3">
      <c r="A14" t="s">
        <v>47</v>
      </c>
      <c r="B14">
        <v>1117.1174700557681</v>
      </c>
      <c r="C14">
        <v>1638.3688954063418</v>
      </c>
    </row>
    <row r="15" spans="1:14" x14ac:dyDescent="0.3">
      <c r="A15" t="s">
        <v>48</v>
      </c>
      <c r="B15">
        <v>1438.5552424922234</v>
      </c>
      <c r="C15">
        <v>2280.3062874876732</v>
      </c>
    </row>
    <row r="16" spans="1:14" x14ac:dyDescent="0.3">
      <c r="A16" t="s">
        <v>49</v>
      </c>
      <c r="B16">
        <v>860.43015400789648</v>
      </c>
      <c r="C16">
        <v>1287.8962528840241</v>
      </c>
    </row>
    <row r="17" spans="1:14" x14ac:dyDescent="0.3">
      <c r="A17" t="s">
        <v>50</v>
      </c>
      <c r="B17">
        <v>1166.8533588792097</v>
      </c>
      <c r="C17">
        <v>1892.636148102079</v>
      </c>
    </row>
    <row r="18" spans="1:14" x14ac:dyDescent="0.3">
      <c r="A18" t="s">
        <v>51</v>
      </c>
      <c r="B18">
        <v>1594.7256733450504</v>
      </c>
      <c r="C18">
        <v>2338.8309734195036</v>
      </c>
    </row>
    <row r="19" spans="1:14" x14ac:dyDescent="0.3">
      <c r="A19" t="s">
        <v>52</v>
      </c>
      <c r="B19">
        <v>1467.1569194095248</v>
      </c>
      <c r="C19">
        <v>2145.1493912391124</v>
      </c>
    </row>
    <row r="20" spans="1:14" x14ac:dyDescent="0.3">
      <c r="A20" t="s">
        <v>53</v>
      </c>
      <c r="B20">
        <v>1412.4657260801625</v>
      </c>
      <c r="C20">
        <v>2024.0633854728735</v>
      </c>
    </row>
    <row r="21" spans="1:14" x14ac:dyDescent="0.3">
      <c r="A21" t="s">
        <v>54</v>
      </c>
      <c r="B21">
        <v>2312.1936000700548</v>
      </c>
      <c r="C21">
        <v>3694.4465624477007</v>
      </c>
      <c r="N21">
        <v>0</v>
      </c>
    </row>
    <row r="22" spans="1:14" x14ac:dyDescent="0.3">
      <c r="A22" t="s">
        <v>55</v>
      </c>
      <c r="B22">
        <v>1409.5384627516698</v>
      </c>
      <c r="C22">
        <v>1983.6966512478812</v>
      </c>
      <c r="N22">
        <v>4000</v>
      </c>
    </row>
    <row r="23" spans="1:14" x14ac:dyDescent="0.3">
      <c r="A23" t="s">
        <v>56</v>
      </c>
      <c r="B23">
        <v>1473.1419585340836</v>
      </c>
      <c r="C23">
        <v>2247.8233835769365</v>
      </c>
    </row>
    <row r="24" spans="1:14" x14ac:dyDescent="0.3">
      <c r="A24" t="s">
        <v>57</v>
      </c>
      <c r="B24">
        <v>1186.4888496897527</v>
      </c>
      <c r="C24">
        <v>1774.9873191358702</v>
      </c>
    </row>
    <row r="25" spans="1:14" x14ac:dyDescent="0.3">
      <c r="A25" t="s">
        <v>58</v>
      </c>
      <c r="B25">
        <v>1544.8217853086537</v>
      </c>
      <c r="C25">
        <v>2116.405845872855</v>
      </c>
    </row>
    <row r="26" spans="1:14" x14ac:dyDescent="0.3">
      <c r="A26" t="s">
        <v>59</v>
      </c>
      <c r="B26">
        <v>1077.522577187219</v>
      </c>
      <c r="C26">
        <v>1552.1684015965095</v>
      </c>
    </row>
    <row r="27" spans="1:14" x14ac:dyDescent="0.3">
      <c r="A27" t="s">
        <v>60</v>
      </c>
      <c r="B27">
        <v>575.84765036112901</v>
      </c>
      <c r="C27">
        <v>880.67202024279413</v>
      </c>
    </row>
    <row r="28" spans="1:14" x14ac:dyDescent="0.3">
      <c r="A28" t="s">
        <v>61</v>
      </c>
      <c r="B28">
        <v>2295.4877573170179</v>
      </c>
      <c r="C28">
        <v>3381.2621946182994</v>
      </c>
    </row>
    <row r="29" spans="1:14" x14ac:dyDescent="0.3">
      <c r="A29" t="s">
        <v>62</v>
      </c>
      <c r="B29">
        <v>1880.7833971766117</v>
      </c>
      <c r="C29">
        <v>3024.954469171264</v>
      </c>
    </row>
    <row r="30" spans="1:14" x14ac:dyDescent="0.3">
      <c r="A30" t="s">
        <v>63</v>
      </c>
      <c r="B30">
        <v>2229.5328327923744</v>
      </c>
      <c r="C30">
        <v>3390.9244605207214</v>
      </c>
    </row>
    <row r="31" spans="1:14" x14ac:dyDescent="0.3">
      <c r="A31" t="s">
        <v>64</v>
      </c>
      <c r="B31">
        <v>2137.757699506074</v>
      </c>
      <c r="C31">
        <v>3515.334392038209</v>
      </c>
    </row>
    <row r="32" spans="1:14" x14ac:dyDescent="0.3">
      <c r="A32" t="s">
        <v>65</v>
      </c>
      <c r="B32">
        <v>2321.7365352039474</v>
      </c>
      <c r="C32">
        <v>3475.1871141950451</v>
      </c>
    </row>
    <row r="33" spans="1:3" x14ac:dyDescent="0.3">
      <c r="A33" t="s">
        <v>66</v>
      </c>
      <c r="B33">
        <v>2101.7883217009762</v>
      </c>
      <c r="C33">
        <v>3207.0561221062871</v>
      </c>
    </row>
    <row r="34" spans="1:3" x14ac:dyDescent="0.3">
      <c r="A34" t="s">
        <v>67</v>
      </c>
      <c r="B34">
        <v>2081.3786150778192</v>
      </c>
      <c r="C34">
        <v>3114.6740376608573</v>
      </c>
    </row>
    <row r="35" spans="1:3" x14ac:dyDescent="0.3">
      <c r="A35" t="s">
        <v>68</v>
      </c>
      <c r="B35">
        <v>2083.492627117957</v>
      </c>
      <c r="C35">
        <v>3274.2675479899781</v>
      </c>
    </row>
    <row r="36" spans="1:3" x14ac:dyDescent="0.3">
      <c r="A36" t="s">
        <v>69</v>
      </c>
      <c r="B36">
        <v>2019.936874316837</v>
      </c>
      <c r="C36">
        <v>2969.5960103497309</v>
      </c>
    </row>
    <row r="37" spans="1:3" x14ac:dyDescent="0.3">
      <c r="A37" t="s">
        <v>70</v>
      </c>
      <c r="B37">
        <v>1827.094345013963</v>
      </c>
      <c r="C37">
        <v>2963.5470276126489</v>
      </c>
    </row>
    <row r="38" spans="1:3" x14ac:dyDescent="0.3">
      <c r="A38" t="s">
        <v>71</v>
      </c>
      <c r="B38">
        <v>1690.442265238004</v>
      </c>
      <c r="C38">
        <v>2485.1918247569643</v>
      </c>
    </row>
    <row r="39" spans="1:3" x14ac:dyDescent="0.3">
      <c r="A39" t="s">
        <v>72</v>
      </c>
      <c r="B39">
        <v>1560.5200005786185</v>
      </c>
      <c r="C39">
        <v>2422.5479227454925</v>
      </c>
    </row>
    <row r="40" spans="1:3" x14ac:dyDescent="0.3">
      <c r="A40" t="s">
        <v>73</v>
      </c>
      <c r="B40">
        <v>1606.6398436191373</v>
      </c>
      <c r="C40">
        <v>2404.2523414726879</v>
      </c>
    </row>
    <row r="41" spans="1:3" x14ac:dyDescent="0.3">
      <c r="A41" t="s">
        <v>74</v>
      </c>
      <c r="B41">
        <v>1908.3760002665799</v>
      </c>
      <c r="C41">
        <v>2962.5588352273367</v>
      </c>
    </row>
    <row r="42" spans="1:3" x14ac:dyDescent="0.3">
      <c r="A42" t="s">
        <v>75</v>
      </c>
      <c r="B42">
        <v>1522.0003896655999</v>
      </c>
      <c r="C42">
        <v>2232.1717850316741</v>
      </c>
    </row>
    <row r="43" spans="1:3" x14ac:dyDescent="0.3">
      <c r="A43" t="s">
        <v>76</v>
      </c>
      <c r="B43">
        <v>1861.2067002463687</v>
      </c>
      <c r="C43">
        <v>2830.7326239488498</v>
      </c>
    </row>
    <row r="44" spans="1:3" x14ac:dyDescent="0.3">
      <c r="A44" t="s">
        <v>77</v>
      </c>
      <c r="B44">
        <v>1689.422803980865</v>
      </c>
      <c r="C44">
        <v>2528.1327040033375</v>
      </c>
    </row>
    <row r="45" spans="1:3" x14ac:dyDescent="0.3">
      <c r="A45" t="s">
        <v>78</v>
      </c>
      <c r="B45">
        <v>1598.9547373943958</v>
      </c>
      <c r="C45">
        <v>2435.4138178479816</v>
      </c>
    </row>
    <row r="46" spans="1:3" x14ac:dyDescent="0.3">
      <c r="A46" t="s">
        <v>79</v>
      </c>
      <c r="B46">
        <v>1511.9707058023721</v>
      </c>
      <c r="C46">
        <v>2262.5849371909389</v>
      </c>
    </row>
    <row r="47" spans="1:3" x14ac:dyDescent="0.3">
      <c r="A47" t="s">
        <v>80</v>
      </c>
      <c r="B47">
        <v>1464.2796231541126</v>
      </c>
      <c r="C47">
        <v>2227.041251945418</v>
      </c>
    </row>
    <row r="48" spans="1:3" x14ac:dyDescent="0.3">
      <c r="A48" t="s">
        <v>81</v>
      </c>
      <c r="B48">
        <v>1189.2337316357093</v>
      </c>
      <c r="C48">
        <v>1811.3560033576694</v>
      </c>
    </row>
    <row r="49" spans="1:3" x14ac:dyDescent="0.3">
      <c r="A49" t="s">
        <v>82</v>
      </c>
      <c r="B49">
        <v>1193.6533766681105</v>
      </c>
      <c r="C49">
        <v>1786.6664759393282</v>
      </c>
    </row>
    <row r="50" spans="1:3" x14ac:dyDescent="0.3">
      <c r="A50" t="s">
        <v>83</v>
      </c>
      <c r="B50">
        <v>1465.450676297786</v>
      </c>
      <c r="C50">
        <v>2236.0874853763012</v>
      </c>
    </row>
    <row r="51" spans="1:3" x14ac:dyDescent="0.3">
      <c r="A51" t="s">
        <v>84</v>
      </c>
      <c r="B51">
        <v>1520.7221494151618</v>
      </c>
      <c r="C51">
        <v>2396.8320504659491</v>
      </c>
    </row>
    <row r="52" spans="1:3" x14ac:dyDescent="0.3">
      <c r="A52" t="s">
        <v>85</v>
      </c>
      <c r="B52">
        <v>1773.8174930974462</v>
      </c>
      <c r="C52">
        <v>2795.739261618683</v>
      </c>
    </row>
    <row r="53" spans="1:3" x14ac:dyDescent="0.3">
      <c r="A53" t="s">
        <v>86</v>
      </c>
      <c r="B53">
        <v>1978.2982447630002</v>
      </c>
      <c r="C53">
        <v>3222.8458369267705</v>
      </c>
    </row>
    <row r="54" spans="1:3" x14ac:dyDescent="0.3">
      <c r="A54" t="s">
        <v>87</v>
      </c>
      <c r="B54">
        <v>1743.5331865158778</v>
      </c>
      <c r="C54">
        <v>2785.1967835716887</v>
      </c>
    </row>
    <row r="55" spans="1:3" x14ac:dyDescent="0.3">
      <c r="A55" t="s">
        <v>88</v>
      </c>
      <c r="B55">
        <v>1592.866852759978</v>
      </c>
      <c r="C55">
        <v>2583.6300351766845</v>
      </c>
    </row>
    <row r="56" spans="1:3" x14ac:dyDescent="0.3">
      <c r="A56" t="s">
        <v>89</v>
      </c>
      <c r="B56">
        <v>1579.4844231563418</v>
      </c>
      <c r="C56">
        <v>2363.6156776362668</v>
      </c>
    </row>
    <row r="57" spans="1:3" x14ac:dyDescent="0.3">
      <c r="A57" t="s">
        <v>90</v>
      </c>
      <c r="B57">
        <v>1881.9914261214974</v>
      </c>
      <c r="C57">
        <v>2772.1805265379007</v>
      </c>
    </row>
    <row r="58" spans="1:3" x14ac:dyDescent="0.3">
      <c r="A58" t="s">
        <v>91</v>
      </c>
      <c r="B58">
        <v>1790.016478571074</v>
      </c>
      <c r="C58">
        <v>2726.4254354013565</v>
      </c>
    </row>
    <row r="59" spans="1:3" x14ac:dyDescent="0.3">
      <c r="A59" t="s">
        <v>92</v>
      </c>
      <c r="B59">
        <v>1272.0926535121782</v>
      </c>
      <c r="C59">
        <v>1968.0858385408053</v>
      </c>
    </row>
    <row r="60" spans="1:3" x14ac:dyDescent="0.3">
      <c r="A60" t="s">
        <v>93</v>
      </c>
      <c r="B60">
        <v>1203.073423968217</v>
      </c>
      <c r="C60">
        <v>1760.3794953652584</v>
      </c>
    </row>
    <row r="61" spans="1:3" x14ac:dyDescent="0.3">
      <c r="A61" t="s">
        <v>94</v>
      </c>
      <c r="B61">
        <v>519.55774715341829</v>
      </c>
      <c r="C61">
        <v>823.56990023848539</v>
      </c>
    </row>
    <row r="62" spans="1:3" x14ac:dyDescent="0.3">
      <c r="A62" t="s">
        <v>95</v>
      </c>
      <c r="B62">
        <v>574.40826154970864</v>
      </c>
      <c r="C62">
        <v>967.87792071125921</v>
      </c>
    </row>
    <row r="63" spans="1:3" x14ac:dyDescent="0.3">
      <c r="A63" t="s">
        <v>96</v>
      </c>
      <c r="B63">
        <v>657.5685072252511</v>
      </c>
      <c r="C63">
        <v>1066.5761187193575</v>
      </c>
    </row>
    <row r="64" spans="1:3" x14ac:dyDescent="0.3">
      <c r="A64" t="s">
        <v>97</v>
      </c>
      <c r="B64">
        <v>870.959037289756</v>
      </c>
      <c r="C64">
        <v>1282.9259735591311</v>
      </c>
    </row>
    <row r="65" spans="1:3" x14ac:dyDescent="0.3">
      <c r="A65" t="s">
        <v>98</v>
      </c>
      <c r="B65">
        <v>686.36542440026028</v>
      </c>
      <c r="C65">
        <v>1113.2847183772224</v>
      </c>
    </row>
    <row r="66" spans="1:3" x14ac:dyDescent="0.3">
      <c r="A66" t="s">
        <v>99</v>
      </c>
      <c r="B66">
        <v>746.53002454191312</v>
      </c>
      <c r="C66">
        <v>1097.5058729177995</v>
      </c>
    </row>
    <row r="67" spans="1:3" x14ac:dyDescent="0.3">
      <c r="A67" t="s">
        <v>100</v>
      </c>
      <c r="B67">
        <v>800.48151873755239</v>
      </c>
      <c r="C67">
        <v>1242.6658035108717</v>
      </c>
    </row>
    <row r="68" spans="1:3" x14ac:dyDescent="0.3">
      <c r="A68" t="s">
        <v>101</v>
      </c>
      <c r="B68">
        <v>932.14732263756548</v>
      </c>
      <c r="C68">
        <v>1395.2428774942471</v>
      </c>
    </row>
    <row r="69" spans="1:3" x14ac:dyDescent="0.3">
      <c r="A69" t="s">
        <v>102</v>
      </c>
      <c r="B69">
        <v>708.307426131645</v>
      </c>
      <c r="C69">
        <v>1099.5749386128909</v>
      </c>
    </row>
    <row r="70" spans="1:3" x14ac:dyDescent="0.3">
      <c r="A70" t="s">
        <v>103</v>
      </c>
      <c r="B70">
        <v>706.85204741375787</v>
      </c>
      <c r="C70">
        <v>1097.3156117932936</v>
      </c>
    </row>
    <row r="71" spans="1:3" x14ac:dyDescent="0.3">
      <c r="A71" t="s">
        <v>104</v>
      </c>
      <c r="B71">
        <v>833.16716825465471</v>
      </c>
      <c r="C71">
        <v>1200.175086064876</v>
      </c>
    </row>
    <row r="72" spans="1:3" x14ac:dyDescent="0.3">
      <c r="A72" t="s">
        <v>105</v>
      </c>
      <c r="B72">
        <v>1434.7963068925774</v>
      </c>
      <c r="C72">
        <v>2227.374728639631</v>
      </c>
    </row>
    <row r="73" spans="1:3" x14ac:dyDescent="0.3">
      <c r="A73" t="s">
        <v>106</v>
      </c>
      <c r="B73">
        <v>1563.5280202980218</v>
      </c>
      <c r="C73">
        <v>2602.1771847588757</v>
      </c>
    </row>
    <row r="74" spans="1:3" x14ac:dyDescent="0.3">
      <c r="A74" t="s">
        <v>107</v>
      </c>
      <c r="B74">
        <v>1937.9382391829035</v>
      </c>
      <c r="C74">
        <v>2998.2319243588527</v>
      </c>
    </row>
    <row r="75" spans="1:3" x14ac:dyDescent="0.3">
      <c r="A75" t="s">
        <v>108</v>
      </c>
      <c r="B75">
        <v>2052.8419941397724</v>
      </c>
      <c r="C75">
        <v>3176.0023503584162</v>
      </c>
    </row>
    <row r="76" spans="1:3" x14ac:dyDescent="0.3">
      <c r="A76" t="s">
        <v>109</v>
      </c>
      <c r="B76">
        <v>1996.2051266114074</v>
      </c>
      <c r="C76">
        <v>3210.5927924451671</v>
      </c>
    </row>
    <row r="77" spans="1:3" x14ac:dyDescent="0.3">
      <c r="A77" t="s">
        <v>110</v>
      </c>
      <c r="B77">
        <v>1732.9866374883773</v>
      </c>
      <c r="C77">
        <v>2823.208676883924</v>
      </c>
    </row>
    <row r="78" spans="1:3" x14ac:dyDescent="0.3">
      <c r="A78" t="s">
        <v>111</v>
      </c>
      <c r="B78">
        <v>2193.0086265154237</v>
      </c>
      <c r="C78">
        <v>3281.7225006025656</v>
      </c>
    </row>
    <row r="79" spans="1:3" x14ac:dyDescent="0.3">
      <c r="A79" t="s">
        <v>112</v>
      </c>
      <c r="B79">
        <v>2209.2456226673162</v>
      </c>
      <c r="C79">
        <v>3306.8101412767969</v>
      </c>
    </row>
    <row r="80" spans="1:3" x14ac:dyDescent="0.3">
      <c r="A80" t="s">
        <v>113</v>
      </c>
      <c r="B80">
        <v>1863.5803016666466</v>
      </c>
      <c r="C80">
        <v>2838.4726041364984</v>
      </c>
    </row>
    <row r="81" spans="1:3" x14ac:dyDescent="0.3">
      <c r="A81" t="s">
        <v>114</v>
      </c>
      <c r="B81">
        <v>1630.4741748138561</v>
      </c>
      <c r="C81">
        <v>2483.4219769452411</v>
      </c>
    </row>
    <row r="82" spans="1:3" x14ac:dyDescent="0.3">
      <c r="A82" t="s">
        <v>115</v>
      </c>
      <c r="B82">
        <v>1657.0720540465406</v>
      </c>
      <c r="C82">
        <v>2757.8623705890031</v>
      </c>
    </row>
    <row r="83" spans="1:3" x14ac:dyDescent="0.3">
      <c r="A83" t="s">
        <v>116</v>
      </c>
      <c r="B83">
        <v>1294.0202933283172</v>
      </c>
      <c r="C83">
        <v>2002.0106295343048</v>
      </c>
    </row>
    <row r="84" spans="1:3" x14ac:dyDescent="0.3">
      <c r="A84" t="s">
        <v>117</v>
      </c>
      <c r="B84">
        <v>1625.9084403167446</v>
      </c>
      <c r="C84">
        <v>2480.9252024400375</v>
      </c>
    </row>
    <row r="85" spans="1:3" x14ac:dyDescent="0.3">
      <c r="A85" t="s">
        <v>118</v>
      </c>
      <c r="B85">
        <v>1689.5242066808075</v>
      </c>
      <c r="C85">
        <v>2678.1263294987398</v>
      </c>
    </row>
    <row r="86" spans="1:3" x14ac:dyDescent="0.3">
      <c r="A86" t="s">
        <v>119</v>
      </c>
      <c r="B86">
        <v>1667.4516620376282</v>
      </c>
      <c r="C86">
        <v>2363.0412536025265</v>
      </c>
    </row>
    <row r="87" spans="1:3" x14ac:dyDescent="0.3">
      <c r="A87" t="s">
        <v>120</v>
      </c>
      <c r="B87">
        <v>1728.8385119560387</v>
      </c>
      <c r="C87">
        <v>2804.1760663926962</v>
      </c>
    </row>
    <row r="88" spans="1:3" x14ac:dyDescent="0.3">
      <c r="A88" t="s">
        <v>121</v>
      </c>
      <c r="B88">
        <v>1655.3937956701584</v>
      </c>
      <c r="C88">
        <v>2345.9533605586348</v>
      </c>
    </row>
    <row r="89" spans="1:3" x14ac:dyDescent="0.3">
      <c r="A89" t="s">
        <v>122</v>
      </c>
      <c r="B89">
        <v>1336.9204823464111</v>
      </c>
      <c r="C89">
        <v>2084.2590319780547</v>
      </c>
    </row>
    <row r="90" spans="1:3" x14ac:dyDescent="0.3">
      <c r="A90" t="s">
        <v>123</v>
      </c>
      <c r="B90">
        <v>1885.7203543447947</v>
      </c>
      <c r="C90">
        <v>3058.6384147472581</v>
      </c>
    </row>
    <row r="91" spans="1:3" x14ac:dyDescent="0.3">
      <c r="A91" t="s">
        <v>124</v>
      </c>
      <c r="B91">
        <v>1711.7814915041415</v>
      </c>
      <c r="C91">
        <v>2814.8579935552566</v>
      </c>
    </row>
    <row r="92" spans="1:3" x14ac:dyDescent="0.3">
      <c r="A92" t="s">
        <v>125</v>
      </c>
      <c r="B92">
        <v>1448.9039442609285</v>
      </c>
      <c r="C92">
        <v>2283.6383444448948</v>
      </c>
    </row>
    <row r="93" spans="1:3" x14ac:dyDescent="0.3">
      <c r="A93" t="s">
        <v>126</v>
      </c>
      <c r="B93">
        <v>1453.8040390614815</v>
      </c>
      <c r="C93">
        <v>2390.6391912318613</v>
      </c>
    </row>
    <row r="94" spans="1:3" x14ac:dyDescent="0.3">
      <c r="A94" t="s">
        <v>127</v>
      </c>
      <c r="B94">
        <v>1210.9558285408432</v>
      </c>
      <c r="C94">
        <v>1964.1703538932484</v>
      </c>
    </row>
    <row r="95" spans="1:3" x14ac:dyDescent="0.3">
      <c r="A95" t="s">
        <v>128</v>
      </c>
      <c r="B95">
        <v>1342.8780384542631</v>
      </c>
      <c r="C95">
        <v>2009.5466205998521</v>
      </c>
    </row>
    <row r="96" spans="1:3" x14ac:dyDescent="0.3">
      <c r="A96" t="s">
        <v>129</v>
      </c>
      <c r="B96">
        <v>1783.6543257916776</v>
      </c>
      <c r="C96">
        <v>2868.7371083558864</v>
      </c>
    </row>
    <row r="97" spans="1:3" x14ac:dyDescent="0.3">
      <c r="A97" t="s">
        <v>130</v>
      </c>
      <c r="B97">
        <v>1914.9622004946571</v>
      </c>
      <c r="C97">
        <v>3079.9258837440702</v>
      </c>
    </row>
    <row r="98" spans="1:3" x14ac:dyDescent="0.3">
      <c r="A98" t="s">
        <v>131</v>
      </c>
      <c r="B98">
        <v>1588.3789123421172</v>
      </c>
      <c r="C98">
        <v>2517.7972411067421</v>
      </c>
    </row>
    <row r="99" spans="1:3" x14ac:dyDescent="0.3">
      <c r="A99" t="s">
        <v>132</v>
      </c>
      <c r="B99">
        <v>1261.6061705052509</v>
      </c>
      <c r="C99">
        <v>1887.9275286868099</v>
      </c>
    </row>
    <row r="100" spans="1:3" x14ac:dyDescent="0.3">
      <c r="A100" t="s">
        <v>133</v>
      </c>
      <c r="B100">
        <v>1670.3465164897154</v>
      </c>
      <c r="C100">
        <v>2584.2341872528573</v>
      </c>
    </row>
    <row r="101" spans="1:3" x14ac:dyDescent="0.3">
      <c r="A101" t="s">
        <v>134</v>
      </c>
      <c r="B101">
        <v>1806.0961763738305</v>
      </c>
      <c r="C101">
        <v>2831.0660888239672</v>
      </c>
    </row>
    <row r="102" spans="1:3" x14ac:dyDescent="0.3">
      <c r="A102" t="s">
        <v>135</v>
      </c>
      <c r="B102">
        <v>1395.4217665125284</v>
      </c>
      <c r="C102">
        <v>2125.4069126612176</v>
      </c>
    </row>
    <row r="103" spans="1:3" x14ac:dyDescent="0.3">
      <c r="A103" t="s">
        <v>136</v>
      </c>
      <c r="B103">
        <v>1262.1317473063805</v>
      </c>
      <c r="C103">
        <v>1925.8491948550793</v>
      </c>
    </row>
    <row r="104" spans="1:3" x14ac:dyDescent="0.3">
      <c r="A104" t="s">
        <v>137</v>
      </c>
      <c r="B104">
        <v>1246.2136415416267</v>
      </c>
      <c r="C104">
        <v>1864.3356077462738</v>
      </c>
    </row>
    <row r="105" spans="1:3" x14ac:dyDescent="0.3">
      <c r="A105" t="s">
        <v>138</v>
      </c>
      <c r="B105">
        <v>1236.6128176798286</v>
      </c>
      <c r="C105">
        <v>1927.8793827628526</v>
      </c>
    </row>
    <row r="106" spans="1:3" x14ac:dyDescent="0.3">
      <c r="A106" t="s">
        <v>139</v>
      </c>
      <c r="B106">
        <v>1144.1821610641859</v>
      </c>
      <c r="C106">
        <v>1711.6965129520224</v>
      </c>
    </row>
    <row r="107" spans="1:3" x14ac:dyDescent="0.3">
      <c r="A107" t="s">
        <v>140</v>
      </c>
      <c r="B107">
        <v>1431.1375752081813</v>
      </c>
      <c r="C107">
        <v>2268.5482730251974</v>
      </c>
    </row>
    <row r="108" spans="1:3" x14ac:dyDescent="0.3">
      <c r="A108" t="s">
        <v>141</v>
      </c>
      <c r="B108">
        <v>1611.017017575429</v>
      </c>
      <c r="C108">
        <v>2390.1061963470765</v>
      </c>
    </row>
    <row r="109" spans="1:3" x14ac:dyDescent="0.3">
      <c r="A109" t="s">
        <v>142</v>
      </c>
      <c r="B109">
        <v>1408.4801068134282</v>
      </c>
      <c r="C109">
        <v>2186.5215157281282</v>
      </c>
    </row>
    <row r="110" spans="1:3" x14ac:dyDescent="0.3">
      <c r="A110" t="s">
        <v>143</v>
      </c>
      <c r="B110">
        <v>1328.4608667894806</v>
      </c>
      <c r="C110">
        <v>1987.9720786325718</v>
      </c>
    </row>
    <row r="111" spans="1:3" x14ac:dyDescent="0.3">
      <c r="A111" t="s">
        <v>144</v>
      </c>
      <c r="B111">
        <v>1583.1985200548902</v>
      </c>
      <c r="C111">
        <v>2797.4395551648063</v>
      </c>
    </row>
    <row r="112" spans="1:3" x14ac:dyDescent="0.3">
      <c r="A112" t="s">
        <v>145</v>
      </c>
      <c r="B112">
        <v>1580.1258643711344</v>
      </c>
      <c r="C112">
        <v>2416.5638886273596</v>
      </c>
    </row>
    <row r="113" spans="1:3" x14ac:dyDescent="0.3">
      <c r="A113" t="s">
        <v>146</v>
      </c>
      <c r="B113">
        <v>1385.7812677274342</v>
      </c>
      <c r="C113">
        <v>2114.5223106809958</v>
      </c>
    </row>
    <row r="114" spans="1:3" x14ac:dyDescent="0.3">
      <c r="A114" t="s">
        <v>147</v>
      </c>
      <c r="B114">
        <v>1012.3816168351444</v>
      </c>
      <c r="C114">
        <v>1604.7629580124346</v>
      </c>
    </row>
    <row r="115" spans="1:3" x14ac:dyDescent="0.3">
      <c r="A115" t="s">
        <v>148</v>
      </c>
      <c r="B115">
        <v>950.71176452055829</v>
      </c>
      <c r="C115">
        <v>1445.9494517422934</v>
      </c>
    </row>
    <row r="116" spans="1:3" x14ac:dyDescent="0.3">
      <c r="A116" t="s">
        <v>149</v>
      </c>
      <c r="B116">
        <v>1481.9113021459634</v>
      </c>
      <c r="C116">
        <v>2429.7241372713574</v>
      </c>
    </row>
    <row r="117" spans="1:3" x14ac:dyDescent="0.3">
      <c r="A117" t="s">
        <v>150</v>
      </c>
      <c r="B117">
        <v>869.35086562048571</v>
      </c>
      <c r="C117">
        <v>1387.9924172553322</v>
      </c>
    </row>
    <row r="118" spans="1:3" x14ac:dyDescent="0.3">
      <c r="A118" t="s">
        <v>151</v>
      </c>
      <c r="B118">
        <v>1286.5520214925953</v>
      </c>
      <c r="C118">
        <v>2227.0943210896371</v>
      </c>
    </row>
    <row r="119" spans="1:3" x14ac:dyDescent="0.3">
      <c r="A119" t="s">
        <v>152</v>
      </c>
      <c r="B119">
        <v>1824.7253431254633</v>
      </c>
      <c r="C119">
        <v>2875.975856196063</v>
      </c>
    </row>
    <row r="120" spans="1:3" x14ac:dyDescent="0.3">
      <c r="A120" t="s">
        <v>153</v>
      </c>
      <c r="B120">
        <v>1541.7592177472495</v>
      </c>
      <c r="C120">
        <v>2479.6855624691548</v>
      </c>
    </row>
    <row r="121" spans="1:3" x14ac:dyDescent="0.3">
      <c r="A121" t="s">
        <v>154</v>
      </c>
      <c r="B121">
        <v>1245.8509737916991</v>
      </c>
      <c r="C121">
        <v>1942.2816681412587</v>
      </c>
    </row>
    <row r="122" spans="1:3" x14ac:dyDescent="0.3">
      <c r="A122" t="s">
        <v>155</v>
      </c>
      <c r="B122">
        <v>1494.2327561728239</v>
      </c>
      <c r="C122">
        <v>2385.669373782865</v>
      </c>
    </row>
    <row r="123" spans="1:3" x14ac:dyDescent="0.3">
      <c r="A123" t="s">
        <v>156</v>
      </c>
      <c r="B123">
        <v>1586.4885758658459</v>
      </c>
      <c r="C123">
        <v>2462.861483670958</v>
      </c>
    </row>
    <row r="124" spans="1:3" x14ac:dyDescent="0.3">
      <c r="A124" t="s">
        <v>157</v>
      </c>
      <c r="B124">
        <v>1115.0854569758517</v>
      </c>
      <c r="C124">
        <v>1908.6588599952793</v>
      </c>
    </row>
    <row r="125" spans="1:3" x14ac:dyDescent="0.3">
      <c r="A125" t="s">
        <v>158</v>
      </c>
      <c r="B125">
        <v>1054.6557713334878</v>
      </c>
      <c r="C125">
        <v>1696.2536428818348</v>
      </c>
    </row>
    <row r="126" spans="1:3" x14ac:dyDescent="0.3">
      <c r="A126" t="s">
        <v>159</v>
      </c>
      <c r="B126">
        <v>1277.945844856406</v>
      </c>
      <c r="C126">
        <v>1994.3824506322233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Scale</vt:lpstr>
      <vt:lpstr>Plot Scale</vt:lpstr>
      <vt:lpstr>Compare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2023-09-06T13:49:24Z</dcterms:created>
  <dcterms:modified xsi:type="dcterms:W3CDTF">2023-10-05T15:11:48Z</dcterms:modified>
</cp:coreProperties>
</file>