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730"/>
  <workbookPr defaultThemeVersion="166925"/>
  <mc:AlternateContent xmlns:mc="http://schemas.openxmlformats.org/markup-compatibility/2006">
    <mc:Choice Requires="x15">
      <x15ac:absPath xmlns:x15ac="http://schemas.microsoft.com/office/spreadsheetml/2010/11/ac" url="E:\mnt\Data1\USDA-ALARC\GIS\PDI project\cottondata\Data\2014_F013B4_CO_ISOS\"/>
    </mc:Choice>
  </mc:AlternateContent>
  <xr:revisionPtr revIDLastSave="0" documentId="13_ncr:1_{FF61CA9F-320F-4E06-89D6-5BC5488735AD}" xr6:coauthVersionLast="47" xr6:coauthVersionMax="47" xr10:uidLastSave="{00000000-0000-0000-0000-000000000000}"/>
  <bookViews>
    <workbookView xWindow="16455" yWindow="-24720" windowWidth="17715" windowHeight="17625" xr2:uid="{5485CBB2-C13A-4C0B-BAC8-38661C175E52}"/>
  </bookViews>
  <sheets>
    <sheet name="Raw Scale" sheetId="1" r:id="rId1"/>
    <sheet name="Plot Scale" sheetId="2" r:id="rId2"/>
    <sheet name="Compare" sheetId="3" r:id="rId3"/>
    <sheet name="Harvest image" sheetId="5" r:id="rId4"/>
    <sheet name="Field weights" sheetId="6" r:id="rId5"/>
    <sheet name="Subsample weights" sheetId="8" r:id="rId6"/>
    <sheet name="Ginning" sheetId="9" r:id="rId7"/>
    <sheet name="Moisture" sheetId="4" r:id="rId8"/>
    <sheet name="Yield Reduced" sheetId="7" r:id="rId9"/>
  </sheets>
  <definedNames>
    <definedName name="_xlnm.Print_Area" localSheetId="4">'Field weights'!$B$11:$CJ$35</definedName>
    <definedName name="_xlnm.Print_Area" localSheetId="6">Ginning!$B$11:$BU$36,Ginning!$B$38:$BU$62</definedName>
    <definedName name="_xlnm.Print_Area" localSheetId="3">'Harvest image'!$A$1:$AU$34</definedName>
    <definedName name="_xlnm.Print_Area" localSheetId="7">Moisture!$B$11:$CE$38</definedName>
    <definedName name="_xlnm.Print_Area" localSheetId="5">'Subsample weights'!$B$1:$BT$49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 i="9" l="1"/>
  <c r="I16" i="9"/>
  <c r="J16" i="9"/>
  <c r="Q16" i="9"/>
  <c r="R16" i="9"/>
  <c r="S16" i="9"/>
  <c r="Z16" i="9"/>
  <c r="AA16" i="9"/>
  <c r="AB16" i="9"/>
  <c r="AI16" i="9"/>
  <c r="AJ16" i="9"/>
  <c r="AK16" i="9"/>
  <c r="AR16" i="9"/>
  <c r="AS16" i="9"/>
  <c r="AS27" i="9" s="1"/>
  <c r="AT16" i="9"/>
  <c r="BA16" i="9"/>
  <c r="BB16" i="9"/>
  <c r="BB27" i="9" s="1"/>
  <c r="BC16" i="9"/>
  <c r="BJ16" i="9"/>
  <c r="BK16" i="9"/>
  <c r="BK27" i="9" s="1"/>
  <c r="BL16" i="9"/>
  <c r="BS16" i="9"/>
  <c r="BT16" i="9"/>
  <c r="BT27" i="9" s="1"/>
  <c r="BU16" i="9"/>
  <c r="H17" i="9"/>
  <c r="I17" i="9"/>
  <c r="I27" i="9" s="1"/>
  <c r="J17" i="9"/>
  <c r="Q17" i="9"/>
  <c r="R17" i="9"/>
  <c r="R27" i="9" s="1"/>
  <c r="S17" i="9"/>
  <c r="Z17" i="9"/>
  <c r="AA17" i="9"/>
  <c r="AA27" i="9" s="1"/>
  <c r="AB17" i="9"/>
  <c r="AI17" i="9"/>
  <c r="AJ17" i="9"/>
  <c r="AK17" i="9"/>
  <c r="AR17" i="9"/>
  <c r="AS17" i="9"/>
  <c r="AT17" i="9"/>
  <c r="BA17" i="9"/>
  <c r="BB17" i="9"/>
  <c r="BC17" i="9"/>
  <c r="BJ17" i="9"/>
  <c r="BK17" i="9"/>
  <c r="BL17" i="9"/>
  <c r="BS17" i="9"/>
  <c r="BT17" i="9"/>
  <c r="BU17" i="9"/>
  <c r="H18" i="9"/>
  <c r="I18" i="9"/>
  <c r="J18" i="9"/>
  <c r="Q18" i="9"/>
  <c r="R18" i="9"/>
  <c r="S18" i="9"/>
  <c r="Z18" i="9"/>
  <c r="AA18" i="9"/>
  <c r="AB18" i="9"/>
  <c r="AI18" i="9"/>
  <c r="AJ18" i="9"/>
  <c r="AJ27" i="9" s="1"/>
  <c r="AK18" i="9"/>
  <c r="AR18" i="9"/>
  <c r="AS18" i="9"/>
  <c r="AT18" i="9"/>
  <c r="BA18" i="9"/>
  <c r="BB18" i="9"/>
  <c r="BC18" i="9"/>
  <c r="BJ18" i="9"/>
  <c r="BK18" i="9"/>
  <c r="BL18" i="9"/>
  <c r="BS18" i="9"/>
  <c r="BT18" i="9"/>
  <c r="BU18" i="9"/>
  <c r="H19" i="9"/>
  <c r="I19" i="9"/>
  <c r="J19" i="9"/>
  <c r="Q19" i="9"/>
  <c r="R19" i="9"/>
  <c r="S19" i="9"/>
  <c r="Z19" i="9"/>
  <c r="AA19" i="9"/>
  <c r="AB19" i="9"/>
  <c r="AI19" i="9"/>
  <c r="AJ19" i="9"/>
  <c r="AK19" i="9"/>
  <c r="AR19" i="9"/>
  <c r="AS19" i="9"/>
  <c r="AT19" i="9"/>
  <c r="BA19" i="9"/>
  <c r="BB19" i="9"/>
  <c r="BC19" i="9"/>
  <c r="BJ19" i="9"/>
  <c r="BK19" i="9"/>
  <c r="BL19" i="9"/>
  <c r="BS19" i="9"/>
  <c r="BT19" i="9"/>
  <c r="BU19" i="9"/>
  <c r="H20" i="9"/>
  <c r="I20" i="9"/>
  <c r="J20" i="9"/>
  <c r="Q20" i="9"/>
  <c r="R20" i="9"/>
  <c r="S20" i="9"/>
  <c r="Z20" i="9"/>
  <c r="AA20" i="9"/>
  <c r="AB20" i="9"/>
  <c r="AI20" i="9"/>
  <c r="AJ20" i="9"/>
  <c r="AK20" i="9"/>
  <c r="AR20" i="9"/>
  <c r="AS20" i="9"/>
  <c r="AT20" i="9"/>
  <c r="BA20" i="9"/>
  <c r="BB20" i="9"/>
  <c r="BC20" i="9"/>
  <c r="BJ20" i="9"/>
  <c r="BK20" i="9"/>
  <c r="BL20" i="9"/>
  <c r="BS20" i="9"/>
  <c r="BT20" i="9"/>
  <c r="BU20" i="9"/>
  <c r="H21" i="9"/>
  <c r="I21" i="9"/>
  <c r="J21" i="9"/>
  <c r="Q21" i="9"/>
  <c r="R21" i="9"/>
  <c r="S21" i="9"/>
  <c r="Z21" i="9"/>
  <c r="AA21" i="9"/>
  <c r="AB21" i="9"/>
  <c r="AI21" i="9"/>
  <c r="AJ21" i="9"/>
  <c r="AK21" i="9"/>
  <c r="AR21" i="9"/>
  <c r="AS21" i="9"/>
  <c r="AT21" i="9"/>
  <c r="BA21" i="9"/>
  <c r="BB21" i="9"/>
  <c r="BC21" i="9"/>
  <c r="BJ21" i="9"/>
  <c r="BK21" i="9"/>
  <c r="BL21" i="9"/>
  <c r="BS21" i="9"/>
  <c r="BT21" i="9"/>
  <c r="BU21" i="9"/>
  <c r="H22" i="9"/>
  <c r="I22" i="9"/>
  <c r="J22" i="9"/>
  <c r="Q22" i="9"/>
  <c r="R22" i="9"/>
  <c r="S22" i="9"/>
  <c r="Z22" i="9"/>
  <c r="AA22" i="9"/>
  <c r="AB22" i="9"/>
  <c r="AI22" i="9"/>
  <c r="AJ22" i="9"/>
  <c r="AK22" i="9"/>
  <c r="AR22" i="9"/>
  <c r="AS22" i="9"/>
  <c r="AT22" i="9"/>
  <c r="BA22" i="9"/>
  <c r="BB22" i="9"/>
  <c r="BC22" i="9"/>
  <c r="BJ22" i="9"/>
  <c r="BK22" i="9"/>
  <c r="BL22" i="9"/>
  <c r="BS22" i="9"/>
  <c r="BT22" i="9"/>
  <c r="BU22" i="9"/>
  <c r="H23" i="9"/>
  <c r="I23" i="9"/>
  <c r="J23" i="9"/>
  <c r="Q23" i="9"/>
  <c r="R23" i="9"/>
  <c r="S23" i="9"/>
  <c r="Z23" i="9"/>
  <c r="AA23" i="9"/>
  <c r="AB23" i="9"/>
  <c r="AI23" i="9"/>
  <c r="AJ23" i="9"/>
  <c r="AK23" i="9"/>
  <c r="AR23" i="9"/>
  <c r="AS23" i="9"/>
  <c r="AT23" i="9"/>
  <c r="BA23" i="9"/>
  <c r="BB23" i="9"/>
  <c r="BC23" i="9"/>
  <c r="BJ23" i="9"/>
  <c r="BK23" i="9"/>
  <c r="BL23" i="9"/>
  <c r="BS23" i="9"/>
  <c r="BT23" i="9"/>
  <c r="BU23" i="9"/>
  <c r="H24" i="9"/>
  <c r="I24" i="9"/>
  <c r="J24" i="9"/>
  <c r="Q24" i="9"/>
  <c r="R24" i="9"/>
  <c r="S24" i="9"/>
  <c r="Z24" i="9"/>
  <c r="AA24" i="9"/>
  <c r="AB24" i="9"/>
  <c r="AI24" i="9"/>
  <c r="AJ24" i="9"/>
  <c r="AK24" i="9"/>
  <c r="AR24" i="9"/>
  <c r="AS24" i="9"/>
  <c r="AT24" i="9"/>
  <c r="BA24" i="9"/>
  <c r="BB24" i="9"/>
  <c r="BC24" i="9"/>
  <c r="BJ24" i="9"/>
  <c r="BK24" i="9"/>
  <c r="BL24" i="9"/>
  <c r="BS24" i="9"/>
  <c r="BT24" i="9"/>
  <c r="BU24" i="9"/>
  <c r="H25" i="9"/>
  <c r="I25" i="9"/>
  <c r="J25" i="9"/>
  <c r="Q25" i="9"/>
  <c r="R25" i="9"/>
  <c r="S25" i="9"/>
  <c r="Z25" i="9"/>
  <c r="AA25" i="9"/>
  <c r="AB25" i="9"/>
  <c r="AI25" i="9"/>
  <c r="AJ25" i="9"/>
  <c r="AK25" i="9"/>
  <c r="AR25" i="9"/>
  <c r="AS25" i="9"/>
  <c r="AT25" i="9"/>
  <c r="BA25" i="9"/>
  <c r="BB25" i="9"/>
  <c r="BC25" i="9"/>
  <c r="BJ25" i="9"/>
  <c r="BK25" i="9"/>
  <c r="BL25" i="9"/>
  <c r="BS25" i="9"/>
  <c r="BT25" i="9"/>
  <c r="BU25" i="9"/>
  <c r="H26" i="9"/>
  <c r="I26" i="9"/>
  <c r="J26" i="9"/>
  <c r="Q26" i="9"/>
  <c r="R26" i="9"/>
  <c r="S26" i="9"/>
  <c r="Z26" i="9"/>
  <c r="AA26" i="9"/>
  <c r="AB26" i="9"/>
  <c r="AI26" i="9"/>
  <c r="AJ26" i="9"/>
  <c r="AK26" i="9"/>
  <c r="AR26" i="9"/>
  <c r="AS26" i="9"/>
  <c r="AT26" i="9"/>
  <c r="BA26" i="9"/>
  <c r="BB26" i="9"/>
  <c r="BC26" i="9"/>
  <c r="BJ26" i="9"/>
  <c r="BK26" i="9"/>
  <c r="BL26" i="9"/>
  <c r="BS26" i="9"/>
  <c r="BT26" i="9"/>
  <c r="BU26" i="9"/>
  <c r="H35" i="9"/>
  <c r="I35" i="9"/>
  <c r="J35" i="9"/>
  <c r="Q35" i="9"/>
  <c r="R35" i="9"/>
  <c r="S35" i="9"/>
  <c r="Z35" i="9"/>
  <c r="AA35" i="9"/>
  <c r="AA46" i="9" s="1"/>
  <c r="AB35" i="9"/>
  <c r="H36" i="9"/>
  <c r="I36" i="9"/>
  <c r="I46" i="9" s="1"/>
  <c r="J36" i="9"/>
  <c r="Q36" i="9"/>
  <c r="R36" i="9"/>
  <c r="R46" i="9" s="1"/>
  <c r="S36" i="9"/>
  <c r="Z36" i="9"/>
  <c r="AA36" i="9"/>
  <c r="AB36" i="9"/>
  <c r="H37" i="9"/>
  <c r="I37" i="9"/>
  <c r="J37" i="9"/>
  <c r="Q37" i="9"/>
  <c r="R37" i="9"/>
  <c r="S37" i="9"/>
  <c r="Z37" i="9"/>
  <c r="AA37" i="9"/>
  <c r="AB37" i="9"/>
  <c r="H38" i="9"/>
  <c r="I38" i="9"/>
  <c r="J38" i="9"/>
  <c r="Q38" i="9"/>
  <c r="R38" i="9"/>
  <c r="S38" i="9"/>
  <c r="Z38" i="9"/>
  <c r="AA38" i="9"/>
  <c r="AB38" i="9"/>
  <c r="H39" i="9"/>
  <c r="I39" i="9"/>
  <c r="J39" i="9"/>
  <c r="Q39" i="9"/>
  <c r="R39" i="9"/>
  <c r="S39" i="9"/>
  <c r="Z39" i="9"/>
  <c r="AA39" i="9"/>
  <c r="AB39" i="9"/>
  <c r="H40" i="9"/>
  <c r="I40" i="9"/>
  <c r="J40" i="9"/>
  <c r="Q40" i="9"/>
  <c r="R40" i="9"/>
  <c r="S40" i="9"/>
  <c r="Z40" i="9"/>
  <c r="AA40" i="9"/>
  <c r="AB40" i="9"/>
  <c r="H41" i="9"/>
  <c r="I41" i="9"/>
  <c r="J41" i="9"/>
  <c r="Q41" i="9"/>
  <c r="R41" i="9"/>
  <c r="S41" i="9"/>
  <c r="Z41" i="9"/>
  <c r="AA41" i="9"/>
  <c r="AB41" i="9"/>
  <c r="H42" i="9"/>
  <c r="I42" i="9"/>
  <c r="J42" i="9"/>
  <c r="Q42" i="9"/>
  <c r="R42" i="9"/>
  <c r="S42" i="9"/>
  <c r="Z42" i="9"/>
  <c r="AA42" i="9"/>
  <c r="AB42" i="9"/>
  <c r="H43" i="9"/>
  <c r="I43" i="9"/>
  <c r="J43" i="9"/>
  <c r="Q43" i="9"/>
  <c r="R43" i="9"/>
  <c r="S43" i="9"/>
  <c r="Z43" i="9"/>
  <c r="AA43" i="9"/>
  <c r="AB43" i="9"/>
  <c r="H44" i="9"/>
  <c r="I44" i="9"/>
  <c r="J44" i="9"/>
  <c r="Q44" i="9"/>
  <c r="R44" i="9"/>
  <c r="S44" i="9"/>
  <c r="Z44" i="9"/>
  <c r="AA44" i="9"/>
  <c r="AB44" i="9"/>
  <c r="H45" i="9"/>
  <c r="I45" i="9"/>
  <c r="J45" i="9"/>
  <c r="Q45" i="9"/>
  <c r="R45" i="9"/>
  <c r="S45" i="9"/>
  <c r="Z45" i="9"/>
  <c r="AA45" i="9"/>
  <c r="AB45" i="9"/>
  <c r="D10" i="8"/>
  <c r="E10" i="8"/>
  <c r="I10" i="8"/>
  <c r="J10" i="8"/>
  <c r="N10" i="8"/>
  <c r="O10" i="8"/>
  <c r="S10" i="8"/>
  <c r="T10" i="8"/>
  <c r="X10" i="8"/>
  <c r="Y10" i="8"/>
  <c r="AC10" i="8"/>
  <c r="AD10" i="8"/>
  <c r="AH10" i="8"/>
  <c r="AI10" i="8"/>
  <c r="AM10" i="8"/>
  <c r="AN10" i="8"/>
  <c r="AR10" i="8"/>
  <c r="AS10" i="8"/>
  <c r="AW10" i="8"/>
  <c r="AX10" i="8"/>
  <c r="BB10" i="8"/>
  <c r="BC10" i="8"/>
  <c r="D11" i="8"/>
  <c r="E11" i="8"/>
  <c r="I11" i="8"/>
  <c r="J11" i="8"/>
  <c r="N11" i="8"/>
  <c r="O11" i="8"/>
  <c r="S11" i="8"/>
  <c r="T11" i="8"/>
  <c r="X11" i="8"/>
  <c r="Y11" i="8"/>
  <c r="AC11" i="8"/>
  <c r="AD11" i="8"/>
  <c r="AH11" i="8"/>
  <c r="AI11" i="8"/>
  <c r="AM11" i="8"/>
  <c r="AN11" i="8"/>
  <c r="AR11" i="8"/>
  <c r="AS11" i="8"/>
  <c r="AW11" i="8"/>
  <c r="AX11" i="8"/>
  <c r="BB11" i="8"/>
  <c r="BC11" i="8"/>
  <c r="D12" i="8"/>
  <c r="E12" i="8"/>
  <c r="I12" i="8"/>
  <c r="J12" i="8"/>
  <c r="N12" i="8"/>
  <c r="O12" i="8"/>
  <c r="S12" i="8"/>
  <c r="T12" i="8"/>
  <c r="X12" i="8"/>
  <c r="Y12" i="8"/>
  <c r="AC12" i="8"/>
  <c r="AD12" i="8"/>
  <c r="AH12" i="8"/>
  <c r="AI12" i="8"/>
  <c r="AM12" i="8"/>
  <c r="AN12" i="8"/>
  <c r="AR12" i="8"/>
  <c r="AS12" i="8"/>
  <c r="AW12" i="8"/>
  <c r="AX12" i="8"/>
  <c r="BB12" i="8"/>
  <c r="BC12" i="8"/>
  <c r="D13" i="8"/>
  <c r="E13" i="8"/>
  <c r="I13" i="8"/>
  <c r="J13" i="8"/>
  <c r="N13" i="8"/>
  <c r="O13" i="8"/>
  <c r="S13" i="8"/>
  <c r="T13" i="8"/>
  <c r="X13" i="8"/>
  <c r="Y13" i="8"/>
  <c r="AC13" i="8"/>
  <c r="AD13" i="8"/>
  <c r="AH13" i="8"/>
  <c r="AI13" i="8"/>
  <c r="AM13" i="8"/>
  <c r="AN13" i="8"/>
  <c r="AR13" i="8"/>
  <c r="AS13" i="8"/>
  <c r="AW13" i="8"/>
  <c r="AX13" i="8"/>
  <c r="BB13" i="8"/>
  <c r="BC13" i="8"/>
  <c r="D14" i="8"/>
  <c r="E14" i="8"/>
  <c r="I14" i="8"/>
  <c r="J14" i="8"/>
  <c r="N14" i="8"/>
  <c r="O14" i="8"/>
  <c r="S14" i="8"/>
  <c r="T14" i="8"/>
  <c r="X14" i="8"/>
  <c r="Y14" i="8"/>
  <c r="AC14" i="8"/>
  <c r="AD14" i="8"/>
  <c r="AH14" i="8"/>
  <c r="AI14" i="8"/>
  <c r="AM14" i="8"/>
  <c r="AN14" i="8"/>
  <c r="AR14" i="8"/>
  <c r="AS14" i="8"/>
  <c r="AW14" i="8"/>
  <c r="AX14" i="8"/>
  <c r="BB14" i="8"/>
  <c r="BC14" i="8"/>
  <c r="D15" i="8"/>
  <c r="E15" i="8"/>
  <c r="I15" i="8"/>
  <c r="J15" i="8"/>
  <c r="N15" i="8"/>
  <c r="O15" i="8"/>
  <c r="S15" i="8"/>
  <c r="T15" i="8"/>
  <c r="X15" i="8"/>
  <c r="Y15" i="8"/>
  <c r="AC15" i="8"/>
  <c r="AD15" i="8"/>
  <c r="AH15" i="8"/>
  <c r="AI15" i="8"/>
  <c r="AM15" i="8"/>
  <c r="AN15" i="8"/>
  <c r="AR15" i="8"/>
  <c r="AS15" i="8"/>
  <c r="AW15" i="8"/>
  <c r="AX15" i="8"/>
  <c r="BB15" i="8"/>
  <c r="BC15" i="8"/>
  <c r="D16" i="8"/>
  <c r="E16" i="8"/>
  <c r="I16" i="8"/>
  <c r="J16" i="8"/>
  <c r="N16" i="8"/>
  <c r="O16" i="8"/>
  <c r="S16" i="8"/>
  <c r="T16" i="8"/>
  <c r="X16" i="8"/>
  <c r="Y16" i="8"/>
  <c r="AC16" i="8"/>
  <c r="AD16" i="8"/>
  <c r="AH16" i="8"/>
  <c r="AI16" i="8"/>
  <c r="AM16" i="8"/>
  <c r="AN16" i="8"/>
  <c r="AR16" i="8"/>
  <c r="AS16" i="8"/>
  <c r="AW16" i="8"/>
  <c r="AX16" i="8"/>
  <c r="BB16" i="8"/>
  <c r="BC16" i="8"/>
  <c r="D17" i="8"/>
  <c r="E17" i="8"/>
  <c r="I17" i="8"/>
  <c r="J17" i="8"/>
  <c r="N17" i="8"/>
  <c r="O17" i="8"/>
  <c r="S17" i="8"/>
  <c r="T17" i="8"/>
  <c r="X17" i="8"/>
  <c r="Y17" i="8"/>
  <c r="AC17" i="8"/>
  <c r="AD17" i="8"/>
  <c r="AH17" i="8"/>
  <c r="AI17" i="8"/>
  <c r="AM17" i="8"/>
  <c r="AN17" i="8"/>
  <c r="AR17" i="8"/>
  <c r="AS17" i="8"/>
  <c r="AW17" i="8"/>
  <c r="AX17" i="8"/>
  <c r="BB17" i="8"/>
  <c r="BC17" i="8"/>
  <c r="D18" i="8"/>
  <c r="E18" i="8"/>
  <c r="I18" i="8"/>
  <c r="J18" i="8"/>
  <c r="N18" i="8"/>
  <c r="O18" i="8"/>
  <c r="S18" i="8"/>
  <c r="T18" i="8"/>
  <c r="X18" i="8"/>
  <c r="Y18" i="8"/>
  <c r="AC18" i="8"/>
  <c r="AD18" i="8"/>
  <c r="AH18" i="8"/>
  <c r="AI18" i="8"/>
  <c r="AM18" i="8"/>
  <c r="AN18" i="8"/>
  <c r="AR18" i="8"/>
  <c r="AS18" i="8"/>
  <c r="AW18" i="8"/>
  <c r="AX18" i="8"/>
  <c r="BB18" i="8"/>
  <c r="BC18" i="8"/>
  <c r="D19" i="8"/>
  <c r="E19" i="8"/>
  <c r="I19" i="8"/>
  <c r="J19" i="8"/>
  <c r="N19" i="8"/>
  <c r="O19" i="8"/>
  <c r="S19" i="8"/>
  <c r="T19" i="8"/>
  <c r="X19" i="8"/>
  <c r="Y19" i="8"/>
  <c r="AC19" i="8"/>
  <c r="AD19" i="8"/>
  <c r="AH19" i="8"/>
  <c r="AI19" i="8"/>
  <c r="AM19" i="8"/>
  <c r="AN19" i="8"/>
  <c r="AR19" i="8"/>
  <c r="AS19" i="8"/>
  <c r="AW19" i="8"/>
  <c r="AX19" i="8"/>
  <c r="BB19" i="8"/>
  <c r="BC19" i="8"/>
  <c r="D20" i="8"/>
  <c r="E20" i="8"/>
  <c r="I20" i="8"/>
  <c r="J20" i="8"/>
  <c r="N20" i="8"/>
  <c r="O20" i="8"/>
  <c r="S20" i="8"/>
  <c r="T20" i="8"/>
  <c r="X20" i="8"/>
  <c r="Y20" i="8"/>
  <c r="AC20" i="8"/>
  <c r="AD20" i="8"/>
  <c r="AH20" i="8"/>
  <c r="AI20" i="8"/>
  <c r="AM20" i="8"/>
  <c r="AN20" i="8"/>
  <c r="AR20" i="8"/>
  <c r="AS20" i="8"/>
  <c r="AW20" i="8"/>
  <c r="AX20" i="8"/>
  <c r="BB20" i="8"/>
  <c r="BC20" i="8"/>
  <c r="C52" i="8"/>
  <c r="H52" i="8"/>
  <c r="M52" i="8"/>
  <c r="R52" i="8"/>
  <c r="W52" i="8"/>
  <c r="AB52" i="8"/>
  <c r="AG52" i="8"/>
  <c r="AL52" i="8"/>
  <c r="AQ52" i="8"/>
  <c r="AV52" i="8"/>
  <c r="BA52" i="8"/>
  <c r="BE52" i="8"/>
  <c r="BH52" i="8"/>
  <c r="BK52" i="8"/>
  <c r="BN52" i="8"/>
  <c r="BQ52" i="8"/>
  <c r="BT52" i="8"/>
  <c r="C53" i="8"/>
  <c r="H53" i="8"/>
  <c r="M53" i="8"/>
  <c r="R53" i="8"/>
  <c r="W53" i="8"/>
  <c r="AB53" i="8"/>
  <c r="AG53" i="8"/>
  <c r="AL53" i="8"/>
  <c r="AQ53" i="8"/>
  <c r="AV53" i="8"/>
  <c r="BA53" i="8"/>
  <c r="BE53" i="8"/>
  <c r="BH53" i="8"/>
  <c r="BK53" i="8"/>
  <c r="BN53" i="8"/>
  <c r="BQ53" i="8"/>
  <c r="BT53" i="8"/>
  <c r="C54" i="8"/>
  <c r="H54" i="8"/>
  <c r="M54" i="8"/>
  <c r="R54" i="8"/>
  <c r="W54" i="8"/>
  <c r="AB54" i="8"/>
  <c r="AG54" i="8"/>
  <c r="AL54" i="8"/>
  <c r="AQ54" i="8"/>
  <c r="AV54" i="8"/>
  <c r="BA54" i="8"/>
  <c r="BE54" i="8"/>
  <c r="BH54" i="8"/>
  <c r="BK54" i="8"/>
  <c r="BN54" i="8"/>
  <c r="BQ54" i="8"/>
  <c r="BT54" i="8"/>
  <c r="C55" i="8"/>
  <c r="H55" i="8"/>
  <c r="M55" i="8"/>
  <c r="R55" i="8"/>
  <c r="W55" i="8"/>
  <c r="AB55" i="8"/>
  <c r="AG55" i="8"/>
  <c r="AL55" i="8"/>
  <c r="AQ55" i="8"/>
  <c r="AV55" i="8"/>
  <c r="BA55" i="8"/>
  <c r="BE55" i="8"/>
  <c r="BH55" i="8"/>
  <c r="BK55" i="8"/>
  <c r="BN55" i="8"/>
  <c r="BQ55" i="8"/>
  <c r="BT55" i="8"/>
  <c r="C56" i="8"/>
  <c r="H56" i="8"/>
  <c r="M56" i="8"/>
  <c r="R56" i="8"/>
  <c r="W56" i="8"/>
  <c r="AB56" i="8"/>
  <c r="AG56" i="8"/>
  <c r="AL56" i="8"/>
  <c r="AQ56" i="8"/>
  <c r="AV56" i="8"/>
  <c r="BA56" i="8"/>
  <c r="BE56" i="8"/>
  <c r="BH56" i="8"/>
  <c r="BK56" i="8"/>
  <c r="BN56" i="8"/>
  <c r="BQ56" i="8"/>
  <c r="BT56" i="8"/>
  <c r="C57" i="8"/>
  <c r="H57" i="8"/>
  <c r="M57" i="8"/>
  <c r="R57" i="8"/>
  <c r="W57" i="8"/>
  <c r="AB57" i="8"/>
  <c r="AG57" i="8"/>
  <c r="AL57" i="8"/>
  <c r="AQ57" i="8"/>
  <c r="AV57" i="8"/>
  <c r="BA57" i="8"/>
  <c r="BE57" i="8"/>
  <c r="BH57" i="8"/>
  <c r="BK57" i="8"/>
  <c r="BN57" i="8"/>
  <c r="BQ57" i="8"/>
  <c r="BT57" i="8"/>
  <c r="C58" i="8"/>
  <c r="H58" i="8"/>
  <c r="M58" i="8"/>
  <c r="R58" i="8"/>
  <c r="W58" i="8"/>
  <c r="AB58" i="8"/>
  <c r="AG58" i="8"/>
  <c r="AL58" i="8"/>
  <c r="AQ58" i="8"/>
  <c r="AV58" i="8"/>
  <c r="BA58" i="8"/>
  <c r="BE58" i="8"/>
  <c r="BH58" i="8"/>
  <c r="BK58" i="8"/>
  <c r="BN58" i="8"/>
  <c r="BQ58" i="8"/>
  <c r="BT58" i="8"/>
  <c r="C59" i="8"/>
  <c r="H59" i="8"/>
  <c r="M59" i="8"/>
  <c r="R59" i="8"/>
  <c r="W59" i="8"/>
  <c r="AB59" i="8"/>
  <c r="AG59" i="8"/>
  <c r="AL59" i="8"/>
  <c r="AQ59" i="8"/>
  <c r="AV59" i="8"/>
  <c r="BA59" i="8"/>
  <c r="BE59" i="8"/>
  <c r="BH59" i="8"/>
  <c r="BK59" i="8"/>
  <c r="BN59" i="8"/>
  <c r="BQ59" i="8"/>
  <c r="BT59" i="8"/>
  <c r="C60" i="8"/>
  <c r="H60" i="8"/>
  <c r="M60" i="8"/>
  <c r="R60" i="8"/>
  <c r="W60" i="8"/>
  <c r="AB60" i="8"/>
  <c r="AG60" i="8"/>
  <c r="AL60" i="8"/>
  <c r="AQ60" i="8"/>
  <c r="AV60" i="8"/>
  <c r="BA60" i="8"/>
  <c r="BE60" i="8"/>
  <c r="BH60" i="8"/>
  <c r="BK60" i="8"/>
  <c r="BN60" i="8"/>
  <c r="BQ60" i="8"/>
  <c r="BT60" i="8"/>
  <c r="C61" i="8"/>
  <c r="H61" i="8"/>
  <c r="M61" i="8"/>
  <c r="R61" i="8"/>
  <c r="W61" i="8"/>
  <c r="AB61" i="8"/>
  <c r="AG61" i="8"/>
  <c r="AL61" i="8"/>
  <c r="AQ61" i="8"/>
  <c r="AV61" i="8"/>
  <c r="BA61" i="8"/>
  <c r="BE61" i="8"/>
  <c r="BH61" i="8"/>
  <c r="BK61" i="8"/>
  <c r="BN61" i="8"/>
  <c r="BQ61" i="8"/>
  <c r="BT61" i="8"/>
  <c r="C62" i="8"/>
  <c r="H62" i="8"/>
  <c r="M62" i="8"/>
  <c r="R62" i="8"/>
  <c r="W62" i="8"/>
  <c r="AB62" i="8"/>
  <c r="AG62" i="8"/>
  <c r="AL62" i="8"/>
  <c r="AQ62" i="8"/>
  <c r="AV62" i="8"/>
  <c r="BA62" i="8"/>
  <c r="BE62" i="8"/>
  <c r="BH62" i="8"/>
  <c r="BK62" i="8"/>
  <c r="BN62" i="8"/>
  <c r="BQ62" i="8"/>
  <c r="BT62" i="8"/>
  <c r="C63" i="8"/>
  <c r="H63" i="8"/>
  <c r="M63" i="8"/>
  <c r="R63" i="8"/>
  <c r="W63" i="8"/>
  <c r="AB63" i="8"/>
  <c r="AG63" i="8"/>
  <c r="AL63" i="8"/>
  <c r="AQ63" i="8"/>
  <c r="AV63" i="8"/>
  <c r="BA63" i="8"/>
  <c r="BE63" i="8"/>
  <c r="BH63" i="8"/>
  <c r="BK63" i="8"/>
  <c r="BN63" i="8"/>
  <c r="BQ63" i="8"/>
  <c r="BT63" i="8"/>
  <c r="C64" i="8"/>
  <c r="H64" i="8"/>
  <c r="M64" i="8"/>
  <c r="R64" i="8"/>
  <c r="W64" i="8"/>
  <c r="AB64" i="8"/>
  <c r="AG64" i="8"/>
  <c r="AL64" i="8"/>
  <c r="AQ64" i="8"/>
  <c r="AV64" i="8"/>
  <c r="BA64" i="8"/>
  <c r="BE64" i="8"/>
  <c r="BH64" i="8"/>
  <c r="BK64" i="8"/>
  <c r="BN64" i="8"/>
  <c r="BQ64" i="8"/>
  <c r="BT64" i="8"/>
  <c r="C65" i="8"/>
  <c r="H65" i="8"/>
  <c r="M65" i="8"/>
  <c r="R65" i="8"/>
  <c r="W65" i="8"/>
  <c r="AB65" i="8"/>
  <c r="AG65" i="8"/>
  <c r="AL65" i="8"/>
  <c r="AQ65" i="8"/>
  <c r="AV65" i="8"/>
  <c r="BA65" i="8"/>
  <c r="BE65" i="8"/>
  <c r="BH65" i="8"/>
  <c r="BK65" i="8"/>
  <c r="BN65" i="8"/>
  <c r="BQ65" i="8"/>
  <c r="BT65" i="8"/>
  <c r="C66" i="8"/>
  <c r="H66" i="8"/>
  <c r="M66" i="8"/>
  <c r="R66" i="8"/>
  <c r="W66" i="8"/>
  <c r="AB66" i="8"/>
  <c r="AG66" i="8"/>
  <c r="AL66" i="8"/>
  <c r="AQ66" i="8"/>
  <c r="AV66" i="8"/>
  <c r="BA66" i="8"/>
  <c r="BE66" i="8"/>
  <c r="BH66" i="8"/>
  <c r="BK66" i="8"/>
  <c r="BN66" i="8"/>
  <c r="BQ66" i="8"/>
  <c r="BT66" i="8"/>
  <c r="C67" i="8"/>
  <c r="H67" i="8"/>
  <c r="M67" i="8"/>
  <c r="R67" i="8"/>
  <c r="W67" i="8"/>
  <c r="AB67" i="8"/>
  <c r="AG67" i="8"/>
  <c r="AL67" i="8"/>
  <c r="AQ67" i="8"/>
  <c r="AV67" i="8"/>
  <c r="BA67" i="8"/>
  <c r="BE67" i="8"/>
  <c r="BH67" i="8"/>
  <c r="BK67" i="8"/>
  <c r="BN67" i="8"/>
  <c r="BQ67" i="8"/>
  <c r="BT67" i="8"/>
  <c r="C68" i="8"/>
  <c r="H68" i="8"/>
  <c r="M68" i="8"/>
  <c r="R68" i="8"/>
  <c r="W68" i="8"/>
  <c r="AB68" i="8"/>
  <c r="AG68" i="8"/>
  <c r="AL68" i="8"/>
  <c r="AQ68" i="8"/>
  <c r="AV68" i="8"/>
  <c r="BA68" i="8"/>
  <c r="BE68" i="8"/>
  <c r="BH68" i="8"/>
  <c r="BK68" i="8"/>
  <c r="BN68" i="8"/>
  <c r="BQ68" i="8"/>
  <c r="BT68" i="8"/>
  <c r="C69" i="8"/>
  <c r="H69" i="8"/>
  <c r="M69" i="8"/>
  <c r="R69" i="8"/>
  <c r="W69" i="8"/>
  <c r="AB69" i="8"/>
  <c r="AG69" i="8"/>
  <c r="AL69" i="8"/>
  <c r="AQ69" i="8"/>
  <c r="AV69" i="8"/>
  <c r="BA69" i="8"/>
  <c r="BE69" i="8"/>
  <c r="BH69" i="8"/>
  <c r="BK69" i="8"/>
  <c r="BN69" i="8"/>
  <c r="BQ69" i="8"/>
  <c r="BT69" i="8"/>
  <c r="C70" i="8"/>
  <c r="H70" i="8"/>
  <c r="M70" i="8"/>
  <c r="R70" i="8"/>
  <c r="W70" i="8"/>
  <c r="AB70" i="8"/>
  <c r="AG70" i="8"/>
  <c r="AL70" i="8"/>
  <c r="AQ70" i="8"/>
  <c r="AV70" i="8"/>
  <c r="BA70" i="8"/>
  <c r="BE70" i="8"/>
  <c r="BH70" i="8"/>
  <c r="BK70" i="8"/>
  <c r="BN70" i="8"/>
  <c r="BQ70" i="8"/>
  <c r="BT70" i="8"/>
  <c r="C71" i="8"/>
  <c r="H71" i="8"/>
  <c r="M71" i="8"/>
  <c r="R71" i="8"/>
  <c r="W71" i="8"/>
  <c r="AB71" i="8"/>
  <c r="AG71" i="8"/>
  <c r="AL71" i="8"/>
  <c r="AQ71" i="8"/>
  <c r="AV71" i="8"/>
  <c r="BA71" i="8"/>
  <c r="BE71" i="8"/>
  <c r="BH71" i="8"/>
  <c r="BK71" i="8"/>
  <c r="BN71" i="8"/>
  <c r="BQ71" i="8"/>
  <c r="BT71" i="8"/>
  <c r="G3" i="7"/>
  <c r="H3" i="7"/>
  <c r="I3" i="7"/>
  <c r="M3" i="7"/>
  <c r="N3" i="7"/>
  <c r="O3" i="7"/>
  <c r="G4" i="7"/>
  <c r="G139" i="7" s="1"/>
  <c r="H4" i="7"/>
  <c r="H139" i="7" s="1"/>
  <c r="I4" i="7"/>
  <c r="M4" i="7"/>
  <c r="N4" i="7"/>
  <c r="O4" i="7"/>
  <c r="G5" i="7"/>
  <c r="H5" i="7"/>
  <c r="I5" i="7"/>
  <c r="M5" i="7"/>
  <c r="N5" i="7"/>
  <c r="O5" i="7"/>
  <c r="G6" i="7"/>
  <c r="G128" i="7" s="1"/>
  <c r="H6" i="7"/>
  <c r="H128" i="7" s="1"/>
  <c r="I6" i="7"/>
  <c r="M6" i="7"/>
  <c r="N6" i="7"/>
  <c r="O6" i="7"/>
  <c r="G7" i="7"/>
  <c r="G132" i="7" s="1"/>
  <c r="H7" i="7"/>
  <c r="H132" i="7" s="1"/>
  <c r="I7" i="7"/>
  <c r="M7" i="7"/>
  <c r="M128" i="7" s="1"/>
  <c r="N7" i="7"/>
  <c r="N128" i="7" s="1"/>
  <c r="O7" i="7"/>
  <c r="G8" i="7"/>
  <c r="I8" i="7" s="1"/>
  <c r="H8" i="7"/>
  <c r="M8" i="7"/>
  <c r="N8" i="7"/>
  <c r="O8" i="7"/>
  <c r="G9" i="7"/>
  <c r="H9" i="7"/>
  <c r="I9" i="7"/>
  <c r="M9" i="7"/>
  <c r="N9" i="7"/>
  <c r="O9" i="7"/>
  <c r="G10" i="7"/>
  <c r="H10" i="7"/>
  <c r="I10" i="7"/>
  <c r="M10" i="7"/>
  <c r="N10" i="7"/>
  <c r="O10" i="7"/>
  <c r="G11" i="7"/>
  <c r="H11" i="7"/>
  <c r="I11" i="7"/>
  <c r="M11" i="7"/>
  <c r="N11" i="7"/>
  <c r="O11" i="7"/>
  <c r="G12" i="7"/>
  <c r="H12" i="7"/>
  <c r="I12" i="7"/>
  <c r="M12" i="7"/>
  <c r="N12" i="7"/>
  <c r="O12" i="7"/>
  <c r="G13" i="7"/>
  <c r="H13" i="7"/>
  <c r="I13" i="7"/>
  <c r="M13" i="7"/>
  <c r="O13" i="7" s="1"/>
  <c r="N13" i="7"/>
  <c r="G14" i="7"/>
  <c r="H14" i="7"/>
  <c r="I14" i="7"/>
  <c r="M14" i="7"/>
  <c r="N14" i="7"/>
  <c r="O14" i="7"/>
  <c r="G15" i="7"/>
  <c r="G127" i="7" s="1"/>
  <c r="H15" i="7"/>
  <c r="H127" i="7" s="1"/>
  <c r="I15" i="7"/>
  <c r="M15" i="7"/>
  <c r="M127" i="7" s="1"/>
  <c r="N15" i="7"/>
  <c r="N127" i="7" s="1"/>
  <c r="O15" i="7"/>
  <c r="G16" i="7"/>
  <c r="H16" i="7"/>
  <c r="I16" i="7"/>
  <c r="M16" i="7"/>
  <c r="N16" i="7"/>
  <c r="O16" i="7"/>
  <c r="G17" i="7"/>
  <c r="H17" i="7"/>
  <c r="I17" i="7"/>
  <c r="M17" i="7"/>
  <c r="N17" i="7"/>
  <c r="O17" i="7"/>
  <c r="G18" i="7"/>
  <c r="H18" i="7"/>
  <c r="I18" i="7"/>
  <c r="M18" i="7"/>
  <c r="N18" i="7"/>
  <c r="O18" i="7"/>
  <c r="G19" i="7"/>
  <c r="H19" i="7"/>
  <c r="I19" i="7"/>
  <c r="M19" i="7"/>
  <c r="N19" i="7"/>
  <c r="O19" i="7"/>
  <c r="G20" i="7"/>
  <c r="H20" i="7"/>
  <c r="I20" i="7"/>
  <c r="M20" i="7"/>
  <c r="N20" i="7"/>
  <c r="O20" i="7"/>
  <c r="G21" i="7"/>
  <c r="H21" i="7"/>
  <c r="I21" i="7"/>
  <c r="M21" i="7"/>
  <c r="N21" i="7"/>
  <c r="O21" i="7"/>
  <c r="G22" i="7"/>
  <c r="H22" i="7"/>
  <c r="I22" i="7"/>
  <c r="M22" i="7"/>
  <c r="N22" i="7"/>
  <c r="O22" i="7"/>
  <c r="G23" i="7"/>
  <c r="H23" i="7"/>
  <c r="I23" i="7"/>
  <c r="M23" i="7"/>
  <c r="N23" i="7"/>
  <c r="O23" i="7"/>
  <c r="G24" i="7"/>
  <c r="I24" i="7" s="1"/>
  <c r="H24" i="7"/>
  <c r="M24" i="7"/>
  <c r="N24" i="7"/>
  <c r="O24" i="7"/>
  <c r="G25" i="7"/>
  <c r="H25" i="7"/>
  <c r="I25" i="7"/>
  <c r="M25" i="7"/>
  <c r="N25" i="7"/>
  <c r="O25" i="7"/>
  <c r="G26" i="7"/>
  <c r="G140" i="7" s="1"/>
  <c r="H26" i="7"/>
  <c r="H140" i="7" s="1"/>
  <c r="I26" i="7"/>
  <c r="I140" i="7" s="1"/>
  <c r="M26" i="7"/>
  <c r="N26" i="7"/>
  <c r="O26" i="7"/>
  <c r="G27" i="7"/>
  <c r="H27" i="7"/>
  <c r="I27" i="7"/>
  <c r="M27" i="7"/>
  <c r="N27" i="7"/>
  <c r="O27" i="7"/>
  <c r="G28" i="7"/>
  <c r="H28" i="7"/>
  <c r="I28" i="7"/>
  <c r="M28" i="7"/>
  <c r="N28" i="7"/>
  <c r="O28" i="7"/>
  <c r="G29" i="7"/>
  <c r="G126" i="7" s="1"/>
  <c r="H29" i="7"/>
  <c r="H126" i="7" s="1"/>
  <c r="I29" i="7"/>
  <c r="I126" i="7" s="1"/>
  <c r="M29" i="7"/>
  <c r="O29" i="7" s="1"/>
  <c r="O126" i="7" s="1"/>
  <c r="N29" i="7"/>
  <c r="G30" i="7"/>
  <c r="H30" i="7"/>
  <c r="I30" i="7"/>
  <c r="M30" i="7"/>
  <c r="N30" i="7"/>
  <c r="O30" i="7"/>
  <c r="G31" i="7"/>
  <c r="H31" i="7"/>
  <c r="I31" i="7"/>
  <c r="M31" i="7"/>
  <c r="N31" i="7"/>
  <c r="O31" i="7"/>
  <c r="G32" i="7"/>
  <c r="H32" i="7"/>
  <c r="I32" i="7"/>
  <c r="M32" i="7"/>
  <c r="N32" i="7"/>
  <c r="O32" i="7"/>
  <c r="G33" i="7"/>
  <c r="H33" i="7"/>
  <c r="I33" i="7"/>
  <c r="M33" i="7"/>
  <c r="N33" i="7"/>
  <c r="O33" i="7"/>
  <c r="G34" i="7"/>
  <c r="H34" i="7"/>
  <c r="I34" i="7"/>
  <c r="M34" i="7"/>
  <c r="N34" i="7"/>
  <c r="O34" i="7"/>
  <c r="G35" i="7"/>
  <c r="H35" i="7"/>
  <c r="I35" i="7"/>
  <c r="M35" i="7"/>
  <c r="N35" i="7"/>
  <c r="O35" i="7"/>
  <c r="G36" i="7"/>
  <c r="H36" i="7"/>
  <c r="I36" i="7"/>
  <c r="M36" i="7"/>
  <c r="N36" i="7"/>
  <c r="O36" i="7"/>
  <c r="G37" i="7"/>
  <c r="G130" i="7" s="1"/>
  <c r="H37" i="7"/>
  <c r="H130" i="7" s="1"/>
  <c r="I37" i="7"/>
  <c r="M37" i="7"/>
  <c r="M130" i="7" s="1"/>
  <c r="N37" i="7"/>
  <c r="N130" i="7" s="1"/>
  <c r="O37" i="7"/>
  <c r="G38" i="7"/>
  <c r="G141" i="7" s="1"/>
  <c r="H38" i="7"/>
  <c r="H141" i="7" s="1"/>
  <c r="I38" i="7"/>
  <c r="M38" i="7"/>
  <c r="N38" i="7"/>
  <c r="O38" i="7"/>
  <c r="G39" i="7"/>
  <c r="H39" i="7"/>
  <c r="I39" i="7"/>
  <c r="M39" i="7"/>
  <c r="N39" i="7"/>
  <c r="O39" i="7"/>
  <c r="G40" i="7"/>
  <c r="I40" i="7" s="1"/>
  <c r="H40" i="7"/>
  <c r="M40" i="7"/>
  <c r="N40" i="7"/>
  <c r="O40" i="7"/>
  <c r="G41" i="7"/>
  <c r="H41" i="7"/>
  <c r="I41" i="7"/>
  <c r="M41" i="7"/>
  <c r="N41" i="7"/>
  <c r="O41" i="7"/>
  <c r="G42" i="7"/>
  <c r="H42" i="7"/>
  <c r="I42" i="7"/>
  <c r="M42" i="7"/>
  <c r="N42" i="7"/>
  <c r="O42" i="7"/>
  <c r="G43" i="7"/>
  <c r="H43" i="7"/>
  <c r="I43" i="7"/>
  <c r="M43" i="7"/>
  <c r="N43" i="7"/>
  <c r="O43" i="7"/>
  <c r="G44" i="7"/>
  <c r="H44" i="7"/>
  <c r="I44" i="7"/>
  <c r="M44" i="7"/>
  <c r="N44" i="7"/>
  <c r="O44" i="7"/>
  <c r="G45" i="7"/>
  <c r="H45" i="7"/>
  <c r="I45" i="7"/>
  <c r="M45" i="7"/>
  <c r="O45" i="7" s="1"/>
  <c r="N45" i="7"/>
  <c r="G46" i="7"/>
  <c r="H46" i="7"/>
  <c r="I46" i="7"/>
  <c r="M46" i="7"/>
  <c r="N46" i="7"/>
  <c r="O46" i="7"/>
  <c r="G47" i="7"/>
  <c r="H47" i="7"/>
  <c r="I47" i="7"/>
  <c r="M47" i="7"/>
  <c r="M129" i="7" s="1"/>
  <c r="N47" i="7"/>
  <c r="N129" i="7" s="1"/>
  <c r="O47" i="7"/>
  <c r="O129" i="7" s="1"/>
  <c r="G48" i="7"/>
  <c r="H48" i="7"/>
  <c r="I48" i="7"/>
  <c r="M48" i="7"/>
  <c r="N48" i="7"/>
  <c r="O48" i="7"/>
  <c r="G49" i="7"/>
  <c r="H49" i="7"/>
  <c r="I49" i="7"/>
  <c r="M49" i="7"/>
  <c r="N49" i="7"/>
  <c r="O49" i="7"/>
  <c r="G50" i="7"/>
  <c r="H50" i="7"/>
  <c r="I50" i="7"/>
  <c r="M50" i="7"/>
  <c r="N50" i="7"/>
  <c r="O50" i="7"/>
  <c r="G51" i="7"/>
  <c r="H51" i="7"/>
  <c r="I51" i="7"/>
  <c r="M51" i="7"/>
  <c r="N51" i="7"/>
  <c r="O51" i="7"/>
  <c r="G52" i="7"/>
  <c r="H52" i="7"/>
  <c r="I52" i="7"/>
  <c r="M52" i="7"/>
  <c r="N52" i="7"/>
  <c r="O52" i="7"/>
  <c r="G53" i="7"/>
  <c r="H53" i="7"/>
  <c r="I53" i="7"/>
  <c r="M53" i="7"/>
  <c r="N53" i="7"/>
  <c r="O53" i="7"/>
  <c r="G54" i="7"/>
  <c r="H54" i="7"/>
  <c r="I54" i="7"/>
  <c r="M54" i="7"/>
  <c r="N54" i="7"/>
  <c r="O54" i="7"/>
  <c r="G55" i="7"/>
  <c r="H55" i="7"/>
  <c r="I55" i="7"/>
  <c r="M55" i="7"/>
  <c r="N55" i="7"/>
  <c r="O55" i="7"/>
  <c r="G56" i="7"/>
  <c r="I56" i="7" s="1"/>
  <c r="I129" i="7" s="1"/>
  <c r="H56" i="7"/>
  <c r="H129" i="7" s="1"/>
  <c r="M56" i="7"/>
  <c r="N56" i="7"/>
  <c r="O56" i="7"/>
  <c r="G57" i="7"/>
  <c r="H57" i="7"/>
  <c r="I57" i="7"/>
  <c r="N57" i="7"/>
  <c r="O57" i="7"/>
  <c r="G58" i="7"/>
  <c r="H58" i="7"/>
  <c r="I58" i="7"/>
  <c r="N58" i="7"/>
  <c r="O58" i="7"/>
  <c r="G59" i="7"/>
  <c r="G135" i="7" s="1"/>
  <c r="H59" i="7"/>
  <c r="H135" i="7" s="1"/>
  <c r="I59" i="7"/>
  <c r="M59" i="7"/>
  <c r="N59" i="7"/>
  <c r="O59" i="7"/>
  <c r="G60" i="7"/>
  <c r="H60" i="7"/>
  <c r="I60" i="7"/>
  <c r="M60" i="7"/>
  <c r="N60" i="7"/>
  <c r="O60" i="7"/>
  <c r="G61" i="7"/>
  <c r="G142" i="7" s="1"/>
  <c r="H61" i="7"/>
  <c r="H142" i="7" s="1"/>
  <c r="I61" i="7"/>
  <c r="M61" i="7"/>
  <c r="N61" i="7"/>
  <c r="O61" i="7"/>
  <c r="G62" i="7"/>
  <c r="H62" i="7"/>
  <c r="I62" i="7"/>
  <c r="M62" i="7"/>
  <c r="N62" i="7"/>
  <c r="O62" i="7"/>
  <c r="G63" i="7"/>
  <c r="H63" i="7"/>
  <c r="I63" i="7"/>
  <c r="M63" i="7"/>
  <c r="N63" i="7"/>
  <c r="O63" i="7"/>
  <c r="G64" i="7"/>
  <c r="H64" i="7"/>
  <c r="I64" i="7"/>
  <c r="M64" i="7"/>
  <c r="N64" i="7"/>
  <c r="O64" i="7"/>
  <c r="G65" i="7"/>
  <c r="H65" i="7"/>
  <c r="I65" i="7"/>
  <c r="M65" i="7"/>
  <c r="N65" i="7"/>
  <c r="O65" i="7"/>
  <c r="G66" i="7"/>
  <c r="H66" i="7"/>
  <c r="I66" i="7"/>
  <c r="M66" i="7"/>
  <c r="N66" i="7"/>
  <c r="O66" i="7"/>
  <c r="G67" i="7"/>
  <c r="I67" i="7" s="1"/>
  <c r="H67" i="7"/>
  <c r="M67" i="7"/>
  <c r="N67" i="7"/>
  <c r="O67" i="7"/>
  <c r="G68" i="7"/>
  <c r="H68" i="7"/>
  <c r="I68" i="7"/>
  <c r="M68" i="7"/>
  <c r="N68" i="7"/>
  <c r="O68" i="7"/>
  <c r="G69" i="7"/>
  <c r="H69" i="7"/>
  <c r="I69" i="7"/>
  <c r="M69" i="7"/>
  <c r="N69" i="7"/>
  <c r="O69" i="7"/>
  <c r="G70" i="7"/>
  <c r="H70" i="7"/>
  <c r="I70" i="7"/>
  <c r="M70" i="7"/>
  <c r="N70" i="7"/>
  <c r="O70" i="7"/>
  <c r="G71" i="7"/>
  <c r="G136" i="7" s="1"/>
  <c r="H71" i="7"/>
  <c r="H136" i="7" s="1"/>
  <c r="I71" i="7"/>
  <c r="I136" i="7" s="1"/>
  <c r="M71" i="7"/>
  <c r="N71" i="7"/>
  <c r="O71" i="7"/>
  <c r="G72" i="7"/>
  <c r="H72" i="7"/>
  <c r="I72" i="7"/>
  <c r="M72" i="7"/>
  <c r="O72" i="7" s="1"/>
  <c r="N72" i="7"/>
  <c r="G73" i="7"/>
  <c r="H73" i="7"/>
  <c r="I73" i="7"/>
  <c r="M73" i="7"/>
  <c r="N73" i="7"/>
  <c r="O73" i="7"/>
  <c r="G74" i="7"/>
  <c r="H74" i="7"/>
  <c r="I74" i="7"/>
  <c r="M74" i="7"/>
  <c r="N74" i="7"/>
  <c r="O74" i="7"/>
  <c r="G75" i="7"/>
  <c r="H75" i="7"/>
  <c r="I75" i="7"/>
  <c r="M75" i="7"/>
  <c r="N75" i="7"/>
  <c r="O75" i="7"/>
  <c r="G76" i="7"/>
  <c r="H76" i="7"/>
  <c r="I76" i="7"/>
  <c r="M76" i="7"/>
  <c r="N76" i="7"/>
  <c r="O76" i="7"/>
  <c r="G77" i="7"/>
  <c r="H77" i="7"/>
  <c r="I77" i="7"/>
  <c r="M77" i="7"/>
  <c r="N77" i="7"/>
  <c r="O77" i="7"/>
  <c r="G78" i="7"/>
  <c r="H78" i="7"/>
  <c r="I78" i="7"/>
  <c r="M78" i="7"/>
  <c r="N78" i="7"/>
  <c r="O78" i="7"/>
  <c r="G79" i="7"/>
  <c r="H79" i="7"/>
  <c r="I79" i="7"/>
  <c r="M79" i="7"/>
  <c r="N79" i="7"/>
  <c r="O79" i="7"/>
  <c r="G80" i="7"/>
  <c r="G144" i="7" s="1"/>
  <c r="H80" i="7"/>
  <c r="H144" i="7" s="1"/>
  <c r="I80" i="7"/>
  <c r="M80" i="7"/>
  <c r="N80" i="7"/>
  <c r="O80" i="7"/>
  <c r="G81" i="7"/>
  <c r="H81" i="7"/>
  <c r="I81" i="7"/>
  <c r="M81" i="7"/>
  <c r="N81" i="7"/>
  <c r="O81" i="7"/>
  <c r="G82" i="7"/>
  <c r="H82" i="7"/>
  <c r="I82" i="7"/>
  <c r="M82" i="7"/>
  <c r="N82" i="7"/>
  <c r="O82" i="7"/>
  <c r="G83" i="7"/>
  <c r="I83" i="7" s="1"/>
  <c r="H83" i="7"/>
  <c r="M83" i="7"/>
  <c r="N83" i="7"/>
  <c r="O83" i="7"/>
  <c r="G84" i="7"/>
  <c r="H84" i="7"/>
  <c r="I84" i="7"/>
  <c r="M84" i="7"/>
  <c r="N84" i="7"/>
  <c r="O84" i="7"/>
  <c r="G85" i="7"/>
  <c r="H85" i="7"/>
  <c r="I85" i="7"/>
  <c r="M85" i="7"/>
  <c r="N85" i="7"/>
  <c r="O85" i="7"/>
  <c r="G86" i="7"/>
  <c r="H86" i="7"/>
  <c r="I86" i="7"/>
  <c r="M86" i="7"/>
  <c r="N86" i="7"/>
  <c r="O86" i="7"/>
  <c r="G87" i="7"/>
  <c r="H87" i="7"/>
  <c r="I87" i="7"/>
  <c r="M87" i="7"/>
  <c r="N87" i="7"/>
  <c r="O87" i="7"/>
  <c r="G88" i="7"/>
  <c r="H88" i="7"/>
  <c r="I88" i="7"/>
  <c r="M88" i="7"/>
  <c r="O88" i="7" s="1"/>
  <c r="N88" i="7"/>
  <c r="G89" i="7"/>
  <c r="H89" i="7"/>
  <c r="I89" i="7"/>
  <c r="M89" i="7"/>
  <c r="N89" i="7"/>
  <c r="O89" i="7"/>
  <c r="G90" i="7"/>
  <c r="H90" i="7"/>
  <c r="I90" i="7"/>
  <c r="M90" i="7"/>
  <c r="N90" i="7"/>
  <c r="O90" i="7"/>
  <c r="G91" i="7"/>
  <c r="H91" i="7"/>
  <c r="I91" i="7"/>
  <c r="M91" i="7"/>
  <c r="N91" i="7"/>
  <c r="O91" i="7"/>
  <c r="G92" i="7"/>
  <c r="H92" i="7"/>
  <c r="I92" i="7"/>
  <c r="M92" i="7"/>
  <c r="N92" i="7"/>
  <c r="O92" i="7"/>
  <c r="G93" i="7"/>
  <c r="H93" i="7"/>
  <c r="I93" i="7"/>
  <c r="M93" i="7"/>
  <c r="N93" i="7"/>
  <c r="O93" i="7"/>
  <c r="G94" i="7"/>
  <c r="H94" i="7"/>
  <c r="I94" i="7"/>
  <c r="M94" i="7"/>
  <c r="N94" i="7"/>
  <c r="O94" i="7"/>
  <c r="G95" i="7"/>
  <c r="H95" i="7"/>
  <c r="I95" i="7"/>
  <c r="M95" i="7"/>
  <c r="N95" i="7"/>
  <c r="O95" i="7"/>
  <c r="G96" i="7"/>
  <c r="H96" i="7"/>
  <c r="I96" i="7"/>
  <c r="M96" i="7"/>
  <c r="N96" i="7"/>
  <c r="O96" i="7"/>
  <c r="G97" i="7"/>
  <c r="H97" i="7"/>
  <c r="I97" i="7"/>
  <c r="M97" i="7"/>
  <c r="N97" i="7"/>
  <c r="O97" i="7"/>
  <c r="G98" i="7"/>
  <c r="H98" i="7"/>
  <c r="I98" i="7"/>
  <c r="M98" i="7"/>
  <c r="N98" i="7"/>
  <c r="O98" i="7"/>
  <c r="G99" i="7"/>
  <c r="I99" i="7" s="1"/>
  <c r="H99" i="7"/>
  <c r="M99" i="7"/>
  <c r="N99" i="7"/>
  <c r="O99" i="7"/>
  <c r="G100" i="7"/>
  <c r="H100" i="7"/>
  <c r="I100" i="7"/>
  <c r="M100" i="7"/>
  <c r="N100" i="7"/>
  <c r="O100" i="7"/>
  <c r="G101" i="7"/>
  <c r="H101" i="7"/>
  <c r="I101" i="7"/>
  <c r="M101" i="7"/>
  <c r="N101" i="7"/>
  <c r="O101" i="7"/>
  <c r="G102" i="7"/>
  <c r="H102" i="7"/>
  <c r="I102" i="7"/>
  <c r="M102" i="7"/>
  <c r="N102" i="7"/>
  <c r="O102" i="7"/>
  <c r="G103" i="7"/>
  <c r="H103" i="7"/>
  <c r="I103" i="7"/>
  <c r="M103" i="7"/>
  <c r="N103" i="7"/>
  <c r="O103" i="7"/>
  <c r="G104" i="7"/>
  <c r="G137" i="7" s="1"/>
  <c r="H104" i="7"/>
  <c r="H137" i="7" s="1"/>
  <c r="I104" i="7"/>
  <c r="I137" i="7" s="1"/>
  <c r="M104" i="7"/>
  <c r="O104" i="7" s="1"/>
  <c r="N104" i="7"/>
  <c r="G105" i="7"/>
  <c r="H105" i="7"/>
  <c r="I105" i="7"/>
  <c r="M105" i="7"/>
  <c r="N105" i="7"/>
  <c r="O105" i="7"/>
  <c r="G106" i="7"/>
  <c r="H106" i="7"/>
  <c r="I106" i="7"/>
  <c r="M106" i="7"/>
  <c r="N106" i="7"/>
  <c r="O106" i="7"/>
  <c r="G107" i="7"/>
  <c r="H107" i="7"/>
  <c r="I107" i="7"/>
  <c r="M107" i="7"/>
  <c r="N107" i="7"/>
  <c r="O107" i="7"/>
  <c r="G108" i="7"/>
  <c r="H108" i="7"/>
  <c r="I108" i="7"/>
  <c r="M108" i="7"/>
  <c r="N108" i="7"/>
  <c r="O108" i="7"/>
  <c r="G109" i="7"/>
  <c r="H109" i="7"/>
  <c r="I109" i="7"/>
  <c r="M109" i="7"/>
  <c r="N109" i="7"/>
  <c r="O109" i="7"/>
  <c r="G110" i="7"/>
  <c r="H110" i="7"/>
  <c r="I110" i="7"/>
  <c r="M110" i="7"/>
  <c r="N110" i="7"/>
  <c r="O110" i="7"/>
  <c r="G111" i="7"/>
  <c r="H111" i="7"/>
  <c r="I111" i="7"/>
  <c r="M111" i="7"/>
  <c r="N111" i="7"/>
  <c r="O111" i="7"/>
  <c r="G112" i="7"/>
  <c r="H112" i="7"/>
  <c r="I112" i="7"/>
  <c r="M112" i="7"/>
  <c r="N112" i="7"/>
  <c r="O112" i="7"/>
  <c r="G113" i="7"/>
  <c r="H113" i="7"/>
  <c r="I113" i="7"/>
  <c r="M113" i="7"/>
  <c r="N113" i="7"/>
  <c r="O113" i="7"/>
  <c r="G114" i="7"/>
  <c r="H114" i="7"/>
  <c r="I114" i="7"/>
  <c r="M114" i="7"/>
  <c r="N114" i="7"/>
  <c r="O114" i="7"/>
  <c r="G115" i="7"/>
  <c r="I115" i="7" s="1"/>
  <c r="H115" i="7"/>
  <c r="M115" i="7"/>
  <c r="N115" i="7"/>
  <c r="O115" i="7"/>
  <c r="G116" i="7"/>
  <c r="H116" i="7"/>
  <c r="I116" i="7"/>
  <c r="M116" i="7"/>
  <c r="N116" i="7"/>
  <c r="O116" i="7"/>
  <c r="G117" i="7"/>
  <c r="H117" i="7"/>
  <c r="I117" i="7"/>
  <c r="M117" i="7"/>
  <c r="N117" i="7"/>
  <c r="O117" i="7"/>
  <c r="G118" i="7"/>
  <c r="H118" i="7"/>
  <c r="I118" i="7"/>
  <c r="M118" i="7"/>
  <c r="N118" i="7"/>
  <c r="O118" i="7"/>
  <c r="G119" i="7"/>
  <c r="H119" i="7"/>
  <c r="I119" i="7"/>
  <c r="M119" i="7"/>
  <c r="N119" i="7"/>
  <c r="O119" i="7"/>
  <c r="G120" i="7"/>
  <c r="H120" i="7"/>
  <c r="I120" i="7"/>
  <c r="M120" i="7"/>
  <c r="O120" i="7" s="1"/>
  <c r="N120" i="7"/>
  <c r="G121" i="7"/>
  <c r="H121" i="7"/>
  <c r="I121" i="7"/>
  <c r="M121" i="7"/>
  <c r="N121" i="7"/>
  <c r="O121" i="7"/>
  <c r="G122" i="7"/>
  <c r="H122" i="7"/>
  <c r="I122" i="7"/>
  <c r="M122" i="7"/>
  <c r="N122" i="7"/>
  <c r="O122" i="7"/>
  <c r="G123" i="7"/>
  <c r="H123" i="7"/>
  <c r="I123" i="7"/>
  <c r="M123" i="7"/>
  <c r="N123" i="7"/>
  <c r="O123" i="7"/>
  <c r="C126" i="7"/>
  <c r="D126" i="7"/>
  <c r="E126" i="7"/>
  <c r="F126" i="7"/>
  <c r="K126" i="7"/>
  <c r="L126" i="7"/>
  <c r="N126" i="7"/>
  <c r="C127" i="7"/>
  <c r="D127" i="7"/>
  <c r="E127" i="7"/>
  <c r="F127" i="7"/>
  <c r="K127" i="7"/>
  <c r="L127" i="7"/>
  <c r="C128" i="7"/>
  <c r="D128" i="7"/>
  <c r="E128" i="7"/>
  <c r="F128" i="7"/>
  <c r="K128" i="7"/>
  <c r="L128" i="7"/>
  <c r="C129" i="7"/>
  <c r="D129" i="7"/>
  <c r="E129" i="7"/>
  <c r="F129" i="7"/>
  <c r="K129" i="7"/>
  <c r="L129" i="7"/>
  <c r="C130" i="7"/>
  <c r="D130" i="7"/>
  <c r="E130" i="7"/>
  <c r="F130" i="7"/>
  <c r="K130" i="7"/>
  <c r="L130" i="7"/>
  <c r="C132" i="7"/>
  <c r="D132" i="7"/>
  <c r="E132" i="7"/>
  <c r="F132" i="7"/>
  <c r="C133" i="7"/>
  <c r="D133" i="7"/>
  <c r="E133" i="7"/>
  <c r="F133" i="7"/>
  <c r="K133" i="7"/>
  <c r="M133" i="7" s="1"/>
  <c r="L133" i="7"/>
  <c r="C134" i="7"/>
  <c r="D134" i="7"/>
  <c r="E134" i="7"/>
  <c r="F134" i="7"/>
  <c r="C135" i="7"/>
  <c r="D135" i="7"/>
  <c r="E135" i="7"/>
  <c r="F135" i="7"/>
  <c r="C136" i="7"/>
  <c r="D136" i="7"/>
  <c r="E136" i="7"/>
  <c r="F136" i="7"/>
  <c r="C137" i="7"/>
  <c r="D137" i="7"/>
  <c r="E137" i="7"/>
  <c r="F137" i="7"/>
  <c r="C139" i="7"/>
  <c r="D139" i="7"/>
  <c r="E139" i="7"/>
  <c r="F139" i="7"/>
  <c r="C140" i="7"/>
  <c r="D140" i="7"/>
  <c r="E140" i="7"/>
  <c r="F140" i="7"/>
  <c r="C141" i="7"/>
  <c r="D141" i="7"/>
  <c r="E141" i="7"/>
  <c r="F141" i="7"/>
  <c r="C142" i="7"/>
  <c r="D142" i="7"/>
  <c r="E142" i="7"/>
  <c r="F142" i="7"/>
  <c r="C143" i="7"/>
  <c r="D143" i="7"/>
  <c r="E143" i="7"/>
  <c r="F143" i="7"/>
  <c r="G143" i="7"/>
  <c r="H143" i="7"/>
  <c r="I143" i="7"/>
  <c r="C144" i="7"/>
  <c r="D144" i="7"/>
  <c r="E144" i="7"/>
  <c r="F144" i="7"/>
  <c r="G14" i="6"/>
  <c r="F38" i="6" s="1"/>
  <c r="H38" i="6" s="1"/>
  <c r="O14" i="6"/>
  <c r="W14" i="6"/>
  <c r="AE14" i="6"/>
  <c r="AM14" i="6"/>
  <c r="AU14" i="6"/>
  <c r="BC14" i="6"/>
  <c r="BK14" i="6"/>
  <c r="BS14" i="6"/>
  <c r="BS36" i="6" s="1"/>
  <c r="CA14" i="6"/>
  <c r="CA36" i="6" s="1"/>
  <c r="CI14" i="6"/>
  <c r="CI36" i="6" s="1"/>
  <c r="G16" i="6"/>
  <c r="O16" i="6"/>
  <c r="F39" i="6" s="1"/>
  <c r="W16" i="6"/>
  <c r="F42" i="6" s="1"/>
  <c r="AE16" i="6"/>
  <c r="F41" i="6" s="1"/>
  <c r="H41" i="6" s="1"/>
  <c r="AM16" i="6"/>
  <c r="F40" i="6" s="1"/>
  <c r="H40" i="6" s="1"/>
  <c r="AU16" i="6"/>
  <c r="BC16" i="6"/>
  <c r="BK16" i="6"/>
  <c r="BS16" i="6"/>
  <c r="CA16" i="6"/>
  <c r="CI16" i="6"/>
  <c r="G18" i="6"/>
  <c r="O18" i="6"/>
  <c r="W18" i="6"/>
  <c r="F43" i="6" s="1"/>
  <c r="AE18" i="6"/>
  <c r="AM18" i="6"/>
  <c r="AU18" i="6"/>
  <c r="BC18" i="6"/>
  <c r="BK18" i="6"/>
  <c r="BS18" i="6"/>
  <c r="CA18" i="6"/>
  <c r="CI18" i="6"/>
  <c r="G20" i="6"/>
  <c r="O20" i="6"/>
  <c r="W20" i="6"/>
  <c r="AE20" i="6"/>
  <c r="AM20" i="6"/>
  <c r="AU20" i="6"/>
  <c r="BC20" i="6"/>
  <c r="BK20" i="6"/>
  <c r="BS20" i="6"/>
  <c r="CA20" i="6"/>
  <c r="CI20" i="6"/>
  <c r="G22" i="6"/>
  <c r="O22" i="6"/>
  <c r="W22" i="6"/>
  <c r="AE22" i="6"/>
  <c r="AM22" i="6"/>
  <c r="AU22" i="6"/>
  <c r="BC22" i="6"/>
  <c r="BK22" i="6"/>
  <c r="BS22" i="6"/>
  <c r="CA22" i="6"/>
  <c r="CI22" i="6"/>
  <c r="G24" i="6"/>
  <c r="O24" i="6"/>
  <c r="W24" i="6"/>
  <c r="AE24" i="6"/>
  <c r="AM24" i="6"/>
  <c r="AU24" i="6"/>
  <c r="BC24" i="6"/>
  <c r="BK24" i="6"/>
  <c r="BS24" i="6"/>
  <c r="CA24" i="6"/>
  <c r="CI24" i="6"/>
  <c r="G26" i="6"/>
  <c r="O26" i="6"/>
  <c r="W26" i="6"/>
  <c r="AE26" i="6"/>
  <c r="AM26" i="6"/>
  <c r="AU26" i="6"/>
  <c r="BC26" i="6"/>
  <c r="BK26" i="6"/>
  <c r="BS26" i="6"/>
  <c r="CA26" i="6"/>
  <c r="CI26" i="6"/>
  <c r="G28" i="6"/>
  <c r="O28" i="6"/>
  <c r="W28" i="6"/>
  <c r="AE28" i="6"/>
  <c r="AM28" i="6"/>
  <c r="AU28" i="6"/>
  <c r="BC28" i="6"/>
  <c r="BK28" i="6"/>
  <c r="BS28" i="6"/>
  <c r="CA28" i="6"/>
  <c r="CI28" i="6"/>
  <c r="G30" i="6"/>
  <c r="O30" i="6"/>
  <c r="W30" i="6"/>
  <c r="AE30" i="6"/>
  <c r="AM30" i="6"/>
  <c r="AU30" i="6"/>
  <c r="BC30" i="6"/>
  <c r="BK30" i="6"/>
  <c r="BS30" i="6"/>
  <c r="CA30" i="6"/>
  <c r="CI30" i="6"/>
  <c r="G32" i="6"/>
  <c r="O32" i="6"/>
  <c r="W32" i="6"/>
  <c r="AE32" i="6"/>
  <c r="AM32" i="6"/>
  <c r="AU32" i="6"/>
  <c r="BC32" i="6"/>
  <c r="BK32" i="6"/>
  <c r="BS32" i="6"/>
  <c r="CA32" i="6"/>
  <c r="CI32" i="6"/>
  <c r="G34" i="6"/>
  <c r="O34" i="6"/>
  <c r="W34" i="6"/>
  <c r="AE34" i="6"/>
  <c r="AM34" i="6"/>
  <c r="AU34" i="6"/>
  <c r="BC34" i="6"/>
  <c r="BK34" i="6"/>
  <c r="BS34" i="6"/>
  <c r="CA34" i="6"/>
  <c r="CI34" i="6"/>
  <c r="O36" i="6"/>
  <c r="W36" i="6"/>
  <c r="AE36" i="6"/>
  <c r="AM36" i="6"/>
  <c r="AU36" i="6"/>
  <c r="BC36" i="6"/>
  <c r="BK36" i="6"/>
  <c r="H45" i="6"/>
  <c r="O128" i="7" l="1"/>
  <c r="I128" i="7"/>
  <c r="O130" i="7"/>
  <c r="O127" i="7"/>
  <c r="I135" i="7"/>
  <c r="I127" i="7"/>
  <c r="I139" i="7"/>
  <c r="I144" i="7"/>
  <c r="I132" i="7"/>
  <c r="I142" i="7"/>
  <c r="I141" i="7"/>
  <c r="I130" i="7"/>
  <c r="I133" i="7"/>
  <c r="M126" i="7"/>
  <c r="H133" i="7"/>
  <c r="G129" i="7"/>
  <c r="G133" i="7"/>
  <c r="I134" i="7"/>
  <c r="H134" i="7"/>
  <c r="G134" i="7"/>
  <c r="H43" i="6"/>
  <c r="H46" i="6"/>
  <c r="H47" i="6" s="1"/>
  <c r="H42" i="6"/>
  <c r="H51" i="6"/>
  <c r="H39" i="6"/>
  <c r="H50" i="6"/>
  <c r="G36" i="6"/>
  <c r="F13" i="4" l="1"/>
  <c r="H13" i="4" s="1"/>
  <c r="J13" i="4"/>
  <c r="L13" i="4"/>
  <c r="M13" i="4"/>
  <c r="N13" i="4"/>
  <c r="T13" i="4"/>
  <c r="V13" i="4"/>
  <c r="X13" i="4"/>
  <c r="Z13" i="4"/>
  <c r="AA13" i="4"/>
  <c r="AB13" i="4"/>
  <c r="AH13" i="4"/>
  <c r="AJ13" i="4"/>
  <c r="AL13" i="4"/>
  <c r="AN13" i="4"/>
  <c r="AO13" i="4"/>
  <c r="AP13" i="4"/>
  <c r="AV13" i="4"/>
  <c r="AX13" i="4"/>
  <c r="AZ13" i="4"/>
  <c r="BB13" i="4"/>
  <c r="BC13" i="4"/>
  <c r="BD13" i="4"/>
  <c r="BJ13" i="4"/>
  <c r="BL13" i="4"/>
  <c r="BN13" i="4"/>
  <c r="BP13" i="4"/>
  <c r="BQ13" i="4"/>
  <c r="BR13" i="4"/>
  <c r="BX13" i="4"/>
  <c r="BZ13" i="4"/>
  <c r="CB13" i="4"/>
  <c r="CD13" i="4"/>
  <c r="CE13" i="4"/>
  <c r="CF13" i="4"/>
  <c r="F14" i="4"/>
  <c r="H14" i="4"/>
  <c r="J14" i="4"/>
  <c r="L14" i="4"/>
  <c r="M14" i="4"/>
  <c r="N14" i="4"/>
  <c r="T14" i="4"/>
  <c r="V14" i="4"/>
  <c r="X14" i="4"/>
  <c r="Z14" i="4"/>
  <c r="AA14" i="4"/>
  <c r="AB14" i="4"/>
  <c r="AH14" i="4"/>
  <c r="AJ14" i="4"/>
  <c r="AL14" i="4"/>
  <c r="AN14" i="4"/>
  <c r="AO14" i="4"/>
  <c r="AP14" i="4"/>
  <c r="AV14" i="4"/>
  <c r="AX14" i="4" s="1"/>
  <c r="AZ14" i="4"/>
  <c r="BB14" i="4"/>
  <c r="BC14" i="4"/>
  <c r="BD14" i="4"/>
  <c r="BJ14" i="4"/>
  <c r="BL14" i="4"/>
  <c r="BN14" i="4"/>
  <c r="BP14" i="4"/>
  <c r="BQ14" i="4"/>
  <c r="BR14" i="4" s="1"/>
  <c r="BX14" i="4"/>
  <c r="BZ14" i="4"/>
  <c r="CB14" i="4"/>
  <c r="CD14" i="4"/>
  <c r="CE14" i="4"/>
  <c r="CF14" i="4"/>
  <c r="F15" i="4"/>
  <c r="H15" i="4"/>
  <c r="J15" i="4"/>
  <c r="L15" i="4"/>
  <c r="M15" i="4"/>
  <c r="N15" i="4"/>
  <c r="T15" i="4"/>
  <c r="V15" i="4"/>
  <c r="X15" i="4"/>
  <c r="Z15" i="4"/>
  <c r="AA15" i="4"/>
  <c r="AB15" i="4"/>
  <c r="AH15" i="4"/>
  <c r="AJ15" i="4"/>
  <c r="AL15" i="4"/>
  <c r="AN15" i="4"/>
  <c r="AO15" i="4"/>
  <c r="AP15" i="4"/>
  <c r="AV15" i="4"/>
  <c r="AX15" i="4"/>
  <c r="AZ15" i="4"/>
  <c r="BB15" i="4"/>
  <c r="BC15" i="4"/>
  <c r="BD15" i="4"/>
  <c r="BJ15" i="4"/>
  <c r="BL15" i="4" s="1"/>
  <c r="BN15" i="4"/>
  <c r="BP15" i="4"/>
  <c r="BQ15" i="4"/>
  <c r="BR15" i="4"/>
  <c r="BX15" i="4"/>
  <c r="BZ15" i="4"/>
  <c r="CB15" i="4"/>
  <c r="CD15" i="4"/>
  <c r="CE15" i="4"/>
  <c r="CF15" i="4"/>
  <c r="F16" i="4"/>
  <c r="H16" i="4"/>
  <c r="J16" i="4"/>
  <c r="L16" i="4"/>
  <c r="M16" i="4"/>
  <c r="N16" i="4"/>
  <c r="T16" i="4"/>
  <c r="V16" i="4"/>
  <c r="X16" i="4"/>
  <c r="Z16" i="4"/>
  <c r="AA16" i="4"/>
  <c r="AB16" i="4"/>
  <c r="AH16" i="4"/>
  <c r="AJ16" i="4"/>
  <c r="AL16" i="4"/>
  <c r="AN16" i="4"/>
  <c r="AO16" i="4"/>
  <c r="AP16" i="4"/>
  <c r="AV16" i="4"/>
  <c r="AX16" i="4"/>
  <c r="AZ16" i="4"/>
  <c r="BB16" i="4"/>
  <c r="BC16" i="4"/>
  <c r="BD16" i="4"/>
  <c r="BJ16" i="4"/>
  <c r="BL16" i="4"/>
  <c r="BN16" i="4"/>
  <c r="BP16" i="4"/>
  <c r="BQ16" i="4"/>
  <c r="BR16" i="4"/>
  <c r="BX16" i="4"/>
  <c r="BZ16" i="4"/>
  <c r="CB16" i="4"/>
  <c r="CD16" i="4"/>
  <c r="CE16" i="4"/>
  <c r="CF16" i="4"/>
  <c r="F17" i="4"/>
  <c r="H17" i="4"/>
  <c r="J17" i="4"/>
  <c r="L17" i="4"/>
  <c r="M17" i="4"/>
  <c r="N17" i="4"/>
  <c r="T17" i="4"/>
  <c r="V17" i="4"/>
  <c r="X17" i="4"/>
  <c r="Z17" i="4"/>
  <c r="AA17" i="4"/>
  <c r="AB17" i="4"/>
  <c r="AH17" i="4"/>
  <c r="AJ17" i="4"/>
  <c r="AL17" i="4"/>
  <c r="AN17" i="4"/>
  <c r="AO17" i="4"/>
  <c r="AP17" i="4" s="1"/>
  <c r="AV17" i="4"/>
  <c r="AX17" i="4"/>
  <c r="AZ17" i="4"/>
  <c r="BB17" i="4"/>
  <c r="BC17" i="4"/>
  <c r="BD17" i="4"/>
  <c r="BJ17" i="4"/>
  <c r="BL17" i="4"/>
  <c r="BN17" i="4"/>
  <c r="BP17" i="4"/>
  <c r="BQ17" i="4"/>
  <c r="BR17" i="4"/>
  <c r="BX17" i="4"/>
  <c r="BZ17" i="4"/>
  <c r="CB17" i="4"/>
  <c r="CD17" i="4"/>
  <c r="CE17" i="4"/>
  <c r="CF17" i="4"/>
  <c r="F18" i="4"/>
  <c r="H18" i="4"/>
  <c r="J18" i="4"/>
  <c r="L18" i="4"/>
  <c r="M18" i="4"/>
  <c r="N18" i="4"/>
  <c r="T18" i="4"/>
  <c r="V18" i="4"/>
  <c r="X18" i="4"/>
  <c r="Z18" i="4"/>
  <c r="AA18" i="4"/>
  <c r="AB18" i="4"/>
  <c r="AH18" i="4"/>
  <c r="AJ18" i="4" s="1"/>
  <c r="AL18" i="4"/>
  <c r="AN18" i="4"/>
  <c r="AO18" i="4"/>
  <c r="AP18" i="4"/>
  <c r="AV18" i="4"/>
  <c r="AX18" i="4"/>
  <c r="AZ18" i="4"/>
  <c r="BB18" i="4"/>
  <c r="BC18" i="4"/>
  <c r="BD18" i="4"/>
  <c r="BJ18" i="4"/>
  <c r="BL18" i="4"/>
  <c r="BN18" i="4"/>
  <c r="BP18" i="4"/>
  <c r="BQ18" i="4"/>
  <c r="BR18" i="4"/>
  <c r="BX18" i="4"/>
  <c r="BZ18" i="4"/>
  <c r="CB18" i="4"/>
  <c r="CD18" i="4"/>
  <c r="CE18" i="4"/>
  <c r="CF18" i="4"/>
  <c r="F19" i="4"/>
  <c r="H19" i="4"/>
  <c r="J19" i="4"/>
  <c r="L19" i="4"/>
  <c r="M19" i="4"/>
  <c r="N19" i="4"/>
  <c r="T19" i="4"/>
  <c r="V19" i="4"/>
  <c r="X19" i="4"/>
  <c r="Z19" i="4"/>
  <c r="AA19" i="4"/>
  <c r="AB19" i="4"/>
  <c r="AH19" i="4"/>
  <c r="AJ19" i="4"/>
  <c r="AL19" i="4"/>
  <c r="AN19" i="4"/>
  <c r="AO19" i="4"/>
  <c r="AP19" i="4"/>
  <c r="AV19" i="4"/>
  <c r="AX19" i="4"/>
  <c r="AZ19" i="4"/>
  <c r="BB19" i="4"/>
  <c r="BC19" i="4"/>
  <c r="BD19" i="4"/>
  <c r="BJ19" i="4"/>
  <c r="BL19" i="4"/>
  <c r="BN19" i="4"/>
  <c r="BP19" i="4"/>
  <c r="BQ19" i="4"/>
  <c r="BR19" i="4"/>
  <c r="BX19" i="4"/>
  <c r="BZ19" i="4"/>
  <c r="CB19" i="4"/>
  <c r="CD19" i="4"/>
  <c r="CE19" i="4"/>
  <c r="CF19" i="4"/>
  <c r="F20" i="4"/>
  <c r="H20" i="4"/>
  <c r="J20" i="4"/>
  <c r="L20" i="4"/>
  <c r="M20" i="4"/>
  <c r="N20" i="4" s="1"/>
  <c r="T20" i="4"/>
  <c r="V20" i="4"/>
  <c r="X20" i="4"/>
  <c r="Z20" i="4"/>
  <c r="AA20" i="4"/>
  <c r="AB20" i="4"/>
  <c r="AH20" i="4"/>
  <c r="AJ20" i="4"/>
  <c r="AL20" i="4"/>
  <c r="AN20" i="4"/>
  <c r="AO20" i="4"/>
  <c r="AP20" i="4"/>
  <c r="AV20" i="4"/>
  <c r="AX20" i="4"/>
  <c r="AZ20" i="4"/>
  <c r="BB20" i="4"/>
  <c r="BC20" i="4"/>
  <c r="BD20" i="4"/>
  <c r="BJ20" i="4"/>
  <c r="BL20" i="4"/>
  <c r="BN20" i="4"/>
  <c r="BP20" i="4"/>
  <c r="BQ20" i="4"/>
  <c r="BR20" i="4"/>
  <c r="BX20" i="4"/>
  <c r="BZ20" i="4"/>
  <c r="CB20" i="4"/>
  <c r="CD20" i="4"/>
  <c r="CE20" i="4"/>
  <c r="CF20" i="4"/>
  <c r="F21" i="4"/>
  <c r="H21" i="4" s="1"/>
  <c r="J21" i="4"/>
  <c r="L21" i="4"/>
  <c r="M21" i="4"/>
  <c r="N21" i="4"/>
  <c r="T21" i="4"/>
  <c r="V21" i="4"/>
  <c r="X21" i="4"/>
  <c r="Z21" i="4"/>
  <c r="AA21" i="4"/>
  <c r="AB21" i="4"/>
  <c r="AH21" i="4"/>
  <c r="AJ21" i="4"/>
  <c r="AL21" i="4"/>
  <c r="AN21" i="4"/>
  <c r="AO21" i="4"/>
  <c r="AP21" i="4"/>
  <c r="AV21" i="4"/>
  <c r="AX21" i="4"/>
  <c r="AZ21" i="4"/>
  <c r="BB21" i="4"/>
  <c r="BC21" i="4"/>
  <c r="BD21" i="4"/>
  <c r="BJ21" i="4"/>
  <c r="BL21" i="4"/>
  <c r="BN21" i="4"/>
  <c r="BP21" i="4"/>
  <c r="BQ21" i="4"/>
  <c r="BR21" i="4"/>
  <c r="BX21" i="4"/>
  <c r="BZ21" i="4"/>
  <c r="CB21" i="4"/>
  <c r="CD21" i="4"/>
  <c r="CE21" i="4"/>
  <c r="CF21" i="4"/>
  <c r="F22" i="4"/>
  <c r="H22" i="4"/>
  <c r="J22" i="4"/>
  <c r="L22" i="4"/>
  <c r="M22" i="4"/>
  <c r="N22" i="4"/>
  <c r="T22" i="4"/>
  <c r="V22" i="4"/>
  <c r="X22" i="4"/>
  <c r="Z22" i="4"/>
  <c r="AA22" i="4"/>
  <c r="AB22" i="4"/>
  <c r="AH22" i="4"/>
  <c r="AJ22" i="4"/>
  <c r="AL22" i="4"/>
  <c r="AN22" i="4"/>
  <c r="AO22" i="4"/>
  <c r="AP22" i="4"/>
  <c r="AV22" i="4"/>
  <c r="AX22" i="4"/>
  <c r="AZ22" i="4"/>
  <c r="BB22" i="4"/>
  <c r="BC22" i="4"/>
  <c r="BD22" i="4"/>
  <c r="BJ22" i="4"/>
  <c r="BL22" i="4"/>
  <c r="BN22" i="4"/>
  <c r="BP22" i="4"/>
  <c r="BQ22" i="4"/>
  <c r="BR22" i="4" s="1"/>
  <c r="BX22" i="4"/>
  <c r="BZ22" i="4"/>
  <c r="CB22" i="4"/>
  <c r="CD22" i="4"/>
  <c r="CE22" i="4"/>
  <c r="CF22" i="4"/>
  <c r="F23" i="4"/>
  <c r="H23" i="4"/>
  <c r="J23" i="4"/>
  <c r="L23" i="4"/>
  <c r="M23" i="4"/>
  <c r="N23" i="4"/>
  <c r="T23" i="4"/>
  <c r="V23" i="4"/>
  <c r="X23" i="4"/>
  <c r="Z23" i="4"/>
  <c r="AA23" i="4"/>
  <c r="AB23" i="4"/>
  <c r="AH23" i="4"/>
  <c r="AJ23" i="4"/>
  <c r="AN23" i="4"/>
  <c r="AV23" i="4"/>
  <c r="AX23" i="4"/>
  <c r="AZ23" i="4"/>
  <c r="BB23" i="4"/>
  <c r="BC23" i="4"/>
  <c r="BD23" i="4"/>
  <c r="BJ23" i="4"/>
  <c r="BL23" i="4"/>
  <c r="BN23" i="4"/>
  <c r="BP23" i="4"/>
  <c r="BQ23" i="4"/>
  <c r="BR23" i="4"/>
  <c r="BX23" i="4"/>
  <c r="BZ23" i="4"/>
  <c r="CB23" i="4"/>
  <c r="CD23" i="4"/>
  <c r="CE23" i="4"/>
  <c r="CF23" i="4"/>
  <c r="AZ27" i="4"/>
  <c r="F28" i="4"/>
  <c r="H28" i="4"/>
  <c r="J28" i="4"/>
  <c r="L28" i="4"/>
  <c r="M28" i="4"/>
  <c r="N28" i="4"/>
  <c r="T28" i="4"/>
  <c r="V28" i="4"/>
  <c r="X28" i="4"/>
  <c r="Z28" i="4"/>
  <c r="AA28" i="4"/>
  <c r="AB28" i="4"/>
  <c r="AH28" i="4"/>
  <c r="AJ28" i="4"/>
  <c r="AN28" i="4"/>
  <c r="AV28" i="4"/>
  <c r="AX28" i="4"/>
  <c r="AZ28" i="4"/>
  <c r="BB28" i="4"/>
  <c r="BC28" i="4"/>
  <c r="BD28" i="4"/>
  <c r="BJ28" i="4"/>
  <c r="BL28" i="4" s="1"/>
  <c r="BN28" i="4"/>
  <c r="BP28" i="4"/>
  <c r="BQ28" i="4"/>
  <c r="BR28" i="4"/>
  <c r="F29" i="4"/>
  <c r="H29" i="4"/>
  <c r="J29" i="4"/>
  <c r="L29" i="4"/>
  <c r="M29" i="4"/>
  <c r="N29" i="4"/>
  <c r="T29" i="4"/>
  <c r="V29" i="4"/>
  <c r="X29" i="4"/>
  <c r="Z29" i="4"/>
  <c r="AA29" i="4"/>
  <c r="AB29" i="4"/>
  <c r="AH29" i="4"/>
  <c r="AJ29" i="4"/>
  <c r="AL29" i="4"/>
  <c r="AN29" i="4"/>
  <c r="AO29" i="4"/>
  <c r="AP29" i="4"/>
  <c r="AV29" i="4"/>
  <c r="AX29" i="4"/>
  <c r="AZ29" i="4"/>
  <c r="BB29" i="4"/>
  <c r="BC29" i="4"/>
  <c r="BD29" i="4"/>
  <c r="BJ29" i="4"/>
  <c r="BL29" i="4"/>
  <c r="BN29" i="4"/>
  <c r="BP29" i="4"/>
  <c r="BQ29" i="4"/>
  <c r="BR29" i="4"/>
  <c r="F30" i="4"/>
  <c r="H30" i="4"/>
  <c r="J30" i="4"/>
  <c r="L30" i="4"/>
  <c r="M30" i="4"/>
  <c r="N30" i="4"/>
  <c r="T30" i="4"/>
  <c r="V30" i="4"/>
  <c r="X30" i="4"/>
  <c r="Z30" i="4"/>
  <c r="AA30" i="4"/>
  <c r="AB30" i="4"/>
  <c r="AH30" i="4"/>
  <c r="AJ30" i="4"/>
  <c r="AL30" i="4"/>
  <c r="AN30" i="4"/>
  <c r="AO30" i="4"/>
  <c r="AP30" i="4"/>
  <c r="AV30" i="4"/>
  <c r="AX30" i="4"/>
  <c r="AZ30" i="4"/>
  <c r="BB30" i="4"/>
  <c r="BC30" i="4"/>
  <c r="BD30" i="4"/>
  <c r="BJ30" i="4"/>
  <c r="BL30" i="4"/>
  <c r="BN30" i="4"/>
  <c r="BP30" i="4"/>
  <c r="BQ30" i="4"/>
  <c r="BR30" i="4" s="1"/>
  <c r="F31" i="4"/>
  <c r="H31" i="4"/>
  <c r="J31" i="4"/>
  <c r="L31" i="4"/>
  <c r="M31" i="4"/>
  <c r="N31" i="4"/>
  <c r="T31" i="4"/>
  <c r="V31" i="4"/>
  <c r="X31" i="4"/>
  <c r="Z31" i="4"/>
  <c r="AA31" i="4"/>
  <c r="AB31" i="4"/>
  <c r="AH31" i="4"/>
  <c r="AJ31" i="4"/>
  <c r="AL31" i="4"/>
  <c r="AN31" i="4"/>
  <c r="AO31" i="4"/>
  <c r="AP31" i="4"/>
  <c r="AV31" i="4"/>
  <c r="AX31" i="4"/>
  <c r="AZ31" i="4"/>
  <c r="BB31" i="4"/>
  <c r="BC31" i="4"/>
  <c r="BD31" i="4"/>
  <c r="BJ31" i="4"/>
  <c r="BL31" i="4"/>
  <c r="BN31" i="4"/>
  <c r="BP31" i="4"/>
  <c r="BQ31" i="4"/>
  <c r="BR31" i="4"/>
  <c r="F32" i="4"/>
  <c r="H32" i="4" s="1"/>
  <c r="J32" i="4"/>
  <c r="L32" i="4"/>
  <c r="M32" i="4"/>
  <c r="N32" i="4"/>
  <c r="T32" i="4"/>
  <c r="V32" i="4"/>
  <c r="X32" i="4"/>
  <c r="Z32" i="4"/>
  <c r="AA32" i="4"/>
  <c r="AB32" i="4"/>
  <c r="AH32" i="4"/>
  <c r="AJ32" i="4"/>
  <c r="AL32" i="4"/>
  <c r="AN32" i="4"/>
  <c r="AO32" i="4"/>
  <c r="AP32" i="4"/>
  <c r="AV32" i="4"/>
  <c r="AX32" i="4"/>
  <c r="AZ32" i="4"/>
  <c r="BB32" i="4"/>
  <c r="BC32" i="4"/>
  <c r="BD32" i="4"/>
  <c r="BJ32" i="4"/>
  <c r="BL32" i="4"/>
  <c r="BN32" i="4"/>
  <c r="BP32" i="4"/>
  <c r="BQ32" i="4"/>
  <c r="BR32" i="4"/>
  <c r="F33" i="4"/>
  <c r="H33" i="4"/>
  <c r="J33" i="4"/>
  <c r="L33" i="4"/>
  <c r="M33" i="4"/>
  <c r="N33" i="4"/>
  <c r="T33" i="4"/>
  <c r="V33" i="4"/>
  <c r="X33" i="4"/>
  <c r="Z33" i="4"/>
  <c r="AA33" i="4"/>
  <c r="AB33" i="4"/>
  <c r="AH33" i="4"/>
  <c r="AJ33" i="4"/>
  <c r="AL33" i="4"/>
  <c r="AN33" i="4"/>
  <c r="AO33" i="4"/>
  <c r="AP33" i="4"/>
  <c r="AV33" i="4"/>
  <c r="AX33" i="4"/>
  <c r="AZ33" i="4"/>
  <c r="BB33" i="4"/>
  <c r="BC33" i="4"/>
  <c r="BD33" i="4"/>
  <c r="BJ33" i="4"/>
  <c r="BL33" i="4"/>
  <c r="BN33" i="4"/>
  <c r="BP33" i="4"/>
  <c r="BQ33" i="4"/>
  <c r="BR33" i="4"/>
  <c r="F34" i="4"/>
  <c r="H34" i="4"/>
  <c r="J34" i="4"/>
  <c r="L34" i="4"/>
  <c r="M34" i="4"/>
  <c r="N34" i="4" s="1"/>
  <c r="T34" i="4"/>
  <c r="V34" i="4"/>
  <c r="X34" i="4"/>
  <c r="Z34" i="4"/>
  <c r="AA34" i="4"/>
  <c r="AB34" i="4"/>
  <c r="AH34" i="4"/>
  <c r="AJ34" i="4"/>
  <c r="AL34" i="4"/>
  <c r="AN34" i="4"/>
  <c r="AO34" i="4"/>
  <c r="AP34" i="4"/>
  <c r="AV34" i="4"/>
  <c r="AX34" i="4"/>
  <c r="AZ34" i="4"/>
  <c r="BB34" i="4"/>
  <c r="BC34" i="4"/>
  <c r="BD34" i="4"/>
  <c r="BJ34" i="4"/>
  <c r="BL34" i="4"/>
  <c r="BN34" i="4"/>
  <c r="BP34" i="4"/>
  <c r="BQ34" i="4"/>
  <c r="BR34" i="4"/>
  <c r="F35" i="4"/>
  <c r="H35" i="4"/>
  <c r="J35" i="4"/>
  <c r="L35" i="4"/>
  <c r="M35" i="4"/>
  <c r="N35" i="4"/>
  <c r="T35" i="4"/>
  <c r="V35" i="4" s="1"/>
  <c r="X35" i="4"/>
  <c r="Z35" i="4"/>
  <c r="AA35" i="4"/>
  <c r="AB35" i="4"/>
  <c r="AH35" i="4"/>
  <c r="AJ35" i="4"/>
  <c r="AL35" i="4"/>
  <c r="AN35" i="4"/>
  <c r="AO35" i="4"/>
  <c r="AP35" i="4"/>
  <c r="AV35" i="4"/>
  <c r="AX35" i="4"/>
  <c r="AZ35" i="4"/>
  <c r="BB35" i="4"/>
  <c r="BC35" i="4"/>
  <c r="BD35" i="4"/>
  <c r="BJ35" i="4"/>
  <c r="BL35" i="4"/>
  <c r="BN35" i="4"/>
  <c r="BP35" i="4"/>
  <c r="BQ35" i="4"/>
  <c r="BR35" i="4"/>
  <c r="F36" i="4"/>
  <c r="H36" i="4"/>
  <c r="J36" i="4"/>
  <c r="L36" i="4"/>
  <c r="M36" i="4"/>
  <c r="N36" i="4"/>
  <c r="T36" i="4"/>
  <c r="V36" i="4"/>
  <c r="X36" i="4"/>
  <c r="Z36" i="4"/>
  <c r="AA36" i="4"/>
  <c r="AB36" i="4"/>
  <c r="AH36" i="4"/>
  <c r="AJ36" i="4"/>
  <c r="AL36" i="4"/>
  <c r="AN36" i="4"/>
  <c r="AO36" i="4"/>
  <c r="AP36" i="4"/>
  <c r="AV36" i="4"/>
  <c r="AX36" i="4"/>
  <c r="AZ36" i="4"/>
  <c r="BB36" i="4"/>
  <c r="BC36" i="4"/>
  <c r="BD36" i="4"/>
  <c r="BJ36" i="4"/>
  <c r="BL36" i="4"/>
  <c r="BN36" i="4"/>
  <c r="BP36" i="4"/>
  <c r="BQ36" i="4"/>
  <c r="BR36" i="4"/>
  <c r="F37" i="4"/>
  <c r="H37" i="4"/>
  <c r="J37" i="4"/>
  <c r="L37" i="4"/>
  <c r="M37" i="4"/>
  <c r="N37" i="4"/>
  <c r="T37" i="4"/>
  <c r="V37" i="4"/>
  <c r="X37" i="4"/>
  <c r="Z37" i="4"/>
  <c r="AA37" i="4"/>
  <c r="AB37" i="4" s="1"/>
  <c r="AH37" i="4"/>
  <c r="AJ37" i="4"/>
  <c r="AL37" i="4"/>
  <c r="AN37" i="4"/>
  <c r="AO37" i="4"/>
  <c r="AP37" i="4"/>
  <c r="AV37" i="4"/>
  <c r="AX37" i="4"/>
  <c r="AZ37" i="4"/>
  <c r="BB37" i="4"/>
  <c r="BC37" i="4"/>
  <c r="BD37" i="4"/>
  <c r="BJ37" i="4"/>
  <c r="BL37" i="4"/>
  <c r="BN37" i="4"/>
  <c r="BP37" i="4"/>
  <c r="BQ37" i="4"/>
  <c r="BR37" i="4"/>
  <c r="F38" i="4"/>
  <c r="H38" i="4"/>
  <c r="J38" i="4"/>
  <c r="L38" i="4"/>
  <c r="M38" i="4"/>
  <c r="N38" i="4"/>
  <c r="T38" i="4"/>
  <c r="V38" i="4"/>
  <c r="X38" i="4"/>
  <c r="Z38" i="4"/>
  <c r="AA38" i="4"/>
  <c r="AB38" i="4"/>
  <c r="AH38" i="4"/>
  <c r="AJ38" i="4" s="1"/>
  <c r="AL38" i="4"/>
  <c r="AN38" i="4"/>
  <c r="AO38" i="4"/>
  <c r="AP38" i="4"/>
  <c r="AV38" i="4"/>
  <c r="AX38" i="4"/>
  <c r="AZ38" i="4"/>
  <c r="BB38" i="4"/>
  <c r="BC38" i="4"/>
  <c r="BD38" i="4"/>
  <c r="BJ38" i="4"/>
  <c r="BL38" i="4"/>
  <c r="BN38" i="4"/>
  <c r="BP38" i="4"/>
  <c r="BQ38" i="4"/>
  <c r="BR38" i="4"/>
  <c r="AO118" i="1" l="1"/>
  <c r="AN118" i="1"/>
  <c r="AE118" i="1"/>
  <c r="AT52" i="1"/>
  <c r="AS52" i="1"/>
  <c r="AR52" i="1"/>
  <c r="AQ52" i="1"/>
  <c r="AP52" i="1"/>
  <c r="AO52" i="1"/>
  <c r="AN52" i="1"/>
  <c r="AF52" i="1"/>
  <c r="AE52" i="1"/>
  <c r="AE41" i="1" l="1"/>
  <c r="O41" i="1"/>
  <c r="N139" i="1"/>
  <c r="N150" i="1"/>
  <c r="AN140" i="1" s="1"/>
  <c r="AO140" i="1" s="1"/>
  <c r="AS140" i="1" s="1"/>
  <c r="O138" i="1"/>
  <c r="AQ151" i="1"/>
  <c r="AP151" i="1"/>
  <c r="AN151" i="1"/>
  <c r="AO151" i="1" s="1"/>
  <c r="AM151" i="1"/>
  <c r="AJ151" i="1"/>
  <c r="AH151" i="1"/>
  <c r="AI151" i="1" s="1"/>
  <c r="AK151" i="1" s="1"/>
  <c r="AG151" i="1"/>
  <c r="AQ140" i="1"/>
  <c r="AP140" i="1"/>
  <c r="AM140" i="1"/>
  <c r="AJ140" i="1"/>
  <c r="AH140" i="1"/>
  <c r="AG140" i="1"/>
  <c r="AQ129" i="1"/>
  <c r="AP129" i="1"/>
  <c r="AN129" i="1"/>
  <c r="AO129" i="1" s="1"/>
  <c r="AM129" i="1"/>
  <c r="AJ129" i="1"/>
  <c r="AH129" i="1"/>
  <c r="AI129" i="1" s="1"/>
  <c r="AK129" i="1" s="1"/>
  <c r="AG129" i="1"/>
  <c r="AQ118" i="1"/>
  <c r="AP118" i="1"/>
  <c r="AS118" i="1"/>
  <c r="AM118" i="1"/>
  <c r="AJ118" i="1"/>
  <c r="AH118" i="1"/>
  <c r="AG118" i="1"/>
  <c r="AQ107" i="1"/>
  <c r="AS107" i="1" s="1"/>
  <c r="AP107" i="1"/>
  <c r="AR107" i="1" s="1"/>
  <c r="AO107" i="1"/>
  <c r="AN107" i="1"/>
  <c r="AM107" i="1"/>
  <c r="AJ107" i="1"/>
  <c r="AH107" i="1"/>
  <c r="AI107" i="1" s="1"/>
  <c r="AK107" i="1" s="1"/>
  <c r="AG107" i="1"/>
  <c r="AQ96" i="1"/>
  <c r="AP96" i="1"/>
  <c r="AN96" i="1"/>
  <c r="AO96" i="1" s="1"/>
  <c r="AM96" i="1"/>
  <c r="AJ96" i="1"/>
  <c r="AH96" i="1"/>
  <c r="AI96" i="1" s="1"/>
  <c r="AG96" i="1"/>
  <c r="AQ85" i="1"/>
  <c r="AP85" i="1"/>
  <c r="AN85" i="1"/>
  <c r="AO85" i="1" s="1"/>
  <c r="AM85" i="1"/>
  <c r="AJ85" i="1"/>
  <c r="AH85" i="1"/>
  <c r="AG85" i="1"/>
  <c r="AI85" i="1" s="1"/>
  <c r="AK85" i="1" s="1"/>
  <c r="AQ74" i="1"/>
  <c r="AP74" i="1"/>
  <c r="AN74" i="1"/>
  <c r="AO74" i="1" s="1"/>
  <c r="AS74" i="1" s="1"/>
  <c r="AM74" i="1"/>
  <c r="AJ74" i="1"/>
  <c r="AH74" i="1"/>
  <c r="AI74" i="1" s="1"/>
  <c r="AK74" i="1" s="1"/>
  <c r="AG74" i="1"/>
  <c r="AQ63" i="1"/>
  <c r="AS63" i="1" s="1"/>
  <c r="AP63" i="1"/>
  <c r="AO63" i="1"/>
  <c r="AR63" i="1" s="1"/>
  <c r="AN63" i="1"/>
  <c r="AM63" i="1"/>
  <c r="AJ63" i="1"/>
  <c r="AH63" i="1"/>
  <c r="AI63" i="1" s="1"/>
  <c r="AK63" i="1" s="1"/>
  <c r="AG63" i="1"/>
  <c r="AM52" i="1"/>
  <c r="AJ52" i="1"/>
  <c r="AH52" i="1"/>
  <c r="AI52" i="1" s="1"/>
  <c r="AK52" i="1" s="1"/>
  <c r="AG52" i="1"/>
  <c r="AQ41" i="1"/>
  <c r="AP41" i="1"/>
  <c r="AN41" i="1"/>
  <c r="AO41" i="1" s="1"/>
  <c r="AM41" i="1"/>
  <c r="AJ41" i="1"/>
  <c r="AH41" i="1"/>
  <c r="AI41" i="1" s="1"/>
  <c r="AK41" i="1" s="1"/>
  <c r="AG41" i="1"/>
  <c r="AE151" i="1"/>
  <c r="AD151" i="1"/>
  <c r="AC151" i="1"/>
  <c r="AE140" i="1"/>
  <c r="AD140" i="1"/>
  <c r="AC140" i="1"/>
  <c r="AE129" i="1"/>
  <c r="AD129" i="1"/>
  <c r="AC129" i="1"/>
  <c r="AD118" i="1"/>
  <c r="AC118" i="1"/>
  <c r="AE107" i="1"/>
  <c r="AD107" i="1"/>
  <c r="AC107" i="1"/>
  <c r="AE96" i="1"/>
  <c r="AD96" i="1"/>
  <c r="AC96" i="1"/>
  <c r="AE85" i="1"/>
  <c r="AD85" i="1"/>
  <c r="AC85" i="1"/>
  <c r="AE74" i="1"/>
  <c r="AD74" i="1"/>
  <c r="AC74" i="1"/>
  <c r="AE63" i="1"/>
  <c r="AD63" i="1"/>
  <c r="AC63" i="1"/>
  <c r="AD52" i="1"/>
  <c r="AC52" i="1"/>
  <c r="AD41" i="1"/>
  <c r="AC41" i="1"/>
  <c r="R150" i="1"/>
  <c r="S150" i="1"/>
  <c r="S139" i="1"/>
  <c r="R139" i="1"/>
  <c r="O42" i="1"/>
  <c r="S42" i="1" s="1"/>
  <c r="O43" i="1"/>
  <c r="S43" i="1" s="1"/>
  <c r="O44" i="1"/>
  <c r="S44" i="1" s="1"/>
  <c r="O45" i="1"/>
  <c r="R45" i="1" s="1"/>
  <c r="O46" i="1"/>
  <c r="R46" i="1" s="1"/>
  <c r="O47" i="1"/>
  <c r="R47" i="1" s="1"/>
  <c r="O48" i="1"/>
  <c r="R48" i="1" s="1"/>
  <c r="O49" i="1"/>
  <c r="R49" i="1" s="1"/>
  <c r="O50" i="1"/>
  <c r="S50" i="1" s="1"/>
  <c r="O51" i="1"/>
  <c r="S51" i="1" s="1"/>
  <c r="O52" i="1"/>
  <c r="S52" i="1" s="1"/>
  <c r="O53" i="1"/>
  <c r="R53" i="1" s="1"/>
  <c r="O54" i="1"/>
  <c r="R54" i="1" s="1"/>
  <c r="O55" i="1"/>
  <c r="R55" i="1" s="1"/>
  <c r="O57" i="1"/>
  <c r="R57" i="1" s="1"/>
  <c r="O58" i="1"/>
  <c r="R58" i="1" s="1"/>
  <c r="O59" i="1"/>
  <c r="R59" i="1" s="1"/>
  <c r="O60" i="1"/>
  <c r="S60" i="1" s="1"/>
  <c r="O61" i="1"/>
  <c r="S61" i="1" s="1"/>
  <c r="O62" i="1"/>
  <c r="R62" i="1" s="1"/>
  <c r="O63" i="1"/>
  <c r="R63" i="1" s="1"/>
  <c r="O64" i="1"/>
  <c r="R64" i="1" s="1"/>
  <c r="O65" i="1"/>
  <c r="R65" i="1" s="1"/>
  <c r="O66" i="1"/>
  <c r="R66" i="1" s="1"/>
  <c r="O67" i="1"/>
  <c r="S67" i="1" s="1"/>
  <c r="O68" i="1"/>
  <c r="S68" i="1" s="1"/>
  <c r="O69" i="1"/>
  <c r="S69" i="1" s="1"/>
  <c r="O70" i="1"/>
  <c r="R70" i="1" s="1"/>
  <c r="O71" i="1"/>
  <c r="R71" i="1" s="1"/>
  <c r="O72" i="1"/>
  <c r="R72" i="1" s="1"/>
  <c r="O73" i="1"/>
  <c r="R73" i="1" s="1"/>
  <c r="O74" i="1"/>
  <c r="R74" i="1" s="1"/>
  <c r="O75" i="1"/>
  <c r="S75" i="1" s="1"/>
  <c r="O76" i="1"/>
  <c r="S76" i="1" s="1"/>
  <c r="O77" i="1"/>
  <c r="S77" i="1" s="1"/>
  <c r="O78" i="1"/>
  <c r="R78" i="1" s="1"/>
  <c r="O79" i="1"/>
  <c r="R79" i="1" s="1"/>
  <c r="O80" i="1"/>
  <c r="R80" i="1" s="1"/>
  <c r="O81" i="1"/>
  <c r="R81" i="1" s="1"/>
  <c r="O82" i="1"/>
  <c r="R82" i="1" s="1"/>
  <c r="O83" i="1"/>
  <c r="S83" i="1" s="1"/>
  <c r="O84" i="1"/>
  <c r="S84" i="1" s="1"/>
  <c r="O85" i="1"/>
  <c r="S85" i="1" s="1"/>
  <c r="O86" i="1"/>
  <c r="R86" i="1" s="1"/>
  <c r="O87" i="1"/>
  <c r="R87" i="1" s="1"/>
  <c r="O88" i="1"/>
  <c r="R88" i="1" s="1"/>
  <c r="O89" i="1"/>
  <c r="R89" i="1" s="1"/>
  <c r="O90" i="1"/>
  <c r="R90" i="1" s="1"/>
  <c r="O91" i="1"/>
  <c r="S91" i="1" s="1"/>
  <c r="O92" i="1"/>
  <c r="S92" i="1" s="1"/>
  <c r="O93" i="1"/>
  <c r="S93" i="1" s="1"/>
  <c r="O94" i="1"/>
  <c r="R94" i="1" s="1"/>
  <c r="O95" i="1"/>
  <c r="R95" i="1" s="1"/>
  <c r="O96" i="1"/>
  <c r="R96" i="1" s="1"/>
  <c r="O97" i="1"/>
  <c r="R97" i="1" s="1"/>
  <c r="O98" i="1"/>
  <c r="R98" i="1" s="1"/>
  <c r="O99" i="1"/>
  <c r="S99" i="1" s="1"/>
  <c r="O100" i="1"/>
  <c r="S100" i="1" s="1"/>
  <c r="O101" i="1"/>
  <c r="S101" i="1" s="1"/>
  <c r="O102" i="1"/>
  <c r="R102" i="1" s="1"/>
  <c r="O103" i="1"/>
  <c r="R103" i="1" s="1"/>
  <c r="O104" i="1"/>
  <c r="R104" i="1" s="1"/>
  <c r="O105" i="1"/>
  <c r="R105" i="1" s="1"/>
  <c r="O106" i="1"/>
  <c r="R106" i="1" s="1"/>
  <c r="O107" i="1"/>
  <c r="S107" i="1" s="1"/>
  <c r="O108" i="1"/>
  <c r="S108" i="1" s="1"/>
  <c r="O109" i="1"/>
  <c r="S109" i="1" s="1"/>
  <c r="O110" i="1"/>
  <c r="R110" i="1" s="1"/>
  <c r="O111" i="1"/>
  <c r="R111" i="1" s="1"/>
  <c r="O112" i="1"/>
  <c r="R112" i="1" s="1"/>
  <c r="O113" i="1"/>
  <c r="R113" i="1" s="1"/>
  <c r="O114" i="1"/>
  <c r="R114" i="1" s="1"/>
  <c r="O115" i="1"/>
  <c r="S115" i="1" s="1"/>
  <c r="O116" i="1"/>
  <c r="S116" i="1" s="1"/>
  <c r="O117" i="1"/>
  <c r="S117" i="1" s="1"/>
  <c r="O118" i="1"/>
  <c r="R118" i="1" s="1"/>
  <c r="O119" i="1"/>
  <c r="R119" i="1" s="1"/>
  <c r="O120" i="1"/>
  <c r="R120" i="1" s="1"/>
  <c r="O121" i="1"/>
  <c r="R121" i="1" s="1"/>
  <c r="O122" i="1"/>
  <c r="R122" i="1" s="1"/>
  <c r="O123" i="1"/>
  <c r="S123" i="1" s="1"/>
  <c r="O124" i="1"/>
  <c r="S124" i="1" s="1"/>
  <c r="O125" i="1"/>
  <c r="S125" i="1" s="1"/>
  <c r="O126" i="1"/>
  <c r="R126" i="1" s="1"/>
  <c r="O128" i="1"/>
  <c r="R128" i="1" s="1"/>
  <c r="O129" i="1"/>
  <c r="R129" i="1" s="1"/>
  <c r="O130" i="1"/>
  <c r="R130" i="1" s="1"/>
  <c r="O131" i="1"/>
  <c r="R131" i="1" s="1"/>
  <c r="O132" i="1"/>
  <c r="S132" i="1" s="1"/>
  <c r="O133" i="1"/>
  <c r="S133" i="1" s="1"/>
  <c r="O134" i="1"/>
  <c r="S134" i="1" s="1"/>
  <c r="O135" i="1"/>
  <c r="R135" i="1" s="1"/>
  <c r="O136" i="1"/>
  <c r="R136" i="1" s="1"/>
  <c r="O137" i="1"/>
  <c r="R137" i="1" s="1"/>
  <c r="R138" i="1"/>
  <c r="O140" i="1"/>
  <c r="R140" i="1" s="1"/>
  <c r="O141" i="1"/>
  <c r="S141" i="1" s="1"/>
  <c r="O142" i="1"/>
  <c r="S142" i="1" s="1"/>
  <c r="O143" i="1"/>
  <c r="R143" i="1" s="1"/>
  <c r="O144" i="1"/>
  <c r="R144" i="1" s="1"/>
  <c r="O145" i="1"/>
  <c r="R145" i="1" s="1"/>
  <c r="O146" i="1"/>
  <c r="R146" i="1" s="1"/>
  <c r="O147" i="1"/>
  <c r="R147" i="1" s="1"/>
  <c r="O148" i="1"/>
  <c r="S148" i="1" s="1"/>
  <c r="O149" i="1"/>
  <c r="S149" i="1" s="1"/>
  <c r="O151" i="1"/>
  <c r="S151" i="1" s="1"/>
  <c r="O152" i="1"/>
  <c r="R152" i="1" s="1"/>
  <c r="O153" i="1"/>
  <c r="R153" i="1" s="1"/>
  <c r="O154" i="1"/>
  <c r="R154" i="1" s="1"/>
  <c r="O155" i="1"/>
  <c r="R155" i="1" s="1"/>
  <c r="O156" i="1"/>
  <c r="R156" i="1" s="1"/>
  <c r="O157" i="1"/>
  <c r="S157" i="1" s="1"/>
  <c r="O158" i="1"/>
  <c r="S158" i="1" s="1"/>
  <c r="O159" i="1"/>
  <c r="S159" i="1" s="1"/>
  <c r="O160" i="1"/>
  <c r="R160" i="1" s="1"/>
  <c r="O161" i="1"/>
  <c r="R161" i="1" s="1"/>
  <c r="R41" i="1"/>
  <c r="AR41" i="1" l="1"/>
  <c r="AT41" i="1" s="1"/>
  <c r="AS41" i="1"/>
  <c r="AS96" i="1"/>
  <c r="AK96" i="1"/>
  <c r="AI140" i="1"/>
  <c r="AK140" i="1" s="1"/>
  <c r="AI118" i="1"/>
  <c r="AK118" i="1" s="1"/>
  <c r="AR74" i="1"/>
  <c r="AT74" i="1" s="1"/>
  <c r="AS151" i="1"/>
  <c r="AS129" i="1"/>
  <c r="AR96" i="1"/>
  <c r="AR118" i="1"/>
  <c r="AR151" i="1"/>
  <c r="AR140" i="1"/>
  <c r="AR129" i="1"/>
  <c r="AT118" i="1"/>
  <c r="AT107" i="1"/>
  <c r="AT96" i="1"/>
  <c r="AR85" i="1"/>
  <c r="AS85" i="1"/>
  <c r="AT63" i="1"/>
  <c r="R67" i="1"/>
  <c r="R142" i="1"/>
  <c r="S73" i="1"/>
  <c r="R151" i="1"/>
  <c r="S140" i="1"/>
  <c r="S138" i="1"/>
  <c r="S121" i="1"/>
  <c r="S113" i="1"/>
  <c r="R83" i="1"/>
  <c r="S105" i="1"/>
  <c r="S57" i="1"/>
  <c r="S48" i="1"/>
  <c r="S89" i="1"/>
  <c r="R148" i="1"/>
  <c r="S81" i="1"/>
  <c r="R101" i="1"/>
  <c r="R159" i="1"/>
  <c r="R132" i="1"/>
  <c r="R99" i="1"/>
  <c r="R42" i="1"/>
  <c r="T150" i="1"/>
  <c r="R157" i="1"/>
  <c r="R125" i="1"/>
  <c r="R91" i="1"/>
  <c r="S130" i="1"/>
  <c r="S97" i="1"/>
  <c r="S65" i="1"/>
  <c r="R134" i="1"/>
  <c r="R50" i="1"/>
  <c r="R123" i="1"/>
  <c r="R85" i="1"/>
  <c r="S155" i="1"/>
  <c r="S59" i="1"/>
  <c r="R117" i="1"/>
  <c r="R115" i="1"/>
  <c r="R75" i="1"/>
  <c r="S146" i="1"/>
  <c r="R109" i="1"/>
  <c r="R107" i="1"/>
  <c r="R93" i="1"/>
  <c r="R77" i="1"/>
  <c r="R69" i="1"/>
  <c r="R61" i="1"/>
  <c r="R52" i="1"/>
  <c r="R44" i="1"/>
  <c r="R158" i="1"/>
  <c r="R149" i="1"/>
  <c r="R141" i="1"/>
  <c r="R133" i="1"/>
  <c r="R124" i="1"/>
  <c r="R116" i="1"/>
  <c r="R108" i="1"/>
  <c r="R100" i="1"/>
  <c r="R92" i="1"/>
  <c r="R84" i="1"/>
  <c r="R76" i="1"/>
  <c r="R68" i="1"/>
  <c r="R60" i="1"/>
  <c r="R51" i="1"/>
  <c r="R43" i="1"/>
  <c r="S156" i="1"/>
  <c r="S147" i="1"/>
  <c r="S131" i="1"/>
  <c r="S122" i="1"/>
  <c r="S114" i="1"/>
  <c r="S106" i="1"/>
  <c r="S98" i="1"/>
  <c r="S90" i="1"/>
  <c r="S82" i="1"/>
  <c r="S74" i="1"/>
  <c r="S66" i="1"/>
  <c r="S58" i="1"/>
  <c r="S49" i="1"/>
  <c r="S41" i="1"/>
  <c r="T41" i="1" s="1"/>
  <c r="S154" i="1"/>
  <c r="S145" i="1"/>
  <c r="S137" i="1"/>
  <c r="S129" i="1"/>
  <c r="S120" i="1"/>
  <c r="S112" i="1"/>
  <c r="S104" i="1"/>
  <c r="S96" i="1"/>
  <c r="S88" i="1"/>
  <c r="S80" i="1"/>
  <c r="S72" i="1"/>
  <c r="S64" i="1"/>
  <c r="S55" i="1"/>
  <c r="S47" i="1"/>
  <c r="S161" i="1"/>
  <c r="S153" i="1"/>
  <c r="S144" i="1"/>
  <c r="S136" i="1"/>
  <c r="S128" i="1"/>
  <c r="S119" i="1"/>
  <c r="S111" i="1"/>
  <c r="S103" i="1"/>
  <c r="S95" i="1"/>
  <c r="S87" i="1"/>
  <c r="S79" i="1"/>
  <c r="S71" i="1"/>
  <c r="S63" i="1"/>
  <c r="S54" i="1"/>
  <c r="S46" i="1"/>
  <c r="S160" i="1"/>
  <c r="S152" i="1"/>
  <c r="S143" i="1"/>
  <c r="S135" i="1"/>
  <c r="S126" i="1"/>
  <c r="S118" i="1"/>
  <c r="S110" i="1"/>
  <c r="S102" i="1"/>
  <c r="S94" i="1"/>
  <c r="S86" i="1"/>
  <c r="S78" i="1"/>
  <c r="S70" i="1"/>
  <c r="S62" i="1"/>
  <c r="S53" i="1"/>
  <c r="S45" i="1"/>
  <c r="AT151" i="1" l="1"/>
  <c r="AT140" i="1"/>
  <c r="AT129" i="1"/>
  <c r="AT85" i="1"/>
  <c r="I41" i="1"/>
  <c r="K41" i="1" s="1"/>
  <c r="I42" i="1"/>
  <c r="K42" i="1" s="1"/>
  <c r="I43" i="1"/>
  <c r="K43" i="1" s="1"/>
  <c r="I44" i="1"/>
  <c r="K44" i="1" s="1"/>
  <c r="I45" i="1"/>
  <c r="K45" i="1" s="1"/>
  <c r="I46" i="1"/>
  <c r="K46" i="1" s="1"/>
  <c r="I47" i="1"/>
  <c r="K47" i="1" s="1"/>
  <c r="I48" i="1"/>
  <c r="K48" i="1" s="1"/>
  <c r="I49" i="1"/>
  <c r="K49" i="1" s="1"/>
  <c r="I50" i="1"/>
  <c r="K50" i="1" s="1"/>
  <c r="I51" i="1"/>
  <c r="K51" i="1" s="1"/>
  <c r="I52" i="1"/>
  <c r="K52" i="1" s="1"/>
  <c r="I53" i="1"/>
  <c r="K53" i="1" s="1"/>
  <c r="I54" i="1"/>
  <c r="K54" i="1" s="1"/>
  <c r="I55" i="1"/>
  <c r="K55" i="1" s="1"/>
  <c r="I56" i="1"/>
  <c r="K56" i="1" s="1"/>
  <c r="I57" i="1"/>
  <c r="K57" i="1" s="1"/>
  <c r="I58" i="1"/>
  <c r="K58" i="1" s="1"/>
  <c r="I59" i="1"/>
  <c r="K59" i="1" s="1"/>
  <c r="I60" i="1"/>
  <c r="K60" i="1" s="1"/>
  <c r="I61" i="1"/>
  <c r="K61" i="1" s="1"/>
  <c r="I62" i="1"/>
  <c r="K62" i="1" s="1"/>
  <c r="I63" i="1"/>
  <c r="K63" i="1" s="1"/>
  <c r="I64" i="1"/>
  <c r="K64" i="1" s="1"/>
  <c r="I65" i="1"/>
  <c r="K65" i="1" s="1"/>
  <c r="I66" i="1"/>
  <c r="K66" i="1" s="1"/>
  <c r="I67" i="1"/>
  <c r="K67" i="1" s="1"/>
  <c r="I68" i="1"/>
  <c r="K68" i="1" s="1"/>
  <c r="I69" i="1"/>
  <c r="K69" i="1" s="1"/>
  <c r="I70" i="1"/>
  <c r="K70" i="1" s="1"/>
  <c r="I71" i="1"/>
  <c r="K71" i="1" s="1"/>
  <c r="I72" i="1"/>
  <c r="K72" i="1" s="1"/>
  <c r="I73" i="1"/>
  <c r="K73" i="1" s="1"/>
  <c r="I74" i="1"/>
  <c r="K74" i="1" s="1"/>
  <c r="I75" i="1"/>
  <c r="K75" i="1" s="1"/>
  <c r="I76" i="1"/>
  <c r="K76" i="1" s="1"/>
  <c r="I77" i="1"/>
  <c r="K77" i="1" s="1"/>
  <c r="I78" i="1"/>
  <c r="K78" i="1" s="1"/>
  <c r="I79" i="1"/>
  <c r="K79" i="1" s="1"/>
  <c r="I80" i="1"/>
  <c r="K80" i="1" s="1"/>
  <c r="I81" i="1"/>
  <c r="K81" i="1" s="1"/>
  <c r="I82" i="1"/>
  <c r="K82" i="1" s="1"/>
  <c r="I83" i="1"/>
  <c r="K83" i="1" s="1"/>
  <c r="I84" i="1"/>
  <c r="K84" i="1" s="1"/>
  <c r="I85" i="1"/>
  <c r="K85" i="1" s="1"/>
  <c r="I86" i="1"/>
  <c r="K86" i="1" s="1"/>
  <c r="I87" i="1"/>
  <c r="K87" i="1" s="1"/>
  <c r="I88" i="1"/>
  <c r="K88" i="1" s="1"/>
  <c r="I89" i="1"/>
  <c r="K89" i="1" s="1"/>
  <c r="I90" i="1"/>
  <c r="K90" i="1" s="1"/>
  <c r="I91" i="1"/>
  <c r="K91" i="1" s="1"/>
  <c r="I92" i="1"/>
  <c r="K92" i="1" s="1"/>
  <c r="I93" i="1"/>
  <c r="K93" i="1" s="1"/>
  <c r="I94" i="1"/>
  <c r="K94" i="1" s="1"/>
  <c r="I95" i="1"/>
  <c r="K95" i="1" s="1"/>
  <c r="I96" i="1"/>
  <c r="K96" i="1" s="1"/>
  <c r="I97" i="1"/>
  <c r="K97" i="1" s="1"/>
  <c r="I98" i="1"/>
  <c r="K98" i="1" s="1"/>
  <c r="I99" i="1"/>
  <c r="K99" i="1" s="1"/>
  <c r="I100" i="1"/>
  <c r="K100" i="1" s="1"/>
  <c r="I101" i="1"/>
  <c r="K101" i="1" s="1"/>
  <c r="I102" i="1"/>
  <c r="K102" i="1" s="1"/>
  <c r="I103" i="1"/>
  <c r="K103" i="1" s="1"/>
  <c r="I104" i="1"/>
  <c r="K104" i="1" s="1"/>
  <c r="I105" i="1"/>
  <c r="K105" i="1" s="1"/>
  <c r="I106" i="1"/>
  <c r="K106" i="1" s="1"/>
  <c r="I107" i="1"/>
  <c r="K107" i="1" s="1"/>
  <c r="I108" i="1"/>
  <c r="K108" i="1" s="1"/>
  <c r="I109" i="1"/>
  <c r="K109" i="1" s="1"/>
  <c r="I110" i="1"/>
  <c r="K110" i="1" s="1"/>
  <c r="I111" i="1"/>
  <c r="K111" i="1" s="1"/>
  <c r="I112" i="1"/>
  <c r="K112" i="1" s="1"/>
  <c r="I113" i="1"/>
  <c r="K113" i="1" s="1"/>
  <c r="I114" i="1"/>
  <c r="K114" i="1" s="1"/>
  <c r="I115" i="1"/>
  <c r="K115" i="1" s="1"/>
  <c r="I116" i="1"/>
  <c r="K116" i="1" s="1"/>
  <c r="I117" i="1"/>
  <c r="K117" i="1" s="1"/>
  <c r="I118" i="1"/>
  <c r="K118" i="1" s="1"/>
  <c r="I119" i="1"/>
  <c r="K119" i="1" s="1"/>
  <c r="I120" i="1"/>
  <c r="K120" i="1" s="1"/>
  <c r="I121" i="1"/>
  <c r="K121" i="1" s="1"/>
  <c r="I122" i="1"/>
  <c r="K122" i="1" s="1"/>
  <c r="I123" i="1"/>
  <c r="K123" i="1" s="1"/>
  <c r="I124" i="1"/>
  <c r="K124" i="1" s="1"/>
  <c r="I125" i="1"/>
  <c r="K125" i="1" s="1"/>
  <c r="I126" i="1"/>
  <c r="K126" i="1" s="1"/>
  <c r="I127" i="1"/>
  <c r="K127" i="1" s="1"/>
  <c r="I128" i="1"/>
  <c r="K128" i="1" s="1"/>
  <c r="I129" i="1"/>
  <c r="K129" i="1" s="1"/>
  <c r="I130" i="1"/>
  <c r="K130" i="1" s="1"/>
  <c r="I131" i="1"/>
  <c r="K131" i="1" s="1"/>
  <c r="I132" i="1"/>
  <c r="K132" i="1" s="1"/>
  <c r="I133" i="1"/>
  <c r="K133" i="1" s="1"/>
  <c r="I134" i="1"/>
  <c r="K134" i="1" s="1"/>
  <c r="I135" i="1"/>
  <c r="K135" i="1" s="1"/>
  <c r="I136" i="1"/>
  <c r="K136" i="1" s="1"/>
  <c r="I137" i="1"/>
  <c r="K137" i="1" s="1"/>
  <c r="I138" i="1"/>
  <c r="K138" i="1" s="1"/>
  <c r="I139" i="1"/>
  <c r="K139" i="1" s="1"/>
  <c r="I140" i="1"/>
  <c r="K140" i="1" s="1"/>
  <c r="I141" i="1"/>
  <c r="K141" i="1" s="1"/>
  <c r="I142" i="1"/>
  <c r="K142" i="1" s="1"/>
  <c r="I143" i="1"/>
  <c r="K143" i="1" s="1"/>
  <c r="I144" i="1"/>
  <c r="K144" i="1" s="1"/>
  <c r="I145" i="1"/>
  <c r="K145" i="1" s="1"/>
  <c r="I146" i="1"/>
  <c r="K146" i="1" s="1"/>
  <c r="I147" i="1"/>
  <c r="K147" i="1" s="1"/>
  <c r="I148" i="1"/>
  <c r="K148" i="1" s="1"/>
  <c r="I149" i="1"/>
  <c r="K149" i="1" s="1"/>
  <c r="I150" i="1"/>
  <c r="K150" i="1" s="1"/>
  <c r="I151" i="1"/>
  <c r="K151" i="1" s="1"/>
  <c r="I152" i="1"/>
  <c r="K152" i="1" s="1"/>
  <c r="I153" i="1"/>
  <c r="K153" i="1" s="1"/>
  <c r="I154" i="1"/>
  <c r="K154" i="1" s="1"/>
  <c r="I155" i="1"/>
  <c r="K155" i="1" s="1"/>
  <c r="I156" i="1"/>
  <c r="K156" i="1" s="1"/>
  <c r="I157" i="1"/>
  <c r="K157" i="1" s="1"/>
  <c r="I158" i="1"/>
  <c r="K158" i="1" s="1"/>
  <c r="I159" i="1"/>
  <c r="K159" i="1" s="1"/>
  <c r="I160" i="1"/>
  <c r="K160" i="1" s="1"/>
  <c r="I161" i="1"/>
  <c r="K161" i="1" s="1"/>
  <c r="A31" i="1" l="1"/>
  <c r="F51" i="1" s="1"/>
  <c r="L51" i="1" s="1"/>
  <c r="A30" i="1"/>
  <c r="F45" i="1" l="1"/>
  <c r="L45" i="1" s="1"/>
  <c r="Y45" i="1" s="1"/>
  <c r="AF63" i="1"/>
  <c r="AF85" i="1"/>
  <c r="AF96" i="1"/>
  <c r="AF151" i="1"/>
  <c r="AF107" i="1"/>
  <c r="AF118" i="1"/>
  <c r="AF74" i="1"/>
  <c r="AF129" i="1"/>
  <c r="AF140" i="1"/>
  <c r="AF41" i="1"/>
  <c r="X51" i="1"/>
  <c r="Y51" i="1"/>
  <c r="F138" i="1"/>
  <c r="L138" i="1" s="1"/>
  <c r="F95" i="1"/>
  <c r="L95" i="1" s="1"/>
  <c r="F123" i="1"/>
  <c r="L123" i="1" s="1"/>
  <c r="F54" i="1"/>
  <c r="L54" i="1" s="1"/>
  <c r="F119" i="1"/>
  <c r="L119" i="1" s="1"/>
  <c r="F159" i="1"/>
  <c r="L159" i="1" s="1"/>
  <c r="F115" i="1"/>
  <c r="L115" i="1" s="1"/>
  <c r="F41" i="1"/>
  <c r="F146" i="1"/>
  <c r="L146" i="1" s="1"/>
  <c r="F103" i="1"/>
  <c r="L103" i="1" s="1"/>
  <c r="F122" i="1"/>
  <c r="L122" i="1" s="1"/>
  <c r="F143" i="1"/>
  <c r="L143" i="1" s="1"/>
  <c r="F99" i="1"/>
  <c r="L99" i="1" s="1"/>
  <c r="F139" i="1"/>
  <c r="L139" i="1" s="1"/>
  <c r="F98" i="1"/>
  <c r="L98" i="1" s="1"/>
  <c r="F47" i="1"/>
  <c r="L47" i="1" s="1"/>
  <c r="F82" i="1"/>
  <c r="L82" i="1" s="1"/>
  <c r="F79" i="1"/>
  <c r="L79" i="1" s="1"/>
  <c r="F75" i="1"/>
  <c r="L75" i="1" s="1"/>
  <c r="F58" i="1"/>
  <c r="L58" i="1" s="1"/>
  <c r="F155" i="1"/>
  <c r="L155" i="1" s="1"/>
  <c r="F135" i="1"/>
  <c r="L135" i="1" s="1"/>
  <c r="F114" i="1"/>
  <c r="L114" i="1" s="1"/>
  <c r="F91" i="1"/>
  <c r="L91" i="1" s="1"/>
  <c r="F71" i="1"/>
  <c r="L71" i="1" s="1"/>
  <c r="F154" i="1"/>
  <c r="L154" i="1" s="1"/>
  <c r="F131" i="1"/>
  <c r="L131" i="1" s="1"/>
  <c r="F111" i="1"/>
  <c r="L111" i="1" s="1"/>
  <c r="F90" i="1"/>
  <c r="L90" i="1" s="1"/>
  <c r="F67" i="1"/>
  <c r="L67" i="1" s="1"/>
  <c r="F74" i="1"/>
  <c r="L74" i="1" s="1"/>
  <c r="F151" i="1"/>
  <c r="L151" i="1" s="1"/>
  <c r="F130" i="1"/>
  <c r="L130" i="1" s="1"/>
  <c r="F107" i="1"/>
  <c r="L107" i="1" s="1"/>
  <c r="F87" i="1"/>
  <c r="L87" i="1" s="1"/>
  <c r="F66" i="1"/>
  <c r="L66" i="1" s="1"/>
  <c r="F147" i="1"/>
  <c r="L147" i="1" s="1"/>
  <c r="F127" i="1"/>
  <c r="L127" i="1" s="1"/>
  <c r="F106" i="1"/>
  <c r="L106" i="1" s="1"/>
  <c r="F83" i="1"/>
  <c r="L83" i="1" s="1"/>
  <c r="F63" i="1"/>
  <c r="L63" i="1" s="1"/>
  <c r="F57" i="1"/>
  <c r="L57" i="1" s="1"/>
  <c r="F153" i="1"/>
  <c r="L153" i="1" s="1"/>
  <c r="F129" i="1"/>
  <c r="L129" i="1" s="1"/>
  <c r="F113" i="1"/>
  <c r="L113" i="1" s="1"/>
  <c r="F97" i="1"/>
  <c r="L97" i="1" s="1"/>
  <c r="F89" i="1"/>
  <c r="L89" i="1" s="1"/>
  <c r="F81" i="1"/>
  <c r="L81" i="1" s="1"/>
  <c r="F73" i="1"/>
  <c r="L73" i="1" s="1"/>
  <c r="F65" i="1"/>
  <c r="L65" i="1" s="1"/>
  <c r="F56" i="1"/>
  <c r="L56" i="1" s="1"/>
  <c r="F161" i="1"/>
  <c r="L161" i="1" s="1"/>
  <c r="F145" i="1"/>
  <c r="L145" i="1" s="1"/>
  <c r="F137" i="1"/>
  <c r="L137" i="1" s="1"/>
  <c r="F121" i="1"/>
  <c r="L121" i="1" s="1"/>
  <c r="F105" i="1"/>
  <c r="L105" i="1" s="1"/>
  <c r="F160" i="1"/>
  <c r="L160" i="1" s="1"/>
  <c r="F152" i="1"/>
  <c r="L152" i="1" s="1"/>
  <c r="F144" i="1"/>
  <c r="L144" i="1" s="1"/>
  <c r="F136" i="1"/>
  <c r="L136" i="1" s="1"/>
  <c r="F128" i="1"/>
  <c r="L128" i="1" s="1"/>
  <c r="F120" i="1"/>
  <c r="L120" i="1" s="1"/>
  <c r="F112" i="1"/>
  <c r="L112" i="1" s="1"/>
  <c r="F104" i="1"/>
  <c r="L104" i="1" s="1"/>
  <c r="F96" i="1"/>
  <c r="L96" i="1" s="1"/>
  <c r="F88" i="1"/>
  <c r="L88" i="1" s="1"/>
  <c r="F80" i="1"/>
  <c r="L80" i="1" s="1"/>
  <c r="F72" i="1"/>
  <c r="L72" i="1" s="1"/>
  <c r="F64" i="1"/>
  <c r="L64" i="1" s="1"/>
  <c r="F55" i="1"/>
  <c r="L55" i="1" s="1"/>
  <c r="F62" i="1"/>
  <c r="L62" i="1" s="1"/>
  <c r="F150" i="1"/>
  <c r="F134" i="1"/>
  <c r="L134" i="1" s="1"/>
  <c r="F118" i="1"/>
  <c r="L118" i="1" s="1"/>
  <c r="F102" i="1"/>
  <c r="L102" i="1" s="1"/>
  <c r="F86" i="1"/>
  <c r="L86" i="1" s="1"/>
  <c r="F70" i="1"/>
  <c r="L70" i="1" s="1"/>
  <c r="F53" i="1"/>
  <c r="L53" i="1" s="1"/>
  <c r="F157" i="1"/>
  <c r="L157" i="1" s="1"/>
  <c r="F149" i="1"/>
  <c r="L149" i="1" s="1"/>
  <c r="F141" i="1"/>
  <c r="L141" i="1" s="1"/>
  <c r="F133" i="1"/>
  <c r="L133" i="1" s="1"/>
  <c r="F125" i="1"/>
  <c r="L125" i="1" s="1"/>
  <c r="F117" i="1"/>
  <c r="L117" i="1" s="1"/>
  <c r="F109" i="1"/>
  <c r="L109" i="1" s="1"/>
  <c r="F101" i="1"/>
  <c r="L101" i="1" s="1"/>
  <c r="F93" i="1"/>
  <c r="L93" i="1" s="1"/>
  <c r="F85" i="1"/>
  <c r="L85" i="1" s="1"/>
  <c r="F77" i="1"/>
  <c r="L77" i="1" s="1"/>
  <c r="F69" i="1"/>
  <c r="L69" i="1" s="1"/>
  <c r="F60" i="1"/>
  <c r="L60" i="1" s="1"/>
  <c r="F49" i="1"/>
  <c r="L49" i="1" s="1"/>
  <c r="F158" i="1"/>
  <c r="L158" i="1" s="1"/>
  <c r="F142" i="1"/>
  <c r="L142" i="1" s="1"/>
  <c r="F126" i="1"/>
  <c r="L126" i="1" s="1"/>
  <c r="F110" i="1"/>
  <c r="L110" i="1" s="1"/>
  <c r="F94" i="1"/>
  <c r="L94" i="1" s="1"/>
  <c r="F78" i="1"/>
  <c r="L78" i="1" s="1"/>
  <c r="F61" i="1"/>
  <c r="L61" i="1" s="1"/>
  <c r="F156" i="1"/>
  <c r="L156" i="1" s="1"/>
  <c r="F148" i="1"/>
  <c r="L148" i="1" s="1"/>
  <c r="F140" i="1"/>
  <c r="L140" i="1" s="1"/>
  <c r="F132" i="1"/>
  <c r="L132" i="1" s="1"/>
  <c r="F124" i="1"/>
  <c r="L124" i="1" s="1"/>
  <c r="F116" i="1"/>
  <c r="L116" i="1" s="1"/>
  <c r="F108" i="1"/>
  <c r="L108" i="1" s="1"/>
  <c r="F100" i="1"/>
  <c r="L100" i="1" s="1"/>
  <c r="F92" i="1"/>
  <c r="L92" i="1" s="1"/>
  <c r="F84" i="1"/>
  <c r="L84" i="1" s="1"/>
  <c r="F76" i="1"/>
  <c r="L76" i="1" s="1"/>
  <c r="F68" i="1"/>
  <c r="L68" i="1" s="1"/>
  <c r="F59" i="1"/>
  <c r="L59" i="1" s="1"/>
  <c r="F48" i="1"/>
  <c r="L48" i="1" s="1"/>
  <c r="F46" i="1"/>
  <c r="L46" i="1" s="1"/>
  <c r="F44" i="1"/>
  <c r="L44" i="1" s="1"/>
  <c r="F52" i="1"/>
  <c r="L52" i="1" s="1"/>
  <c r="F43" i="1"/>
  <c r="L43" i="1" s="1"/>
  <c r="F50" i="1"/>
  <c r="L50" i="1" s="1"/>
  <c r="F42" i="1"/>
  <c r="L42" i="1" s="1"/>
  <c r="X45" i="1" l="1"/>
  <c r="AL151" i="1"/>
  <c r="AV151" i="1"/>
  <c r="AU151" i="1"/>
  <c r="AL107" i="1"/>
  <c r="AV107" i="1"/>
  <c r="AU107" i="1"/>
  <c r="AW107" i="1" s="1"/>
  <c r="AU96" i="1"/>
  <c r="AW96" i="1" s="1"/>
  <c r="AL96" i="1"/>
  <c r="AV96" i="1"/>
  <c r="AV118" i="1"/>
  <c r="AL118" i="1"/>
  <c r="AU118" i="1"/>
  <c r="AU41" i="1"/>
  <c r="AV41" i="1"/>
  <c r="AL41" i="1"/>
  <c r="AL85" i="1"/>
  <c r="AV85" i="1"/>
  <c r="AU85" i="1"/>
  <c r="AW85" i="1" s="1"/>
  <c r="AV140" i="1"/>
  <c r="AL140" i="1"/>
  <c r="AU140" i="1"/>
  <c r="AW140" i="1" s="1"/>
  <c r="AL52" i="1"/>
  <c r="AV52" i="1"/>
  <c r="AU52" i="1"/>
  <c r="AL129" i="1"/>
  <c r="AV129" i="1"/>
  <c r="AU129" i="1"/>
  <c r="AL63" i="1"/>
  <c r="AV63" i="1"/>
  <c r="AU63" i="1"/>
  <c r="AW63" i="1" s="1"/>
  <c r="AU74" i="1"/>
  <c r="AW74" i="1" s="1"/>
  <c r="AL74" i="1"/>
  <c r="AV74" i="1"/>
  <c r="Z45" i="1"/>
  <c r="Z51" i="1"/>
  <c r="Y52" i="1"/>
  <c r="X52" i="1"/>
  <c r="X92" i="1"/>
  <c r="Y92" i="1"/>
  <c r="X156" i="1"/>
  <c r="Y156" i="1"/>
  <c r="Y49" i="1"/>
  <c r="X49" i="1"/>
  <c r="X117" i="1"/>
  <c r="Y117" i="1"/>
  <c r="X86" i="1"/>
  <c r="Y86" i="1"/>
  <c r="X72" i="1"/>
  <c r="Y72" i="1"/>
  <c r="X136" i="1"/>
  <c r="Y136" i="1"/>
  <c r="X161" i="1"/>
  <c r="Y161" i="1"/>
  <c r="X129" i="1"/>
  <c r="Y129" i="1"/>
  <c r="X66" i="1"/>
  <c r="Y66" i="1"/>
  <c r="X111" i="1"/>
  <c r="Y111" i="1"/>
  <c r="X58" i="1"/>
  <c r="Y58" i="1"/>
  <c r="X143" i="1"/>
  <c r="Y143" i="1"/>
  <c r="X54" i="1"/>
  <c r="Y54" i="1"/>
  <c r="X44" i="1"/>
  <c r="Y44" i="1"/>
  <c r="X100" i="1"/>
  <c r="Y100" i="1"/>
  <c r="X61" i="1"/>
  <c r="Y61" i="1"/>
  <c r="Y60" i="1"/>
  <c r="X60" i="1"/>
  <c r="X125" i="1"/>
  <c r="Y125" i="1"/>
  <c r="X102" i="1"/>
  <c r="Y102" i="1"/>
  <c r="X80" i="1"/>
  <c r="Y80" i="1"/>
  <c r="Y144" i="1"/>
  <c r="X144" i="1"/>
  <c r="X153" i="1"/>
  <c r="Y153" i="1"/>
  <c r="X87" i="1"/>
  <c r="Y87" i="1"/>
  <c r="X131" i="1"/>
  <c r="Y131" i="1"/>
  <c r="X75" i="1"/>
  <c r="Y75" i="1"/>
  <c r="Y122" i="1"/>
  <c r="X122" i="1"/>
  <c r="X123" i="1"/>
  <c r="Y123" i="1"/>
  <c r="X46" i="1"/>
  <c r="Y46" i="1"/>
  <c r="X69" i="1"/>
  <c r="Y69" i="1"/>
  <c r="X88" i="1"/>
  <c r="Y88" i="1"/>
  <c r="X57" i="1"/>
  <c r="Y57" i="1"/>
  <c r="X154" i="1"/>
  <c r="Y154" i="1"/>
  <c r="X103" i="1"/>
  <c r="Y103" i="1"/>
  <c r="X116" i="1"/>
  <c r="Y116" i="1"/>
  <c r="Y77" i="1"/>
  <c r="X77" i="1"/>
  <c r="X96" i="1"/>
  <c r="Y96" i="1"/>
  <c r="X73" i="1"/>
  <c r="Y73" i="1"/>
  <c r="Y130" i="1"/>
  <c r="X130" i="1"/>
  <c r="X146" i="1"/>
  <c r="Y146" i="1"/>
  <c r="X59" i="1"/>
  <c r="Y59" i="1"/>
  <c r="X124" i="1"/>
  <c r="Y124" i="1"/>
  <c r="X110" i="1"/>
  <c r="Y110" i="1"/>
  <c r="X85" i="1"/>
  <c r="Y85" i="1"/>
  <c r="X149" i="1"/>
  <c r="Y149" i="1"/>
  <c r="X104" i="1"/>
  <c r="Y104" i="1"/>
  <c r="Y105" i="1"/>
  <c r="X105" i="1"/>
  <c r="X81" i="1"/>
  <c r="Y81" i="1"/>
  <c r="X83" i="1"/>
  <c r="Y83" i="1"/>
  <c r="X151" i="1"/>
  <c r="Y151" i="1"/>
  <c r="X91" i="1"/>
  <c r="Y91" i="1"/>
  <c r="X47" i="1"/>
  <c r="Y47" i="1"/>
  <c r="L41" i="1"/>
  <c r="U41" i="1"/>
  <c r="X78" i="1"/>
  <c r="Y78" i="1"/>
  <c r="X133" i="1"/>
  <c r="Y133" i="1"/>
  <c r="Y118" i="1"/>
  <c r="X118" i="1"/>
  <c r="X152" i="1"/>
  <c r="Y152" i="1"/>
  <c r="X65" i="1"/>
  <c r="Y65" i="1"/>
  <c r="X107" i="1"/>
  <c r="Y107" i="1"/>
  <c r="X79" i="1"/>
  <c r="Y79" i="1"/>
  <c r="X95" i="1"/>
  <c r="Y95" i="1"/>
  <c r="X48" i="1"/>
  <c r="Y48" i="1"/>
  <c r="Y94" i="1"/>
  <c r="X94" i="1"/>
  <c r="X141" i="1"/>
  <c r="Y141" i="1"/>
  <c r="X134" i="1"/>
  <c r="Y134" i="1"/>
  <c r="X160" i="1"/>
  <c r="Y160" i="1"/>
  <c r="X63" i="1"/>
  <c r="Y63" i="1"/>
  <c r="X71" i="1"/>
  <c r="Y71" i="1"/>
  <c r="X82" i="1"/>
  <c r="Y82" i="1"/>
  <c r="X138" i="1"/>
  <c r="Y138" i="1"/>
  <c r="Y42" i="1"/>
  <c r="X42" i="1"/>
  <c r="X68" i="1"/>
  <c r="Y68" i="1"/>
  <c r="X132" i="1"/>
  <c r="Y132" i="1"/>
  <c r="X126" i="1"/>
  <c r="Y126" i="1"/>
  <c r="X93" i="1"/>
  <c r="Y93" i="1"/>
  <c r="X157" i="1"/>
  <c r="Y157" i="1"/>
  <c r="X62" i="1"/>
  <c r="Y62" i="1"/>
  <c r="Y112" i="1"/>
  <c r="X112" i="1"/>
  <c r="X121" i="1"/>
  <c r="Y121" i="1"/>
  <c r="X89" i="1"/>
  <c r="Y89" i="1"/>
  <c r="X106" i="1"/>
  <c r="Y106" i="1"/>
  <c r="Y74" i="1"/>
  <c r="X74" i="1"/>
  <c r="X114" i="1"/>
  <c r="Y114" i="1"/>
  <c r="X98" i="1"/>
  <c r="Y98" i="1"/>
  <c r="Y115" i="1"/>
  <c r="X115" i="1"/>
  <c r="X76" i="1"/>
  <c r="Y76" i="1"/>
  <c r="X53" i="1"/>
  <c r="Y53" i="1"/>
  <c r="Y108" i="1"/>
  <c r="X108" i="1"/>
  <c r="X50" i="1"/>
  <c r="Y50" i="1"/>
  <c r="X140" i="1"/>
  <c r="Y140" i="1"/>
  <c r="X142" i="1"/>
  <c r="Y142" i="1"/>
  <c r="Y101" i="1"/>
  <c r="X101" i="1"/>
  <c r="X55" i="1"/>
  <c r="Y55" i="1"/>
  <c r="X120" i="1"/>
  <c r="Y120" i="1"/>
  <c r="Y137" i="1"/>
  <c r="X137" i="1"/>
  <c r="X97" i="1"/>
  <c r="Y97" i="1"/>
  <c r="Y67" i="1"/>
  <c r="X67" i="1"/>
  <c r="X135" i="1"/>
  <c r="Y135" i="1"/>
  <c r="X139" i="1"/>
  <c r="Y139" i="1"/>
  <c r="X159" i="1"/>
  <c r="Y159" i="1"/>
  <c r="X43" i="1"/>
  <c r="Y43" i="1"/>
  <c r="X84" i="1"/>
  <c r="Y84" i="1"/>
  <c r="X148" i="1"/>
  <c r="Y148" i="1"/>
  <c r="X158" i="1"/>
  <c r="Y158" i="1"/>
  <c r="X109" i="1"/>
  <c r="Y109" i="1"/>
  <c r="Y70" i="1"/>
  <c r="X70" i="1"/>
  <c r="Y64" i="1"/>
  <c r="X64" i="1"/>
  <c r="X128" i="1"/>
  <c r="Y128" i="1"/>
  <c r="X145" i="1"/>
  <c r="Y145" i="1"/>
  <c r="X113" i="1"/>
  <c r="Y113" i="1"/>
  <c r="X147" i="1"/>
  <c r="Y147" i="1"/>
  <c r="X90" i="1"/>
  <c r="Y90" i="1"/>
  <c r="Y155" i="1"/>
  <c r="X155" i="1"/>
  <c r="X99" i="1"/>
  <c r="Y99" i="1"/>
  <c r="X119" i="1"/>
  <c r="Y119" i="1"/>
  <c r="L150" i="1"/>
  <c r="V150" i="1"/>
  <c r="U150" i="1"/>
  <c r="W150" i="1" s="1"/>
  <c r="AY52" i="1" l="1"/>
  <c r="AX52" i="1"/>
  <c r="AW41" i="1"/>
  <c r="AY63" i="1"/>
  <c r="AX63" i="1"/>
  <c r="AZ63" i="1" s="1"/>
  <c r="AY140" i="1"/>
  <c r="AX140" i="1"/>
  <c r="AZ140" i="1" s="1"/>
  <c r="AW118" i="1"/>
  <c r="AY107" i="1"/>
  <c r="AX107" i="1"/>
  <c r="AW129" i="1"/>
  <c r="AY118" i="1"/>
  <c r="AX118" i="1"/>
  <c r="AZ118" i="1" s="1"/>
  <c r="AW151" i="1"/>
  <c r="AY41" i="1"/>
  <c r="AX41" i="1"/>
  <c r="AZ41" i="1" s="1"/>
  <c r="AY129" i="1"/>
  <c r="AX129" i="1"/>
  <c r="AY151" i="1"/>
  <c r="AX151" i="1"/>
  <c r="AX74" i="1"/>
  <c r="AZ74" i="1" s="1"/>
  <c r="AY74" i="1"/>
  <c r="AW52" i="1"/>
  <c r="AX85" i="1"/>
  <c r="AY85" i="1"/>
  <c r="AY96" i="1"/>
  <c r="AX96" i="1"/>
  <c r="AZ96" i="1" s="1"/>
  <c r="Z140" i="1"/>
  <c r="Z76" i="1"/>
  <c r="Z74" i="1"/>
  <c r="Z112" i="1"/>
  <c r="Z124" i="1"/>
  <c r="Z144" i="1"/>
  <c r="Z60" i="1"/>
  <c r="Z54" i="1"/>
  <c r="Z156" i="1"/>
  <c r="Z118" i="1"/>
  <c r="Z77" i="1"/>
  <c r="Z52" i="1"/>
  <c r="Z109" i="1"/>
  <c r="Z55" i="1"/>
  <c r="Z106" i="1"/>
  <c r="Z134" i="1"/>
  <c r="Z95" i="1"/>
  <c r="Z152" i="1"/>
  <c r="Z83" i="1"/>
  <c r="Z149" i="1"/>
  <c r="Z59" i="1"/>
  <c r="Z96" i="1"/>
  <c r="Z154" i="1"/>
  <c r="Z131" i="1"/>
  <c r="Z80" i="1"/>
  <c r="Z143" i="1"/>
  <c r="Z129" i="1"/>
  <c r="Z86" i="1"/>
  <c r="Z92" i="1"/>
  <c r="Z82" i="1"/>
  <c r="Z145" i="1"/>
  <c r="Z43" i="1"/>
  <c r="Z50" i="1"/>
  <c r="Z158" i="1"/>
  <c r="Z159" i="1"/>
  <c r="Z97" i="1"/>
  <c r="Z98" i="1"/>
  <c r="Z89" i="1"/>
  <c r="Z157" i="1"/>
  <c r="Z90" i="1"/>
  <c r="Z128" i="1"/>
  <c r="Z64" i="1"/>
  <c r="Z148" i="1"/>
  <c r="Z137" i="1"/>
  <c r="Z53" i="1"/>
  <c r="Z42" i="1"/>
  <c r="Z94" i="1"/>
  <c r="Z105" i="1"/>
  <c r="Z130" i="1"/>
  <c r="Z116" i="1"/>
  <c r="Z122" i="1"/>
  <c r="Z49" i="1"/>
  <c r="Z119" i="1"/>
  <c r="Z147" i="1"/>
  <c r="Z139" i="1"/>
  <c r="Z142" i="1"/>
  <c r="Z114" i="1"/>
  <c r="Z121" i="1"/>
  <c r="Z93" i="1"/>
  <c r="Z63" i="1"/>
  <c r="Z107" i="1"/>
  <c r="Z133" i="1"/>
  <c r="Z91" i="1"/>
  <c r="Z110" i="1"/>
  <c r="Z88" i="1"/>
  <c r="Z153" i="1"/>
  <c r="Z125" i="1"/>
  <c r="Z44" i="1"/>
  <c r="Z111" i="1"/>
  <c r="Z136" i="1"/>
  <c r="Z99" i="1"/>
  <c r="Z120" i="1"/>
  <c r="Z126" i="1"/>
  <c r="Z160" i="1"/>
  <c r="Z104" i="1"/>
  <c r="Z103" i="1"/>
  <c r="Z75" i="1"/>
  <c r="Z72" i="1"/>
  <c r="Z84" i="1"/>
  <c r="Z138" i="1"/>
  <c r="Z48" i="1"/>
  <c r="Z151" i="1"/>
  <c r="Z73" i="1"/>
  <c r="Z69" i="1"/>
  <c r="Z66" i="1"/>
  <c r="Z155" i="1"/>
  <c r="Z67" i="1"/>
  <c r="Z115" i="1"/>
  <c r="Z62" i="1"/>
  <c r="Z132" i="1"/>
  <c r="Z46" i="1"/>
  <c r="Z61" i="1"/>
  <c r="Z113" i="1"/>
  <c r="Z78" i="1"/>
  <c r="Y41" i="1"/>
  <c r="X41" i="1"/>
  <c r="Z41" i="1" s="1"/>
  <c r="Z70" i="1"/>
  <c r="Z101" i="1"/>
  <c r="Z108" i="1"/>
  <c r="Z135" i="1"/>
  <c r="Z65" i="1"/>
  <c r="X150" i="1"/>
  <c r="Y150" i="1"/>
  <c r="Z68" i="1"/>
  <c r="Z71" i="1"/>
  <c r="Z141" i="1"/>
  <c r="Z79" i="1"/>
  <c r="Z47" i="1"/>
  <c r="Z81" i="1"/>
  <c r="Z85" i="1"/>
  <c r="Z146" i="1"/>
  <c r="Z57" i="1"/>
  <c r="Z123" i="1"/>
  <c r="Z87" i="1"/>
  <c r="Z102" i="1"/>
  <c r="Z100" i="1"/>
  <c r="Z58" i="1"/>
  <c r="Z161" i="1"/>
  <c r="Z117" i="1"/>
  <c r="AZ151" i="1" l="1"/>
  <c r="AZ129" i="1"/>
  <c r="AZ107" i="1"/>
  <c r="AZ52" i="1"/>
  <c r="AZ85" i="1"/>
  <c r="Z150" i="1"/>
  <c r="T95" i="1" l="1"/>
  <c r="T86" i="1"/>
  <c r="T61" i="1"/>
  <c r="T43" i="1"/>
  <c r="T134" i="1"/>
  <c r="T148" i="1"/>
  <c r="T123" i="1"/>
  <c r="T118" i="1"/>
  <c r="T107" i="1"/>
  <c r="T103" i="1"/>
  <c r="T136" i="1"/>
  <c r="T135" i="1"/>
  <c r="T106" i="1"/>
  <c r="T92" i="1"/>
  <c r="T46" i="1"/>
  <c r="T160" i="1"/>
  <c r="T144" i="1"/>
  <c r="T133" i="1"/>
  <c r="T102" i="1"/>
  <c r="T83" i="1"/>
  <c r="T42" i="1"/>
  <c r="T159" i="1"/>
  <c r="T143" i="1"/>
  <c r="T132" i="1"/>
  <c r="T116" i="1"/>
  <c r="T100" i="1"/>
  <c r="T69" i="1"/>
  <c r="T158" i="1"/>
  <c r="T140" i="1"/>
  <c r="T128" i="1"/>
  <c r="T112" i="1"/>
  <c r="T99" i="1"/>
  <c r="T68" i="1"/>
  <c r="T157" i="1"/>
  <c r="T139" i="1"/>
  <c r="T110" i="1"/>
  <c r="T98" i="1"/>
  <c r="T67" i="1"/>
  <c r="T156" i="1"/>
  <c r="T138" i="1"/>
  <c r="T108" i="1"/>
  <c r="T96" i="1"/>
  <c r="T64" i="1"/>
  <c r="T153" i="1"/>
  <c r="T154" i="1"/>
  <c r="T152" i="1"/>
  <c r="T147" i="1"/>
  <c r="T142" i="1"/>
  <c r="T130" i="1"/>
  <c r="T115" i="1"/>
  <c r="T113" i="1"/>
  <c r="T97" i="1"/>
  <c r="T94" i="1"/>
  <c r="T91" i="1"/>
  <c r="T66" i="1"/>
  <c r="T50" i="1"/>
  <c r="T48" i="1"/>
  <c r="T45" i="1"/>
  <c r="T89" i="1"/>
  <c r="T161" i="1"/>
  <c r="T122" i="1"/>
  <c r="T105" i="1"/>
  <c r="T63" i="1"/>
  <c r="T149" i="1"/>
  <c r="T151" i="1"/>
  <c r="T146" i="1"/>
  <c r="T137" i="1"/>
  <c r="T119" i="1"/>
  <c r="T117" i="1"/>
  <c r="T114" i="1"/>
  <c r="T93" i="1"/>
  <c r="T90" i="1"/>
  <c r="T65" i="1"/>
  <c r="T49" i="1"/>
  <c r="T47" i="1"/>
  <c r="T121" i="1"/>
  <c r="T81" i="1"/>
  <c r="T155" i="1"/>
  <c r="T131" i="1"/>
  <c r="T126" i="1"/>
  <c r="T124" i="1"/>
  <c r="T109" i="1"/>
  <c r="T104" i="1"/>
  <c r="T101" i="1"/>
  <c r="T84" i="1"/>
  <c r="T70" i="1"/>
  <c r="T62" i="1"/>
  <c r="T44" i="1"/>
  <c r="T141" i="1" l="1"/>
  <c r="T125" i="1"/>
  <c r="T120" i="1"/>
  <c r="T145" i="1"/>
  <c r="T88" i="1"/>
  <c r="T85" i="1"/>
  <c r="T129" i="1"/>
  <c r="T82" i="1"/>
  <c r="T111" i="1"/>
  <c r="T87" i="1"/>
  <c r="T51" i="1" l="1"/>
  <c r="T58" i="1"/>
  <c r="T54" i="1" l="1"/>
  <c r="T80" i="1"/>
  <c r="T78" i="1"/>
  <c r="T71" i="1"/>
  <c r="T60" i="1"/>
  <c r="T74" i="1"/>
  <c r="T57" i="1"/>
  <c r="T55" i="1"/>
  <c r="T73" i="1"/>
  <c r="T76" i="1"/>
  <c r="T59" i="1"/>
  <c r="T72" i="1"/>
  <c r="T53" i="1"/>
  <c r="T79" i="1"/>
  <c r="T75" i="1"/>
  <c r="T52" i="1"/>
  <c r="T77" i="1"/>
  <c r="U73" i="1"/>
  <c r="V58" i="1"/>
  <c r="U51" i="1"/>
  <c r="U59" i="1"/>
  <c r="U75" i="1"/>
  <c r="U60" i="1"/>
  <c r="U76" i="1"/>
  <c r="U77" i="1"/>
  <c r="V54" i="1"/>
  <c r="U55" i="1"/>
  <c r="U71" i="1"/>
  <c r="U79" i="1"/>
  <c r="U80" i="1"/>
  <c r="U72" i="1"/>
  <c r="U54" i="1" l="1"/>
  <c r="W54" i="1" s="1"/>
  <c r="V60" i="1"/>
  <c r="W60" i="1" s="1"/>
  <c r="V51" i="1"/>
  <c r="W51" i="1" s="1"/>
  <c r="U70" i="1"/>
  <c r="V70" i="1"/>
  <c r="V42" i="1"/>
  <c r="U42" i="1"/>
  <c r="U108" i="1"/>
  <c r="V108" i="1"/>
  <c r="V109" i="1"/>
  <c r="U109" i="1"/>
  <c r="V45" i="1"/>
  <c r="U45" i="1"/>
  <c r="U100" i="1"/>
  <c r="V100" i="1"/>
  <c r="U155" i="1"/>
  <c r="V155" i="1"/>
  <c r="U91" i="1"/>
  <c r="V91" i="1"/>
  <c r="V154" i="1"/>
  <c r="U154" i="1"/>
  <c r="U90" i="1"/>
  <c r="V90" i="1"/>
  <c r="V153" i="1"/>
  <c r="U153" i="1"/>
  <c r="V89" i="1"/>
  <c r="U89" i="1"/>
  <c r="V71" i="1"/>
  <c r="W71" i="1" s="1"/>
  <c r="V79" i="1"/>
  <c r="W79" i="1" s="1"/>
  <c r="V76" i="1"/>
  <c r="W76" i="1" s="1"/>
  <c r="U64" i="1"/>
  <c r="V64" i="1"/>
  <c r="U125" i="1"/>
  <c r="V125" i="1"/>
  <c r="V106" i="1"/>
  <c r="U106" i="1"/>
  <c r="U44" i="1"/>
  <c r="V44" i="1"/>
  <c r="U119" i="1"/>
  <c r="V119" i="1"/>
  <c r="V110" i="1"/>
  <c r="U110" i="1"/>
  <c r="U46" i="1"/>
  <c r="V46" i="1"/>
  <c r="U101" i="1"/>
  <c r="V101" i="1"/>
  <c r="V156" i="1"/>
  <c r="U156" i="1"/>
  <c r="U92" i="1"/>
  <c r="V92" i="1"/>
  <c r="U147" i="1"/>
  <c r="V147" i="1"/>
  <c r="U83" i="1"/>
  <c r="V83" i="1"/>
  <c r="V146" i="1"/>
  <c r="U146" i="1"/>
  <c r="U82" i="1"/>
  <c r="V82" i="1"/>
  <c r="U145" i="1"/>
  <c r="V145" i="1"/>
  <c r="V81" i="1"/>
  <c r="U81" i="1"/>
  <c r="U58" i="1"/>
  <c r="W58" i="1" s="1"/>
  <c r="V73" i="1"/>
  <c r="W73" i="1" s="1"/>
  <c r="V134" i="1"/>
  <c r="U134" i="1"/>
  <c r="U107" i="1"/>
  <c r="V107" i="1"/>
  <c r="U135" i="1"/>
  <c r="V135" i="1"/>
  <c r="U62" i="1"/>
  <c r="V62" i="1"/>
  <c r="U63" i="1"/>
  <c r="V63" i="1"/>
  <c r="U144" i="1"/>
  <c r="V144" i="1"/>
  <c r="U102" i="1"/>
  <c r="V102" i="1"/>
  <c r="V157" i="1"/>
  <c r="U157" i="1"/>
  <c r="V93" i="1"/>
  <c r="U93" i="1"/>
  <c r="U148" i="1"/>
  <c r="V148" i="1"/>
  <c r="U84" i="1"/>
  <c r="V84" i="1"/>
  <c r="U139" i="1"/>
  <c r="V139" i="1"/>
  <c r="V138" i="1"/>
  <c r="U138" i="1"/>
  <c r="U74" i="1"/>
  <c r="V74" i="1"/>
  <c r="U137" i="1"/>
  <c r="V137" i="1"/>
  <c r="V80" i="1"/>
  <c r="W80" i="1" s="1"/>
  <c r="V72" i="1"/>
  <c r="W72" i="1" s="1"/>
  <c r="V55" i="1"/>
  <c r="W55" i="1" s="1"/>
  <c r="V61" i="1"/>
  <c r="U61" i="1"/>
  <c r="U43" i="1"/>
  <c r="V43" i="1"/>
  <c r="V126" i="1"/>
  <c r="U126" i="1"/>
  <c r="U99" i="1"/>
  <c r="V99" i="1"/>
  <c r="V97" i="1"/>
  <c r="U97" i="1"/>
  <c r="U120" i="1"/>
  <c r="V120" i="1"/>
  <c r="U47" i="1"/>
  <c r="V47" i="1"/>
  <c r="V48" i="1"/>
  <c r="U48" i="1"/>
  <c r="U103" i="1"/>
  <c r="V103" i="1"/>
  <c r="V158" i="1"/>
  <c r="U158" i="1"/>
  <c r="U94" i="1"/>
  <c r="V94" i="1"/>
  <c r="U149" i="1"/>
  <c r="V149" i="1"/>
  <c r="U85" i="1"/>
  <c r="V85" i="1"/>
  <c r="U140" i="1"/>
  <c r="V140" i="1"/>
  <c r="U131" i="1"/>
  <c r="V131" i="1"/>
  <c r="U67" i="1"/>
  <c r="V67" i="1"/>
  <c r="V130" i="1"/>
  <c r="U130" i="1"/>
  <c r="U66" i="1"/>
  <c r="V66" i="1"/>
  <c r="U129" i="1"/>
  <c r="V129" i="1"/>
  <c r="V65" i="1"/>
  <c r="U65" i="1"/>
  <c r="V75" i="1"/>
  <c r="W75" i="1" s="1"/>
  <c r="V41" i="1"/>
  <c r="U116" i="1"/>
  <c r="V116" i="1"/>
  <c r="V105" i="1"/>
  <c r="U105" i="1"/>
  <c r="U152" i="1"/>
  <c r="V152" i="1"/>
  <c r="V53" i="1"/>
  <c r="U53" i="1"/>
  <c r="U161" i="1"/>
  <c r="V161" i="1"/>
  <c r="U88" i="1"/>
  <c r="V88" i="1"/>
  <c r="U160" i="1"/>
  <c r="V160" i="1"/>
  <c r="U112" i="1"/>
  <c r="V112" i="1"/>
  <c r="U136" i="1"/>
  <c r="V136" i="1"/>
  <c r="U104" i="1"/>
  <c r="V104" i="1"/>
  <c r="U95" i="1"/>
  <c r="V95" i="1"/>
  <c r="U86" i="1"/>
  <c r="V86" i="1"/>
  <c r="U141" i="1"/>
  <c r="V141" i="1"/>
  <c r="U132" i="1"/>
  <c r="V132" i="1"/>
  <c r="U68" i="1"/>
  <c r="V68" i="1"/>
  <c r="U123" i="1"/>
  <c r="V123" i="1"/>
  <c r="V122" i="1"/>
  <c r="U122" i="1"/>
  <c r="U121" i="1"/>
  <c r="V121" i="1"/>
  <c r="V57" i="1"/>
  <c r="U57" i="1"/>
  <c r="U143" i="1"/>
  <c r="V143" i="1"/>
  <c r="U52" i="1"/>
  <c r="V52" i="1"/>
  <c r="U117" i="1"/>
  <c r="V117" i="1"/>
  <c r="U98" i="1"/>
  <c r="V98" i="1"/>
  <c r="V118" i="1"/>
  <c r="U118" i="1"/>
  <c r="U111" i="1"/>
  <c r="V111" i="1"/>
  <c r="U159" i="1"/>
  <c r="V159" i="1"/>
  <c r="U128" i="1"/>
  <c r="V128" i="1"/>
  <c r="U96" i="1"/>
  <c r="V96" i="1"/>
  <c r="U151" i="1"/>
  <c r="V151" i="1"/>
  <c r="U87" i="1"/>
  <c r="V87" i="1"/>
  <c r="V142" i="1"/>
  <c r="U142" i="1"/>
  <c r="U78" i="1"/>
  <c r="V78" i="1"/>
  <c r="U133" i="1"/>
  <c r="V133" i="1"/>
  <c r="V69" i="1"/>
  <c r="U69" i="1"/>
  <c r="V124" i="1"/>
  <c r="U124" i="1"/>
  <c r="U115" i="1"/>
  <c r="V115" i="1"/>
  <c r="V114" i="1"/>
  <c r="U114" i="1"/>
  <c r="V50" i="1"/>
  <c r="U50" i="1"/>
  <c r="U113" i="1"/>
  <c r="V113" i="1"/>
  <c r="V49" i="1"/>
  <c r="U49" i="1"/>
  <c r="V77" i="1"/>
  <c r="W77" i="1" s="1"/>
  <c r="V59" i="1"/>
  <c r="W59" i="1" s="1"/>
  <c r="W157" i="1" l="1"/>
  <c r="W94" i="1"/>
  <c r="W151" i="1"/>
  <c r="W134" i="1"/>
  <c r="W111" i="1"/>
  <c r="W110" i="1"/>
  <c r="W89" i="1"/>
  <c r="W52" i="1"/>
  <c r="W109" i="1"/>
  <c r="W141" i="1"/>
  <c r="W86" i="1"/>
  <c r="W70" i="1"/>
  <c r="W124" i="1"/>
  <c r="W142" i="1"/>
  <c r="W98" i="1"/>
  <c r="W93" i="1"/>
  <c r="W154" i="1"/>
  <c r="W45" i="1"/>
  <c r="W42" i="1"/>
  <c r="W158" i="1"/>
  <c r="W43" i="1"/>
  <c r="W102" i="1"/>
  <c r="W62" i="1"/>
  <c r="W153" i="1"/>
  <c r="W132" i="1"/>
  <c r="W81" i="1"/>
  <c r="W90" i="1"/>
  <c r="W123" i="1"/>
  <c r="W46" i="1"/>
  <c r="W67" i="1"/>
  <c r="W116" i="1"/>
  <c r="W131" i="1"/>
  <c r="W47" i="1"/>
  <c r="W149" i="1"/>
  <c r="W87" i="1"/>
  <c r="W126" i="1"/>
  <c r="W106" i="1"/>
  <c r="W121" i="1"/>
  <c r="W115" i="1"/>
  <c r="W137" i="1"/>
  <c r="W82" i="1"/>
  <c r="W125" i="1"/>
  <c r="W96" i="1"/>
  <c r="W143" i="1"/>
  <c r="W122" i="1"/>
  <c r="W130" i="1"/>
  <c r="W97" i="1"/>
  <c r="W61" i="1"/>
  <c r="W160" i="1"/>
  <c r="W140" i="1"/>
  <c r="W135" i="1"/>
  <c r="W119" i="1"/>
  <c r="W50" i="1"/>
  <c r="W128" i="1"/>
  <c r="W152" i="1"/>
  <c r="W83" i="1"/>
  <c r="W101" i="1"/>
  <c r="W64" i="1"/>
  <c r="W108" i="1"/>
  <c r="W95" i="1"/>
  <c r="W63" i="1"/>
  <c r="W155" i="1"/>
  <c r="W114" i="1"/>
  <c r="W69" i="1"/>
  <c r="W159" i="1"/>
  <c r="W117" i="1"/>
  <c r="W57" i="1"/>
  <c r="W104" i="1"/>
  <c r="W88" i="1"/>
  <c r="W105" i="1"/>
  <c r="W65" i="1"/>
  <c r="W85" i="1"/>
  <c r="W103" i="1"/>
  <c r="W120" i="1"/>
  <c r="W139" i="1"/>
  <c r="W107" i="1"/>
  <c r="W145" i="1"/>
  <c r="W147" i="1"/>
  <c r="W44" i="1"/>
  <c r="W100" i="1"/>
  <c r="W49" i="1"/>
  <c r="W133" i="1"/>
  <c r="W136" i="1"/>
  <c r="W129" i="1"/>
  <c r="W48" i="1"/>
  <c r="W74" i="1"/>
  <c r="W84" i="1"/>
  <c r="W68" i="1"/>
  <c r="W161" i="1"/>
  <c r="W92" i="1"/>
  <c r="W113" i="1"/>
  <c r="W78" i="1"/>
  <c r="W118" i="1"/>
  <c r="W112" i="1"/>
  <c r="W53" i="1"/>
  <c r="W41" i="1"/>
  <c r="W66" i="1"/>
  <c r="W99" i="1"/>
  <c r="W138" i="1"/>
  <c r="W148" i="1"/>
  <c r="W144" i="1"/>
  <c r="W146" i="1"/>
  <c r="W156" i="1"/>
  <c r="W91" i="1"/>
</calcChain>
</file>

<file path=xl/sharedStrings.xml><?xml version="1.0" encoding="utf-8"?>
<sst xmlns="http://schemas.openxmlformats.org/spreadsheetml/2006/main" count="1792" uniqueCount="368">
  <si>
    <t>Harvest</t>
  </si>
  <si>
    <t>Field wt</t>
  </si>
  <si>
    <t>HADAT</t>
  </si>
  <si>
    <t>WBWAH</t>
  </si>
  <si>
    <t>(kg/ha)</t>
  </si>
  <si>
    <t>Parameters</t>
  </si>
  <si>
    <t>m2 per ha</t>
  </si>
  <si>
    <t>Ginning</t>
  </si>
  <si>
    <t>Sample</t>
  </si>
  <si>
    <t>(g)</t>
  </si>
  <si>
    <t>Fiber</t>
  </si>
  <si>
    <t>Seed</t>
  </si>
  <si>
    <t>FFRAC</t>
  </si>
  <si>
    <t>SFRAC</t>
  </si>
  <si>
    <t>TFRAC</t>
  </si>
  <si>
    <t>(g/g)</t>
  </si>
  <si>
    <t>Compute</t>
  </si>
  <si>
    <t>WFWAH</t>
  </si>
  <si>
    <t>WSWAH</t>
  </si>
  <si>
    <t>WSCWAH</t>
  </si>
  <si>
    <t>PID</t>
  </si>
  <si>
    <t>HARM</t>
  </si>
  <si>
    <t>Column C - Harvest method (HARM)</t>
  </si>
  <si>
    <t>Column F - Wet bulk weight at harvest (fiber + seed + trash) (WBWAH, kg/ha)</t>
  </si>
  <si>
    <t>Date</t>
  </si>
  <si>
    <t>GNDAT</t>
  </si>
  <si>
    <t>Column D - Harvest date (HADAT, mm/dd/yyyy)</t>
  </si>
  <si>
    <t>HID</t>
  </si>
  <si>
    <t>p02</t>
  </si>
  <si>
    <t>p04</t>
  </si>
  <si>
    <t>p05</t>
  </si>
  <si>
    <t>p06</t>
  </si>
  <si>
    <t>p07</t>
  </si>
  <si>
    <t>p08</t>
  </si>
  <si>
    <t>p11</t>
  </si>
  <si>
    <t>ID</t>
  </si>
  <si>
    <t>Column A - ID (ID)</t>
  </si>
  <si>
    <t>Column B - Harvest Area ID (HID)</t>
  </si>
  <si>
    <t>(kg)</t>
  </si>
  <si>
    <t>p01-01</t>
  </si>
  <si>
    <t>p01-02</t>
  </si>
  <si>
    <t>p01-03</t>
  </si>
  <si>
    <t>p01-04</t>
  </si>
  <si>
    <t>p01-05</t>
  </si>
  <si>
    <t>p01-06</t>
  </si>
  <si>
    <t>p01-07</t>
  </si>
  <si>
    <t>p01-08</t>
  </si>
  <si>
    <t>p01-09</t>
  </si>
  <si>
    <t>p01-10</t>
  </si>
  <si>
    <t>p01-11</t>
  </si>
  <si>
    <t>p02-01</t>
  </si>
  <si>
    <t>p02-02</t>
  </si>
  <si>
    <t>p02-03</t>
  </si>
  <si>
    <t>p02-04</t>
  </si>
  <si>
    <t>p02-05</t>
  </si>
  <si>
    <t>p02-06</t>
  </si>
  <si>
    <t>p02-07</t>
  </si>
  <si>
    <t>p02-08</t>
  </si>
  <si>
    <t>p02-09</t>
  </si>
  <si>
    <t>p02-10</t>
  </si>
  <si>
    <t>p02-11</t>
  </si>
  <si>
    <t>p03-01</t>
  </si>
  <si>
    <t>p03-02</t>
  </si>
  <si>
    <t>p03-03</t>
  </si>
  <si>
    <t>p03-04</t>
  </si>
  <si>
    <t>p03-05</t>
  </si>
  <si>
    <t>p03-06</t>
  </si>
  <si>
    <t>p03-07</t>
  </si>
  <si>
    <t>p03-08</t>
  </si>
  <si>
    <t>p03-09</t>
  </si>
  <si>
    <t>p03-10</t>
  </si>
  <si>
    <t>p03-11</t>
  </si>
  <si>
    <t>p04-01</t>
  </si>
  <si>
    <t>p04-02</t>
  </si>
  <si>
    <t>p04-03</t>
  </si>
  <si>
    <t>p04-04</t>
  </si>
  <si>
    <t>p04-05</t>
  </si>
  <si>
    <t>p04-06</t>
  </si>
  <si>
    <t>p04-07</t>
  </si>
  <si>
    <t>p04-08</t>
  </si>
  <si>
    <t>p04-09</t>
  </si>
  <si>
    <t>p04-10</t>
  </si>
  <si>
    <t>p04-11</t>
  </si>
  <si>
    <t>p05-01</t>
  </si>
  <si>
    <t>p05-02</t>
  </si>
  <si>
    <t>p05-03</t>
  </si>
  <si>
    <t>p05-04</t>
  </si>
  <si>
    <t>p05-05</t>
  </si>
  <si>
    <t>p05-06</t>
  </si>
  <si>
    <t>p05-07</t>
  </si>
  <si>
    <t>p05-08</t>
  </si>
  <si>
    <t>p05-09</t>
  </si>
  <si>
    <t>p05-10</t>
  </si>
  <si>
    <t>p05-11</t>
  </si>
  <si>
    <t>p06-01</t>
  </si>
  <si>
    <t>p06-02</t>
  </si>
  <si>
    <t>p06-03</t>
  </si>
  <si>
    <t>p06-04</t>
  </si>
  <si>
    <t>p06-05</t>
  </si>
  <si>
    <t>p06-06</t>
  </si>
  <si>
    <t>p06-07</t>
  </si>
  <si>
    <t>p06-08</t>
  </si>
  <si>
    <t>p06-09</t>
  </si>
  <si>
    <t>p06-10</t>
  </si>
  <si>
    <t>p06-11</t>
  </si>
  <si>
    <t>p07-01</t>
  </si>
  <si>
    <t>p07-02</t>
  </si>
  <si>
    <t>p07-03</t>
  </si>
  <si>
    <t>p07-04</t>
  </si>
  <si>
    <t>p07-05</t>
  </si>
  <si>
    <t>p07-06</t>
  </si>
  <si>
    <t>p07-07</t>
  </si>
  <si>
    <t>p07-08</t>
  </si>
  <si>
    <t>p07-09</t>
  </si>
  <si>
    <t>p07-10</t>
  </si>
  <si>
    <t>p07-11</t>
  </si>
  <si>
    <t>p08-01</t>
  </si>
  <si>
    <t>p08-02</t>
  </si>
  <si>
    <t>p08-03</t>
  </si>
  <si>
    <t>p08-04</t>
  </si>
  <si>
    <t>p08-05</t>
  </si>
  <si>
    <t>p08-06</t>
  </si>
  <si>
    <t>p08-07</t>
  </si>
  <si>
    <t>p08-08</t>
  </si>
  <si>
    <t>p08-09</t>
  </si>
  <si>
    <t>p08-10</t>
  </si>
  <si>
    <t>p08-11</t>
  </si>
  <si>
    <t>p09-01</t>
  </si>
  <si>
    <t>p09-02</t>
  </si>
  <si>
    <t>p09-03</t>
  </si>
  <si>
    <t>p09-04</t>
  </si>
  <si>
    <t>p09-05</t>
  </si>
  <si>
    <t>p09-06</t>
  </si>
  <si>
    <t>p09-07</t>
  </si>
  <si>
    <t>p09-08</t>
  </si>
  <si>
    <t>p09-09</t>
  </si>
  <si>
    <t>p09-10</t>
  </si>
  <si>
    <t>p09-11</t>
  </si>
  <si>
    <t>p10-01</t>
  </si>
  <si>
    <t>p10-02</t>
  </si>
  <si>
    <t>p10-03</t>
  </si>
  <si>
    <t>p10-04</t>
  </si>
  <si>
    <t>p10-05</t>
  </si>
  <si>
    <t>p10-06</t>
  </si>
  <si>
    <t>p10-07</t>
  </si>
  <si>
    <t>p10-08</t>
  </si>
  <si>
    <t>p10-09</t>
  </si>
  <si>
    <t>p10-10</t>
  </si>
  <si>
    <t>p10-11</t>
  </si>
  <si>
    <t>p11-01</t>
  </si>
  <si>
    <t>p11-02</t>
  </si>
  <si>
    <t>p11-03</t>
  </si>
  <si>
    <t>p11-04</t>
  </si>
  <si>
    <t>p11-05</t>
  </si>
  <si>
    <t>p11-06</t>
  </si>
  <si>
    <t>p11-07</t>
  </si>
  <si>
    <t>p11-08</t>
  </si>
  <si>
    <t>p11-09</t>
  </si>
  <si>
    <t>p11-10</t>
  </si>
  <si>
    <t>p11-11</t>
  </si>
  <si>
    <t>Machine</t>
  </si>
  <si>
    <t>(lbs)</t>
  </si>
  <si>
    <t>in bag</t>
  </si>
  <si>
    <t>kg per lb</t>
  </si>
  <si>
    <t>wt in bag</t>
  </si>
  <si>
    <t>Weight of a single subsample bag (lbs)</t>
  </si>
  <si>
    <t>Weight</t>
  </si>
  <si>
    <t>p01</t>
  </si>
  <si>
    <t>p03</t>
  </si>
  <si>
    <t>p09</t>
  </si>
  <si>
    <t>p10</t>
  </si>
  <si>
    <t>minus bag</t>
  </si>
  <si>
    <t>Size of harvest area (2 40-inch rows by 14.6 m) (m2)</t>
  </si>
  <si>
    <t>Size of harvest area in p01-11 and p02-11 (2 40-inch rows by 11.9 m) (m2)</t>
  </si>
  <si>
    <t>Moisture</t>
  </si>
  <si>
    <t>Bag</t>
  </si>
  <si>
    <t>weight</t>
  </si>
  <si>
    <t>Sample wt</t>
  </si>
  <si>
    <t>Wet</t>
  </si>
  <si>
    <t>Dry</t>
  </si>
  <si>
    <t>BWCAH</t>
  </si>
  <si>
    <t>DBWAH</t>
  </si>
  <si>
    <t>(%)</t>
  </si>
  <si>
    <t xml:space="preserve">Sample </t>
  </si>
  <si>
    <t>wt no bag</t>
  </si>
  <si>
    <t>wt no bin</t>
  </si>
  <si>
    <t>DFWAH</t>
  </si>
  <si>
    <t>DSWAH</t>
  </si>
  <si>
    <t>DSCWAH</t>
  </si>
  <si>
    <t>Column K - Bulk water content at harvest (BWCAH, %)</t>
  </si>
  <si>
    <t>Column L - Dry bulk weight at harvest (fiber + seed + trash) (0% water content) (DBWAH, kg/ha)</t>
  </si>
  <si>
    <t>Column R - Fiber fraction after ginning (FFRAC, g/g)</t>
  </si>
  <si>
    <t>Column S - Seed fraction after ginning (SFRAC, g/g)</t>
  </si>
  <si>
    <t>Column T - Trash fraction after ginning (TFRAC, g/g)</t>
  </si>
  <si>
    <t>Column U - Wet fiber weight at harvest (WFWAH, kg/ha)</t>
  </si>
  <si>
    <t>Column V - Wet seed weight at harvest (WSWAH, kg/ha)</t>
  </si>
  <si>
    <t>Column W - Wet seed cotton weight at harvest (fiber + seed) (WSCWAH, kg/ha)</t>
  </si>
  <si>
    <t>Column X - Dry fiber weight at harvest (DFWAH, kg/ha)</t>
  </si>
  <si>
    <t>Column Y - Dry seed weight at harvest (DSWAH, kg/ha)</t>
  </si>
  <si>
    <t>Column Z - Dry seed cotton weight at harvest (fiber + seed) (DSCWAH, kg/ha)</t>
  </si>
  <si>
    <t>Dry Lint Wt</t>
  </si>
  <si>
    <t>Dry Seed Wt</t>
  </si>
  <si>
    <t>kg/ha</t>
  </si>
  <si>
    <t>Original</t>
  </si>
  <si>
    <t>Spreadsheet</t>
  </si>
  <si>
    <t>Column E - Weight of machine-picked cotton, no bag (lbs), Machine harvest 2 rows by 14.6 m into mesh bags. Weigh in field using IQ plus 390-DC scale.</t>
  </si>
  <si>
    <t>Column N - Weight of bulk cotton subsample in bag prior to ginning (kg). Weigh using scale at MAC gin.</t>
  </si>
  <si>
    <t>Column O - Weight of bulk cotton subsample prior to ginning, no bag (lbs).  Weigh using scale at MAC gin.</t>
  </si>
  <si>
    <t>Column P - Weight of fiber after ginning, no bag (lbs).  Weigh using scale at MAC gin.</t>
  </si>
  <si>
    <t>Column M - Ginning Date (GNDAT, mm/dd/yyyy). Ginned using the MAC large gin with cleaners.</t>
  </si>
  <si>
    <t>Column G - Weight of Zip-lock plastic bag for subsampling harvest bags for moisture content. Weigh in Room 189 on Sartorius scale.</t>
  </si>
  <si>
    <t>Column H - Weight of bulk subsample for moisture content in plastic bag (g). Weigh in Room 189 on Sartorius scale.</t>
  </si>
  <si>
    <t>Column I - Wet weight of bulk subsample prior to oven drying (g). Weigh in Room 189 on Sartorius scale.</t>
  </si>
  <si>
    <t>Column J - Dry weight of bulk subsample after oven drying (g). Weigh in Room 189 on Sartorius scale.</t>
  </si>
  <si>
    <t>Column Q - Weight of fuzzy seed after ginning, no bag (lbs).  Weigh using scale at MAC gin.</t>
  </si>
  <si>
    <t>Plot-scale calculations</t>
  </si>
  <si>
    <r>
      <t xml:space="preserve">136.67 </t>
    </r>
    <r>
      <rPr>
        <sz val="8"/>
        <color rgb="FFFF0000"/>
        <rFont val="Calibri"/>
        <family val="2"/>
        <scheme val="minor"/>
      </rPr>
      <t>plots 05-11 &amp; 06-01 oops</t>
    </r>
  </si>
  <si>
    <t>% Trash</t>
  </si>
  <si>
    <t>Trash (g)</t>
  </si>
  <si>
    <t>% Seed</t>
  </si>
  <si>
    <t>Seed (g)</t>
  </si>
  <si>
    <t>% Lint</t>
  </si>
  <si>
    <t>Lint (g)</t>
  </si>
  <si>
    <t>wet basis       % moisture</t>
  </si>
  <si>
    <r>
      <t xml:space="preserve">Dry weight        </t>
    </r>
    <r>
      <rPr>
        <b/>
        <sz val="7"/>
        <color theme="1"/>
        <rFont val="Calibri"/>
        <family val="2"/>
        <scheme val="minor"/>
      </rPr>
      <t xml:space="preserve"> (no bag) </t>
    </r>
    <r>
      <rPr>
        <b/>
        <sz val="10"/>
        <color theme="1"/>
        <rFont val="Calibri"/>
        <family val="2"/>
        <scheme val="minor"/>
      </rPr>
      <t>(g)</t>
    </r>
  </si>
  <si>
    <t>Seed cotton (g)</t>
  </si>
  <si>
    <t>Seed cotton + bag (g)</t>
  </si>
  <si>
    <t>plastic bag (g)</t>
  </si>
  <si>
    <t>cell</t>
  </si>
  <si>
    <t>Trt</t>
  </si>
  <si>
    <t>Ginned</t>
  </si>
  <si>
    <t>Seed Cotton</t>
  </si>
  <si>
    <t>Seed cotton</t>
  </si>
  <si>
    <t>From field:</t>
  </si>
  <si>
    <t>Ginned 5 &amp; 6 Feb. Lint into oven 6 Feb and weighed 12 Feb. Seed into oven 18 Feb. Seed weighed 10 March.</t>
  </si>
  <si>
    <t>9-10 Dec</t>
  </si>
  <si>
    <t>calculated</t>
  </si>
  <si>
    <t>12 Nov (afternoon)</t>
  </si>
  <si>
    <t>weighed:</t>
  </si>
  <si>
    <t>sample not collected and next sample run through gin.</t>
  </si>
  <si>
    <t>Weights taken on Sartorius in rm 189</t>
  </si>
  <si>
    <t>After initial weighing (harvested cotton in the pre-weighed bags), cotton transferred to paper bags and placed in oven.</t>
  </si>
  <si>
    <t>Samples taken in the field at harvest time, placed into sealed ziplock bags.</t>
  </si>
  <si>
    <t>Harvest-Seed Cotton Moisture Content</t>
  </si>
  <si>
    <t xml:space="preserve">Cotton </t>
  </si>
  <si>
    <t>F013 - lateral move irrigation</t>
  </si>
  <si>
    <t>←Cell width→</t>
  </si>
  <si>
    <t>2 rows</t>
  </si>
  <si>
    <t>Buffer</t>
  </si>
  <si>
    <t>B</t>
  </si>
  <si>
    <t>A</t>
  </si>
  <si>
    <t>We will be about here</t>
  </si>
  <si>
    <t>↑</t>
  </si>
  <si>
    <t>↓</t>
  </si>
  <si>
    <t xml:space="preserve">11 10 9 8 7 6 5 4 3 2 1 </t>
  </si>
  <si>
    <t>Plot 11</t>
  </si>
  <si>
    <t>Kevin's</t>
  </si>
  <si>
    <t>Plot 10</t>
  </si>
  <si>
    <t>Plot 09</t>
  </si>
  <si>
    <t>Plot 08</t>
  </si>
  <si>
    <t>Plot 07</t>
  </si>
  <si>
    <t>Plot 06</t>
  </si>
  <si>
    <t>Plot 05</t>
  </si>
  <si>
    <t>Plot 04</t>
  </si>
  <si>
    <t>Plot 03</t>
  </si>
  <si>
    <t>Plot 02</t>
  </si>
  <si>
    <t>Plot 01</t>
  </si>
  <si>
    <r>
      <t xml:space="preserve">Span 7  </t>
    </r>
    <r>
      <rPr>
        <sz val="7"/>
        <color theme="1"/>
        <rFont val="Arial"/>
        <family val="2"/>
      </rPr>
      <t>Overhang</t>
    </r>
  </si>
  <si>
    <t>Span 6</t>
  </si>
  <si>
    <t>Span 5  West</t>
  </si>
  <si>
    <t>Span 5  East</t>
  </si>
  <si>
    <t>Span 4  West</t>
  </si>
  <si>
    <t>Span 4  East</t>
  </si>
  <si>
    <t>Span 3  West</t>
  </si>
  <si>
    <t>Span 3  East</t>
  </si>
  <si>
    <t>Span 2  West</t>
  </si>
  <si>
    <t>Span 2  East</t>
  </si>
  <si>
    <t>Span 1  West</t>
  </si>
  <si>
    <t>Span 1  East</t>
  </si>
  <si>
    <t>South  ↑</t>
  </si>
  <si>
    <t>Row 16</t>
  </si>
  <si>
    <t>Row 17</t>
  </si>
  <si>
    <t>A and B actually random - may be from either row</t>
  </si>
  <si>
    <t>Using 2 row picker for harvest. Harvesting rows 16 and 17 in each treatment.</t>
  </si>
  <si>
    <t>General Plot Map for Harvesting</t>
  </si>
  <si>
    <t>DSSAT</t>
  </si>
  <si>
    <t>FAO</t>
  </si>
  <si>
    <t>Ave per cell =</t>
  </si>
  <si>
    <r>
      <t>CropMod</t>
    </r>
    <r>
      <rPr>
        <b/>
        <sz val="9"/>
        <color theme="1"/>
        <rFont val="Arial"/>
        <family val="2"/>
      </rPr>
      <t xml:space="preserve"> (w/o overhang)</t>
    </r>
  </si>
  <si>
    <r>
      <t>CropMod</t>
    </r>
    <r>
      <rPr>
        <b/>
        <sz val="10"/>
        <color theme="1"/>
        <rFont val="Arial"/>
        <family val="2"/>
      </rPr>
      <t xml:space="preserve"> (w/ overhang)</t>
    </r>
  </si>
  <si>
    <t>SEB</t>
  </si>
  <si>
    <t>NDVI</t>
  </si>
  <si>
    <t>Stressed</t>
  </si>
  <si>
    <t>couple of treatment plots were.</t>
  </si>
  <si>
    <t xml:space="preserve">Kelly &amp; Glenda noted how damp the first </t>
  </si>
  <si>
    <t>CroMod</t>
  </si>
  <si>
    <t>CropMod</t>
  </si>
  <si>
    <t>Blue tags</t>
  </si>
  <si>
    <t>Span 7-Overhang</t>
  </si>
  <si>
    <t>Black tags</t>
  </si>
  <si>
    <t>Span 5-West</t>
  </si>
  <si>
    <t>Span 5-East</t>
  </si>
  <si>
    <t>Span 4-West</t>
  </si>
  <si>
    <t>Span 4-East</t>
  </si>
  <si>
    <t>Span 3-West</t>
  </si>
  <si>
    <t>Span 3-East</t>
  </si>
  <si>
    <t>Span 2-West</t>
  </si>
  <si>
    <t>Span 2-East</t>
  </si>
  <si>
    <t>Span 1-West</t>
  </si>
  <si>
    <t>Span 1-East</t>
  </si>
  <si>
    <t>Notes</t>
  </si>
  <si>
    <t>(lb)</t>
  </si>
  <si>
    <r>
      <rPr>
        <sz val="7"/>
        <color theme="1"/>
        <rFont val="Arial"/>
        <family val="2"/>
      </rPr>
      <t xml:space="preserve">(cotton + mesh bag) </t>
    </r>
    <r>
      <rPr>
        <b/>
        <sz val="10"/>
        <color theme="1"/>
        <rFont val="Arial"/>
        <family val="2"/>
      </rPr>
      <t>(lb)</t>
    </r>
  </si>
  <si>
    <t>bag (row)</t>
  </si>
  <si>
    <t>Total weight</t>
  </si>
  <si>
    <t>field weight</t>
  </si>
  <si>
    <t>Two of the Blue tag set weighed 2.2 lbs and two of the Black tag set weighed 2.3 lbs (on the field scale).</t>
  </si>
  <si>
    <t>The Blue Tag set all the same type of mesh bag and the Black Tag set also of the same type of mesh bag (but different from the Blue Tag set).</t>
  </si>
  <si>
    <t xml:space="preserve">Two sets of mesh bags used on the picker. One set labelled with blue tags and one with black tags. </t>
  </si>
  <si>
    <t>Weight is harvested cotton in/with mesh bag.  Using U ofA'a scale (IQ plus 390-DC is listed on digital read-out).  Same scale as used previously with F33 cotton.</t>
  </si>
  <si>
    <t>Two bags used to collect harvested cotton for each 47.9' length.  "A" bags filled first, then "B" bags.</t>
  </si>
  <si>
    <t>Final Harvest Weights</t>
  </si>
  <si>
    <t>Harvested 12 Nov 2014</t>
  </si>
  <si>
    <t>P08</t>
  </si>
  <si>
    <t>P07</t>
  </si>
  <si>
    <t>P06</t>
  </si>
  <si>
    <t>P04</t>
  </si>
  <si>
    <t>P03</t>
  </si>
  <si>
    <t>P01</t>
  </si>
  <si>
    <t>P10</t>
  </si>
  <si>
    <t>P02</t>
  </si>
  <si>
    <t>Trash</t>
  </si>
  <si>
    <t>Lint</t>
  </si>
  <si>
    <t>Stress</t>
  </si>
  <si>
    <t>CROPMOD</t>
  </si>
  <si>
    <t>frac</t>
  </si>
  <si>
    <t>Area</t>
  </si>
  <si>
    <t>Plot</t>
  </si>
  <si>
    <t>Dry Seed Cotton</t>
  </si>
  <si>
    <t>Field Wt</t>
  </si>
  <si>
    <t>Total raw cotton/cell (lb)</t>
  </si>
  <si>
    <t xml:space="preserve">Cell # </t>
  </si>
  <si>
    <t>Net cotton (lb)</t>
  </si>
  <si>
    <t>Bag ^ cotton (lb)</t>
  </si>
  <si>
    <t>Bag &amp; cotton (lbs)</t>
  </si>
  <si>
    <t>Samp. #</t>
  </si>
  <si>
    <t>Bag &amp; cotton (Kg)</t>
  </si>
  <si>
    <t>Border #</t>
  </si>
  <si>
    <r>
      <t xml:space="preserve">Weights are weights of bag and cotton.  Weight of bag &amp; 3 staples alone is     0.16   </t>
    </r>
    <r>
      <rPr>
        <b/>
        <u/>
        <sz val="16"/>
        <color indexed="53"/>
        <rFont val="Calibri"/>
        <family val="2"/>
      </rPr>
      <t xml:space="preserve"> lb</t>
    </r>
  </si>
  <si>
    <t>Subsample weights</t>
  </si>
  <si>
    <t>Cotton Harvest</t>
  </si>
  <si>
    <t>Cotton 2014 - Lateral move irrigation Experiment   -   Field 13</t>
  </si>
  <si>
    <t>Two bags w/ same label, but 99+% certain we've got them correct-smm</t>
  </si>
  <si>
    <t>Average =</t>
  </si>
  <si>
    <t>Seed %</t>
  </si>
  <si>
    <t>Lint %</t>
  </si>
  <si>
    <t xml:space="preserve">Trash &amp; lost Fraction </t>
  </si>
  <si>
    <t xml:space="preserve">Seed Fraction </t>
  </si>
  <si>
    <t xml:space="preserve">Lint Fraction </t>
  </si>
  <si>
    <t>Seed in container (lb)</t>
  </si>
  <si>
    <t>Lint in bag (lb)</t>
  </si>
  <si>
    <t>Sub sample lb</t>
  </si>
  <si>
    <t>Samp. # (Cell #)</t>
  </si>
  <si>
    <t>Date:</t>
  </si>
  <si>
    <t>Used scale in ginning bldg</t>
  </si>
  <si>
    <t>Bag holding lint -  10 ozs;   container holding seed - 3 lbs 11 ozs</t>
  </si>
  <si>
    <t>Some trash in with seed</t>
  </si>
  <si>
    <t>Cotton 2014    Field 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</si>
</sst>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mm/dd/yyyy"/>
    <numFmt numFmtId="167" formatCode="00"/>
    <numFmt numFmtId="168" formatCode="0.000"/>
  </numFmts>
  <fonts count="66"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Arial"/>
      <family val="2"/>
    </font>
    <font>
      <sz val="12"/>
      <color theme="1"/>
      <name val="Calibri"/>
      <family val="2"/>
      <scheme val="minor"/>
    </font>
    <font>
      <b/>
      <sz val="14"/>
      <color theme="1"/>
      <name val="Calibri"/>
      <family val="2"/>
      <scheme val="minor"/>
    </font>
    <font>
      <sz val="14"/>
      <color theme="1"/>
      <name val="Calibri"/>
      <family val="2"/>
      <scheme val="minor"/>
    </font>
    <font>
      <sz val="12"/>
      <color rgb="FFFF0000"/>
      <name val="Calibri"/>
      <family val="2"/>
      <scheme val="minor"/>
    </font>
    <font>
      <sz val="8"/>
      <color rgb="FFFF0000"/>
      <name val="Calibri"/>
      <family val="2"/>
      <scheme val="minor"/>
    </font>
    <font>
      <b/>
      <sz val="10"/>
      <color theme="1"/>
      <name val="Calibri"/>
      <family val="2"/>
      <scheme val="minor"/>
    </font>
    <font>
      <b/>
      <sz val="7"/>
      <color theme="1"/>
      <name val="Calibri"/>
      <family val="2"/>
      <scheme val="minor"/>
    </font>
    <font>
      <sz val="10"/>
      <color theme="1"/>
      <name val="Arial"/>
      <family val="2"/>
    </font>
    <font>
      <sz val="10"/>
      <color theme="1"/>
      <name val="Calibri"/>
      <family val="2"/>
      <scheme val="minor"/>
    </font>
    <font>
      <i/>
      <sz val="11"/>
      <color theme="1"/>
      <name val="Calibri"/>
      <family val="2"/>
      <scheme val="minor"/>
    </font>
    <font>
      <sz val="7"/>
      <color rgb="FFFF0000"/>
      <name val="Calibri"/>
      <family val="2"/>
      <scheme val="minor"/>
    </font>
    <font>
      <sz val="9"/>
      <color theme="1"/>
      <name val="Calibri"/>
      <family val="2"/>
      <scheme val="minor"/>
    </font>
    <font>
      <sz val="10"/>
      <color indexed="8"/>
      <name val="Calibri"/>
      <family val="2"/>
    </font>
    <font>
      <b/>
      <sz val="14"/>
      <color theme="1"/>
      <name val="Arial"/>
      <family val="2"/>
    </font>
    <font>
      <b/>
      <sz val="14"/>
      <color theme="1"/>
      <name val="Arial Black"/>
      <family val="2"/>
    </font>
    <font>
      <b/>
      <sz val="16"/>
      <color theme="1"/>
      <name val="Arial"/>
      <family val="2"/>
    </font>
    <font>
      <b/>
      <sz val="13"/>
      <color theme="1"/>
      <name val="Arial"/>
      <family val="2"/>
    </font>
    <font>
      <sz val="7"/>
      <color theme="1"/>
      <name val="Arial"/>
      <family val="2"/>
    </font>
    <font>
      <b/>
      <sz val="24"/>
      <color indexed="8"/>
      <name val="Calibri"/>
      <family val="2"/>
    </font>
    <font>
      <sz val="16"/>
      <color indexed="8"/>
      <name val="Arial"/>
      <family val="2"/>
    </font>
    <font>
      <sz val="11"/>
      <color rgb="FFFF0000"/>
      <name val="Arial"/>
      <family val="2"/>
    </font>
    <font>
      <i/>
      <sz val="11"/>
      <color rgb="FFFF0000"/>
      <name val="Arial"/>
      <family val="2"/>
    </font>
    <font>
      <sz val="8"/>
      <color theme="1"/>
      <name val="Arial"/>
      <family val="2"/>
    </font>
    <font>
      <sz val="14"/>
      <color theme="1"/>
      <name val="Arial"/>
      <family val="2"/>
    </font>
    <font>
      <sz val="18"/>
      <color theme="1"/>
      <name val="Arial"/>
      <family val="2"/>
    </font>
    <font>
      <b/>
      <sz val="9"/>
      <color theme="1"/>
      <name val="Arial"/>
      <family val="2"/>
    </font>
    <font>
      <b/>
      <sz val="10"/>
      <color theme="1"/>
      <name val="Arial"/>
      <family val="2"/>
    </font>
    <font>
      <b/>
      <sz val="11"/>
      <color theme="1"/>
      <name val="Arial"/>
      <family val="2"/>
    </font>
    <font>
      <sz val="13"/>
      <color theme="1"/>
      <name val="Arial"/>
      <family val="2"/>
    </font>
    <font>
      <b/>
      <sz val="8"/>
      <color theme="1"/>
      <name val="Arial"/>
      <family val="2"/>
    </font>
    <font>
      <sz val="9"/>
      <color theme="1"/>
      <name val="Arial"/>
      <family val="2"/>
    </font>
    <font>
      <b/>
      <sz val="9"/>
      <color rgb="FFFF0000"/>
      <name val="Arial"/>
      <family val="2"/>
    </font>
    <font>
      <b/>
      <sz val="14"/>
      <color indexed="8"/>
      <name val="Calibri"/>
      <family val="2"/>
    </font>
    <font>
      <b/>
      <sz val="11"/>
      <color indexed="8"/>
      <name val="Calibri"/>
      <family val="2"/>
    </font>
    <font>
      <b/>
      <sz val="16"/>
      <color indexed="8"/>
      <name val="Calibri"/>
      <family val="2"/>
    </font>
    <font>
      <sz val="11"/>
      <name val="Calibri"/>
      <family val="2"/>
      <scheme val="minor"/>
    </font>
    <font>
      <sz val="14"/>
      <name val="Calibri"/>
      <family val="2"/>
    </font>
    <font>
      <b/>
      <sz val="14"/>
      <name val="Calibri"/>
      <family val="2"/>
    </font>
    <font>
      <sz val="8"/>
      <name val="Arial Narrow"/>
      <family val="2"/>
    </font>
    <font>
      <b/>
      <sz val="12"/>
      <color indexed="8"/>
      <name val="Calibri"/>
      <family val="2"/>
    </font>
    <font>
      <sz val="11"/>
      <color indexed="18"/>
      <name val="Calibri"/>
      <family val="2"/>
    </font>
    <font>
      <b/>
      <sz val="18"/>
      <color indexed="8"/>
      <name val="Calibri"/>
      <family val="2"/>
    </font>
    <font>
      <sz val="11"/>
      <color indexed="60"/>
      <name val="Calibri"/>
      <family val="2"/>
    </font>
    <font>
      <b/>
      <sz val="14"/>
      <color indexed="53"/>
      <name val="Calibri"/>
      <family val="2"/>
    </font>
    <font>
      <b/>
      <u/>
      <sz val="16"/>
      <color indexed="53"/>
      <name val="Calibri"/>
      <family val="2"/>
    </font>
    <font>
      <sz val="12"/>
      <color indexed="8"/>
      <name val="Calibri"/>
      <family val="2"/>
    </font>
    <font>
      <b/>
      <sz val="13"/>
      <color indexed="8"/>
      <name val="Calibri"/>
      <family val="2"/>
    </font>
    <font>
      <sz val="13"/>
      <color indexed="8"/>
      <name val="Calibri"/>
      <family val="2"/>
    </font>
    <font>
      <b/>
      <sz val="13"/>
      <color indexed="8"/>
      <name val="Arial Narrow"/>
      <family val="2"/>
    </font>
    <font>
      <b/>
      <sz val="14"/>
      <color indexed="8"/>
      <name val="Arial Black"/>
      <family val="2"/>
    </font>
    <font>
      <sz val="9"/>
      <color indexed="8"/>
      <name val="Calibri"/>
      <family val="2"/>
    </font>
    <font>
      <sz val="8"/>
      <color indexed="8"/>
      <name val="Calibri"/>
      <family val="2"/>
    </font>
    <font>
      <sz val="13"/>
      <color indexed="8"/>
      <name val="Arial Narrow"/>
      <family val="2"/>
    </font>
    <font>
      <sz val="14"/>
      <color indexed="8"/>
      <name val="Arial Narrow"/>
      <family val="2"/>
    </font>
    <font>
      <b/>
      <sz val="11"/>
      <color indexed="8"/>
      <name val="Arial"/>
      <family val="2"/>
    </font>
    <font>
      <b/>
      <sz val="12"/>
      <color indexed="8"/>
      <name val="Arial Rounded MT Bold"/>
      <family val="2"/>
    </font>
    <font>
      <b/>
      <sz val="11"/>
      <color indexed="8"/>
      <name val="Arial Narrow"/>
      <family val="2"/>
    </font>
    <font>
      <b/>
      <sz val="10"/>
      <color indexed="8"/>
      <name val="Arial Narrow"/>
      <family val="2"/>
    </font>
    <font>
      <sz val="14"/>
      <color indexed="8"/>
      <name val="Calibri"/>
      <family val="2"/>
    </font>
    <font>
      <b/>
      <sz val="12"/>
      <color rgb="FFFF0000"/>
      <name val="Calibri"/>
      <family val="2"/>
      <scheme val="minor"/>
    </font>
    <font>
      <b/>
      <sz val="14"/>
      <color indexed="60"/>
      <name val="Calibri"/>
      <family val="2"/>
    </font>
    <font>
      <b/>
      <sz val="11"/>
      <color rgb="FFFF000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indexed="65"/>
        <bgColor indexed="64"/>
      </patternFill>
    </fill>
    <fill>
      <patternFill patternType="solid">
        <fgColor theme="9" tint="0.79998168889431442"/>
        <bgColor indexed="64"/>
      </patternFill>
    </fill>
  </fills>
  <borders count="37">
    <border>
      <left/>
      <right/>
      <top/>
      <bottom/>
      <diagonal/>
    </border>
    <border>
      <left style="medium">
        <color theme="2" tint="-0.499984740745262"/>
      </left>
      <right style="medium">
        <color theme="2" tint="-0.499984740745262"/>
      </right>
      <top style="medium">
        <color theme="2" tint="-0.499984740745262"/>
      </top>
      <bottom style="medium">
        <color theme="2" tint="-0.499984740745262"/>
      </bottom>
      <diagonal/>
    </border>
    <border>
      <left/>
      <right style="medium">
        <color theme="2" tint="-0.499984740745262"/>
      </right>
      <top style="medium">
        <color theme="2" tint="-0.499984740745262"/>
      </top>
      <bottom style="medium">
        <color theme="2" tint="-0.499984740745262"/>
      </bottom>
      <diagonal/>
    </border>
    <border>
      <left style="double">
        <color auto="1"/>
      </left>
      <right style="double">
        <color auto="1"/>
      </right>
      <top style="double">
        <color auto="1"/>
      </top>
      <bottom style="medium">
        <color theme="2" tint="-0.499984740745262"/>
      </bottom>
      <diagonal/>
    </border>
    <border>
      <left style="medium">
        <color theme="2" tint="-0.499984740745262"/>
      </left>
      <right/>
      <top style="medium">
        <color theme="2" tint="-0.499984740745262"/>
      </top>
      <bottom style="medium">
        <color theme="2" tint="-0.499984740745262"/>
      </bottom>
      <diagonal/>
    </border>
    <border>
      <left style="medium">
        <color indexed="64"/>
      </left>
      <right style="medium">
        <color indexed="64"/>
      </right>
      <top/>
      <bottom/>
      <diagonal/>
    </border>
    <border>
      <left style="medium">
        <color indexed="64"/>
      </left>
      <right/>
      <top/>
      <bottom/>
      <diagonal/>
    </border>
    <border>
      <left/>
      <right/>
      <top style="medium">
        <color indexed="8"/>
      </top>
      <bottom/>
      <diagonal/>
    </border>
    <border>
      <left style="medium">
        <color indexed="8"/>
      </left>
      <right/>
      <top/>
      <bottom/>
      <diagonal/>
    </border>
    <border>
      <left/>
      <right style="medium">
        <color indexed="8"/>
      </right>
      <top style="thick">
        <color indexed="8"/>
      </top>
      <bottom style="medium">
        <color indexed="8"/>
      </bottom>
      <diagonal/>
    </border>
    <border>
      <left style="medium">
        <color indexed="8"/>
      </left>
      <right/>
      <top style="thick">
        <color indexed="8"/>
      </top>
      <bottom style="medium">
        <color indexed="8"/>
      </bottom>
      <diagonal/>
    </border>
    <border>
      <left/>
      <right style="medium">
        <color indexed="8"/>
      </right>
      <top/>
      <bottom/>
      <diagonal/>
    </border>
    <border>
      <left/>
      <right style="medium">
        <color indexed="8"/>
      </right>
      <top/>
      <bottom style="medium">
        <color indexed="8"/>
      </bottom>
      <diagonal/>
    </border>
    <border>
      <left style="medium">
        <color indexed="8"/>
      </left>
      <right/>
      <top/>
      <bottom style="medium">
        <color indexed="8"/>
      </bottom>
      <diagonal/>
    </border>
    <border>
      <left/>
      <right style="medium">
        <color indexed="8"/>
      </right>
      <top style="medium">
        <color indexed="8"/>
      </top>
      <bottom/>
      <diagonal/>
    </border>
    <border>
      <left style="medium">
        <color indexed="8"/>
      </left>
      <right/>
      <top style="medium">
        <color indexed="8"/>
      </top>
      <bottom/>
      <diagonal/>
    </border>
    <border>
      <left/>
      <right style="thin">
        <color auto="1"/>
      </right>
      <top/>
      <bottom style="thin">
        <color auto="1"/>
      </bottom>
      <diagonal/>
    </border>
    <border>
      <left/>
      <right/>
      <top/>
      <bottom style="thin">
        <color auto="1"/>
      </bottom>
      <diagonal/>
    </border>
    <border>
      <left style="thin">
        <color auto="1"/>
      </left>
      <right/>
      <top/>
      <bottom style="thin">
        <color auto="1"/>
      </bottom>
      <diagonal/>
    </border>
    <border>
      <left/>
      <right style="thin">
        <color auto="1"/>
      </right>
      <top/>
      <bottom/>
      <diagonal/>
    </border>
    <border>
      <left style="thin">
        <color auto="1"/>
      </left>
      <right/>
      <top/>
      <bottom/>
      <diagonal/>
    </border>
    <border>
      <left/>
      <right style="thin">
        <color auto="1"/>
      </right>
      <top style="thin">
        <color auto="1"/>
      </top>
      <bottom/>
      <diagonal/>
    </border>
    <border>
      <left/>
      <right/>
      <top style="thin">
        <color auto="1"/>
      </top>
      <bottom/>
      <diagonal/>
    </border>
    <border>
      <left style="thin">
        <color auto="1"/>
      </left>
      <right/>
      <top style="thin">
        <color auto="1"/>
      </top>
      <bottom/>
      <diagonal/>
    </border>
    <border>
      <left style="medium">
        <color theme="2" tint="-0.499984740745262"/>
      </left>
      <right style="medium">
        <color theme="2" tint="-0.499984740745262"/>
      </right>
      <top/>
      <bottom style="medium">
        <color theme="2" tint="-0.499984740745262"/>
      </bottom>
      <diagonal/>
    </border>
    <border>
      <left/>
      <right/>
      <top/>
      <bottom style="medium">
        <color theme="2" tint="-0.499984740745262"/>
      </bottom>
      <diagonal/>
    </border>
    <border>
      <left style="medium">
        <color theme="2" tint="-0.499984740745262"/>
      </left>
      <right/>
      <top/>
      <bottom style="medium">
        <color theme="2" tint="-0.499984740745262"/>
      </bottom>
      <diagonal/>
    </border>
    <border>
      <left/>
      <right style="medium">
        <color theme="2" tint="-0.499984740745262"/>
      </right>
      <top/>
      <bottom style="medium">
        <color theme="2" tint="-0.499984740745262"/>
      </bottom>
      <diagonal/>
    </border>
    <border>
      <left style="medium">
        <color theme="2" tint="-0.499984740745262"/>
      </left>
      <right style="medium">
        <color theme="2" tint="-0.499984740745262"/>
      </right>
      <top style="medium">
        <color theme="2" tint="-0.499984740745262"/>
      </top>
      <bottom/>
      <diagonal/>
    </border>
    <border>
      <left/>
      <right/>
      <top style="medium">
        <color theme="2" tint="-0.499984740745262"/>
      </top>
      <bottom/>
      <diagonal/>
    </border>
    <border>
      <left style="medium">
        <color theme="2" tint="-0.499984740745262"/>
      </left>
      <right/>
      <top style="medium">
        <color theme="2" tint="-0.499984740745262"/>
      </top>
      <bottom/>
      <diagonal/>
    </border>
    <border>
      <left/>
      <right style="medium">
        <color theme="2" tint="-0.499984740745262"/>
      </right>
      <top style="medium">
        <color theme="2" tint="-0.499984740745262"/>
      </top>
      <bottom/>
      <diagonal/>
    </border>
    <border>
      <left style="thin">
        <color indexed="23"/>
      </left>
      <right style="thin">
        <color indexed="23"/>
      </right>
      <top style="thin">
        <color indexed="23"/>
      </top>
      <bottom/>
      <diagonal/>
    </border>
    <border>
      <left style="thin">
        <color indexed="23"/>
      </left>
      <right style="thin">
        <color indexed="23"/>
      </right>
      <top style="thin">
        <color indexed="23"/>
      </top>
      <bottom style="thin">
        <color indexed="23"/>
      </bottom>
      <diagonal/>
    </border>
    <border>
      <left style="thin">
        <color indexed="23"/>
      </left>
      <right/>
      <top/>
      <bottom style="thin">
        <color indexed="23"/>
      </bottom>
      <diagonal/>
    </border>
    <border>
      <left style="thin">
        <color indexed="23"/>
      </left>
      <right style="thin">
        <color indexed="23"/>
      </right>
      <top/>
      <bottom style="thin">
        <color indexed="23"/>
      </bottom>
      <diagonal/>
    </border>
    <border>
      <left/>
      <right/>
      <top/>
      <bottom style="thin">
        <color indexed="23"/>
      </bottom>
      <diagonal/>
    </border>
  </borders>
  <cellStyleXfs count="3">
    <xf numFmtId="0" fontId="0" fillId="0" borderId="0"/>
    <xf numFmtId="0" fontId="3" fillId="0" borderId="0"/>
    <xf numFmtId="0" fontId="1" fillId="0" borderId="0"/>
  </cellStyleXfs>
  <cellXfs count="226">
    <xf numFmtId="0" fontId="0" fillId="0" borderId="0" xfId="0"/>
    <xf numFmtId="0" fontId="0" fillId="2" borderId="0" xfId="0" applyFill="1"/>
    <xf numFmtId="14" fontId="0" fillId="2" borderId="0" xfId="0" applyNumberFormat="1" applyFill="1"/>
    <xf numFmtId="164" fontId="0" fillId="0" borderId="0" xfId="0" applyNumberFormat="1"/>
    <xf numFmtId="164" fontId="0" fillId="2" borderId="0" xfId="0" applyNumberFormat="1" applyFill="1"/>
    <xf numFmtId="2" fontId="0" fillId="2" borderId="0" xfId="0" applyNumberFormat="1" applyFill="1"/>
    <xf numFmtId="165" fontId="0" fillId="2" borderId="0" xfId="0" applyNumberFormat="1" applyFill="1"/>
    <xf numFmtId="2" fontId="0" fillId="0" borderId="0" xfId="0" applyNumberFormat="1"/>
    <xf numFmtId="14" fontId="0" fillId="0" borderId="0" xfId="0" applyNumberFormat="1"/>
    <xf numFmtId="165" fontId="0" fillId="0" borderId="0" xfId="0" applyNumberFormat="1"/>
    <xf numFmtId="166" fontId="0" fillId="2" borderId="0" xfId="0" applyNumberFormat="1" applyFill="1"/>
    <xf numFmtId="166" fontId="0" fillId="0" borderId="0" xfId="0" applyNumberFormat="1"/>
    <xf numFmtId="0" fontId="1" fillId="0" borderId="0" xfId="1" applyFont="1"/>
    <xf numFmtId="2" fontId="4" fillId="3" borderId="1" xfId="1" applyNumberFormat="1" applyFont="1" applyFill="1" applyBorder="1" applyAlignment="1">
      <alignment horizontal="center" vertical="center"/>
    </xf>
    <xf numFmtId="2" fontId="4" fillId="3" borderId="2" xfId="1" applyNumberFormat="1" applyFont="1" applyFill="1" applyBorder="1" applyAlignment="1">
      <alignment horizontal="center" vertical="center"/>
    </xf>
    <xf numFmtId="2" fontId="5" fillId="0" borderId="3" xfId="1" applyNumberFormat="1" applyFont="1" applyBorder="1" applyAlignment="1">
      <alignment horizontal="center" vertical="center"/>
    </xf>
    <xf numFmtId="2" fontId="4" fillId="0" borderId="1" xfId="1" applyNumberFormat="1" applyFont="1" applyBorder="1" applyAlignment="1">
      <alignment horizontal="center" vertical="center"/>
    </xf>
    <xf numFmtId="167" fontId="6" fillId="0" borderId="1" xfId="1" applyNumberFormat="1" applyFont="1" applyBorder="1" applyAlignment="1">
      <alignment horizontal="left" vertical="center"/>
    </xf>
    <xf numFmtId="167" fontId="5" fillId="0" borderId="1" xfId="1" applyNumberFormat="1" applyFont="1" applyBorder="1" applyAlignment="1">
      <alignment horizontal="right" vertical="center"/>
    </xf>
    <xf numFmtId="2" fontId="7" fillId="4" borderId="2" xfId="1" applyNumberFormat="1" applyFont="1" applyFill="1" applyBorder="1" applyAlignment="1">
      <alignment horizontal="center" vertical="center" wrapText="1"/>
    </xf>
    <xf numFmtId="0" fontId="9" fillId="3" borderId="0" xfId="1" applyFont="1" applyFill="1" applyAlignment="1">
      <alignment horizontal="center" wrapText="1"/>
    </xf>
    <xf numFmtId="0" fontId="2" fillId="0" borderId="0" xfId="1" applyFont="1" applyAlignment="1">
      <alignment horizontal="center" wrapText="1"/>
    </xf>
    <xf numFmtId="0" fontId="9" fillId="0" borderId="0" xfId="1" applyFont="1" applyAlignment="1">
      <alignment horizontal="center" wrapText="1"/>
    </xf>
    <xf numFmtId="0" fontId="2" fillId="0" borderId="0" xfId="1" applyFont="1" applyAlignment="1">
      <alignment horizontal="center"/>
    </xf>
    <xf numFmtId="0" fontId="5" fillId="3" borderId="0" xfId="1" applyFont="1" applyFill="1" applyAlignment="1">
      <alignment horizontal="centerContinuous" wrapText="1"/>
    </xf>
    <xf numFmtId="0" fontId="9" fillId="0" borderId="0" xfId="1" applyFont="1" applyAlignment="1">
      <alignment horizontal="center"/>
    </xf>
    <xf numFmtId="0" fontId="1" fillId="0" borderId="0" xfId="1" applyFont="1" applyAlignment="1">
      <alignment horizontal="right"/>
    </xf>
    <xf numFmtId="0" fontId="11" fillId="0" borderId="0" xfId="1" applyFont="1" applyAlignment="1">
      <alignment horizontal="center" wrapText="1"/>
    </xf>
    <xf numFmtId="0" fontId="11" fillId="0" borderId="0" xfId="1" applyFont="1" applyAlignment="1">
      <alignment horizontal="center" wrapText="1"/>
    </xf>
    <xf numFmtId="0" fontId="12" fillId="0" borderId="0" xfId="1" applyFont="1" applyAlignment="1">
      <alignment horizontal="center" wrapText="1"/>
    </xf>
    <xf numFmtId="0" fontId="1" fillId="0" borderId="0" xfId="1" applyFont="1" applyAlignment="1">
      <alignment horizontal="center" wrapText="1"/>
    </xf>
    <xf numFmtId="0" fontId="13" fillId="0" borderId="0" xfId="1" applyFont="1" applyAlignment="1">
      <alignment horizontal="center" wrapText="1"/>
    </xf>
    <xf numFmtId="16" fontId="1" fillId="0" borderId="0" xfId="1" applyNumberFormat="1" applyFont="1" applyAlignment="1">
      <alignment horizontal="center" wrapText="1"/>
    </xf>
    <xf numFmtId="0" fontId="2" fillId="0" borderId="0" xfId="1" applyFont="1" applyAlignment="1">
      <alignment horizontal="right"/>
    </xf>
    <xf numFmtId="2" fontId="1" fillId="0" borderId="0" xfId="1" applyNumberFormat="1" applyFont="1" applyAlignment="1">
      <alignment horizontal="center" vertical="center"/>
    </xf>
    <xf numFmtId="167" fontId="6" fillId="0" borderId="0" xfId="1" applyNumberFormat="1" applyFont="1" applyAlignment="1">
      <alignment horizontal="left" vertical="center"/>
    </xf>
    <xf numFmtId="167" fontId="5" fillId="0" borderId="0" xfId="1" applyNumberFormat="1" applyFont="1" applyAlignment="1">
      <alignment horizontal="right" vertical="center"/>
    </xf>
    <xf numFmtId="2" fontId="14" fillId="4" borderId="0" xfId="1" applyNumberFormat="1" applyFont="1" applyFill="1" applyAlignment="1">
      <alignment horizontal="center" vertical="center" wrapText="1"/>
    </xf>
    <xf numFmtId="2" fontId="4" fillId="0" borderId="4" xfId="1" applyNumberFormat="1" applyFont="1" applyBorder="1" applyAlignment="1">
      <alignment horizontal="center" vertical="center"/>
    </xf>
    <xf numFmtId="2" fontId="1" fillId="0" borderId="0" xfId="1" applyNumberFormat="1" applyFont="1"/>
    <xf numFmtId="0" fontId="12" fillId="0" borderId="0" xfId="1" applyFont="1"/>
    <xf numFmtId="0" fontId="4" fillId="0" borderId="0" xfId="1" applyFont="1"/>
    <xf numFmtId="0" fontId="15" fillId="0" borderId="0" xfId="1" applyFont="1"/>
    <xf numFmtId="0" fontId="5" fillId="0" borderId="0" xfId="1" applyFont="1"/>
    <xf numFmtId="0" fontId="6" fillId="0" borderId="0" xfId="1" applyFont="1" applyAlignment="1">
      <alignment horizontal="right"/>
    </xf>
    <xf numFmtId="0" fontId="6" fillId="0" borderId="0" xfId="1" applyFont="1"/>
    <xf numFmtId="0" fontId="5" fillId="0" borderId="0" xfId="1" applyFont="1" applyAlignment="1">
      <alignment horizontal="right"/>
    </xf>
    <xf numFmtId="0" fontId="3" fillId="0" borderId="0" xfId="1"/>
    <xf numFmtId="0" fontId="3" fillId="0" borderId="5" xfId="1" applyBorder="1" applyAlignment="1">
      <alignment horizontal="centerContinuous"/>
    </xf>
    <xf numFmtId="0" fontId="3" fillId="0" borderId="6" xfId="1" applyBorder="1" applyAlignment="1">
      <alignment horizontal="centerContinuous"/>
    </xf>
    <xf numFmtId="0" fontId="3" fillId="0" borderId="0" xfId="1" applyAlignment="1">
      <alignment horizontal="center" vertical="center"/>
    </xf>
    <xf numFmtId="0" fontId="16" fillId="0" borderId="0" xfId="1" applyFont="1" applyAlignment="1">
      <alignment horizontal="center" vertical="top"/>
    </xf>
    <xf numFmtId="0" fontId="3" fillId="0" borderId="7" xfId="1" applyBorder="1" applyAlignment="1">
      <alignment horizontal="center" vertical="top"/>
    </xf>
    <xf numFmtId="0" fontId="16" fillId="0" borderId="7" xfId="1" applyFont="1" applyBorder="1" applyAlignment="1">
      <alignment horizontal="center" vertical="top"/>
    </xf>
    <xf numFmtId="0" fontId="16" fillId="0" borderId="0" xfId="1" applyFont="1" applyAlignment="1">
      <alignment horizontal="center" vertical="center"/>
    </xf>
    <xf numFmtId="0" fontId="3" fillId="0" borderId="8" xfId="1" applyBorder="1" applyAlignment="1">
      <alignment horizontal="center" vertical="center"/>
    </xf>
    <xf numFmtId="0" fontId="3" fillId="0" borderId="9" xfId="1" applyBorder="1" applyAlignment="1">
      <alignment horizontal="center"/>
    </xf>
    <xf numFmtId="0" fontId="3" fillId="0" borderId="10" xfId="1" applyBorder="1" applyAlignment="1">
      <alignment horizontal="center"/>
    </xf>
    <xf numFmtId="0" fontId="3" fillId="0" borderId="11" xfId="1" applyBorder="1" applyAlignment="1">
      <alignment horizontal="center" vertical="center"/>
    </xf>
    <xf numFmtId="0" fontId="17" fillId="5" borderId="12" xfId="1" applyFont="1" applyFill="1" applyBorder="1" applyAlignment="1">
      <alignment horizontal="center"/>
    </xf>
    <xf numFmtId="0" fontId="17" fillId="5" borderId="13" xfId="1" applyFont="1" applyFill="1" applyBorder="1" applyAlignment="1">
      <alignment horizontal="center"/>
    </xf>
    <xf numFmtId="0" fontId="18" fillId="0" borderId="14" xfId="1" applyFont="1" applyBorder="1" applyAlignment="1">
      <alignment horizontal="center"/>
    </xf>
    <xf numFmtId="0" fontId="18" fillId="5" borderId="15" xfId="1" applyFont="1" applyFill="1" applyBorder="1" applyAlignment="1">
      <alignment horizontal="center"/>
    </xf>
    <xf numFmtId="0" fontId="3" fillId="0" borderId="0" xfId="1" applyAlignment="1">
      <alignment horizontal="right" vertical="center"/>
    </xf>
    <xf numFmtId="0" fontId="3" fillId="0" borderId="16" xfId="1" applyBorder="1"/>
    <xf numFmtId="0" fontId="3" fillId="6" borderId="17" xfId="1" applyFill="1" applyBorder="1"/>
    <xf numFmtId="0" fontId="3" fillId="0" borderId="18" xfId="1" applyBorder="1"/>
    <xf numFmtId="0" fontId="3" fillId="0" borderId="17" xfId="1" applyBorder="1"/>
    <xf numFmtId="0" fontId="3" fillId="0" borderId="19" xfId="1" applyBorder="1" applyAlignment="1">
      <alignment horizontal="center" vertical="center" wrapText="1"/>
    </xf>
    <xf numFmtId="0" fontId="3" fillId="0" borderId="19" xfId="1" applyBorder="1"/>
    <xf numFmtId="0" fontId="19" fillId="6" borderId="0" xfId="1" applyFont="1" applyFill="1" applyAlignment="1">
      <alignment horizontal="center" vertical="center"/>
    </xf>
    <xf numFmtId="0" fontId="3" fillId="0" borderId="20" xfId="1" applyBorder="1"/>
    <xf numFmtId="0" fontId="19" fillId="0" borderId="0" xfId="1" applyFont="1" applyAlignment="1">
      <alignment horizontal="center" vertical="center"/>
    </xf>
    <xf numFmtId="0" fontId="3" fillId="6" borderId="0" xfId="1" applyFill="1"/>
    <xf numFmtId="0" fontId="3" fillId="0" borderId="8" xfId="1" applyBorder="1"/>
    <xf numFmtId="0" fontId="3" fillId="0" borderId="21" xfId="1" applyBorder="1"/>
    <xf numFmtId="0" fontId="19" fillId="6" borderId="22" xfId="1" applyFont="1" applyFill="1" applyBorder="1" applyAlignment="1">
      <alignment horizontal="center" vertical="center"/>
    </xf>
    <xf numFmtId="0" fontId="3" fillId="0" borderId="23" xfId="1" applyBorder="1"/>
    <xf numFmtId="0" fontId="19" fillId="0" borderId="22" xfId="1" applyFont="1" applyBorder="1" applyAlignment="1">
      <alignment horizontal="center" vertical="center"/>
    </xf>
    <xf numFmtId="0" fontId="20" fillId="0" borderId="17" xfId="1" applyFont="1" applyBorder="1" applyAlignment="1">
      <alignment horizontal="center" vertical="center" wrapText="1"/>
    </xf>
    <xf numFmtId="0" fontId="20" fillId="0" borderId="17" xfId="1" applyFont="1" applyBorder="1" applyAlignment="1">
      <alignment horizontal="centerContinuous" vertical="top" wrapText="1"/>
    </xf>
    <xf numFmtId="0" fontId="3" fillId="0" borderId="0" xfId="1" applyAlignment="1">
      <alignment horizontal="center" vertical="center" wrapText="1"/>
    </xf>
    <xf numFmtId="0" fontId="3" fillId="0" borderId="0" xfId="1" applyAlignment="1">
      <alignment horizontal="center" wrapText="1"/>
    </xf>
    <xf numFmtId="0" fontId="22" fillId="0" borderId="0" xfId="1" applyFont="1" applyAlignment="1">
      <alignment horizontal="center" vertical="top"/>
    </xf>
    <xf numFmtId="0" fontId="3" fillId="0" borderId="0" xfId="1" applyAlignment="1">
      <alignment horizontal="right"/>
    </xf>
    <xf numFmtId="0" fontId="23" fillId="0" borderId="0" xfId="1" applyFont="1" applyAlignment="1">
      <alignment horizontal="center" vertical="center" wrapText="1"/>
    </xf>
    <xf numFmtId="0" fontId="5" fillId="0" borderId="0" xfId="1" applyFont="1" applyAlignment="1">
      <alignment horizontal="centerContinuous"/>
    </xf>
    <xf numFmtId="0" fontId="24" fillId="0" borderId="0" xfId="1" applyFont="1"/>
    <xf numFmtId="0" fontId="25" fillId="0" borderId="0" xfId="1" applyFont="1"/>
    <xf numFmtId="0" fontId="12" fillId="0" borderId="0" xfId="1" applyFont="1" applyAlignment="1">
      <alignment horizontal="left"/>
    </xf>
    <xf numFmtId="0" fontId="5" fillId="0" borderId="0" xfId="1" applyFont="1" applyAlignment="1">
      <alignment horizontal="left"/>
    </xf>
    <xf numFmtId="0" fontId="17" fillId="0" borderId="0" xfId="1" applyFont="1" applyAlignment="1">
      <alignment horizontal="center" vertical="center"/>
    </xf>
    <xf numFmtId="0" fontId="26" fillId="0" borderId="0" xfId="1" applyFont="1" applyAlignment="1">
      <alignment horizontal="right"/>
    </xf>
    <xf numFmtId="167" fontId="3" fillId="0" borderId="0" xfId="1" applyNumberFormat="1"/>
    <xf numFmtId="0" fontId="3" fillId="0" borderId="0" xfId="1" applyAlignment="1">
      <alignment horizontal="left"/>
    </xf>
    <xf numFmtId="167" fontId="3" fillId="0" borderId="0" xfId="1" applyNumberFormat="1" applyAlignment="1">
      <alignment horizontal="center" vertical="center"/>
    </xf>
    <xf numFmtId="0" fontId="26" fillId="0" borderId="0" xfId="1" applyFont="1" applyAlignment="1">
      <alignment horizontal="center" vertical="center"/>
    </xf>
    <xf numFmtId="0" fontId="27" fillId="0" borderId="0" xfId="1" applyFont="1" applyAlignment="1">
      <alignment horizontal="center" vertical="center"/>
    </xf>
    <xf numFmtId="167" fontId="27" fillId="0" borderId="0" xfId="1" applyNumberFormat="1" applyFont="1" applyAlignment="1">
      <alignment horizontal="center" vertical="center"/>
    </xf>
    <xf numFmtId="1" fontId="28" fillId="0" borderId="0" xfId="1" applyNumberFormat="1" applyFont="1" applyAlignment="1">
      <alignment horizontal="center" vertical="center"/>
    </xf>
    <xf numFmtId="164" fontId="27" fillId="0" borderId="0" xfId="1" applyNumberFormat="1" applyFont="1" applyAlignment="1">
      <alignment horizontal="center" vertical="center"/>
    </xf>
    <xf numFmtId="0" fontId="27" fillId="0" borderId="0" xfId="1" applyFont="1" applyAlignment="1">
      <alignment horizontal="right" vertical="center"/>
    </xf>
    <xf numFmtId="0" fontId="3" fillId="0" borderId="0" xfId="1" applyAlignment="1">
      <alignment wrapText="1"/>
    </xf>
    <xf numFmtId="0" fontId="17" fillId="0" borderId="0" xfId="1" applyFont="1" applyAlignment="1">
      <alignment horizontal="center" vertical="center" wrapText="1"/>
    </xf>
    <xf numFmtId="0" fontId="3" fillId="0" borderId="0" xfId="1"/>
    <xf numFmtId="0" fontId="17" fillId="0" borderId="0" xfId="1" applyFont="1" applyAlignment="1">
      <alignment horizontal="center" vertical="center"/>
    </xf>
    <xf numFmtId="0" fontId="27" fillId="0" borderId="0" xfId="1" applyFont="1"/>
    <xf numFmtId="164" fontId="19" fillId="0" borderId="0" xfId="1" applyNumberFormat="1" applyFont="1" applyAlignment="1">
      <alignment horizontal="left" vertical="center"/>
    </xf>
    <xf numFmtId="0" fontId="31" fillId="0" borderId="0" xfId="1" applyFont="1" applyAlignment="1">
      <alignment horizontal="right" vertical="center"/>
    </xf>
    <xf numFmtId="0" fontId="3" fillId="0" borderId="4" xfId="1" applyBorder="1"/>
    <xf numFmtId="0" fontId="3" fillId="0" borderId="24" xfId="1" applyBorder="1" applyAlignment="1">
      <alignment horizontal="center" vertical="center"/>
    </xf>
    <xf numFmtId="164" fontId="32" fillId="0" borderId="1" xfId="1" applyNumberFormat="1" applyFont="1" applyBorder="1" applyAlignment="1">
      <alignment horizontal="center" vertical="center"/>
    </xf>
    <xf numFmtId="0" fontId="3" fillId="0" borderId="2" xfId="1" applyBorder="1" applyAlignment="1">
      <alignment horizontal="center" vertical="center"/>
    </xf>
    <xf numFmtId="0" fontId="27" fillId="0" borderId="25" xfId="1" applyFont="1" applyBorder="1" applyAlignment="1">
      <alignment horizontal="left" vertical="center"/>
    </xf>
    <xf numFmtId="0" fontId="27" fillId="0" borderId="26" xfId="1" applyFont="1" applyBorder="1" applyAlignment="1">
      <alignment horizontal="right" vertical="center"/>
    </xf>
    <xf numFmtId="0" fontId="26" fillId="0" borderId="27" xfId="1" applyFont="1" applyBorder="1" applyAlignment="1">
      <alignment horizontal="right"/>
    </xf>
    <xf numFmtId="0" fontId="3" fillId="0" borderId="25" xfId="1" applyBorder="1"/>
    <xf numFmtId="164" fontId="32" fillId="0" borderId="1" xfId="1" applyNumberFormat="1" applyFont="1" applyBorder="1" applyAlignment="1">
      <alignment horizontal="center"/>
    </xf>
    <xf numFmtId="164" fontId="32" fillId="0" borderId="28" xfId="1" applyNumberFormat="1" applyFont="1" applyBorder="1" applyAlignment="1">
      <alignment horizontal="center" vertical="center"/>
    </xf>
    <xf numFmtId="167" fontId="27" fillId="0" borderId="29" xfId="1" applyNumberFormat="1" applyFont="1" applyBorder="1" applyAlignment="1">
      <alignment horizontal="left" vertical="center"/>
    </xf>
    <xf numFmtId="167" fontId="17" fillId="0" borderId="30" xfId="1" applyNumberFormat="1" applyFont="1" applyBorder="1" applyAlignment="1">
      <alignment horizontal="right" vertical="center"/>
    </xf>
    <xf numFmtId="0" fontId="3" fillId="0" borderId="4" xfId="1" applyBorder="1" applyAlignment="1">
      <alignment vertical="center"/>
    </xf>
    <xf numFmtId="0" fontId="26" fillId="0" borderId="0" xfId="1" applyFont="1" applyAlignment="1">
      <alignment horizontal="right" vertical="center"/>
    </xf>
    <xf numFmtId="0" fontId="3" fillId="0" borderId="0" xfId="1" applyAlignment="1">
      <alignment vertical="center"/>
    </xf>
    <xf numFmtId="0" fontId="24" fillId="0" borderId="4" xfId="1" applyFont="1" applyBorder="1" applyAlignment="1">
      <alignment vertical="center"/>
    </xf>
    <xf numFmtId="0" fontId="33" fillId="0" borderId="0" xfId="1" applyFont="1" applyAlignment="1">
      <alignment horizontal="right" vertical="center"/>
    </xf>
    <xf numFmtId="0" fontId="33" fillId="0" borderId="31" xfId="1" applyFont="1" applyBorder="1" applyAlignment="1">
      <alignment horizontal="right" vertical="center"/>
    </xf>
    <xf numFmtId="0" fontId="31" fillId="0" borderId="0" xfId="1" applyFont="1" applyAlignment="1">
      <alignment horizontal="center"/>
    </xf>
    <xf numFmtId="0" fontId="30" fillId="0" borderId="0" xfId="1" applyFont="1" applyAlignment="1">
      <alignment horizontal="center" wrapText="1"/>
    </xf>
    <xf numFmtId="0" fontId="3" fillId="0" borderId="0" xfId="1" applyAlignment="1">
      <alignment horizontal="center" wrapText="1"/>
    </xf>
    <xf numFmtId="0" fontId="34" fillId="0" borderId="0" xfId="1" applyFont="1"/>
    <xf numFmtId="0" fontId="35" fillId="0" borderId="0" xfId="1" applyFont="1"/>
    <xf numFmtId="0" fontId="31" fillId="0" borderId="0" xfId="1" applyFont="1"/>
    <xf numFmtId="0" fontId="31" fillId="0" borderId="0" xfId="1" applyFont="1" applyAlignment="1">
      <alignment horizontal="right"/>
    </xf>
    <xf numFmtId="165" fontId="3" fillId="0" borderId="0" xfId="1" applyNumberFormat="1"/>
    <xf numFmtId="1" fontId="3" fillId="0" borderId="0" xfId="1" applyNumberFormat="1"/>
    <xf numFmtId="164" fontId="3" fillId="0" borderId="0" xfId="1" applyNumberFormat="1"/>
    <xf numFmtId="0" fontId="1" fillId="0" borderId="0" xfId="2"/>
    <xf numFmtId="2" fontId="0" fillId="0" borderId="0" xfId="0" applyNumberFormat="1" applyAlignment="1">
      <alignment horizontal="center" vertical="center"/>
    </xf>
    <xf numFmtId="0" fontId="36" fillId="0" borderId="0" xfId="0" applyFont="1" applyAlignment="1">
      <alignment horizontal="center" vertical="center"/>
    </xf>
    <xf numFmtId="0" fontId="37" fillId="0" borderId="0" xfId="0" applyFont="1" applyAlignment="1">
      <alignment horizontal="center" wrapText="1"/>
    </xf>
    <xf numFmtId="0" fontId="38" fillId="0" borderId="0" xfId="0" applyFont="1" applyAlignment="1">
      <alignment horizontal="center" wrapText="1"/>
    </xf>
    <xf numFmtId="0" fontId="39" fillId="0" borderId="0" xfId="0" applyFont="1"/>
    <xf numFmtId="2" fontId="40" fillId="0" borderId="0" xfId="0" applyNumberFormat="1" applyFont="1" applyAlignment="1">
      <alignment horizontal="center" vertical="center"/>
    </xf>
    <xf numFmtId="0" fontId="41" fillId="0" borderId="0" xfId="0" applyFont="1" applyAlignment="1">
      <alignment horizontal="center" vertical="center"/>
    </xf>
    <xf numFmtId="0" fontId="42" fillId="0" borderId="0" xfId="0" applyFont="1" applyAlignment="1">
      <alignment horizontal="center" vertical="top" wrapText="1"/>
    </xf>
    <xf numFmtId="2" fontId="40" fillId="2" borderId="0" xfId="0" applyNumberFormat="1" applyFont="1" applyFill="1" applyAlignment="1">
      <alignment horizontal="center" vertical="center"/>
    </xf>
    <xf numFmtId="0" fontId="41" fillId="2" borderId="0" xfId="0" applyFont="1" applyFill="1" applyAlignment="1">
      <alignment horizontal="center" vertical="center"/>
    </xf>
    <xf numFmtId="2" fontId="40" fillId="0" borderId="32" xfId="0" applyNumberFormat="1" applyFont="1" applyBorder="1" applyAlignment="1">
      <alignment horizontal="center" vertical="center"/>
    </xf>
    <xf numFmtId="0" fontId="41" fillId="0" borderId="32" xfId="0" applyFont="1" applyBorder="1" applyAlignment="1">
      <alignment horizontal="center" vertical="center"/>
    </xf>
    <xf numFmtId="2" fontId="40" fillId="0" borderId="33" xfId="0" applyNumberFormat="1" applyFont="1" applyBorder="1" applyAlignment="1">
      <alignment horizontal="center" vertical="center"/>
    </xf>
    <xf numFmtId="0" fontId="41" fillId="0" borderId="33" xfId="0" applyFont="1" applyBorder="1" applyAlignment="1">
      <alignment horizontal="center" vertical="center"/>
    </xf>
    <xf numFmtId="167" fontId="41" fillId="0" borderId="0" xfId="0" applyNumberFormat="1" applyFont="1" applyAlignment="1">
      <alignment horizontal="center" vertical="center"/>
    </xf>
    <xf numFmtId="167" fontId="41" fillId="0" borderId="33" xfId="0" applyNumberFormat="1" applyFont="1" applyBorder="1" applyAlignment="1">
      <alignment horizontal="center" vertical="center"/>
    </xf>
    <xf numFmtId="0" fontId="43" fillId="0" borderId="0" xfId="0" applyFont="1" applyAlignment="1">
      <alignment horizontal="center" vertical="center" wrapText="1"/>
    </xf>
    <xf numFmtId="0" fontId="43" fillId="0" borderId="34" xfId="0" applyFont="1" applyBorder="1" applyAlignment="1">
      <alignment horizontal="center" vertical="center" wrapText="1"/>
    </xf>
    <xf numFmtId="0" fontId="36" fillId="0" borderId="35" xfId="0" applyFont="1" applyBorder="1" applyAlignment="1">
      <alignment horizontal="center" vertical="center"/>
    </xf>
    <xf numFmtId="0" fontId="44" fillId="0" borderId="0" xfId="0" applyFont="1" applyAlignment="1">
      <alignment horizontal="centerContinuous" wrapText="1"/>
    </xf>
    <xf numFmtId="0" fontId="38" fillId="0" borderId="0" xfId="0" applyFont="1"/>
    <xf numFmtId="0" fontId="45" fillId="0" borderId="0" xfId="0" applyFont="1" applyAlignment="1">
      <alignment horizontal="center"/>
    </xf>
    <xf numFmtId="0" fontId="36" fillId="0" borderId="0" xfId="0" applyFont="1" applyAlignment="1">
      <alignment horizontal="right"/>
    </xf>
    <xf numFmtId="0" fontId="0" fillId="0" borderId="0" xfId="0" applyAlignment="1">
      <alignment horizontal="centerContinuous"/>
    </xf>
    <xf numFmtId="0" fontId="46" fillId="0" borderId="0" xfId="0" applyFont="1" applyAlignment="1">
      <alignment horizontal="centerContinuous" wrapText="1"/>
    </xf>
    <xf numFmtId="0" fontId="47" fillId="0" borderId="0" xfId="0" applyFont="1"/>
    <xf numFmtId="0" fontId="43" fillId="0" borderId="0" xfId="0" applyFont="1"/>
    <xf numFmtId="0" fontId="49" fillId="0" borderId="0" xfId="0" applyFont="1"/>
    <xf numFmtId="0" fontId="36" fillId="0" borderId="0" xfId="0" applyFont="1"/>
    <xf numFmtId="2" fontId="0" fillId="0" borderId="0" xfId="0" applyNumberFormat="1" applyAlignment="1">
      <alignment horizontal="center"/>
    </xf>
    <xf numFmtId="168" fontId="38" fillId="0" borderId="0" xfId="0" applyNumberFormat="1" applyFont="1" applyAlignment="1">
      <alignment horizontal="center" vertical="center"/>
    </xf>
    <xf numFmtId="164" fontId="38" fillId="0" borderId="0" xfId="0" applyNumberFormat="1" applyFont="1" applyAlignment="1">
      <alignment horizontal="center" vertical="center"/>
    </xf>
    <xf numFmtId="0" fontId="43" fillId="0" borderId="0" xfId="0" applyFont="1" applyAlignment="1">
      <alignment horizontal="right" vertical="center"/>
    </xf>
    <xf numFmtId="2" fontId="38" fillId="0" borderId="0" xfId="0" applyNumberFormat="1" applyFont="1" applyAlignment="1">
      <alignment horizontal="center" vertical="center"/>
    </xf>
    <xf numFmtId="2" fontId="43" fillId="0" borderId="0" xfId="0" applyNumberFormat="1" applyFont="1" applyAlignment="1">
      <alignment horizontal="right" vertical="center"/>
    </xf>
    <xf numFmtId="164" fontId="50" fillId="0" borderId="0" xfId="0" applyNumberFormat="1" applyFont="1" applyAlignment="1">
      <alignment horizontal="center" vertical="center"/>
    </xf>
    <xf numFmtId="2" fontId="51" fillId="0" borderId="0" xfId="0" applyNumberFormat="1" applyFont="1" applyAlignment="1">
      <alignment horizontal="center" vertical="center"/>
    </xf>
    <xf numFmtId="164" fontId="52" fillId="0" borderId="0" xfId="0" applyNumberFormat="1" applyFont="1" applyAlignment="1">
      <alignment horizontal="center" vertical="center"/>
    </xf>
    <xf numFmtId="0" fontId="53" fillId="0" borderId="0" xfId="0" applyFont="1" applyAlignment="1">
      <alignment horizontal="center" vertical="center"/>
    </xf>
    <xf numFmtId="164" fontId="51" fillId="0" borderId="0" xfId="0" applyNumberFormat="1" applyFont="1" applyAlignment="1">
      <alignment horizontal="center" vertical="center"/>
    </xf>
    <xf numFmtId="164" fontId="54" fillId="0" borderId="0" xfId="0" applyNumberFormat="1" applyFont="1" applyAlignment="1">
      <alignment horizontal="left" vertical="center"/>
    </xf>
    <xf numFmtId="164" fontId="55" fillId="0" borderId="0" xfId="0" applyNumberFormat="1" applyFont="1" applyAlignment="1">
      <alignment horizontal="center" vertical="center"/>
    </xf>
    <xf numFmtId="167" fontId="53" fillId="0" borderId="0" xfId="0" applyNumberFormat="1" applyFont="1" applyAlignment="1">
      <alignment horizontal="center" vertical="center"/>
    </xf>
    <xf numFmtId="164" fontId="51" fillId="2" borderId="0" xfId="0" applyNumberFormat="1" applyFont="1" applyFill="1" applyAlignment="1">
      <alignment horizontal="center" vertical="center"/>
    </xf>
    <xf numFmtId="2" fontId="51" fillId="2" borderId="0" xfId="0" applyNumberFormat="1" applyFont="1" applyFill="1" applyAlignment="1">
      <alignment horizontal="center" vertical="center"/>
    </xf>
    <xf numFmtId="164" fontId="52" fillId="2" borderId="0" xfId="0" applyNumberFormat="1" applyFont="1" applyFill="1" applyAlignment="1">
      <alignment horizontal="left" vertical="center"/>
    </xf>
    <xf numFmtId="2" fontId="50" fillId="0" borderId="0" xfId="0" applyNumberFormat="1" applyFont="1" applyAlignment="1">
      <alignment horizontal="center" vertical="center"/>
    </xf>
    <xf numFmtId="2" fontId="56" fillId="0" borderId="0" xfId="0" applyNumberFormat="1" applyFont="1" applyAlignment="1">
      <alignment horizontal="center" vertical="center"/>
    </xf>
    <xf numFmtId="165" fontId="36" fillId="0" borderId="0" xfId="0" applyNumberFormat="1" applyFont="1" applyAlignment="1">
      <alignment horizontal="center" vertical="center"/>
    </xf>
    <xf numFmtId="165" fontId="50" fillId="0" borderId="33" xfId="0" applyNumberFormat="1" applyFont="1" applyBorder="1" applyAlignment="1">
      <alignment horizontal="center" vertical="center"/>
    </xf>
    <xf numFmtId="2" fontId="51" fillId="0" borderId="33" xfId="0" applyNumberFormat="1" applyFont="1" applyBorder="1" applyAlignment="1">
      <alignment horizontal="center" vertical="center"/>
    </xf>
    <xf numFmtId="2" fontId="57" fillId="0" borderId="33" xfId="0" applyNumberFormat="1" applyFont="1" applyBorder="1" applyAlignment="1">
      <alignment horizontal="center" vertical="center" wrapText="1"/>
    </xf>
    <xf numFmtId="2" fontId="57" fillId="0" borderId="33" xfId="0" applyNumberFormat="1" applyFont="1" applyBorder="1" applyAlignment="1">
      <alignment horizontal="center" vertical="center"/>
    </xf>
    <xf numFmtId="2" fontId="51" fillId="0" borderId="32" xfId="0" applyNumberFormat="1" applyFont="1" applyBorder="1" applyAlignment="1">
      <alignment horizontal="center" vertical="center"/>
    </xf>
    <xf numFmtId="2" fontId="56" fillId="0" borderId="32" xfId="0" applyNumberFormat="1" applyFont="1" applyBorder="1" applyAlignment="1">
      <alignment horizontal="center" vertical="center"/>
    </xf>
    <xf numFmtId="0" fontId="53" fillId="0" borderId="32" xfId="0" applyFont="1" applyBorder="1" applyAlignment="1">
      <alignment horizontal="center" vertical="center"/>
    </xf>
    <xf numFmtId="2" fontId="51" fillId="2" borderId="33" xfId="0" applyNumberFormat="1" applyFont="1" applyFill="1" applyBorder="1" applyAlignment="1">
      <alignment horizontal="center" vertical="center"/>
    </xf>
    <xf numFmtId="2" fontId="57" fillId="2" borderId="33" xfId="0" applyNumberFormat="1" applyFont="1" applyFill="1" applyBorder="1" applyAlignment="1">
      <alignment horizontal="center" vertical="center" wrapText="1"/>
    </xf>
    <xf numFmtId="2" fontId="57" fillId="2" borderId="33" xfId="0" applyNumberFormat="1" applyFont="1" applyFill="1" applyBorder="1" applyAlignment="1">
      <alignment horizontal="center" vertical="center"/>
    </xf>
    <xf numFmtId="2" fontId="51" fillId="2" borderId="32" xfId="0" applyNumberFormat="1" applyFont="1" applyFill="1" applyBorder="1" applyAlignment="1">
      <alignment horizontal="center" vertical="center"/>
    </xf>
    <xf numFmtId="2" fontId="56" fillId="2" borderId="32" xfId="0" applyNumberFormat="1" applyFont="1" applyFill="1" applyBorder="1" applyAlignment="1">
      <alignment horizontal="center" vertical="center"/>
    </xf>
    <xf numFmtId="2" fontId="6" fillId="0" borderId="33" xfId="0" applyNumberFormat="1" applyFont="1" applyBorder="1" applyAlignment="1">
      <alignment horizontal="center" vertical="center"/>
    </xf>
    <xf numFmtId="2" fontId="56" fillId="0" borderId="33" xfId="0" applyNumberFormat="1" applyFont="1" applyBorder="1" applyAlignment="1">
      <alignment horizontal="center" vertical="center"/>
    </xf>
    <xf numFmtId="0" fontId="53" fillId="0" borderId="33" xfId="0" applyFont="1" applyBorder="1" applyAlignment="1">
      <alignment horizontal="center" vertical="center"/>
    </xf>
    <xf numFmtId="167" fontId="53" fillId="0" borderId="33" xfId="0" applyNumberFormat="1" applyFont="1" applyBorder="1" applyAlignment="1">
      <alignment horizontal="center" vertical="center"/>
    </xf>
    <xf numFmtId="0" fontId="58" fillId="0" borderId="0" xfId="0" applyFont="1" applyAlignment="1">
      <alignment horizontal="center" wrapText="1"/>
    </xf>
    <xf numFmtId="0" fontId="59" fillId="0" borderId="0" xfId="0" applyFont="1" applyAlignment="1">
      <alignment horizontal="center" wrapText="1"/>
    </xf>
    <xf numFmtId="0" fontId="60" fillId="0" borderId="0" xfId="0" applyFont="1" applyAlignment="1">
      <alignment horizontal="center" wrapText="1"/>
    </xf>
    <xf numFmtId="0" fontId="61" fillId="0" borderId="0" xfId="0" applyFont="1" applyAlignment="1">
      <alignment horizontal="center" vertical="center" wrapText="1"/>
    </xf>
    <xf numFmtId="0" fontId="58" fillId="0" borderId="0" xfId="0" applyFont="1" applyAlignment="1">
      <alignment horizontal="center" vertical="center" wrapText="1"/>
    </xf>
    <xf numFmtId="2" fontId="62" fillId="0" borderId="33" xfId="0" applyNumberFormat="1" applyFont="1" applyBorder="1" applyAlignment="1">
      <alignment horizontal="center" vertical="center"/>
    </xf>
    <xf numFmtId="0" fontId="16" fillId="0" borderId="0" xfId="0" applyFont="1" applyAlignment="1">
      <alignment horizontal="center"/>
    </xf>
    <xf numFmtId="15" fontId="16" fillId="0" borderId="0" xfId="0" applyNumberFormat="1" applyFont="1" applyAlignment="1">
      <alignment horizontal="center"/>
    </xf>
    <xf numFmtId="15" fontId="16" fillId="0" borderId="0" xfId="0" applyNumberFormat="1" applyFont="1" applyAlignment="1">
      <alignment horizontal="left"/>
    </xf>
    <xf numFmtId="2" fontId="52" fillId="0" borderId="0" xfId="0" applyNumberFormat="1" applyFont="1" applyAlignment="1">
      <alignment horizontal="center"/>
    </xf>
    <xf numFmtId="0" fontId="36" fillId="0" borderId="0" xfId="0" applyFont="1" applyAlignment="1">
      <alignment horizontal="center"/>
    </xf>
    <xf numFmtId="0" fontId="60" fillId="0" borderId="36" xfId="0" applyFont="1" applyBorder="1" applyAlignment="1">
      <alignment horizontal="center" wrapText="1"/>
    </xf>
    <xf numFmtId="0" fontId="58" fillId="0" borderId="36" xfId="0" applyFont="1" applyBorder="1" applyAlignment="1">
      <alignment horizontal="center" wrapText="1"/>
    </xf>
    <xf numFmtId="2" fontId="55" fillId="0" borderId="0" xfId="0" applyNumberFormat="1" applyFont="1" applyAlignment="1">
      <alignment horizontal="center" vertical="center" wrapText="1"/>
    </xf>
    <xf numFmtId="0" fontId="58" fillId="0" borderId="36" xfId="0" applyFont="1" applyBorder="1" applyAlignment="1">
      <alignment horizontal="center" vertical="center" wrapText="1"/>
    </xf>
    <xf numFmtId="0" fontId="0" fillId="0" borderId="0" xfId="0" applyAlignment="1">
      <alignment vertical="center" wrapText="1"/>
    </xf>
    <xf numFmtId="0" fontId="0" fillId="0" borderId="0" xfId="0" applyAlignment="1">
      <alignment vertical="center" wrapText="1"/>
    </xf>
    <xf numFmtId="0" fontId="0" fillId="0" borderId="0" xfId="0" applyAlignment="1">
      <alignment wrapText="1"/>
    </xf>
    <xf numFmtId="0" fontId="0" fillId="0" borderId="0" xfId="0" applyAlignment="1">
      <alignment wrapText="1"/>
    </xf>
    <xf numFmtId="0" fontId="63" fillId="0" borderId="0" xfId="0" applyFont="1"/>
    <xf numFmtId="0" fontId="64" fillId="0" borderId="0" xfId="0" applyFont="1"/>
    <xf numFmtId="0" fontId="41" fillId="0" borderId="0" xfId="0" applyFont="1"/>
    <xf numFmtId="0" fontId="65" fillId="0" borderId="0" xfId="0" applyFont="1"/>
  </cellXfs>
  <cellStyles count="3">
    <cellStyle name="Normal" xfId="0" builtinId="0"/>
    <cellStyle name="Normal 2" xfId="1" xr:uid="{00219E25-DDEE-4FB5-90F3-ED6D6F9A0E1D}"/>
    <cellStyle name="Normal 4" xfId="2" xr:uid="{840D13CC-8E01-4444-8FD3-7B701ED3739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DFWAH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"1:1"</c:v>
          </c:tx>
          <c:spPr>
            <a:ln w="25400" cap="rnd">
              <a:solidFill>
                <a:schemeClr val="accent1"/>
              </a:solidFill>
              <a:round/>
            </a:ln>
            <a:effectLst/>
          </c:spPr>
          <c:marker>
            <c:symbol val="none"/>
          </c:marker>
          <c:xVal>
            <c:numRef>
              <c:f>Compare!$N$4:$N$5</c:f>
              <c:numCache>
                <c:formatCode>General</c:formatCode>
                <c:ptCount val="2"/>
                <c:pt idx="0">
                  <c:v>0</c:v>
                </c:pt>
                <c:pt idx="1">
                  <c:v>4000</c:v>
                </c:pt>
              </c:numCache>
            </c:numRef>
          </c:xVal>
          <c:yVal>
            <c:numRef>
              <c:f>Compare!$N$4:$N$5</c:f>
              <c:numCache>
                <c:formatCode>General</c:formatCode>
                <c:ptCount val="2"/>
                <c:pt idx="0">
                  <c:v>0</c:v>
                </c:pt>
                <c:pt idx="1">
                  <c:v>4000</c:v>
                </c:pt>
              </c:numCache>
            </c:numRef>
          </c:yVal>
          <c:smooth val="0"/>
          <c:extLst>
            <c:ext xmlns:c16="http://schemas.microsoft.com/office/drawing/2014/chart" uri="{C3380CC4-5D6E-409C-BE32-E72D297353CC}">
              <c16:uniqueId val="{00000000-2333-4CC7-B03A-291E583CC2E0}"/>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Compare!$B$6:$B$126</c:f>
              <c:numCache>
                <c:formatCode>General</c:formatCode>
                <c:ptCount val="121"/>
                <c:pt idx="0">
                  <c:v>504.98316440630566</c:v>
                </c:pt>
                <c:pt idx="1">
                  <c:v>1478.0394289010023</c:v>
                </c:pt>
                <c:pt idx="2">
                  <c:v>1375.6879827604139</c:v>
                </c:pt>
                <c:pt idx="3">
                  <c:v>1251.8570748743462</c:v>
                </c:pt>
                <c:pt idx="4">
                  <c:v>1374.8667660909473</c:v>
                </c:pt>
                <c:pt idx="5">
                  <c:v>1242.8976934873872</c:v>
                </c:pt>
                <c:pt idx="6">
                  <c:v>921.19503283959568</c:v>
                </c:pt>
                <c:pt idx="7">
                  <c:v>719.29361861788743</c:v>
                </c:pt>
                <c:pt idx="8">
                  <c:v>1117.1174700557681</c:v>
                </c:pt>
                <c:pt idx="9">
                  <c:v>1438.5552424922234</c:v>
                </c:pt>
                <c:pt idx="10">
                  <c:v>860.43015400789648</c:v>
                </c:pt>
                <c:pt idx="11">
                  <c:v>1166.8533588792097</c:v>
                </c:pt>
                <c:pt idx="12">
                  <c:v>1594.7256733450504</c:v>
                </c:pt>
                <c:pt idx="13">
                  <c:v>1467.1569194095248</c:v>
                </c:pt>
                <c:pt idx="14">
                  <c:v>1412.4657260801625</c:v>
                </c:pt>
                <c:pt idx="15">
                  <c:v>2312.1936000700548</c:v>
                </c:pt>
                <c:pt idx="16">
                  <c:v>1409.5384627516698</c:v>
                </c:pt>
                <c:pt idx="17">
                  <c:v>1473.1419585340836</c:v>
                </c:pt>
                <c:pt idx="18">
                  <c:v>1186.4888496897527</c:v>
                </c:pt>
                <c:pt idx="19">
                  <c:v>1544.8217853086537</c:v>
                </c:pt>
                <c:pt idx="20">
                  <c:v>1077.522577187219</c:v>
                </c:pt>
                <c:pt idx="21">
                  <c:v>575.84765036112901</c:v>
                </c:pt>
                <c:pt idx="22">
                  <c:v>2295.4877573170179</c:v>
                </c:pt>
                <c:pt idx="23">
                  <c:v>1880.7833971766117</c:v>
                </c:pt>
                <c:pt idx="24">
                  <c:v>2229.5328327923744</c:v>
                </c:pt>
                <c:pt idx="25">
                  <c:v>2137.757699506074</c:v>
                </c:pt>
                <c:pt idx="26">
                  <c:v>2321.7365352039474</c:v>
                </c:pt>
                <c:pt idx="27">
                  <c:v>2101.7883217009762</c:v>
                </c:pt>
                <c:pt idx="28">
                  <c:v>2081.3786150778192</c:v>
                </c:pt>
                <c:pt idx="29">
                  <c:v>2083.492627117957</c:v>
                </c:pt>
                <c:pt idx="30">
                  <c:v>2019.936874316837</c:v>
                </c:pt>
                <c:pt idx="31">
                  <c:v>1827.094345013963</c:v>
                </c:pt>
                <c:pt idx="32">
                  <c:v>1690.442265238004</c:v>
                </c:pt>
                <c:pt idx="33">
                  <c:v>1560.5200005786185</c:v>
                </c:pt>
                <c:pt idx="34">
                  <c:v>1606.6398436191373</c:v>
                </c:pt>
                <c:pt idx="35">
                  <c:v>1908.3760002665799</c:v>
                </c:pt>
                <c:pt idx="36">
                  <c:v>1522.0003896655999</c:v>
                </c:pt>
                <c:pt idx="37">
                  <c:v>1861.2067002463687</c:v>
                </c:pt>
                <c:pt idx="38">
                  <c:v>1689.422803980865</c:v>
                </c:pt>
                <c:pt idx="39">
                  <c:v>1598.9547373943958</c:v>
                </c:pt>
                <c:pt idx="40">
                  <c:v>1511.9707058023721</c:v>
                </c:pt>
                <c:pt idx="41">
                  <c:v>1464.2796231541126</c:v>
                </c:pt>
                <c:pt idx="42">
                  <c:v>1189.2337316357093</c:v>
                </c:pt>
                <c:pt idx="43">
                  <c:v>1193.6533766681105</c:v>
                </c:pt>
                <c:pt idx="44">
                  <c:v>1465.450676297786</c:v>
                </c:pt>
                <c:pt idx="45">
                  <c:v>1520.7221494151618</c:v>
                </c:pt>
                <c:pt idx="46">
                  <c:v>1773.8174930974462</c:v>
                </c:pt>
                <c:pt idx="47">
                  <c:v>1978.2982447630002</c:v>
                </c:pt>
                <c:pt idx="48">
                  <c:v>1743.5331865158778</c:v>
                </c:pt>
                <c:pt idx="49">
                  <c:v>1592.866852759978</c:v>
                </c:pt>
                <c:pt idx="50">
                  <c:v>1579.4844231563418</c:v>
                </c:pt>
                <c:pt idx="51">
                  <c:v>1881.9914261214974</c:v>
                </c:pt>
                <c:pt idx="52">
                  <c:v>1790.016478571074</c:v>
                </c:pt>
                <c:pt idx="53">
                  <c:v>1272.0926535121782</c:v>
                </c:pt>
                <c:pt idx="54">
                  <c:v>1203.073423968217</c:v>
                </c:pt>
                <c:pt idx="55">
                  <c:v>519.55774715341829</c:v>
                </c:pt>
                <c:pt idx="56">
                  <c:v>574.40826154970864</c:v>
                </c:pt>
                <c:pt idx="57">
                  <c:v>657.5685072252511</c:v>
                </c:pt>
                <c:pt idx="58">
                  <c:v>870.959037289756</c:v>
                </c:pt>
                <c:pt idx="59">
                  <c:v>686.36542440026028</c:v>
                </c:pt>
                <c:pt idx="60">
                  <c:v>746.53002454191312</c:v>
                </c:pt>
                <c:pt idx="61">
                  <c:v>800.48151873755239</c:v>
                </c:pt>
                <c:pt idx="62">
                  <c:v>932.14732263756548</c:v>
                </c:pt>
                <c:pt idx="63">
                  <c:v>708.307426131645</c:v>
                </c:pt>
                <c:pt idx="64">
                  <c:v>706.85204741375787</c:v>
                </c:pt>
                <c:pt idx="65">
                  <c:v>833.16716825465471</c:v>
                </c:pt>
                <c:pt idx="66">
                  <c:v>1434.7963068925774</c:v>
                </c:pt>
                <c:pt idx="67">
                  <c:v>1563.5280202980218</c:v>
                </c:pt>
                <c:pt idx="68">
                  <c:v>1937.9382391829035</c:v>
                </c:pt>
                <c:pt idx="69">
                  <c:v>2052.8419941397724</c:v>
                </c:pt>
                <c:pt idx="70">
                  <c:v>1996.2051266114074</c:v>
                </c:pt>
                <c:pt idx="71">
                  <c:v>1732.9866374883773</c:v>
                </c:pt>
                <c:pt idx="72">
                  <c:v>2193.0086265154237</c:v>
                </c:pt>
                <c:pt idx="73">
                  <c:v>2209.2456226673162</c:v>
                </c:pt>
                <c:pt idx="74">
                  <c:v>1863.5803016666466</c:v>
                </c:pt>
                <c:pt idx="75">
                  <c:v>1630.4741748138561</c:v>
                </c:pt>
                <c:pt idx="76">
                  <c:v>1657.0720540465406</c:v>
                </c:pt>
                <c:pt idx="77">
                  <c:v>1294.0202933283172</c:v>
                </c:pt>
                <c:pt idx="78">
                  <c:v>1625.9084403167446</c:v>
                </c:pt>
                <c:pt idx="79">
                  <c:v>1689.5242066808075</c:v>
                </c:pt>
                <c:pt idx="80">
                  <c:v>1667.4516620376282</c:v>
                </c:pt>
                <c:pt idx="81">
                  <c:v>1728.8385119560387</c:v>
                </c:pt>
                <c:pt idx="82">
                  <c:v>1655.3937956701584</c:v>
                </c:pt>
                <c:pt idx="83">
                  <c:v>1336.9204823464111</c:v>
                </c:pt>
                <c:pt idx="84">
                  <c:v>1885.7203543447947</c:v>
                </c:pt>
                <c:pt idx="85">
                  <c:v>1711.7814915041415</c:v>
                </c:pt>
                <c:pt idx="86">
                  <c:v>1448.9039442609285</c:v>
                </c:pt>
                <c:pt idx="87">
                  <c:v>1453.8040390614815</c:v>
                </c:pt>
                <c:pt idx="88">
                  <c:v>1210.9558285408432</c:v>
                </c:pt>
                <c:pt idx="89">
                  <c:v>1342.8780384542631</c:v>
                </c:pt>
                <c:pt idx="90">
                  <c:v>1783.6543257916776</c:v>
                </c:pt>
                <c:pt idx="91">
                  <c:v>1914.9622004946571</c:v>
                </c:pt>
                <c:pt idx="92">
                  <c:v>1588.3789123421172</c:v>
                </c:pt>
                <c:pt idx="93">
                  <c:v>1261.6061705052509</c:v>
                </c:pt>
                <c:pt idx="94">
                  <c:v>1670.3465164897154</c:v>
                </c:pt>
                <c:pt idx="95">
                  <c:v>1806.0961763738305</c:v>
                </c:pt>
                <c:pt idx="96">
                  <c:v>1395.4217665125284</c:v>
                </c:pt>
                <c:pt idx="97">
                  <c:v>1262.1317473063805</c:v>
                </c:pt>
                <c:pt idx="98">
                  <c:v>1246.2136415416267</c:v>
                </c:pt>
                <c:pt idx="99">
                  <c:v>1236.6128176798286</c:v>
                </c:pt>
                <c:pt idx="100">
                  <c:v>1144.1821610641859</c:v>
                </c:pt>
                <c:pt idx="101">
                  <c:v>1431.1375752081813</c:v>
                </c:pt>
                <c:pt idx="102">
                  <c:v>1611.017017575429</c:v>
                </c:pt>
                <c:pt idx="103">
                  <c:v>1408.4801068134282</c:v>
                </c:pt>
                <c:pt idx="104">
                  <c:v>1328.4608667894806</c:v>
                </c:pt>
                <c:pt idx="105">
                  <c:v>1583.1985200548902</c:v>
                </c:pt>
                <c:pt idx="106">
                  <c:v>1580.1258643711344</c:v>
                </c:pt>
                <c:pt idx="107">
                  <c:v>1385.7812677274342</c:v>
                </c:pt>
                <c:pt idx="108">
                  <c:v>1012.3816168351444</c:v>
                </c:pt>
                <c:pt idx="109">
                  <c:v>950.71176452055829</c:v>
                </c:pt>
                <c:pt idx="110">
                  <c:v>1481.9113021459634</c:v>
                </c:pt>
                <c:pt idx="111">
                  <c:v>869.35086562048571</c:v>
                </c:pt>
                <c:pt idx="112">
                  <c:v>1286.5520214925953</c:v>
                </c:pt>
                <c:pt idx="113">
                  <c:v>1824.7253431254633</c:v>
                </c:pt>
                <c:pt idx="114">
                  <c:v>1541.7592177472495</c:v>
                </c:pt>
                <c:pt idx="115">
                  <c:v>1245.8509737916991</c:v>
                </c:pt>
                <c:pt idx="116">
                  <c:v>1494.2327561728239</c:v>
                </c:pt>
                <c:pt idx="117">
                  <c:v>1586.4885758658459</c:v>
                </c:pt>
                <c:pt idx="118">
                  <c:v>1115.0854569758517</c:v>
                </c:pt>
                <c:pt idx="119">
                  <c:v>1054.6557713334878</c:v>
                </c:pt>
                <c:pt idx="120">
                  <c:v>1277.945844856406</c:v>
                </c:pt>
              </c:numCache>
            </c:numRef>
          </c:xVal>
          <c:yVal>
            <c:numRef>
              <c:f>'Raw Scale'!$X$41:$X$161</c:f>
              <c:numCache>
                <c:formatCode>0.0</c:formatCode>
                <c:ptCount val="121"/>
                <c:pt idx="0">
                  <c:v>551.26979491074144</c:v>
                </c:pt>
                <c:pt idx="1">
                  <c:v>1478.0300826918119</c:v>
                </c:pt>
                <c:pt idx="2">
                  <c:v>1375.6792692686399</c:v>
                </c:pt>
                <c:pt idx="3">
                  <c:v>1251.8491513346271</c:v>
                </c:pt>
                <c:pt idx="4">
                  <c:v>1374.858069717885</c:v>
                </c:pt>
                <c:pt idx="5">
                  <c:v>1242.8898320405469</c:v>
                </c:pt>
                <c:pt idx="6">
                  <c:v>921.18920518077232</c:v>
                </c:pt>
                <c:pt idx="7">
                  <c:v>719.28906470338791</c:v>
                </c:pt>
                <c:pt idx="8">
                  <c:v>1117.1103896128427</c:v>
                </c:pt>
                <c:pt idx="9">
                  <c:v>1438.5461315251425</c:v>
                </c:pt>
                <c:pt idx="10">
                  <c:v>1122.769189855255</c:v>
                </c:pt>
                <c:pt idx="11">
                  <c:v>1166.8459646186661</c:v>
                </c:pt>
                <c:pt idx="12">
                  <c:v>1594.7155609648316</c:v>
                </c:pt>
                <c:pt idx="13">
                  <c:v>1467.1476077292866</c:v>
                </c:pt>
                <c:pt idx="14">
                  <c:v>1412.456767353284</c:v>
                </c:pt>
                <c:pt idx="16">
                  <c:v>1409.529523646871</c:v>
                </c:pt>
                <c:pt idx="17">
                  <c:v>1473.1326181695604</c:v>
                </c:pt>
                <c:pt idx="18">
                  <c:v>1186.4813272391448</c:v>
                </c:pt>
                <c:pt idx="19">
                  <c:v>1544.811982739589</c:v>
                </c:pt>
                <c:pt idx="20">
                  <c:v>1077.515743682852</c:v>
                </c:pt>
                <c:pt idx="21">
                  <c:v>706.49767679507659</c:v>
                </c:pt>
                <c:pt idx="22">
                  <c:v>2295.4732233577665</c:v>
                </c:pt>
                <c:pt idx="23">
                  <c:v>1880.7714844530399</c:v>
                </c:pt>
                <c:pt idx="24">
                  <c:v>2229.5187197735445</c:v>
                </c:pt>
                <c:pt idx="25">
                  <c:v>2137.7441514210909</c:v>
                </c:pt>
                <c:pt idx="26">
                  <c:v>2321.7218312537007</c:v>
                </c:pt>
                <c:pt idx="27">
                  <c:v>2101.7749996192651</c:v>
                </c:pt>
                <c:pt idx="28">
                  <c:v>2081.3654236609614</c:v>
                </c:pt>
                <c:pt idx="29">
                  <c:v>2083.4794440751493</c:v>
                </c:pt>
                <c:pt idx="30">
                  <c:v>2019.9240753050833</c:v>
                </c:pt>
                <c:pt idx="31">
                  <c:v>1827.0827628923969</c:v>
                </c:pt>
                <c:pt idx="32">
                  <c:v>1690.4315535291955</c:v>
                </c:pt>
                <c:pt idx="33">
                  <c:v>1560.5101125895017</c:v>
                </c:pt>
                <c:pt idx="34">
                  <c:v>1606.6296619884824</c:v>
                </c:pt>
                <c:pt idx="35">
                  <c:v>1908.3639058930048</c:v>
                </c:pt>
                <c:pt idx="36">
                  <c:v>1521.9907434909676</c:v>
                </c:pt>
                <c:pt idx="37">
                  <c:v>1861.1949159524847</c:v>
                </c:pt>
                <c:pt idx="38">
                  <c:v>1689.4120972278374</c:v>
                </c:pt>
                <c:pt idx="39">
                  <c:v>1598.9446085082393</c:v>
                </c:pt>
                <c:pt idx="40">
                  <c:v>1511.9611245595811</c:v>
                </c:pt>
                <c:pt idx="41">
                  <c:v>1464.2703529817093</c:v>
                </c:pt>
                <c:pt idx="42">
                  <c:v>1189.2262003057015</c:v>
                </c:pt>
                <c:pt idx="43">
                  <c:v>1193.6458161681942</c:v>
                </c:pt>
                <c:pt idx="44">
                  <c:v>1465.4413876108845</c:v>
                </c:pt>
                <c:pt idx="45">
                  <c:v>1520.7125184245288</c:v>
                </c:pt>
                <c:pt idx="46">
                  <c:v>1773.8062608995258</c:v>
                </c:pt>
                <c:pt idx="47">
                  <c:v>1978.285718655073</c:v>
                </c:pt>
                <c:pt idx="48">
                  <c:v>1743.5221491663631</c:v>
                </c:pt>
                <c:pt idx="49">
                  <c:v>1592.8567584118002</c:v>
                </c:pt>
                <c:pt idx="50">
                  <c:v>1579.4744218818125</c:v>
                </c:pt>
                <c:pt idx="51">
                  <c:v>1881.9795102284097</c:v>
                </c:pt>
                <c:pt idx="52">
                  <c:v>1790.0051379208307</c:v>
                </c:pt>
                <c:pt idx="53">
                  <c:v>1272.084598344996</c:v>
                </c:pt>
                <c:pt idx="54">
                  <c:v>1203.0658124952508</c:v>
                </c:pt>
                <c:pt idx="55">
                  <c:v>519.55445591499256</c:v>
                </c:pt>
                <c:pt idx="56">
                  <c:v>574.4046212251086</c:v>
                </c:pt>
                <c:pt idx="57">
                  <c:v>657.56433925966996</c:v>
                </c:pt>
                <c:pt idx="58">
                  <c:v>870.95352258694015</c:v>
                </c:pt>
                <c:pt idx="59">
                  <c:v>686.36107390683856</c:v>
                </c:pt>
                <c:pt idx="60">
                  <c:v>746.52529510443821</c:v>
                </c:pt>
                <c:pt idx="61">
                  <c:v>800.47644728651369</c:v>
                </c:pt>
                <c:pt idx="62">
                  <c:v>932.14141752340504</c:v>
                </c:pt>
                <c:pt idx="63">
                  <c:v>708.30293922209376</c:v>
                </c:pt>
                <c:pt idx="64">
                  <c:v>706.84756793660381</c:v>
                </c:pt>
                <c:pt idx="65">
                  <c:v>833.16188752747928</c:v>
                </c:pt>
                <c:pt idx="66">
                  <c:v>1434.7872142722742</c:v>
                </c:pt>
                <c:pt idx="67">
                  <c:v>1563.518117437435</c:v>
                </c:pt>
                <c:pt idx="68">
                  <c:v>1937.9259668261634</c:v>
                </c:pt>
                <c:pt idx="69">
                  <c:v>2052.828996038781</c:v>
                </c:pt>
                <c:pt idx="70">
                  <c:v>1996.1924791003241</c:v>
                </c:pt>
                <c:pt idx="71">
                  <c:v>1732.9756646344536</c:v>
                </c:pt>
                <c:pt idx="72">
                  <c:v>2192.994728936606</c:v>
                </c:pt>
                <c:pt idx="73">
                  <c:v>2209.2316283556329</c:v>
                </c:pt>
                <c:pt idx="74">
                  <c:v>1863.5684997492654</c:v>
                </c:pt>
                <c:pt idx="75">
                  <c:v>1630.4638483445665</c:v>
                </c:pt>
                <c:pt idx="76">
                  <c:v>1657.0615611061162</c:v>
                </c:pt>
                <c:pt idx="77">
                  <c:v>1294.0121001945683</c:v>
                </c:pt>
                <c:pt idx="78">
                  <c:v>1625.8981345762127</c:v>
                </c:pt>
                <c:pt idx="79">
                  <c:v>1689.5134982458965</c:v>
                </c:pt>
                <c:pt idx="80">
                  <c:v>1667.4410992445353</c:v>
                </c:pt>
                <c:pt idx="81">
                  <c:v>1728.8275532469361</c:v>
                </c:pt>
                <c:pt idx="82">
                  <c:v>1655.3833050749683</c:v>
                </c:pt>
                <c:pt idx="83">
                  <c:v>1336.9120052190647</c:v>
                </c:pt>
                <c:pt idx="84">
                  <c:v>1885.7084011978302</c:v>
                </c:pt>
                <c:pt idx="85">
                  <c:v>1711.7706450704193</c:v>
                </c:pt>
                <c:pt idx="87">
                  <c:v>1453.7948255473987</c:v>
                </c:pt>
                <c:pt idx="88">
                  <c:v>1210.9481517810264</c:v>
                </c:pt>
                <c:pt idx="89">
                  <c:v>1342.8695287387798</c:v>
                </c:pt>
                <c:pt idx="90">
                  <c:v>1783.6430244545793</c:v>
                </c:pt>
                <c:pt idx="91">
                  <c:v>1914.9500717681776</c:v>
                </c:pt>
                <c:pt idx="92">
                  <c:v>1588.368845471914</c:v>
                </c:pt>
                <c:pt idx="93">
                  <c:v>1261.5981726515504</c:v>
                </c:pt>
                <c:pt idx="94">
                  <c:v>1670.3359394925092</c:v>
                </c:pt>
                <c:pt idx="95">
                  <c:v>1806.0847143354738</c:v>
                </c:pt>
                <c:pt idx="96">
                  <c:v>1395.4129290704168</c:v>
                </c:pt>
                <c:pt idx="97">
                  <c:v>1262.1237481341552</c:v>
                </c:pt>
                <c:pt idx="98">
                  <c:v>1246.2068129737279</c:v>
                </c:pt>
                <c:pt idx="99">
                  <c:v>1236.604977013541</c:v>
                </c:pt>
                <c:pt idx="100">
                  <c:v>1144.1749035179666</c:v>
                </c:pt>
                <c:pt idx="101">
                  <c:v>1431.1285049063154</c:v>
                </c:pt>
                <c:pt idx="102">
                  <c:v>1611.0068223116657</c:v>
                </c:pt>
                <c:pt idx="103">
                  <c:v>1408.4711822011436</c:v>
                </c:pt>
                <c:pt idx="104">
                  <c:v>1328.4524484345122</c:v>
                </c:pt>
                <c:pt idx="105">
                  <c:v>1583.1884725931873</c:v>
                </c:pt>
                <c:pt idx="106">
                  <c:v>1580.1158410185919</c:v>
                </c:pt>
                <c:pt idx="107">
                  <c:v>1385.772484885983</c:v>
                </c:pt>
                <c:pt idx="108">
                  <c:v>1012.3752020385346</c:v>
                </c:pt>
                <c:pt idx="109">
                  <c:v>954.32140896285557</c:v>
                </c:pt>
                <c:pt idx="110">
                  <c:v>1481.9018974839037</c:v>
                </c:pt>
                <c:pt idx="111">
                  <c:v>869.345351328878</c:v>
                </c:pt>
                <c:pt idx="112">
                  <c:v>1286.5438659192639</c:v>
                </c:pt>
                <c:pt idx="113">
                  <c:v>1824.7137840520043</c:v>
                </c:pt>
                <c:pt idx="114">
                  <c:v>1541.749450767323</c:v>
                </c:pt>
                <c:pt idx="115">
                  <c:v>1245.8430736751125</c:v>
                </c:pt>
                <c:pt idx="116">
                  <c:v>1494.2232770816822</c:v>
                </c:pt>
                <c:pt idx="117">
                  <c:v>1586.4785237823564</c:v>
                </c:pt>
                <c:pt idx="118">
                  <c:v>1115.0783835553714</c:v>
                </c:pt>
                <c:pt idx="119">
                  <c:v>1054.6490904137643</c:v>
                </c:pt>
                <c:pt idx="120">
                  <c:v>1277.937761532193</c:v>
                </c:pt>
              </c:numCache>
            </c:numRef>
          </c:yVal>
          <c:smooth val="0"/>
          <c:extLst>
            <c:ext xmlns:c16="http://schemas.microsoft.com/office/drawing/2014/chart" uri="{C3380CC4-5D6E-409C-BE32-E72D297353CC}">
              <c16:uniqueId val="{00000001-2333-4CC7-B03A-291E583CC2E0}"/>
            </c:ext>
          </c:extLst>
        </c:ser>
        <c:dLbls>
          <c:showLegendKey val="0"/>
          <c:showVal val="0"/>
          <c:showCatName val="0"/>
          <c:showSerName val="0"/>
          <c:showPercent val="0"/>
          <c:showBubbleSize val="0"/>
        </c:dLbls>
        <c:axId val="355039328"/>
        <c:axId val="751178384"/>
      </c:scatterChart>
      <c:valAx>
        <c:axId val="355039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a:t>
                </a:r>
                <a:r>
                  <a:rPr lang="en-US" baseline="0"/>
                  <a:t> Spreadsheet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178384"/>
        <c:crosses val="autoZero"/>
        <c:crossBetween val="midCat"/>
      </c:valAx>
      <c:valAx>
        <c:axId val="7511783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503932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DSWAH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"1:1"</c:v>
          </c:tx>
          <c:spPr>
            <a:ln w="19050" cap="rnd">
              <a:solidFill>
                <a:schemeClr val="accent1"/>
              </a:solidFill>
              <a:round/>
            </a:ln>
            <a:effectLst/>
          </c:spPr>
          <c:marker>
            <c:symbol val="none"/>
          </c:marker>
          <c:xVal>
            <c:numRef>
              <c:f>Compare!$N$21:$N$22</c:f>
              <c:numCache>
                <c:formatCode>General</c:formatCode>
                <c:ptCount val="2"/>
                <c:pt idx="0">
                  <c:v>0</c:v>
                </c:pt>
                <c:pt idx="1">
                  <c:v>4000</c:v>
                </c:pt>
              </c:numCache>
            </c:numRef>
          </c:xVal>
          <c:yVal>
            <c:numRef>
              <c:f>Compare!$N$21:$N$22</c:f>
              <c:numCache>
                <c:formatCode>General</c:formatCode>
                <c:ptCount val="2"/>
                <c:pt idx="0">
                  <c:v>0</c:v>
                </c:pt>
                <c:pt idx="1">
                  <c:v>4000</c:v>
                </c:pt>
              </c:numCache>
            </c:numRef>
          </c:yVal>
          <c:smooth val="0"/>
          <c:extLst>
            <c:ext xmlns:c16="http://schemas.microsoft.com/office/drawing/2014/chart" uri="{C3380CC4-5D6E-409C-BE32-E72D297353CC}">
              <c16:uniqueId val="{00000000-9ED9-406E-9A58-1103B9362593}"/>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Compare!$C$6:$C$126</c:f>
              <c:numCache>
                <c:formatCode>General</c:formatCode>
                <c:ptCount val="121"/>
                <c:pt idx="0">
                  <c:v>772.29549049544937</c:v>
                </c:pt>
                <c:pt idx="1">
                  <c:v>2361.6265035505789</c:v>
                </c:pt>
                <c:pt idx="2">
                  <c:v>2381.3937118862236</c:v>
                </c:pt>
                <c:pt idx="3">
                  <c:v>2419.5444638179724</c:v>
                </c:pt>
                <c:pt idx="4">
                  <c:v>2156.9202573730981</c:v>
                </c:pt>
                <c:pt idx="5">
                  <c:v>2048.0015508502233</c:v>
                </c:pt>
                <c:pt idx="6">
                  <c:v>1425.203497292569</c:v>
                </c:pt>
                <c:pt idx="7">
                  <c:v>1257.3252453440673</c:v>
                </c:pt>
                <c:pt idx="8">
                  <c:v>1638.3688954063418</c:v>
                </c:pt>
                <c:pt idx="9">
                  <c:v>2280.3062874876732</c:v>
                </c:pt>
                <c:pt idx="10">
                  <c:v>1287.8962528840241</c:v>
                </c:pt>
                <c:pt idx="11">
                  <c:v>1892.636148102079</c:v>
                </c:pt>
                <c:pt idx="12">
                  <c:v>2338.8309734195036</c:v>
                </c:pt>
                <c:pt idx="13">
                  <c:v>2145.1493912391124</c:v>
                </c:pt>
                <c:pt idx="14">
                  <c:v>2024.0633854728735</c:v>
                </c:pt>
                <c:pt idx="15">
                  <c:v>3694.4465624477007</c:v>
                </c:pt>
                <c:pt idx="16">
                  <c:v>1983.6966512478812</c:v>
                </c:pt>
                <c:pt idx="17">
                  <c:v>2247.8233835769365</c:v>
                </c:pt>
                <c:pt idx="18">
                  <c:v>1774.9873191358702</c:v>
                </c:pt>
                <c:pt idx="19">
                  <c:v>2116.405845872855</c:v>
                </c:pt>
                <c:pt idx="20">
                  <c:v>1552.1684015965095</c:v>
                </c:pt>
                <c:pt idx="21">
                  <c:v>880.67202024279413</c:v>
                </c:pt>
                <c:pt idx="22">
                  <c:v>3381.2621946182994</c:v>
                </c:pt>
                <c:pt idx="23">
                  <c:v>3024.954469171264</c:v>
                </c:pt>
                <c:pt idx="24">
                  <c:v>3390.9244605207214</c:v>
                </c:pt>
                <c:pt idx="25">
                  <c:v>3515.334392038209</c:v>
                </c:pt>
                <c:pt idx="26">
                  <c:v>3475.1871141950451</c:v>
                </c:pt>
                <c:pt idx="27">
                  <c:v>3207.0561221062871</c:v>
                </c:pt>
                <c:pt idx="28">
                  <c:v>3114.6740376608573</c:v>
                </c:pt>
                <c:pt idx="29">
                  <c:v>3274.2675479899781</c:v>
                </c:pt>
                <c:pt idx="30">
                  <c:v>2969.5960103497309</c:v>
                </c:pt>
                <c:pt idx="31">
                  <c:v>2963.5470276126489</c:v>
                </c:pt>
                <c:pt idx="32">
                  <c:v>2485.1918247569643</c:v>
                </c:pt>
                <c:pt idx="33">
                  <c:v>2422.5479227454925</c:v>
                </c:pt>
                <c:pt idx="34">
                  <c:v>2404.2523414726879</c:v>
                </c:pt>
                <c:pt idx="35">
                  <c:v>2962.5588352273367</c:v>
                </c:pt>
                <c:pt idx="36">
                  <c:v>2232.1717850316741</c:v>
                </c:pt>
                <c:pt idx="37">
                  <c:v>2830.7326239488498</c:v>
                </c:pt>
                <c:pt idx="38">
                  <c:v>2528.1327040033375</c:v>
                </c:pt>
                <c:pt idx="39">
                  <c:v>2435.4138178479816</c:v>
                </c:pt>
                <c:pt idx="40">
                  <c:v>2262.5849371909389</c:v>
                </c:pt>
                <c:pt idx="41">
                  <c:v>2227.041251945418</c:v>
                </c:pt>
                <c:pt idx="42">
                  <c:v>1811.3560033576694</c:v>
                </c:pt>
                <c:pt idx="43">
                  <c:v>1786.6664759393282</c:v>
                </c:pt>
                <c:pt idx="44">
                  <c:v>2236.0874853763012</c:v>
                </c:pt>
                <c:pt idx="45">
                  <c:v>2396.8320504659491</c:v>
                </c:pt>
                <c:pt idx="46">
                  <c:v>2795.739261618683</c:v>
                </c:pt>
                <c:pt idx="47">
                  <c:v>3222.8458369267705</c:v>
                </c:pt>
                <c:pt idx="48">
                  <c:v>2785.1967835716887</c:v>
                </c:pt>
                <c:pt idx="49">
                  <c:v>2583.6300351766845</c:v>
                </c:pt>
                <c:pt idx="50">
                  <c:v>2363.6156776362668</c:v>
                </c:pt>
                <c:pt idx="51">
                  <c:v>2772.1805265379007</c:v>
                </c:pt>
                <c:pt idx="52">
                  <c:v>2726.4254354013565</c:v>
                </c:pt>
                <c:pt idx="53">
                  <c:v>1968.0858385408053</c:v>
                </c:pt>
                <c:pt idx="54">
                  <c:v>1760.3794953652584</c:v>
                </c:pt>
                <c:pt idx="55">
                  <c:v>823.56990023848539</c:v>
                </c:pt>
                <c:pt idx="56">
                  <c:v>967.87792071125921</c:v>
                </c:pt>
                <c:pt idx="57">
                  <c:v>1066.5761187193575</c:v>
                </c:pt>
                <c:pt idx="58">
                  <c:v>1282.9259735591311</c:v>
                </c:pt>
                <c:pt idx="59">
                  <c:v>1113.2847183772224</c:v>
                </c:pt>
                <c:pt idx="60">
                  <c:v>1097.5058729177995</c:v>
                </c:pt>
                <c:pt idx="61">
                  <c:v>1242.6658035108717</c:v>
                </c:pt>
                <c:pt idx="62">
                  <c:v>1395.2428774942471</c:v>
                </c:pt>
                <c:pt idx="63">
                  <c:v>1099.5749386128909</c:v>
                </c:pt>
                <c:pt idx="64">
                  <c:v>1097.3156117932936</c:v>
                </c:pt>
                <c:pt idx="65">
                  <c:v>1200.175086064876</c:v>
                </c:pt>
                <c:pt idx="66">
                  <c:v>2227.374728639631</c:v>
                </c:pt>
                <c:pt idx="67">
                  <c:v>2602.1771847588757</c:v>
                </c:pt>
                <c:pt idx="68">
                  <c:v>2998.2319243588527</c:v>
                </c:pt>
                <c:pt idx="69">
                  <c:v>3176.0023503584162</c:v>
                </c:pt>
                <c:pt idx="70">
                  <c:v>3210.5927924451671</c:v>
                </c:pt>
                <c:pt idx="71">
                  <c:v>2823.208676883924</c:v>
                </c:pt>
                <c:pt idx="72">
                  <c:v>3281.7225006025656</c:v>
                </c:pt>
                <c:pt idx="73">
                  <c:v>3306.8101412767969</c:v>
                </c:pt>
                <c:pt idx="74">
                  <c:v>2838.4726041364984</c:v>
                </c:pt>
                <c:pt idx="75">
                  <c:v>2483.4219769452411</c:v>
                </c:pt>
                <c:pt idx="76">
                  <c:v>2757.8623705890031</c:v>
                </c:pt>
                <c:pt idx="77">
                  <c:v>2002.0106295343048</c:v>
                </c:pt>
                <c:pt idx="78">
                  <c:v>2480.9252024400375</c:v>
                </c:pt>
                <c:pt idx="79">
                  <c:v>2678.1263294987398</c:v>
                </c:pt>
                <c:pt idx="80">
                  <c:v>2363.0412536025265</c:v>
                </c:pt>
                <c:pt idx="81">
                  <c:v>2804.1760663926962</c:v>
                </c:pt>
                <c:pt idx="82">
                  <c:v>2345.9533605586348</c:v>
                </c:pt>
                <c:pt idx="83">
                  <c:v>2084.2590319780547</c:v>
                </c:pt>
                <c:pt idx="84">
                  <c:v>3058.6384147472581</c:v>
                </c:pt>
                <c:pt idx="85">
                  <c:v>2814.8579935552566</c:v>
                </c:pt>
                <c:pt idx="86">
                  <c:v>2283.6383444448948</c:v>
                </c:pt>
                <c:pt idx="87">
                  <c:v>2390.6391912318613</c:v>
                </c:pt>
                <c:pt idx="88">
                  <c:v>1964.1703538932484</c:v>
                </c:pt>
                <c:pt idx="89">
                  <c:v>2009.5466205998521</c:v>
                </c:pt>
                <c:pt idx="90">
                  <c:v>2868.7371083558864</c:v>
                </c:pt>
                <c:pt idx="91">
                  <c:v>3079.9258837440702</c:v>
                </c:pt>
                <c:pt idx="92">
                  <c:v>2517.7972411067421</c:v>
                </c:pt>
                <c:pt idx="93">
                  <c:v>1887.9275286868099</c:v>
                </c:pt>
                <c:pt idx="94">
                  <c:v>2584.2341872528573</c:v>
                </c:pt>
                <c:pt idx="95">
                  <c:v>2831.0660888239672</c:v>
                </c:pt>
                <c:pt idx="96">
                  <c:v>2125.4069126612176</c:v>
                </c:pt>
                <c:pt idx="97">
                  <c:v>1925.8491948550793</c:v>
                </c:pt>
                <c:pt idx="98">
                  <c:v>1864.3356077462738</c:v>
                </c:pt>
                <c:pt idx="99">
                  <c:v>1927.8793827628526</c:v>
                </c:pt>
                <c:pt idx="100">
                  <c:v>1711.6965129520224</c:v>
                </c:pt>
                <c:pt idx="101">
                  <c:v>2268.5482730251974</c:v>
                </c:pt>
                <c:pt idx="102">
                  <c:v>2390.1061963470765</c:v>
                </c:pt>
                <c:pt idx="103">
                  <c:v>2186.5215157281282</c:v>
                </c:pt>
                <c:pt idx="104">
                  <c:v>1987.9720786325718</c:v>
                </c:pt>
                <c:pt idx="105">
                  <c:v>2797.4395551648063</c:v>
                </c:pt>
                <c:pt idx="106">
                  <c:v>2416.5638886273596</c:v>
                </c:pt>
                <c:pt idx="107">
                  <c:v>2114.5223106809958</c:v>
                </c:pt>
                <c:pt idx="108">
                  <c:v>1604.7629580124346</c:v>
                </c:pt>
                <c:pt idx="109">
                  <c:v>1445.9494517422934</c:v>
                </c:pt>
                <c:pt idx="110">
                  <c:v>2429.7241372713574</c:v>
                </c:pt>
                <c:pt idx="111">
                  <c:v>1387.9924172553322</c:v>
                </c:pt>
                <c:pt idx="112">
                  <c:v>2227.0943210896371</c:v>
                </c:pt>
                <c:pt idx="113">
                  <c:v>2875.975856196063</c:v>
                </c:pt>
                <c:pt idx="114">
                  <c:v>2479.6855624691548</c:v>
                </c:pt>
                <c:pt idx="115">
                  <c:v>1942.2816681412587</c:v>
                </c:pt>
                <c:pt idx="116">
                  <c:v>2385.669373782865</c:v>
                </c:pt>
                <c:pt idx="117">
                  <c:v>2462.861483670958</c:v>
                </c:pt>
                <c:pt idx="118">
                  <c:v>1908.6588599952793</c:v>
                </c:pt>
                <c:pt idx="119">
                  <c:v>1696.2536428818348</c:v>
                </c:pt>
                <c:pt idx="120">
                  <c:v>1994.3824506322233</c:v>
                </c:pt>
              </c:numCache>
            </c:numRef>
          </c:xVal>
          <c:yVal>
            <c:numRef>
              <c:f>'Raw Scale'!$Y$41:$Y$161</c:f>
              <c:numCache>
                <c:formatCode>0.0</c:formatCode>
                <c:ptCount val="121"/>
                <c:pt idx="0">
                  <c:v>843.08390192859417</c:v>
                </c:pt>
                <c:pt idx="1">
                  <c:v>2361.611570082026</c:v>
                </c:pt>
                <c:pt idx="2">
                  <c:v>2381.3786283390978</c:v>
                </c:pt>
                <c:pt idx="3">
                  <c:v>2419.5291494845346</c:v>
                </c:pt>
                <c:pt idx="4">
                  <c:v>2156.9066143178684</c:v>
                </c:pt>
                <c:pt idx="5">
                  <c:v>2047.9885970444475</c:v>
                </c:pt>
                <c:pt idx="6">
                  <c:v>1425.1944811782391</c:v>
                </c:pt>
                <c:pt idx="7">
                  <c:v>1257.3172851015222</c:v>
                </c:pt>
                <c:pt idx="8">
                  <c:v>1638.3585112007725</c:v>
                </c:pt>
                <c:pt idx="9">
                  <c:v>2280.2918453620555</c:v>
                </c:pt>
                <c:pt idx="10">
                  <c:v>1680.5666627705655</c:v>
                </c:pt>
                <c:pt idx="11">
                  <c:v>1892.6241546114773</c:v>
                </c:pt>
                <c:pt idx="12">
                  <c:v>2338.81614256272</c:v>
                </c:pt>
                <c:pt idx="13">
                  <c:v>2145.1357765092021</c:v>
                </c:pt>
                <c:pt idx="14">
                  <c:v>2024.0505476172564</c:v>
                </c:pt>
                <c:pt idx="16">
                  <c:v>1983.684070908484</c:v>
                </c:pt>
                <c:pt idx="17">
                  <c:v>2247.8091313932518</c:v>
                </c:pt>
                <c:pt idx="18">
                  <c:v>1774.9760655497607</c:v>
                </c:pt>
                <c:pt idx="19">
                  <c:v>2116.3924163532365</c:v>
                </c:pt>
                <c:pt idx="20">
                  <c:v>1552.1585579516752</c:v>
                </c:pt>
                <c:pt idx="21">
                  <c:v>1080.4815057068781</c:v>
                </c:pt>
                <c:pt idx="22">
                  <c:v>3381.2407860410599</c:v>
                </c:pt>
                <c:pt idx="23">
                  <c:v>3024.9353093645245</c:v>
                </c:pt>
                <c:pt idx="24">
                  <c:v>3390.9029958532992</c:v>
                </c:pt>
                <c:pt idx="25">
                  <c:v>3515.312113531576</c:v>
                </c:pt>
                <c:pt idx="26">
                  <c:v>3475.165105247152</c:v>
                </c:pt>
                <c:pt idx="27">
                  <c:v>3207.0357943390859</c:v>
                </c:pt>
                <c:pt idx="28">
                  <c:v>3114.6542973967325</c:v>
                </c:pt>
                <c:pt idx="29">
                  <c:v>3274.2468304656218</c:v>
                </c:pt>
                <c:pt idx="30">
                  <c:v>2969.577193972485</c:v>
                </c:pt>
                <c:pt idx="31">
                  <c:v>2963.5282414114686</c:v>
                </c:pt>
                <c:pt idx="32">
                  <c:v>2485.1760770134842</c:v>
                </c:pt>
                <c:pt idx="33">
                  <c:v>2422.5325726522638</c:v>
                </c:pt>
                <c:pt idx="34">
                  <c:v>2404.2371051959085</c:v>
                </c:pt>
                <c:pt idx="35">
                  <c:v>2962.5400599475774</c:v>
                </c:pt>
                <c:pt idx="36">
                  <c:v>2232.1576379138455</c:v>
                </c:pt>
                <c:pt idx="37">
                  <c:v>2830.7147010684175</c:v>
                </c:pt>
                <c:pt idx="38">
                  <c:v>2528.1166819084424</c:v>
                </c:pt>
                <c:pt idx="39">
                  <c:v>2435.3983902509844</c:v>
                </c:pt>
                <c:pt idx="40">
                  <c:v>2262.5705993631386</c:v>
                </c:pt>
                <c:pt idx="41">
                  <c:v>2227.0271528238918</c:v>
                </c:pt>
                <c:pt idx="42">
                  <c:v>1811.3445321729394</c:v>
                </c:pt>
                <c:pt idx="43">
                  <c:v>1786.6551593444055</c:v>
                </c:pt>
                <c:pt idx="44">
                  <c:v>2236.0733120459595</c:v>
                </c:pt>
                <c:pt idx="45">
                  <c:v>2396.8168709231013</c:v>
                </c:pt>
                <c:pt idx="46">
                  <c:v>2795.7215583900015</c:v>
                </c:pt>
                <c:pt idx="47">
                  <c:v>3222.8254306432937</c:v>
                </c:pt>
                <c:pt idx="48">
                  <c:v>2785.1791520229431</c:v>
                </c:pt>
                <c:pt idx="49">
                  <c:v>2583.6136621439409</c:v>
                </c:pt>
                <c:pt idx="50">
                  <c:v>2363.6007112529792</c:v>
                </c:pt>
                <c:pt idx="51">
                  <c:v>2772.1629743820758</c:v>
                </c:pt>
                <c:pt idx="52">
                  <c:v>2726.4081621317268</c:v>
                </c:pt>
                <c:pt idx="53">
                  <c:v>1968.0733761934953</c:v>
                </c:pt>
                <c:pt idx="54">
                  <c:v>1760.3683579893743</c:v>
                </c:pt>
                <c:pt idx="55">
                  <c:v>823.5646831766345</c:v>
                </c:pt>
                <c:pt idx="56">
                  <c:v>967.87178676430801</c:v>
                </c:pt>
                <c:pt idx="57">
                  <c:v>1066.5693582791851</c:v>
                </c:pt>
                <c:pt idx="58">
                  <c:v>1282.9178503809151</c:v>
                </c:pt>
                <c:pt idx="59">
                  <c:v>1113.2776618768924</c:v>
                </c:pt>
                <c:pt idx="60">
                  <c:v>1097.4989199685097</c:v>
                </c:pt>
                <c:pt idx="61">
                  <c:v>1242.6579306010885</c:v>
                </c:pt>
                <c:pt idx="62">
                  <c:v>1395.234038689186</c:v>
                </c:pt>
                <c:pt idx="63">
                  <c:v>1099.5679731440673</c:v>
                </c:pt>
                <c:pt idx="64">
                  <c:v>1097.3086578625073</c:v>
                </c:pt>
                <c:pt idx="65">
                  <c:v>1200.1674791914493</c:v>
                </c:pt>
                <c:pt idx="66">
                  <c:v>2227.3606132752534</c:v>
                </c:pt>
                <c:pt idx="67">
                  <c:v>2602.1607034438312</c:v>
                </c:pt>
                <c:pt idx="68">
                  <c:v>2998.2129374938318</c:v>
                </c:pt>
                <c:pt idx="69">
                  <c:v>3175.982240676612</c:v>
                </c:pt>
                <c:pt idx="70">
                  <c:v>3210.5724508443036</c:v>
                </c:pt>
                <c:pt idx="71">
                  <c:v>2823.190801006675</c:v>
                </c:pt>
                <c:pt idx="72">
                  <c:v>3281.7017036040688</c:v>
                </c:pt>
                <c:pt idx="73">
                  <c:v>3306.7891945195329</c:v>
                </c:pt>
                <c:pt idx="74">
                  <c:v>2838.4546282976607</c:v>
                </c:pt>
                <c:pt idx="75">
                  <c:v>2483.4062484037081</c:v>
                </c:pt>
                <c:pt idx="76">
                  <c:v>2757.8449072050284</c:v>
                </c:pt>
                <c:pt idx="77">
                  <c:v>2001.9979537355262</c:v>
                </c:pt>
                <c:pt idx="78">
                  <c:v>2480.9094772178901</c:v>
                </c:pt>
                <c:pt idx="79">
                  <c:v>2678.1093551687068</c:v>
                </c:pt>
                <c:pt idx="80">
                  <c:v>2363.0262844634499</c:v>
                </c:pt>
                <c:pt idx="81">
                  <c:v>2804.1582913665311</c:v>
                </c:pt>
                <c:pt idx="82">
                  <c:v>2345.9384937353416</c:v>
                </c:pt>
                <c:pt idx="83">
                  <c:v>2084.2458161365216</c:v>
                </c:pt>
                <c:pt idx="84">
                  <c:v>3058.619026742881</c:v>
                </c:pt>
                <c:pt idx="85">
                  <c:v>2814.8401576510742</c:v>
                </c:pt>
                <c:pt idx="87">
                  <c:v>2390.6240405050344</c:v>
                </c:pt>
                <c:pt idx="88">
                  <c:v>1964.1579021888253</c:v>
                </c:pt>
                <c:pt idx="89">
                  <c:v>2009.5338862565225</c:v>
                </c:pt>
                <c:pt idx="90">
                  <c:v>2868.7189318714413</c:v>
                </c:pt>
                <c:pt idx="91">
                  <c:v>3079.9063765294577</c:v>
                </c:pt>
                <c:pt idx="92">
                  <c:v>2517.7812837442848</c:v>
                </c:pt>
                <c:pt idx="93">
                  <c:v>1887.9155603178174</c:v>
                </c:pt>
                <c:pt idx="94">
                  <c:v>2584.2178233202785</c:v>
                </c:pt>
                <c:pt idx="95">
                  <c:v>2831.0481220132706</c:v>
                </c:pt>
                <c:pt idx="96">
                  <c:v>2125.3934520996841</c:v>
                </c:pt>
                <c:pt idx="97">
                  <c:v>1925.8369891567261</c:v>
                </c:pt>
                <c:pt idx="98">
                  <c:v>1864.3253922086972</c:v>
                </c:pt>
                <c:pt idx="99">
                  <c:v>1927.8671591641103</c:v>
                </c:pt>
                <c:pt idx="100">
                  <c:v>1711.6856556628784</c:v>
                </c:pt>
                <c:pt idx="101">
                  <c:v>2268.5338953594928</c:v>
                </c:pt>
                <c:pt idx="102">
                  <c:v>2390.09107064522</c:v>
                </c:pt>
                <c:pt idx="103">
                  <c:v>2186.50766117904</c:v>
                </c:pt>
                <c:pt idx="104">
                  <c:v>1987.9594810054648</c:v>
                </c:pt>
                <c:pt idx="105">
                  <c:v>2797.4218017583694</c:v>
                </c:pt>
                <c:pt idx="106">
                  <c:v>2416.5485594233114</c:v>
                </c:pt>
                <c:pt idx="107">
                  <c:v>2114.5089092051408</c:v>
                </c:pt>
                <c:pt idx="108">
                  <c:v>1604.7527896847887</c:v>
                </c:pt>
                <c:pt idx="109">
                  <c:v>1445.9415287315992</c:v>
                </c:pt>
                <c:pt idx="110">
                  <c:v>2429.7087174993526</c:v>
                </c:pt>
                <c:pt idx="111">
                  <c:v>1387.9836132209198</c:v>
                </c:pt>
                <c:pt idx="112">
                  <c:v>2227.0802033308933</c:v>
                </c:pt>
                <c:pt idx="113">
                  <c:v>2875.9576377741428</c:v>
                </c:pt>
                <c:pt idx="114">
                  <c:v>2479.6698537652051</c:v>
                </c:pt>
                <c:pt idx="115">
                  <c:v>1942.2693518595001</c:v>
                </c:pt>
                <c:pt idx="116">
                  <c:v>2385.654239609602</c:v>
                </c:pt>
                <c:pt idx="117">
                  <c:v>2462.8458788379739</c:v>
                </c:pt>
                <c:pt idx="118">
                  <c:v>1908.6467526302467</c:v>
                </c:pt>
                <c:pt idx="119">
                  <c:v>1696.2428976370577</c:v>
                </c:pt>
                <c:pt idx="120">
                  <c:v>1994.3698356689067</c:v>
                </c:pt>
              </c:numCache>
            </c:numRef>
          </c:yVal>
          <c:smooth val="0"/>
          <c:extLst>
            <c:ext xmlns:c16="http://schemas.microsoft.com/office/drawing/2014/chart" uri="{C3380CC4-5D6E-409C-BE32-E72D297353CC}">
              <c16:uniqueId val="{00000001-9ED9-406E-9A58-1103B9362593}"/>
            </c:ext>
          </c:extLst>
        </c:ser>
        <c:dLbls>
          <c:showLegendKey val="0"/>
          <c:showVal val="0"/>
          <c:showCatName val="0"/>
          <c:showSerName val="0"/>
          <c:showPercent val="0"/>
          <c:showBubbleSize val="0"/>
        </c:dLbls>
        <c:axId val="355039328"/>
        <c:axId val="751178384"/>
      </c:scatterChart>
      <c:valAx>
        <c:axId val="355039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a:t>
                </a:r>
                <a:r>
                  <a:rPr lang="en-US" baseline="0"/>
                  <a:t> Spreadsheet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178384"/>
        <c:crosses val="autoZero"/>
        <c:crossBetween val="midCat"/>
      </c:valAx>
      <c:valAx>
        <c:axId val="7511783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503932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Yield</a:t>
            </a:r>
          </a:p>
        </c:rich>
      </c:tx>
      <c:overlay val="0"/>
      <c:spPr>
        <a:noFill/>
        <a:ln>
          <a:noFill/>
        </a:ln>
        <a:effectLst/>
      </c:spPr>
    </c:title>
    <c:autoTitleDeleted val="0"/>
    <c:plotArea>
      <c:layout/>
      <c:scatterChart>
        <c:scatterStyle val="lineMarker"/>
        <c:varyColors val="0"/>
        <c:ser>
          <c:idx val="0"/>
          <c:order val="0"/>
          <c:tx>
            <c:v>Fiber</c:v>
          </c:tx>
          <c:spPr>
            <a:ln w="25400" cap="rnd">
              <a:noFill/>
              <a:round/>
            </a:ln>
            <a:effectLst/>
          </c:spPr>
          <c:marker>
            <c:symbol val="circle"/>
            <c:size val="5"/>
            <c:spPr>
              <a:solidFill>
                <a:schemeClr val="accent1"/>
              </a:solidFill>
              <a:ln w="9525">
                <a:solidFill>
                  <a:schemeClr val="accent1"/>
                </a:solidFill>
              </a:ln>
              <a:effectLst/>
            </c:spPr>
          </c:marker>
          <c:xVal>
            <c:numRef>
              <c:f>'Yield Reduced'!$G$3:$G$123</c:f>
              <c:numCache>
                <c:formatCode>0</c:formatCode>
                <c:ptCount val="121"/>
                <c:pt idx="0">
                  <c:v>504.98316440630566</c:v>
                </c:pt>
                <c:pt idx="1">
                  <c:v>1478.0394289010023</c:v>
                </c:pt>
                <c:pt idx="2">
                  <c:v>1375.6879827604139</c:v>
                </c:pt>
                <c:pt idx="3">
                  <c:v>1251.8570748743462</c:v>
                </c:pt>
                <c:pt idx="4">
                  <c:v>1374.8667660909473</c:v>
                </c:pt>
                <c:pt idx="5">
                  <c:v>1242.8976934873872</c:v>
                </c:pt>
                <c:pt idx="6">
                  <c:v>921.19503283959568</c:v>
                </c:pt>
                <c:pt idx="7">
                  <c:v>719.29361861788743</c:v>
                </c:pt>
                <c:pt idx="8">
                  <c:v>1117.1174700557681</c:v>
                </c:pt>
                <c:pt idx="9">
                  <c:v>1438.5552424922234</c:v>
                </c:pt>
                <c:pt idx="10">
                  <c:v>860.43015400789648</c:v>
                </c:pt>
                <c:pt idx="11">
                  <c:v>1166.8533588792097</c:v>
                </c:pt>
                <c:pt idx="12">
                  <c:v>1594.7256733450504</c:v>
                </c:pt>
                <c:pt idx="13">
                  <c:v>1467.1569194095248</c:v>
                </c:pt>
                <c:pt idx="14">
                  <c:v>1412.4657260801625</c:v>
                </c:pt>
                <c:pt idx="15">
                  <c:v>2312.1936000700548</c:v>
                </c:pt>
                <c:pt idx="16">
                  <c:v>1409.5384627516698</c:v>
                </c:pt>
                <c:pt idx="17">
                  <c:v>1473.1419585340836</c:v>
                </c:pt>
                <c:pt idx="18">
                  <c:v>1186.4888496897527</c:v>
                </c:pt>
                <c:pt idx="19">
                  <c:v>1544.8217853086537</c:v>
                </c:pt>
                <c:pt idx="20">
                  <c:v>1077.522577187219</c:v>
                </c:pt>
                <c:pt idx="21">
                  <c:v>575.84765036112901</c:v>
                </c:pt>
                <c:pt idx="22">
                  <c:v>2295.4877573170179</c:v>
                </c:pt>
                <c:pt idx="23">
                  <c:v>1880.7833971766117</c:v>
                </c:pt>
                <c:pt idx="24">
                  <c:v>2229.5328327923744</c:v>
                </c:pt>
                <c:pt idx="25">
                  <c:v>2137.757699506074</c:v>
                </c:pt>
                <c:pt idx="26">
                  <c:v>2321.7365352039474</c:v>
                </c:pt>
                <c:pt idx="27">
                  <c:v>2101.7883217009762</c:v>
                </c:pt>
                <c:pt idx="28">
                  <c:v>2081.3786150778192</c:v>
                </c:pt>
                <c:pt idx="29">
                  <c:v>2083.492627117957</c:v>
                </c:pt>
                <c:pt idx="30">
                  <c:v>2019.936874316837</c:v>
                </c:pt>
                <c:pt idx="31">
                  <c:v>1827.094345013963</c:v>
                </c:pt>
                <c:pt idx="32">
                  <c:v>1690.442265238004</c:v>
                </c:pt>
                <c:pt idx="33">
                  <c:v>1560.5200005786185</c:v>
                </c:pt>
                <c:pt idx="34">
                  <c:v>1606.6398436191373</c:v>
                </c:pt>
                <c:pt idx="35">
                  <c:v>1908.3760002665799</c:v>
                </c:pt>
                <c:pt idx="36">
                  <c:v>1522.0003896655999</c:v>
                </c:pt>
                <c:pt idx="37">
                  <c:v>1861.2067002463687</c:v>
                </c:pt>
                <c:pt idx="38">
                  <c:v>1689.422803980865</c:v>
                </c:pt>
                <c:pt idx="39">
                  <c:v>1598.9547373943958</c:v>
                </c:pt>
                <c:pt idx="40">
                  <c:v>1511.9707058023721</c:v>
                </c:pt>
                <c:pt idx="41">
                  <c:v>1464.2796231541126</c:v>
                </c:pt>
                <c:pt idx="42">
                  <c:v>1189.2337316357093</c:v>
                </c:pt>
                <c:pt idx="43">
                  <c:v>1193.6533766681105</c:v>
                </c:pt>
                <c:pt idx="44">
                  <c:v>1465.450676297786</c:v>
                </c:pt>
                <c:pt idx="45">
                  <c:v>1520.7221494151618</c:v>
                </c:pt>
                <c:pt idx="46">
                  <c:v>1773.8174930974462</c:v>
                </c:pt>
                <c:pt idx="47">
                  <c:v>1978.2982447630002</c:v>
                </c:pt>
                <c:pt idx="48">
                  <c:v>1743.5331865158778</c:v>
                </c:pt>
                <c:pt idx="49">
                  <c:v>1592.866852759978</c:v>
                </c:pt>
                <c:pt idx="50">
                  <c:v>1579.4844231563418</c:v>
                </c:pt>
                <c:pt idx="51">
                  <c:v>1881.9914261214974</c:v>
                </c:pt>
                <c:pt idx="52">
                  <c:v>1790.016478571074</c:v>
                </c:pt>
                <c:pt idx="53">
                  <c:v>1272.0926535121782</c:v>
                </c:pt>
                <c:pt idx="54">
                  <c:v>1203.073423968217</c:v>
                </c:pt>
                <c:pt idx="55">
                  <c:v>519.55774715341829</c:v>
                </c:pt>
                <c:pt idx="56">
                  <c:v>574.40826154970864</c:v>
                </c:pt>
                <c:pt idx="57">
                  <c:v>657.5685072252511</c:v>
                </c:pt>
                <c:pt idx="58">
                  <c:v>870.959037289756</c:v>
                </c:pt>
                <c:pt idx="59">
                  <c:v>686.36542440026028</c:v>
                </c:pt>
                <c:pt idx="60">
                  <c:v>746.53002454191312</c:v>
                </c:pt>
                <c:pt idx="61">
                  <c:v>800.48151873755239</c:v>
                </c:pt>
                <c:pt idx="62">
                  <c:v>932.14732263756548</c:v>
                </c:pt>
                <c:pt idx="63">
                  <c:v>708.307426131645</c:v>
                </c:pt>
                <c:pt idx="64">
                  <c:v>706.85204741375787</c:v>
                </c:pt>
                <c:pt idx="65">
                  <c:v>833.16716825465471</c:v>
                </c:pt>
                <c:pt idx="66">
                  <c:v>1434.7963068925774</c:v>
                </c:pt>
                <c:pt idx="67">
                  <c:v>1563.5280202980218</c:v>
                </c:pt>
                <c:pt idx="68">
                  <c:v>1937.9382391829035</c:v>
                </c:pt>
                <c:pt idx="69">
                  <c:v>2052.8419941397724</c:v>
                </c:pt>
                <c:pt idx="70">
                  <c:v>1996.2051266114074</c:v>
                </c:pt>
                <c:pt idx="71">
                  <c:v>1732.9866374883773</c:v>
                </c:pt>
                <c:pt idx="72">
                  <c:v>2193.0086265154237</c:v>
                </c:pt>
                <c:pt idx="73">
                  <c:v>2209.2456226673162</c:v>
                </c:pt>
                <c:pt idx="74">
                  <c:v>1863.5803016666466</c:v>
                </c:pt>
                <c:pt idx="75">
                  <c:v>1630.4741748138561</c:v>
                </c:pt>
                <c:pt idx="76">
                  <c:v>1657.0720540465406</c:v>
                </c:pt>
                <c:pt idx="77">
                  <c:v>1294.0202933283172</c:v>
                </c:pt>
                <c:pt idx="78">
                  <c:v>1625.9084403167446</c:v>
                </c:pt>
                <c:pt idx="79">
                  <c:v>1689.5242066808075</c:v>
                </c:pt>
                <c:pt idx="80">
                  <c:v>1667.4516620376282</c:v>
                </c:pt>
                <c:pt idx="81">
                  <c:v>1728.8385119560387</c:v>
                </c:pt>
                <c:pt idx="82">
                  <c:v>1655.3937956701584</c:v>
                </c:pt>
                <c:pt idx="83">
                  <c:v>1336.9204823464111</c:v>
                </c:pt>
                <c:pt idx="84">
                  <c:v>1885.7203543447947</c:v>
                </c:pt>
                <c:pt idx="85">
                  <c:v>1711.7814915041415</c:v>
                </c:pt>
                <c:pt idx="86">
                  <c:v>1448.9039442609285</c:v>
                </c:pt>
                <c:pt idx="87">
                  <c:v>1453.8040390614815</c:v>
                </c:pt>
                <c:pt idx="88">
                  <c:v>1210.9558285408432</c:v>
                </c:pt>
                <c:pt idx="89">
                  <c:v>1342.8780384542631</c:v>
                </c:pt>
                <c:pt idx="90">
                  <c:v>1783.6543257916776</c:v>
                </c:pt>
                <c:pt idx="91">
                  <c:v>1914.9622004946571</c:v>
                </c:pt>
                <c:pt idx="92">
                  <c:v>1588.3789123421172</c:v>
                </c:pt>
                <c:pt idx="93">
                  <c:v>1261.6061705052509</c:v>
                </c:pt>
                <c:pt idx="94">
                  <c:v>1670.3465164897154</c:v>
                </c:pt>
                <c:pt idx="95">
                  <c:v>1806.0961763738305</c:v>
                </c:pt>
                <c:pt idx="96">
                  <c:v>1395.4217665125284</c:v>
                </c:pt>
                <c:pt idx="97">
                  <c:v>1262.1317473063805</c:v>
                </c:pt>
                <c:pt idx="98">
                  <c:v>1246.2136415416267</c:v>
                </c:pt>
                <c:pt idx="99">
                  <c:v>1236.6128176798286</c:v>
                </c:pt>
                <c:pt idx="100">
                  <c:v>1144.1821610641859</c:v>
                </c:pt>
                <c:pt idx="101">
                  <c:v>1431.1375752081813</c:v>
                </c:pt>
                <c:pt idx="102">
                  <c:v>1611.017017575429</c:v>
                </c:pt>
                <c:pt idx="103">
                  <c:v>1408.4801068134282</c:v>
                </c:pt>
                <c:pt idx="104">
                  <c:v>1328.4608667894806</c:v>
                </c:pt>
                <c:pt idx="105">
                  <c:v>1583.1985200548902</c:v>
                </c:pt>
                <c:pt idx="106">
                  <c:v>1580.1258643711344</c:v>
                </c:pt>
                <c:pt idx="107">
                  <c:v>1385.7812677274342</c:v>
                </c:pt>
                <c:pt idx="108">
                  <c:v>1012.3816168351444</c:v>
                </c:pt>
                <c:pt idx="109">
                  <c:v>950.71176452055829</c:v>
                </c:pt>
                <c:pt idx="110">
                  <c:v>1481.9113021459634</c:v>
                </c:pt>
                <c:pt idx="111">
                  <c:v>869.35086562048571</c:v>
                </c:pt>
                <c:pt idx="112">
                  <c:v>1286.5520214925953</c:v>
                </c:pt>
                <c:pt idx="113">
                  <c:v>1824.7253431254633</c:v>
                </c:pt>
                <c:pt idx="114">
                  <c:v>1541.7592177472495</c:v>
                </c:pt>
                <c:pt idx="115">
                  <c:v>1245.8509737916991</c:v>
                </c:pt>
                <c:pt idx="116">
                  <c:v>1494.2327561728239</c:v>
                </c:pt>
                <c:pt idx="117">
                  <c:v>1586.4885758658459</c:v>
                </c:pt>
                <c:pt idx="118">
                  <c:v>1115.0854569758517</c:v>
                </c:pt>
                <c:pt idx="119">
                  <c:v>1054.6557713334878</c:v>
                </c:pt>
                <c:pt idx="120">
                  <c:v>1277.945844856406</c:v>
                </c:pt>
              </c:numCache>
            </c:numRef>
          </c:xVal>
          <c:yVal>
            <c:numRef>
              <c:f>'Yield Reduced'!$M$3:$M$123</c:f>
              <c:numCache>
                <c:formatCode>0</c:formatCode>
                <c:ptCount val="121"/>
                <c:pt idx="0">
                  <c:v>561.53116579532855</c:v>
                </c:pt>
                <c:pt idx="1">
                  <c:v>1697.1333345976936</c:v>
                </c:pt>
                <c:pt idx="2">
                  <c:v>1725.7950651443766</c:v>
                </c:pt>
                <c:pt idx="3">
                  <c:v>1758.9314029482844</c:v>
                </c:pt>
                <c:pt idx="4">
                  <c:v>1661.0375779257595</c:v>
                </c:pt>
                <c:pt idx="5">
                  <c:v>1500.1503033824984</c:v>
                </c:pt>
                <c:pt idx="6">
                  <c:v>1140.9341210593489</c:v>
                </c:pt>
                <c:pt idx="7">
                  <c:v>948.78222297694083</c:v>
                </c:pt>
                <c:pt idx="8">
                  <c:v>1209.6208187132054</c:v>
                </c:pt>
                <c:pt idx="9">
                  <c:v>1777.6506516650659</c:v>
                </c:pt>
                <c:pt idx="10">
                  <c:v>981.72794977418346</c:v>
                </c:pt>
                <c:pt idx="11">
                  <c:v>1452.6220931502901</c:v>
                </c:pt>
                <c:pt idx="12">
                  <c:v>1683.8460210799831</c:v>
                </c:pt>
                <c:pt idx="13">
                  <c:v>1559.7300978074816</c:v>
                </c:pt>
                <c:pt idx="14">
                  <c:v>1546.0679533990992</c:v>
                </c:pt>
                <c:pt idx="15">
                  <c:v>1810.9636628759254</c:v>
                </c:pt>
                <c:pt idx="16">
                  <c:v>1521.1156815867414</c:v>
                </c:pt>
                <c:pt idx="17">
                  <c:v>1607.0168965494615</c:v>
                </c:pt>
                <c:pt idx="18">
                  <c:v>1376.3733421507523</c:v>
                </c:pt>
                <c:pt idx="19">
                  <c:v>1674.5535936995434</c:v>
                </c:pt>
                <c:pt idx="20">
                  <c:v>1076.6371731578699</c:v>
                </c:pt>
                <c:pt idx="21">
                  <c:v>645.17082512456386</c:v>
                </c:pt>
                <c:pt idx="22">
                  <c:v>2469.3311129798976</c:v>
                </c:pt>
                <c:pt idx="23">
                  <c:v>2186.6232360277336</c:v>
                </c:pt>
                <c:pt idx="24">
                  <c:v>2460.4670795007846</c:v>
                </c:pt>
                <c:pt idx="25">
                  <c:v>2370.5048388463829</c:v>
                </c:pt>
                <c:pt idx="26">
                  <c:v>2439.6837212105502</c:v>
                </c:pt>
                <c:pt idx="27">
                  <c:v>2388.80168711448</c:v>
                </c:pt>
                <c:pt idx="28">
                  <c:v>2215.7227151864195</c:v>
                </c:pt>
                <c:pt idx="29">
                  <c:v>2367.0795976109139</c:v>
                </c:pt>
                <c:pt idx="30">
                  <c:v>2145.2361564215144</c:v>
                </c:pt>
                <c:pt idx="31">
                  <c:v>2201.8749284279675</c:v>
                </c:pt>
                <c:pt idx="32">
                  <c:v>1772.2015376075526</c:v>
                </c:pt>
                <c:pt idx="33">
                  <c:v>1818.8850041587609</c:v>
                </c:pt>
                <c:pt idx="34">
                  <c:v>1756.6915335381825</c:v>
                </c:pt>
                <c:pt idx="35">
                  <c:v>2097.6108900077875</c:v>
                </c:pt>
                <c:pt idx="36">
                  <c:v>1786.8707614773814</c:v>
                </c:pt>
                <c:pt idx="37">
                  <c:v>1988.9998345314252</c:v>
                </c:pt>
                <c:pt idx="38">
                  <c:v>1938.1513120856596</c:v>
                </c:pt>
                <c:pt idx="39">
                  <c:v>1817.9727249951966</c:v>
                </c:pt>
                <c:pt idx="40">
                  <c:v>1670.0753506472918</c:v>
                </c:pt>
                <c:pt idx="41">
                  <c:v>1642.9016848305216</c:v>
                </c:pt>
                <c:pt idx="42">
                  <c:v>1408.733977937419</c:v>
                </c:pt>
                <c:pt idx="43">
                  <c:v>1296.7068848832298</c:v>
                </c:pt>
                <c:pt idx="44">
                  <c:v>1705.871347929593</c:v>
                </c:pt>
                <c:pt idx="45">
                  <c:v>1749.9651038651107</c:v>
                </c:pt>
                <c:pt idx="46">
                  <c:v>2014.8029432748087</c:v>
                </c:pt>
                <c:pt idx="47">
                  <c:v>2479.7556429488063</c:v>
                </c:pt>
                <c:pt idx="48">
                  <c:v>2049.4417898701086</c:v>
                </c:pt>
                <c:pt idx="49">
                  <c:v>1971.7549618458695</c:v>
                </c:pt>
                <c:pt idx="50">
                  <c:v>1976.9469875711027</c:v>
                </c:pt>
                <c:pt idx="51">
                  <c:v>2100.8895590162056</c:v>
                </c:pt>
                <c:pt idx="52">
                  <c:v>1911.0570109701316</c:v>
                </c:pt>
                <c:pt idx="53">
                  <c:v>1459.3646439441707</c:v>
                </c:pt>
                <c:pt idx="56">
                  <c:v>720.42612988086864</c:v>
                </c:pt>
                <c:pt idx="57">
                  <c:v>790.34842594710699</c:v>
                </c:pt>
                <c:pt idx="58">
                  <c:v>994.5574317124632</c:v>
                </c:pt>
                <c:pt idx="59">
                  <c:v>828.73441069537284</c:v>
                </c:pt>
                <c:pt idx="60">
                  <c:v>849.59548592046167</c:v>
                </c:pt>
                <c:pt idx="61">
                  <c:v>905.93892027653658</c:v>
                </c:pt>
                <c:pt idx="62">
                  <c:v>984.85314084533184</c:v>
                </c:pt>
                <c:pt idx="63">
                  <c:v>864.48364438082785</c:v>
                </c:pt>
                <c:pt idx="64">
                  <c:v>795.1573470911195</c:v>
                </c:pt>
                <c:pt idx="65">
                  <c:v>900.7457899436987</c:v>
                </c:pt>
                <c:pt idx="66">
                  <c:v>1546.671149827811</c:v>
                </c:pt>
                <c:pt idx="67">
                  <c:v>1873.3955429867717</c:v>
                </c:pt>
                <c:pt idx="68">
                  <c:v>2121.4079810727471</c:v>
                </c:pt>
                <c:pt idx="69">
                  <c:v>2259.817433262288</c:v>
                </c:pt>
                <c:pt idx="70">
                  <c:v>2261.6588955962557</c:v>
                </c:pt>
                <c:pt idx="71">
                  <c:v>2095.0707627601068</c:v>
                </c:pt>
                <c:pt idx="72">
                  <c:v>2411.1439203567766</c:v>
                </c:pt>
                <c:pt idx="73">
                  <c:v>2303.9005536436562</c:v>
                </c:pt>
                <c:pt idx="74">
                  <c:v>2170.1380330073362</c:v>
                </c:pt>
                <c:pt idx="75">
                  <c:v>1900.5805566825156</c:v>
                </c:pt>
                <c:pt idx="76">
                  <c:v>2022.4495614380035</c:v>
                </c:pt>
                <c:pt idx="77">
                  <c:v>1489.5136622377415</c:v>
                </c:pt>
                <c:pt idx="78">
                  <c:v>1812.7778656881005</c:v>
                </c:pt>
                <c:pt idx="79">
                  <c:v>1881.0822698627053</c:v>
                </c:pt>
                <c:pt idx="80">
                  <c:v>1838.0004437728276</c:v>
                </c:pt>
                <c:pt idx="81">
                  <c:v>2082.654067421809</c:v>
                </c:pt>
                <c:pt idx="82">
                  <c:v>1731.441628831046</c:v>
                </c:pt>
                <c:pt idx="83">
                  <c:v>1533.2509469403683</c:v>
                </c:pt>
                <c:pt idx="84">
                  <c:v>2162.5649158249385</c:v>
                </c:pt>
                <c:pt idx="85">
                  <c:v>1974.4975403404017</c:v>
                </c:pt>
                <c:pt idx="86">
                  <c:v>1416.0577176817051</c:v>
                </c:pt>
                <c:pt idx="87">
                  <c:v>1696.2780115940116</c:v>
                </c:pt>
                <c:pt idx="88">
                  <c:v>1411.0503970289199</c:v>
                </c:pt>
                <c:pt idx="89">
                  <c:v>1473.9675435076974</c:v>
                </c:pt>
                <c:pt idx="90">
                  <c:v>2042.5631441688029</c:v>
                </c:pt>
                <c:pt idx="91">
                  <c:v>2220.7302302314897</c:v>
                </c:pt>
                <c:pt idx="92">
                  <c:v>1790.8314740395372</c:v>
                </c:pt>
                <c:pt idx="93">
                  <c:v>1352.1493763510159</c:v>
                </c:pt>
                <c:pt idx="94">
                  <c:v>1875.728636388923</c:v>
                </c:pt>
                <c:pt idx="95">
                  <c:v>2067.8925445551349</c:v>
                </c:pt>
                <c:pt idx="96">
                  <c:v>1628.4683215096532</c:v>
                </c:pt>
                <c:pt idx="97">
                  <c:v>1468.5942035166988</c:v>
                </c:pt>
                <c:pt idx="98">
                  <c:v>1353.3031432051805</c:v>
                </c:pt>
                <c:pt idx="99">
                  <c:v>1473.5687163898262</c:v>
                </c:pt>
                <c:pt idx="100">
                  <c:v>1189.4120488649578</c:v>
                </c:pt>
                <c:pt idx="101">
                  <c:v>1635.6075420448567</c:v>
                </c:pt>
                <c:pt idx="102">
                  <c:v>1773.443362340367</c:v>
                </c:pt>
                <c:pt idx="103">
                  <c:v>1596.9405187774269</c:v>
                </c:pt>
                <c:pt idx="104">
                  <c:v>1441.1811649210088</c:v>
                </c:pt>
                <c:pt idx="105">
                  <c:v>2008.1408995281088</c:v>
                </c:pt>
                <c:pt idx="106">
                  <c:v>1810.8855524776729</c:v>
                </c:pt>
                <c:pt idx="107">
                  <c:v>1580.4702187325472</c:v>
                </c:pt>
                <c:pt idx="108">
                  <c:v>1191.0502508832744</c:v>
                </c:pt>
                <c:pt idx="109">
                  <c:v>1038.3926278539284</c:v>
                </c:pt>
                <c:pt idx="110">
                  <c:v>1707.0214589642226</c:v>
                </c:pt>
                <c:pt idx="111">
                  <c:v>1003.6943389028409</c:v>
                </c:pt>
                <c:pt idx="112">
                  <c:v>1604.5856542925137</c:v>
                </c:pt>
                <c:pt idx="113">
                  <c:v>1967.5455743892353</c:v>
                </c:pt>
                <c:pt idx="114">
                  <c:v>1718.7668586433419</c:v>
                </c:pt>
                <c:pt idx="115">
                  <c:v>1368.3489895907308</c:v>
                </c:pt>
                <c:pt idx="116">
                  <c:v>1611.3516207481878</c:v>
                </c:pt>
                <c:pt idx="117">
                  <c:v>1752.0716033963092</c:v>
                </c:pt>
                <c:pt idx="118">
                  <c:v>1354.312162585448</c:v>
                </c:pt>
                <c:pt idx="119">
                  <c:v>1238.9224265337818</c:v>
                </c:pt>
                <c:pt idx="120">
                  <c:v>1387.2033848301398</c:v>
                </c:pt>
              </c:numCache>
            </c:numRef>
          </c:yVal>
          <c:smooth val="0"/>
          <c:extLst>
            <c:ext xmlns:c16="http://schemas.microsoft.com/office/drawing/2014/chart" uri="{C3380CC4-5D6E-409C-BE32-E72D297353CC}">
              <c16:uniqueId val="{00000000-C3BE-417D-A679-09B7C2CBAD09}"/>
            </c:ext>
          </c:extLst>
        </c:ser>
        <c:ser>
          <c:idx val="1"/>
          <c:order val="1"/>
          <c:tx>
            <c:v>Seed</c:v>
          </c:tx>
          <c:spPr>
            <a:ln w="25400" cap="rnd">
              <a:noFill/>
              <a:round/>
            </a:ln>
            <a:effectLst/>
          </c:spPr>
          <c:marker>
            <c:symbol val="circle"/>
            <c:size val="5"/>
            <c:spPr>
              <a:solidFill>
                <a:schemeClr val="accent2"/>
              </a:solidFill>
              <a:ln w="9525">
                <a:solidFill>
                  <a:schemeClr val="accent2"/>
                </a:solidFill>
              </a:ln>
              <a:effectLst/>
            </c:spPr>
          </c:marker>
          <c:xVal>
            <c:numRef>
              <c:f>'Yield Reduced'!$H$3:$H$123</c:f>
              <c:numCache>
                <c:formatCode>0</c:formatCode>
                <c:ptCount val="121"/>
                <c:pt idx="0">
                  <c:v>772.29549049544937</c:v>
                </c:pt>
                <c:pt idx="1">
                  <c:v>2361.6265035505789</c:v>
                </c:pt>
                <c:pt idx="2">
                  <c:v>2381.3937118862236</c:v>
                </c:pt>
                <c:pt idx="3">
                  <c:v>2419.5444638179724</c:v>
                </c:pt>
                <c:pt idx="4">
                  <c:v>2156.9202573730981</c:v>
                </c:pt>
                <c:pt idx="5">
                  <c:v>2048.0015508502233</c:v>
                </c:pt>
                <c:pt idx="6">
                  <c:v>1425.203497292569</c:v>
                </c:pt>
                <c:pt idx="7">
                  <c:v>1257.3252453440673</c:v>
                </c:pt>
                <c:pt idx="8">
                  <c:v>1638.3688954063418</c:v>
                </c:pt>
                <c:pt idx="9">
                  <c:v>2280.3062874876732</c:v>
                </c:pt>
                <c:pt idx="10">
                  <c:v>1287.8962528840241</c:v>
                </c:pt>
                <c:pt idx="11">
                  <c:v>1892.636148102079</c:v>
                </c:pt>
                <c:pt idx="12">
                  <c:v>2338.8309734195036</c:v>
                </c:pt>
                <c:pt idx="13">
                  <c:v>2145.1493912391124</c:v>
                </c:pt>
                <c:pt idx="14">
                  <c:v>2024.0633854728735</c:v>
                </c:pt>
                <c:pt idx="15">
                  <c:v>3694.4465624477007</c:v>
                </c:pt>
                <c:pt idx="16">
                  <c:v>1983.6966512478812</c:v>
                </c:pt>
                <c:pt idx="17">
                  <c:v>2247.8233835769365</c:v>
                </c:pt>
                <c:pt idx="18">
                  <c:v>1774.9873191358702</c:v>
                </c:pt>
                <c:pt idx="19">
                  <c:v>2116.405845872855</c:v>
                </c:pt>
                <c:pt idx="20">
                  <c:v>1552.1684015965095</c:v>
                </c:pt>
                <c:pt idx="21">
                  <c:v>880.67202024279413</c:v>
                </c:pt>
                <c:pt idx="22">
                  <c:v>3381.2621946182994</c:v>
                </c:pt>
                <c:pt idx="23">
                  <c:v>3024.954469171264</c:v>
                </c:pt>
                <c:pt idx="24">
                  <c:v>3390.9244605207214</c:v>
                </c:pt>
                <c:pt idx="25">
                  <c:v>3515.334392038209</c:v>
                </c:pt>
                <c:pt idx="26">
                  <c:v>3475.1871141950451</c:v>
                </c:pt>
                <c:pt idx="27">
                  <c:v>3207.0561221062871</c:v>
                </c:pt>
                <c:pt idx="28">
                  <c:v>3114.6740376608573</c:v>
                </c:pt>
                <c:pt idx="29">
                  <c:v>3274.2675479899781</c:v>
                </c:pt>
                <c:pt idx="30">
                  <c:v>2969.5960103497309</c:v>
                </c:pt>
                <c:pt idx="31">
                  <c:v>2963.5470276126489</c:v>
                </c:pt>
                <c:pt idx="32">
                  <c:v>2485.1918247569643</c:v>
                </c:pt>
                <c:pt idx="33">
                  <c:v>2422.5479227454925</c:v>
                </c:pt>
                <c:pt idx="34">
                  <c:v>2404.2523414726879</c:v>
                </c:pt>
                <c:pt idx="35">
                  <c:v>2962.5588352273367</c:v>
                </c:pt>
                <c:pt idx="36">
                  <c:v>2232.1717850316741</c:v>
                </c:pt>
                <c:pt idx="37">
                  <c:v>2830.7326239488498</c:v>
                </c:pt>
                <c:pt idx="38">
                  <c:v>2528.1327040033375</c:v>
                </c:pt>
                <c:pt idx="39">
                  <c:v>2435.4138178479816</c:v>
                </c:pt>
                <c:pt idx="40">
                  <c:v>2262.5849371909389</c:v>
                </c:pt>
                <c:pt idx="41">
                  <c:v>2227.041251945418</c:v>
                </c:pt>
                <c:pt idx="42">
                  <c:v>1811.3560033576694</c:v>
                </c:pt>
                <c:pt idx="43">
                  <c:v>1786.6664759393282</c:v>
                </c:pt>
                <c:pt idx="44">
                  <c:v>2236.0874853763012</c:v>
                </c:pt>
                <c:pt idx="45">
                  <c:v>2396.8320504659491</c:v>
                </c:pt>
                <c:pt idx="46">
                  <c:v>2795.739261618683</c:v>
                </c:pt>
                <c:pt idx="47">
                  <c:v>3222.8458369267705</c:v>
                </c:pt>
                <c:pt idx="48">
                  <c:v>2785.1967835716887</c:v>
                </c:pt>
                <c:pt idx="49">
                  <c:v>2583.6300351766845</c:v>
                </c:pt>
                <c:pt idx="50">
                  <c:v>2363.6156776362668</c:v>
                </c:pt>
                <c:pt idx="51">
                  <c:v>2772.1805265379007</c:v>
                </c:pt>
                <c:pt idx="52">
                  <c:v>2726.4254354013565</c:v>
                </c:pt>
                <c:pt idx="53">
                  <c:v>1968.0858385408053</c:v>
                </c:pt>
                <c:pt idx="54">
                  <c:v>1760.3794953652584</c:v>
                </c:pt>
                <c:pt idx="55">
                  <c:v>823.56990023848539</c:v>
                </c:pt>
                <c:pt idx="56">
                  <c:v>967.87792071125921</c:v>
                </c:pt>
                <c:pt idx="57">
                  <c:v>1066.5761187193575</c:v>
                </c:pt>
                <c:pt idx="58">
                  <c:v>1282.9259735591311</c:v>
                </c:pt>
                <c:pt idx="59">
                  <c:v>1113.2847183772224</c:v>
                </c:pt>
                <c:pt idx="60">
                  <c:v>1097.5058729177995</c:v>
                </c:pt>
                <c:pt idx="61">
                  <c:v>1242.6658035108717</c:v>
                </c:pt>
                <c:pt idx="62">
                  <c:v>1395.2428774942471</c:v>
                </c:pt>
                <c:pt idx="63">
                  <c:v>1099.5749386128909</c:v>
                </c:pt>
                <c:pt idx="64">
                  <c:v>1097.3156117932936</c:v>
                </c:pt>
                <c:pt idx="65">
                  <c:v>1200.175086064876</c:v>
                </c:pt>
                <c:pt idx="66">
                  <c:v>2227.374728639631</c:v>
                </c:pt>
                <c:pt idx="67">
                  <c:v>2602.1771847588757</c:v>
                </c:pt>
                <c:pt idx="68">
                  <c:v>2998.2319243588527</c:v>
                </c:pt>
                <c:pt idx="69">
                  <c:v>3176.0023503584162</c:v>
                </c:pt>
                <c:pt idx="70">
                  <c:v>3210.5927924451671</c:v>
                </c:pt>
                <c:pt idx="71">
                  <c:v>2823.208676883924</c:v>
                </c:pt>
                <c:pt idx="72">
                  <c:v>3281.7225006025656</c:v>
                </c:pt>
                <c:pt idx="73">
                  <c:v>3306.8101412767969</c:v>
                </c:pt>
                <c:pt idx="74">
                  <c:v>2838.4726041364984</c:v>
                </c:pt>
                <c:pt idx="75">
                  <c:v>2483.4219769452411</c:v>
                </c:pt>
                <c:pt idx="76">
                  <c:v>2757.8623705890031</c:v>
                </c:pt>
                <c:pt idx="77">
                  <c:v>2002.0106295343048</c:v>
                </c:pt>
                <c:pt idx="78">
                  <c:v>2480.9252024400375</c:v>
                </c:pt>
                <c:pt idx="79">
                  <c:v>2678.1263294987398</c:v>
                </c:pt>
                <c:pt idx="80">
                  <c:v>2363.0412536025265</c:v>
                </c:pt>
                <c:pt idx="81">
                  <c:v>2804.1760663926962</c:v>
                </c:pt>
                <c:pt idx="82">
                  <c:v>2345.9533605586348</c:v>
                </c:pt>
                <c:pt idx="83">
                  <c:v>2084.2590319780547</c:v>
                </c:pt>
                <c:pt idx="84">
                  <c:v>3058.6384147472581</c:v>
                </c:pt>
                <c:pt idx="85">
                  <c:v>2814.8579935552566</c:v>
                </c:pt>
                <c:pt idx="86">
                  <c:v>2283.6383444448948</c:v>
                </c:pt>
                <c:pt idx="87">
                  <c:v>2390.6391912318613</c:v>
                </c:pt>
                <c:pt idx="88">
                  <c:v>1964.1703538932484</c:v>
                </c:pt>
                <c:pt idx="89">
                  <c:v>2009.5466205998521</c:v>
                </c:pt>
                <c:pt idx="90">
                  <c:v>2868.7371083558864</c:v>
                </c:pt>
                <c:pt idx="91">
                  <c:v>3079.9258837440702</c:v>
                </c:pt>
                <c:pt idx="92">
                  <c:v>2517.7972411067421</c:v>
                </c:pt>
                <c:pt idx="93">
                  <c:v>1887.9275286868099</c:v>
                </c:pt>
                <c:pt idx="94">
                  <c:v>2584.2341872528573</c:v>
                </c:pt>
                <c:pt idx="95">
                  <c:v>2831.0660888239672</c:v>
                </c:pt>
                <c:pt idx="96">
                  <c:v>2125.4069126612176</c:v>
                </c:pt>
                <c:pt idx="97">
                  <c:v>1925.8491948550793</c:v>
                </c:pt>
                <c:pt idx="98">
                  <c:v>1864.3356077462738</c:v>
                </c:pt>
                <c:pt idx="99">
                  <c:v>1927.8793827628526</c:v>
                </c:pt>
                <c:pt idx="100">
                  <c:v>1711.6965129520224</c:v>
                </c:pt>
                <c:pt idx="101">
                  <c:v>2268.5482730251974</c:v>
                </c:pt>
                <c:pt idx="102">
                  <c:v>2390.1061963470765</c:v>
                </c:pt>
                <c:pt idx="103">
                  <c:v>2186.5215157281282</c:v>
                </c:pt>
                <c:pt idx="104">
                  <c:v>1987.9720786325718</c:v>
                </c:pt>
                <c:pt idx="105">
                  <c:v>2797.4395551648063</c:v>
                </c:pt>
                <c:pt idx="106">
                  <c:v>2416.5638886273596</c:v>
                </c:pt>
                <c:pt idx="107">
                  <c:v>2114.5223106809958</c:v>
                </c:pt>
                <c:pt idx="108">
                  <c:v>1604.7629580124346</c:v>
                </c:pt>
                <c:pt idx="109">
                  <c:v>1445.9494517422934</c:v>
                </c:pt>
                <c:pt idx="110">
                  <c:v>2429.7241372713574</c:v>
                </c:pt>
                <c:pt idx="111">
                  <c:v>1387.9924172553322</c:v>
                </c:pt>
                <c:pt idx="112">
                  <c:v>2227.0943210896371</c:v>
                </c:pt>
                <c:pt idx="113">
                  <c:v>2875.975856196063</c:v>
                </c:pt>
                <c:pt idx="114">
                  <c:v>2479.6855624691548</c:v>
                </c:pt>
                <c:pt idx="115">
                  <c:v>1942.2816681412587</c:v>
                </c:pt>
                <c:pt idx="116">
                  <c:v>2385.669373782865</c:v>
                </c:pt>
                <c:pt idx="117">
                  <c:v>2462.861483670958</c:v>
                </c:pt>
                <c:pt idx="118">
                  <c:v>1908.6588599952793</c:v>
                </c:pt>
                <c:pt idx="119">
                  <c:v>1696.2536428818348</c:v>
                </c:pt>
                <c:pt idx="120">
                  <c:v>1994.3824506322233</c:v>
                </c:pt>
              </c:numCache>
            </c:numRef>
          </c:xVal>
          <c:yVal>
            <c:numRef>
              <c:f>'Yield Reduced'!$N$3:$N$123</c:f>
              <c:numCache>
                <c:formatCode>0</c:formatCode>
                <c:ptCount val="121"/>
                <c:pt idx="0">
                  <c:v>762.65149326420146</c:v>
                </c:pt>
                <c:pt idx="1">
                  <c:v>2186.7146831141572</c:v>
                </c:pt>
                <c:pt idx="2">
                  <c:v>2369.5983568651091</c:v>
                </c:pt>
                <c:pt idx="3">
                  <c:v>2326.3217721130145</c:v>
                </c:pt>
                <c:pt idx="4">
                  <c:v>2142.1402865347391</c:v>
                </c:pt>
                <c:pt idx="5">
                  <c:v>2043.5553764127785</c:v>
                </c:pt>
                <c:pt idx="6">
                  <c:v>1525.3040153849547</c:v>
                </c:pt>
                <c:pt idx="7">
                  <c:v>1237.7018952890423</c:v>
                </c:pt>
                <c:pt idx="8">
                  <c:v>1658.219533369888</c:v>
                </c:pt>
                <c:pt idx="9">
                  <c:v>2424.6955286178759</c:v>
                </c:pt>
                <c:pt idx="10">
                  <c:v>1256.8198165708725</c:v>
                </c:pt>
                <c:pt idx="11">
                  <c:v>1960.3327625382699</c:v>
                </c:pt>
                <c:pt idx="12">
                  <c:v>2255.1063748982292</c:v>
                </c:pt>
                <c:pt idx="13">
                  <c:v>2103.7339836738543</c:v>
                </c:pt>
                <c:pt idx="14">
                  <c:v>2093.7339719892416</c:v>
                </c:pt>
                <c:pt idx="15">
                  <c:v>2490.5577026758456</c:v>
                </c:pt>
                <c:pt idx="16">
                  <c:v>1949.3406467306893</c:v>
                </c:pt>
                <c:pt idx="17">
                  <c:v>2141.1468934908121</c:v>
                </c:pt>
                <c:pt idx="18">
                  <c:v>1845.1943182309008</c:v>
                </c:pt>
                <c:pt idx="19">
                  <c:v>2140.5018253651579</c:v>
                </c:pt>
                <c:pt idx="20">
                  <c:v>1439.7263629195027</c:v>
                </c:pt>
                <c:pt idx="21">
                  <c:v>860.6775660464624</c:v>
                </c:pt>
                <c:pt idx="22">
                  <c:v>3367.9749792037637</c:v>
                </c:pt>
                <c:pt idx="23">
                  <c:v>3076.2722729135776</c:v>
                </c:pt>
                <c:pt idx="24">
                  <c:v>3427.1309283121454</c:v>
                </c:pt>
                <c:pt idx="25">
                  <c:v>3341.7711457899272</c:v>
                </c:pt>
                <c:pt idx="26">
                  <c:v>3433.8841193203571</c:v>
                </c:pt>
                <c:pt idx="27">
                  <c:v>3259.9775400650296</c:v>
                </c:pt>
                <c:pt idx="28">
                  <c:v>3073.9733348033815</c:v>
                </c:pt>
                <c:pt idx="29">
                  <c:v>3194.5206058810513</c:v>
                </c:pt>
                <c:pt idx="30">
                  <c:v>2940.3137756156461</c:v>
                </c:pt>
                <c:pt idx="31">
                  <c:v>2933.083594785769</c:v>
                </c:pt>
                <c:pt idx="32">
                  <c:v>2391.7065699100804</c:v>
                </c:pt>
                <c:pt idx="33">
                  <c:v>2355.0734506340941</c:v>
                </c:pt>
                <c:pt idx="34">
                  <c:v>2420.2529477971379</c:v>
                </c:pt>
                <c:pt idx="35">
                  <c:v>2890.7718919638792</c:v>
                </c:pt>
                <c:pt idx="36">
                  <c:v>2411.524741960231</c:v>
                </c:pt>
                <c:pt idx="37">
                  <c:v>2743.1654728338644</c:v>
                </c:pt>
                <c:pt idx="38">
                  <c:v>2493.5466272807612</c:v>
                </c:pt>
                <c:pt idx="39">
                  <c:v>2403.5420952697132</c:v>
                </c:pt>
                <c:pt idx="40">
                  <c:v>2306.3219834850761</c:v>
                </c:pt>
                <c:pt idx="41">
                  <c:v>2223.0555402157879</c:v>
                </c:pt>
                <c:pt idx="42">
                  <c:v>1882.4711286965799</c:v>
                </c:pt>
                <c:pt idx="43">
                  <c:v>1758.8780120498595</c:v>
                </c:pt>
                <c:pt idx="44">
                  <c:v>2251.0125499704968</c:v>
                </c:pt>
                <c:pt idx="45">
                  <c:v>2415.7806401418743</c:v>
                </c:pt>
                <c:pt idx="46">
                  <c:v>2820.260177217981</c:v>
                </c:pt>
                <c:pt idx="47">
                  <c:v>3249.2016506621321</c:v>
                </c:pt>
                <c:pt idx="48">
                  <c:v>2772.74012147445</c:v>
                </c:pt>
                <c:pt idx="49">
                  <c:v>2688.5537645101099</c:v>
                </c:pt>
                <c:pt idx="50">
                  <c:v>2618.9418968063715</c:v>
                </c:pt>
                <c:pt idx="51">
                  <c:v>2743.1187871994507</c:v>
                </c:pt>
                <c:pt idx="52">
                  <c:v>2633.6445312144879</c:v>
                </c:pt>
                <c:pt idx="53">
                  <c:v>1970.3640572644392</c:v>
                </c:pt>
                <c:pt idx="54">
                  <c:v>1811.1529510281655</c:v>
                </c:pt>
                <c:pt idx="55">
                  <c:v>883.87456608233526</c:v>
                </c:pt>
                <c:pt idx="56">
                  <c:v>940.4436800376792</c:v>
                </c:pt>
                <c:pt idx="57">
                  <c:v>1067.9528394911538</c:v>
                </c:pt>
                <c:pt idx="58">
                  <c:v>1280.2497475478617</c:v>
                </c:pt>
                <c:pt idx="59">
                  <c:v>1115.8022382807724</c:v>
                </c:pt>
                <c:pt idx="60">
                  <c:v>1125.0731117152118</c:v>
                </c:pt>
                <c:pt idx="61">
                  <c:v>1207.646015567188</c:v>
                </c:pt>
                <c:pt idx="62">
                  <c:v>1335.6194111947032</c:v>
                </c:pt>
                <c:pt idx="63">
                  <c:v>1120.5018908154946</c:v>
                </c:pt>
                <c:pt idx="64">
                  <c:v>1067.3543515793556</c:v>
                </c:pt>
                <c:pt idx="65">
                  <c:v>1219.1735008417641</c:v>
                </c:pt>
                <c:pt idx="66">
                  <c:v>2176.8689196069558</c:v>
                </c:pt>
                <c:pt idx="67">
                  <c:v>2594.132439385849</c:v>
                </c:pt>
                <c:pt idx="68">
                  <c:v>2950.0230333543268</c:v>
                </c:pt>
                <c:pt idx="69">
                  <c:v>3212.6879083242538</c:v>
                </c:pt>
                <c:pt idx="70">
                  <c:v>3183.8657199012277</c:v>
                </c:pt>
                <c:pt idx="71">
                  <c:v>2783.174350852762</c:v>
                </c:pt>
                <c:pt idx="72">
                  <c:v>3242.4803103169957</c:v>
                </c:pt>
                <c:pt idx="73">
                  <c:v>3170.7068565977734</c:v>
                </c:pt>
                <c:pt idx="74">
                  <c:v>2938.4855153478588</c:v>
                </c:pt>
                <c:pt idx="75">
                  <c:v>2530.6347315089984</c:v>
                </c:pt>
                <c:pt idx="76">
                  <c:v>2766.5397635434488</c:v>
                </c:pt>
                <c:pt idx="77">
                  <c:v>2028.603882085808</c:v>
                </c:pt>
                <c:pt idx="78">
                  <c:v>2463.8759083798786</c:v>
                </c:pt>
                <c:pt idx="79">
                  <c:v>2558.594861596554</c:v>
                </c:pt>
                <c:pt idx="80">
                  <c:v>2535.0441897596011</c:v>
                </c:pt>
                <c:pt idx="81">
                  <c:v>2826.0208925025845</c:v>
                </c:pt>
                <c:pt idx="82">
                  <c:v>2340.6685921606809</c:v>
                </c:pt>
                <c:pt idx="83">
                  <c:v>2112.9197905289802</c:v>
                </c:pt>
                <c:pt idx="84">
                  <c:v>3132.8543268660833</c:v>
                </c:pt>
                <c:pt idx="85">
                  <c:v>2832.6768496242366</c:v>
                </c:pt>
                <c:pt idx="86">
                  <c:v>2005.2105714063871</c:v>
                </c:pt>
                <c:pt idx="87">
                  <c:v>2295.0058518836381</c:v>
                </c:pt>
                <c:pt idx="88">
                  <c:v>1921.9066999261393</c:v>
                </c:pt>
                <c:pt idx="89">
                  <c:v>2056.9747483114556</c:v>
                </c:pt>
                <c:pt idx="90">
                  <c:v>2767.9635780825806</c:v>
                </c:pt>
                <c:pt idx="91">
                  <c:v>3160.9655924076369</c:v>
                </c:pt>
                <c:pt idx="92">
                  <c:v>2486.1037538937112</c:v>
                </c:pt>
                <c:pt idx="93">
                  <c:v>1808.5899456094619</c:v>
                </c:pt>
                <c:pt idx="94">
                  <c:v>2608.3282837425172</c:v>
                </c:pt>
                <c:pt idx="95">
                  <c:v>2751.9405266810386</c:v>
                </c:pt>
                <c:pt idx="96">
                  <c:v>2192.4775976419428</c:v>
                </c:pt>
                <c:pt idx="97">
                  <c:v>2007.6496830148344</c:v>
                </c:pt>
                <c:pt idx="98">
                  <c:v>1864.622685989498</c:v>
                </c:pt>
                <c:pt idx="99">
                  <c:v>1956.3008162966612</c:v>
                </c:pt>
                <c:pt idx="100">
                  <c:v>1683.6784625446257</c:v>
                </c:pt>
                <c:pt idx="101">
                  <c:v>2242.0404922491803</c:v>
                </c:pt>
                <c:pt idx="102">
                  <c:v>2413.7658460202451</c:v>
                </c:pt>
                <c:pt idx="103">
                  <c:v>2173.6655434292552</c:v>
                </c:pt>
                <c:pt idx="104">
                  <c:v>1970.2658854766614</c:v>
                </c:pt>
                <c:pt idx="105">
                  <c:v>2701.1034732722533</c:v>
                </c:pt>
                <c:pt idx="106">
                  <c:v>2468.8843401677441</c:v>
                </c:pt>
                <c:pt idx="107">
                  <c:v>2140.452231881728</c:v>
                </c:pt>
                <c:pt idx="108">
                  <c:v>1655.1041158286603</c:v>
                </c:pt>
                <c:pt idx="109">
                  <c:v>1470.9257620924591</c:v>
                </c:pt>
                <c:pt idx="110">
                  <c:v>2408.9498732299639</c:v>
                </c:pt>
                <c:pt idx="111">
                  <c:v>1410.1778732501721</c:v>
                </c:pt>
                <c:pt idx="112">
                  <c:v>2290.0952399775661</c:v>
                </c:pt>
                <c:pt idx="113">
                  <c:v>2836.9145207089728</c:v>
                </c:pt>
                <c:pt idx="114">
                  <c:v>2500.4781678697959</c:v>
                </c:pt>
                <c:pt idx="115">
                  <c:v>1966.4956263127142</c:v>
                </c:pt>
                <c:pt idx="116">
                  <c:v>2308.4113424913571</c:v>
                </c:pt>
                <c:pt idx="117">
                  <c:v>2446.5686477690983</c:v>
                </c:pt>
                <c:pt idx="118">
                  <c:v>1907.3112183591525</c:v>
                </c:pt>
                <c:pt idx="119">
                  <c:v>1722.767030271845</c:v>
                </c:pt>
                <c:pt idx="120">
                  <c:v>1958.8129944297107</c:v>
                </c:pt>
              </c:numCache>
            </c:numRef>
          </c:yVal>
          <c:smooth val="0"/>
          <c:extLst>
            <c:ext xmlns:c16="http://schemas.microsoft.com/office/drawing/2014/chart" uri="{C3380CC4-5D6E-409C-BE32-E72D297353CC}">
              <c16:uniqueId val="{00000001-C3BE-417D-A679-09B7C2CBAD09}"/>
            </c:ext>
          </c:extLst>
        </c:ser>
        <c:ser>
          <c:idx val="2"/>
          <c:order val="2"/>
          <c:tx>
            <c:v>Seed Cotton</c:v>
          </c:tx>
          <c:spPr>
            <a:ln w="25400" cap="rnd">
              <a:noFill/>
              <a:round/>
            </a:ln>
            <a:effectLst/>
          </c:spPr>
          <c:marker>
            <c:symbol val="circle"/>
            <c:size val="5"/>
            <c:spPr>
              <a:solidFill>
                <a:schemeClr val="accent3"/>
              </a:solidFill>
              <a:ln w="9525">
                <a:solidFill>
                  <a:schemeClr val="accent3"/>
                </a:solidFill>
              </a:ln>
              <a:effectLst/>
            </c:spPr>
          </c:marker>
          <c:xVal>
            <c:numRef>
              <c:f>'Yield Reduced'!$I$3:$I$123</c:f>
              <c:numCache>
                <c:formatCode>0</c:formatCode>
                <c:ptCount val="121"/>
                <c:pt idx="0">
                  <c:v>1277.2786549017551</c:v>
                </c:pt>
                <c:pt idx="1">
                  <c:v>3839.6659324515813</c:v>
                </c:pt>
                <c:pt idx="2">
                  <c:v>3757.0816946466375</c:v>
                </c:pt>
                <c:pt idx="3">
                  <c:v>3671.4015386923184</c:v>
                </c:pt>
                <c:pt idx="4">
                  <c:v>3531.7870234640454</c:v>
                </c:pt>
                <c:pt idx="5">
                  <c:v>3290.8992443376105</c:v>
                </c:pt>
                <c:pt idx="6">
                  <c:v>2346.3985301321645</c:v>
                </c:pt>
                <c:pt idx="7">
                  <c:v>1976.6188639619547</c:v>
                </c:pt>
                <c:pt idx="8">
                  <c:v>2755.4863654621099</c:v>
                </c:pt>
                <c:pt idx="9">
                  <c:v>3718.8615299798967</c:v>
                </c:pt>
                <c:pt idx="10">
                  <c:v>2148.3264068919207</c:v>
                </c:pt>
                <c:pt idx="11">
                  <c:v>3059.4895069812887</c:v>
                </c:pt>
                <c:pt idx="12">
                  <c:v>3933.556646764554</c:v>
                </c:pt>
                <c:pt idx="13">
                  <c:v>3612.306310648637</c:v>
                </c:pt>
                <c:pt idx="14">
                  <c:v>3436.5291115530363</c:v>
                </c:pt>
                <c:pt idx="15">
                  <c:v>6006.640162517755</c:v>
                </c:pt>
                <c:pt idx="16">
                  <c:v>3393.2351139995508</c:v>
                </c:pt>
                <c:pt idx="17">
                  <c:v>3720.9653421110202</c:v>
                </c:pt>
                <c:pt idx="18">
                  <c:v>2961.4761688256231</c:v>
                </c:pt>
                <c:pt idx="19">
                  <c:v>3661.2276311815085</c:v>
                </c:pt>
                <c:pt idx="20">
                  <c:v>2629.6909787837285</c:v>
                </c:pt>
                <c:pt idx="21">
                  <c:v>1456.5196706039233</c:v>
                </c:pt>
                <c:pt idx="22">
                  <c:v>5676.7499519353169</c:v>
                </c:pt>
                <c:pt idx="23">
                  <c:v>4905.7378663478758</c:v>
                </c:pt>
                <c:pt idx="24">
                  <c:v>5620.4572933130958</c:v>
                </c:pt>
                <c:pt idx="25">
                  <c:v>5653.092091544283</c:v>
                </c:pt>
                <c:pt idx="26">
                  <c:v>5796.923649398992</c:v>
                </c:pt>
                <c:pt idx="27">
                  <c:v>5308.8444438072638</c:v>
                </c:pt>
                <c:pt idx="28">
                  <c:v>5196.0526527386764</c:v>
                </c:pt>
                <c:pt idx="29">
                  <c:v>5357.7601751079346</c:v>
                </c:pt>
                <c:pt idx="30">
                  <c:v>4989.532884666568</c:v>
                </c:pt>
                <c:pt idx="31">
                  <c:v>4790.6413726266119</c:v>
                </c:pt>
                <c:pt idx="32">
                  <c:v>4175.6340899949682</c:v>
                </c:pt>
                <c:pt idx="33">
                  <c:v>3983.0679233241108</c:v>
                </c:pt>
                <c:pt idx="34">
                  <c:v>4010.892185091825</c:v>
                </c:pt>
                <c:pt idx="35">
                  <c:v>4870.9348354939166</c:v>
                </c:pt>
                <c:pt idx="36">
                  <c:v>3754.1721746972739</c:v>
                </c:pt>
                <c:pt idx="37">
                  <c:v>4691.9393241952184</c:v>
                </c:pt>
                <c:pt idx="38">
                  <c:v>4217.5555079842024</c:v>
                </c:pt>
                <c:pt idx="39">
                  <c:v>4034.3685552423776</c:v>
                </c:pt>
                <c:pt idx="40">
                  <c:v>3774.5556429933113</c:v>
                </c:pt>
                <c:pt idx="41">
                  <c:v>3691.3208750995309</c:v>
                </c:pt>
                <c:pt idx="42">
                  <c:v>3000.5897349933784</c:v>
                </c:pt>
                <c:pt idx="43">
                  <c:v>2980.3198526074384</c:v>
                </c:pt>
                <c:pt idx="44">
                  <c:v>3701.538161674087</c:v>
                </c:pt>
                <c:pt idx="45">
                  <c:v>3917.5541998811109</c:v>
                </c:pt>
                <c:pt idx="46">
                  <c:v>4569.556754716129</c:v>
                </c:pt>
                <c:pt idx="47">
                  <c:v>5201.1440816897702</c:v>
                </c:pt>
                <c:pt idx="48">
                  <c:v>4528.7299700875665</c:v>
                </c:pt>
                <c:pt idx="49">
                  <c:v>4176.4968879366625</c:v>
                </c:pt>
                <c:pt idx="50">
                  <c:v>3943.1001007926088</c:v>
                </c:pt>
                <c:pt idx="51">
                  <c:v>4654.1719526593979</c:v>
                </c:pt>
                <c:pt idx="52">
                  <c:v>4516.4419139724305</c:v>
                </c:pt>
                <c:pt idx="53">
                  <c:v>3240.1784920529835</c:v>
                </c:pt>
                <c:pt idx="54">
                  <c:v>2963.4529193334756</c:v>
                </c:pt>
                <c:pt idx="55">
                  <c:v>1343.1276473919038</c:v>
                </c:pt>
                <c:pt idx="56">
                  <c:v>1542.286182260968</c:v>
                </c:pt>
                <c:pt idx="57">
                  <c:v>1724.1446259446086</c:v>
                </c:pt>
                <c:pt idx="58">
                  <c:v>2153.8850108488868</c:v>
                </c:pt>
                <c:pt idx="59">
                  <c:v>1799.6501427774826</c:v>
                </c:pt>
                <c:pt idx="60">
                  <c:v>1844.0358974597125</c:v>
                </c:pt>
                <c:pt idx="61">
                  <c:v>2043.1473222484242</c:v>
                </c:pt>
                <c:pt idx="62">
                  <c:v>2327.3902001318124</c:v>
                </c:pt>
                <c:pt idx="63">
                  <c:v>1807.8823647445361</c:v>
                </c:pt>
                <c:pt idx="64">
                  <c:v>1804.1676592070514</c:v>
                </c:pt>
                <c:pt idx="65">
                  <c:v>2033.3422543195306</c:v>
                </c:pt>
                <c:pt idx="66">
                  <c:v>3662.1710355322084</c:v>
                </c:pt>
                <c:pt idx="67">
                  <c:v>4165.7052050568973</c:v>
                </c:pt>
                <c:pt idx="68">
                  <c:v>4936.1701635417558</c:v>
                </c:pt>
                <c:pt idx="69">
                  <c:v>5228.8443444981885</c:v>
                </c:pt>
                <c:pt idx="70">
                  <c:v>5206.7979190565748</c:v>
                </c:pt>
                <c:pt idx="71">
                  <c:v>4556.1953143723013</c:v>
                </c:pt>
                <c:pt idx="72">
                  <c:v>5474.7311271179897</c:v>
                </c:pt>
                <c:pt idx="73">
                  <c:v>5516.0557639441131</c:v>
                </c:pt>
                <c:pt idx="74">
                  <c:v>4702.0529058031452</c:v>
                </c:pt>
                <c:pt idx="75">
                  <c:v>4113.8961517590969</c:v>
                </c:pt>
                <c:pt idx="76">
                  <c:v>4414.934424635544</c:v>
                </c:pt>
                <c:pt idx="77">
                  <c:v>3296.030922862622</c:v>
                </c:pt>
                <c:pt idx="78">
                  <c:v>4106.833642756782</c:v>
                </c:pt>
                <c:pt idx="79">
                  <c:v>4367.6505361795471</c:v>
                </c:pt>
                <c:pt idx="80">
                  <c:v>4030.4929156401549</c:v>
                </c:pt>
                <c:pt idx="81">
                  <c:v>4533.0145783487351</c:v>
                </c:pt>
                <c:pt idx="82">
                  <c:v>4001.3471562287932</c:v>
                </c:pt>
                <c:pt idx="83">
                  <c:v>3421.1795143244658</c:v>
                </c:pt>
                <c:pt idx="84">
                  <c:v>4944.3587690920531</c:v>
                </c:pt>
                <c:pt idx="85">
                  <c:v>4526.6394850593979</c:v>
                </c:pt>
                <c:pt idx="86">
                  <c:v>3732.542288705823</c:v>
                </c:pt>
                <c:pt idx="87">
                  <c:v>3844.4432302933428</c:v>
                </c:pt>
                <c:pt idx="88">
                  <c:v>3175.1261824340918</c:v>
                </c:pt>
                <c:pt idx="89">
                  <c:v>3352.4246590541152</c:v>
                </c:pt>
                <c:pt idx="90">
                  <c:v>4652.3914341475638</c:v>
                </c:pt>
                <c:pt idx="91">
                  <c:v>4994.8880842387271</c:v>
                </c:pt>
                <c:pt idx="92">
                  <c:v>4106.1761534488596</c:v>
                </c:pt>
                <c:pt idx="93">
                  <c:v>3149.5336991920608</c:v>
                </c:pt>
                <c:pt idx="94">
                  <c:v>4254.580703742573</c:v>
                </c:pt>
                <c:pt idx="95">
                  <c:v>4637.1622651977978</c:v>
                </c:pt>
                <c:pt idx="96">
                  <c:v>3520.828679173746</c:v>
                </c:pt>
                <c:pt idx="97">
                  <c:v>3187.98094216146</c:v>
                </c:pt>
                <c:pt idx="98">
                  <c:v>3110.5492492879002</c:v>
                </c:pt>
                <c:pt idx="99">
                  <c:v>3164.4922004426812</c:v>
                </c:pt>
                <c:pt idx="100">
                  <c:v>2855.8786740162086</c:v>
                </c:pt>
                <c:pt idx="101">
                  <c:v>3699.6858482333787</c:v>
                </c:pt>
                <c:pt idx="102">
                  <c:v>4001.1232139225058</c:v>
                </c:pt>
                <c:pt idx="103">
                  <c:v>3595.0016225415566</c:v>
                </c:pt>
                <c:pt idx="104">
                  <c:v>3316.4329454220524</c:v>
                </c:pt>
                <c:pt idx="105">
                  <c:v>4380.6380752196965</c:v>
                </c:pt>
                <c:pt idx="106">
                  <c:v>3996.689752998494</c:v>
                </c:pt>
                <c:pt idx="107">
                  <c:v>3500.30357840843</c:v>
                </c:pt>
                <c:pt idx="108">
                  <c:v>2617.144574847579</c:v>
                </c:pt>
                <c:pt idx="109">
                  <c:v>2396.6612162628517</c:v>
                </c:pt>
                <c:pt idx="110">
                  <c:v>3911.6354394173209</c:v>
                </c:pt>
                <c:pt idx="111">
                  <c:v>2257.3432828758177</c:v>
                </c:pt>
                <c:pt idx="112">
                  <c:v>3513.6463425822321</c:v>
                </c:pt>
                <c:pt idx="113">
                  <c:v>4700.7011993215265</c:v>
                </c:pt>
                <c:pt idx="114">
                  <c:v>4021.4447802164041</c:v>
                </c:pt>
                <c:pt idx="115">
                  <c:v>3188.132641932958</c:v>
                </c:pt>
                <c:pt idx="116">
                  <c:v>3879.9021299556889</c:v>
                </c:pt>
                <c:pt idx="117">
                  <c:v>4049.3500595368041</c:v>
                </c:pt>
                <c:pt idx="118">
                  <c:v>3023.744316971131</c:v>
                </c:pt>
                <c:pt idx="119">
                  <c:v>2750.9094142153226</c:v>
                </c:pt>
                <c:pt idx="120">
                  <c:v>3272.328295488629</c:v>
                </c:pt>
              </c:numCache>
            </c:numRef>
          </c:xVal>
          <c:yVal>
            <c:numRef>
              <c:f>'Yield Reduced'!$O$3:$O$123</c:f>
              <c:numCache>
                <c:formatCode>0</c:formatCode>
                <c:ptCount val="121"/>
                <c:pt idx="0">
                  <c:v>1324.1826590595301</c:v>
                </c:pt>
                <c:pt idx="1">
                  <c:v>3883.8480177118508</c:v>
                </c:pt>
                <c:pt idx="2">
                  <c:v>4095.3934220094857</c:v>
                </c:pt>
                <c:pt idx="3">
                  <c:v>4085.2531750612989</c:v>
                </c:pt>
                <c:pt idx="4">
                  <c:v>3803.1778644604983</c:v>
                </c:pt>
                <c:pt idx="5">
                  <c:v>3543.7056797952769</c:v>
                </c:pt>
                <c:pt idx="6">
                  <c:v>2666.2381364443036</c:v>
                </c:pt>
                <c:pt idx="7">
                  <c:v>2186.4841182659829</c:v>
                </c:pt>
                <c:pt idx="8">
                  <c:v>2867.8403520830934</c:v>
                </c:pt>
                <c:pt idx="9">
                  <c:v>4202.3461802829415</c:v>
                </c:pt>
                <c:pt idx="10">
                  <c:v>2238.5477663450561</c:v>
                </c:pt>
                <c:pt idx="11">
                  <c:v>3412.9548556885602</c:v>
                </c:pt>
                <c:pt idx="12">
                  <c:v>3938.9523959782123</c:v>
                </c:pt>
                <c:pt idx="13">
                  <c:v>3663.4640814813356</c:v>
                </c:pt>
                <c:pt idx="14">
                  <c:v>3639.8019253883408</c:v>
                </c:pt>
                <c:pt idx="15">
                  <c:v>4301.5213655517709</c:v>
                </c:pt>
                <c:pt idx="16">
                  <c:v>3470.4563283174307</c:v>
                </c:pt>
                <c:pt idx="17">
                  <c:v>3748.1637900402739</c:v>
                </c:pt>
                <c:pt idx="18">
                  <c:v>3221.5676603816528</c:v>
                </c:pt>
                <c:pt idx="19">
                  <c:v>3815.0554190647013</c:v>
                </c:pt>
                <c:pt idx="20">
                  <c:v>2516.3635360773724</c:v>
                </c:pt>
                <c:pt idx="21">
                  <c:v>1505.8483911710264</c:v>
                </c:pt>
                <c:pt idx="22">
                  <c:v>5837.3060921836613</c:v>
                </c:pt>
                <c:pt idx="23">
                  <c:v>5262.8955089413112</c:v>
                </c:pt>
                <c:pt idx="24">
                  <c:v>5887.5980078129305</c:v>
                </c:pt>
                <c:pt idx="25">
                  <c:v>5712.2759846363097</c:v>
                </c:pt>
                <c:pt idx="26">
                  <c:v>5873.5678405309072</c:v>
                </c:pt>
                <c:pt idx="27">
                  <c:v>5648.7792271795097</c:v>
                </c:pt>
                <c:pt idx="28">
                  <c:v>5289.6960499898014</c:v>
                </c:pt>
                <c:pt idx="29">
                  <c:v>5561.6002034919657</c:v>
                </c:pt>
                <c:pt idx="30">
                  <c:v>5085.54993203716</c:v>
                </c:pt>
                <c:pt idx="31">
                  <c:v>5134.958523213736</c:v>
                </c:pt>
                <c:pt idx="32">
                  <c:v>4163.9081075176327</c:v>
                </c:pt>
                <c:pt idx="33">
                  <c:v>4173.9584547928553</c:v>
                </c:pt>
                <c:pt idx="34">
                  <c:v>4176.9444813353202</c:v>
                </c:pt>
                <c:pt idx="35">
                  <c:v>4988.3827819716662</c:v>
                </c:pt>
                <c:pt idx="36">
                  <c:v>4198.3955034376122</c:v>
                </c:pt>
                <c:pt idx="37">
                  <c:v>4732.1653073652897</c:v>
                </c:pt>
                <c:pt idx="38">
                  <c:v>4431.6979393664205</c:v>
                </c:pt>
                <c:pt idx="39">
                  <c:v>4221.5148202649098</c:v>
                </c:pt>
                <c:pt idx="40">
                  <c:v>3976.3973341323681</c:v>
                </c:pt>
                <c:pt idx="41">
                  <c:v>3865.9572250463098</c:v>
                </c:pt>
                <c:pt idx="42">
                  <c:v>3291.2051066339991</c:v>
                </c:pt>
                <c:pt idx="43">
                  <c:v>3055.5848969330891</c:v>
                </c:pt>
                <c:pt idx="44">
                  <c:v>3956.8838979000898</c:v>
                </c:pt>
                <c:pt idx="45">
                  <c:v>4165.7457440069848</c:v>
                </c:pt>
                <c:pt idx="46">
                  <c:v>4835.0631204927895</c:v>
                </c:pt>
                <c:pt idx="47">
                  <c:v>5728.957293610938</c:v>
                </c:pt>
                <c:pt idx="48">
                  <c:v>4822.1819113445581</c:v>
                </c:pt>
                <c:pt idx="49">
                  <c:v>4660.3087263559792</c:v>
                </c:pt>
                <c:pt idx="50">
                  <c:v>4595.8888843774739</c:v>
                </c:pt>
                <c:pt idx="51">
                  <c:v>4844.0083462156563</c:v>
                </c:pt>
                <c:pt idx="52">
                  <c:v>4544.701542184619</c:v>
                </c:pt>
                <c:pt idx="53">
                  <c:v>3429.7287012086099</c:v>
                </c:pt>
                <c:pt idx="54">
                  <c:v>1811.1529510281655</c:v>
                </c:pt>
                <c:pt idx="55">
                  <c:v>883.87456608233526</c:v>
                </c:pt>
                <c:pt idx="56">
                  <c:v>1660.8698099185478</c:v>
                </c:pt>
                <c:pt idx="57">
                  <c:v>1858.3012654382608</c:v>
                </c:pt>
                <c:pt idx="58">
                  <c:v>2274.807179260325</c:v>
                </c:pt>
                <c:pt idx="59">
                  <c:v>1944.5366489761452</c:v>
                </c:pt>
                <c:pt idx="60">
                  <c:v>1974.6685976356734</c:v>
                </c:pt>
                <c:pt idx="61">
                  <c:v>2113.5849358437245</c:v>
                </c:pt>
                <c:pt idx="62">
                  <c:v>2320.4725520400352</c:v>
                </c:pt>
                <c:pt idx="63">
                  <c:v>1984.9855351963224</c:v>
                </c:pt>
                <c:pt idx="64">
                  <c:v>1862.5116986704752</c:v>
                </c:pt>
                <c:pt idx="65">
                  <c:v>2119.9192907854626</c:v>
                </c:pt>
                <c:pt idx="66">
                  <c:v>3723.5400694347668</c:v>
                </c:pt>
                <c:pt idx="67">
                  <c:v>4467.5279823726205</c:v>
                </c:pt>
                <c:pt idx="68">
                  <c:v>5071.4310144270739</c:v>
                </c:pt>
                <c:pt idx="69">
                  <c:v>5472.5053415865423</c:v>
                </c:pt>
                <c:pt idx="70">
                  <c:v>5445.524615497483</c:v>
                </c:pt>
                <c:pt idx="71">
                  <c:v>4878.2451136128693</c:v>
                </c:pt>
                <c:pt idx="72">
                  <c:v>5653.6242306737722</c:v>
                </c:pt>
                <c:pt idx="73">
                  <c:v>5474.6074102414295</c:v>
                </c:pt>
                <c:pt idx="74">
                  <c:v>5108.6235483551955</c:v>
                </c:pt>
                <c:pt idx="75">
                  <c:v>4431.2152881915135</c:v>
                </c:pt>
                <c:pt idx="76">
                  <c:v>4788.9893249814522</c:v>
                </c:pt>
                <c:pt idx="77">
                  <c:v>3518.1175443235497</c:v>
                </c:pt>
                <c:pt idx="78">
                  <c:v>4276.6537740679796</c:v>
                </c:pt>
                <c:pt idx="79">
                  <c:v>4439.6771314592588</c:v>
                </c:pt>
                <c:pt idx="80">
                  <c:v>4373.0446335324286</c:v>
                </c:pt>
                <c:pt idx="81">
                  <c:v>4908.674959924394</c:v>
                </c:pt>
                <c:pt idx="82">
                  <c:v>4072.1102209917271</c:v>
                </c:pt>
                <c:pt idx="83">
                  <c:v>3646.1707374693488</c:v>
                </c:pt>
                <c:pt idx="84">
                  <c:v>5295.4192426910213</c:v>
                </c:pt>
                <c:pt idx="85">
                  <c:v>4807.1743899646381</c:v>
                </c:pt>
                <c:pt idx="86">
                  <c:v>3421.2682890880924</c:v>
                </c:pt>
                <c:pt idx="87">
                  <c:v>3991.2838634776499</c:v>
                </c:pt>
                <c:pt idx="88">
                  <c:v>3332.9570969550591</c:v>
                </c:pt>
                <c:pt idx="89">
                  <c:v>3530.9422918191531</c:v>
                </c:pt>
                <c:pt idx="90">
                  <c:v>4810.526722251383</c:v>
                </c:pt>
                <c:pt idx="91">
                  <c:v>5381.6958226391271</c:v>
                </c:pt>
                <c:pt idx="92">
                  <c:v>4276.9352279332488</c:v>
                </c:pt>
                <c:pt idx="93">
                  <c:v>3160.7393219604778</c:v>
                </c:pt>
                <c:pt idx="94">
                  <c:v>4484.0569201314402</c:v>
                </c:pt>
                <c:pt idx="95">
                  <c:v>4819.8330712361731</c:v>
                </c:pt>
                <c:pt idx="96">
                  <c:v>3820.9459191515962</c:v>
                </c:pt>
                <c:pt idx="97">
                  <c:v>3476.2438865315335</c:v>
                </c:pt>
                <c:pt idx="98">
                  <c:v>3217.9258291946785</c:v>
                </c:pt>
                <c:pt idx="99">
                  <c:v>3429.8695326864872</c:v>
                </c:pt>
                <c:pt idx="100">
                  <c:v>2873.0905114095835</c:v>
                </c:pt>
                <c:pt idx="101">
                  <c:v>3877.6480342940367</c:v>
                </c:pt>
                <c:pt idx="102">
                  <c:v>4187.2092083606121</c:v>
                </c:pt>
                <c:pt idx="103">
                  <c:v>3770.6060622066821</c:v>
                </c:pt>
                <c:pt idx="104">
                  <c:v>3411.44705039767</c:v>
                </c:pt>
                <c:pt idx="105">
                  <c:v>4709.2443728003618</c:v>
                </c:pt>
                <c:pt idx="106">
                  <c:v>4279.7698926454168</c:v>
                </c:pt>
                <c:pt idx="107">
                  <c:v>3720.9224506142755</c:v>
                </c:pt>
                <c:pt idx="108">
                  <c:v>2846.1543667119349</c:v>
                </c:pt>
                <c:pt idx="109">
                  <c:v>2509.3183899463875</c:v>
                </c:pt>
                <c:pt idx="110">
                  <c:v>4115.9713321941863</c:v>
                </c:pt>
                <c:pt idx="111">
                  <c:v>2413.8722121530127</c:v>
                </c:pt>
                <c:pt idx="112">
                  <c:v>3894.68089427008</c:v>
                </c:pt>
                <c:pt idx="113">
                  <c:v>4804.4600950982076</c:v>
                </c:pt>
                <c:pt idx="114">
                  <c:v>4219.2450265131374</c:v>
                </c:pt>
                <c:pt idx="115">
                  <c:v>3334.8446159034447</c:v>
                </c:pt>
                <c:pt idx="116">
                  <c:v>3919.7629632395447</c:v>
                </c:pt>
                <c:pt idx="117">
                  <c:v>4198.6402511654078</c:v>
                </c:pt>
                <c:pt idx="118">
                  <c:v>3261.6233809446003</c:v>
                </c:pt>
                <c:pt idx="119">
                  <c:v>2961.6894568056268</c:v>
                </c:pt>
                <c:pt idx="120">
                  <c:v>3346.0163792598505</c:v>
                </c:pt>
              </c:numCache>
            </c:numRef>
          </c:yVal>
          <c:smooth val="0"/>
          <c:extLst>
            <c:ext xmlns:c16="http://schemas.microsoft.com/office/drawing/2014/chart" uri="{C3380CC4-5D6E-409C-BE32-E72D297353CC}">
              <c16:uniqueId val="{00000002-C3BE-417D-A679-09B7C2CBAD09}"/>
            </c:ext>
          </c:extLst>
        </c:ser>
        <c:ser>
          <c:idx val="3"/>
          <c:order val="3"/>
          <c:spPr>
            <a:ln w="22225" cap="rnd">
              <a:solidFill>
                <a:prstClr val="black"/>
              </a:solidFill>
              <a:round/>
            </a:ln>
            <a:effectLst/>
          </c:spPr>
          <c:marker>
            <c:symbol val="none"/>
          </c:marker>
          <c:xVal>
            <c:numRef>
              <c:f>'Yield Reduced'!$X$8:$X$9</c:f>
              <c:numCache>
                <c:formatCode>General</c:formatCode>
                <c:ptCount val="2"/>
                <c:pt idx="0">
                  <c:v>0</c:v>
                </c:pt>
                <c:pt idx="1">
                  <c:v>7000</c:v>
                </c:pt>
              </c:numCache>
            </c:numRef>
          </c:xVal>
          <c:yVal>
            <c:numRef>
              <c:f>'Yield Reduced'!$X$8:$X$9</c:f>
              <c:numCache>
                <c:formatCode>General</c:formatCode>
                <c:ptCount val="2"/>
                <c:pt idx="0">
                  <c:v>0</c:v>
                </c:pt>
                <c:pt idx="1">
                  <c:v>7000</c:v>
                </c:pt>
              </c:numCache>
            </c:numRef>
          </c:yVal>
          <c:smooth val="0"/>
          <c:extLst>
            <c:ext xmlns:c16="http://schemas.microsoft.com/office/drawing/2014/chart" uri="{C3380CC4-5D6E-409C-BE32-E72D297353CC}">
              <c16:uniqueId val="{00000003-C3BE-417D-A679-09B7C2CBAD09}"/>
            </c:ext>
          </c:extLst>
        </c:ser>
        <c:dLbls>
          <c:showLegendKey val="0"/>
          <c:showVal val="0"/>
          <c:showCatName val="0"/>
          <c:showSerName val="0"/>
          <c:showPercent val="0"/>
          <c:showBubbleSize val="0"/>
        </c:dLbls>
        <c:axId val="265458880"/>
        <c:axId val="265458096"/>
      </c:scatterChart>
      <c:valAx>
        <c:axId val="265458880"/>
        <c:scaling>
          <c:orientation val="minMax"/>
          <c:max val="7000"/>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Bulk Sample Ginning</a:t>
                </a:r>
              </a:p>
            </c:rich>
          </c:tx>
          <c:overlay val="0"/>
          <c:spPr>
            <a:noFill/>
            <a:ln>
              <a:noFill/>
            </a:ln>
            <a:effectLst/>
          </c:sp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5458096"/>
        <c:crosses val="autoZero"/>
        <c:crossBetween val="midCat"/>
      </c:valAx>
      <c:valAx>
        <c:axId val="265458096"/>
        <c:scaling>
          <c:orientation val="minMax"/>
          <c:max val="70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Moisture</a:t>
                </a:r>
                <a:r>
                  <a:rPr lang="en-US" baseline="0"/>
                  <a:t> Sample Ginning</a:t>
                </a:r>
                <a:endParaRPr lang="en-US"/>
              </a:p>
            </c:rich>
          </c:tx>
          <c:overlay val="0"/>
          <c:spPr>
            <a:noFill/>
            <a:ln>
              <a:noFill/>
            </a:ln>
            <a:effectLst/>
          </c:sp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545888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588645</xdr:colOff>
      <xdr:row>3</xdr:row>
      <xdr:rowOff>124777</xdr:rowOff>
    </xdr:from>
    <xdr:to>
      <xdr:col>11</xdr:col>
      <xdr:colOff>283845</xdr:colOff>
      <xdr:row>18</xdr:row>
      <xdr:rowOff>149542</xdr:rowOff>
    </xdr:to>
    <xdr:graphicFrame macro="">
      <xdr:nvGraphicFramePr>
        <xdr:cNvPr id="2" name="Chart 1">
          <a:extLst>
            <a:ext uri="{FF2B5EF4-FFF2-40B4-BE49-F238E27FC236}">
              <a16:creationId xmlns:a16="http://schemas.microsoft.com/office/drawing/2014/main" id="{669A3B44-7EDC-3097-A385-B694B8551F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20</xdr:row>
      <xdr:rowOff>0</xdr:rowOff>
    </xdr:from>
    <xdr:to>
      <xdr:col>11</xdr:col>
      <xdr:colOff>304800</xdr:colOff>
      <xdr:row>35</xdr:row>
      <xdr:rowOff>24765</xdr:rowOff>
    </xdr:to>
    <xdr:graphicFrame macro="">
      <xdr:nvGraphicFramePr>
        <xdr:cNvPr id="3" name="Chart 2">
          <a:extLst>
            <a:ext uri="{FF2B5EF4-FFF2-40B4-BE49-F238E27FC236}">
              <a16:creationId xmlns:a16="http://schemas.microsoft.com/office/drawing/2014/main" id="{083E2748-56A2-40A5-AE08-A957AB1397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220980</xdr:colOff>
      <xdr:row>11</xdr:row>
      <xdr:rowOff>189174</xdr:rowOff>
    </xdr:from>
    <xdr:to>
      <xdr:col>2</xdr:col>
      <xdr:colOff>470330</xdr:colOff>
      <xdr:row>11</xdr:row>
      <xdr:rowOff>472439</xdr:rowOff>
    </xdr:to>
    <xdr:sp macro="" textlink="">
      <xdr:nvSpPr>
        <xdr:cNvPr id="2" name="Cloud 1">
          <a:extLst>
            <a:ext uri="{FF2B5EF4-FFF2-40B4-BE49-F238E27FC236}">
              <a16:creationId xmlns:a16="http://schemas.microsoft.com/office/drawing/2014/main" id="{44FEACEB-7D75-4CF4-B6E1-BBB80D0C949C}"/>
            </a:ext>
          </a:extLst>
        </xdr:cNvPr>
        <xdr:cNvSpPr/>
      </xdr:nvSpPr>
      <xdr:spPr>
        <a:xfrm>
          <a:off x="1592580" y="217037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11</xdr:row>
      <xdr:rowOff>182880</xdr:rowOff>
    </xdr:from>
    <xdr:to>
      <xdr:col>3</xdr:col>
      <xdr:colOff>477950</xdr:colOff>
      <xdr:row>11</xdr:row>
      <xdr:rowOff>466145</xdr:rowOff>
    </xdr:to>
    <xdr:sp macro="" textlink="">
      <xdr:nvSpPr>
        <xdr:cNvPr id="3" name="Cloud 2">
          <a:extLst>
            <a:ext uri="{FF2B5EF4-FFF2-40B4-BE49-F238E27FC236}">
              <a16:creationId xmlns:a16="http://schemas.microsoft.com/office/drawing/2014/main" id="{917D0FAB-0755-43F6-9C31-24FD5E13D2CE}"/>
            </a:ext>
          </a:extLst>
        </xdr:cNvPr>
        <xdr:cNvSpPr/>
      </xdr:nvSpPr>
      <xdr:spPr>
        <a:xfrm>
          <a:off x="2286000" y="217360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11</xdr:row>
      <xdr:rowOff>190500</xdr:rowOff>
    </xdr:from>
    <xdr:to>
      <xdr:col>1</xdr:col>
      <xdr:colOff>523670</xdr:colOff>
      <xdr:row>11</xdr:row>
      <xdr:rowOff>473765</xdr:rowOff>
    </xdr:to>
    <xdr:sp macro="" textlink="">
      <xdr:nvSpPr>
        <xdr:cNvPr id="4" name="Cloud 3">
          <a:extLst>
            <a:ext uri="{FF2B5EF4-FFF2-40B4-BE49-F238E27FC236}">
              <a16:creationId xmlns:a16="http://schemas.microsoft.com/office/drawing/2014/main" id="{F564833C-0D49-46D5-B8C3-1044EA1608EE}"/>
            </a:ext>
          </a:extLst>
        </xdr:cNvPr>
        <xdr:cNvSpPr/>
      </xdr:nvSpPr>
      <xdr:spPr>
        <a:xfrm>
          <a:off x="960120" y="217170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11</xdr:row>
      <xdr:rowOff>198120</xdr:rowOff>
    </xdr:from>
    <xdr:to>
      <xdr:col>4</xdr:col>
      <xdr:colOff>447470</xdr:colOff>
      <xdr:row>11</xdr:row>
      <xdr:rowOff>481385</xdr:rowOff>
    </xdr:to>
    <xdr:sp macro="" textlink="">
      <xdr:nvSpPr>
        <xdr:cNvPr id="5" name="Cloud 4">
          <a:extLst>
            <a:ext uri="{FF2B5EF4-FFF2-40B4-BE49-F238E27FC236}">
              <a16:creationId xmlns:a16="http://schemas.microsoft.com/office/drawing/2014/main" id="{08AC9C40-04C1-4FBF-902E-8AE0E44B272A}"/>
            </a:ext>
          </a:extLst>
        </xdr:cNvPr>
        <xdr:cNvSpPr/>
      </xdr:nvSpPr>
      <xdr:spPr>
        <a:xfrm>
          <a:off x="2941320" y="216979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289560</xdr:colOff>
      <xdr:row>13</xdr:row>
      <xdr:rowOff>167640</xdr:rowOff>
    </xdr:from>
    <xdr:to>
      <xdr:col>4</xdr:col>
      <xdr:colOff>462710</xdr:colOff>
      <xdr:row>13</xdr:row>
      <xdr:rowOff>466145</xdr:rowOff>
    </xdr:to>
    <xdr:grpSp>
      <xdr:nvGrpSpPr>
        <xdr:cNvPr id="6" name="Group 5">
          <a:extLst>
            <a:ext uri="{FF2B5EF4-FFF2-40B4-BE49-F238E27FC236}">
              <a16:creationId xmlns:a16="http://schemas.microsoft.com/office/drawing/2014/main" id="{91D63D8E-57AD-49ED-9C84-6F3CBC5AFFED}"/>
            </a:ext>
          </a:extLst>
        </xdr:cNvPr>
        <xdr:cNvGrpSpPr/>
      </xdr:nvGrpSpPr>
      <xdr:grpSpPr>
        <a:xfrm>
          <a:off x="894678" y="3910405"/>
          <a:ext cx="1988503" cy="298505"/>
          <a:chOff x="670560" y="2400300"/>
          <a:chExt cx="2184830" cy="298505"/>
        </a:xfrm>
      </xdr:grpSpPr>
      <xdr:sp macro="" textlink="">
        <xdr:nvSpPr>
          <xdr:cNvPr id="7" name="Cloud 6">
            <a:extLst>
              <a:ext uri="{FF2B5EF4-FFF2-40B4-BE49-F238E27FC236}">
                <a16:creationId xmlns:a16="http://schemas.microsoft.com/office/drawing/2014/main" id="{10DCBEF7-6685-6073-B46D-38075EF20D97}"/>
              </a:ext>
            </a:extLst>
          </xdr:cNvPr>
          <xdr:cNvSpPr/>
        </xdr:nvSpPr>
        <xdr:spPr>
          <a:xfrm>
            <a:off x="1287780" y="2406594"/>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8" name="Cloud 7">
            <a:extLst>
              <a:ext uri="{FF2B5EF4-FFF2-40B4-BE49-F238E27FC236}">
                <a16:creationId xmlns:a16="http://schemas.microsoft.com/office/drawing/2014/main" id="{246806E7-085D-6037-EC4F-494A2B7E3348}"/>
              </a:ext>
            </a:extLst>
          </xdr:cNvPr>
          <xdr:cNvSpPr/>
        </xdr:nvSpPr>
        <xdr:spPr>
          <a:xfrm>
            <a:off x="1965960" y="2400300"/>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9" name="Cloud 8">
            <a:extLst>
              <a:ext uri="{FF2B5EF4-FFF2-40B4-BE49-F238E27FC236}">
                <a16:creationId xmlns:a16="http://schemas.microsoft.com/office/drawing/2014/main" id="{64761FD1-8CC9-EDC1-4201-4265A5EC559E}"/>
              </a:ext>
            </a:extLst>
          </xdr:cNvPr>
          <xdr:cNvSpPr/>
        </xdr:nvSpPr>
        <xdr:spPr>
          <a:xfrm>
            <a:off x="670560" y="240792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10" name="Cloud 9">
            <a:extLst>
              <a:ext uri="{FF2B5EF4-FFF2-40B4-BE49-F238E27FC236}">
                <a16:creationId xmlns:a16="http://schemas.microsoft.com/office/drawing/2014/main" id="{AB2F2C36-170A-A548-1461-00E7EE7C6E88}"/>
              </a:ext>
            </a:extLst>
          </xdr:cNvPr>
          <xdr:cNvSpPr/>
        </xdr:nvSpPr>
        <xdr:spPr>
          <a:xfrm>
            <a:off x="2606040" y="241554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grpSp>
    <xdr:clientData/>
  </xdr:twoCellAnchor>
  <xdr:twoCellAnchor>
    <xdr:from>
      <xdr:col>2</xdr:col>
      <xdr:colOff>220980</xdr:colOff>
      <xdr:row>15</xdr:row>
      <xdr:rowOff>189174</xdr:rowOff>
    </xdr:from>
    <xdr:to>
      <xdr:col>2</xdr:col>
      <xdr:colOff>470330</xdr:colOff>
      <xdr:row>15</xdr:row>
      <xdr:rowOff>472439</xdr:rowOff>
    </xdr:to>
    <xdr:sp macro="" textlink="">
      <xdr:nvSpPr>
        <xdr:cNvPr id="11" name="Cloud 10">
          <a:extLst>
            <a:ext uri="{FF2B5EF4-FFF2-40B4-BE49-F238E27FC236}">
              <a16:creationId xmlns:a16="http://schemas.microsoft.com/office/drawing/2014/main" id="{CB72CC9C-4BE8-4D50-9AD6-8CB6267C7232}"/>
            </a:ext>
          </a:extLst>
        </xdr:cNvPr>
        <xdr:cNvSpPr/>
      </xdr:nvSpPr>
      <xdr:spPr>
        <a:xfrm>
          <a:off x="1592580" y="289427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15</xdr:row>
      <xdr:rowOff>182880</xdr:rowOff>
    </xdr:from>
    <xdr:to>
      <xdr:col>3</xdr:col>
      <xdr:colOff>477950</xdr:colOff>
      <xdr:row>15</xdr:row>
      <xdr:rowOff>466145</xdr:rowOff>
    </xdr:to>
    <xdr:sp macro="" textlink="">
      <xdr:nvSpPr>
        <xdr:cNvPr id="12" name="Cloud 11">
          <a:extLst>
            <a:ext uri="{FF2B5EF4-FFF2-40B4-BE49-F238E27FC236}">
              <a16:creationId xmlns:a16="http://schemas.microsoft.com/office/drawing/2014/main" id="{3963EF4D-89A8-46B7-95A9-C220E9ED7323}"/>
            </a:ext>
          </a:extLst>
        </xdr:cNvPr>
        <xdr:cNvSpPr/>
      </xdr:nvSpPr>
      <xdr:spPr>
        <a:xfrm>
          <a:off x="2286000" y="289750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15</xdr:row>
      <xdr:rowOff>190500</xdr:rowOff>
    </xdr:from>
    <xdr:to>
      <xdr:col>1</xdr:col>
      <xdr:colOff>523670</xdr:colOff>
      <xdr:row>15</xdr:row>
      <xdr:rowOff>473765</xdr:rowOff>
    </xdr:to>
    <xdr:sp macro="" textlink="">
      <xdr:nvSpPr>
        <xdr:cNvPr id="13" name="Cloud 12">
          <a:extLst>
            <a:ext uri="{FF2B5EF4-FFF2-40B4-BE49-F238E27FC236}">
              <a16:creationId xmlns:a16="http://schemas.microsoft.com/office/drawing/2014/main" id="{EE3E41F0-B8D5-4C51-9423-35552D4BB184}"/>
            </a:ext>
          </a:extLst>
        </xdr:cNvPr>
        <xdr:cNvSpPr/>
      </xdr:nvSpPr>
      <xdr:spPr>
        <a:xfrm>
          <a:off x="960120" y="289560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15</xdr:row>
      <xdr:rowOff>198120</xdr:rowOff>
    </xdr:from>
    <xdr:to>
      <xdr:col>4</xdr:col>
      <xdr:colOff>447470</xdr:colOff>
      <xdr:row>15</xdr:row>
      <xdr:rowOff>481385</xdr:rowOff>
    </xdr:to>
    <xdr:sp macro="" textlink="">
      <xdr:nvSpPr>
        <xdr:cNvPr id="14" name="Cloud 13">
          <a:extLst>
            <a:ext uri="{FF2B5EF4-FFF2-40B4-BE49-F238E27FC236}">
              <a16:creationId xmlns:a16="http://schemas.microsoft.com/office/drawing/2014/main" id="{0F20AEA3-4D67-4282-BD20-6541FED846D7}"/>
            </a:ext>
          </a:extLst>
        </xdr:cNvPr>
        <xdr:cNvSpPr/>
      </xdr:nvSpPr>
      <xdr:spPr>
        <a:xfrm>
          <a:off x="2941320" y="289369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2</xdr:col>
      <xdr:colOff>220980</xdr:colOff>
      <xdr:row>17</xdr:row>
      <xdr:rowOff>189174</xdr:rowOff>
    </xdr:from>
    <xdr:to>
      <xdr:col>2</xdr:col>
      <xdr:colOff>470330</xdr:colOff>
      <xdr:row>17</xdr:row>
      <xdr:rowOff>472439</xdr:rowOff>
    </xdr:to>
    <xdr:sp macro="" textlink="">
      <xdr:nvSpPr>
        <xdr:cNvPr id="15" name="Cloud 14">
          <a:extLst>
            <a:ext uri="{FF2B5EF4-FFF2-40B4-BE49-F238E27FC236}">
              <a16:creationId xmlns:a16="http://schemas.microsoft.com/office/drawing/2014/main" id="{862252F4-262F-43A6-9F5E-EB2FF9761E53}"/>
            </a:ext>
          </a:extLst>
        </xdr:cNvPr>
        <xdr:cNvSpPr/>
      </xdr:nvSpPr>
      <xdr:spPr>
        <a:xfrm>
          <a:off x="1592580" y="325622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17</xdr:row>
      <xdr:rowOff>182880</xdr:rowOff>
    </xdr:from>
    <xdr:to>
      <xdr:col>3</xdr:col>
      <xdr:colOff>477950</xdr:colOff>
      <xdr:row>17</xdr:row>
      <xdr:rowOff>466145</xdr:rowOff>
    </xdr:to>
    <xdr:sp macro="" textlink="">
      <xdr:nvSpPr>
        <xdr:cNvPr id="16" name="Cloud 15">
          <a:extLst>
            <a:ext uri="{FF2B5EF4-FFF2-40B4-BE49-F238E27FC236}">
              <a16:creationId xmlns:a16="http://schemas.microsoft.com/office/drawing/2014/main" id="{9E8FF0DE-47A4-4863-93E6-63E0E337C406}"/>
            </a:ext>
          </a:extLst>
        </xdr:cNvPr>
        <xdr:cNvSpPr/>
      </xdr:nvSpPr>
      <xdr:spPr>
        <a:xfrm>
          <a:off x="2286000" y="325945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17</xdr:row>
      <xdr:rowOff>190500</xdr:rowOff>
    </xdr:from>
    <xdr:to>
      <xdr:col>1</xdr:col>
      <xdr:colOff>523670</xdr:colOff>
      <xdr:row>17</xdr:row>
      <xdr:rowOff>473765</xdr:rowOff>
    </xdr:to>
    <xdr:sp macro="" textlink="">
      <xdr:nvSpPr>
        <xdr:cNvPr id="17" name="Cloud 16">
          <a:extLst>
            <a:ext uri="{FF2B5EF4-FFF2-40B4-BE49-F238E27FC236}">
              <a16:creationId xmlns:a16="http://schemas.microsoft.com/office/drawing/2014/main" id="{C1E740EC-C691-49C6-80E7-866EB7522FA3}"/>
            </a:ext>
          </a:extLst>
        </xdr:cNvPr>
        <xdr:cNvSpPr/>
      </xdr:nvSpPr>
      <xdr:spPr>
        <a:xfrm>
          <a:off x="960120" y="325755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17</xdr:row>
      <xdr:rowOff>198120</xdr:rowOff>
    </xdr:from>
    <xdr:to>
      <xdr:col>4</xdr:col>
      <xdr:colOff>447470</xdr:colOff>
      <xdr:row>17</xdr:row>
      <xdr:rowOff>481385</xdr:rowOff>
    </xdr:to>
    <xdr:sp macro="" textlink="">
      <xdr:nvSpPr>
        <xdr:cNvPr id="18" name="Cloud 17">
          <a:extLst>
            <a:ext uri="{FF2B5EF4-FFF2-40B4-BE49-F238E27FC236}">
              <a16:creationId xmlns:a16="http://schemas.microsoft.com/office/drawing/2014/main" id="{59F0B67A-D3E6-4044-9603-4BE4B04D6FF1}"/>
            </a:ext>
          </a:extLst>
        </xdr:cNvPr>
        <xdr:cNvSpPr/>
      </xdr:nvSpPr>
      <xdr:spPr>
        <a:xfrm>
          <a:off x="2941320" y="325564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2</xdr:col>
      <xdr:colOff>220980</xdr:colOff>
      <xdr:row>19</xdr:row>
      <xdr:rowOff>189174</xdr:rowOff>
    </xdr:from>
    <xdr:to>
      <xdr:col>2</xdr:col>
      <xdr:colOff>470330</xdr:colOff>
      <xdr:row>19</xdr:row>
      <xdr:rowOff>472439</xdr:rowOff>
    </xdr:to>
    <xdr:sp macro="" textlink="">
      <xdr:nvSpPr>
        <xdr:cNvPr id="19" name="Cloud 18">
          <a:extLst>
            <a:ext uri="{FF2B5EF4-FFF2-40B4-BE49-F238E27FC236}">
              <a16:creationId xmlns:a16="http://schemas.microsoft.com/office/drawing/2014/main" id="{912992B1-E69D-44B7-B60B-F4060AF4D03D}"/>
            </a:ext>
          </a:extLst>
        </xdr:cNvPr>
        <xdr:cNvSpPr/>
      </xdr:nvSpPr>
      <xdr:spPr>
        <a:xfrm>
          <a:off x="1592580" y="361817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19</xdr:row>
      <xdr:rowOff>182880</xdr:rowOff>
    </xdr:from>
    <xdr:to>
      <xdr:col>3</xdr:col>
      <xdr:colOff>477950</xdr:colOff>
      <xdr:row>19</xdr:row>
      <xdr:rowOff>466145</xdr:rowOff>
    </xdr:to>
    <xdr:sp macro="" textlink="">
      <xdr:nvSpPr>
        <xdr:cNvPr id="20" name="Cloud 19">
          <a:extLst>
            <a:ext uri="{FF2B5EF4-FFF2-40B4-BE49-F238E27FC236}">
              <a16:creationId xmlns:a16="http://schemas.microsoft.com/office/drawing/2014/main" id="{7405EAB0-B3CC-469A-BE5D-F44FDC9AB4BE}"/>
            </a:ext>
          </a:extLst>
        </xdr:cNvPr>
        <xdr:cNvSpPr/>
      </xdr:nvSpPr>
      <xdr:spPr>
        <a:xfrm>
          <a:off x="2286000" y="362140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19</xdr:row>
      <xdr:rowOff>190500</xdr:rowOff>
    </xdr:from>
    <xdr:to>
      <xdr:col>1</xdr:col>
      <xdr:colOff>523670</xdr:colOff>
      <xdr:row>19</xdr:row>
      <xdr:rowOff>473765</xdr:rowOff>
    </xdr:to>
    <xdr:sp macro="" textlink="">
      <xdr:nvSpPr>
        <xdr:cNvPr id="21" name="Cloud 20">
          <a:extLst>
            <a:ext uri="{FF2B5EF4-FFF2-40B4-BE49-F238E27FC236}">
              <a16:creationId xmlns:a16="http://schemas.microsoft.com/office/drawing/2014/main" id="{E0043F29-3EFF-452D-99F4-76D5A2D88A84}"/>
            </a:ext>
          </a:extLst>
        </xdr:cNvPr>
        <xdr:cNvSpPr/>
      </xdr:nvSpPr>
      <xdr:spPr>
        <a:xfrm>
          <a:off x="960120" y="361950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19</xdr:row>
      <xdr:rowOff>198120</xdr:rowOff>
    </xdr:from>
    <xdr:to>
      <xdr:col>4</xdr:col>
      <xdr:colOff>447470</xdr:colOff>
      <xdr:row>19</xdr:row>
      <xdr:rowOff>481385</xdr:rowOff>
    </xdr:to>
    <xdr:sp macro="" textlink="">
      <xdr:nvSpPr>
        <xdr:cNvPr id="22" name="Cloud 21">
          <a:extLst>
            <a:ext uri="{FF2B5EF4-FFF2-40B4-BE49-F238E27FC236}">
              <a16:creationId xmlns:a16="http://schemas.microsoft.com/office/drawing/2014/main" id="{BF80AE7A-82FF-4789-ACD1-7D03EC46076F}"/>
            </a:ext>
          </a:extLst>
        </xdr:cNvPr>
        <xdr:cNvSpPr/>
      </xdr:nvSpPr>
      <xdr:spPr>
        <a:xfrm>
          <a:off x="2941320" y="361759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2</xdr:col>
      <xdr:colOff>220980</xdr:colOff>
      <xdr:row>21</xdr:row>
      <xdr:rowOff>189174</xdr:rowOff>
    </xdr:from>
    <xdr:to>
      <xdr:col>2</xdr:col>
      <xdr:colOff>470330</xdr:colOff>
      <xdr:row>21</xdr:row>
      <xdr:rowOff>472439</xdr:rowOff>
    </xdr:to>
    <xdr:sp macro="" textlink="">
      <xdr:nvSpPr>
        <xdr:cNvPr id="23" name="Cloud 22">
          <a:extLst>
            <a:ext uri="{FF2B5EF4-FFF2-40B4-BE49-F238E27FC236}">
              <a16:creationId xmlns:a16="http://schemas.microsoft.com/office/drawing/2014/main" id="{65633DE4-67C3-4188-B0AA-9E1BD38B8542}"/>
            </a:ext>
          </a:extLst>
        </xdr:cNvPr>
        <xdr:cNvSpPr/>
      </xdr:nvSpPr>
      <xdr:spPr>
        <a:xfrm>
          <a:off x="1592580" y="398012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21</xdr:row>
      <xdr:rowOff>182880</xdr:rowOff>
    </xdr:from>
    <xdr:to>
      <xdr:col>3</xdr:col>
      <xdr:colOff>477950</xdr:colOff>
      <xdr:row>21</xdr:row>
      <xdr:rowOff>466145</xdr:rowOff>
    </xdr:to>
    <xdr:sp macro="" textlink="">
      <xdr:nvSpPr>
        <xdr:cNvPr id="24" name="Cloud 23">
          <a:extLst>
            <a:ext uri="{FF2B5EF4-FFF2-40B4-BE49-F238E27FC236}">
              <a16:creationId xmlns:a16="http://schemas.microsoft.com/office/drawing/2014/main" id="{E15358CC-08B5-4CF2-87EB-179DBD9F192A}"/>
            </a:ext>
          </a:extLst>
        </xdr:cNvPr>
        <xdr:cNvSpPr/>
      </xdr:nvSpPr>
      <xdr:spPr>
        <a:xfrm>
          <a:off x="2286000" y="398335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21</xdr:row>
      <xdr:rowOff>190500</xdr:rowOff>
    </xdr:from>
    <xdr:to>
      <xdr:col>1</xdr:col>
      <xdr:colOff>523670</xdr:colOff>
      <xdr:row>21</xdr:row>
      <xdr:rowOff>473765</xdr:rowOff>
    </xdr:to>
    <xdr:sp macro="" textlink="">
      <xdr:nvSpPr>
        <xdr:cNvPr id="25" name="Cloud 24">
          <a:extLst>
            <a:ext uri="{FF2B5EF4-FFF2-40B4-BE49-F238E27FC236}">
              <a16:creationId xmlns:a16="http://schemas.microsoft.com/office/drawing/2014/main" id="{70128615-661C-4CA9-864A-886E20DA545D}"/>
            </a:ext>
          </a:extLst>
        </xdr:cNvPr>
        <xdr:cNvSpPr/>
      </xdr:nvSpPr>
      <xdr:spPr>
        <a:xfrm>
          <a:off x="960120" y="398145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21</xdr:row>
      <xdr:rowOff>198120</xdr:rowOff>
    </xdr:from>
    <xdr:to>
      <xdr:col>4</xdr:col>
      <xdr:colOff>447470</xdr:colOff>
      <xdr:row>21</xdr:row>
      <xdr:rowOff>481385</xdr:rowOff>
    </xdr:to>
    <xdr:sp macro="" textlink="">
      <xdr:nvSpPr>
        <xdr:cNvPr id="26" name="Cloud 25">
          <a:extLst>
            <a:ext uri="{FF2B5EF4-FFF2-40B4-BE49-F238E27FC236}">
              <a16:creationId xmlns:a16="http://schemas.microsoft.com/office/drawing/2014/main" id="{D0B77BA6-6010-423D-9B48-A8291E04BA75}"/>
            </a:ext>
          </a:extLst>
        </xdr:cNvPr>
        <xdr:cNvSpPr/>
      </xdr:nvSpPr>
      <xdr:spPr>
        <a:xfrm>
          <a:off x="2941320" y="397954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2</xdr:col>
      <xdr:colOff>220980</xdr:colOff>
      <xdr:row>23</xdr:row>
      <xdr:rowOff>189174</xdr:rowOff>
    </xdr:from>
    <xdr:to>
      <xdr:col>2</xdr:col>
      <xdr:colOff>470330</xdr:colOff>
      <xdr:row>23</xdr:row>
      <xdr:rowOff>472439</xdr:rowOff>
    </xdr:to>
    <xdr:sp macro="" textlink="">
      <xdr:nvSpPr>
        <xdr:cNvPr id="27" name="Cloud 26">
          <a:extLst>
            <a:ext uri="{FF2B5EF4-FFF2-40B4-BE49-F238E27FC236}">
              <a16:creationId xmlns:a16="http://schemas.microsoft.com/office/drawing/2014/main" id="{E703B1A7-6C75-49A7-92E3-F3E45ED0C6D0}"/>
            </a:ext>
          </a:extLst>
        </xdr:cNvPr>
        <xdr:cNvSpPr/>
      </xdr:nvSpPr>
      <xdr:spPr>
        <a:xfrm>
          <a:off x="1592580" y="434207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23</xdr:row>
      <xdr:rowOff>182880</xdr:rowOff>
    </xdr:from>
    <xdr:to>
      <xdr:col>3</xdr:col>
      <xdr:colOff>477950</xdr:colOff>
      <xdr:row>23</xdr:row>
      <xdr:rowOff>466145</xdr:rowOff>
    </xdr:to>
    <xdr:sp macro="" textlink="">
      <xdr:nvSpPr>
        <xdr:cNvPr id="28" name="Cloud 27">
          <a:extLst>
            <a:ext uri="{FF2B5EF4-FFF2-40B4-BE49-F238E27FC236}">
              <a16:creationId xmlns:a16="http://schemas.microsoft.com/office/drawing/2014/main" id="{9B0CA6E5-2A81-419E-B07E-9FC40773D6A7}"/>
            </a:ext>
          </a:extLst>
        </xdr:cNvPr>
        <xdr:cNvSpPr/>
      </xdr:nvSpPr>
      <xdr:spPr>
        <a:xfrm>
          <a:off x="2286000" y="434530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23</xdr:row>
      <xdr:rowOff>190500</xdr:rowOff>
    </xdr:from>
    <xdr:to>
      <xdr:col>1</xdr:col>
      <xdr:colOff>523670</xdr:colOff>
      <xdr:row>23</xdr:row>
      <xdr:rowOff>473765</xdr:rowOff>
    </xdr:to>
    <xdr:sp macro="" textlink="">
      <xdr:nvSpPr>
        <xdr:cNvPr id="29" name="Cloud 28">
          <a:extLst>
            <a:ext uri="{FF2B5EF4-FFF2-40B4-BE49-F238E27FC236}">
              <a16:creationId xmlns:a16="http://schemas.microsoft.com/office/drawing/2014/main" id="{BC371CA6-4454-4A91-95C8-D99501805544}"/>
            </a:ext>
          </a:extLst>
        </xdr:cNvPr>
        <xdr:cNvSpPr/>
      </xdr:nvSpPr>
      <xdr:spPr>
        <a:xfrm>
          <a:off x="960120" y="434340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23</xdr:row>
      <xdr:rowOff>198120</xdr:rowOff>
    </xdr:from>
    <xdr:to>
      <xdr:col>4</xdr:col>
      <xdr:colOff>447470</xdr:colOff>
      <xdr:row>23</xdr:row>
      <xdr:rowOff>481385</xdr:rowOff>
    </xdr:to>
    <xdr:sp macro="" textlink="">
      <xdr:nvSpPr>
        <xdr:cNvPr id="30" name="Cloud 29">
          <a:extLst>
            <a:ext uri="{FF2B5EF4-FFF2-40B4-BE49-F238E27FC236}">
              <a16:creationId xmlns:a16="http://schemas.microsoft.com/office/drawing/2014/main" id="{EEAB8EBE-5D54-4874-998B-AC1AFF59AE63}"/>
            </a:ext>
          </a:extLst>
        </xdr:cNvPr>
        <xdr:cNvSpPr/>
      </xdr:nvSpPr>
      <xdr:spPr>
        <a:xfrm>
          <a:off x="2941320" y="434149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2</xdr:col>
      <xdr:colOff>220980</xdr:colOff>
      <xdr:row>25</xdr:row>
      <xdr:rowOff>189174</xdr:rowOff>
    </xdr:from>
    <xdr:to>
      <xdr:col>2</xdr:col>
      <xdr:colOff>470330</xdr:colOff>
      <xdr:row>25</xdr:row>
      <xdr:rowOff>472439</xdr:rowOff>
    </xdr:to>
    <xdr:sp macro="" textlink="">
      <xdr:nvSpPr>
        <xdr:cNvPr id="31" name="Cloud 30">
          <a:extLst>
            <a:ext uri="{FF2B5EF4-FFF2-40B4-BE49-F238E27FC236}">
              <a16:creationId xmlns:a16="http://schemas.microsoft.com/office/drawing/2014/main" id="{ACB80E9E-49B8-4C0A-9666-10BF96506702}"/>
            </a:ext>
          </a:extLst>
        </xdr:cNvPr>
        <xdr:cNvSpPr/>
      </xdr:nvSpPr>
      <xdr:spPr>
        <a:xfrm>
          <a:off x="1592580" y="470402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25</xdr:row>
      <xdr:rowOff>182880</xdr:rowOff>
    </xdr:from>
    <xdr:to>
      <xdr:col>3</xdr:col>
      <xdr:colOff>477950</xdr:colOff>
      <xdr:row>25</xdr:row>
      <xdr:rowOff>466145</xdr:rowOff>
    </xdr:to>
    <xdr:sp macro="" textlink="">
      <xdr:nvSpPr>
        <xdr:cNvPr id="32" name="Cloud 31">
          <a:extLst>
            <a:ext uri="{FF2B5EF4-FFF2-40B4-BE49-F238E27FC236}">
              <a16:creationId xmlns:a16="http://schemas.microsoft.com/office/drawing/2014/main" id="{81358F51-2A1A-48ED-BFF1-075521A846F3}"/>
            </a:ext>
          </a:extLst>
        </xdr:cNvPr>
        <xdr:cNvSpPr/>
      </xdr:nvSpPr>
      <xdr:spPr>
        <a:xfrm>
          <a:off x="2286000" y="470725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25</xdr:row>
      <xdr:rowOff>190500</xdr:rowOff>
    </xdr:from>
    <xdr:to>
      <xdr:col>1</xdr:col>
      <xdr:colOff>523670</xdr:colOff>
      <xdr:row>25</xdr:row>
      <xdr:rowOff>473765</xdr:rowOff>
    </xdr:to>
    <xdr:sp macro="" textlink="">
      <xdr:nvSpPr>
        <xdr:cNvPr id="33" name="Cloud 32">
          <a:extLst>
            <a:ext uri="{FF2B5EF4-FFF2-40B4-BE49-F238E27FC236}">
              <a16:creationId xmlns:a16="http://schemas.microsoft.com/office/drawing/2014/main" id="{88FC0003-01B8-49BB-A244-5B88A53085AE}"/>
            </a:ext>
          </a:extLst>
        </xdr:cNvPr>
        <xdr:cNvSpPr/>
      </xdr:nvSpPr>
      <xdr:spPr>
        <a:xfrm>
          <a:off x="960120" y="470535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25</xdr:row>
      <xdr:rowOff>198120</xdr:rowOff>
    </xdr:from>
    <xdr:to>
      <xdr:col>4</xdr:col>
      <xdr:colOff>447470</xdr:colOff>
      <xdr:row>25</xdr:row>
      <xdr:rowOff>481385</xdr:rowOff>
    </xdr:to>
    <xdr:sp macro="" textlink="">
      <xdr:nvSpPr>
        <xdr:cNvPr id="34" name="Cloud 33">
          <a:extLst>
            <a:ext uri="{FF2B5EF4-FFF2-40B4-BE49-F238E27FC236}">
              <a16:creationId xmlns:a16="http://schemas.microsoft.com/office/drawing/2014/main" id="{34BAECA0-7182-478D-88EB-51F6FD5638A2}"/>
            </a:ext>
          </a:extLst>
        </xdr:cNvPr>
        <xdr:cNvSpPr/>
      </xdr:nvSpPr>
      <xdr:spPr>
        <a:xfrm>
          <a:off x="2941320" y="470344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2</xdr:col>
      <xdr:colOff>220980</xdr:colOff>
      <xdr:row>27</xdr:row>
      <xdr:rowOff>189174</xdr:rowOff>
    </xdr:from>
    <xdr:to>
      <xdr:col>2</xdr:col>
      <xdr:colOff>470330</xdr:colOff>
      <xdr:row>27</xdr:row>
      <xdr:rowOff>472439</xdr:rowOff>
    </xdr:to>
    <xdr:sp macro="" textlink="">
      <xdr:nvSpPr>
        <xdr:cNvPr id="35" name="Cloud 34">
          <a:extLst>
            <a:ext uri="{FF2B5EF4-FFF2-40B4-BE49-F238E27FC236}">
              <a16:creationId xmlns:a16="http://schemas.microsoft.com/office/drawing/2014/main" id="{DB1841B9-D6E0-4995-8A68-0BE905926D11}"/>
            </a:ext>
          </a:extLst>
        </xdr:cNvPr>
        <xdr:cNvSpPr/>
      </xdr:nvSpPr>
      <xdr:spPr>
        <a:xfrm>
          <a:off x="1592580" y="506597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27</xdr:row>
      <xdr:rowOff>182880</xdr:rowOff>
    </xdr:from>
    <xdr:to>
      <xdr:col>3</xdr:col>
      <xdr:colOff>477950</xdr:colOff>
      <xdr:row>27</xdr:row>
      <xdr:rowOff>466145</xdr:rowOff>
    </xdr:to>
    <xdr:sp macro="" textlink="">
      <xdr:nvSpPr>
        <xdr:cNvPr id="36" name="Cloud 35">
          <a:extLst>
            <a:ext uri="{FF2B5EF4-FFF2-40B4-BE49-F238E27FC236}">
              <a16:creationId xmlns:a16="http://schemas.microsoft.com/office/drawing/2014/main" id="{CB576C84-2A18-4DBD-86B4-DBA43CE11B14}"/>
            </a:ext>
          </a:extLst>
        </xdr:cNvPr>
        <xdr:cNvSpPr/>
      </xdr:nvSpPr>
      <xdr:spPr>
        <a:xfrm>
          <a:off x="2286000" y="506920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27</xdr:row>
      <xdr:rowOff>190500</xdr:rowOff>
    </xdr:from>
    <xdr:to>
      <xdr:col>1</xdr:col>
      <xdr:colOff>523670</xdr:colOff>
      <xdr:row>27</xdr:row>
      <xdr:rowOff>473765</xdr:rowOff>
    </xdr:to>
    <xdr:sp macro="" textlink="">
      <xdr:nvSpPr>
        <xdr:cNvPr id="37" name="Cloud 36">
          <a:extLst>
            <a:ext uri="{FF2B5EF4-FFF2-40B4-BE49-F238E27FC236}">
              <a16:creationId xmlns:a16="http://schemas.microsoft.com/office/drawing/2014/main" id="{C1277E58-1DDA-4B42-A268-4C1A6067447A}"/>
            </a:ext>
          </a:extLst>
        </xdr:cNvPr>
        <xdr:cNvSpPr/>
      </xdr:nvSpPr>
      <xdr:spPr>
        <a:xfrm>
          <a:off x="960120" y="506730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27</xdr:row>
      <xdr:rowOff>198120</xdr:rowOff>
    </xdr:from>
    <xdr:to>
      <xdr:col>4</xdr:col>
      <xdr:colOff>447470</xdr:colOff>
      <xdr:row>27</xdr:row>
      <xdr:rowOff>481385</xdr:rowOff>
    </xdr:to>
    <xdr:sp macro="" textlink="">
      <xdr:nvSpPr>
        <xdr:cNvPr id="38" name="Cloud 37">
          <a:extLst>
            <a:ext uri="{FF2B5EF4-FFF2-40B4-BE49-F238E27FC236}">
              <a16:creationId xmlns:a16="http://schemas.microsoft.com/office/drawing/2014/main" id="{C42733C5-6290-497D-8926-853F0EBCD53A}"/>
            </a:ext>
          </a:extLst>
        </xdr:cNvPr>
        <xdr:cNvSpPr/>
      </xdr:nvSpPr>
      <xdr:spPr>
        <a:xfrm>
          <a:off x="2941320" y="506539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2</xdr:col>
      <xdr:colOff>220980</xdr:colOff>
      <xdr:row>29</xdr:row>
      <xdr:rowOff>189174</xdr:rowOff>
    </xdr:from>
    <xdr:to>
      <xdr:col>2</xdr:col>
      <xdr:colOff>470330</xdr:colOff>
      <xdr:row>29</xdr:row>
      <xdr:rowOff>472439</xdr:rowOff>
    </xdr:to>
    <xdr:sp macro="" textlink="">
      <xdr:nvSpPr>
        <xdr:cNvPr id="39" name="Cloud 38">
          <a:extLst>
            <a:ext uri="{FF2B5EF4-FFF2-40B4-BE49-F238E27FC236}">
              <a16:creationId xmlns:a16="http://schemas.microsoft.com/office/drawing/2014/main" id="{CE030723-FCF9-4F8E-8EAB-27C91479B9DA}"/>
            </a:ext>
          </a:extLst>
        </xdr:cNvPr>
        <xdr:cNvSpPr/>
      </xdr:nvSpPr>
      <xdr:spPr>
        <a:xfrm>
          <a:off x="1592580" y="5427924"/>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3</xdr:col>
      <xdr:colOff>228600</xdr:colOff>
      <xdr:row>29</xdr:row>
      <xdr:rowOff>182880</xdr:rowOff>
    </xdr:from>
    <xdr:to>
      <xdr:col>3</xdr:col>
      <xdr:colOff>477950</xdr:colOff>
      <xdr:row>29</xdr:row>
      <xdr:rowOff>466145</xdr:rowOff>
    </xdr:to>
    <xdr:sp macro="" textlink="">
      <xdr:nvSpPr>
        <xdr:cNvPr id="40" name="Cloud 39">
          <a:extLst>
            <a:ext uri="{FF2B5EF4-FFF2-40B4-BE49-F238E27FC236}">
              <a16:creationId xmlns:a16="http://schemas.microsoft.com/office/drawing/2014/main" id="{1D20E012-0874-426F-A401-F94CF15DA85F}"/>
            </a:ext>
          </a:extLst>
        </xdr:cNvPr>
        <xdr:cNvSpPr/>
      </xdr:nvSpPr>
      <xdr:spPr>
        <a:xfrm>
          <a:off x="2286000" y="5431155"/>
          <a:ext cx="249350" cy="0"/>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274320</xdr:colOff>
      <xdr:row>29</xdr:row>
      <xdr:rowOff>190500</xdr:rowOff>
    </xdr:from>
    <xdr:to>
      <xdr:col>1</xdr:col>
      <xdr:colOff>523670</xdr:colOff>
      <xdr:row>29</xdr:row>
      <xdr:rowOff>473765</xdr:rowOff>
    </xdr:to>
    <xdr:sp macro="" textlink="">
      <xdr:nvSpPr>
        <xdr:cNvPr id="41" name="Cloud 40">
          <a:extLst>
            <a:ext uri="{FF2B5EF4-FFF2-40B4-BE49-F238E27FC236}">
              <a16:creationId xmlns:a16="http://schemas.microsoft.com/office/drawing/2014/main" id="{A841F182-CCD8-47AB-92CF-836E32E12E6A}"/>
            </a:ext>
          </a:extLst>
        </xdr:cNvPr>
        <xdr:cNvSpPr/>
      </xdr:nvSpPr>
      <xdr:spPr>
        <a:xfrm>
          <a:off x="960120" y="5429250"/>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4</xdr:col>
      <xdr:colOff>198120</xdr:colOff>
      <xdr:row>29</xdr:row>
      <xdr:rowOff>198120</xdr:rowOff>
    </xdr:from>
    <xdr:to>
      <xdr:col>4</xdr:col>
      <xdr:colOff>447470</xdr:colOff>
      <xdr:row>29</xdr:row>
      <xdr:rowOff>481385</xdr:rowOff>
    </xdr:to>
    <xdr:sp macro="" textlink="">
      <xdr:nvSpPr>
        <xdr:cNvPr id="42" name="Cloud 41">
          <a:extLst>
            <a:ext uri="{FF2B5EF4-FFF2-40B4-BE49-F238E27FC236}">
              <a16:creationId xmlns:a16="http://schemas.microsoft.com/office/drawing/2014/main" id="{AA7F1A89-BA08-45D1-9299-C24D5A5455A6}"/>
            </a:ext>
          </a:extLst>
        </xdr:cNvPr>
        <xdr:cNvSpPr/>
      </xdr:nvSpPr>
      <xdr:spPr>
        <a:xfrm>
          <a:off x="2941320" y="5427345"/>
          <a:ext cx="249350" cy="0"/>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clientData/>
  </xdr:twoCellAnchor>
  <xdr:twoCellAnchor>
    <xdr:from>
      <xdr:col>1</xdr:col>
      <xdr:colOff>236220</xdr:colOff>
      <xdr:row>8</xdr:row>
      <xdr:rowOff>30480</xdr:rowOff>
    </xdr:from>
    <xdr:to>
      <xdr:col>4</xdr:col>
      <xdr:colOff>409370</xdr:colOff>
      <xdr:row>8</xdr:row>
      <xdr:rowOff>328985</xdr:rowOff>
    </xdr:to>
    <xdr:grpSp>
      <xdr:nvGrpSpPr>
        <xdr:cNvPr id="43" name="Group 42">
          <a:extLst>
            <a:ext uri="{FF2B5EF4-FFF2-40B4-BE49-F238E27FC236}">
              <a16:creationId xmlns:a16="http://schemas.microsoft.com/office/drawing/2014/main" id="{EEB428D8-134D-4987-A18B-5EFC6A6105EF}"/>
            </a:ext>
          </a:extLst>
        </xdr:cNvPr>
        <xdr:cNvGrpSpPr/>
      </xdr:nvGrpSpPr>
      <xdr:grpSpPr>
        <a:xfrm>
          <a:off x="841338" y="2036333"/>
          <a:ext cx="1988503" cy="298505"/>
          <a:chOff x="670560" y="2400300"/>
          <a:chExt cx="2184830" cy="298505"/>
        </a:xfrm>
      </xdr:grpSpPr>
      <xdr:sp macro="" textlink="">
        <xdr:nvSpPr>
          <xdr:cNvPr id="44" name="Cloud 43">
            <a:extLst>
              <a:ext uri="{FF2B5EF4-FFF2-40B4-BE49-F238E27FC236}">
                <a16:creationId xmlns:a16="http://schemas.microsoft.com/office/drawing/2014/main" id="{E547D394-DB1F-77B0-D2C1-8D1E3D6D997C}"/>
              </a:ext>
            </a:extLst>
          </xdr:cNvPr>
          <xdr:cNvSpPr/>
        </xdr:nvSpPr>
        <xdr:spPr>
          <a:xfrm>
            <a:off x="1287780" y="2406594"/>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45" name="Cloud 44">
            <a:extLst>
              <a:ext uri="{FF2B5EF4-FFF2-40B4-BE49-F238E27FC236}">
                <a16:creationId xmlns:a16="http://schemas.microsoft.com/office/drawing/2014/main" id="{FFFE4C4A-F2AD-9BFD-37C0-6C801F64FA25}"/>
              </a:ext>
            </a:extLst>
          </xdr:cNvPr>
          <xdr:cNvSpPr/>
        </xdr:nvSpPr>
        <xdr:spPr>
          <a:xfrm>
            <a:off x="1965960" y="2400300"/>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46" name="Cloud 45">
            <a:extLst>
              <a:ext uri="{FF2B5EF4-FFF2-40B4-BE49-F238E27FC236}">
                <a16:creationId xmlns:a16="http://schemas.microsoft.com/office/drawing/2014/main" id="{E5BB43A9-18EF-7920-4378-8B614FFF377A}"/>
              </a:ext>
            </a:extLst>
          </xdr:cNvPr>
          <xdr:cNvSpPr/>
        </xdr:nvSpPr>
        <xdr:spPr>
          <a:xfrm>
            <a:off x="670560" y="240792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47" name="Cloud 46">
            <a:extLst>
              <a:ext uri="{FF2B5EF4-FFF2-40B4-BE49-F238E27FC236}">
                <a16:creationId xmlns:a16="http://schemas.microsoft.com/office/drawing/2014/main" id="{9710A416-0BA3-CA41-ED87-74E7F9D8063E}"/>
              </a:ext>
            </a:extLst>
          </xdr:cNvPr>
          <xdr:cNvSpPr/>
        </xdr:nvSpPr>
        <xdr:spPr>
          <a:xfrm>
            <a:off x="2606040" y="241554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grpSp>
    <xdr:clientData/>
  </xdr:twoCellAnchor>
  <xdr:twoCellAnchor>
    <xdr:from>
      <xdr:col>1</xdr:col>
      <xdr:colOff>259080</xdr:colOff>
      <xdr:row>31</xdr:row>
      <xdr:rowOff>152400</xdr:rowOff>
    </xdr:from>
    <xdr:to>
      <xdr:col>4</xdr:col>
      <xdr:colOff>432230</xdr:colOff>
      <xdr:row>31</xdr:row>
      <xdr:rowOff>450905</xdr:rowOff>
    </xdr:to>
    <xdr:grpSp>
      <xdr:nvGrpSpPr>
        <xdr:cNvPr id="48" name="Group 47">
          <a:extLst>
            <a:ext uri="{FF2B5EF4-FFF2-40B4-BE49-F238E27FC236}">
              <a16:creationId xmlns:a16="http://schemas.microsoft.com/office/drawing/2014/main" id="{A3CAD66C-801A-478F-9F93-6DF3AE44C34F}"/>
            </a:ext>
          </a:extLst>
        </xdr:cNvPr>
        <xdr:cNvGrpSpPr/>
      </xdr:nvGrpSpPr>
      <xdr:grpSpPr>
        <a:xfrm>
          <a:off x="864198" y="9946341"/>
          <a:ext cx="1988503" cy="298505"/>
          <a:chOff x="670560" y="2400300"/>
          <a:chExt cx="2184830" cy="298505"/>
        </a:xfrm>
      </xdr:grpSpPr>
      <xdr:sp macro="" textlink="">
        <xdr:nvSpPr>
          <xdr:cNvPr id="49" name="Cloud 48">
            <a:extLst>
              <a:ext uri="{FF2B5EF4-FFF2-40B4-BE49-F238E27FC236}">
                <a16:creationId xmlns:a16="http://schemas.microsoft.com/office/drawing/2014/main" id="{998A96D9-90A1-850D-9F31-F53181BE2CC5}"/>
              </a:ext>
            </a:extLst>
          </xdr:cNvPr>
          <xdr:cNvSpPr/>
        </xdr:nvSpPr>
        <xdr:spPr>
          <a:xfrm>
            <a:off x="1287780" y="2406594"/>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50" name="Cloud 49">
            <a:extLst>
              <a:ext uri="{FF2B5EF4-FFF2-40B4-BE49-F238E27FC236}">
                <a16:creationId xmlns:a16="http://schemas.microsoft.com/office/drawing/2014/main" id="{3F46DDC2-4BBB-316A-441B-D48F234D8191}"/>
              </a:ext>
            </a:extLst>
          </xdr:cNvPr>
          <xdr:cNvSpPr/>
        </xdr:nvSpPr>
        <xdr:spPr>
          <a:xfrm>
            <a:off x="1965960" y="2400300"/>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51" name="Cloud 50">
            <a:extLst>
              <a:ext uri="{FF2B5EF4-FFF2-40B4-BE49-F238E27FC236}">
                <a16:creationId xmlns:a16="http://schemas.microsoft.com/office/drawing/2014/main" id="{61D25524-DC54-32F4-EEE3-5C96A542EF60}"/>
              </a:ext>
            </a:extLst>
          </xdr:cNvPr>
          <xdr:cNvSpPr/>
        </xdr:nvSpPr>
        <xdr:spPr>
          <a:xfrm>
            <a:off x="670560" y="240792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52" name="Cloud 51">
            <a:extLst>
              <a:ext uri="{FF2B5EF4-FFF2-40B4-BE49-F238E27FC236}">
                <a16:creationId xmlns:a16="http://schemas.microsoft.com/office/drawing/2014/main" id="{CF0379D1-D376-6882-1E69-3E1230B64E35}"/>
              </a:ext>
            </a:extLst>
          </xdr:cNvPr>
          <xdr:cNvSpPr/>
        </xdr:nvSpPr>
        <xdr:spPr>
          <a:xfrm>
            <a:off x="2606040" y="241554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grpSp>
    <xdr:clientData/>
  </xdr:twoCellAnchor>
  <xdr:twoCellAnchor>
    <xdr:from>
      <xdr:col>1</xdr:col>
      <xdr:colOff>281940</xdr:colOff>
      <xdr:row>9</xdr:row>
      <xdr:rowOff>99060</xdr:rowOff>
    </xdr:from>
    <xdr:to>
      <xdr:col>4</xdr:col>
      <xdr:colOff>455090</xdr:colOff>
      <xdr:row>9</xdr:row>
      <xdr:rowOff>397565</xdr:rowOff>
    </xdr:to>
    <xdr:grpSp>
      <xdr:nvGrpSpPr>
        <xdr:cNvPr id="53" name="Group 52">
          <a:extLst>
            <a:ext uri="{FF2B5EF4-FFF2-40B4-BE49-F238E27FC236}">
              <a16:creationId xmlns:a16="http://schemas.microsoft.com/office/drawing/2014/main" id="{F88F2D59-CA81-4773-9F06-964FDD934A4C}"/>
            </a:ext>
          </a:extLst>
        </xdr:cNvPr>
        <xdr:cNvGrpSpPr/>
      </xdr:nvGrpSpPr>
      <xdr:grpSpPr>
        <a:xfrm>
          <a:off x="887058" y="2541942"/>
          <a:ext cx="1988503" cy="298505"/>
          <a:chOff x="670560" y="2400300"/>
          <a:chExt cx="2184830" cy="298505"/>
        </a:xfrm>
      </xdr:grpSpPr>
      <xdr:sp macro="" textlink="">
        <xdr:nvSpPr>
          <xdr:cNvPr id="54" name="Cloud 53">
            <a:extLst>
              <a:ext uri="{FF2B5EF4-FFF2-40B4-BE49-F238E27FC236}">
                <a16:creationId xmlns:a16="http://schemas.microsoft.com/office/drawing/2014/main" id="{17A43EEE-67F1-764B-CAD9-4F5F70723EB2}"/>
              </a:ext>
            </a:extLst>
          </xdr:cNvPr>
          <xdr:cNvSpPr/>
        </xdr:nvSpPr>
        <xdr:spPr>
          <a:xfrm>
            <a:off x="1287780" y="2406594"/>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55" name="Cloud 54">
            <a:extLst>
              <a:ext uri="{FF2B5EF4-FFF2-40B4-BE49-F238E27FC236}">
                <a16:creationId xmlns:a16="http://schemas.microsoft.com/office/drawing/2014/main" id="{FF0537D0-15AB-F1EC-C10D-5E0836C800B1}"/>
              </a:ext>
            </a:extLst>
          </xdr:cNvPr>
          <xdr:cNvSpPr/>
        </xdr:nvSpPr>
        <xdr:spPr>
          <a:xfrm>
            <a:off x="1965960" y="2400300"/>
            <a:ext cx="249350" cy="283265"/>
          </a:xfrm>
          <a:prstGeom prst="cloud">
            <a:avLst/>
          </a:prstGeom>
          <a:noFill/>
          <a:ln w="317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56" name="Cloud 55">
            <a:extLst>
              <a:ext uri="{FF2B5EF4-FFF2-40B4-BE49-F238E27FC236}">
                <a16:creationId xmlns:a16="http://schemas.microsoft.com/office/drawing/2014/main" id="{92ACCD29-4432-2D01-FE14-E0615A41A2A6}"/>
              </a:ext>
            </a:extLst>
          </xdr:cNvPr>
          <xdr:cNvSpPr/>
        </xdr:nvSpPr>
        <xdr:spPr>
          <a:xfrm>
            <a:off x="670560" y="240792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sp macro="" textlink="">
        <xdr:nvSpPr>
          <xdr:cNvPr id="57" name="Cloud 56">
            <a:extLst>
              <a:ext uri="{FF2B5EF4-FFF2-40B4-BE49-F238E27FC236}">
                <a16:creationId xmlns:a16="http://schemas.microsoft.com/office/drawing/2014/main" id="{87D6FCF2-D22A-160C-AAB3-AA7D5B0FAD30}"/>
              </a:ext>
            </a:extLst>
          </xdr:cNvPr>
          <xdr:cNvSpPr/>
        </xdr:nvSpPr>
        <xdr:spPr>
          <a:xfrm>
            <a:off x="2606040" y="2415540"/>
            <a:ext cx="249350" cy="283265"/>
          </a:xfrm>
          <a:prstGeom prst="cloud">
            <a:avLst/>
          </a:prstGeom>
          <a:noFill/>
          <a:ln w="3175">
            <a:solidFill>
              <a:srgbClr val="DEE9D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a:p>
            <a:pPr algn="ctr"/>
            <a:r>
              <a:rPr lang="en-US" sz="1100"/>
              <a:t>A</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304800</xdr:colOff>
      <xdr:row>2</xdr:row>
      <xdr:rowOff>171450</xdr:rowOff>
    </xdr:from>
    <xdr:to>
      <xdr:col>21</xdr:col>
      <xdr:colOff>619125</xdr:colOff>
      <xdr:row>21</xdr:row>
      <xdr:rowOff>28575</xdr:rowOff>
    </xdr:to>
    <xdr:graphicFrame macro="">
      <xdr:nvGraphicFramePr>
        <xdr:cNvPr id="2" name="Chart 1">
          <a:extLst>
            <a:ext uri="{FF2B5EF4-FFF2-40B4-BE49-F238E27FC236}">
              <a16:creationId xmlns:a16="http://schemas.microsoft.com/office/drawing/2014/main" id="{DB9EA0F8-6E22-4E61-9AD8-BF9C101D80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7E8EA-A5C9-47F2-8D6E-B68B0450AD04}">
  <dimension ref="A1:AZ161"/>
  <sheetViews>
    <sheetView tabSelected="1" zoomScaleNormal="100" workbookViewId="0"/>
  </sheetViews>
  <sheetFormatPr defaultRowHeight="15" x14ac:dyDescent="0.25"/>
  <cols>
    <col min="1" max="2" width="8.85546875" customWidth="1"/>
    <col min="3" max="6" width="10.5703125" bestFit="1" customWidth="1"/>
    <col min="7" max="12" width="10.5703125" customWidth="1"/>
    <col min="13" max="13" width="10.5703125" bestFit="1" customWidth="1"/>
    <col min="30" max="30" width="10.5703125" bestFit="1" customWidth="1"/>
    <col min="31" max="31" width="8.85546875" customWidth="1"/>
    <col min="33" max="33" width="9.5703125" bestFit="1" customWidth="1"/>
    <col min="39" max="39" width="10.5703125" bestFit="1" customWidth="1"/>
  </cols>
  <sheetData>
    <row r="1" spans="1:1" x14ac:dyDescent="0.25">
      <c r="A1" t="s">
        <v>36</v>
      </c>
    </row>
    <row r="2" spans="1:1" x14ac:dyDescent="0.25">
      <c r="A2" t="s">
        <v>37</v>
      </c>
    </row>
    <row r="3" spans="1:1" x14ac:dyDescent="0.25">
      <c r="A3" t="s">
        <v>22</v>
      </c>
    </row>
    <row r="4" spans="1:1" x14ac:dyDescent="0.25">
      <c r="A4" t="s">
        <v>26</v>
      </c>
    </row>
    <row r="5" spans="1:1" x14ac:dyDescent="0.25">
      <c r="A5" t="s">
        <v>205</v>
      </c>
    </row>
    <row r="6" spans="1:1" x14ac:dyDescent="0.25">
      <c r="A6" t="s">
        <v>23</v>
      </c>
    </row>
    <row r="7" spans="1:1" x14ac:dyDescent="0.25">
      <c r="A7" t="s">
        <v>210</v>
      </c>
    </row>
    <row r="8" spans="1:1" x14ac:dyDescent="0.25">
      <c r="A8" t="s">
        <v>211</v>
      </c>
    </row>
    <row r="9" spans="1:1" x14ac:dyDescent="0.25">
      <c r="A9" t="s">
        <v>212</v>
      </c>
    </row>
    <row r="10" spans="1:1" x14ac:dyDescent="0.25">
      <c r="A10" t="s">
        <v>213</v>
      </c>
    </row>
    <row r="11" spans="1:1" x14ac:dyDescent="0.25">
      <c r="A11" t="s">
        <v>189</v>
      </c>
    </row>
    <row r="12" spans="1:1" x14ac:dyDescent="0.25">
      <c r="A12" t="s">
        <v>190</v>
      </c>
    </row>
    <row r="13" spans="1:1" x14ac:dyDescent="0.25">
      <c r="A13" t="s">
        <v>209</v>
      </c>
    </row>
    <row r="14" spans="1:1" x14ac:dyDescent="0.25">
      <c r="A14" t="s">
        <v>206</v>
      </c>
    </row>
    <row r="15" spans="1:1" x14ac:dyDescent="0.25">
      <c r="A15" t="s">
        <v>207</v>
      </c>
    </row>
    <row r="16" spans="1:1" x14ac:dyDescent="0.25">
      <c r="A16" t="s">
        <v>208</v>
      </c>
    </row>
    <row r="17" spans="1:2" x14ac:dyDescent="0.25">
      <c r="A17" t="s">
        <v>214</v>
      </c>
    </row>
    <row r="18" spans="1:2" x14ac:dyDescent="0.25">
      <c r="A18" t="s">
        <v>191</v>
      </c>
    </row>
    <row r="19" spans="1:2" x14ac:dyDescent="0.25">
      <c r="A19" t="s">
        <v>192</v>
      </c>
    </row>
    <row r="20" spans="1:2" x14ac:dyDescent="0.25">
      <c r="A20" t="s">
        <v>193</v>
      </c>
    </row>
    <row r="21" spans="1:2" x14ac:dyDescent="0.25">
      <c r="A21" t="s">
        <v>194</v>
      </c>
    </row>
    <row r="22" spans="1:2" x14ac:dyDescent="0.25">
      <c r="A22" t="s">
        <v>195</v>
      </c>
    </row>
    <row r="23" spans="1:2" x14ac:dyDescent="0.25">
      <c r="A23" t="s">
        <v>196</v>
      </c>
    </row>
    <row r="24" spans="1:2" x14ac:dyDescent="0.25">
      <c r="A24" t="s">
        <v>197</v>
      </c>
    </row>
    <row r="25" spans="1:2" x14ac:dyDescent="0.25">
      <c r="A25" t="s">
        <v>198</v>
      </c>
    </row>
    <row r="26" spans="1:2" x14ac:dyDescent="0.25">
      <c r="A26" t="s">
        <v>199</v>
      </c>
    </row>
    <row r="28" spans="1:2" x14ac:dyDescent="0.25">
      <c r="A28" t="s">
        <v>5</v>
      </c>
    </row>
    <row r="29" spans="1:2" x14ac:dyDescent="0.25">
      <c r="A29">
        <v>0.453592</v>
      </c>
      <c r="B29" t="s">
        <v>163</v>
      </c>
    </row>
    <row r="30" spans="1:2" x14ac:dyDescent="0.25">
      <c r="A30">
        <f>2*1.016*14.6</f>
        <v>29.667200000000001</v>
      </c>
      <c r="B30" t="s">
        <v>172</v>
      </c>
    </row>
    <row r="31" spans="1:2" x14ac:dyDescent="0.25">
      <c r="A31">
        <f>2*1.016*11.9</f>
        <v>24.180800000000001</v>
      </c>
      <c r="B31" t="s">
        <v>173</v>
      </c>
    </row>
    <row r="32" spans="1:2" x14ac:dyDescent="0.25">
      <c r="A32">
        <v>10000</v>
      </c>
      <c r="B32" t="s">
        <v>6</v>
      </c>
    </row>
    <row r="33" spans="1:52" x14ac:dyDescent="0.25">
      <c r="A33">
        <v>0.16</v>
      </c>
      <c r="B33" t="s">
        <v>165</v>
      </c>
      <c r="AB33" t="s">
        <v>215</v>
      </c>
    </row>
    <row r="35" spans="1:52" x14ac:dyDescent="0.25">
      <c r="B35" s="1"/>
      <c r="C35" s="1" t="s">
        <v>0</v>
      </c>
      <c r="D35" s="1" t="s">
        <v>0</v>
      </c>
      <c r="E35" t="s">
        <v>0</v>
      </c>
      <c r="F35" s="1" t="s">
        <v>0</v>
      </c>
      <c r="G35" t="s">
        <v>174</v>
      </c>
      <c r="H35" t="s">
        <v>174</v>
      </c>
      <c r="I35" t="s">
        <v>174</v>
      </c>
      <c r="J35" t="s">
        <v>174</v>
      </c>
      <c r="K35" s="1" t="s">
        <v>174</v>
      </c>
      <c r="L35" s="1" t="s">
        <v>174</v>
      </c>
      <c r="M35" s="1" t="s">
        <v>7</v>
      </c>
      <c r="N35" t="s">
        <v>7</v>
      </c>
      <c r="O35" t="s">
        <v>7</v>
      </c>
      <c r="P35" t="s">
        <v>7</v>
      </c>
      <c r="Q35" t="s">
        <v>7</v>
      </c>
      <c r="R35" s="1" t="s">
        <v>7</v>
      </c>
      <c r="S35" s="1" t="s">
        <v>7</v>
      </c>
      <c r="T35" s="1" t="s">
        <v>7</v>
      </c>
      <c r="U35" s="1" t="s">
        <v>16</v>
      </c>
      <c r="V35" s="1" t="s">
        <v>16</v>
      </c>
      <c r="W35" s="1" t="s">
        <v>16</v>
      </c>
      <c r="X35" s="1" t="s">
        <v>16</v>
      </c>
      <c r="Y35" s="1" t="s">
        <v>16</v>
      </c>
      <c r="Z35" s="1" t="s">
        <v>16</v>
      </c>
      <c r="AC35" t="s">
        <v>0</v>
      </c>
      <c r="AD35" t="s">
        <v>0</v>
      </c>
      <c r="AE35" t="s">
        <v>0</v>
      </c>
      <c r="AF35" t="s">
        <v>0</v>
      </c>
      <c r="AG35" t="s">
        <v>174</v>
      </c>
      <c r="AH35" t="s">
        <v>174</v>
      </c>
      <c r="AI35" t="s">
        <v>174</v>
      </c>
      <c r="AJ35" t="s">
        <v>174</v>
      </c>
      <c r="AK35" t="s">
        <v>174</v>
      </c>
      <c r="AL35" t="s">
        <v>174</v>
      </c>
      <c r="AM35" t="s">
        <v>7</v>
      </c>
      <c r="AN35" t="s">
        <v>7</v>
      </c>
      <c r="AO35" t="s">
        <v>7</v>
      </c>
      <c r="AP35" t="s">
        <v>7</v>
      </c>
      <c r="AQ35" t="s">
        <v>7</v>
      </c>
      <c r="AR35" t="s">
        <v>7</v>
      </c>
      <c r="AS35" t="s">
        <v>7</v>
      </c>
      <c r="AT35" t="s">
        <v>7</v>
      </c>
      <c r="AU35" t="s">
        <v>16</v>
      </c>
      <c r="AV35" t="s">
        <v>16</v>
      </c>
      <c r="AW35" t="s">
        <v>16</v>
      </c>
      <c r="AX35" t="s">
        <v>16</v>
      </c>
      <c r="AY35" t="s">
        <v>16</v>
      </c>
      <c r="AZ35" t="s">
        <v>16</v>
      </c>
    </row>
    <row r="36" spans="1:52" x14ac:dyDescent="0.25">
      <c r="B36" s="1"/>
      <c r="C36" s="1"/>
      <c r="D36" s="1"/>
      <c r="F36" s="1"/>
      <c r="H36" t="s">
        <v>177</v>
      </c>
      <c r="I36" t="s">
        <v>178</v>
      </c>
      <c r="J36" t="s">
        <v>179</v>
      </c>
      <c r="K36" s="1"/>
      <c r="L36" s="1"/>
      <c r="M36" s="1"/>
      <c r="R36" s="1"/>
      <c r="S36" s="1"/>
      <c r="T36" s="1"/>
      <c r="U36" s="1"/>
      <c r="V36" s="1"/>
      <c r="W36" s="1"/>
      <c r="X36" s="1"/>
      <c r="Y36" s="1"/>
      <c r="Z36" s="1"/>
      <c r="AH36" t="s">
        <v>177</v>
      </c>
      <c r="AI36" t="s">
        <v>178</v>
      </c>
      <c r="AJ36" t="s">
        <v>179</v>
      </c>
    </row>
    <row r="37" spans="1:52" x14ac:dyDescent="0.25">
      <c r="B37" s="1"/>
      <c r="C37" s="1"/>
      <c r="D37" s="1"/>
      <c r="E37" t="s">
        <v>1</v>
      </c>
      <c r="F37" s="1"/>
      <c r="G37" t="s">
        <v>175</v>
      </c>
      <c r="H37" t="s">
        <v>176</v>
      </c>
      <c r="I37" t="s">
        <v>8</v>
      </c>
      <c r="J37" t="s">
        <v>8</v>
      </c>
      <c r="K37" s="1"/>
      <c r="L37" s="1"/>
      <c r="M37" s="1" t="s">
        <v>24</v>
      </c>
      <c r="N37" t="s">
        <v>8</v>
      </c>
      <c r="O37" t="s">
        <v>183</v>
      </c>
      <c r="P37" t="s">
        <v>10</v>
      </c>
      <c r="Q37" t="s">
        <v>11</v>
      </c>
      <c r="R37" s="1"/>
      <c r="S37" s="1"/>
      <c r="T37" s="1"/>
      <c r="U37" s="1"/>
      <c r="V37" s="1"/>
      <c r="W37" s="1"/>
      <c r="X37" s="1"/>
      <c r="Y37" s="1"/>
      <c r="Z37" s="1"/>
      <c r="AE37" t="s">
        <v>1</v>
      </c>
      <c r="AG37" t="s">
        <v>175</v>
      </c>
      <c r="AH37" t="s">
        <v>176</v>
      </c>
      <c r="AI37" t="s">
        <v>8</v>
      </c>
      <c r="AJ37" t="s">
        <v>8</v>
      </c>
      <c r="AM37" t="s">
        <v>24</v>
      </c>
      <c r="AN37" t="s">
        <v>8</v>
      </c>
      <c r="AO37" t="s">
        <v>183</v>
      </c>
      <c r="AP37" t="s">
        <v>10</v>
      </c>
      <c r="AQ37" t="s">
        <v>11</v>
      </c>
    </row>
    <row r="38" spans="1:52" x14ac:dyDescent="0.25">
      <c r="A38" t="s">
        <v>35</v>
      </c>
      <c r="B38" s="1" t="s">
        <v>27</v>
      </c>
      <c r="C38" s="1" t="s">
        <v>21</v>
      </c>
      <c r="D38" s="1" t="s">
        <v>2</v>
      </c>
      <c r="E38" t="s">
        <v>171</v>
      </c>
      <c r="F38" s="1" t="s">
        <v>3</v>
      </c>
      <c r="G38" t="s">
        <v>176</v>
      </c>
      <c r="H38" t="s">
        <v>162</v>
      </c>
      <c r="I38" t="s">
        <v>166</v>
      </c>
      <c r="J38" t="s">
        <v>166</v>
      </c>
      <c r="K38" s="1" t="s">
        <v>180</v>
      </c>
      <c r="L38" s="1" t="s">
        <v>181</v>
      </c>
      <c r="M38" s="1" t="s">
        <v>25</v>
      </c>
      <c r="N38" t="s">
        <v>164</v>
      </c>
      <c r="O38" t="s">
        <v>184</v>
      </c>
      <c r="P38" t="s">
        <v>184</v>
      </c>
      <c r="Q38" t="s">
        <v>185</v>
      </c>
      <c r="R38" s="1" t="s">
        <v>12</v>
      </c>
      <c r="S38" s="1" t="s">
        <v>13</v>
      </c>
      <c r="T38" s="1" t="s">
        <v>14</v>
      </c>
      <c r="U38" s="1" t="s">
        <v>17</v>
      </c>
      <c r="V38" s="1" t="s">
        <v>18</v>
      </c>
      <c r="W38" s="1" t="s">
        <v>19</v>
      </c>
      <c r="X38" s="1" t="s">
        <v>186</v>
      </c>
      <c r="Y38" s="1" t="s">
        <v>187</v>
      </c>
      <c r="Z38" s="1" t="s">
        <v>188</v>
      </c>
      <c r="AB38" t="s">
        <v>20</v>
      </c>
      <c r="AC38" t="s">
        <v>21</v>
      </c>
      <c r="AD38" t="s">
        <v>2</v>
      </c>
      <c r="AE38" t="s">
        <v>171</v>
      </c>
      <c r="AF38" t="s">
        <v>3</v>
      </c>
      <c r="AG38" t="s">
        <v>176</v>
      </c>
      <c r="AH38" t="s">
        <v>162</v>
      </c>
      <c r="AI38" t="s">
        <v>166</v>
      </c>
      <c r="AJ38" t="s">
        <v>166</v>
      </c>
      <c r="AK38" t="s">
        <v>180</v>
      </c>
      <c r="AL38" t="s">
        <v>181</v>
      </c>
      <c r="AM38" t="s">
        <v>25</v>
      </c>
      <c r="AN38" t="s">
        <v>164</v>
      </c>
      <c r="AO38" t="s">
        <v>184</v>
      </c>
      <c r="AP38" t="s">
        <v>184</v>
      </c>
      <c r="AQ38" t="s">
        <v>185</v>
      </c>
      <c r="AR38" t="s">
        <v>12</v>
      </c>
      <c r="AS38" t="s">
        <v>13</v>
      </c>
      <c r="AT38" t="s">
        <v>14</v>
      </c>
      <c r="AU38" t="s">
        <v>17</v>
      </c>
      <c r="AV38" t="s">
        <v>18</v>
      </c>
      <c r="AW38" t="s">
        <v>19</v>
      </c>
      <c r="AX38" t="s">
        <v>186</v>
      </c>
      <c r="AY38" t="s">
        <v>187</v>
      </c>
      <c r="AZ38" t="s">
        <v>188</v>
      </c>
    </row>
    <row r="39" spans="1:52" x14ac:dyDescent="0.25">
      <c r="B39" s="1"/>
      <c r="C39" s="1"/>
      <c r="D39" s="1"/>
      <c r="E39" t="s">
        <v>161</v>
      </c>
      <c r="F39" s="1" t="s">
        <v>4</v>
      </c>
      <c r="G39" t="s">
        <v>9</v>
      </c>
      <c r="H39" t="s">
        <v>9</v>
      </c>
      <c r="I39" t="s">
        <v>9</v>
      </c>
      <c r="J39" t="s">
        <v>9</v>
      </c>
      <c r="K39" s="1" t="s">
        <v>182</v>
      </c>
      <c r="L39" s="1" t="s">
        <v>4</v>
      </c>
      <c r="M39" s="1"/>
      <c r="N39" t="s">
        <v>38</v>
      </c>
      <c r="O39" t="s">
        <v>161</v>
      </c>
      <c r="P39" t="s">
        <v>161</v>
      </c>
      <c r="Q39" t="s">
        <v>161</v>
      </c>
      <c r="R39" s="5" t="s">
        <v>15</v>
      </c>
      <c r="S39" s="5" t="s">
        <v>15</v>
      </c>
      <c r="T39" s="5" t="s">
        <v>15</v>
      </c>
      <c r="U39" s="5" t="s">
        <v>4</v>
      </c>
      <c r="V39" s="5" t="s">
        <v>4</v>
      </c>
      <c r="W39" s="5" t="s">
        <v>4</v>
      </c>
      <c r="X39" s="5" t="s">
        <v>4</v>
      </c>
      <c r="Y39" s="5" t="s">
        <v>4</v>
      </c>
      <c r="Z39" s="5" t="s">
        <v>4</v>
      </c>
      <c r="AE39" t="s">
        <v>161</v>
      </c>
      <c r="AF39" s="7" t="s">
        <v>4</v>
      </c>
      <c r="AG39" t="s">
        <v>9</v>
      </c>
      <c r="AH39" t="s">
        <v>9</v>
      </c>
      <c r="AI39" t="s">
        <v>9</v>
      </c>
      <c r="AJ39" t="s">
        <v>9</v>
      </c>
      <c r="AK39" t="s">
        <v>182</v>
      </c>
      <c r="AL39" t="s">
        <v>4</v>
      </c>
      <c r="AN39" t="s">
        <v>38</v>
      </c>
      <c r="AO39" t="s">
        <v>161</v>
      </c>
      <c r="AP39" t="s">
        <v>161</v>
      </c>
      <c r="AQ39" t="s">
        <v>161</v>
      </c>
      <c r="AR39" t="s">
        <v>15</v>
      </c>
      <c r="AS39" t="s">
        <v>15</v>
      </c>
      <c r="AT39" t="s">
        <v>15</v>
      </c>
      <c r="AU39" t="s">
        <v>4</v>
      </c>
      <c r="AV39" t="s">
        <v>4</v>
      </c>
      <c r="AW39" t="s">
        <v>4</v>
      </c>
      <c r="AX39" t="s">
        <v>4</v>
      </c>
      <c r="AY39" t="s">
        <v>4</v>
      </c>
      <c r="AZ39" t="s">
        <v>4</v>
      </c>
    </row>
    <row r="40" spans="1:52" x14ac:dyDescent="0.25">
      <c r="A40" t="s">
        <v>35</v>
      </c>
      <c r="B40" s="1" t="s">
        <v>27</v>
      </c>
      <c r="C40" s="1" t="s">
        <v>21</v>
      </c>
      <c r="D40" s="1" t="s">
        <v>2</v>
      </c>
      <c r="F40" s="1" t="s">
        <v>3</v>
      </c>
      <c r="K40" s="1" t="s">
        <v>180</v>
      </c>
      <c r="L40" s="1" t="s">
        <v>181</v>
      </c>
      <c r="M40" s="1" t="s">
        <v>25</v>
      </c>
      <c r="R40" s="1" t="s">
        <v>12</v>
      </c>
      <c r="S40" s="1" t="s">
        <v>13</v>
      </c>
      <c r="T40" s="1" t="s">
        <v>14</v>
      </c>
      <c r="U40" s="1" t="s">
        <v>17</v>
      </c>
      <c r="V40" s="1" t="s">
        <v>18</v>
      </c>
      <c r="W40" s="1" t="s">
        <v>19</v>
      </c>
      <c r="X40" s="1" t="s">
        <v>186</v>
      </c>
      <c r="Y40" s="1" t="s">
        <v>187</v>
      </c>
      <c r="Z40" s="1" t="s">
        <v>188</v>
      </c>
      <c r="AB40" t="s">
        <v>20</v>
      </c>
      <c r="AC40" t="s">
        <v>21</v>
      </c>
      <c r="AD40" t="s">
        <v>2</v>
      </c>
      <c r="AF40" t="s">
        <v>3</v>
      </c>
      <c r="AK40" t="s">
        <v>180</v>
      </c>
      <c r="AL40" t="s">
        <v>181</v>
      </c>
      <c r="AM40" t="s">
        <v>25</v>
      </c>
      <c r="AR40" t="s">
        <v>12</v>
      </c>
      <c r="AS40" t="s">
        <v>13</v>
      </c>
      <c r="AT40" t="s">
        <v>14</v>
      </c>
      <c r="AU40" t="s">
        <v>17</v>
      </c>
      <c r="AV40" t="s">
        <v>18</v>
      </c>
      <c r="AW40" t="s">
        <v>19</v>
      </c>
      <c r="AX40" t="s">
        <v>186</v>
      </c>
      <c r="AY40" t="s">
        <v>187</v>
      </c>
      <c r="AZ40" t="s">
        <v>188</v>
      </c>
    </row>
    <row r="41" spans="1:52" x14ac:dyDescent="0.25">
      <c r="A41">
        <v>1</v>
      </c>
      <c r="B41" s="1" t="s">
        <v>39</v>
      </c>
      <c r="C41" s="1" t="s">
        <v>160</v>
      </c>
      <c r="D41" s="2">
        <v>41955</v>
      </c>
      <c r="E41" s="3">
        <v>13.099999999999998</v>
      </c>
      <c r="F41" s="4">
        <f>E41*$A$29/$A$30*$A$32</f>
        <v>2002.9039477941965</v>
      </c>
      <c r="G41" s="7">
        <v>11.91</v>
      </c>
      <c r="H41" s="7">
        <v>240.43</v>
      </c>
      <c r="I41" s="7">
        <f>H41-G41</f>
        <v>228.52</v>
      </c>
      <c r="J41" s="7">
        <v>214.2</v>
      </c>
      <c r="K41" s="5">
        <f>(I41-J41)/I41*100</f>
        <v>6.2664099422370123</v>
      </c>
      <c r="L41" s="4">
        <f>F41*(1-K41/100)</f>
        <v>1877.3937756761632</v>
      </c>
      <c r="M41" s="2">
        <v>41957</v>
      </c>
      <c r="N41" s="7">
        <v>1.52</v>
      </c>
      <c r="O41" s="7">
        <f>N41/$A$29-$A$33</f>
        <v>3.1910291186793418</v>
      </c>
      <c r="P41" s="7">
        <v>0.93699999999999994</v>
      </c>
      <c r="Q41" s="7">
        <v>1.4330000000000003</v>
      </c>
      <c r="R41" s="6">
        <f>P41/O41</f>
        <v>0.29363567838196108</v>
      </c>
      <c r="S41" s="6">
        <f>Q41/O41</f>
        <v>0.44907142702385311</v>
      </c>
      <c r="T41" s="6">
        <f>1-R41-S41</f>
        <v>0.25729289459418575</v>
      </c>
      <c r="U41" s="4">
        <f t="shared" ref="U41:U55" si="0">F41*R41</f>
        <v>588.12405944445686</v>
      </c>
      <c r="V41" s="4">
        <f t="shared" ref="V41:V55" si="1">F41*S41</f>
        <v>899.44693402764881</v>
      </c>
      <c r="W41" s="4">
        <f>U41+V41</f>
        <v>1487.5709934721058</v>
      </c>
      <c r="X41" s="4">
        <f>L41*R41</f>
        <v>551.26979491074144</v>
      </c>
      <c r="Y41" s="4">
        <f>L41*S41</f>
        <v>843.08390192859417</v>
      </c>
      <c r="Z41" s="4">
        <f>X41+Y41</f>
        <v>1394.3536968393355</v>
      </c>
      <c r="AA41" s="3"/>
      <c r="AB41" t="s">
        <v>167</v>
      </c>
      <c r="AC41" t="str">
        <f>C41</f>
        <v>Machine</v>
      </c>
      <c r="AD41" s="8">
        <f>D41</f>
        <v>41955</v>
      </c>
      <c r="AE41" s="3">
        <f>SUM(E41:E51)</f>
        <v>294.19999999999993</v>
      </c>
      <c r="AF41" s="3">
        <f>AE41*$A$29/($A$30*10+$A$31)*$A$32</f>
        <v>4159.1273755441734</v>
      </c>
      <c r="AG41" s="7">
        <f>SUM(G41:G51)</f>
        <v>131.18</v>
      </c>
      <c r="AH41" s="7">
        <f>SUM(H41:H51)</f>
        <v>2563.6699999999996</v>
      </c>
      <c r="AI41" s="7">
        <f>AH41-AG41</f>
        <v>2432.4899999999998</v>
      </c>
      <c r="AJ41" s="7">
        <f>SUM(J41:J51)</f>
        <v>2268.08</v>
      </c>
      <c r="AK41" s="7">
        <f>(AI41-AJ41)/AI41*100</f>
        <v>6.7589178167227777</v>
      </c>
      <c r="AL41" s="3">
        <f>AF41*(1-AK41/100)</f>
        <v>3878.0153743383239</v>
      </c>
      <c r="AM41" s="11">
        <f>M41</f>
        <v>41957</v>
      </c>
      <c r="AN41" s="7">
        <f>SUM(N41:N51)</f>
        <v>19.660000000000004</v>
      </c>
      <c r="AO41" s="7">
        <f>AN41/$A$29-$A$33*11</f>
        <v>41.582916100813073</v>
      </c>
      <c r="AP41" s="7">
        <f>SUM(P41:P51)</f>
        <v>12.378000000000004</v>
      </c>
      <c r="AQ41" s="7">
        <f>SUM(Q41:Q51)</f>
        <v>19.983999999999998</v>
      </c>
      <c r="AR41" s="9">
        <f>AP41/AO41</f>
        <v>0.29767032138849869</v>
      </c>
      <c r="AS41" s="9">
        <f>AQ41/AO41</f>
        <v>0.48058197629889765</v>
      </c>
      <c r="AT41" s="9">
        <f>1-AR41-AS41</f>
        <v>0.22174770231260366</v>
      </c>
      <c r="AU41" s="3">
        <f>AF41*AR41</f>
        <v>1238.0487825739372</v>
      </c>
      <c r="AV41" s="3">
        <f>AF41*AS41</f>
        <v>1998.8016538178663</v>
      </c>
      <c r="AW41" s="3">
        <f>AU41+AV41</f>
        <v>3236.8504363918037</v>
      </c>
      <c r="AX41" s="3">
        <f>AL41*AR41</f>
        <v>1154.3700828288279</v>
      </c>
      <c r="AY41" s="3">
        <f>AL41*AS41</f>
        <v>1863.7042927170212</v>
      </c>
      <c r="AZ41" s="3">
        <f>AX41+AY41</f>
        <v>3018.0743755458489</v>
      </c>
    </row>
    <row r="42" spans="1:52" x14ac:dyDescent="0.25">
      <c r="A42">
        <v>2</v>
      </c>
      <c r="B42" s="1" t="s">
        <v>40</v>
      </c>
      <c r="C42" s="1" t="s">
        <v>160</v>
      </c>
      <c r="D42" s="2">
        <v>41955</v>
      </c>
      <c r="E42" s="3">
        <v>35.4</v>
      </c>
      <c r="F42" s="4">
        <f t="shared" ref="F42:F105" si="2">E42*$A$29/$A$30*$A$32</f>
        <v>5412.4274619782109</v>
      </c>
      <c r="G42" s="7">
        <v>12.03</v>
      </c>
      <c r="H42" s="7">
        <v>276.02999999999997</v>
      </c>
      <c r="I42" s="7">
        <f t="shared" ref="I42:I105" si="3">H42-G42</f>
        <v>264</v>
      </c>
      <c r="J42" s="7">
        <v>243.33</v>
      </c>
      <c r="K42" s="5">
        <f t="shared" ref="K42:K105" si="4">(I42-J42)/I42*100</f>
        <v>7.8295454545454497</v>
      </c>
      <c r="L42" s="4">
        <f t="shared" ref="L42:L105" si="5">F42*(1-K42/100)</f>
        <v>4988.658993648326</v>
      </c>
      <c r="M42" s="2">
        <v>41957</v>
      </c>
      <c r="N42" s="7">
        <v>2.17</v>
      </c>
      <c r="O42" s="7">
        <f t="shared" ref="O42:O105" si="6">N42/$A$29-$A$33</f>
        <v>4.6240349917987968</v>
      </c>
      <c r="P42" s="7">
        <v>1.37</v>
      </c>
      <c r="Q42" s="7">
        <v>2.1889999999999996</v>
      </c>
      <c r="R42" s="6">
        <f t="shared" ref="R42:R105" si="7">P42/O42</f>
        <v>0.29627803475316178</v>
      </c>
      <c r="S42" s="6">
        <f t="shared" ref="S42:S105" si="8">Q42/O42</f>
        <v>0.47339607158735109</v>
      </c>
      <c r="T42" s="6">
        <f t="shared" ref="T42:T105" si="9">1-R42-S42</f>
        <v>0.23032589365948719</v>
      </c>
      <c r="U42" s="4">
        <f t="shared" si="0"/>
        <v>1603.5833716789475</v>
      </c>
      <c r="V42" s="4">
        <f t="shared" si="1"/>
        <v>2562.2218982519821</v>
      </c>
      <c r="W42" s="4">
        <f t="shared" ref="W42:W105" si="10">U42+V42</f>
        <v>4165.8052699309301</v>
      </c>
      <c r="X42" s="4">
        <f t="shared" ref="X42:X105" si="11">L42*R42</f>
        <v>1478.0300826918119</v>
      </c>
      <c r="Y42" s="4">
        <f t="shared" ref="Y42:Y105" si="12">L42*S42</f>
        <v>2361.611570082026</v>
      </c>
      <c r="Z42" s="4">
        <f t="shared" ref="Z42:Z105" si="13">X42+Y42</f>
        <v>3839.6416527738379</v>
      </c>
      <c r="AA42" s="3"/>
      <c r="AE42" s="3"/>
      <c r="AF42" s="3"/>
      <c r="AG42" s="7"/>
      <c r="AH42" s="7"/>
      <c r="AI42" s="7"/>
      <c r="AJ42" s="7"/>
      <c r="AK42" s="7"/>
      <c r="AL42" s="3"/>
      <c r="AM42" s="9"/>
      <c r="AN42" s="7"/>
      <c r="AO42" s="7"/>
      <c r="AP42" s="7"/>
      <c r="AQ42" s="7"/>
      <c r="AR42" s="9"/>
      <c r="AS42" s="9"/>
      <c r="AT42" s="9"/>
      <c r="AU42" s="3"/>
      <c r="AV42" s="3"/>
      <c r="AW42" s="3"/>
      <c r="AX42" s="3"/>
      <c r="AY42" s="3"/>
      <c r="AZ42" s="3"/>
    </row>
    <row r="43" spans="1:52" x14ac:dyDescent="0.25">
      <c r="A43">
        <v>3</v>
      </c>
      <c r="B43" s="1" t="s">
        <v>41</v>
      </c>
      <c r="C43" s="1" t="s">
        <v>160</v>
      </c>
      <c r="D43" s="2">
        <v>41955</v>
      </c>
      <c r="E43" s="3">
        <v>34.599999999999994</v>
      </c>
      <c r="F43" s="4">
        <f t="shared" si="2"/>
        <v>5290.1127170747486</v>
      </c>
      <c r="G43" s="7">
        <v>11.88</v>
      </c>
      <c r="H43" s="7">
        <v>259.13</v>
      </c>
      <c r="I43" s="7">
        <f t="shared" si="3"/>
        <v>247.25</v>
      </c>
      <c r="J43" s="7">
        <v>231.07</v>
      </c>
      <c r="K43" s="5">
        <f t="shared" si="4"/>
        <v>6.5439838220424695</v>
      </c>
      <c r="L43" s="4">
        <f t="shared" si="5"/>
        <v>4943.9285967015658</v>
      </c>
      <c r="M43" s="2">
        <v>41957</v>
      </c>
      <c r="N43" s="7">
        <v>1.6</v>
      </c>
      <c r="O43" s="7">
        <f t="shared" si="6"/>
        <v>3.3673990722940439</v>
      </c>
      <c r="P43" s="7">
        <v>0.93699999999999994</v>
      </c>
      <c r="Q43" s="7">
        <v>1.6220000000000003</v>
      </c>
      <c r="R43" s="6">
        <f t="shared" si="7"/>
        <v>0.27825629807567409</v>
      </c>
      <c r="S43" s="6">
        <f t="shared" si="8"/>
        <v>0.48167739111925667</v>
      </c>
      <c r="T43" s="6">
        <f t="shared" si="9"/>
        <v>0.24006631080506924</v>
      </c>
      <c r="U43" s="4">
        <f t="shared" si="0"/>
        <v>1472.0071810562654</v>
      </c>
      <c r="V43" s="4">
        <f t="shared" si="1"/>
        <v>2548.1276922873672</v>
      </c>
      <c r="W43" s="4">
        <f t="shared" si="10"/>
        <v>4020.1348733436325</v>
      </c>
      <c r="X43" s="4">
        <f t="shared" si="11"/>
        <v>1375.6792692686399</v>
      </c>
      <c r="Y43" s="4">
        <f t="shared" si="12"/>
        <v>2381.3786283390978</v>
      </c>
      <c r="Z43" s="4">
        <f t="shared" si="13"/>
        <v>3757.0578976077377</v>
      </c>
      <c r="AA43" s="3"/>
      <c r="AE43" s="3"/>
      <c r="AF43" s="3"/>
      <c r="AG43" s="7"/>
      <c r="AH43" s="7"/>
      <c r="AI43" s="7"/>
      <c r="AJ43" s="7"/>
      <c r="AK43" s="7"/>
      <c r="AL43" s="3"/>
      <c r="AM43" s="9"/>
      <c r="AN43" s="7"/>
      <c r="AO43" s="7"/>
      <c r="AP43" s="7"/>
      <c r="AQ43" s="7"/>
      <c r="AR43" s="9"/>
      <c r="AS43" s="9"/>
      <c r="AT43" s="9"/>
      <c r="AU43" s="3"/>
      <c r="AV43" s="3"/>
      <c r="AW43" s="3"/>
      <c r="AX43" s="3"/>
      <c r="AY43" s="3"/>
      <c r="AZ43" s="3"/>
    </row>
    <row r="44" spans="1:52" x14ac:dyDescent="0.25">
      <c r="A44">
        <v>4</v>
      </c>
      <c r="B44" s="1" t="s">
        <v>42</v>
      </c>
      <c r="C44" s="1" t="s">
        <v>160</v>
      </c>
      <c r="D44" s="2">
        <v>41955</v>
      </c>
      <c r="E44" s="3">
        <v>35.599999999999994</v>
      </c>
      <c r="F44" s="4">
        <f t="shared" si="2"/>
        <v>5443.0061482040755</v>
      </c>
      <c r="G44" s="7">
        <v>12.02</v>
      </c>
      <c r="H44" s="7">
        <v>268.06</v>
      </c>
      <c r="I44" s="7">
        <f t="shared" si="3"/>
        <v>256.04000000000002</v>
      </c>
      <c r="J44" s="7">
        <v>239.34</v>
      </c>
      <c r="K44" s="5">
        <f t="shared" si="4"/>
        <v>6.5224183721293612</v>
      </c>
      <c r="L44" s="4">
        <f t="shared" si="5"/>
        <v>5087.9905151974826</v>
      </c>
      <c r="M44" s="2">
        <v>41957</v>
      </c>
      <c r="N44" s="7">
        <v>1.8</v>
      </c>
      <c r="O44" s="7">
        <f t="shared" si="6"/>
        <v>3.8083239563307996</v>
      </c>
      <c r="P44" s="7">
        <v>0.93699999999999994</v>
      </c>
      <c r="Q44" s="7">
        <v>1.8109999999999995</v>
      </c>
      <c r="R44" s="6">
        <f t="shared" si="7"/>
        <v>0.24603999311622901</v>
      </c>
      <c r="S44" s="6">
        <f t="shared" si="8"/>
        <v>0.47553727591621198</v>
      </c>
      <c r="T44" s="6">
        <f t="shared" si="9"/>
        <v>0.27842273096755898</v>
      </c>
      <c r="U44" s="4">
        <f t="shared" si="0"/>
        <v>1339.197195235723</v>
      </c>
      <c r="V44" s="4">
        <f t="shared" si="1"/>
        <v>2588.3523165121596</v>
      </c>
      <c r="W44" s="4">
        <f t="shared" si="10"/>
        <v>3927.5495117478827</v>
      </c>
      <c r="X44" s="4">
        <f t="shared" si="11"/>
        <v>1251.8491513346271</v>
      </c>
      <c r="Y44" s="4">
        <f t="shared" si="12"/>
        <v>2419.5291494845346</v>
      </c>
      <c r="Z44" s="4">
        <f t="shared" si="13"/>
        <v>3671.3783008191617</v>
      </c>
      <c r="AA44" s="3"/>
      <c r="AE44" s="3"/>
      <c r="AF44" s="3"/>
      <c r="AG44" s="7"/>
      <c r="AH44" s="7"/>
      <c r="AI44" s="7"/>
      <c r="AJ44" s="7"/>
      <c r="AK44" s="7"/>
      <c r="AL44" s="3"/>
      <c r="AM44" s="9"/>
      <c r="AN44" s="7"/>
      <c r="AO44" s="7"/>
      <c r="AP44" s="7"/>
      <c r="AQ44" s="7"/>
      <c r="AR44" s="9"/>
      <c r="AS44" s="9"/>
      <c r="AT44" s="9"/>
      <c r="AU44" s="3"/>
      <c r="AV44" s="3"/>
      <c r="AW44" s="3"/>
      <c r="AX44" s="3"/>
      <c r="AY44" s="3"/>
      <c r="AZ44" s="3"/>
    </row>
    <row r="45" spans="1:52" x14ac:dyDescent="0.25">
      <c r="A45">
        <v>5</v>
      </c>
      <c r="B45" s="1" t="s">
        <v>43</v>
      </c>
      <c r="C45" s="1" t="s">
        <v>160</v>
      </c>
      <c r="D45" s="2">
        <v>41955</v>
      </c>
      <c r="E45" s="3">
        <v>31.7</v>
      </c>
      <c r="F45" s="4">
        <f t="shared" si="2"/>
        <v>4846.7217667996974</v>
      </c>
      <c r="G45" s="7">
        <v>11.9</v>
      </c>
      <c r="H45" s="7">
        <v>182.86</v>
      </c>
      <c r="I45" s="7">
        <f t="shared" si="3"/>
        <v>170.96</v>
      </c>
      <c r="J45" s="7">
        <v>159.96</v>
      </c>
      <c r="K45" s="5">
        <f t="shared" si="4"/>
        <v>6.4342536265793173</v>
      </c>
      <c r="L45" s="4">
        <f t="shared" si="5"/>
        <v>4534.8713957491782</v>
      </c>
      <c r="M45" s="2">
        <v>41957</v>
      </c>
      <c r="N45" s="7">
        <v>2.04</v>
      </c>
      <c r="O45" s="7">
        <f t="shared" si="6"/>
        <v>4.3374338171749063</v>
      </c>
      <c r="P45" s="7">
        <v>1.3149999999999999</v>
      </c>
      <c r="Q45" s="7">
        <v>2.0630000000000002</v>
      </c>
      <c r="R45" s="6">
        <f t="shared" si="7"/>
        <v>0.30317465474470268</v>
      </c>
      <c r="S45" s="6">
        <f t="shared" si="8"/>
        <v>0.47562685379340047</v>
      </c>
      <c r="T45" s="6">
        <f t="shared" si="9"/>
        <v>0.2211984914618968</v>
      </c>
      <c r="U45" s="4">
        <f t="shared" si="0"/>
        <v>1469.4031982931335</v>
      </c>
      <c r="V45" s="4">
        <f t="shared" si="1"/>
        <v>2305.2310251549311</v>
      </c>
      <c r="W45" s="4">
        <f t="shared" si="10"/>
        <v>3774.6342234480644</v>
      </c>
      <c r="X45" s="4">
        <f t="shared" si="11"/>
        <v>1374.858069717885</v>
      </c>
      <c r="Y45" s="4">
        <f t="shared" si="12"/>
        <v>2156.9066143178684</v>
      </c>
      <c r="Z45" s="4">
        <f t="shared" si="13"/>
        <v>3531.7646840357534</v>
      </c>
      <c r="AA45" s="3"/>
      <c r="AE45" s="3"/>
      <c r="AF45" s="3"/>
      <c r="AG45" s="7"/>
      <c r="AH45" s="7"/>
      <c r="AI45" s="7"/>
      <c r="AJ45" s="7"/>
      <c r="AK45" s="7"/>
      <c r="AL45" s="3"/>
      <c r="AM45" s="9"/>
      <c r="AN45" s="7"/>
      <c r="AO45" s="7"/>
      <c r="AP45" s="7"/>
      <c r="AQ45" s="7"/>
      <c r="AR45" s="9"/>
      <c r="AS45" s="9"/>
      <c r="AT45" s="9"/>
      <c r="AU45" s="3"/>
      <c r="AV45" s="3"/>
      <c r="AW45" s="3"/>
      <c r="AX45" s="3"/>
      <c r="AY45" s="3"/>
      <c r="AZ45" s="3"/>
    </row>
    <row r="46" spans="1:52" x14ac:dyDescent="0.25">
      <c r="A46">
        <v>6</v>
      </c>
      <c r="B46" s="1" t="s">
        <v>44</v>
      </c>
      <c r="C46" s="1" t="s">
        <v>160</v>
      </c>
      <c r="D46" s="2">
        <v>41955</v>
      </c>
      <c r="E46" s="3">
        <v>30.2</v>
      </c>
      <c r="F46" s="4">
        <f t="shared" si="2"/>
        <v>4617.3816201057052</v>
      </c>
      <c r="G46" s="7">
        <v>11.96</v>
      </c>
      <c r="H46" s="7">
        <v>237.39</v>
      </c>
      <c r="I46" s="7">
        <f t="shared" si="3"/>
        <v>225.42999999999998</v>
      </c>
      <c r="J46" s="7">
        <v>211.29</v>
      </c>
      <c r="K46" s="5">
        <f t="shared" si="4"/>
        <v>6.2724570820210213</v>
      </c>
      <c r="L46" s="4">
        <f t="shared" si="5"/>
        <v>4327.7583396714481</v>
      </c>
      <c r="M46" s="2">
        <v>41957</v>
      </c>
      <c r="N46" s="7">
        <v>2.0499999999999998</v>
      </c>
      <c r="O46" s="7">
        <f t="shared" si="6"/>
        <v>4.3594800613767433</v>
      </c>
      <c r="P46" s="7">
        <v>1.2520000000000002</v>
      </c>
      <c r="Q46" s="7">
        <v>2.0630000000000002</v>
      </c>
      <c r="R46" s="6">
        <f t="shared" si="7"/>
        <v>0.28719021130345829</v>
      </c>
      <c r="S46" s="6">
        <f t="shared" si="8"/>
        <v>0.47322157022287092</v>
      </c>
      <c r="T46" s="6">
        <f t="shared" si="9"/>
        <v>0.23958821847367073</v>
      </c>
      <c r="U46" s="4">
        <f t="shared" si="0"/>
        <v>1326.066803146862</v>
      </c>
      <c r="V46" s="4">
        <f t="shared" si="1"/>
        <v>2185.0445805846457</v>
      </c>
      <c r="W46" s="4">
        <f t="shared" si="10"/>
        <v>3511.1113837315079</v>
      </c>
      <c r="X46" s="4">
        <f t="shared" si="11"/>
        <v>1242.8898320405469</v>
      </c>
      <c r="Y46" s="4">
        <f t="shared" si="12"/>
        <v>2047.9885970444475</v>
      </c>
      <c r="Z46" s="4">
        <f t="shared" si="13"/>
        <v>3290.8784290849944</v>
      </c>
      <c r="AA46" s="3"/>
      <c r="AE46" s="3"/>
      <c r="AF46" s="3"/>
      <c r="AG46" s="7"/>
      <c r="AH46" s="7"/>
      <c r="AI46" s="7"/>
      <c r="AJ46" s="7"/>
      <c r="AK46" s="7"/>
      <c r="AL46" s="3"/>
      <c r="AM46" s="9"/>
      <c r="AN46" s="7"/>
      <c r="AO46" s="7"/>
      <c r="AP46" s="7"/>
      <c r="AQ46" s="7"/>
      <c r="AR46" s="9"/>
      <c r="AS46" s="9"/>
      <c r="AT46" s="9"/>
      <c r="AU46" s="3"/>
      <c r="AV46" s="3"/>
      <c r="AW46" s="3"/>
      <c r="AX46" s="3"/>
      <c r="AY46" s="3"/>
      <c r="AZ46" s="3"/>
    </row>
    <row r="47" spans="1:52" x14ac:dyDescent="0.25">
      <c r="A47">
        <v>7</v>
      </c>
      <c r="B47" s="1" t="s">
        <v>45</v>
      </c>
      <c r="C47" s="1" t="s">
        <v>160</v>
      </c>
      <c r="D47" s="2">
        <v>41955</v>
      </c>
      <c r="E47" s="3">
        <v>21.6</v>
      </c>
      <c r="F47" s="4">
        <f t="shared" si="2"/>
        <v>3302.4981123934849</v>
      </c>
      <c r="G47" s="7">
        <v>11.9</v>
      </c>
      <c r="H47" s="7">
        <v>169.22</v>
      </c>
      <c r="I47" s="7">
        <f t="shared" si="3"/>
        <v>157.32</v>
      </c>
      <c r="J47" s="7">
        <v>147.38999999999999</v>
      </c>
      <c r="K47" s="5">
        <f t="shared" si="4"/>
        <v>6.3119755911517972</v>
      </c>
      <c r="L47" s="4">
        <f t="shared" si="5"/>
        <v>3094.0452376409594</v>
      </c>
      <c r="M47" s="2">
        <v>41957</v>
      </c>
      <c r="N47" s="7">
        <v>1.98</v>
      </c>
      <c r="O47" s="7">
        <f t="shared" si="6"/>
        <v>4.205156351963879</v>
      </c>
      <c r="P47" s="7">
        <v>1.2520000000000002</v>
      </c>
      <c r="Q47" s="7">
        <v>1.9369999999999998</v>
      </c>
      <c r="R47" s="6">
        <f t="shared" si="7"/>
        <v>0.29772971447667934</v>
      </c>
      <c r="S47" s="6">
        <f t="shared" si="8"/>
        <v>0.46062496560808924</v>
      </c>
      <c r="T47" s="6">
        <f t="shared" si="9"/>
        <v>0.24164531991523147</v>
      </c>
      <c r="U47" s="4">
        <f t="shared" si="0"/>
        <v>983.25182006268471</v>
      </c>
      <c r="V47" s="4">
        <f t="shared" si="1"/>
        <v>1521.2130794420286</v>
      </c>
      <c r="W47" s="4">
        <f t="shared" si="10"/>
        <v>2504.4648995047132</v>
      </c>
      <c r="X47" s="4">
        <f t="shared" si="11"/>
        <v>921.18920518077232</v>
      </c>
      <c r="Y47" s="4">
        <f t="shared" si="12"/>
        <v>1425.1944811782391</v>
      </c>
      <c r="Z47" s="4">
        <f t="shared" si="13"/>
        <v>2346.3836863590113</v>
      </c>
      <c r="AA47" s="3"/>
      <c r="AE47" s="3"/>
      <c r="AF47" s="3"/>
      <c r="AG47" s="7"/>
      <c r="AH47" s="7"/>
      <c r="AI47" s="7"/>
      <c r="AJ47" s="7"/>
      <c r="AK47" s="7"/>
      <c r="AL47" s="3"/>
      <c r="AM47" s="9"/>
      <c r="AN47" s="7"/>
      <c r="AO47" s="7"/>
      <c r="AP47" s="7"/>
      <c r="AQ47" s="7"/>
      <c r="AR47" s="9"/>
      <c r="AS47" s="9"/>
      <c r="AT47" s="9"/>
      <c r="AU47" s="3"/>
      <c r="AV47" s="3"/>
      <c r="AW47" s="3"/>
      <c r="AX47" s="3"/>
      <c r="AY47" s="3"/>
      <c r="AZ47" s="3"/>
    </row>
    <row r="48" spans="1:52" x14ac:dyDescent="0.25">
      <c r="A48">
        <v>8</v>
      </c>
      <c r="B48" s="1" t="s">
        <v>46</v>
      </c>
      <c r="C48" s="1" t="s">
        <v>160</v>
      </c>
      <c r="D48" s="2">
        <v>41955</v>
      </c>
      <c r="E48" s="3">
        <v>18.400000000000002</v>
      </c>
      <c r="F48" s="4">
        <f t="shared" si="2"/>
        <v>2813.2391327796358</v>
      </c>
      <c r="G48" s="7">
        <v>11.93</v>
      </c>
      <c r="H48" s="7">
        <v>210.86</v>
      </c>
      <c r="I48" s="7">
        <f t="shared" si="3"/>
        <v>198.93</v>
      </c>
      <c r="J48" s="7">
        <v>184.73</v>
      </c>
      <c r="K48" s="5">
        <f t="shared" si="4"/>
        <v>7.1381893128236147</v>
      </c>
      <c r="L48" s="4">
        <f t="shared" si="5"/>
        <v>2612.4247976593879</v>
      </c>
      <c r="M48" s="2">
        <v>41957</v>
      </c>
      <c r="N48" s="7">
        <v>1.72</v>
      </c>
      <c r="O48" s="7">
        <f t="shared" si="6"/>
        <v>3.631954002716097</v>
      </c>
      <c r="P48" s="7">
        <v>0.99999999999999989</v>
      </c>
      <c r="Q48" s="7">
        <v>1.7479999999999998</v>
      </c>
      <c r="R48" s="6">
        <f t="shared" si="7"/>
        <v>0.27533388342808479</v>
      </c>
      <c r="S48" s="6">
        <f t="shared" si="8"/>
        <v>0.48128362823229226</v>
      </c>
      <c r="T48" s="6">
        <f t="shared" si="9"/>
        <v>0.243382488339623</v>
      </c>
      <c r="U48" s="4">
        <f t="shared" si="0"/>
        <v>774.5800554400746</v>
      </c>
      <c r="V48" s="4">
        <f t="shared" si="1"/>
        <v>1353.9659369092506</v>
      </c>
      <c r="W48" s="4">
        <f t="shared" si="10"/>
        <v>2128.5459923493254</v>
      </c>
      <c r="X48" s="4">
        <f t="shared" si="11"/>
        <v>719.28906470338791</v>
      </c>
      <c r="Y48" s="4">
        <f t="shared" si="12"/>
        <v>1257.3172851015222</v>
      </c>
      <c r="Z48" s="4">
        <f t="shared" si="13"/>
        <v>1976.6063498049102</v>
      </c>
      <c r="AA48" s="3"/>
      <c r="AE48" s="3"/>
      <c r="AF48" s="3"/>
      <c r="AG48" s="7"/>
      <c r="AH48" s="7"/>
      <c r="AI48" s="7"/>
      <c r="AJ48" s="7"/>
      <c r="AK48" s="7"/>
      <c r="AL48" s="3"/>
      <c r="AM48" s="9"/>
      <c r="AN48" s="7"/>
      <c r="AO48" s="7"/>
      <c r="AP48" s="7"/>
      <c r="AQ48" s="7"/>
      <c r="AR48" s="9"/>
      <c r="AS48" s="9"/>
      <c r="AT48" s="9"/>
      <c r="AU48" s="3"/>
      <c r="AV48" s="3"/>
      <c r="AW48" s="3"/>
      <c r="AX48" s="3"/>
      <c r="AY48" s="3"/>
      <c r="AZ48" s="3"/>
    </row>
    <row r="49" spans="1:52" x14ac:dyDescent="0.25">
      <c r="A49">
        <v>9</v>
      </c>
      <c r="B49" s="1" t="s">
        <v>47</v>
      </c>
      <c r="C49" s="1" t="s">
        <v>160</v>
      </c>
      <c r="D49" s="2">
        <v>41955</v>
      </c>
      <c r="E49" s="3">
        <v>22.3</v>
      </c>
      <c r="F49" s="4">
        <f t="shared" si="2"/>
        <v>3409.5235141840149</v>
      </c>
      <c r="G49" s="7">
        <v>11.98</v>
      </c>
      <c r="H49" s="7">
        <v>296.16000000000003</v>
      </c>
      <c r="I49" s="7">
        <f t="shared" si="3"/>
        <v>284.18</v>
      </c>
      <c r="J49" s="7">
        <v>265.99</v>
      </c>
      <c r="K49" s="5">
        <f t="shared" si="4"/>
        <v>6.4008726863255676</v>
      </c>
      <c r="L49" s="4">
        <f t="shared" si="5"/>
        <v>3191.2842548307626</v>
      </c>
      <c r="M49" s="2">
        <v>41957</v>
      </c>
      <c r="N49" s="7">
        <v>1.45</v>
      </c>
      <c r="O49" s="7">
        <f t="shared" si="6"/>
        <v>3.0367054092664771</v>
      </c>
      <c r="P49" s="7">
        <v>1.0630000000000002</v>
      </c>
      <c r="Q49" s="7">
        <v>1.5589999999999997</v>
      </c>
      <c r="R49" s="6">
        <f t="shared" si="7"/>
        <v>0.35005041870583364</v>
      </c>
      <c r="S49" s="6">
        <f t="shared" si="8"/>
        <v>0.51338532715182916</v>
      </c>
      <c r="T49" s="6">
        <f t="shared" si="9"/>
        <v>0.13656425414233719</v>
      </c>
      <c r="U49" s="4">
        <f t="shared" si="0"/>
        <v>1193.5051337274997</v>
      </c>
      <c r="V49" s="4">
        <f t="shared" si="1"/>
        <v>1750.3993447612147</v>
      </c>
      <c r="W49" s="4">
        <f t="shared" si="10"/>
        <v>2943.9044784887146</v>
      </c>
      <c r="X49" s="4">
        <f t="shared" si="11"/>
        <v>1117.1103896128427</v>
      </c>
      <c r="Y49" s="4">
        <f t="shared" si="12"/>
        <v>1638.3585112007725</v>
      </c>
      <c r="Z49" s="4">
        <f t="shared" si="13"/>
        <v>2755.4689008136152</v>
      </c>
      <c r="AA49" s="3"/>
      <c r="AE49" s="3"/>
      <c r="AF49" s="3"/>
      <c r="AG49" s="7"/>
      <c r="AH49" s="7"/>
      <c r="AI49" s="7"/>
      <c r="AJ49" s="7"/>
      <c r="AK49" s="7"/>
      <c r="AL49" s="3"/>
      <c r="AM49" s="9"/>
      <c r="AN49" s="7"/>
      <c r="AO49" s="7"/>
      <c r="AP49" s="7"/>
      <c r="AQ49" s="7"/>
      <c r="AR49" s="9"/>
      <c r="AS49" s="9"/>
      <c r="AT49" s="9"/>
      <c r="AU49" s="3"/>
      <c r="AV49" s="3"/>
      <c r="AW49" s="3"/>
      <c r="AX49" s="3"/>
      <c r="AY49" s="3"/>
      <c r="AZ49" s="3"/>
    </row>
    <row r="50" spans="1:52" x14ac:dyDescent="0.25">
      <c r="A50">
        <v>10</v>
      </c>
      <c r="B50" s="1" t="s">
        <v>48</v>
      </c>
      <c r="C50" s="1" t="s">
        <v>160</v>
      </c>
      <c r="D50" s="2">
        <v>41955</v>
      </c>
      <c r="E50" s="3">
        <v>32.899999999999991</v>
      </c>
      <c r="F50" s="4">
        <f t="shared" si="2"/>
        <v>5030.1938841548899</v>
      </c>
      <c r="G50" s="7">
        <v>11.82</v>
      </c>
      <c r="H50" s="7">
        <v>223.51</v>
      </c>
      <c r="I50" s="7">
        <f t="shared" si="3"/>
        <v>211.69</v>
      </c>
      <c r="J50" s="7">
        <v>194.29</v>
      </c>
      <c r="K50" s="5">
        <f t="shared" si="4"/>
        <v>8.2195663470168672</v>
      </c>
      <c r="L50" s="4">
        <f t="shared" si="5"/>
        <v>4616.7337604631939</v>
      </c>
      <c r="M50" s="2">
        <v>41957</v>
      </c>
      <c r="N50" s="7">
        <v>1.62</v>
      </c>
      <c r="O50" s="7">
        <f t="shared" si="6"/>
        <v>3.4114915606977196</v>
      </c>
      <c r="P50" s="7">
        <v>1.0630000000000002</v>
      </c>
      <c r="Q50" s="7">
        <v>1.6850000000000001</v>
      </c>
      <c r="R50" s="6">
        <f t="shared" si="7"/>
        <v>0.31159391166208689</v>
      </c>
      <c r="S50" s="6">
        <f t="shared" si="8"/>
        <v>0.49391885338722141</v>
      </c>
      <c r="T50" s="6">
        <f t="shared" si="9"/>
        <v>0.19448723495069165</v>
      </c>
      <c r="U50" s="4">
        <f t="shared" si="0"/>
        <v>1567.3777887825286</v>
      </c>
      <c r="V50" s="4">
        <f t="shared" si="1"/>
        <v>2484.5075955771968</v>
      </c>
      <c r="W50" s="4">
        <f t="shared" si="10"/>
        <v>4051.8853843597253</v>
      </c>
      <c r="X50" s="4">
        <f t="shared" si="11"/>
        <v>1438.5461315251425</v>
      </c>
      <c r="Y50" s="4">
        <f t="shared" si="12"/>
        <v>2280.2918453620555</v>
      </c>
      <c r="Z50" s="4">
        <f t="shared" si="13"/>
        <v>3718.8379768871982</v>
      </c>
      <c r="AA50" s="3"/>
      <c r="AE50" s="3"/>
      <c r="AF50" s="3"/>
      <c r="AG50" s="7"/>
      <c r="AH50" s="7"/>
      <c r="AI50" s="7"/>
      <c r="AJ50" s="7"/>
      <c r="AK50" s="7"/>
      <c r="AL50" s="3"/>
      <c r="AM50" s="9"/>
      <c r="AN50" s="7"/>
      <c r="AO50" s="7"/>
      <c r="AP50" s="7"/>
      <c r="AQ50" s="7"/>
      <c r="AR50" s="9"/>
      <c r="AS50" s="9"/>
      <c r="AT50" s="9"/>
      <c r="AU50" s="3"/>
      <c r="AV50" s="3"/>
      <c r="AW50" s="3"/>
      <c r="AX50" s="3"/>
      <c r="AY50" s="3"/>
      <c r="AZ50" s="3"/>
    </row>
    <row r="51" spans="1:52" x14ac:dyDescent="0.25">
      <c r="A51">
        <v>11</v>
      </c>
      <c r="B51" s="1" t="s">
        <v>49</v>
      </c>
      <c r="C51" s="1" t="s">
        <v>160</v>
      </c>
      <c r="D51" s="2">
        <v>41955</v>
      </c>
      <c r="E51" s="3">
        <v>18.400000000000002</v>
      </c>
      <c r="F51" s="4">
        <f>E51*$A$29/$A$31*$A$32</f>
        <v>3451.5370872758554</v>
      </c>
      <c r="G51" s="7">
        <v>11.85</v>
      </c>
      <c r="H51" s="7">
        <v>200.02</v>
      </c>
      <c r="I51" s="7">
        <f t="shared" si="3"/>
        <v>188.17000000000002</v>
      </c>
      <c r="J51" s="7">
        <v>176.49</v>
      </c>
      <c r="K51" s="5">
        <f t="shared" si="4"/>
        <v>6.2071531062337284</v>
      </c>
      <c r="L51" s="4">
        <f t="shared" si="5"/>
        <v>3237.2948957502026</v>
      </c>
      <c r="M51" s="2">
        <v>41957</v>
      </c>
      <c r="N51" s="7">
        <v>1.71</v>
      </c>
      <c r="O51" s="7">
        <f t="shared" si="6"/>
        <v>3.6099077585142592</v>
      </c>
      <c r="P51" s="7">
        <v>1.2520000000000002</v>
      </c>
      <c r="Q51" s="7">
        <v>1.8740000000000001</v>
      </c>
      <c r="R51" s="6">
        <f t="shared" si="7"/>
        <v>0.34682326634165572</v>
      </c>
      <c r="S51" s="6">
        <f t="shared" si="8"/>
        <v>0.51912683795867631</v>
      </c>
      <c r="T51" s="6">
        <f t="shared" si="9"/>
        <v>0.13404989569966796</v>
      </c>
      <c r="U51" s="4">
        <f t="shared" si="0"/>
        <v>1197.0733665083767</v>
      </c>
      <c r="V51" s="4">
        <f t="shared" si="1"/>
        <v>1791.7855342146145</v>
      </c>
      <c r="W51" s="4">
        <f t="shared" si="10"/>
        <v>2988.8589007229912</v>
      </c>
      <c r="X51" s="4">
        <f t="shared" si="11"/>
        <v>1122.769189855255</v>
      </c>
      <c r="Y51" s="4">
        <f t="shared" si="12"/>
        <v>1680.5666627705655</v>
      </c>
      <c r="Z51" s="4">
        <f t="shared" si="13"/>
        <v>2803.3358526258207</v>
      </c>
      <c r="AA51" s="3"/>
      <c r="AE51" s="3"/>
      <c r="AF51" s="3"/>
      <c r="AG51" s="7"/>
      <c r="AH51" s="7"/>
      <c r="AI51" s="7"/>
      <c r="AJ51" s="7"/>
      <c r="AK51" s="7"/>
      <c r="AL51" s="3"/>
      <c r="AM51" s="9"/>
      <c r="AN51" s="7"/>
      <c r="AO51" s="7"/>
      <c r="AP51" s="7"/>
      <c r="AQ51" s="7"/>
      <c r="AR51" s="9"/>
      <c r="AS51" s="9"/>
      <c r="AT51" s="9"/>
      <c r="AU51" s="3"/>
      <c r="AV51" s="3"/>
      <c r="AW51" s="3"/>
      <c r="AX51" s="3"/>
      <c r="AY51" s="3"/>
      <c r="AZ51" s="3"/>
    </row>
    <row r="52" spans="1:52" x14ac:dyDescent="0.25">
      <c r="A52">
        <v>12</v>
      </c>
      <c r="B52" s="1" t="s">
        <v>50</v>
      </c>
      <c r="C52" s="1" t="s">
        <v>160</v>
      </c>
      <c r="D52" s="2">
        <v>41955</v>
      </c>
      <c r="E52" s="3">
        <v>25.299999999999997</v>
      </c>
      <c r="F52" s="4">
        <f t="shared" si="2"/>
        <v>3868.2038075719984</v>
      </c>
      <c r="G52" s="7">
        <v>11.91</v>
      </c>
      <c r="H52" s="7">
        <v>208.86</v>
      </c>
      <c r="I52" s="7">
        <f t="shared" si="3"/>
        <v>196.95000000000002</v>
      </c>
      <c r="J52" s="7">
        <v>185.65</v>
      </c>
      <c r="K52" s="5">
        <f t="shared" si="4"/>
        <v>5.7374968266057422</v>
      </c>
      <c r="L52" s="4">
        <f t="shared" si="5"/>
        <v>3646.2657368659125</v>
      </c>
      <c r="M52" s="2">
        <v>41957</v>
      </c>
      <c r="N52" s="7">
        <v>1.49</v>
      </c>
      <c r="O52" s="7">
        <f t="shared" si="6"/>
        <v>3.1248903860738282</v>
      </c>
      <c r="P52" s="7">
        <v>0.99999999999999989</v>
      </c>
      <c r="Q52" s="7">
        <v>1.6220000000000003</v>
      </c>
      <c r="R52" s="6">
        <f t="shared" si="7"/>
        <v>0.32001122485976824</v>
      </c>
      <c r="S52" s="6">
        <f t="shared" si="8"/>
        <v>0.51905820672254432</v>
      </c>
      <c r="T52" s="6">
        <f t="shared" si="9"/>
        <v>0.16093056841768749</v>
      </c>
      <c r="U52" s="4">
        <f t="shared" si="0"/>
        <v>1237.8686384683344</v>
      </c>
      <c r="V52" s="4">
        <f t="shared" si="1"/>
        <v>2007.8229315956394</v>
      </c>
      <c r="W52" s="4">
        <f t="shared" si="10"/>
        <v>3245.6915700639738</v>
      </c>
      <c r="X52" s="4">
        <f t="shared" si="11"/>
        <v>1166.8459646186661</v>
      </c>
      <c r="Y52" s="4">
        <f t="shared" si="12"/>
        <v>1892.6241546114773</v>
      </c>
      <c r="Z52" s="4">
        <f t="shared" si="13"/>
        <v>3059.4701192301436</v>
      </c>
      <c r="AA52" s="3"/>
      <c r="AB52" t="s">
        <v>28</v>
      </c>
      <c r="AC52" t="str">
        <f>C52</f>
        <v>Machine</v>
      </c>
      <c r="AD52" s="8">
        <f>D52</f>
        <v>41955</v>
      </c>
      <c r="AE52" s="3">
        <f>SUM(E52:E62)</f>
        <v>277.20000000000005</v>
      </c>
      <c r="AF52" s="3">
        <f>AE52*$A$29/($A$30*10+$A$31)*$A$32</f>
        <v>3918.797105713275</v>
      </c>
      <c r="AG52" s="7">
        <f>SUM(G52:G62)</f>
        <v>130.97</v>
      </c>
      <c r="AH52" s="7">
        <f>SUM(H52:H62)</f>
        <v>2403.21</v>
      </c>
      <c r="AI52" s="7">
        <f>AH52-AG52</f>
        <v>2272.2400000000002</v>
      </c>
      <c r="AJ52" s="7">
        <f>SUM(J52:J62)</f>
        <v>2136.6</v>
      </c>
      <c r="AK52" s="7">
        <f>(AI52-AJ52)/AI52*100</f>
        <v>5.9694398479034048</v>
      </c>
      <c r="AL52" s="3">
        <f>AF52*(1-AK52/100)</f>
        <v>3684.8668697263415</v>
      </c>
      <c r="AM52" s="11">
        <f>M52</f>
        <v>41957</v>
      </c>
      <c r="AN52" s="7">
        <f>SUM(N52:N62)</f>
        <v>13.36</v>
      </c>
      <c r="AO52" s="7">
        <f>AN52/$A$29-$A$33*10</f>
        <v>27.853782253655265</v>
      </c>
      <c r="AP52" s="7">
        <f>SUM(P52:P62)</f>
        <v>10.189</v>
      </c>
      <c r="AQ52" s="7">
        <f>SUM(Q52:Q62)</f>
        <v>15.023</v>
      </c>
      <c r="AR52" s="9">
        <f>AP52/AO52</f>
        <v>0.36580310376566161</v>
      </c>
      <c r="AS52" s="9">
        <f>AQ52/AO52</f>
        <v>0.53935224535003767</v>
      </c>
      <c r="AT52" s="9">
        <f>1-AR52-AS52</f>
        <v>9.4844650884300719E-2</v>
      </c>
      <c r="AU52" s="3">
        <f>AF52*AR52</f>
        <v>1433.5081442978076</v>
      </c>
      <c r="AV52" s="3">
        <f>AF52*AS52</f>
        <v>2113.6120180376838</v>
      </c>
      <c r="AW52" s="3">
        <f>AU52+AV52</f>
        <v>3547.1201623354914</v>
      </c>
      <c r="AX52" s="3">
        <f>AL52*AR52</f>
        <v>1347.9357379091537</v>
      </c>
      <c r="AY52" s="3">
        <f>AL52*AS52</f>
        <v>1987.4412200028671</v>
      </c>
      <c r="AZ52" s="3">
        <f>AX52+AY52</f>
        <v>3335.3769579120208</v>
      </c>
    </row>
    <row r="53" spans="1:52" x14ac:dyDescent="0.25">
      <c r="A53">
        <v>13</v>
      </c>
      <c r="B53" s="1" t="s">
        <v>51</v>
      </c>
      <c r="C53" s="1" t="s">
        <v>160</v>
      </c>
      <c r="D53" s="2">
        <v>41955</v>
      </c>
      <c r="E53" s="3">
        <v>29.8</v>
      </c>
      <c r="F53" s="4">
        <f t="shared" si="2"/>
        <v>4556.224247653975</v>
      </c>
      <c r="G53" s="7">
        <v>11.93</v>
      </c>
      <c r="H53" s="7">
        <v>212.84</v>
      </c>
      <c r="I53" s="7">
        <f t="shared" si="3"/>
        <v>200.91</v>
      </c>
      <c r="J53" s="7">
        <v>187.76</v>
      </c>
      <c r="K53" s="5">
        <f t="shared" si="4"/>
        <v>6.5452192524015755</v>
      </c>
      <c r="L53" s="4">
        <f t="shared" si="5"/>
        <v>4258.0093810139379</v>
      </c>
      <c r="M53" s="2">
        <v>41957</v>
      </c>
      <c r="N53" s="7">
        <v>1.36</v>
      </c>
      <c r="O53" s="7">
        <f t="shared" si="6"/>
        <v>2.8382892114499376</v>
      </c>
      <c r="P53" s="7">
        <v>1.0630000000000002</v>
      </c>
      <c r="Q53" s="7">
        <v>1.5589999999999997</v>
      </c>
      <c r="R53" s="6">
        <f t="shared" si="7"/>
        <v>0.37452138270890567</v>
      </c>
      <c r="S53" s="6">
        <f t="shared" si="8"/>
        <v>0.5492745396455162</v>
      </c>
      <c r="T53" s="6">
        <f t="shared" si="9"/>
        <v>7.6204077645578128E-2</v>
      </c>
      <c r="U53" s="4">
        <f t="shared" si="0"/>
        <v>1706.4034051632102</v>
      </c>
      <c r="V53" s="4">
        <f t="shared" si="1"/>
        <v>2502.6179761518756</v>
      </c>
      <c r="W53" s="4">
        <f t="shared" si="10"/>
        <v>4209.0213813150858</v>
      </c>
      <c r="X53" s="4">
        <f t="shared" si="11"/>
        <v>1594.7155609648316</v>
      </c>
      <c r="Y53" s="4">
        <f t="shared" si="12"/>
        <v>2338.81614256272</v>
      </c>
      <c r="Z53" s="4">
        <f t="shared" si="13"/>
        <v>3933.5317035275516</v>
      </c>
      <c r="AA53" s="3"/>
      <c r="AE53" s="3"/>
      <c r="AF53" s="3"/>
      <c r="AG53" s="7"/>
      <c r="AH53" s="7"/>
      <c r="AI53" s="7"/>
      <c r="AJ53" s="7"/>
      <c r="AK53" s="7"/>
      <c r="AL53" s="3"/>
      <c r="AM53" s="9"/>
      <c r="AN53" s="7"/>
      <c r="AO53" s="7"/>
      <c r="AP53" s="7"/>
      <c r="AQ53" s="7"/>
      <c r="AR53" s="9"/>
      <c r="AS53" s="9"/>
      <c r="AT53" s="9"/>
      <c r="AU53" s="3"/>
      <c r="AV53" s="3"/>
      <c r="AW53" s="3"/>
      <c r="AX53" s="3"/>
      <c r="AY53" s="3"/>
      <c r="AZ53" s="3"/>
    </row>
    <row r="54" spans="1:52" x14ac:dyDescent="0.25">
      <c r="A54">
        <v>14</v>
      </c>
      <c r="B54" s="1" t="s">
        <v>52</v>
      </c>
      <c r="C54" s="1" t="s">
        <v>160</v>
      </c>
      <c r="D54" s="2">
        <v>41955</v>
      </c>
      <c r="E54" s="3">
        <v>27.4</v>
      </c>
      <c r="F54" s="4">
        <f t="shared" si="2"/>
        <v>4189.2800129435873</v>
      </c>
      <c r="G54" s="7">
        <v>11.88</v>
      </c>
      <c r="H54" s="7">
        <v>233.28</v>
      </c>
      <c r="I54" s="7">
        <f t="shared" si="3"/>
        <v>221.4</v>
      </c>
      <c r="J54" s="7">
        <v>209.33</v>
      </c>
      <c r="K54" s="5">
        <f t="shared" si="4"/>
        <v>5.4516711833784974</v>
      </c>
      <c r="L54" s="4">
        <f t="shared" si="5"/>
        <v>3960.8942416869068</v>
      </c>
      <c r="M54" s="2">
        <v>41957</v>
      </c>
      <c r="N54" s="7">
        <v>1.22</v>
      </c>
      <c r="O54" s="7">
        <f t="shared" si="6"/>
        <v>2.5296417926242083</v>
      </c>
      <c r="P54" s="7">
        <v>0.93699999999999994</v>
      </c>
      <c r="Q54" s="7">
        <v>1.3699999999999997</v>
      </c>
      <c r="R54" s="6">
        <f t="shared" si="7"/>
        <v>0.37040817507524326</v>
      </c>
      <c r="S54" s="6">
        <f t="shared" si="8"/>
        <v>0.54157865512602255</v>
      </c>
      <c r="T54" s="6">
        <f t="shared" si="9"/>
        <v>8.8013169798734192E-2</v>
      </c>
      <c r="U54" s="4">
        <f t="shared" si="0"/>
        <v>1551.7435644736256</v>
      </c>
      <c r="V54" s="4">
        <f t="shared" si="1"/>
        <v>2268.8246353563145</v>
      </c>
      <c r="W54" s="4">
        <f t="shared" si="10"/>
        <v>3820.5681998299401</v>
      </c>
      <c r="X54" s="4">
        <f t="shared" si="11"/>
        <v>1467.1476077292866</v>
      </c>
      <c r="Y54" s="4">
        <f t="shared" si="12"/>
        <v>2145.1357765092021</v>
      </c>
      <c r="Z54" s="4">
        <f t="shared" si="13"/>
        <v>3612.2833842384889</v>
      </c>
      <c r="AA54" s="3"/>
      <c r="AE54" s="3"/>
      <c r="AF54" s="3"/>
      <c r="AG54" s="7"/>
      <c r="AH54" s="7"/>
      <c r="AI54" s="7"/>
      <c r="AJ54" s="7"/>
      <c r="AK54" s="7"/>
      <c r="AL54" s="3"/>
      <c r="AM54" s="9"/>
      <c r="AN54" s="7"/>
      <c r="AO54" s="7"/>
      <c r="AP54" s="7"/>
      <c r="AQ54" s="7"/>
      <c r="AR54" s="9"/>
      <c r="AS54" s="9"/>
      <c r="AT54" s="9"/>
      <c r="AU54" s="3"/>
      <c r="AV54" s="3"/>
      <c r="AW54" s="3"/>
      <c r="AX54" s="3"/>
      <c r="AY54" s="3"/>
      <c r="AZ54" s="3"/>
    </row>
    <row r="55" spans="1:52" x14ac:dyDescent="0.25">
      <c r="A55">
        <v>15</v>
      </c>
      <c r="B55" s="1" t="s">
        <v>53</v>
      </c>
      <c r="C55" s="1" t="s">
        <v>160</v>
      </c>
      <c r="D55" s="2">
        <v>41955</v>
      </c>
      <c r="E55" s="3">
        <v>26.900000000000002</v>
      </c>
      <c r="F55" s="4">
        <f t="shared" si="2"/>
        <v>4112.8332973789238</v>
      </c>
      <c r="G55" s="7">
        <v>11.88</v>
      </c>
      <c r="H55" s="7">
        <v>199.85</v>
      </c>
      <c r="I55" s="7">
        <f t="shared" si="3"/>
        <v>187.97</v>
      </c>
      <c r="J55" s="7">
        <v>177.53</v>
      </c>
      <c r="K55" s="5">
        <f t="shared" si="4"/>
        <v>5.5540777783688879</v>
      </c>
      <c r="L55" s="4">
        <f t="shared" si="5"/>
        <v>3884.4033371478445</v>
      </c>
      <c r="M55" s="2">
        <v>41957</v>
      </c>
      <c r="N55" s="7">
        <v>1.32</v>
      </c>
      <c r="O55" s="7">
        <f t="shared" si="6"/>
        <v>2.7501042346425861</v>
      </c>
      <c r="P55" s="7">
        <v>0.99999999999999989</v>
      </c>
      <c r="Q55" s="7">
        <v>1.4330000000000003</v>
      </c>
      <c r="R55" s="6">
        <f t="shared" si="7"/>
        <v>0.36362258106553685</v>
      </c>
      <c r="S55" s="6">
        <f t="shared" si="8"/>
        <v>0.52107115866691445</v>
      </c>
      <c r="T55" s="6">
        <f t="shared" si="9"/>
        <v>0.11530626026754864</v>
      </c>
      <c r="U55" s="4">
        <f t="shared" si="0"/>
        <v>1495.5190590852069</v>
      </c>
      <c r="V55" s="4">
        <f t="shared" si="1"/>
        <v>2143.0788116691019</v>
      </c>
      <c r="W55" s="4">
        <f t="shared" si="10"/>
        <v>3638.597870754309</v>
      </c>
      <c r="X55" s="4">
        <f t="shared" si="11"/>
        <v>1412.456767353284</v>
      </c>
      <c r="Y55" s="4">
        <f t="shared" si="12"/>
        <v>2024.0505476172564</v>
      </c>
      <c r="Z55" s="4">
        <f t="shared" si="13"/>
        <v>3436.5073149705404</v>
      </c>
      <c r="AA55" s="3"/>
      <c r="AE55" s="3"/>
      <c r="AF55" s="3"/>
      <c r="AG55" s="7"/>
      <c r="AH55" s="7"/>
      <c r="AI55" s="7"/>
      <c r="AJ55" s="7"/>
      <c r="AK55" s="7"/>
      <c r="AL55" s="3"/>
      <c r="AM55" s="9"/>
      <c r="AN55" s="7"/>
      <c r="AO55" s="7"/>
      <c r="AP55" s="7"/>
      <c r="AQ55" s="7"/>
      <c r="AR55" s="9"/>
      <c r="AS55" s="9"/>
      <c r="AT55" s="9"/>
      <c r="AU55" s="3"/>
      <c r="AV55" s="3"/>
      <c r="AW55" s="3"/>
      <c r="AX55" s="3"/>
      <c r="AY55" s="3"/>
      <c r="AZ55" s="3"/>
    </row>
    <row r="56" spans="1:52" x14ac:dyDescent="0.25">
      <c r="A56">
        <v>16</v>
      </c>
      <c r="B56" s="1" t="s">
        <v>54</v>
      </c>
      <c r="C56" s="1" t="s">
        <v>160</v>
      </c>
      <c r="D56" s="2">
        <v>41955</v>
      </c>
      <c r="E56" s="3">
        <v>32.200000000000003</v>
      </c>
      <c r="F56" s="4">
        <f t="shared" si="2"/>
        <v>4923.1684823643627</v>
      </c>
      <c r="G56" s="7">
        <v>11.94</v>
      </c>
      <c r="H56" s="7">
        <v>241.44</v>
      </c>
      <c r="I56" s="7">
        <f t="shared" si="3"/>
        <v>229.5</v>
      </c>
      <c r="J56" s="7">
        <v>218.1</v>
      </c>
      <c r="K56" s="5">
        <f t="shared" si="4"/>
        <v>4.9673202614379113</v>
      </c>
      <c r="L56" s="4">
        <f t="shared" si="5"/>
        <v>4678.6189368351525</v>
      </c>
      <c r="M56" s="2">
        <v>41957</v>
      </c>
      <c r="N56" s="7"/>
      <c r="O56" s="7"/>
      <c r="P56" s="7"/>
      <c r="Q56" s="7"/>
      <c r="R56" s="6"/>
      <c r="S56" s="6"/>
      <c r="T56" s="6"/>
      <c r="U56" s="4"/>
      <c r="V56" s="4"/>
      <c r="W56" s="4"/>
      <c r="X56" s="4"/>
      <c r="Y56" s="4"/>
      <c r="Z56" s="4"/>
      <c r="AA56" s="3"/>
      <c r="AE56" s="3"/>
      <c r="AF56" s="3"/>
      <c r="AG56" s="7"/>
      <c r="AH56" s="7"/>
      <c r="AI56" s="7"/>
      <c r="AJ56" s="7"/>
      <c r="AK56" s="7"/>
      <c r="AL56" s="3"/>
      <c r="AM56" s="9"/>
      <c r="AN56" s="7"/>
      <c r="AO56" s="7"/>
      <c r="AP56" s="7"/>
      <c r="AQ56" s="7"/>
      <c r="AR56" s="9"/>
      <c r="AS56" s="9"/>
      <c r="AT56" s="9"/>
      <c r="AU56" s="3"/>
      <c r="AV56" s="3"/>
      <c r="AW56" s="3"/>
      <c r="AX56" s="3"/>
      <c r="AY56" s="3"/>
      <c r="AZ56" s="3"/>
    </row>
    <row r="57" spans="1:52" x14ac:dyDescent="0.25">
      <c r="A57">
        <v>17</v>
      </c>
      <c r="B57" s="1" t="s">
        <v>55</v>
      </c>
      <c r="C57" s="1" t="s">
        <v>160</v>
      </c>
      <c r="D57" s="2">
        <v>41955</v>
      </c>
      <c r="E57" s="3">
        <v>25.7</v>
      </c>
      <c r="F57" s="4">
        <f t="shared" si="2"/>
        <v>3929.3611800237295</v>
      </c>
      <c r="G57" s="7">
        <v>11.88</v>
      </c>
      <c r="H57" s="7">
        <v>208.98</v>
      </c>
      <c r="I57" s="7">
        <f t="shared" si="3"/>
        <v>197.1</v>
      </c>
      <c r="J57" s="7">
        <v>185.85</v>
      </c>
      <c r="K57" s="5">
        <f t="shared" si="4"/>
        <v>5.7077625570776256</v>
      </c>
      <c r="L57" s="4">
        <f t="shared" si="5"/>
        <v>3705.0825738579915</v>
      </c>
      <c r="M57" s="2">
        <v>41957</v>
      </c>
      <c r="N57" s="7">
        <v>1.34</v>
      </c>
      <c r="O57" s="7">
        <f t="shared" si="6"/>
        <v>2.7941967230462619</v>
      </c>
      <c r="P57" s="7">
        <v>1.0630000000000002</v>
      </c>
      <c r="Q57" s="7">
        <v>1.496</v>
      </c>
      <c r="R57" s="6">
        <f t="shared" si="7"/>
        <v>0.38043133872160106</v>
      </c>
      <c r="S57" s="6">
        <f t="shared" si="8"/>
        <v>0.53539537415570559</v>
      </c>
      <c r="T57" s="6">
        <f t="shared" si="9"/>
        <v>8.4173287122693341E-2</v>
      </c>
      <c r="U57" s="4">
        <f t="shared" ref="U57:U88" si="14">F57*R57</f>
        <v>1494.8521340371176</v>
      </c>
      <c r="V57" s="4">
        <f t="shared" ref="V57:V88" si="15">F57*S57</f>
        <v>2103.7617991717093</v>
      </c>
      <c r="W57" s="4">
        <f t="shared" si="10"/>
        <v>3598.6139332088269</v>
      </c>
      <c r="X57" s="4">
        <f t="shared" si="11"/>
        <v>1409.529523646871</v>
      </c>
      <c r="Y57" s="4">
        <f t="shared" si="12"/>
        <v>1983.684070908484</v>
      </c>
      <c r="Z57" s="4">
        <f t="shared" si="13"/>
        <v>3393.213594555355</v>
      </c>
      <c r="AA57" s="3"/>
      <c r="AE57" s="3"/>
      <c r="AF57" s="3"/>
      <c r="AG57" s="7"/>
      <c r="AH57" s="7"/>
      <c r="AI57" s="7"/>
      <c r="AJ57" s="7"/>
      <c r="AK57" s="7"/>
      <c r="AL57" s="3"/>
      <c r="AM57" s="9"/>
      <c r="AN57" s="7"/>
      <c r="AO57" s="7"/>
      <c r="AP57" s="7"/>
      <c r="AQ57" s="7"/>
      <c r="AR57" s="9"/>
      <c r="AS57" s="9"/>
      <c r="AT57" s="9"/>
      <c r="AU57" s="3"/>
      <c r="AV57" s="3"/>
      <c r="AW57" s="3"/>
      <c r="AX57" s="3"/>
      <c r="AY57" s="3"/>
      <c r="AZ57" s="3"/>
    </row>
    <row r="58" spans="1:52" x14ac:dyDescent="0.25">
      <c r="A58">
        <v>18</v>
      </c>
      <c r="B58" s="1" t="s">
        <v>56</v>
      </c>
      <c r="C58" s="1" t="s">
        <v>160</v>
      </c>
      <c r="D58" s="2">
        <v>41955</v>
      </c>
      <c r="E58" s="3">
        <v>27.8</v>
      </c>
      <c r="F58" s="4">
        <f t="shared" si="2"/>
        <v>4250.4373853953184</v>
      </c>
      <c r="G58" s="7">
        <v>11.85</v>
      </c>
      <c r="H58" s="7">
        <v>241.51</v>
      </c>
      <c r="I58" s="7">
        <f t="shared" si="3"/>
        <v>229.66</v>
      </c>
      <c r="J58" s="7">
        <v>215.83</v>
      </c>
      <c r="K58" s="5">
        <f t="shared" si="4"/>
        <v>6.0219454846294456</v>
      </c>
      <c r="L58" s="4">
        <f t="shared" si="5"/>
        <v>3994.4783631885034</v>
      </c>
      <c r="M58" s="2">
        <v>41957</v>
      </c>
      <c r="N58" s="7">
        <v>1.38</v>
      </c>
      <c r="O58" s="7">
        <f t="shared" si="6"/>
        <v>2.8823816998536125</v>
      </c>
      <c r="P58" s="7">
        <v>1.0630000000000002</v>
      </c>
      <c r="Q58" s="7">
        <v>1.6220000000000003</v>
      </c>
      <c r="R58" s="6">
        <f t="shared" si="7"/>
        <v>0.36879223874269906</v>
      </c>
      <c r="S58" s="6">
        <f t="shared" si="8"/>
        <v>0.56272907924803184</v>
      </c>
      <c r="T58" s="6">
        <f t="shared" si="9"/>
        <v>6.8478682009269098E-2</v>
      </c>
      <c r="U58" s="4">
        <f t="shared" si="14"/>
        <v>1567.528318995604</v>
      </c>
      <c r="V58" s="4">
        <f t="shared" si="15"/>
        <v>2391.8447162849193</v>
      </c>
      <c r="W58" s="4">
        <f t="shared" si="10"/>
        <v>3959.3730352805233</v>
      </c>
      <c r="X58" s="4">
        <f t="shared" si="11"/>
        <v>1473.1326181695604</v>
      </c>
      <c r="Y58" s="4">
        <f t="shared" si="12"/>
        <v>2247.8091313932518</v>
      </c>
      <c r="Z58" s="4">
        <f t="shared" si="13"/>
        <v>3720.9417495628122</v>
      </c>
      <c r="AA58" s="3"/>
      <c r="AE58" s="3"/>
      <c r="AF58" s="3"/>
      <c r="AG58" s="7"/>
      <c r="AH58" s="7"/>
      <c r="AI58" s="7"/>
      <c r="AJ58" s="7"/>
      <c r="AK58" s="7"/>
      <c r="AL58" s="3"/>
      <c r="AM58" s="9"/>
      <c r="AN58" s="7"/>
      <c r="AO58" s="7"/>
      <c r="AP58" s="7"/>
      <c r="AQ58" s="7"/>
      <c r="AR58" s="9"/>
      <c r="AS58" s="9"/>
      <c r="AT58" s="9"/>
      <c r="AU58" s="3"/>
      <c r="AV58" s="3"/>
      <c r="AW58" s="3"/>
      <c r="AX58" s="3"/>
      <c r="AY58" s="3"/>
      <c r="AZ58" s="3"/>
    </row>
    <row r="59" spans="1:52" x14ac:dyDescent="0.25">
      <c r="A59">
        <v>19</v>
      </c>
      <c r="B59" s="1" t="s">
        <v>57</v>
      </c>
      <c r="C59" s="1" t="s">
        <v>160</v>
      </c>
      <c r="D59" s="2">
        <v>41955</v>
      </c>
      <c r="E59" s="3">
        <v>23.900000000000002</v>
      </c>
      <c r="F59" s="4">
        <f t="shared" si="2"/>
        <v>3654.1530039909399</v>
      </c>
      <c r="G59" s="7">
        <v>11.93</v>
      </c>
      <c r="H59" s="7">
        <v>214.74</v>
      </c>
      <c r="I59" s="7">
        <f t="shared" si="3"/>
        <v>202.81</v>
      </c>
      <c r="J59" s="7">
        <v>191.26</v>
      </c>
      <c r="K59" s="5">
        <f t="shared" si="4"/>
        <v>5.6949854543661607</v>
      </c>
      <c r="L59" s="4">
        <f t="shared" si="5"/>
        <v>3446.0495219333716</v>
      </c>
      <c r="M59" s="2">
        <v>41957</v>
      </c>
      <c r="N59" s="7">
        <v>1.39</v>
      </c>
      <c r="O59" s="7">
        <f t="shared" si="6"/>
        <v>2.9044279440554504</v>
      </c>
      <c r="P59" s="7">
        <v>0.99999999999999989</v>
      </c>
      <c r="Q59" s="7">
        <v>1.496</v>
      </c>
      <c r="R59" s="6">
        <f t="shared" si="7"/>
        <v>0.34430187949634611</v>
      </c>
      <c r="S59" s="6">
        <f t="shared" si="8"/>
        <v>0.51507561172653382</v>
      </c>
      <c r="T59" s="6">
        <f t="shared" si="9"/>
        <v>0.14062250877712001</v>
      </c>
      <c r="U59" s="4">
        <f t="shared" si="14"/>
        <v>1258.1317472412998</v>
      </c>
      <c r="V59" s="4">
        <f t="shared" si="15"/>
        <v>1882.1650938729845</v>
      </c>
      <c r="W59" s="4">
        <f t="shared" si="10"/>
        <v>3140.2968411142842</v>
      </c>
      <c r="X59" s="4">
        <f t="shared" si="11"/>
        <v>1186.4813272391448</v>
      </c>
      <c r="Y59" s="4">
        <f t="shared" si="12"/>
        <v>1774.9760655497607</v>
      </c>
      <c r="Z59" s="4">
        <f t="shared" si="13"/>
        <v>2961.4573927889055</v>
      </c>
      <c r="AA59" s="3"/>
      <c r="AE59" s="3"/>
      <c r="AF59" s="3"/>
      <c r="AG59" s="7"/>
      <c r="AH59" s="7"/>
      <c r="AI59" s="7"/>
      <c r="AJ59" s="7"/>
      <c r="AK59" s="7"/>
      <c r="AL59" s="3"/>
      <c r="AM59" s="9"/>
      <c r="AN59" s="7"/>
      <c r="AO59" s="7"/>
      <c r="AP59" s="7"/>
      <c r="AQ59" s="7"/>
      <c r="AR59" s="9"/>
      <c r="AS59" s="9"/>
      <c r="AT59" s="9"/>
      <c r="AU59" s="3"/>
      <c r="AV59" s="3"/>
      <c r="AW59" s="3"/>
      <c r="AX59" s="3"/>
      <c r="AY59" s="3"/>
      <c r="AZ59" s="3"/>
    </row>
    <row r="60" spans="1:52" x14ac:dyDescent="0.25">
      <c r="A60">
        <v>20</v>
      </c>
      <c r="B60" s="1" t="s">
        <v>58</v>
      </c>
      <c r="C60" s="1" t="s">
        <v>160</v>
      </c>
      <c r="D60" s="2">
        <v>41955</v>
      </c>
      <c r="E60" s="3">
        <v>27.9</v>
      </c>
      <c r="F60" s="4">
        <f t="shared" si="2"/>
        <v>4265.7267285082507</v>
      </c>
      <c r="G60" s="7">
        <v>11.93</v>
      </c>
      <c r="H60" s="7">
        <v>190.91</v>
      </c>
      <c r="I60" s="7">
        <f t="shared" si="3"/>
        <v>178.98</v>
      </c>
      <c r="J60" s="7">
        <v>168.25</v>
      </c>
      <c r="K60" s="5">
        <f t="shared" si="4"/>
        <v>5.9950832495250816</v>
      </c>
      <c r="L60" s="4">
        <f t="shared" si="5"/>
        <v>4009.9928599369387</v>
      </c>
      <c r="M60" s="2">
        <v>41957</v>
      </c>
      <c r="N60" s="7">
        <v>1.25</v>
      </c>
      <c r="O60" s="7">
        <f t="shared" si="6"/>
        <v>2.5957805252297219</v>
      </c>
      <c r="P60" s="7">
        <v>0.99999999999999989</v>
      </c>
      <c r="Q60" s="7">
        <v>1.3699999999999997</v>
      </c>
      <c r="R60" s="6">
        <f t="shared" si="7"/>
        <v>0.38524058189068267</v>
      </c>
      <c r="S60" s="6">
        <f t="shared" si="8"/>
        <v>0.52777959719023515</v>
      </c>
      <c r="T60" s="6">
        <f t="shared" si="9"/>
        <v>8.6979820919082185E-2</v>
      </c>
      <c r="U60" s="4">
        <f t="shared" si="14"/>
        <v>1643.3310470771567</v>
      </c>
      <c r="V60" s="4">
        <f t="shared" si="15"/>
        <v>2251.3635344957042</v>
      </c>
      <c r="W60" s="4">
        <f t="shared" si="10"/>
        <v>3894.6945815728609</v>
      </c>
      <c r="X60" s="4">
        <f t="shared" si="11"/>
        <v>1544.811982739589</v>
      </c>
      <c r="Y60" s="4">
        <f t="shared" si="12"/>
        <v>2116.3924163532365</v>
      </c>
      <c r="Z60" s="4">
        <f t="shared" si="13"/>
        <v>3661.2043990928255</v>
      </c>
      <c r="AA60" s="3"/>
      <c r="AE60" s="3"/>
      <c r="AF60" s="3"/>
      <c r="AG60" s="7"/>
      <c r="AH60" s="7"/>
      <c r="AI60" s="7"/>
      <c r="AJ60" s="7"/>
      <c r="AK60" s="7"/>
      <c r="AL60" s="3"/>
      <c r="AM60" s="9"/>
      <c r="AN60" s="7"/>
      <c r="AO60" s="7"/>
      <c r="AP60" s="7"/>
      <c r="AQ60" s="7"/>
      <c r="AR60" s="9"/>
      <c r="AS60" s="9"/>
      <c r="AT60" s="9"/>
      <c r="AU60" s="3"/>
      <c r="AV60" s="3"/>
      <c r="AW60" s="3"/>
      <c r="AX60" s="3"/>
      <c r="AY60" s="3"/>
      <c r="AZ60" s="3"/>
    </row>
    <row r="61" spans="1:52" x14ac:dyDescent="0.25">
      <c r="A61">
        <v>21</v>
      </c>
      <c r="B61" s="1" t="s">
        <v>59</v>
      </c>
      <c r="C61" s="1" t="s">
        <v>160</v>
      </c>
      <c r="D61" s="2">
        <v>41955</v>
      </c>
      <c r="E61" s="3">
        <v>19</v>
      </c>
      <c r="F61" s="4">
        <f t="shared" si="2"/>
        <v>2904.9751914572321</v>
      </c>
      <c r="G61" s="7">
        <v>11.95</v>
      </c>
      <c r="H61" s="7">
        <v>221.25</v>
      </c>
      <c r="I61" s="7">
        <f t="shared" si="3"/>
        <v>209.3</v>
      </c>
      <c r="J61" s="7">
        <v>192.65</v>
      </c>
      <c r="K61" s="5">
        <f t="shared" si="4"/>
        <v>7.9550883898710012</v>
      </c>
      <c r="L61" s="4">
        <f t="shared" si="5"/>
        <v>2673.8818472729849</v>
      </c>
      <c r="M61" s="2">
        <v>41957</v>
      </c>
      <c r="N61" s="7">
        <v>1.34</v>
      </c>
      <c r="O61" s="7">
        <f t="shared" si="6"/>
        <v>2.7941967230462619</v>
      </c>
      <c r="P61" s="7">
        <v>1.1259999999999999</v>
      </c>
      <c r="Q61" s="7">
        <v>1.6220000000000003</v>
      </c>
      <c r="R61" s="6">
        <f t="shared" si="7"/>
        <v>0.40297806905035061</v>
      </c>
      <c r="S61" s="6">
        <f t="shared" si="8"/>
        <v>0.58048883481320501</v>
      </c>
      <c r="T61" s="6">
        <f t="shared" si="9"/>
        <v>1.6533096136444381E-2</v>
      </c>
      <c r="U61" s="4">
        <f t="shared" si="14"/>
        <v>1170.641293292608</v>
      </c>
      <c r="V61" s="4">
        <f t="shared" si="15"/>
        <v>1686.3056640502757</v>
      </c>
      <c r="W61" s="4">
        <f t="shared" si="10"/>
        <v>2856.9469573428837</v>
      </c>
      <c r="X61" s="4">
        <f t="shared" si="11"/>
        <v>1077.515743682852</v>
      </c>
      <c r="Y61" s="4">
        <f t="shared" si="12"/>
        <v>1552.1585579516752</v>
      </c>
      <c r="Z61" s="4">
        <f t="shared" si="13"/>
        <v>2629.6743016345272</v>
      </c>
      <c r="AA61" s="3"/>
      <c r="AE61" s="3"/>
      <c r="AF61" s="3"/>
      <c r="AG61" s="7"/>
      <c r="AH61" s="7"/>
      <c r="AI61" s="7"/>
      <c r="AJ61" s="7"/>
      <c r="AK61" s="7"/>
      <c r="AL61" s="3"/>
      <c r="AM61" s="9"/>
      <c r="AN61" s="7"/>
      <c r="AO61" s="7"/>
      <c r="AP61" s="7"/>
      <c r="AQ61" s="7"/>
      <c r="AR61" s="9"/>
      <c r="AS61" s="9"/>
      <c r="AT61" s="9"/>
      <c r="AU61" s="3"/>
      <c r="AV61" s="3"/>
      <c r="AW61" s="3"/>
      <c r="AX61" s="3"/>
      <c r="AY61" s="3"/>
      <c r="AZ61" s="3"/>
    </row>
    <row r="62" spans="1:52" x14ac:dyDescent="0.25">
      <c r="A62">
        <v>22</v>
      </c>
      <c r="B62" s="1" t="s">
        <v>60</v>
      </c>
      <c r="C62" s="1" t="s">
        <v>160</v>
      </c>
      <c r="D62" s="2">
        <v>41955</v>
      </c>
      <c r="E62" s="3">
        <v>11.3</v>
      </c>
      <c r="F62" s="4">
        <f>E62*$A$29/$A$31*$A$32</f>
        <v>2119.6939720770201</v>
      </c>
      <c r="G62" s="7">
        <v>11.89</v>
      </c>
      <c r="H62" s="7">
        <v>229.55</v>
      </c>
      <c r="I62" s="7">
        <f t="shared" si="3"/>
        <v>217.66000000000003</v>
      </c>
      <c r="J62" s="7">
        <v>204.39</v>
      </c>
      <c r="K62" s="5">
        <f t="shared" si="4"/>
        <v>6.0966645226500216</v>
      </c>
      <c r="L62" s="4">
        <f t="shared" si="5"/>
        <v>1990.4633416926495</v>
      </c>
      <c r="M62" s="2">
        <v>41957</v>
      </c>
      <c r="N62" s="7">
        <v>1.27</v>
      </c>
      <c r="O62" s="7">
        <f t="shared" si="6"/>
        <v>2.6398730136333972</v>
      </c>
      <c r="P62" s="7">
        <v>0.93699999999999994</v>
      </c>
      <c r="Q62" s="7">
        <v>1.4330000000000003</v>
      </c>
      <c r="R62" s="6">
        <f t="shared" si="7"/>
        <v>0.35494131541969787</v>
      </c>
      <c r="S62" s="6">
        <f t="shared" si="8"/>
        <v>0.54282914087132028</v>
      </c>
      <c r="T62" s="6">
        <f t="shared" si="9"/>
        <v>0.10222954370898185</v>
      </c>
      <c r="U62" s="4">
        <f t="shared" si="14"/>
        <v>752.3669667362218</v>
      </c>
      <c r="V62" s="4">
        <f t="shared" si="15"/>
        <v>1150.6316577726852</v>
      </c>
      <c r="W62" s="4">
        <f t="shared" si="10"/>
        <v>1902.9986245089071</v>
      </c>
      <c r="X62" s="4">
        <f t="shared" si="11"/>
        <v>706.49767679507659</v>
      </c>
      <c r="Y62" s="4">
        <f t="shared" si="12"/>
        <v>1080.4815057068781</v>
      </c>
      <c r="Z62" s="4">
        <f t="shared" si="13"/>
        <v>1786.9791825019547</v>
      </c>
      <c r="AA62" s="3"/>
      <c r="AE62" s="3"/>
      <c r="AF62" s="3"/>
      <c r="AG62" s="7"/>
      <c r="AH62" s="7"/>
      <c r="AI62" s="7"/>
      <c r="AJ62" s="7"/>
      <c r="AK62" s="7"/>
      <c r="AL62" s="3"/>
      <c r="AM62" s="9"/>
      <c r="AN62" s="7"/>
      <c r="AO62" s="7"/>
      <c r="AP62" s="7"/>
      <c r="AQ62" s="7"/>
      <c r="AR62" s="9"/>
      <c r="AS62" s="9"/>
      <c r="AT62" s="9"/>
      <c r="AU62" s="3"/>
      <c r="AV62" s="3"/>
      <c r="AW62" s="3"/>
      <c r="AX62" s="3"/>
      <c r="AY62" s="3"/>
      <c r="AZ62" s="3"/>
    </row>
    <row r="63" spans="1:52" x14ac:dyDescent="0.25">
      <c r="A63">
        <v>23</v>
      </c>
      <c r="B63" s="1" t="s">
        <v>61</v>
      </c>
      <c r="C63" s="1" t="s">
        <v>160</v>
      </c>
      <c r="D63" s="2">
        <v>41955</v>
      </c>
      <c r="E63" s="3">
        <v>43.199999999999996</v>
      </c>
      <c r="F63" s="4">
        <f t="shared" si="2"/>
        <v>6604.9962247869689</v>
      </c>
      <c r="G63" s="7">
        <v>11.96</v>
      </c>
      <c r="H63" s="7">
        <v>216.29</v>
      </c>
      <c r="I63" s="7">
        <f t="shared" si="3"/>
        <v>204.32999999999998</v>
      </c>
      <c r="J63" s="7">
        <v>193.75</v>
      </c>
      <c r="K63" s="5">
        <f t="shared" si="4"/>
        <v>5.177898497528501</v>
      </c>
      <c r="L63" s="4">
        <f t="shared" si="5"/>
        <v>6262.9962245019105</v>
      </c>
      <c r="M63" s="2">
        <v>41957</v>
      </c>
      <c r="N63" s="7">
        <v>1.7</v>
      </c>
      <c r="O63" s="7">
        <f t="shared" si="6"/>
        <v>3.5878615143124217</v>
      </c>
      <c r="P63" s="7">
        <v>1.3149999999999999</v>
      </c>
      <c r="Q63" s="7">
        <v>1.9369999999999998</v>
      </c>
      <c r="R63" s="6">
        <f t="shared" si="7"/>
        <v>0.36651358887579771</v>
      </c>
      <c r="S63" s="6">
        <f t="shared" si="8"/>
        <v>0.53987591000184043</v>
      </c>
      <c r="T63" s="6">
        <f t="shared" si="9"/>
        <v>9.36105011223618E-2</v>
      </c>
      <c r="U63" s="4">
        <f t="shared" si="14"/>
        <v>2420.8208708577672</v>
      </c>
      <c r="V63" s="4">
        <f t="shared" si="15"/>
        <v>3565.8783474155853</v>
      </c>
      <c r="W63" s="4">
        <f t="shared" si="10"/>
        <v>5986.699218273352</v>
      </c>
      <c r="X63" s="4">
        <f t="shared" si="11"/>
        <v>2295.4732233577665</v>
      </c>
      <c r="Y63" s="4">
        <f t="shared" si="12"/>
        <v>3381.2407860410599</v>
      </c>
      <c r="Z63" s="4">
        <f t="shared" si="13"/>
        <v>5676.7140093988264</v>
      </c>
      <c r="AA63" s="3"/>
      <c r="AB63" t="s">
        <v>168</v>
      </c>
      <c r="AC63" t="str">
        <f>C63</f>
        <v>Machine</v>
      </c>
      <c r="AD63" s="8">
        <f>D63</f>
        <v>41955</v>
      </c>
      <c r="AE63" s="3">
        <f>SUM(E63:E73)</f>
        <v>439.4</v>
      </c>
      <c r="AF63" s="3">
        <f>AE63*$A$29/($A$30*11)*$A$32</f>
        <v>6107.3976034751568</v>
      </c>
      <c r="AG63" s="7">
        <f>SUM(G63:G73)</f>
        <v>131.08999999999997</v>
      </c>
      <c r="AH63" s="7">
        <f>SUM(H63:H73)</f>
        <v>2505.6799999999998</v>
      </c>
      <c r="AI63" s="7">
        <f>AH63-AG63</f>
        <v>2374.5899999999997</v>
      </c>
      <c r="AJ63" s="7">
        <f>SUM(J63:J73)</f>
        <v>2247.2799999999997</v>
      </c>
      <c r="AK63" s="7">
        <f>(AI63-AJ63)/AI63*100</f>
        <v>5.3613465903587549</v>
      </c>
      <c r="AL63" s="3">
        <f>AF63*(1-AK63/100)</f>
        <v>5779.9588503015893</v>
      </c>
      <c r="AM63" s="11">
        <f>M63</f>
        <v>41957</v>
      </c>
      <c r="AN63" s="7">
        <f>SUM(N63:N73)</f>
        <v>17.41</v>
      </c>
      <c r="AO63" s="7">
        <f>AN63/$A$29-$A$33*11</f>
        <v>36.622511155399572</v>
      </c>
      <c r="AP63" s="7">
        <f>SUM(P63:P73)</f>
        <v>13.071</v>
      </c>
      <c r="AQ63" s="7">
        <f>SUM(Q63:Q73)</f>
        <v>20.047000000000001</v>
      </c>
      <c r="AR63" s="9">
        <f>AP63/AO63</f>
        <v>0.35691162587229713</v>
      </c>
      <c r="AS63" s="9">
        <f>AQ63/AO63</f>
        <v>0.54739555993129374</v>
      </c>
      <c r="AT63" s="9">
        <f>1-AR63-AS63</f>
        <v>9.5692814196409182E-2</v>
      </c>
      <c r="AU63" s="3">
        <f>AF63*AR63</f>
        <v>2179.8012085048895</v>
      </c>
      <c r="AV63" s="3">
        <f>AF63*AS63</f>
        <v>3343.1623308773251</v>
      </c>
      <c r="AW63" s="3">
        <f>AU63+AV63</f>
        <v>5522.9635393822145</v>
      </c>
      <c r="AX63" s="3">
        <f>AL63*AR63</f>
        <v>2062.9345107361137</v>
      </c>
      <c r="AY63" s="3">
        <f>AL63*AS63</f>
        <v>3163.9238112406751</v>
      </c>
      <c r="AZ63" s="3">
        <f>AX63+AY63</f>
        <v>5226.8583219767888</v>
      </c>
    </row>
    <row r="64" spans="1:52" x14ac:dyDescent="0.25">
      <c r="A64">
        <v>24</v>
      </c>
      <c r="B64" s="1" t="s">
        <v>62</v>
      </c>
      <c r="C64" s="1" t="s">
        <v>160</v>
      </c>
      <c r="D64" s="2">
        <v>41955</v>
      </c>
      <c r="E64" s="3">
        <v>39.099999999999994</v>
      </c>
      <c r="F64" s="4">
        <f t="shared" si="2"/>
        <v>5978.1331571567234</v>
      </c>
      <c r="G64" s="7">
        <v>11.87</v>
      </c>
      <c r="H64" s="7">
        <v>237.45</v>
      </c>
      <c r="I64" s="7">
        <f t="shared" si="3"/>
        <v>225.57999999999998</v>
      </c>
      <c r="J64" s="7">
        <v>212.24</v>
      </c>
      <c r="K64" s="5">
        <f t="shared" si="4"/>
        <v>5.9136448266690209</v>
      </c>
      <c r="L64" s="4">
        <f t="shared" si="5"/>
        <v>5624.6075949771393</v>
      </c>
      <c r="M64" s="2">
        <v>41957</v>
      </c>
      <c r="N64" s="7">
        <v>1.6</v>
      </c>
      <c r="O64" s="7">
        <f t="shared" si="6"/>
        <v>3.3673990722940439</v>
      </c>
      <c r="P64" s="7">
        <v>1.1259999999999999</v>
      </c>
      <c r="Q64" s="7">
        <v>1.8109999999999995</v>
      </c>
      <c r="R64" s="6">
        <f t="shared" si="7"/>
        <v>0.33438270184974284</v>
      </c>
      <c r="S64" s="6">
        <f t="shared" si="8"/>
        <v>0.53780379489332519</v>
      </c>
      <c r="T64" s="6">
        <f t="shared" si="9"/>
        <v>0.12781350325693197</v>
      </c>
      <c r="U64" s="4">
        <f t="shared" si="14"/>
        <v>1998.9843171075984</v>
      </c>
      <c r="V64" s="4">
        <f t="shared" si="15"/>
        <v>3215.0626982965009</v>
      </c>
      <c r="W64" s="4">
        <f t="shared" si="10"/>
        <v>5214.0470154040995</v>
      </c>
      <c r="X64" s="4">
        <f t="shared" si="11"/>
        <v>1880.7714844530399</v>
      </c>
      <c r="Y64" s="4">
        <f t="shared" si="12"/>
        <v>3024.9353093645245</v>
      </c>
      <c r="Z64" s="4">
        <f t="shared" si="13"/>
        <v>4905.7067938175642</v>
      </c>
      <c r="AA64" s="3"/>
      <c r="AE64" s="3"/>
      <c r="AF64" s="3"/>
      <c r="AG64" s="7"/>
      <c r="AH64" s="7"/>
      <c r="AI64" s="7"/>
      <c r="AJ64" s="7"/>
      <c r="AK64" s="7"/>
      <c r="AL64" s="3"/>
      <c r="AM64" s="9"/>
      <c r="AN64" s="7"/>
      <c r="AO64" s="7"/>
      <c r="AP64" s="7"/>
      <c r="AQ64" s="7"/>
      <c r="AR64" s="9"/>
      <c r="AS64" s="9"/>
      <c r="AT64" s="9"/>
      <c r="AU64" s="3"/>
      <c r="AV64" s="3"/>
      <c r="AW64" s="3"/>
      <c r="AX64" s="3"/>
      <c r="AY64" s="3"/>
      <c r="AZ64" s="3"/>
    </row>
    <row r="65" spans="1:52" x14ac:dyDescent="0.25">
      <c r="A65">
        <v>25</v>
      </c>
      <c r="B65" s="1" t="s">
        <v>63</v>
      </c>
      <c r="C65" s="1" t="s">
        <v>160</v>
      </c>
      <c r="D65" s="2">
        <v>41955</v>
      </c>
      <c r="E65" s="3">
        <v>43.599999999999994</v>
      </c>
      <c r="F65" s="4">
        <f t="shared" si="2"/>
        <v>6666.1535972387001</v>
      </c>
      <c r="G65" s="7">
        <v>11.9</v>
      </c>
      <c r="H65" s="7">
        <v>333.74</v>
      </c>
      <c r="I65" s="7">
        <f t="shared" si="3"/>
        <v>321.84000000000003</v>
      </c>
      <c r="J65" s="7">
        <v>306.32</v>
      </c>
      <c r="K65" s="5">
        <f t="shared" si="4"/>
        <v>4.8222719363659081</v>
      </c>
      <c r="L65" s="4">
        <f t="shared" si="5"/>
        <v>6344.6935430840122</v>
      </c>
      <c r="M65" s="2">
        <v>41957</v>
      </c>
      <c r="N65" s="7">
        <v>1.77</v>
      </c>
      <c r="O65" s="7">
        <f t="shared" si="6"/>
        <v>3.7421852237252859</v>
      </c>
      <c r="P65" s="7">
        <v>1.3149999999999999</v>
      </c>
      <c r="Q65" s="7">
        <v>1.9999999999999996</v>
      </c>
      <c r="R65" s="6">
        <f t="shared" si="7"/>
        <v>0.35139896113718772</v>
      </c>
      <c r="S65" s="6">
        <f t="shared" si="8"/>
        <v>0.53444708918203443</v>
      </c>
      <c r="T65" s="6">
        <f t="shared" si="9"/>
        <v>0.11415394968077786</v>
      </c>
      <c r="U65" s="4">
        <f t="shared" si="14"/>
        <v>2342.4794488506059</v>
      </c>
      <c r="V65" s="4">
        <f t="shared" si="15"/>
        <v>3562.706386084571</v>
      </c>
      <c r="W65" s="4">
        <f t="shared" si="10"/>
        <v>5905.1858349351769</v>
      </c>
      <c r="X65" s="4">
        <f t="shared" si="11"/>
        <v>2229.5187197735445</v>
      </c>
      <c r="Y65" s="4">
        <f t="shared" si="12"/>
        <v>3390.9029958532992</v>
      </c>
      <c r="Z65" s="4">
        <f t="shared" si="13"/>
        <v>5620.4217156268442</v>
      </c>
      <c r="AA65" s="3"/>
      <c r="AE65" s="3"/>
      <c r="AF65" s="3"/>
      <c r="AG65" s="7"/>
      <c r="AH65" s="7"/>
      <c r="AI65" s="7"/>
      <c r="AJ65" s="7"/>
      <c r="AK65" s="7"/>
      <c r="AL65" s="3"/>
      <c r="AM65" s="9"/>
      <c r="AN65" s="7"/>
      <c r="AO65" s="7"/>
      <c r="AP65" s="7"/>
      <c r="AQ65" s="7"/>
      <c r="AR65" s="9"/>
      <c r="AS65" s="9"/>
      <c r="AT65" s="9"/>
      <c r="AU65" s="3"/>
      <c r="AV65" s="3"/>
      <c r="AW65" s="3"/>
      <c r="AX65" s="3"/>
      <c r="AY65" s="3"/>
      <c r="AZ65" s="3"/>
    </row>
    <row r="66" spans="1:52" x14ac:dyDescent="0.25">
      <c r="A66">
        <v>26</v>
      </c>
      <c r="B66" s="1" t="s">
        <v>64</v>
      </c>
      <c r="C66" s="1" t="s">
        <v>160</v>
      </c>
      <c r="D66" s="2">
        <v>41955</v>
      </c>
      <c r="E66" s="3">
        <v>42.8</v>
      </c>
      <c r="F66" s="4">
        <f t="shared" si="2"/>
        <v>6543.8388523352378</v>
      </c>
      <c r="G66" s="7">
        <v>11.89</v>
      </c>
      <c r="H66" s="7">
        <v>216.17</v>
      </c>
      <c r="I66" s="7">
        <f t="shared" si="3"/>
        <v>204.27999999999997</v>
      </c>
      <c r="J66" s="7">
        <v>193.41</v>
      </c>
      <c r="K66" s="5">
        <f t="shared" si="4"/>
        <v>5.3211278637164563</v>
      </c>
      <c r="L66" s="4">
        <f t="shared" si="5"/>
        <v>6195.6328198069241</v>
      </c>
      <c r="M66" s="2">
        <v>41957</v>
      </c>
      <c r="N66" s="7">
        <v>1.47</v>
      </c>
      <c r="O66" s="7">
        <f t="shared" si="6"/>
        <v>3.0807978976701529</v>
      </c>
      <c r="P66" s="7">
        <v>1.0630000000000002</v>
      </c>
      <c r="Q66" s="7">
        <v>1.7479999999999998</v>
      </c>
      <c r="R66" s="6">
        <f t="shared" si="7"/>
        <v>0.34504048474062249</v>
      </c>
      <c r="S66" s="6">
        <f t="shared" si="8"/>
        <v>0.56738548196294247</v>
      </c>
      <c r="T66" s="6">
        <f t="shared" si="9"/>
        <v>8.7574033296434983E-2</v>
      </c>
      <c r="U66" s="4">
        <f t="shared" si="14"/>
        <v>2257.889329674269</v>
      </c>
      <c r="V66" s="4">
        <f t="shared" si="15"/>
        <v>3712.8791611200572</v>
      </c>
      <c r="W66" s="4">
        <f t="shared" si="10"/>
        <v>5970.7684907943258</v>
      </c>
      <c r="X66" s="4">
        <f t="shared" si="11"/>
        <v>2137.7441514210909</v>
      </c>
      <c r="Y66" s="4">
        <f t="shared" si="12"/>
        <v>3515.312113531576</v>
      </c>
      <c r="Z66" s="4">
        <f t="shared" si="13"/>
        <v>5653.0562649526673</v>
      </c>
      <c r="AA66" s="3"/>
      <c r="AE66" s="3"/>
      <c r="AF66" s="3"/>
      <c r="AG66" s="7"/>
      <c r="AH66" s="7"/>
      <c r="AI66" s="7"/>
      <c r="AJ66" s="7"/>
      <c r="AK66" s="7"/>
      <c r="AL66" s="3"/>
      <c r="AM66" s="9"/>
      <c r="AN66" s="7"/>
      <c r="AO66" s="7"/>
      <c r="AP66" s="7"/>
      <c r="AQ66" s="7"/>
      <c r="AR66" s="9"/>
      <c r="AS66" s="9"/>
      <c r="AT66" s="9"/>
      <c r="AU66" s="3"/>
      <c r="AV66" s="3"/>
      <c r="AW66" s="3"/>
      <c r="AX66" s="3"/>
      <c r="AY66" s="3"/>
      <c r="AZ66" s="3"/>
    </row>
    <row r="67" spans="1:52" x14ac:dyDescent="0.25">
      <c r="A67">
        <v>27</v>
      </c>
      <c r="B67" s="1" t="s">
        <v>65</v>
      </c>
      <c r="C67" s="1" t="s">
        <v>160</v>
      </c>
      <c r="D67" s="2">
        <v>41955</v>
      </c>
      <c r="E67" s="3">
        <v>43.9</v>
      </c>
      <c r="F67" s="4">
        <f t="shared" si="2"/>
        <v>6712.0216265774989</v>
      </c>
      <c r="G67" s="7">
        <v>11.9</v>
      </c>
      <c r="H67" s="7">
        <v>206.74</v>
      </c>
      <c r="I67" s="7">
        <f t="shared" si="3"/>
        <v>194.84</v>
      </c>
      <c r="J67" s="7">
        <v>184.83</v>
      </c>
      <c r="K67" s="5">
        <f t="shared" si="4"/>
        <v>5.1375487579552406</v>
      </c>
      <c r="L67" s="4">
        <f t="shared" si="5"/>
        <v>6367.188242867579</v>
      </c>
      <c r="M67" s="2">
        <v>41957</v>
      </c>
      <c r="N67" s="7">
        <v>1.63</v>
      </c>
      <c r="O67" s="7">
        <f t="shared" si="6"/>
        <v>3.4335378048995571</v>
      </c>
      <c r="P67" s="7">
        <v>1.2520000000000002</v>
      </c>
      <c r="Q67" s="7">
        <v>1.8740000000000001</v>
      </c>
      <c r="R67" s="6">
        <f t="shared" si="7"/>
        <v>0.36463847819395878</v>
      </c>
      <c r="S67" s="6">
        <f t="shared" si="8"/>
        <v>0.54579273812737916</v>
      </c>
      <c r="T67" s="6">
        <f t="shared" si="9"/>
        <v>8.9568783678662056E-2</v>
      </c>
      <c r="U67" s="4">
        <f t="shared" si="14"/>
        <v>2447.461351520159</v>
      </c>
      <c r="V67" s="4">
        <f t="shared" si="15"/>
        <v>3663.3726619399185</v>
      </c>
      <c r="W67" s="4">
        <f t="shared" si="10"/>
        <v>6110.8340134600776</v>
      </c>
      <c r="X67" s="4">
        <f t="shared" si="11"/>
        <v>2321.7218312537007</v>
      </c>
      <c r="Y67" s="4">
        <f t="shared" si="12"/>
        <v>3475.165105247152</v>
      </c>
      <c r="Z67" s="4">
        <f t="shared" si="13"/>
        <v>5796.8869365008522</v>
      </c>
      <c r="AA67" s="3"/>
      <c r="AE67" s="3"/>
      <c r="AF67" s="3"/>
      <c r="AG67" s="7"/>
      <c r="AH67" s="7"/>
      <c r="AI67" s="7"/>
      <c r="AJ67" s="7"/>
      <c r="AK67" s="7"/>
      <c r="AL67" s="3"/>
      <c r="AM67" s="9"/>
      <c r="AN67" s="7"/>
      <c r="AO67" s="7"/>
      <c r="AP67" s="7"/>
      <c r="AQ67" s="7"/>
      <c r="AR67" s="9"/>
      <c r="AS67" s="9"/>
      <c r="AT67" s="9"/>
      <c r="AU67" s="3"/>
      <c r="AV67" s="3"/>
      <c r="AW67" s="3"/>
      <c r="AX67" s="3"/>
      <c r="AY67" s="3"/>
      <c r="AZ67" s="3"/>
    </row>
    <row r="68" spans="1:52" x14ac:dyDescent="0.25">
      <c r="A68">
        <v>28</v>
      </c>
      <c r="B68" s="1" t="s">
        <v>66</v>
      </c>
      <c r="C68" s="1" t="s">
        <v>160</v>
      </c>
      <c r="D68" s="2">
        <v>41955</v>
      </c>
      <c r="E68" s="3">
        <v>41.4</v>
      </c>
      <c r="F68" s="4">
        <f t="shared" si="2"/>
        <v>6329.7880487541788</v>
      </c>
      <c r="G68" s="7">
        <v>11.88</v>
      </c>
      <c r="H68" s="7">
        <v>251.58</v>
      </c>
      <c r="I68" s="7">
        <f t="shared" si="3"/>
        <v>239.70000000000002</v>
      </c>
      <c r="J68" s="7">
        <v>225.72</v>
      </c>
      <c r="K68" s="5">
        <f t="shared" si="4"/>
        <v>5.8322903629536995</v>
      </c>
      <c r="L68" s="4">
        <f t="shared" si="5"/>
        <v>5960.6164303912938</v>
      </c>
      <c r="M68" s="2">
        <v>41957</v>
      </c>
      <c r="N68" s="7">
        <v>1.44</v>
      </c>
      <c r="O68" s="7">
        <f t="shared" si="6"/>
        <v>3.0146591650646393</v>
      </c>
      <c r="P68" s="7">
        <v>1.0630000000000002</v>
      </c>
      <c r="Q68" s="7">
        <v>1.6220000000000003</v>
      </c>
      <c r="R68" s="6">
        <f t="shared" si="7"/>
        <v>0.35261034226308885</v>
      </c>
      <c r="S68" s="6">
        <f t="shared" si="8"/>
        <v>0.53803760597434636</v>
      </c>
      <c r="T68" s="6">
        <f t="shared" si="9"/>
        <v>0.10935205176256479</v>
      </c>
      <c r="U68" s="4">
        <f t="shared" si="14"/>
        <v>2231.9487303240203</v>
      </c>
      <c r="V68" s="4">
        <f t="shared" si="15"/>
        <v>3405.6640080767274</v>
      </c>
      <c r="W68" s="4">
        <f t="shared" si="10"/>
        <v>5637.6127384007477</v>
      </c>
      <c r="X68" s="4">
        <f t="shared" si="11"/>
        <v>2101.7749996192651</v>
      </c>
      <c r="Y68" s="4">
        <f t="shared" si="12"/>
        <v>3207.0357943390859</v>
      </c>
      <c r="Z68" s="4">
        <f t="shared" si="13"/>
        <v>5308.8107939583515</v>
      </c>
      <c r="AA68" s="3"/>
      <c r="AE68" s="3"/>
      <c r="AF68" s="3"/>
      <c r="AG68" s="7"/>
      <c r="AH68" s="7"/>
      <c r="AI68" s="7"/>
      <c r="AJ68" s="7"/>
      <c r="AK68" s="7"/>
      <c r="AL68" s="3"/>
      <c r="AM68" s="9"/>
      <c r="AN68" s="7"/>
      <c r="AO68" s="7"/>
      <c r="AP68" s="7"/>
      <c r="AQ68" s="7"/>
      <c r="AR68" s="9"/>
      <c r="AS68" s="9"/>
      <c r="AT68" s="9"/>
      <c r="AU68" s="3"/>
      <c r="AV68" s="3"/>
      <c r="AW68" s="3"/>
      <c r="AX68" s="3"/>
      <c r="AY68" s="3"/>
      <c r="AZ68" s="3"/>
    </row>
    <row r="69" spans="1:52" x14ac:dyDescent="0.25">
      <c r="A69">
        <v>29</v>
      </c>
      <c r="B69" s="1" t="s">
        <v>67</v>
      </c>
      <c r="C69" s="1" t="s">
        <v>160</v>
      </c>
      <c r="D69" s="2">
        <v>41955</v>
      </c>
      <c r="E69" s="3">
        <v>39.199999999999996</v>
      </c>
      <c r="F69" s="4">
        <f t="shared" si="2"/>
        <v>5993.4225002696576</v>
      </c>
      <c r="G69" s="7">
        <v>11.93</v>
      </c>
      <c r="H69" s="7">
        <v>204.74</v>
      </c>
      <c r="I69" s="7">
        <f t="shared" si="3"/>
        <v>192.81</v>
      </c>
      <c r="J69" s="7">
        <v>181.89</v>
      </c>
      <c r="K69" s="5">
        <f t="shared" si="4"/>
        <v>5.6636066594056409</v>
      </c>
      <c r="L69" s="4">
        <f t="shared" si="5"/>
        <v>5653.9786244180696</v>
      </c>
      <c r="M69" s="2">
        <v>41957</v>
      </c>
      <c r="N69" s="7">
        <v>1.46</v>
      </c>
      <c r="O69" s="7">
        <f t="shared" si="6"/>
        <v>3.058751653468315</v>
      </c>
      <c r="P69" s="7">
        <v>1.1259999999999999</v>
      </c>
      <c r="Q69" s="7">
        <v>1.6850000000000001</v>
      </c>
      <c r="R69" s="6">
        <f t="shared" si="7"/>
        <v>0.36812403475883038</v>
      </c>
      <c r="S69" s="6">
        <f t="shared" si="8"/>
        <v>0.55087832910180223</v>
      </c>
      <c r="T69" s="6">
        <f t="shared" si="9"/>
        <v>8.099763613936739E-2</v>
      </c>
      <c r="U69" s="4">
        <f t="shared" si="14"/>
        <v>2206.3228728136237</v>
      </c>
      <c r="V69" s="4">
        <f t="shared" si="15"/>
        <v>3301.6465725496946</v>
      </c>
      <c r="W69" s="4">
        <f t="shared" si="10"/>
        <v>5507.9694453633183</v>
      </c>
      <c r="X69" s="4">
        <f t="shared" si="11"/>
        <v>2081.3654236609614</v>
      </c>
      <c r="Y69" s="4">
        <f t="shared" si="12"/>
        <v>3114.6542973967325</v>
      </c>
      <c r="Z69" s="4">
        <f t="shared" si="13"/>
        <v>5196.0197210576935</v>
      </c>
      <c r="AA69" s="3"/>
      <c r="AE69" s="3"/>
      <c r="AF69" s="3"/>
      <c r="AG69" s="7"/>
      <c r="AH69" s="7"/>
      <c r="AI69" s="7"/>
      <c r="AJ69" s="7"/>
      <c r="AK69" s="7"/>
      <c r="AL69" s="3"/>
      <c r="AM69" s="9"/>
      <c r="AN69" s="7"/>
      <c r="AO69" s="7"/>
      <c r="AP69" s="7"/>
      <c r="AQ69" s="7"/>
      <c r="AR69" s="9"/>
      <c r="AS69" s="9"/>
      <c r="AT69" s="9"/>
      <c r="AU69" s="3"/>
      <c r="AV69" s="3"/>
      <c r="AW69" s="3"/>
      <c r="AX69" s="3"/>
      <c r="AY69" s="3"/>
      <c r="AZ69" s="3"/>
    </row>
    <row r="70" spans="1:52" x14ac:dyDescent="0.25">
      <c r="A70">
        <v>30</v>
      </c>
      <c r="B70" s="1" t="s">
        <v>68</v>
      </c>
      <c r="C70" s="1" t="s">
        <v>160</v>
      </c>
      <c r="D70" s="2">
        <v>41955</v>
      </c>
      <c r="E70" s="3">
        <v>40.599999999999994</v>
      </c>
      <c r="F70" s="4">
        <f t="shared" si="2"/>
        <v>6207.4733038507156</v>
      </c>
      <c r="G70" s="7">
        <v>11.93</v>
      </c>
      <c r="H70" s="7">
        <v>194.53</v>
      </c>
      <c r="I70" s="7">
        <f t="shared" si="3"/>
        <v>182.6</v>
      </c>
      <c r="J70" s="7">
        <v>173.25</v>
      </c>
      <c r="K70" s="5">
        <f t="shared" si="4"/>
        <v>5.1204819277108404</v>
      </c>
      <c r="L70" s="4">
        <f t="shared" si="5"/>
        <v>5889.6207551595644</v>
      </c>
      <c r="M70" s="2">
        <v>41957</v>
      </c>
      <c r="N70" s="7">
        <v>1.91</v>
      </c>
      <c r="O70" s="7">
        <f t="shared" si="6"/>
        <v>4.0508326425510148</v>
      </c>
      <c r="P70" s="7">
        <v>1.4330000000000003</v>
      </c>
      <c r="Q70" s="7">
        <v>2.2520000000000002</v>
      </c>
      <c r="R70" s="6">
        <f t="shared" si="7"/>
        <v>0.3537544318536861</v>
      </c>
      <c r="S70" s="6">
        <f t="shared" si="8"/>
        <v>0.5559350876025827</v>
      </c>
      <c r="T70" s="6">
        <f t="shared" si="9"/>
        <v>9.0310480543731253E-2</v>
      </c>
      <c r="U70" s="4">
        <f t="shared" si="14"/>
        <v>2195.9211918506339</v>
      </c>
      <c r="V70" s="4">
        <f t="shared" si="15"/>
        <v>3450.952214966941</v>
      </c>
      <c r="W70" s="4">
        <f t="shared" si="10"/>
        <v>5646.8734068175745</v>
      </c>
      <c r="X70" s="4">
        <f t="shared" si="11"/>
        <v>2083.4794440751493</v>
      </c>
      <c r="Y70" s="4">
        <f t="shared" si="12"/>
        <v>3274.2468304656218</v>
      </c>
      <c r="Z70" s="4">
        <f t="shared" si="13"/>
        <v>5357.7262745407716</v>
      </c>
      <c r="AA70" s="3"/>
      <c r="AE70" s="3"/>
      <c r="AF70" s="3"/>
      <c r="AG70" s="7"/>
      <c r="AH70" s="7"/>
      <c r="AI70" s="7"/>
      <c r="AJ70" s="7"/>
      <c r="AK70" s="7"/>
      <c r="AL70" s="3"/>
      <c r="AM70" s="9"/>
      <c r="AN70" s="7"/>
      <c r="AO70" s="7"/>
      <c r="AP70" s="7"/>
      <c r="AQ70" s="7"/>
      <c r="AR70" s="9"/>
      <c r="AS70" s="9"/>
      <c r="AT70" s="9"/>
      <c r="AU70" s="3"/>
      <c r="AV70" s="3"/>
      <c r="AW70" s="3"/>
      <c r="AX70" s="3"/>
      <c r="AY70" s="3"/>
      <c r="AZ70" s="3"/>
    </row>
    <row r="71" spans="1:52" x14ac:dyDescent="0.25">
      <c r="A71">
        <v>31</v>
      </c>
      <c r="B71" s="1" t="s">
        <v>69</v>
      </c>
      <c r="C71" s="1" t="s">
        <v>160</v>
      </c>
      <c r="D71" s="2">
        <v>41955</v>
      </c>
      <c r="E71" s="3">
        <v>37.199999999999996</v>
      </c>
      <c r="F71" s="4">
        <f t="shared" si="2"/>
        <v>5687.6356380110019</v>
      </c>
      <c r="G71" s="7">
        <v>11.94</v>
      </c>
      <c r="H71" s="7">
        <v>212.67</v>
      </c>
      <c r="I71" s="7">
        <f t="shared" si="3"/>
        <v>200.73</v>
      </c>
      <c r="J71" s="7">
        <v>190</v>
      </c>
      <c r="K71" s="5">
        <f t="shared" si="4"/>
        <v>5.3454889652767354</v>
      </c>
      <c r="L71" s="4">
        <f t="shared" si="5"/>
        <v>5383.6037025959768</v>
      </c>
      <c r="M71" s="2">
        <v>41957</v>
      </c>
      <c r="N71" s="7">
        <v>1.51</v>
      </c>
      <c r="O71" s="7">
        <f t="shared" si="6"/>
        <v>3.1689828744775039</v>
      </c>
      <c r="P71" s="7">
        <v>1.1890000000000001</v>
      </c>
      <c r="Q71" s="7">
        <v>1.7479999999999998</v>
      </c>
      <c r="R71" s="6">
        <f t="shared" si="7"/>
        <v>0.3751992507047045</v>
      </c>
      <c r="S71" s="6">
        <f t="shared" si="8"/>
        <v>0.55159654350868237</v>
      </c>
      <c r="T71" s="6">
        <f t="shared" si="9"/>
        <v>7.320420578661313E-2</v>
      </c>
      <c r="U71" s="4">
        <f t="shared" si="14"/>
        <v>2133.9966296631019</v>
      </c>
      <c r="V71" s="4">
        <f t="shared" si="15"/>
        <v>3137.2801586636679</v>
      </c>
      <c r="W71" s="4">
        <f t="shared" si="10"/>
        <v>5271.2767883267697</v>
      </c>
      <c r="X71" s="4">
        <f t="shared" si="11"/>
        <v>2019.9240753050833</v>
      </c>
      <c r="Y71" s="4">
        <f t="shared" si="12"/>
        <v>2969.577193972485</v>
      </c>
      <c r="Z71" s="4">
        <f t="shared" si="13"/>
        <v>4989.5012692775681</v>
      </c>
      <c r="AA71" s="3"/>
      <c r="AE71" s="3"/>
      <c r="AF71" s="3"/>
      <c r="AG71" s="7"/>
      <c r="AH71" s="7"/>
      <c r="AI71" s="7"/>
      <c r="AJ71" s="7"/>
      <c r="AK71" s="7"/>
      <c r="AL71" s="3"/>
      <c r="AM71" s="9"/>
      <c r="AN71" s="7"/>
      <c r="AO71" s="7"/>
      <c r="AP71" s="7"/>
      <c r="AQ71" s="7"/>
      <c r="AR71" s="9"/>
      <c r="AS71" s="9"/>
      <c r="AT71" s="9"/>
      <c r="AU71" s="3"/>
      <c r="AV71" s="3"/>
      <c r="AW71" s="3"/>
      <c r="AX71" s="3"/>
      <c r="AY71" s="3"/>
      <c r="AZ71" s="3"/>
    </row>
    <row r="72" spans="1:52" x14ac:dyDescent="0.25">
      <c r="A72">
        <v>32</v>
      </c>
      <c r="B72" s="1" t="s">
        <v>70</v>
      </c>
      <c r="C72" s="1" t="s">
        <v>160</v>
      </c>
      <c r="D72" s="2">
        <v>41955</v>
      </c>
      <c r="E72" s="3">
        <v>37.299999999999997</v>
      </c>
      <c r="F72" s="4">
        <f t="shared" si="2"/>
        <v>5702.9249811239342</v>
      </c>
      <c r="G72" s="7">
        <v>11.94</v>
      </c>
      <c r="H72" s="7">
        <v>205.52</v>
      </c>
      <c r="I72" s="7">
        <f t="shared" si="3"/>
        <v>193.58</v>
      </c>
      <c r="J72" s="7">
        <v>184.23</v>
      </c>
      <c r="K72" s="5">
        <f t="shared" si="4"/>
        <v>4.8300444260770856</v>
      </c>
      <c r="L72" s="4">
        <f t="shared" si="5"/>
        <v>5427.4711709497997</v>
      </c>
      <c r="M72" s="2">
        <v>41957</v>
      </c>
      <c r="N72" s="7">
        <v>1.42</v>
      </c>
      <c r="O72" s="7">
        <f t="shared" si="6"/>
        <v>2.970566676660964</v>
      </c>
      <c r="P72" s="7">
        <v>0.99999999999999989</v>
      </c>
      <c r="Q72" s="7">
        <v>1.6220000000000003</v>
      </c>
      <c r="R72" s="6">
        <f t="shared" si="7"/>
        <v>0.33663610645630754</v>
      </c>
      <c r="S72" s="6">
        <f t="shared" si="8"/>
        <v>0.54602376467213098</v>
      </c>
      <c r="T72" s="6">
        <f t="shared" si="9"/>
        <v>0.11734012887156153</v>
      </c>
      <c r="U72" s="4">
        <f t="shared" si="14"/>
        <v>1919.8104610579724</v>
      </c>
      <c r="V72" s="4">
        <f t="shared" si="15"/>
        <v>3113.9325678360319</v>
      </c>
      <c r="W72" s="4">
        <f t="shared" si="10"/>
        <v>5033.7430288940041</v>
      </c>
      <c r="X72" s="4">
        <f t="shared" si="11"/>
        <v>1827.0827628923969</v>
      </c>
      <c r="Y72" s="4">
        <f t="shared" si="12"/>
        <v>2963.5282414114686</v>
      </c>
      <c r="Z72" s="4">
        <f t="shared" si="13"/>
        <v>4790.6110043038652</v>
      </c>
      <c r="AA72" s="3"/>
      <c r="AE72" s="3"/>
      <c r="AF72" s="3"/>
      <c r="AG72" s="7"/>
      <c r="AH72" s="7"/>
      <c r="AI72" s="7"/>
      <c r="AJ72" s="7"/>
      <c r="AK72" s="7"/>
      <c r="AL72" s="3"/>
      <c r="AM72" s="9"/>
      <c r="AN72" s="7"/>
      <c r="AO72" s="7"/>
      <c r="AP72" s="7"/>
      <c r="AQ72" s="7"/>
      <c r="AR72" s="9"/>
      <c r="AS72" s="9"/>
      <c r="AT72" s="9"/>
      <c r="AU72" s="3"/>
      <c r="AV72" s="3"/>
      <c r="AW72" s="3"/>
      <c r="AX72" s="3"/>
      <c r="AY72" s="3"/>
      <c r="AZ72" s="3"/>
    </row>
    <row r="73" spans="1:52" x14ac:dyDescent="0.25">
      <c r="A73">
        <v>33</v>
      </c>
      <c r="B73" s="1" t="s">
        <v>71</v>
      </c>
      <c r="C73" s="1" t="s">
        <v>160</v>
      </c>
      <c r="D73" s="2">
        <v>41955</v>
      </c>
      <c r="E73" s="3">
        <v>31.099999999999998</v>
      </c>
      <c r="F73" s="4">
        <f t="shared" si="2"/>
        <v>4754.9857081221007</v>
      </c>
      <c r="G73" s="7">
        <v>11.95</v>
      </c>
      <c r="H73" s="7">
        <v>226.25</v>
      </c>
      <c r="I73" s="7">
        <f t="shared" si="3"/>
        <v>214.3</v>
      </c>
      <c r="J73" s="7">
        <v>201.64</v>
      </c>
      <c r="K73" s="5">
        <f t="shared" si="4"/>
        <v>5.9076061595893723</v>
      </c>
      <c r="L73" s="4">
        <f t="shared" si="5"/>
        <v>4474.0798795414848</v>
      </c>
      <c r="M73" s="2">
        <v>41957</v>
      </c>
      <c r="N73" s="7">
        <v>1.5</v>
      </c>
      <c r="O73" s="7">
        <f t="shared" si="6"/>
        <v>3.1469366302756661</v>
      </c>
      <c r="P73" s="7">
        <v>1.1890000000000001</v>
      </c>
      <c r="Q73" s="7">
        <v>1.7479999999999998</v>
      </c>
      <c r="R73" s="6">
        <f t="shared" si="7"/>
        <v>0.37782775431860088</v>
      </c>
      <c r="S73" s="6">
        <f t="shared" si="8"/>
        <v>0.55546081963743832</v>
      </c>
      <c r="T73" s="6">
        <f t="shared" si="9"/>
        <v>6.6711426043960853E-2</v>
      </c>
      <c r="U73" s="4">
        <f t="shared" si="14"/>
        <v>1796.5655719168155</v>
      </c>
      <c r="V73" s="4">
        <f t="shared" si="15"/>
        <v>2641.208258797807</v>
      </c>
      <c r="W73" s="4">
        <f t="shared" si="10"/>
        <v>4437.7738307146228</v>
      </c>
      <c r="X73" s="4">
        <f t="shared" si="11"/>
        <v>1690.4315535291955</v>
      </c>
      <c r="Y73" s="4">
        <f t="shared" si="12"/>
        <v>2485.1760770134842</v>
      </c>
      <c r="Z73" s="4">
        <f t="shared" si="13"/>
        <v>4175.6076305426795</v>
      </c>
      <c r="AA73" s="3"/>
      <c r="AE73" s="3"/>
      <c r="AF73" s="3"/>
      <c r="AG73" s="7"/>
      <c r="AH73" s="7"/>
      <c r="AI73" s="7"/>
      <c r="AJ73" s="7"/>
      <c r="AK73" s="7"/>
      <c r="AL73" s="3"/>
      <c r="AM73" s="9"/>
      <c r="AN73" s="7"/>
      <c r="AO73" s="7"/>
      <c r="AP73" s="7"/>
      <c r="AQ73" s="7"/>
      <c r="AR73" s="9"/>
      <c r="AS73" s="9"/>
      <c r="AT73" s="9"/>
      <c r="AU73" s="3"/>
      <c r="AV73" s="3"/>
      <c r="AW73" s="3"/>
      <c r="AX73" s="3"/>
      <c r="AY73" s="3"/>
      <c r="AZ73" s="3"/>
    </row>
    <row r="74" spans="1:52" x14ac:dyDescent="0.25">
      <c r="A74">
        <v>34</v>
      </c>
      <c r="B74" s="1" t="s">
        <v>72</v>
      </c>
      <c r="C74" s="1" t="s">
        <v>160</v>
      </c>
      <c r="D74" s="2">
        <v>41955</v>
      </c>
      <c r="E74" s="3">
        <v>29.900000000000002</v>
      </c>
      <c r="F74" s="4">
        <f t="shared" si="2"/>
        <v>4571.5135907669073</v>
      </c>
      <c r="G74" s="7">
        <v>11.9</v>
      </c>
      <c r="H74" s="7">
        <v>192.31</v>
      </c>
      <c r="I74" s="7">
        <f t="shared" si="3"/>
        <v>180.41</v>
      </c>
      <c r="J74" s="7">
        <v>173.32</v>
      </c>
      <c r="K74" s="5">
        <f t="shared" si="4"/>
        <v>3.9299373648910834</v>
      </c>
      <c r="L74" s="4">
        <f t="shared" si="5"/>
        <v>4391.855970022285</v>
      </c>
      <c r="M74" s="2">
        <v>41957</v>
      </c>
      <c r="N74" s="7">
        <v>1.51</v>
      </c>
      <c r="O74" s="7">
        <f t="shared" si="6"/>
        <v>3.1689828744775039</v>
      </c>
      <c r="P74" s="7">
        <v>1.1259999999999999</v>
      </c>
      <c r="Q74" s="7">
        <v>1.7479999999999998</v>
      </c>
      <c r="R74" s="6">
        <f t="shared" si="7"/>
        <v>0.35531905491463178</v>
      </c>
      <c r="S74" s="6">
        <f t="shared" si="8"/>
        <v>0.55159654350868237</v>
      </c>
      <c r="T74" s="6">
        <f t="shared" si="9"/>
        <v>9.3084401576685849E-2</v>
      </c>
      <c r="U74" s="4">
        <f t="shared" si="14"/>
        <v>1624.3458886006922</v>
      </c>
      <c r="V74" s="4">
        <f t="shared" si="15"/>
        <v>2521.631095269991</v>
      </c>
      <c r="W74" s="4">
        <f t="shared" si="10"/>
        <v>4145.9769838706834</v>
      </c>
      <c r="X74" s="4">
        <f t="shared" si="11"/>
        <v>1560.5101125895017</v>
      </c>
      <c r="Y74" s="4">
        <f t="shared" si="12"/>
        <v>2422.5325726522638</v>
      </c>
      <c r="Z74" s="4">
        <f t="shared" si="13"/>
        <v>3983.0426852417654</v>
      </c>
      <c r="AA74" s="3"/>
      <c r="AB74" t="s">
        <v>29</v>
      </c>
      <c r="AC74" t="str">
        <f>C74</f>
        <v>Machine</v>
      </c>
      <c r="AD74" s="8">
        <f>D74</f>
        <v>41955</v>
      </c>
      <c r="AE74" s="3">
        <f>SUM(E74:E84)</f>
        <v>327.5</v>
      </c>
      <c r="AF74" s="3">
        <f>AE74*$A$29/($A$30*11)*$A$32</f>
        <v>4552.0544268049925</v>
      </c>
      <c r="AG74" s="7">
        <f>SUM(G74:G84)</f>
        <v>131.04</v>
      </c>
      <c r="AH74" s="7">
        <f>SUM(H74:H84)</f>
        <v>2494.7000000000003</v>
      </c>
      <c r="AI74" s="7">
        <f>AH74-AG74</f>
        <v>2363.6600000000003</v>
      </c>
      <c r="AJ74" s="7">
        <f>SUM(J74:J84)</f>
        <v>2240.48</v>
      </c>
      <c r="AK74" s="7">
        <f>(AI74-AJ74)/AI74*100</f>
        <v>5.2114094243673064</v>
      </c>
      <c r="AL74" s="3">
        <f>AF74*(1-AK74/100)</f>
        <v>4314.8282334041478</v>
      </c>
      <c r="AM74" s="11">
        <f>M74</f>
        <v>41957</v>
      </c>
      <c r="AN74" s="7">
        <f>SUM(N74:N84)</f>
        <v>17.12</v>
      </c>
      <c r="AO74" s="7">
        <f>AN74/$A$29-$A$33*11</f>
        <v>35.983170073546276</v>
      </c>
      <c r="AP74" s="7">
        <f>SUM(P74:P84)</f>
        <v>12.952999999999999</v>
      </c>
      <c r="AQ74" s="7">
        <f>SUM(Q74:Q84)</f>
        <v>19.605999999999998</v>
      </c>
      <c r="AR74" s="9">
        <f>AP74/AO74</f>
        <v>0.35997384259155779</v>
      </c>
      <c r="AS74" s="9">
        <f>AQ74/AO74</f>
        <v>0.54486583477573391</v>
      </c>
      <c r="AT74" s="9">
        <f>1-AR74-AS74</f>
        <v>9.516032263270835E-2</v>
      </c>
      <c r="AU74" s="3">
        <f>AF74*AR74</f>
        <v>1638.6205237029042</v>
      </c>
      <c r="AV74" s="3">
        <f>AF74*AS74</f>
        <v>2480.2589352056771</v>
      </c>
      <c r="AW74" s="3">
        <f>AU74+AV74</f>
        <v>4118.879458908581</v>
      </c>
      <c r="AX74" s="3">
        <f>AL74*AR74</f>
        <v>1553.2252993010341</v>
      </c>
      <c r="AY74" s="3">
        <f>AL74*AS74</f>
        <v>2351.0024873076563</v>
      </c>
      <c r="AZ74" s="3">
        <f>AX74+AY74</f>
        <v>3904.2277866086906</v>
      </c>
    </row>
    <row r="75" spans="1:52" x14ac:dyDescent="0.25">
      <c r="A75">
        <v>35</v>
      </c>
      <c r="B75" s="1" t="s">
        <v>73</v>
      </c>
      <c r="C75" s="1" t="s">
        <v>160</v>
      </c>
      <c r="D75" s="2">
        <v>41955</v>
      </c>
      <c r="E75" s="3">
        <v>30.400000000000002</v>
      </c>
      <c r="F75" s="4">
        <f t="shared" si="2"/>
        <v>4647.9603063315717</v>
      </c>
      <c r="G75" s="7">
        <v>11.89</v>
      </c>
      <c r="H75" s="7">
        <v>224.83</v>
      </c>
      <c r="I75" s="7">
        <f t="shared" si="3"/>
        <v>212.94</v>
      </c>
      <c r="J75" s="7">
        <v>202.83</v>
      </c>
      <c r="K75" s="5">
        <f t="shared" si="4"/>
        <v>4.7478162862778177</v>
      </c>
      <c r="L75" s="4">
        <f t="shared" si="5"/>
        <v>4427.2836899278327</v>
      </c>
      <c r="M75" s="2">
        <v>41957</v>
      </c>
      <c r="N75" s="7">
        <v>1.48</v>
      </c>
      <c r="O75" s="7">
        <f t="shared" si="6"/>
        <v>3.1028441418719908</v>
      </c>
      <c r="P75" s="7">
        <v>1.1259999999999999</v>
      </c>
      <c r="Q75" s="7">
        <v>1.6850000000000001</v>
      </c>
      <c r="R75" s="6">
        <f t="shared" si="7"/>
        <v>0.36289286490576605</v>
      </c>
      <c r="S75" s="6">
        <f t="shared" si="8"/>
        <v>0.54305015751884178</v>
      </c>
      <c r="T75" s="6">
        <f t="shared" si="9"/>
        <v>9.4056977575392109E-2</v>
      </c>
      <c r="U75" s="4">
        <f t="shared" si="14"/>
        <v>1686.7116315329461</v>
      </c>
      <c r="V75" s="4">
        <f t="shared" si="15"/>
        <v>2524.0755764946839</v>
      </c>
      <c r="W75" s="4">
        <f t="shared" si="10"/>
        <v>4210.7872080276302</v>
      </c>
      <c r="X75" s="4">
        <f t="shared" si="11"/>
        <v>1606.6296619884824</v>
      </c>
      <c r="Y75" s="4">
        <f t="shared" si="12"/>
        <v>2404.2371051959085</v>
      </c>
      <c r="Z75" s="4">
        <f t="shared" si="13"/>
        <v>4010.8667671843909</v>
      </c>
      <c r="AA75" s="3"/>
      <c r="AE75" s="3"/>
      <c r="AF75" s="3"/>
      <c r="AG75" s="7"/>
      <c r="AH75" s="7"/>
      <c r="AI75" s="7"/>
      <c r="AJ75" s="7"/>
      <c r="AK75" s="7"/>
      <c r="AL75" s="3"/>
      <c r="AM75" s="9"/>
      <c r="AN75" s="7"/>
      <c r="AO75" s="7"/>
      <c r="AP75" s="7"/>
      <c r="AQ75" s="7"/>
      <c r="AR75" s="9"/>
      <c r="AS75" s="9"/>
      <c r="AT75" s="9"/>
      <c r="AU75" s="3"/>
      <c r="AV75" s="3"/>
      <c r="AW75" s="3"/>
      <c r="AX75" s="3"/>
      <c r="AY75" s="3"/>
      <c r="AZ75" s="3"/>
    </row>
    <row r="76" spans="1:52" x14ac:dyDescent="0.25">
      <c r="A76">
        <v>36</v>
      </c>
      <c r="B76" s="1" t="s">
        <v>74</v>
      </c>
      <c r="C76" s="1" t="s">
        <v>160</v>
      </c>
      <c r="D76" s="2">
        <v>41955</v>
      </c>
      <c r="E76" s="3">
        <v>36</v>
      </c>
      <c r="F76" s="4">
        <f t="shared" si="2"/>
        <v>5504.1635206558094</v>
      </c>
      <c r="G76" s="7">
        <v>11.99</v>
      </c>
      <c r="H76" s="7">
        <v>194.57</v>
      </c>
      <c r="I76" s="7">
        <f t="shared" si="3"/>
        <v>182.57999999999998</v>
      </c>
      <c r="J76" s="7">
        <v>173.2</v>
      </c>
      <c r="K76" s="5">
        <f t="shared" si="4"/>
        <v>5.1374739840070083</v>
      </c>
      <c r="L76" s="4">
        <f t="shared" si="5"/>
        <v>5221.3885517449125</v>
      </c>
      <c r="M76" s="2">
        <v>41957</v>
      </c>
      <c r="N76" s="7">
        <v>1.47</v>
      </c>
      <c r="O76" s="7">
        <f t="shared" si="6"/>
        <v>3.0807978976701529</v>
      </c>
      <c r="P76" s="7">
        <v>1.1259999999999999</v>
      </c>
      <c r="Q76" s="7">
        <v>1.7479999999999998</v>
      </c>
      <c r="R76" s="6">
        <f t="shared" si="7"/>
        <v>0.36548973266033941</v>
      </c>
      <c r="S76" s="6">
        <f t="shared" si="8"/>
        <v>0.56738548196294247</v>
      </c>
      <c r="T76" s="6">
        <f t="shared" si="9"/>
        <v>6.7124785376718066E-2</v>
      </c>
      <c r="U76" s="4">
        <f t="shared" si="14"/>
        <v>2011.7152536832843</v>
      </c>
      <c r="V76" s="4">
        <f t="shared" si="15"/>
        <v>3122.9824719701428</v>
      </c>
      <c r="W76" s="4">
        <f t="shared" si="10"/>
        <v>5134.6977256534274</v>
      </c>
      <c r="X76" s="4">
        <f t="shared" si="11"/>
        <v>1908.3639058930048</v>
      </c>
      <c r="Y76" s="4">
        <f t="shared" si="12"/>
        <v>2962.5400599475774</v>
      </c>
      <c r="Z76" s="4">
        <f t="shared" si="13"/>
        <v>4870.9039658405818</v>
      </c>
      <c r="AA76" s="3"/>
      <c r="AE76" s="3"/>
      <c r="AF76" s="3"/>
      <c r="AG76" s="7"/>
      <c r="AH76" s="7"/>
      <c r="AI76" s="7"/>
      <c r="AJ76" s="7"/>
      <c r="AK76" s="7"/>
      <c r="AL76" s="3"/>
      <c r="AM76" s="9"/>
      <c r="AN76" s="7"/>
      <c r="AO76" s="7"/>
      <c r="AP76" s="7"/>
      <c r="AQ76" s="7"/>
      <c r="AR76" s="9"/>
      <c r="AS76" s="9"/>
      <c r="AT76" s="9"/>
      <c r="AU76" s="3"/>
      <c r="AV76" s="3"/>
      <c r="AW76" s="3"/>
      <c r="AX76" s="3"/>
      <c r="AY76" s="3"/>
      <c r="AZ76" s="3"/>
    </row>
    <row r="77" spans="1:52" x14ac:dyDescent="0.25">
      <c r="A77">
        <v>37</v>
      </c>
      <c r="B77" s="1" t="s">
        <v>75</v>
      </c>
      <c r="C77" s="1" t="s">
        <v>160</v>
      </c>
      <c r="D77" s="2">
        <v>41955</v>
      </c>
      <c r="E77" s="3">
        <v>30.3</v>
      </c>
      <c r="F77" s="4">
        <f t="shared" si="2"/>
        <v>4632.6709632186394</v>
      </c>
      <c r="G77" s="7">
        <v>11.9</v>
      </c>
      <c r="H77" s="7">
        <v>212.44</v>
      </c>
      <c r="I77" s="7">
        <f t="shared" si="3"/>
        <v>200.54</v>
      </c>
      <c r="J77" s="7">
        <v>189.58</v>
      </c>
      <c r="K77" s="5">
        <f t="shared" si="4"/>
        <v>5.4652438416275952</v>
      </c>
      <c r="L77" s="4">
        <f t="shared" si="5"/>
        <v>4379.4841986984629</v>
      </c>
      <c r="M77" s="2">
        <v>41957</v>
      </c>
      <c r="N77" s="7">
        <v>1.46</v>
      </c>
      <c r="O77" s="7">
        <f t="shared" si="6"/>
        <v>3.058751653468315</v>
      </c>
      <c r="P77" s="7">
        <v>1.0630000000000002</v>
      </c>
      <c r="Q77" s="7">
        <v>1.5589999999999997</v>
      </c>
      <c r="R77" s="6">
        <f t="shared" si="7"/>
        <v>0.34752739693484619</v>
      </c>
      <c r="S77" s="6">
        <f t="shared" si="8"/>
        <v>0.50968505345383353</v>
      </c>
      <c r="T77" s="6">
        <f t="shared" si="9"/>
        <v>0.14278754961132023</v>
      </c>
      <c r="U77" s="4">
        <f t="shared" si="14"/>
        <v>1609.9800807030203</v>
      </c>
      <c r="V77" s="4">
        <f t="shared" si="15"/>
        <v>2361.2031475221147</v>
      </c>
      <c r="W77" s="4">
        <f t="shared" si="10"/>
        <v>3971.1832282251353</v>
      </c>
      <c r="X77" s="4">
        <f t="shared" si="11"/>
        <v>1521.9907434909676</v>
      </c>
      <c r="Y77" s="4">
        <f t="shared" si="12"/>
        <v>2232.1576379138455</v>
      </c>
      <c r="Z77" s="4">
        <f t="shared" si="13"/>
        <v>3754.1483814048133</v>
      </c>
      <c r="AE77" s="3"/>
      <c r="AF77" s="3"/>
      <c r="AG77" s="7"/>
      <c r="AH77" s="7"/>
      <c r="AI77" s="7"/>
      <c r="AJ77" s="7"/>
      <c r="AK77" s="7"/>
      <c r="AL77" s="3"/>
      <c r="AM77" s="9"/>
      <c r="AN77" s="7"/>
      <c r="AO77" s="7"/>
      <c r="AP77" s="7"/>
      <c r="AQ77" s="7"/>
      <c r="AR77" s="9"/>
      <c r="AS77" s="9"/>
      <c r="AT77" s="9"/>
      <c r="AU77" s="3"/>
      <c r="AV77" s="3"/>
      <c r="AW77" s="3"/>
      <c r="AX77" s="3"/>
      <c r="AY77" s="3"/>
      <c r="AZ77" s="3"/>
    </row>
    <row r="78" spans="1:52" x14ac:dyDescent="0.25">
      <c r="A78">
        <v>38</v>
      </c>
      <c r="B78" s="1" t="s">
        <v>76</v>
      </c>
      <c r="C78" s="1" t="s">
        <v>160</v>
      </c>
      <c r="D78" s="2">
        <v>41955</v>
      </c>
      <c r="E78" s="3">
        <v>34.900000000000006</v>
      </c>
      <c r="F78" s="4">
        <f t="shared" si="2"/>
        <v>5335.9807464135492</v>
      </c>
      <c r="G78" s="7">
        <v>11.81</v>
      </c>
      <c r="H78" s="7">
        <v>220.18</v>
      </c>
      <c r="I78" s="7">
        <f t="shared" si="3"/>
        <v>208.37</v>
      </c>
      <c r="J78" s="7">
        <v>198.3</v>
      </c>
      <c r="K78" s="5">
        <f t="shared" si="4"/>
        <v>4.8327494360992427</v>
      </c>
      <c r="L78" s="4">
        <f t="shared" si="5"/>
        <v>5078.1061669808842</v>
      </c>
      <c r="M78" s="2">
        <v>41957</v>
      </c>
      <c r="N78" s="7">
        <v>1.7</v>
      </c>
      <c r="O78" s="7">
        <f t="shared" si="6"/>
        <v>3.5878615143124217</v>
      </c>
      <c r="P78" s="7">
        <v>1.3149999999999999</v>
      </c>
      <c r="Q78" s="7">
        <v>1.9999999999999996</v>
      </c>
      <c r="R78" s="6">
        <f t="shared" si="7"/>
        <v>0.36651358887579771</v>
      </c>
      <c r="S78" s="6">
        <f t="shared" si="8"/>
        <v>0.55743511616090902</v>
      </c>
      <c r="T78" s="6">
        <f t="shared" si="9"/>
        <v>7.6051294963293214E-2</v>
      </c>
      <c r="U78" s="4">
        <f t="shared" si="14"/>
        <v>1955.7094535401877</v>
      </c>
      <c r="V78" s="4">
        <f t="shared" si="15"/>
        <v>2974.4630472094109</v>
      </c>
      <c r="W78" s="4">
        <f t="shared" si="10"/>
        <v>4930.1725007495988</v>
      </c>
      <c r="X78" s="4">
        <f t="shared" si="11"/>
        <v>1861.1949159524847</v>
      </c>
      <c r="Y78" s="4">
        <f t="shared" si="12"/>
        <v>2830.7147010684175</v>
      </c>
      <c r="Z78" s="4">
        <f t="shared" si="13"/>
        <v>4691.9096170209023</v>
      </c>
      <c r="AE78" s="3"/>
      <c r="AF78" s="3"/>
      <c r="AG78" s="7"/>
      <c r="AH78" s="7"/>
      <c r="AI78" s="7"/>
      <c r="AJ78" s="7"/>
      <c r="AK78" s="7"/>
      <c r="AL78" s="3"/>
      <c r="AM78" s="9"/>
      <c r="AN78" s="7"/>
      <c r="AO78" s="7"/>
      <c r="AP78" s="7"/>
      <c r="AQ78" s="7"/>
      <c r="AR78" s="9"/>
      <c r="AS78" s="9"/>
      <c r="AT78" s="9"/>
      <c r="AU78" s="3"/>
      <c r="AV78" s="3"/>
      <c r="AW78" s="3"/>
      <c r="AX78" s="3"/>
      <c r="AY78" s="3"/>
      <c r="AZ78" s="3"/>
    </row>
    <row r="79" spans="1:52" x14ac:dyDescent="0.25">
      <c r="A79">
        <v>39</v>
      </c>
      <c r="B79" s="1" t="s">
        <v>77</v>
      </c>
      <c r="C79" s="1" t="s">
        <v>160</v>
      </c>
      <c r="D79" s="2">
        <v>41955</v>
      </c>
      <c r="E79" s="3">
        <v>31.999999999999996</v>
      </c>
      <c r="F79" s="4">
        <f t="shared" si="2"/>
        <v>4892.5897961384953</v>
      </c>
      <c r="G79" s="7">
        <v>12.03</v>
      </c>
      <c r="H79" s="7">
        <v>242.48</v>
      </c>
      <c r="I79" s="7">
        <f t="shared" si="3"/>
        <v>230.45</v>
      </c>
      <c r="J79" s="7">
        <v>217.72</v>
      </c>
      <c r="K79" s="5">
        <f t="shared" si="4"/>
        <v>5.5239748318507225</v>
      </c>
      <c r="L79" s="4">
        <f t="shared" si="5"/>
        <v>4622.3243671741084</v>
      </c>
      <c r="M79" s="2">
        <v>41957</v>
      </c>
      <c r="N79" s="7">
        <v>1.47</v>
      </c>
      <c r="O79" s="7">
        <f t="shared" si="6"/>
        <v>3.0807978976701529</v>
      </c>
      <c r="P79" s="7">
        <v>1.1259999999999999</v>
      </c>
      <c r="Q79" s="7">
        <v>1.6850000000000001</v>
      </c>
      <c r="R79" s="6">
        <f t="shared" si="7"/>
        <v>0.36548973266033941</v>
      </c>
      <c r="S79" s="6">
        <f t="shared" si="8"/>
        <v>0.54693623404322556</v>
      </c>
      <c r="T79" s="6">
        <f t="shared" si="9"/>
        <v>8.7574033296434983E-2</v>
      </c>
      <c r="U79" s="4">
        <f t="shared" si="14"/>
        <v>1788.1913366073632</v>
      </c>
      <c r="V79" s="4">
        <f t="shared" si="15"/>
        <v>2675.9346378183013</v>
      </c>
      <c r="W79" s="4">
        <f t="shared" si="10"/>
        <v>4464.125974425664</v>
      </c>
      <c r="X79" s="4">
        <f t="shared" si="11"/>
        <v>1689.4120972278374</v>
      </c>
      <c r="Y79" s="4">
        <f t="shared" si="12"/>
        <v>2528.1166819084424</v>
      </c>
      <c r="Z79" s="4">
        <f t="shared" si="13"/>
        <v>4217.5287791362798</v>
      </c>
      <c r="AE79" s="3"/>
      <c r="AF79" s="3"/>
      <c r="AG79" s="7"/>
      <c r="AH79" s="7"/>
      <c r="AI79" s="7"/>
      <c r="AJ79" s="7"/>
      <c r="AK79" s="7"/>
      <c r="AL79" s="3"/>
      <c r="AM79" s="9"/>
      <c r="AN79" s="7"/>
      <c r="AO79" s="7"/>
      <c r="AP79" s="7"/>
      <c r="AQ79" s="7"/>
      <c r="AR79" s="9"/>
      <c r="AS79" s="9"/>
      <c r="AT79" s="9"/>
      <c r="AU79" s="3"/>
      <c r="AV79" s="3"/>
      <c r="AW79" s="3"/>
      <c r="AX79" s="3"/>
      <c r="AY79" s="3"/>
      <c r="AZ79" s="3"/>
    </row>
    <row r="80" spans="1:52" x14ac:dyDescent="0.25">
      <c r="A80">
        <v>40</v>
      </c>
      <c r="B80" s="1" t="s">
        <v>78</v>
      </c>
      <c r="C80" s="1" t="s">
        <v>160</v>
      </c>
      <c r="D80" s="2">
        <v>41955</v>
      </c>
      <c r="E80" s="3">
        <v>30.7</v>
      </c>
      <c r="F80" s="4">
        <f t="shared" si="2"/>
        <v>4693.8283356703696</v>
      </c>
      <c r="G80" s="7">
        <v>11.85</v>
      </c>
      <c r="H80" s="7">
        <v>183.47</v>
      </c>
      <c r="I80" s="7">
        <f t="shared" si="3"/>
        <v>171.62</v>
      </c>
      <c r="J80" s="7">
        <v>162.32</v>
      </c>
      <c r="K80" s="5">
        <f t="shared" si="4"/>
        <v>5.4189488404614909</v>
      </c>
      <c r="L80" s="4">
        <f t="shared" si="5"/>
        <v>4439.4721795013074</v>
      </c>
      <c r="M80" s="2">
        <v>41957</v>
      </c>
      <c r="N80" s="7">
        <v>1.57</v>
      </c>
      <c r="O80" s="7">
        <f t="shared" si="6"/>
        <v>3.3012603396885307</v>
      </c>
      <c r="P80" s="7">
        <v>1.1890000000000001</v>
      </c>
      <c r="Q80" s="7">
        <v>1.8109999999999995</v>
      </c>
      <c r="R80" s="6">
        <f t="shared" si="7"/>
        <v>0.36016547550205646</v>
      </c>
      <c r="S80" s="6">
        <f t="shared" si="8"/>
        <v>0.54857836512550384</v>
      </c>
      <c r="T80" s="6">
        <f t="shared" si="9"/>
        <v>9.1256159372439694E-2</v>
      </c>
      <c r="U80" s="4">
        <f t="shared" si="14"/>
        <v>1690.554914441745</v>
      </c>
      <c r="V80" s="4">
        <f t="shared" si="15"/>
        <v>2574.9326745618159</v>
      </c>
      <c r="W80" s="4">
        <f t="shared" si="10"/>
        <v>4265.487589003561</v>
      </c>
      <c r="X80" s="4">
        <f t="shared" si="11"/>
        <v>1598.9446085082393</v>
      </c>
      <c r="Y80" s="4">
        <f t="shared" si="12"/>
        <v>2435.3983902509844</v>
      </c>
      <c r="Z80" s="4">
        <f t="shared" si="13"/>
        <v>4034.3429987592235</v>
      </c>
      <c r="AE80" s="3"/>
      <c r="AF80" s="3"/>
      <c r="AG80" s="7"/>
      <c r="AH80" s="7"/>
      <c r="AI80" s="7"/>
      <c r="AJ80" s="7"/>
      <c r="AK80" s="7"/>
      <c r="AL80" s="3"/>
      <c r="AM80" s="9"/>
      <c r="AN80" s="7"/>
      <c r="AO80" s="7"/>
      <c r="AP80" s="7"/>
      <c r="AQ80" s="7"/>
      <c r="AR80" s="9"/>
      <c r="AS80" s="9"/>
      <c r="AT80" s="9"/>
      <c r="AU80" s="3"/>
      <c r="AV80" s="3"/>
      <c r="AW80" s="3"/>
      <c r="AX80" s="3"/>
      <c r="AY80" s="3"/>
      <c r="AZ80" s="3"/>
    </row>
    <row r="81" spans="1:52" x14ac:dyDescent="0.25">
      <c r="A81">
        <v>41</v>
      </c>
      <c r="B81" s="1" t="s">
        <v>79</v>
      </c>
      <c r="C81" s="1" t="s">
        <v>160</v>
      </c>
      <c r="D81" s="2">
        <v>41955</v>
      </c>
      <c r="E81" s="3">
        <v>29</v>
      </c>
      <c r="F81" s="4">
        <f t="shared" si="2"/>
        <v>4433.9095027505118</v>
      </c>
      <c r="G81" s="7">
        <v>11.92</v>
      </c>
      <c r="H81" s="7">
        <v>242.66</v>
      </c>
      <c r="I81" s="7">
        <f t="shared" si="3"/>
        <v>230.74</v>
      </c>
      <c r="J81" s="7">
        <v>218.36</v>
      </c>
      <c r="K81" s="5">
        <f t="shared" si="4"/>
        <v>5.3653462771951093</v>
      </c>
      <c r="L81" s="4">
        <f t="shared" si="5"/>
        <v>4196.0149043104875</v>
      </c>
      <c r="M81" s="2">
        <v>41957</v>
      </c>
      <c r="N81" s="7">
        <v>1.49</v>
      </c>
      <c r="O81" s="7">
        <f t="shared" si="6"/>
        <v>3.1248903860738282</v>
      </c>
      <c r="P81" s="7">
        <v>1.1259999999999999</v>
      </c>
      <c r="Q81" s="7">
        <v>1.6850000000000001</v>
      </c>
      <c r="R81" s="6">
        <f t="shared" si="7"/>
        <v>0.36033263919209907</v>
      </c>
      <c r="S81" s="6">
        <f t="shared" si="8"/>
        <v>0.53921891388870957</v>
      </c>
      <c r="T81" s="6">
        <f t="shared" si="9"/>
        <v>0.1004484469191913</v>
      </c>
      <c r="U81" s="4">
        <f t="shared" si="14"/>
        <v>1597.6823130650196</v>
      </c>
      <c r="V81" s="4">
        <f t="shared" si="15"/>
        <v>2390.8478663539595</v>
      </c>
      <c r="W81" s="4">
        <f t="shared" si="10"/>
        <v>3988.5301794189791</v>
      </c>
      <c r="X81" s="4">
        <f t="shared" si="11"/>
        <v>1511.9611245595811</v>
      </c>
      <c r="Y81" s="4">
        <f t="shared" si="12"/>
        <v>2262.5705993631386</v>
      </c>
      <c r="Z81" s="4">
        <f t="shared" si="13"/>
        <v>3774.5317239227197</v>
      </c>
      <c r="AE81" s="3"/>
      <c r="AF81" s="3"/>
      <c r="AG81" s="7"/>
      <c r="AH81" s="7"/>
      <c r="AI81" s="7"/>
      <c r="AJ81" s="7"/>
      <c r="AK81" s="7"/>
      <c r="AL81" s="3"/>
      <c r="AM81" s="9"/>
      <c r="AN81" s="7"/>
      <c r="AO81" s="7"/>
      <c r="AP81" s="7"/>
      <c r="AQ81" s="7"/>
      <c r="AR81" s="9"/>
      <c r="AS81" s="9"/>
      <c r="AT81" s="9"/>
      <c r="AU81" s="3"/>
      <c r="AV81" s="3"/>
      <c r="AW81" s="3"/>
      <c r="AX81" s="3"/>
      <c r="AY81" s="3"/>
      <c r="AZ81" s="3"/>
    </row>
    <row r="82" spans="1:52" x14ac:dyDescent="0.25">
      <c r="A82">
        <v>42</v>
      </c>
      <c r="B82" s="1" t="s">
        <v>80</v>
      </c>
      <c r="C82" s="1" t="s">
        <v>160</v>
      </c>
      <c r="D82" s="2">
        <v>41955</v>
      </c>
      <c r="E82" s="3">
        <v>28.1</v>
      </c>
      <c r="F82" s="4">
        <f t="shared" si="2"/>
        <v>4296.3054147341163</v>
      </c>
      <c r="G82" s="7">
        <v>11.89</v>
      </c>
      <c r="H82" s="7">
        <v>267.75</v>
      </c>
      <c r="I82" s="7">
        <f t="shared" si="3"/>
        <v>255.86</v>
      </c>
      <c r="J82" s="7">
        <v>242.31</v>
      </c>
      <c r="K82" s="5">
        <f t="shared" si="4"/>
        <v>5.2958649261314816</v>
      </c>
      <c r="L82" s="4">
        <f t="shared" si="5"/>
        <v>4068.7788831557245</v>
      </c>
      <c r="M82" s="2">
        <v>41957</v>
      </c>
      <c r="N82" s="7">
        <v>1.73</v>
      </c>
      <c r="O82" s="7">
        <f t="shared" si="6"/>
        <v>3.6540002469179349</v>
      </c>
      <c r="P82" s="7">
        <v>1.3149999999999999</v>
      </c>
      <c r="Q82" s="7">
        <v>1.9999999999999996</v>
      </c>
      <c r="R82" s="6">
        <f t="shared" si="7"/>
        <v>0.35987955969876362</v>
      </c>
      <c r="S82" s="6">
        <f t="shared" si="8"/>
        <v>0.54734533794488749</v>
      </c>
      <c r="T82" s="6">
        <f t="shared" si="9"/>
        <v>9.2775102356348893E-2</v>
      </c>
      <c r="U82" s="4">
        <f t="shared" si="14"/>
        <v>1546.1525009859279</v>
      </c>
      <c r="V82" s="4">
        <f t="shared" si="15"/>
        <v>2351.5627391420949</v>
      </c>
      <c r="W82" s="4">
        <f t="shared" si="10"/>
        <v>3897.7152401280227</v>
      </c>
      <c r="X82" s="4">
        <f t="shared" si="11"/>
        <v>1464.2703529817093</v>
      </c>
      <c r="Y82" s="4">
        <f t="shared" si="12"/>
        <v>2227.0271528238918</v>
      </c>
      <c r="Z82" s="4">
        <f t="shared" si="13"/>
        <v>3691.2975058056008</v>
      </c>
      <c r="AE82" s="3"/>
      <c r="AF82" s="3"/>
      <c r="AG82" s="7"/>
      <c r="AH82" s="7"/>
      <c r="AI82" s="7"/>
      <c r="AJ82" s="7"/>
      <c r="AK82" s="7"/>
      <c r="AL82" s="3"/>
      <c r="AM82" s="9"/>
      <c r="AN82" s="7"/>
      <c r="AO82" s="7"/>
      <c r="AP82" s="7"/>
      <c r="AQ82" s="7"/>
      <c r="AR82" s="9"/>
      <c r="AS82" s="9"/>
      <c r="AT82" s="9"/>
      <c r="AU82" s="3"/>
      <c r="AV82" s="3"/>
      <c r="AW82" s="3"/>
      <c r="AX82" s="3"/>
      <c r="AY82" s="3"/>
      <c r="AZ82" s="3"/>
    </row>
    <row r="83" spans="1:52" x14ac:dyDescent="0.25">
      <c r="A83">
        <v>43</v>
      </c>
      <c r="B83" s="1" t="s">
        <v>81</v>
      </c>
      <c r="C83" s="1" t="s">
        <v>160</v>
      </c>
      <c r="D83" s="2">
        <v>41955</v>
      </c>
      <c r="E83" s="3">
        <v>24</v>
      </c>
      <c r="F83" s="4">
        <f t="shared" si="2"/>
        <v>3669.4423471038722</v>
      </c>
      <c r="G83" s="7">
        <v>11.93</v>
      </c>
      <c r="H83" s="7">
        <v>282.49</v>
      </c>
      <c r="I83" s="7">
        <f t="shared" si="3"/>
        <v>270.56</v>
      </c>
      <c r="J83" s="7">
        <v>254.84</v>
      </c>
      <c r="K83" s="5">
        <f t="shared" si="4"/>
        <v>5.8101714961561202</v>
      </c>
      <c r="L83" s="4">
        <f t="shared" si="5"/>
        <v>3456.2414537845607</v>
      </c>
      <c r="M83" s="2">
        <v>41957</v>
      </c>
      <c r="N83" s="7">
        <v>1.64</v>
      </c>
      <c r="O83" s="7">
        <f t="shared" si="6"/>
        <v>3.4555840491013949</v>
      </c>
      <c r="P83" s="7">
        <v>1.1890000000000001</v>
      </c>
      <c r="Q83" s="7">
        <v>1.8109999999999995</v>
      </c>
      <c r="R83" s="6">
        <f t="shared" si="7"/>
        <v>0.34408076409230814</v>
      </c>
      <c r="S83" s="6">
        <f t="shared" si="8"/>
        <v>0.5240792798748275</v>
      </c>
      <c r="T83" s="6">
        <f t="shared" si="9"/>
        <v>0.13183995603286436</v>
      </c>
      <c r="U83" s="4">
        <f t="shared" si="14"/>
        <v>1262.5845265841729</v>
      </c>
      <c r="V83" s="4">
        <f t="shared" si="15"/>
        <v>1923.0787028123941</v>
      </c>
      <c r="W83" s="4">
        <f t="shared" si="10"/>
        <v>3185.6632293965667</v>
      </c>
      <c r="X83" s="4">
        <f t="shared" si="11"/>
        <v>1189.2262003057015</v>
      </c>
      <c r="Y83" s="4">
        <f t="shared" si="12"/>
        <v>1811.3445321729394</v>
      </c>
      <c r="Z83" s="4">
        <f t="shared" si="13"/>
        <v>3000.5707324786408</v>
      </c>
      <c r="AE83" s="3"/>
      <c r="AF83" s="3"/>
      <c r="AG83" s="7"/>
      <c r="AH83" s="7"/>
      <c r="AI83" s="7"/>
      <c r="AJ83" s="7"/>
      <c r="AK83" s="7"/>
      <c r="AL83" s="3"/>
      <c r="AM83" s="9"/>
      <c r="AN83" s="7"/>
      <c r="AO83" s="7"/>
      <c r="AP83" s="7"/>
      <c r="AQ83" s="7"/>
      <c r="AR83" s="9"/>
      <c r="AS83" s="9"/>
      <c r="AT83" s="9"/>
      <c r="AU83" s="3"/>
      <c r="AV83" s="3"/>
      <c r="AW83" s="3"/>
      <c r="AX83" s="3"/>
      <c r="AY83" s="3"/>
      <c r="AZ83" s="3"/>
    </row>
    <row r="84" spans="1:52" x14ac:dyDescent="0.25">
      <c r="A84">
        <v>44</v>
      </c>
      <c r="B84" s="1" t="s">
        <v>82</v>
      </c>
      <c r="C84" s="1" t="s">
        <v>160</v>
      </c>
      <c r="D84" s="2">
        <v>41955</v>
      </c>
      <c r="E84" s="3">
        <v>22.2</v>
      </c>
      <c r="F84" s="4">
        <f t="shared" si="2"/>
        <v>3394.2341710710816</v>
      </c>
      <c r="G84" s="7">
        <v>11.93</v>
      </c>
      <c r="H84" s="7">
        <v>231.52</v>
      </c>
      <c r="I84" s="7">
        <f t="shared" si="3"/>
        <v>219.59</v>
      </c>
      <c r="J84" s="7">
        <v>207.7</v>
      </c>
      <c r="K84" s="5">
        <f t="shared" si="4"/>
        <v>5.4146363677763167</v>
      </c>
      <c r="L84" s="4">
        <f t="shared" si="5"/>
        <v>3210.4487332367758</v>
      </c>
      <c r="M84" s="2">
        <v>41957</v>
      </c>
      <c r="N84" s="7">
        <v>1.6</v>
      </c>
      <c r="O84" s="7">
        <f t="shared" si="6"/>
        <v>3.3673990722940439</v>
      </c>
      <c r="P84" s="7">
        <v>1.2520000000000002</v>
      </c>
      <c r="Q84" s="7">
        <v>1.8740000000000001</v>
      </c>
      <c r="R84" s="6">
        <f t="shared" si="7"/>
        <v>0.37180030436578876</v>
      </c>
      <c r="S84" s="6">
        <f t="shared" si="8"/>
        <v>0.55651259615134829</v>
      </c>
      <c r="T84" s="6">
        <f t="shared" si="9"/>
        <v>7.1687099482863004E-2</v>
      </c>
      <c r="U84" s="4">
        <f t="shared" si="14"/>
        <v>1261.9772978929889</v>
      </c>
      <c r="V84" s="4">
        <f t="shared" si="15"/>
        <v>1888.9340704883873</v>
      </c>
      <c r="W84" s="4">
        <f t="shared" si="10"/>
        <v>3150.9113683813762</v>
      </c>
      <c r="X84" s="4">
        <f t="shared" si="11"/>
        <v>1193.6458161681942</v>
      </c>
      <c r="Y84" s="4">
        <f t="shared" si="12"/>
        <v>1786.6551593444055</v>
      </c>
      <c r="Z84" s="4">
        <f t="shared" si="13"/>
        <v>2980.3009755125995</v>
      </c>
      <c r="AE84" s="3"/>
      <c r="AF84" s="3"/>
      <c r="AG84" s="7"/>
      <c r="AH84" s="7"/>
      <c r="AI84" s="7"/>
      <c r="AJ84" s="7"/>
      <c r="AK84" s="7"/>
      <c r="AL84" s="3"/>
      <c r="AM84" s="9"/>
      <c r="AN84" s="7"/>
      <c r="AO84" s="7"/>
      <c r="AP84" s="7"/>
      <c r="AQ84" s="7"/>
      <c r="AR84" s="9"/>
      <c r="AS84" s="9"/>
      <c r="AT84" s="9"/>
      <c r="AU84" s="3"/>
      <c r="AV84" s="3"/>
      <c r="AW84" s="3"/>
      <c r="AX84" s="3"/>
      <c r="AY84" s="3"/>
      <c r="AZ84" s="3"/>
    </row>
    <row r="85" spans="1:52" x14ac:dyDescent="0.25">
      <c r="A85">
        <v>45</v>
      </c>
      <c r="B85" s="1" t="s">
        <v>83</v>
      </c>
      <c r="C85" s="1" t="s">
        <v>160</v>
      </c>
      <c r="D85" s="2">
        <v>41955</v>
      </c>
      <c r="E85" s="3">
        <v>28.7</v>
      </c>
      <c r="F85" s="4">
        <f t="shared" si="2"/>
        <v>4388.0414734117139</v>
      </c>
      <c r="G85" s="7">
        <v>11.93</v>
      </c>
      <c r="H85" s="7">
        <v>223.71</v>
      </c>
      <c r="I85" s="7">
        <f t="shared" si="3"/>
        <v>211.78</v>
      </c>
      <c r="J85" s="7">
        <v>200.58</v>
      </c>
      <c r="K85" s="5">
        <f t="shared" si="4"/>
        <v>5.2885069411653554</v>
      </c>
      <c r="L85" s="4">
        <f t="shared" si="5"/>
        <v>4155.9795955091204</v>
      </c>
      <c r="M85" s="2">
        <v>41957</v>
      </c>
      <c r="N85" s="7">
        <v>1.44</v>
      </c>
      <c r="O85" s="7">
        <f t="shared" si="6"/>
        <v>3.0146591650646393</v>
      </c>
      <c r="P85" s="7">
        <v>1.0630000000000002</v>
      </c>
      <c r="Q85" s="7">
        <v>1.6220000000000003</v>
      </c>
      <c r="R85" s="6">
        <f t="shared" si="7"/>
        <v>0.35261034226308885</v>
      </c>
      <c r="S85" s="6">
        <f t="shared" si="8"/>
        <v>0.53803760597434636</v>
      </c>
      <c r="T85" s="6">
        <f t="shared" si="9"/>
        <v>0.10935205176256479</v>
      </c>
      <c r="U85" s="4">
        <f t="shared" si="14"/>
        <v>1547.2688058043332</v>
      </c>
      <c r="V85" s="4">
        <f t="shared" si="15"/>
        <v>2360.931329270582</v>
      </c>
      <c r="W85" s="4">
        <f t="shared" si="10"/>
        <v>3908.2001350749151</v>
      </c>
      <c r="X85" s="4">
        <f t="shared" si="11"/>
        <v>1465.4413876108845</v>
      </c>
      <c r="Y85" s="4">
        <f t="shared" si="12"/>
        <v>2236.0733120459595</v>
      </c>
      <c r="Z85" s="4">
        <f t="shared" si="13"/>
        <v>3701.5146996568437</v>
      </c>
      <c r="AB85" t="s">
        <v>30</v>
      </c>
      <c r="AC85" t="str">
        <f>C85</f>
        <v>Machine</v>
      </c>
      <c r="AD85" s="8">
        <f>D85</f>
        <v>41955</v>
      </c>
      <c r="AE85" s="3">
        <f>SUM(E85:E95)</f>
        <v>357.9</v>
      </c>
      <c r="AF85" s="3">
        <f>AE85*$A$29/($A$30*11)*$A$32</f>
        <v>4974.5962728351351</v>
      </c>
      <c r="AG85" s="7">
        <f>SUM(G85:G95)</f>
        <v>131.14000000000001</v>
      </c>
      <c r="AH85" s="7">
        <f>SUM(H85:H95)</f>
        <v>2420.2600000000002</v>
      </c>
      <c r="AI85" s="7">
        <f>AH85-AG85</f>
        <v>2289.1200000000003</v>
      </c>
      <c r="AJ85" s="7">
        <f>SUM(J85:J95)</f>
        <v>2163.81</v>
      </c>
      <c r="AK85" s="7">
        <f>(AI85-AJ85)/AI85*100</f>
        <v>5.4741560075487685</v>
      </c>
      <c r="AL85" s="3">
        <f>AF85*(1-AK85/100)</f>
        <v>4702.2791121144337</v>
      </c>
      <c r="AM85" s="11">
        <f>M85</f>
        <v>41957</v>
      </c>
      <c r="AN85" s="7">
        <f>SUM(N85:N95)</f>
        <v>18.2</v>
      </c>
      <c r="AO85" s="7">
        <f>AN85/$A$29-$A$33*11</f>
        <v>38.364164447344749</v>
      </c>
      <c r="AP85" s="7">
        <f>SUM(P85:P95)</f>
        <v>13.260000000000002</v>
      </c>
      <c r="AQ85" s="7">
        <f>SUM(Q85:Q95)</f>
        <v>20.488</v>
      </c>
      <c r="AR85" s="9">
        <f>AP85/AO85</f>
        <v>0.34563505268567762</v>
      </c>
      <c r="AS85" s="9">
        <f>AQ85/AO85</f>
        <v>0.53404004218885082</v>
      </c>
      <c r="AT85" s="9">
        <f>1-AR85-AS85</f>
        <v>0.12032490512547156</v>
      </c>
      <c r="AU85" s="3">
        <f>AF85*AR85</f>
        <v>1719.3948448513474</v>
      </c>
      <c r="AV85" s="3">
        <f>AF85*AS85</f>
        <v>2656.6336034173755</v>
      </c>
      <c r="AW85" s="3">
        <f>AU85+AV85</f>
        <v>4376.028448268723</v>
      </c>
      <c r="AX85" s="3">
        <f>AL85*AR85</f>
        <v>1625.2724886584338</v>
      </c>
      <c r="AY85" s="3">
        <f>AL85*AS85</f>
        <v>2511.205335417344</v>
      </c>
      <c r="AZ85" s="3">
        <f>AX85+AY85</f>
        <v>4136.4778240757778</v>
      </c>
    </row>
    <row r="86" spans="1:52" x14ac:dyDescent="0.25">
      <c r="A86">
        <v>46</v>
      </c>
      <c r="B86" s="1" t="s">
        <v>84</v>
      </c>
      <c r="C86" s="1" t="s">
        <v>160</v>
      </c>
      <c r="D86" s="2">
        <v>41955</v>
      </c>
      <c r="E86" s="3">
        <v>30.3</v>
      </c>
      <c r="F86" s="4">
        <f t="shared" si="2"/>
        <v>4632.6709632186394</v>
      </c>
      <c r="G86" s="7">
        <v>11.9</v>
      </c>
      <c r="H86" s="7">
        <v>212.01</v>
      </c>
      <c r="I86" s="7">
        <f t="shared" si="3"/>
        <v>200.10999999999999</v>
      </c>
      <c r="J86" s="7">
        <v>189.69</v>
      </c>
      <c r="K86" s="5">
        <f t="shared" si="4"/>
        <v>5.2071360751586564</v>
      </c>
      <c r="L86" s="4">
        <f t="shared" si="5"/>
        <v>4391.4414822494819</v>
      </c>
      <c r="M86" s="2">
        <v>41957</v>
      </c>
      <c r="N86" s="7">
        <v>1.63</v>
      </c>
      <c r="O86" s="7">
        <f t="shared" si="6"/>
        <v>3.4335378048995571</v>
      </c>
      <c r="P86" s="7">
        <v>1.1890000000000001</v>
      </c>
      <c r="Q86" s="7">
        <v>1.8740000000000001</v>
      </c>
      <c r="R86" s="6">
        <f t="shared" si="7"/>
        <v>0.34629005636790489</v>
      </c>
      <c r="S86" s="6">
        <f t="shared" si="8"/>
        <v>0.54579273812737916</v>
      </c>
      <c r="T86" s="6">
        <f t="shared" si="9"/>
        <v>0.10791720550471595</v>
      </c>
      <c r="U86" s="4">
        <f t="shared" si="14"/>
        <v>1604.247888986939</v>
      </c>
      <c r="V86" s="4">
        <f t="shared" si="15"/>
        <v>2528.4781698583042</v>
      </c>
      <c r="W86" s="4">
        <f t="shared" si="10"/>
        <v>4132.7260588452427</v>
      </c>
      <c r="X86" s="4">
        <f t="shared" si="11"/>
        <v>1520.7125184245288</v>
      </c>
      <c r="Y86" s="4">
        <f t="shared" si="12"/>
        <v>2396.8168709231013</v>
      </c>
      <c r="Z86" s="4">
        <f t="shared" si="13"/>
        <v>3917.5293893476301</v>
      </c>
      <c r="AE86" s="3"/>
      <c r="AF86" s="3"/>
      <c r="AG86" s="7"/>
      <c r="AH86" s="7"/>
      <c r="AI86" s="7"/>
      <c r="AJ86" s="7"/>
      <c r="AK86" s="7"/>
      <c r="AL86" s="3"/>
      <c r="AM86" s="9"/>
      <c r="AN86" s="7"/>
      <c r="AO86" s="7"/>
      <c r="AP86" s="7"/>
      <c r="AQ86" s="7"/>
      <c r="AR86" s="9"/>
      <c r="AS86" s="9"/>
      <c r="AT86" s="9"/>
      <c r="AU86" s="3"/>
      <c r="AV86" s="3"/>
      <c r="AW86" s="3"/>
      <c r="AX86" s="3"/>
      <c r="AY86" s="3"/>
      <c r="AZ86" s="3"/>
    </row>
    <row r="87" spans="1:52" x14ac:dyDescent="0.25">
      <c r="A87">
        <v>47</v>
      </c>
      <c r="B87" s="1" t="s">
        <v>85</v>
      </c>
      <c r="C87" s="1" t="s">
        <v>160</v>
      </c>
      <c r="D87" s="2">
        <v>41955</v>
      </c>
      <c r="E87" s="3">
        <v>36.599999999999994</v>
      </c>
      <c r="F87" s="4">
        <f t="shared" si="2"/>
        <v>5595.8995793334043</v>
      </c>
      <c r="G87" s="7">
        <v>11.93</v>
      </c>
      <c r="H87" s="7">
        <v>229.04</v>
      </c>
      <c r="I87" s="7">
        <f t="shared" si="3"/>
        <v>217.10999999999999</v>
      </c>
      <c r="J87" s="7">
        <v>203.84</v>
      </c>
      <c r="K87" s="5">
        <f t="shared" si="4"/>
        <v>6.1121090691354532</v>
      </c>
      <c r="L87" s="4">
        <f t="shared" si="5"/>
        <v>5253.8720936452546</v>
      </c>
      <c r="M87" s="2">
        <v>41957</v>
      </c>
      <c r="N87" s="7">
        <v>1.67</v>
      </c>
      <c r="O87" s="7">
        <f t="shared" si="6"/>
        <v>3.5217227817069081</v>
      </c>
      <c r="P87" s="7">
        <v>1.1890000000000001</v>
      </c>
      <c r="Q87" s="7">
        <v>1.8740000000000001</v>
      </c>
      <c r="R87" s="6">
        <f t="shared" si="7"/>
        <v>0.33761885125544028</v>
      </c>
      <c r="S87" s="6">
        <f t="shared" si="8"/>
        <v>0.53212592704179573</v>
      </c>
      <c r="T87" s="6">
        <f t="shared" si="9"/>
        <v>0.13025522170276393</v>
      </c>
      <c r="U87" s="4">
        <f t="shared" si="14"/>
        <v>1889.2811877153454</v>
      </c>
      <c r="V87" s="4">
        <f t="shared" si="15"/>
        <v>2977.7232512855826</v>
      </c>
      <c r="W87" s="4">
        <f t="shared" si="10"/>
        <v>4867.004439000928</v>
      </c>
      <c r="X87" s="4">
        <f t="shared" si="11"/>
        <v>1773.8062608995258</v>
      </c>
      <c r="Y87" s="4">
        <f t="shared" si="12"/>
        <v>2795.7215583900015</v>
      </c>
      <c r="Z87" s="4">
        <f t="shared" si="13"/>
        <v>4569.5278192895275</v>
      </c>
      <c r="AE87" s="3"/>
      <c r="AF87" s="3"/>
      <c r="AG87" s="7"/>
      <c r="AH87" s="7"/>
      <c r="AI87" s="7"/>
      <c r="AJ87" s="7"/>
      <c r="AK87" s="7"/>
      <c r="AL87" s="3"/>
      <c r="AM87" s="9"/>
      <c r="AN87" s="7"/>
      <c r="AO87" s="7"/>
      <c r="AP87" s="7"/>
      <c r="AQ87" s="7"/>
      <c r="AR87" s="9"/>
      <c r="AS87" s="9"/>
      <c r="AT87" s="9"/>
      <c r="AU87" s="3"/>
      <c r="AV87" s="3"/>
      <c r="AW87" s="3"/>
      <c r="AX87" s="3"/>
      <c r="AY87" s="3"/>
      <c r="AZ87" s="3"/>
    </row>
    <row r="88" spans="1:52" x14ac:dyDescent="0.25">
      <c r="A88">
        <v>48</v>
      </c>
      <c r="B88" s="1" t="s">
        <v>86</v>
      </c>
      <c r="C88" s="1" t="s">
        <v>160</v>
      </c>
      <c r="D88" s="2">
        <v>41955</v>
      </c>
      <c r="E88" s="3">
        <v>41</v>
      </c>
      <c r="F88" s="4">
        <f t="shared" si="2"/>
        <v>6268.6306763024477</v>
      </c>
      <c r="G88" s="7">
        <v>11.91</v>
      </c>
      <c r="H88" s="7">
        <v>206.46</v>
      </c>
      <c r="I88" s="7">
        <f t="shared" si="3"/>
        <v>194.55</v>
      </c>
      <c r="J88" s="7">
        <v>184.13</v>
      </c>
      <c r="K88" s="5">
        <f t="shared" si="4"/>
        <v>5.3559496273451632</v>
      </c>
      <c r="L88" s="4">
        <f t="shared" si="5"/>
        <v>5932.8859749553822</v>
      </c>
      <c r="M88" s="2">
        <v>41957</v>
      </c>
      <c r="N88" s="7">
        <v>1.69</v>
      </c>
      <c r="O88" s="7">
        <f t="shared" si="6"/>
        <v>3.5658152701105839</v>
      </c>
      <c r="P88" s="7">
        <v>1.1890000000000001</v>
      </c>
      <c r="Q88" s="7">
        <v>1.9369999999999998</v>
      </c>
      <c r="R88" s="6">
        <f t="shared" si="7"/>
        <v>0.33344408218968857</v>
      </c>
      <c r="S88" s="6">
        <f t="shared" si="8"/>
        <v>0.54321378233929918</v>
      </c>
      <c r="T88" s="6">
        <f t="shared" si="9"/>
        <v>0.12334213547101225</v>
      </c>
      <c r="U88" s="4">
        <f t="shared" si="14"/>
        <v>2090.2378024457962</v>
      </c>
      <c r="V88" s="4">
        <f t="shared" si="15"/>
        <v>3405.2065797624118</v>
      </c>
      <c r="W88" s="4">
        <f t="shared" si="10"/>
        <v>5495.4443822082085</v>
      </c>
      <c r="X88" s="4">
        <f t="shared" si="11"/>
        <v>1978.285718655073</v>
      </c>
      <c r="Y88" s="4">
        <f t="shared" si="12"/>
        <v>3222.8254306432937</v>
      </c>
      <c r="Z88" s="4">
        <f t="shared" si="13"/>
        <v>5201.1111492983664</v>
      </c>
      <c r="AE88" s="3"/>
      <c r="AF88" s="3"/>
      <c r="AG88" s="7"/>
      <c r="AH88" s="7"/>
      <c r="AI88" s="7"/>
      <c r="AJ88" s="7"/>
      <c r="AK88" s="7"/>
      <c r="AL88" s="3"/>
      <c r="AM88" s="9"/>
      <c r="AN88" s="7"/>
      <c r="AO88" s="7"/>
      <c r="AP88" s="7"/>
      <c r="AQ88" s="7"/>
      <c r="AR88" s="9"/>
      <c r="AS88" s="9"/>
      <c r="AT88" s="9"/>
      <c r="AU88" s="3"/>
      <c r="AV88" s="3"/>
      <c r="AW88" s="3"/>
      <c r="AX88" s="3"/>
      <c r="AY88" s="3"/>
      <c r="AZ88" s="3"/>
    </row>
    <row r="89" spans="1:52" x14ac:dyDescent="0.25">
      <c r="A89">
        <v>49</v>
      </c>
      <c r="B89" s="1" t="s">
        <v>87</v>
      </c>
      <c r="C89" s="1" t="s">
        <v>160</v>
      </c>
      <c r="D89" s="2">
        <v>41955</v>
      </c>
      <c r="E89" s="3">
        <v>35.699999999999996</v>
      </c>
      <c r="F89" s="4">
        <f t="shared" si="2"/>
        <v>5458.2954913170088</v>
      </c>
      <c r="G89" s="7">
        <v>11.91</v>
      </c>
      <c r="H89" s="7">
        <v>200.42</v>
      </c>
      <c r="I89" s="7">
        <f t="shared" si="3"/>
        <v>188.51</v>
      </c>
      <c r="J89" s="7">
        <v>177.86</v>
      </c>
      <c r="K89" s="5">
        <f t="shared" si="4"/>
        <v>5.6495676621929753</v>
      </c>
      <c r="L89" s="4">
        <f t="shared" si="5"/>
        <v>5149.9253943326257</v>
      </c>
      <c r="M89" s="2">
        <v>41957</v>
      </c>
      <c r="N89" s="7">
        <v>1.75</v>
      </c>
      <c r="O89" s="7">
        <f t="shared" si="6"/>
        <v>3.6980927353216106</v>
      </c>
      <c r="P89" s="7">
        <v>1.2520000000000002</v>
      </c>
      <c r="Q89" s="7">
        <v>1.9999999999999996</v>
      </c>
      <c r="R89" s="6">
        <f t="shared" si="7"/>
        <v>0.33855289458854471</v>
      </c>
      <c r="S89" s="6">
        <f t="shared" si="8"/>
        <v>0.54081932042898495</v>
      </c>
      <c r="T89" s="6">
        <f t="shared" si="9"/>
        <v>0.12062778498247029</v>
      </c>
      <c r="U89" s="4">
        <f t="shared" ref="U89:U120" si="16">F89*R89</f>
        <v>1847.9217381049762</v>
      </c>
      <c r="V89" s="4">
        <f t="shared" ref="V89:V120" si="17">F89*S89</f>
        <v>2951.9516583146574</v>
      </c>
      <c r="W89" s="4">
        <f t="shared" si="10"/>
        <v>4799.8733964196335</v>
      </c>
      <c r="X89" s="4">
        <f t="shared" si="11"/>
        <v>1743.5221491663631</v>
      </c>
      <c r="Y89" s="4">
        <f t="shared" si="12"/>
        <v>2785.1791520229431</v>
      </c>
      <c r="Z89" s="4">
        <f t="shared" si="13"/>
        <v>4528.7013011893059</v>
      </c>
      <c r="AE89" s="3"/>
      <c r="AF89" s="3"/>
      <c r="AG89" s="7"/>
      <c r="AH89" s="7"/>
      <c r="AI89" s="7"/>
      <c r="AJ89" s="7"/>
      <c r="AK89" s="7"/>
      <c r="AL89" s="3"/>
      <c r="AM89" s="9"/>
      <c r="AN89" s="7"/>
      <c r="AO89" s="7"/>
      <c r="AP89" s="7"/>
      <c r="AQ89" s="7"/>
      <c r="AR89" s="9"/>
      <c r="AS89" s="9"/>
      <c r="AT89" s="9"/>
      <c r="AU89" s="3"/>
      <c r="AV89" s="3"/>
      <c r="AW89" s="3"/>
      <c r="AX89" s="3"/>
      <c r="AY89" s="3"/>
      <c r="AZ89" s="3"/>
    </row>
    <row r="90" spans="1:52" x14ac:dyDescent="0.25">
      <c r="A90">
        <v>50</v>
      </c>
      <c r="B90" s="1" t="s">
        <v>88</v>
      </c>
      <c r="C90" s="1" t="s">
        <v>160</v>
      </c>
      <c r="D90" s="2">
        <v>41955</v>
      </c>
      <c r="E90" s="3">
        <v>34.199999999999996</v>
      </c>
      <c r="F90" s="4">
        <f t="shared" si="2"/>
        <v>5228.9553446230166</v>
      </c>
      <c r="G90" s="7">
        <v>11.9</v>
      </c>
      <c r="H90" s="7">
        <v>222.65</v>
      </c>
      <c r="I90" s="7">
        <f t="shared" si="3"/>
        <v>210.75</v>
      </c>
      <c r="J90" s="7">
        <v>199.2</v>
      </c>
      <c r="K90" s="5">
        <f t="shared" si="4"/>
        <v>5.4804270462633502</v>
      </c>
      <c r="L90" s="4">
        <f t="shared" si="5"/>
        <v>4942.386261679264</v>
      </c>
      <c r="M90" s="2">
        <v>41957</v>
      </c>
      <c r="N90" s="7">
        <v>1.48</v>
      </c>
      <c r="O90" s="7">
        <f t="shared" si="6"/>
        <v>3.1028441418719908</v>
      </c>
      <c r="P90" s="7">
        <v>0.99999999999999989</v>
      </c>
      <c r="Q90" s="7">
        <v>1.6220000000000003</v>
      </c>
      <c r="R90" s="6">
        <f t="shared" si="7"/>
        <v>0.32228495995183482</v>
      </c>
      <c r="S90" s="6">
        <f t="shared" si="8"/>
        <v>0.5227462050418763</v>
      </c>
      <c r="T90" s="6">
        <f t="shared" si="9"/>
        <v>0.15496883500628889</v>
      </c>
      <c r="U90" s="4">
        <f t="shared" si="16"/>
        <v>1685.2136638317616</v>
      </c>
      <c r="V90" s="4">
        <f t="shared" si="17"/>
        <v>2733.4165627351185</v>
      </c>
      <c r="W90" s="4">
        <f t="shared" si="10"/>
        <v>4418.6302265668801</v>
      </c>
      <c r="X90" s="4">
        <f t="shared" si="11"/>
        <v>1592.8567584118002</v>
      </c>
      <c r="Y90" s="4">
        <f t="shared" si="12"/>
        <v>2583.6136621439409</v>
      </c>
      <c r="Z90" s="4">
        <f t="shared" si="13"/>
        <v>4176.4704205557409</v>
      </c>
      <c r="AE90" s="3"/>
      <c r="AF90" s="3"/>
      <c r="AG90" s="7"/>
      <c r="AH90" s="7"/>
      <c r="AI90" s="7"/>
      <c r="AJ90" s="7"/>
      <c r="AK90" s="7"/>
      <c r="AL90" s="3"/>
      <c r="AM90" s="9"/>
      <c r="AN90" s="7"/>
      <c r="AO90" s="7"/>
      <c r="AP90" s="7"/>
      <c r="AQ90" s="7"/>
      <c r="AR90" s="9"/>
      <c r="AS90" s="9"/>
      <c r="AT90" s="9"/>
      <c r="AU90" s="3"/>
      <c r="AV90" s="3"/>
      <c r="AW90" s="3"/>
      <c r="AX90" s="3"/>
      <c r="AY90" s="3"/>
      <c r="AZ90" s="3"/>
    </row>
    <row r="91" spans="1:52" x14ac:dyDescent="0.25">
      <c r="A91">
        <v>51</v>
      </c>
      <c r="B91" s="1" t="s">
        <v>89</v>
      </c>
      <c r="C91" s="1" t="s">
        <v>160</v>
      </c>
      <c r="D91" s="2">
        <v>41955</v>
      </c>
      <c r="E91" s="3">
        <v>34.599999999999994</v>
      </c>
      <c r="F91" s="4">
        <f t="shared" si="2"/>
        <v>5290.1127170747486</v>
      </c>
      <c r="G91" s="7">
        <v>11.92</v>
      </c>
      <c r="H91" s="7">
        <v>256.89999999999998</v>
      </c>
      <c r="I91" s="7">
        <f t="shared" si="3"/>
        <v>244.98</v>
      </c>
      <c r="J91" s="7">
        <v>230.2</v>
      </c>
      <c r="K91" s="5">
        <f t="shared" si="4"/>
        <v>6.033145562903095</v>
      </c>
      <c r="L91" s="4">
        <f t="shared" si="5"/>
        <v>4970.9525164119814</v>
      </c>
      <c r="M91" s="2">
        <v>41957</v>
      </c>
      <c r="N91" s="7">
        <v>1.68</v>
      </c>
      <c r="O91" s="7">
        <f t="shared" si="6"/>
        <v>3.543769025908746</v>
      </c>
      <c r="P91" s="7">
        <v>1.1259999999999999</v>
      </c>
      <c r="Q91" s="7">
        <v>1.6850000000000001</v>
      </c>
      <c r="R91" s="6">
        <f t="shared" si="7"/>
        <v>0.31774079850231046</v>
      </c>
      <c r="S91" s="6">
        <f t="shared" si="8"/>
        <v>0.47548245601811118</v>
      </c>
      <c r="T91" s="6">
        <f t="shared" si="9"/>
        <v>0.20677674547957842</v>
      </c>
      <c r="U91" s="4">
        <f t="shared" si="16"/>
        <v>1680.8846388905579</v>
      </c>
      <c r="V91" s="4">
        <f t="shared" si="17"/>
        <v>2515.3557873273448</v>
      </c>
      <c r="W91" s="4">
        <f t="shared" si="10"/>
        <v>4196.2404262179025</v>
      </c>
      <c r="X91" s="4">
        <f t="shared" si="11"/>
        <v>1579.4744218818125</v>
      </c>
      <c r="Y91" s="4">
        <f t="shared" si="12"/>
        <v>2363.6007112529792</v>
      </c>
      <c r="Z91" s="4">
        <f t="shared" si="13"/>
        <v>3943.0751331347919</v>
      </c>
      <c r="AE91" s="3"/>
      <c r="AF91" s="3"/>
      <c r="AG91" s="7"/>
      <c r="AH91" s="7"/>
      <c r="AI91" s="7"/>
      <c r="AJ91" s="7"/>
      <c r="AK91" s="7"/>
      <c r="AL91" s="3"/>
      <c r="AM91" s="9"/>
      <c r="AN91" s="7"/>
      <c r="AO91" s="7"/>
      <c r="AP91" s="7"/>
      <c r="AQ91" s="7"/>
      <c r="AR91" s="9"/>
      <c r="AS91" s="9"/>
      <c r="AT91" s="9"/>
      <c r="AU91" s="3"/>
      <c r="AV91" s="3"/>
      <c r="AW91" s="3"/>
      <c r="AX91" s="3"/>
      <c r="AY91" s="3"/>
      <c r="AZ91" s="3"/>
    </row>
    <row r="92" spans="1:52" x14ac:dyDescent="0.25">
      <c r="A92">
        <v>52</v>
      </c>
      <c r="B92" s="1" t="s">
        <v>90</v>
      </c>
      <c r="C92" s="1" t="s">
        <v>160</v>
      </c>
      <c r="D92" s="2">
        <v>41955</v>
      </c>
      <c r="E92" s="3">
        <v>35.700000000000003</v>
      </c>
      <c r="F92" s="4">
        <f t="shared" si="2"/>
        <v>5458.2954913170097</v>
      </c>
      <c r="G92" s="7">
        <v>11.86</v>
      </c>
      <c r="H92" s="7">
        <v>230.88</v>
      </c>
      <c r="I92" s="7">
        <f t="shared" si="3"/>
        <v>219.01999999999998</v>
      </c>
      <c r="J92" s="7">
        <v>206.04</v>
      </c>
      <c r="K92" s="5">
        <f t="shared" si="4"/>
        <v>5.9263994155784818</v>
      </c>
      <c r="L92" s="4">
        <f t="shared" si="5"/>
        <v>5134.8150992190513</v>
      </c>
      <c r="M92" s="2">
        <v>41957</v>
      </c>
      <c r="N92" s="7">
        <v>1.7</v>
      </c>
      <c r="O92" s="7">
        <f t="shared" si="6"/>
        <v>3.5878615143124217</v>
      </c>
      <c r="P92" s="7">
        <v>1.3149999999999999</v>
      </c>
      <c r="Q92" s="7">
        <v>1.9369999999999998</v>
      </c>
      <c r="R92" s="6">
        <f t="shared" si="7"/>
        <v>0.36651358887579771</v>
      </c>
      <c r="S92" s="6">
        <f t="shared" si="8"/>
        <v>0.53987591000184043</v>
      </c>
      <c r="T92" s="6">
        <f t="shared" si="9"/>
        <v>9.36105011223618E-2</v>
      </c>
      <c r="U92" s="4">
        <f t="shared" si="16"/>
        <v>2000.5394696671829</v>
      </c>
      <c r="V92" s="4">
        <f t="shared" si="17"/>
        <v>2946.8022454337133</v>
      </c>
      <c r="W92" s="4">
        <f t="shared" si="10"/>
        <v>4947.3417151008962</v>
      </c>
      <c r="X92" s="4">
        <f t="shared" si="11"/>
        <v>1881.9795102284097</v>
      </c>
      <c r="Y92" s="4">
        <f t="shared" si="12"/>
        <v>2772.1629743820758</v>
      </c>
      <c r="Z92" s="4">
        <f t="shared" si="13"/>
        <v>4654.1424846104856</v>
      </c>
      <c r="AE92" s="3"/>
      <c r="AF92" s="3"/>
      <c r="AG92" s="7"/>
      <c r="AH92" s="7"/>
      <c r="AI92" s="7"/>
      <c r="AJ92" s="7"/>
      <c r="AK92" s="7"/>
      <c r="AL92" s="3"/>
      <c r="AM92" s="9"/>
      <c r="AN92" s="7"/>
      <c r="AO92" s="7"/>
      <c r="AP92" s="7"/>
      <c r="AQ92" s="7"/>
      <c r="AR92" s="9"/>
      <c r="AS92" s="9"/>
      <c r="AT92" s="9"/>
      <c r="AU92" s="3"/>
      <c r="AV92" s="3"/>
      <c r="AW92" s="3"/>
      <c r="AX92" s="3"/>
      <c r="AY92" s="3"/>
      <c r="AZ92" s="3"/>
    </row>
    <row r="93" spans="1:52" x14ac:dyDescent="0.25">
      <c r="A93">
        <v>53</v>
      </c>
      <c r="B93" s="1" t="s">
        <v>91</v>
      </c>
      <c r="C93" s="1" t="s">
        <v>160</v>
      </c>
      <c r="D93" s="2">
        <v>41955</v>
      </c>
      <c r="E93" s="3">
        <v>33.599999999999994</v>
      </c>
      <c r="F93" s="4">
        <f t="shared" si="2"/>
        <v>5137.2192859454199</v>
      </c>
      <c r="G93" s="7">
        <v>12.06</v>
      </c>
      <c r="H93" s="7">
        <v>224.99</v>
      </c>
      <c r="I93" s="7">
        <f t="shared" si="3"/>
        <v>212.93</v>
      </c>
      <c r="J93" s="7">
        <v>201.87</v>
      </c>
      <c r="K93" s="5">
        <f t="shared" si="4"/>
        <v>5.1941952754426346</v>
      </c>
      <c r="L93" s="4">
        <f t="shared" si="5"/>
        <v>4870.3820845057153</v>
      </c>
      <c r="M93" s="2">
        <v>41957</v>
      </c>
      <c r="N93" s="7">
        <v>1.54</v>
      </c>
      <c r="O93" s="7">
        <f t="shared" si="6"/>
        <v>3.2351216070830171</v>
      </c>
      <c r="P93" s="7">
        <v>1.1890000000000001</v>
      </c>
      <c r="Q93" s="7">
        <v>1.8109999999999995</v>
      </c>
      <c r="R93" s="6">
        <f t="shared" si="7"/>
        <v>0.36752868807057765</v>
      </c>
      <c r="S93" s="6">
        <f t="shared" si="8"/>
        <v>0.55979348536233464</v>
      </c>
      <c r="T93" s="6">
        <f t="shared" si="9"/>
        <v>7.2677826567087656E-2</v>
      </c>
      <c r="U93" s="4">
        <f t="shared" si="16"/>
        <v>1888.07546449439</v>
      </c>
      <c r="V93" s="4">
        <f t="shared" si="17"/>
        <v>2875.7818891499905</v>
      </c>
      <c r="W93" s="4">
        <f t="shared" si="10"/>
        <v>4763.8573536443801</v>
      </c>
      <c r="X93" s="4">
        <f t="shared" si="11"/>
        <v>1790.0051379208307</v>
      </c>
      <c r="Y93" s="4">
        <f t="shared" si="12"/>
        <v>2726.4081621317268</v>
      </c>
      <c r="Z93" s="4">
        <f t="shared" si="13"/>
        <v>4516.413300052558</v>
      </c>
      <c r="AE93" s="3"/>
      <c r="AF93" s="3"/>
      <c r="AG93" s="7"/>
      <c r="AH93" s="7"/>
      <c r="AI93" s="7"/>
      <c r="AJ93" s="7"/>
      <c r="AK93" s="7"/>
      <c r="AL93" s="3"/>
      <c r="AM93" s="9"/>
      <c r="AN93" s="7"/>
      <c r="AO93" s="7"/>
      <c r="AP93" s="7"/>
      <c r="AQ93" s="7"/>
      <c r="AR93" s="9"/>
      <c r="AS93" s="9"/>
      <c r="AT93" s="9"/>
      <c r="AU93" s="3"/>
      <c r="AV93" s="3"/>
      <c r="AW93" s="3"/>
      <c r="AX93" s="3"/>
      <c r="AY93" s="3"/>
      <c r="AZ93" s="3"/>
    </row>
    <row r="94" spans="1:52" x14ac:dyDescent="0.25">
      <c r="A94">
        <v>54</v>
      </c>
      <c r="B94" s="1" t="s">
        <v>92</v>
      </c>
      <c r="C94" s="1" t="s">
        <v>160</v>
      </c>
      <c r="D94" s="2">
        <v>41955</v>
      </c>
      <c r="E94" s="3">
        <v>24.5</v>
      </c>
      <c r="F94" s="4">
        <f t="shared" si="2"/>
        <v>3745.8890626685361</v>
      </c>
      <c r="G94" s="7">
        <v>11.88</v>
      </c>
      <c r="H94" s="7">
        <v>223</v>
      </c>
      <c r="I94" s="7">
        <f t="shared" si="3"/>
        <v>211.12</v>
      </c>
      <c r="J94" s="7">
        <v>201.67</v>
      </c>
      <c r="K94" s="5">
        <f t="shared" si="4"/>
        <v>4.4761273209549151</v>
      </c>
      <c r="L94" s="4">
        <f t="shared" si="5"/>
        <v>3578.2182989217677</v>
      </c>
      <c r="M94" s="2">
        <v>41957</v>
      </c>
      <c r="N94" s="7">
        <v>1.67</v>
      </c>
      <c r="O94" s="7">
        <f t="shared" si="6"/>
        <v>3.5217227817069081</v>
      </c>
      <c r="P94" s="7">
        <v>1.2520000000000002</v>
      </c>
      <c r="Q94" s="7">
        <v>1.9369999999999998</v>
      </c>
      <c r="R94" s="6">
        <f t="shared" si="7"/>
        <v>0.35550782318907598</v>
      </c>
      <c r="S94" s="6">
        <f t="shared" si="8"/>
        <v>0.55001489897543121</v>
      </c>
      <c r="T94" s="6">
        <f t="shared" si="9"/>
        <v>9.4477277835492757E-2</v>
      </c>
      <c r="U94" s="4">
        <f t="shared" si="16"/>
        <v>1331.6928665770595</v>
      </c>
      <c r="V94" s="4">
        <f t="shared" si="17"/>
        <v>2060.2947943768077</v>
      </c>
      <c r="W94" s="4">
        <f t="shared" si="10"/>
        <v>3391.9876609538669</v>
      </c>
      <c r="X94" s="4">
        <f t="shared" si="11"/>
        <v>1272.084598344996</v>
      </c>
      <c r="Y94" s="4">
        <f t="shared" si="12"/>
        <v>1968.0733761934953</v>
      </c>
      <c r="Z94" s="4">
        <f t="shared" si="13"/>
        <v>3240.1579745384915</v>
      </c>
      <c r="AE94" s="3"/>
      <c r="AF94" s="3"/>
      <c r="AG94" s="7"/>
      <c r="AH94" s="7"/>
      <c r="AI94" s="7"/>
      <c r="AJ94" s="7"/>
      <c r="AK94" s="7"/>
      <c r="AL94" s="3"/>
      <c r="AM94" s="9"/>
      <c r="AN94" s="7"/>
      <c r="AO94" s="7"/>
      <c r="AP94" s="7"/>
      <c r="AQ94" s="7"/>
      <c r="AR94" s="9"/>
      <c r="AS94" s="9"/>
      <c r="AT94" s="9"/>
      <c r="AU94" s="3"/>
      <c r="AV94" s="3"/>
      <c r="AW94" s="3"/>
      <c r="AX94" s="3"/>
      <c r="AY94" s="3"/>
      <c r="AZ94" s="3"/>
    </row>
    <row r="95" spans="1:52" x14ac:dyDescent="0.25">
      <c r="A95">
        <v>55</v>
      </c>
      <c r="B95" s="1" t="s">
        <v>93</v>
      </c>
      <c r="C95" s="1" t="s">
        <v>160</v>
      </c>
      <c r="D95" s="2">
        <v>41955</v>
      </c>
      <c r="E95" s="3">
        <v>23.000000000000004</v>
      </c>
      <c r="F95" s="4">
        <f t="shared" si="2"/>
        <v>3516.5489159745443</v>
      </c>
      <c r="G95" s="7">
        <v>11.94</v>
      </c>
      <c r="H95" s="7">
        <v>190.2</v>
      </c>
      <c r="I95" s="7">
        <f t="shared" si="3"/>
        <v>178.26</v>
      </c>
      <c r="J95" s="7">
        <v>168.73</v>
      </c>
      <c r="K95" s="5">
        <f t="shared" si="4"/>
        <v>5.3461236396275114</v>
      </c>
      <c r="L95" s="4">
        <f t="shared" si="5"/>
        <v>3328.5498630785642</v>
      </c>
      <c r="M95" s="2">
        <v>41957</v>
      </c>
      <c r="N95" s="7">
        <v>1.95</v>
      </c>
      <c r="O95" s="7">
        <f t="shared" si="6"/>
        <v>4.1390176193583663</v>
      </c>
      <c r="P95" s="7">
        <v>1.496</v>
      </c>
      <c r="Q95" s="7">
        <v>2.1889999999999996</v>
      </c>
      <c r="R95" s="6">
        <f t="shared" si="7"/>
        <v>0.36143842273179572</v>
      </c>
      <c r="S95" s="6">
        <f t="shared" si="8"/>
        <v>0.52886945679137753</v>
      </c>
      <c r="T95" s="6">
        <f t="shared" si="9"/>
        <v>0.10969212047682675</v>
      </c>
      <c r="U95" s="4">
        <f t="shared" si="16"/>
        <v>1271.0158936490454</v>
      </c>
      <c r="V95" s="4">
        <f t="shared" si="17"/>
        <v>1859.7953149717648</v>
      </c>
      <c r="W95" s="4">
        <f t="shared" si="10"/>
        <v>3130.8112086208102</v>
      </c>
      <c r="X95" s="4">
        <f t="shared" si="11"/>
        <v>1203.0658124952508</v>
      </c>
      <c r="Y95" s="4">
        <f t="shared" si="12"/>
        <v>1760.3683579893743</v>
      </c>
      <c r="Z95" s="4">
        <f t="shared" si="13"/>
        <v>2963.4341704846252</v>
      </c>
      <c r="AE95" s="3"/>
      <c r="AF95" s="3"/>
      <c r="AG95" s="7"/>
      <c r="AH95" s="7"/>
      <c r="AI95" s="7"/>
      <c r="AJ95" s="7"/>
      <c r="AK95" s="7"/>
      <c r="AL95" s="3"/>
      <c r="AM95" s="9"/>
      <c r="AN95" s="7"/>
      <c r="AO95" s="7"/>
      <c r="AP95" s="7"/>
      <c r="AQ95" s="7"/>
      <c r="AR95" s="9"/>
      <c r="AS95" s="9"/>
      <c r="AT95" s="9"/>
      <c r="AU95" s="3"/>
      <c r="AV95" s="3"/>
      <c r="AW95" s="3"/>
      <c r="AX95" s="3"/>
      <c r="AY95" s="3"/>
      <c r="AZ95" s="3"/>
    </row>
    <row r="96" spans="1:52" x14ac:dyDescent="0.25">
      <c r="A96">
        <v>56</v>
      </c>
      <c r="B96" s="1" t="s">
        <v>94</v>
      </c>
      <c r="C96" s="1" t="s">
        <v>160</v>
      </c>
      <c r="D96" s="2">
        <v>41955</v>
      </c>
      <c r="E96" s="3">
        <v>11</v>
      </c>
      <c r="F96" s="4">
        <f t="shared" si="2"/>
        <v>1681.827742422608</v>
      </c>
      <c r="G96" s="7">
        <v>11.95</v>
      </c>
      <c r="H96" s="7">
        <v>198.12</v>
      </c>
      <c r="I96" s="7">
        <f t="shared" si="3"/>
        <v>186.17000000000002</v>
      </c>
      <c r="J96" s="7">
        <v>178.61</v>
      </c>
      <c r="K96" s="5">
        <f t="shared" si="4"/>
        <v>4.0608046409195904</v>
      </c>
      <c r="L96" s="4">
        <f t="shared" si="5"/>
        <v>1613.5320034060376</v>
      </c>
      <c r="M96" s="2">
        <v>41957</v>
      </c>
      <c r="N96" s="7">
        <v>1.57</v>
      </c>
      <c r="O96" s="7">
        <f t="shared" si="6"/>
        <v>3.3012603396885307</v>
      </c>
      <c r="P96" s="7">
        <v>1.0630000000000002</v>
      </c>
      <c r="Q96" s="7">
        <v>1.6850000000000001</v>
      </c>
      <c r="R96" s="6">
        <f t="shared" si="7"/>
        <v>0.32199823419569895</v>
      </c>
      <c r="S96" s="6">
        <f t="shared" si="8"/>
        <v>0.51041112381914644</v>
      </c>
      <c r="T96" s="6">
        <f t="shared" si="9"/>
        <v>0.16759064198515461</v>
      </c>
      <c r="U96" s="4">
        <f t="shared" si="16"/>
        <v>541.54556328141859</v>
      </c>
      <c r="V96" s="4">
        <f t="shared" si="17"/>
        <v>858.42358808014126</v>
      </c>
      <c r="W96" s="4">
        <f t="shared" si="10"/>
        <v>1399.9691513615599</v>
      </c>
      <c r="X96" s="4">
        <f t="shared" si="11"/>
        <v>519.55445591499256</v>
      </c>
      <c r="Y96" s="4">
        <f t="shared" si="12"/>
        <v>823.5646831766345</v>
      </c>
      <c r="Z96" s="4">
        <f t="shared" si="13"/>
        <v>1343.1191390916269</v>
      </c>
      <c r="AB96" t="s">
        <v>31</v>
      </c>
      <c r="AC96" t="str">
        <f>C96</f>
        <v>Machine</v>
      </c>
      <c r="AD96" s="8">
        <f>D96</f>
        <v>41955</v>
      </c>
      <c r="AE96" s="3">
        <f>SUM(E96:E106)</f>
        <v>158</v>
      </c>
      <c r="AF96" s="3">
        <f>AE96*$A$29/($A$30*11)*$A$32</f>
        <v>2196.1056471303477</v>
      </c>
      <c r="AG96" s="7">
        <f>SUM(G96:G106)</f>
        <v>131.32</v>
      </c>
      <c r="AH96" s="7">
        <f>SUM(H96:H106)</f>
        <v>2355.56</v>
      </c>
      <c r="AI96" s="7">
        <f>AH96-AG96</f>
        <v>2224.2399999999998</v>
      </c>
      <c r="AJ96" s="7">
        <f>SUM(J96:J106)</f>
        <v>2105.5099999999998</v>
      </c>
      <c r="AK96" s="7">
        <f>(AI96-AJ96)/AI96*100</f>
        <v>5.3380030931913831</v>
      </c>
      <c r="AL96" s="3">
        <f>AF96*(1-AK96/100)</f>
        <v>2078.8774597567794</v>
      </c>
      <c r="AM96" s="11">
        <f>M96</f>
        <v>41957</v>
      </c>
      <c r="AN96" s="7">
        <f>SUM(N96:N106)</f>
        <v>16.760000000000002</v>
      </c>
      <c r="AO96" s="7">
        <f>AN96/$A$29-$A$33*11</f>
        <v>35.189505282280116</v>
      </c>
      <c r="AP96" s="7">
        <f>SUM(P96:P106)</f>
        <v>12.322999999999999</v>
      </c>
      <c r="AQ96" s="7">
        <f>SUM(Q96:Q106)</f>
        <v>19.038999999999998</v>
      </c>
      <c r="AR96" s="9">
        <f>AP96/AO96</f>
        <v>0.35018963469785747</v>
      </c>
      <c r="AS96" s="9">
        <f>AQ96/AO96</f>
        <v>0.54104199099346817</v>
      </c>
      <c r="AT96" s="9">
        <f>1-AR96-AS96</f>
        <v>0.10876837430867436</v>
      </c>
      <c r="AU96" s="3">
        <f>AF96*AR96</f>
        <v>769.0534343264784</v>
      </c>
      <c r="AV96" s="3">
        <f>AF96*AS96</f>
        <v>1188.1853717554022</v>
      </c>
      <c r="AW96" s="3">
        <f>AU96+AV96</f>
        <v>1957.2388060818807</v>
      </c>
      <c r="AX96" s="3">
        <f>AL96*AR96</f>
        <v>728.00133821383645</v>
      </c>
      <c r="AY96" s="3">
        <f>AL96*AS96</f>
        <v>1124.7599998582514</v>
      </c>
      <c r="AZ96" s="3">
        <f>AX96+AY96</f>
        <v>1852.7613380720877</v>
      </c>
    </row>
    <row r="97" spans="1:52" x14ac:dyDescent="0.25">
      <c r="A97">
        <v>57</v>
      </c>
      <c r="B97" s="1" t="s">
        <v>95</v>
      </c>
      <c r="C97" s="1" t="s">
        <v>160</v>
      </c>
      <c r="D97" s="2">
        <v>41955</v>
      </c>
      <c r="E97" s="3">
        <v>12.2</v>
      </c>
      <c r="F97" s="4">
        <f t="shared" si="2"/>
        <v>1865.2998597778017</v>
      </c>
      <c r="G97" s="7">
        <v>11.88</v>
      </c>
      <c r="H97" s="7">
        <v>214.25</v>
      </c>
      <c r="I97" s="7">
        <f t="shared" si="3"/>
        <v>202.37</v>
      </c>
      <c r="J97" s="7">
        <v>191.99</v>
      </c>
      <c r="K97" s="5">
        <f t="shared" si="4"/>
        <v>5.129218757721004</v>
      </c>
      <c r="L97" s="4">
        <f t="shared" si="5"/>
        <v>1769.6245494823352</v>
      </c>
      <c r="M97" s="2">
        <v>41957</v>
      </c>
      <c r="N97" s="7">
        <v>1.47</v>
      </c>
      <c r="O97" s="7">
        <f t="shared" si="6"/>
        <v>3.0807978976701529</v>
      </c>
      <c r="P97" s="7">
        <v>0.99999999999999989</v>
      </c>
      <c r="Q97" s="7">
        <v>1.6850000000000001</v>
      </c>
      <c r="R97" s="6">
        <f t="shared" si="7"/>
        <v>0.32459123682090535</v>
      </c>
      <c r="S97" s="6">
        <f t="shared" si="8"/>
        <v>0.54693623404322556</v>
      </c>
      <c r="T97" s="6">
        <f t="shared" si="9"/>
        <v>0.12847252913586904</v>
      </c>
      <c r="U97" s="4">
        <f t="shared" si="16"/>
        <v>605.45998852713797</v>
      </c>
      <c r="V97" s="4">
        <f t="shared" si="17"/>
        <v>1020.2000806682275</v>
      </c>
      <c r="W97" s="4">
        <f t="shared" si="10"/>
        <v>1625.6600691953654</v>
      </c>
      <c r="X97" s="4">
        <f t="shared" si="11"/>
        <v>574.4046212251086</v>
      </c>
      <c r="Y97" s="4">
        <f t="shared" si="12"/>
        <v>967.87178676430801</v>
      </c>
      <c r="Z97" s="4">
        <f t="shared" si="13"/>
        <v>1542.2764079894166</v>
      </c>
      <c r="AE97" s="3"/>
      <c r="AF97" s="3"/>
      <c r="AG97" s="7"/>
      <c r="AH97" s="7"/>
      <c r="AI97" s="7"/>
      <c r="AJ97" s="7"/>
      <c r="AK97" s="7"/>
      <c r="AL97" s="3"/>
      <c r="AM97" s="9"/>
      <c r="AN97" s="7"/>
      <c r="AO97" s="7"/>
      <c r="AP97" s="7"/>
      <c r="AQ97" s="7"/>
      <c r="AR97" s="9"/>
      <c r="AS97" s="9"/>
      <c r="AT97" s="9"/>
      <c r="AU97" s="3"/>
      <c r="AV97" s="3"/>
      <c r="AW97" s="3"/>
      <c r="AX97" s="3"/>
      <c r="AY97" s="3"/>
      <c r="AZ97" s="3"/>
    </row>
    <row r="98" spans="1:52" x14ac:dyDescent="0.25">
      <c r="A98">
        <v>58</v>
      </c>
      <c r="B98" s="1" t="s">
        <v>96</v>
      </c>
      <c r="C98" s="1" t="s">
        <v>160</v>
      </c>
      <c r="D98" s="2">
        <v>41955</v>
      </c>
      <c r="E98" s="3">
        <v>13.7</v>
      </c>
      <c r="F98" s="4">
        <f t="shared" si="2"/>
        <v>2094.6400064717936</v>
      </c>
      <c r="G98" s="7">
        <v>11.96</v>
      </c>
      <c r="H98" s="7">
        <v>236.89</v>
      </c>
      <c r="I98" s="7">
        <f t="shared" si="3"/>
        <v>224.92999999999998</v>
      </c>
      <c r="J98" s="7">
        <v>212.87</v>
      </c>
      <c r="K98" s="5">
        <f t="shared" si="4"/>
        <v>5.3616680745120586</v>
      </c>
      <c r="L98" s="4">
        <f t="shared" si="5"/>
        <v>1982.3323619688381</v>
      </c>
      <c r="M98" s="2">
        <v>41957</v>
      </c>
      <c r="N98" s="7">
        <v>1.44</v>
      </c>
      <c r="O98" s="7">
        <f t="shared" si="6"/>
        <v>3.0146591650646393</v>
      </c>
      <c r="P98" s="7">
        <v>0.99999999999999989</v>
      </c>
      <c r="Q98" s="7">
        <v>1.6220000000000003</v>
      </c>
      <c r="R98" s="6">
        <f t="shared" si="7"/>
        <v>0.33171245744410988</v>
      </c>
      <c r="S98" s="6">
        <f t="shared" si="8"/>
        <v>0.53803760597434636</v>
      </c>
      <c r="T98" s="6">
        <f t="shared" si="9"/>
        <v>0.13024993658154371</v>
      </c>
      <c r="U98" s="4">
        <f t="shared" si="16"/>
        <v>694.8181840075049</v>
      </c>
      <c r="V98" s="4">
        <f t="shared" si="17"/>
        <v>1126.9950944601733</v>
      </c>
      <c r="W98" s="4">
        <f t="shared" si="10"/>
        <v>1821.8132784676782</v>
      </c>
      <c r="X98" s="4">
        <f t="shared" si="11"/>
        <v>657.56433925966996</v>
      </c>
      <c r="Y98" s="4">
        <f t="shared" si="12"/>
        <v>1066.5693582791851</v>
      </c>
      <c r="Z98" s="4">
        <f t="shared" si="13"/>
        <v>1724.1336975388549</v>
      </c>
      <c r="AE98" s="3"/>
      <c r="AF98" s="3"/>
      <c r="AG98" s="7"/>
      <c r="AH98" s="7"/>
      <c r="AI98" s="7"/>
      <c r="AJ98" s="7"/>
      <c r="AK98" s="7"/>
      <c r="AL98" s="3"/>
      <c r="AM98" s="9"/>
      <c r="AN98" s="7"/>
      <c r="AO98" s="7"/>
      <c r="AP98" s="7"/>
      <c r="AQ98" s="7"/>
      <c r="AR98" s="9"/>
      <c r="AS98" s="9"/>
      <c r="AT98" s="9"/>
      <c r="AU98" s="3"/>
      <c r="AV98" s="3"/>
      <c r="AW98" s="3"/>
      <c r="AX98" s="3"/>
      <c r="AY98" s="3"/>
      <c r="AZ98" s="3"/>
    </row>
    <row r="99" spans="1:52" x14ac:dyDescent="0.25">
      <c r="A99">
        <v>59</v>
      </c>
      <c r="B99" s="1" t="s">
        <v>97</v>
      </c>
      <c r="C99" s="1" t="s">
        <v>160</v>
      </c>
      <c r="D99" s="2">
        <v>41955</v>
      </c>
      <c r="E99" s="3">
        <v>16.3</v>
      </c>
      <c r="F99" s="4">
        <f t="shared" si="2"/>
        <v>2492.1629274080465</v>
      </c>
      <c r="G99" s="7">
        <v>11.84</v>
      </c>
      <c r="H99" s="7">
        <v>220.85</v>
      </c>
      <c r="I99" s="7">
        <f t="shared" si="3"/>
        <v>209.01</v>
      </c>
      <c r="J99" s="7">
        <v>198.07</v>
      </c>
      <c r="K99" s="5">
        <f t="shared" si="4"/>
        <v>5.2341993206066686</v>
      </c>
      <c r="L99" s="4">
        <f t="shared" si="5"/>
        <v>2361.7181523932431</v>
      </c>
      <c r="M99" s="2">
        <v>41957</v>
      </c>
      <c r="N99" s="7">
        <v>1.69</v>
      </c>
      <c r="O99" s="7">
        <f t="shared" si="6"/>
        <v>3.5658152701105839</v>
      </c>
      <c r="P99" s="7">
        <v>1.3149999999999999</v>
      </c>
      <c r="Q99" s="7">
        <v>1.9369999999999998</v>
      </c>
      <c r="R99" s="6">
        <f t="shared" si="7"/>
        <v>0.36877961991542507</v>
      </c>
      <c r="S99" s="6">
        <f t="shared" si="8"/>
        <v>0.54321378233929918</v>
      </c>
      <c r="T99" s="6">
        <f t="shared" si="9"/>
        <v>8.800659774527575E-2</v>
      </c>
      <c r="U99" s="4">
        <f t="shared" si="16"/>
        <v>919.05889713685247</v>
      </c>
      <c r="V99" s="4">
        <f t="shared" si="17"/>
        <v>1353.7772500031051</v>
      </c>
      <c r="W99" s="4">
        <f t="shared" si="10"/>
        <v>2272.8361471399576</v>
      </c>
      <c r="X99" s="4">
        <f t="shared" si="11"/>
        <v>870.95352258694015</v>
      </c>
      <c r="Y99" s="4">
        <f t="shared" si="12"/>
        <v>1282.9178503809151</v>
      </c>
      <c r="Z99" s="4">
        <f t="shared" si="13"/>
        <v>2153.8713729678552</v>
      </c>
      <c r="AE99" s="3"/>
      <c r="AF99" s="3"/>
      <c r="AG99" s="7"/>
      <c r="AH99" s="7"/>
      <c r="AI99" s="7"/>
      <c r="AJ99" s="7"/>
      <c r="AK99" s="7"/>
      <c r="AL99" s="3"/>
      <c r="AM99" s="9"/>
      <c r="AN99" s="7"/>
      <c r="AO99" s="7"/>
      <c r="AP99" s="7"/>
      <c r="AQ99" s="7"/>
      <c r="AR99" s="9"/>
      <c r="AS99" s="9"/>
      <c r="AT99" s="9"/>
      <c r="AU99" s="3"/>
      <c r="AV99" s="3"/>
      <c r="AW99" s="3"/>
      <c r="AX99" s="3"/>
      <c r="AY99" s="3"/>
      <c r="AZ99" s="3"/>
    </row>
    <row r="100" spans="1:52" x14ac:dyDescent="0.25">
      <c r="A100">
        <v>60</v>
      </c>
      <c r="B100" s="1" t="s">
        <v>98</v>
      </c>
      <c r="C100" s="1" t="s">
        <v>160</v>
      </c>
      <c r="D100" s="2">
        <v>41955</v>
      </c>
      <c r="E100" s="3">
        <v>14.2</v>
      </c>
      <c r="F100" s="4">
        <f t="shared" si="2"/>
        <v>2171.0867220364576</v>
      </c>
      <c r="G100" s="7">
        <v>11.98</v>
      </c>
      <c r="H100" s="7">
        <v>222.61</v>
      </c>
      <c r="I100" s="7">
        <f t="shared" si="3"/>
        <v>210.63000000000002</v>
      </c>
      <c r="J100" s="7">
        <v>200.74</v>
      </c>
      <c r="K100" s="5">
        <f t="shared" si="4"/>
        <v>4.6954374970327182</v>
      </c>
      <c r="L100" s="4">
        <f t="shared" si="5"/>
        <v>2069.1447019968591</v>
      </c>
      <c r="M100" s="2">
        <v>41957</v>
      </c>
      <c r="N100" s="7">
        <v>1.44</v>
      </c>
      <c r="O100" s="7">
        <f t="shared" si="6"/>
        <v>3.0146591650646393</v>
      </c>
      <c r="P100" s="7">
        <v>0.99999999999999989</v>
      </c>
      <c r="Q100" s="7">
        <v>1.6220000000000003</v>
      </c>
      <c r="R100" s="6">
        <f t="shared" si="7"/>
        <v>0.33171245744410988</v>
      </c>
      <c r="S100" s="6">
        <f t="shared" si="8"/>
        <v>0.53803760597434636</v>
      </c>
      <c r="T100" s="6">
        <f t="shared" si="9"/>
        <v>0.13024993658154371</v>
      </c>
      <c r="U100" s="4">
        <f t="shared" si="16"/>
        <v>720.17651189099047</v>
      </c>
      <c r="V100" s="4">
        <f t="shared" si="17"/>
        <v>1168.1263022871867</v>
      </c>
      <c r="W100" s="4">
        <f t="shared" si="10"/>
        <v>1888.3028141781772</v>
      </c>
      <c r="X100" s="4">
        <f t="shared" si="11"/>
        <v>686.36107390683856</v>
      </c>
      <c r="Y100" s="4">
        <f t="shared" si="12"/>
        <v>1113.2776618768924</v>
      </c>
      <c r="Z100" s="4">
        <f t="shared" si="13"/>
        <v>1799.6387357837309</v>
      </c>
      <c r="AE100" s="3"/>
      <c r="AF100" s="3"/>
      <c r="AG100" s="7"/>
      <c r="AH100" s="7"/>
      <c r="AI100" s="7"/>
      <c r="AJ100" s="7"/>
      <c r="AK100" s="7"/>
      <c r="AL100" s="3"/>
      <c r="AM100" s="9"/>
      <c r="AN100" s="7"/>
      <c r="AO100" s="7"/>
      <c r="AP100" s="7"/>
      <c r="AQ100" s="7"/>
      <c r="AR100" s="9"/>
      <c r="AS100" s="9"/>
      <c r="AT100" s="9"/>
      <c r="AU100" s="3"/>
      <c r="AV100" s="3"/>
      <c r="AW100" s="3"/>
      <c r="AX100" s="3"/>
      <c r="AY100" s="3"/>
      <c r="AZ100" s="3"/>
    </row>
    <row r="101" spans="1:52" x14ac:dyDescent="0.25">
      <c r="A101">
        <v>61</v>
      </c>
      <c r="B101" s="1" t="s">
        <v>99</v>
      </c>
      <c r="C101" s="1" t="s">
        <v>160</v>
      </c>
      <c r="D101" s="2">
        <v>41955</v>
      </c>
      <c r="E101" s="3">
        <v>14.099999999999998</v>
      </c>
      <c r="F101" s="4">
        <f t="shared" si="2"/>
        <v>2155.7973789235248</v>
      </c>
      <c r="G101" s="7">
        <v>11.93</v>
      </c>
      <c r="H101" s="7">
        <v>203.66</v>
      </c>
      <c r="I101" s="7">
        <f t="shared" si="3"/>
        <v>191.73</v>
      </c>
      <c r="J101" s="7">
        <v>181.88</v>
      </c>
      <c r="K101" s="5">
        <f t="shared" si="4"/>
        <v>5.1374328482762186</v>
      </c>
      <c r="L101" s="4">
        <f t="shared" si="5"/>
        <v>2045.04473623643</v>
      </c>
      <c r="M101" s="2">
        <v>41957</v>
      </c>
      <c r="N101" s="7">
        <v>1.55</v>
      </c>
      <c r="O101" s="7">
        <f t="shared" si="6"/>
        <v>3.257167851284855</v>
      </c>
      <c r="P101" s="7">
        <v>1.1890000000000001</v>
      </c>
      <c r="Q101" s="7">
        <v>1.7479999999999998</v>
      </c>
      <c r="R101" s="6">
        <f t="shared" si="7"/>
        <v>0.36504105845542323</v>
      </c>
      <c r="S101" s="6">
        <f t="shared" si="8"/>
        <v>0.53666254851142114</v>
      </c>
      <c r="T101" s="6">
        <f t="shared" si="9"/>
        <v>9.8296393033155627E-2</v>
      </c>
      <c r="U101" s="4">
        <f t="shared" si="16"/>
        <v>786.9545570176706</v>
      </c>
      <c r="V101" s="4">
        <f t="shared" si="17"/>
        <v>1156.9357154473407</v>
      </c>
      <c r="W101" s="4">
        <f t="shared" si="10"/>
        <v>1943.8902724650113</v>
      </c>
      <c r="X101" s="4">
        <f t="shared" si="11"/>
        <v>746.52529510443821</v>
      </c>
      <c r="Y101" s="4">
        <f t="shared" si="12"/>
        <v>1097.4989199685097</v>
      </c>
      <c r="Z101" s="4">
        <f t="shared" si="13"/>
        <v>1844.0242150729478</v>
      </c>
      <c r="AE101" s="3"/>
      <c r="AF101" s="3"/>
      <c r="AG101" s="7"/>
      <c r="AH101" s="7"/>
      <c r="AI101" s="7"/>
      <c r="AJ101" s="7"/>
      <c r="AK101" s="7"/>
      <c r="AL101" s="3"/>
      <c r="AM101" s="9"/>
      <c r="AN101" s="7"/>
      <c r="AO101" s="7"/>
      <c r="AP101" s="7"/>
      <c r="AQ101" s="7"/>
      <c r="AR101" s="9"/>
      <c r="AS101" s="9"/>
      <c r="AT101" s="9"/>
      <c r="AU101" s="3"/>
      <c r="AV101" s="3"/>
      <c r="AW101" s="3"/>
      <c r="AX101" s="3"/>
      <c r="AY101" s="3"/>
      <c r="AZ101" s="3"/>
    </row>
    <row r="102" spans="1:52" x14ac:dyDescent="0.25">
      <c r="A102">
        <v>62</v>
      </c>
      <c r="B102" s="1" t="s">
        <v>100</v>
      </c>
      <c r="C102" s="1" t="s">
        <v>160</v>
      </c>
      <c r="D102" s="2">
        <v>41955</v>
      </c>
      <c r="E102" s="3">
        <v>16.2</v>
      </c>
      <c r="F102" s="4">
        <f t="shared" si="2"/>
        <v>2476.8735842951137</v>
      </c>
      <c r="G102" s="7">
        <v>11.91</v>
      </c>
      <c r="H102" s="7">
        <v>193.67</v>
      </c>
      <c r="I102" s="7">
        <f t="shared" si="3"/>
        <v>181.76</v>
      </c>
      <c r="J102" s="7">
        <v>168.77</v>
      </c>
      <c r="K102" s="5">
        <f t="shared" si="4"/>
        <v>7.1467869718309762</v>
      </c>
      <c r="L102" s="4">
        <f t="shared" si="5"/>
        <v>2299.8567056639877</v>
      </c>
      <c r="M102" s="2">
        <v>41957</v>
      </c>
      <c r="N102" s="7">
        <v>1.54</v>
      </c>
      <c r="O102" s="7">
        <f t="shared" si="6"/>
        <v>3.2351216070830171</v>
      </c>
      <c r="P102" s="7">
        <v>1.1259999999999999</v>
      </c>
      <c r="Q102" s="7">
        <v>1.7479999999999998</v>
      </c>
      <c r="R102" s="6">
        <f t="shared" si="7"/>
        <v>0.34805492242848646</v>
      </c>
      <c r="S102" s="6">
        <f t="shared" si="8"/>
        <v>0.54031971972024362</v>
      </c>
      <c r="T102" s="6">
        <f t="shared" si="9"/>
        <v>0.11162535785126992</v>
      </c>
      <c r="U102" s="4">
        <f t="shared" si="16"/>
        <v>862.08804324700304</v>
      </c>
      <c r="V102" s="4">
        <f t="shared" si="17"/>
        <v>1338.303640848811</v>
      </c>
      <c r="W102" s="4">
        <f t="shared" si="10"/>
        <v>2200.3916840958141</v>
      </c>
      <c r="X102" s="4">
        <f t="shared" si="11"/>
        <v>800.47644728651369</v>
      </c>
      <c r="Y102" s="4">
        <f t="shared" si="12"/>
        <v>1242.6579306010885</v>
      </c>
      <c r="Z102" s="4">
        <f t="shared" si="13"/>
        <v>2043.1343778876021</v>
      </c>
      <c r="AE102" s="3"/>
      <c r="AF102" s="3"/>
      <c r="AG102" s="7"/>
      <c r="AH102" s="7"/>
      <c r="AI102" s="7"/>
      <c r="AJ102" s="7"/>
      <c r="AK102" s="7"/>
      <c r="AL102" s="3"/>
      <c r="AM102" s="9"/>
      <c r="AN102" s="7"/>
      <c r="AO102" s="7"/>
      <c r="AP102" s="7"/>
      <c r="AQ102" s="7"/>
      <c r="AR102" s="9"/>
      <c r="AS102" s="9"/>
      <c r="AT102" s="9"/>
      <c r="AU102" s="3"/>
      <c r="AV102" s="3"/>
      <c r="AW102" s="3"/>
      <c r="AX102" s="3"/>
      <c r="AY102" s="3"/>
      <c r="AZ102" s="3"/>
    </row>
    <row r="103" spans="1:52" x14ac:dyDescent="0.25">
      <c r="A103">
        <v>63</v>
      </c>
      <c r="B103" s="1" t="s">
        <v>101</v>
      </c>
      <c r="C103" s="1" t="s">
        <v>160</v>
      </c>
      <c r="D103" s="2">
        <v>41955</v>
      </c>
      <c r="E103" s="3">
        <v>16.899999999999999</v>
      </c>
      <c r="F103" s="4">
        <f t="shared" si="2"/>
        <v>2583.8989860856432</v>
      </c>
      <c r="G103" s="7">
        <v>11.96</v>
      </c>
      <c r="H103" s="7">
        <v>223.82</v>
      </c>
      <c r="I103" s="7">
        <f t="shared" si="3"/>
        <v>211.85999999999999</v>
      </c>
      <c r="J103" s="7">
        <v>200.18</v>
      </c>
      <c r="K103" s="5">
        <f t="shared" si="4"/>
        <v>5.5130746719531665</v>
      </c>
      <c r="L103" s="4">
        <f t="shared" si="5"/>
        <v>2441.446705534901</v>
      </c>
      <c r="M103" s="2">
        <v>41957</v>
      </c>
      <c r="N103" s="7">
        <v>1.56</v>
      </c>
      <c r="O103" s="7">
        <f t="shared" si="6"/>
        <v>3.2792140954866928</v>
      </c>
      <c r="P103" s="7">
        <v>1.2520000000000002</v>
      </c>
      <c r="Q103" s="7">
        <v>1.8740000000000001</v>
      </c>
      <c r="R103" s="6">
        <f t="shared" si="7"/>
        <v>0.38179879798735172</v>
      </c>
      <c r="S103" s="6">
        <f t="shared" si="8"/>
        <v>0.5714783925146143</v>
      </c>
      <c r="T103" s="6">
        <f t="shared" si="9"/>
        <v>4.6722809498033979E-2</v>
      </c>
      <c r="U103" s="4">
        <f t="shared" si="16"/>
        <v>986.52952700823539</v>
      </c>
      <c r="V103" s="4">
        <f t="shared" si="17"/>
        <v>1476.642438988365</v>
      </c>
      <c r="W103" s="4">
        <f t="shared" si="10"/>
        <v>2463.1719659966002</v>
      </c>
      <c r="X103" s="4">
        <f t="shared" si="11"/>
        <v>932.14141752340504</v>
      </c>
      <c r="Y103" s="4">
        <f t="shared" si="12"/>
        <v>1395.234038689186</v>
      </c>
      <c r="Z103" s="4">
        <f t="shared" si="13"/>
        <v>2327.375456212591</v>
      </c>
      <c r="AE103" s="3"/>
      <c r="AF103" s="3"/>
      <c r="AG103" s="7"/>
      <c r="AH103" s="7"/>
      <c r="AI103" s="7"/>
      <c r="AJ103" s="7"/>
      <c r="AK103" s="7"/>
      <c r="AL103" s="3"/>
      <c r="AM103" s="9"/>
      <c r="AN103" s="7"/>
      <c r="AO103" s="7"/>
      <c r="AP103" s="7"/>
      <c r="AQ103" s="7"/>
      <c r="AR103" s="9"/>
      <c r="AS103" s="9"/>
      <c r="AT103" s="9"/>
      <c r="AU103" s="3"/>
      <c r="AV103" s="3"/>
      <c r="AW103" s="3"/>
      <c r="AX103" s="3"/>
      <c r="AY103" s="3"/>
      <c r="AZ103" s="3"/>
    </row>
    <row r="104" spans="1:52" x14ac:dyDescent="0.25">
      <c r="A104">
        <v>64</v>
      </c>
      <c r="B104" s="1" t="s">
        <v>102</v>
      </c>
      <c r="C104" s="1" t="s">
        <v>160</v>
      </c>
      <c r="D104" s="2">
        <v>41955</v>
      </c>
      <c r="E104" s="3">
        <v>14.399999999999999</v>
      </c>
      <c r="F104" s="4">
        <f t="shared" si="2"/>
        <v>2201.6654082623231</v>
      </c>
      <c r="G104" s="7">
        <v>12.04</v>
      </c>
      <c r="H104" s="7">
        <v>233.74</v>
      </c>
      <c r="I104" s="7">
        <f t="shared" si="3"/>
        <v>221.70000000000002</v>
      </c>
      <c r="J104" s="7">
        <v>209.11</v>
      </c>
      <c r="K104" s="5">
        <f t="shared" si="4"/>
        <v>5.6788452864230958</v>
      </c>
      <c r="L104" s="4">
        <f t="shared" si="5"/>
        <v>2076.6362360024104</v>
      </c>
      <c r="M104" s="2">
        <v>41957</v>
      </c>
      <c r="N104" s="7">
        <v>1.57</v>
      </c>
      <c r="O104" s="7">
        <f t="shared" si="6"/>
        <v>3.3012603396885307</v>
      </c>
      <c r="P104" s="7">
        <v>1.1259999999999999</v>
      </c>
      <c r="Q104" s="7">
        <v>1.7479999999999998</v>
      </c>
      <c r="R104" s="6">
        <f t="shared" si="7"/>
        <v>0.34108185484887765</v>
      </c>
      <c r="S104" s="6">
        <f t="shared" si="8"/>
        <v>0.52949474447232514</v>
      </c>
      <c r="T104" s="6">
        <f t="shared" si="9"/>
        <v>0.12942340067879721</v>
      </c>
      <c r="U104" s="4">
        <f t="shared" si="16"/>
        <v>750.94812120672464</v>
      </c>
      <c r="V104" s="4">
        <f t="shared" si="17"/>
        <v>1165.7702627614162</v>
      </c>
      <c r="W104" s="4">
        <f t="shared" si="10"/>
        <v>1916.7183839681409</v>
      </c>
      <c r="X104" s="4">
        <f t="shared" si="11"/>
        <v>708.30293922209376</v>
      </c>
      <c r="Y104" s="4">
        <f t="shared" si="12"/>
        <v>1099.5679731440673</v>
      </c>
      <c r="Z104" s="4">
        <f t="shared" si="13"/>
        <v>1807.8709123661611</v>
      </c>
      <c r="AE104" s="3"/>
      <c r="AF104" s="3"/>
      <c r="AG104" s="7"/>
      <c r="AH104" s="7"/>
      <c r="AI104" s="7"/>
      <c r="AJ104" s="7"/>
      <c r="AK104" s="7"/>
      <c r="AL104" s="3"/>
      <c r="AM104" s="9"/>
      <c r="AN104" s="7"/>
      <c r="AO104" s="7"/>
      <c r="AP104" s="7"/>
      <c r="AQ104" s="7"/>
      <c r="AR104" s="9"/>
      <c r="AS104" s="9"/>
      <c r="AT104" s="9"/>
      <c r="AU104" s="3"/>
      <c r="AV104" s="3"/>
      <c r="AW104" s="3"/>
      <c r="AX104" s="3"/>
      <c r="AY104" s="3"/>
      <c r="AZ104" s="3"/>
    </row>
    <row r="105" spans="1:52" x14ac:dyDescent="0.25">
      <c r="A105">
        <v>65</v>
      </c>
      <c r="B105" s="1" t="s">
        <v>103</v>
      </c>
      <c r="C105" s="1" t="s">
        <v>160</v>
      </c>
      <c r="D105" s="2">
        <v>41955</v>
      </c>
      <c r="E105" s="3">
        <v>13.5</v>
      </c>
      <c r="F105" s="4">
        <f t="shared" si="2"/>
        <v>2064.0613202459281</v>
      </c>
      <c r="G105" s="7">
        <v>11.86</v>
      </c>
      <c r="H105" s="7">
        <v>207.35</v>
      </c>
      <c r="I105" s="7">
        <f t="shared" si="3"/>
        <v>195.49</v>
      </c>
      <c r="J105" s="7">
        <v>184.48</v>
      </c>
      <c r="K105" s="5">
        <f t="shared" si="4"/>
        <v>5.632001636912384</v>
      </c>
      <c r="L105" s="4">
        <f t="shared" si="5"/>
        <v>1947.8133529028021</v>
      </c>
      <c r="M105" s="2">
        <v>41957</v>
      </c>
      <c r="N105" s="7">
        <v>1.48</v>
      </c>
      <c r="O105" s="7">
        <f t="shared" si="6"/>
        <v>3.1028441418719908</v>
      </c>
      <c r="P105" s="7">
        <v>1.1259999999999999</v>
      </c>
      <c r="Q105" s="7">
        <v>1.7479999999999998</v>
      </c>
      <c r="R105" s="6">
        <f t="shared" si="7"/>
        <v>0.36289286490576605</v>
      </c>
      <c r="S105" s="6">
        <f t="shared" si="8"/>
        <v>0.56335410999580726</v>
      </c>
      <c r="T105" s="6">
        <f t="shared" si="9"/>
        <v>7.3753025098426628E-2</v>
      </c>
      <c r="U105" s="4">
        <f t="shared" si="16"/>
        <v>749.03312584522268</v>
      </c>
      <c r="V105" s="4">
        <f t="shared" si="17"/>
        <v>1162.7974280439157</v>
      </c>
      <c r="W105" s="4">
        <f t="shared" si="10"/>
        <v>1911.8305538891384</v>
      </c>
      <c r="X105" s="4">
        <f t="shared" si="11"/>
        <v>706.84756793660381</v>
      </c>
      <c r="Y105" s="4">
        <f t="shared" si="12"/>
        <v>1097.3086578625073</v>
      </c>
      <c r="Z105" s="4">
        <f t="shared" si="13"/>
        <v>1804.1562257991111</v>
      </c>
      <c r="AE105" s="3"/>
      <c r="AF105" s="3"/>
      <c r="AG105" s="7"/>
      <c r="AH105" s="7"/>
      <c r="AI105" s="7"/>
      <c r="AJ105" s="7"/>
      <c r="AK105" s="7"/>
      <c r="AL105" s="3"/>
      <c r="AM105" s="9"/>
      <c r="AN105" s="7"/>
      <c r="AO105" s="7"/>
      <c r="AP105" s="7"/>
      <c r="AQ105" s="7"/>
      <c r="AR105" s="9"/>
      <c r="AS105" s="9"/>
      <c r="AT105" s="9"/>
      <c r="AU105" s="3"/>
      <c r="AV105" s="3"/>
      <c r="AW105" s="3"/>
      <c r="AX105" s="3"/>
      <c r="AY105" s="3"/>
      <c r="AZ105" s="3"/>
    </row>
    <row r="106" spans="1:52" x14ac:dyDescent="0.25">
      <c r="A106">
        <v>66</v>
      </c>
      <c r="B106" s="1" t="s">
        <v>104</v>
      </c>
      <c r="C106" s="1" t="s">
        <v>160</v>
      </c>
      <c r="D106" s="2">
        <v>41955</v>
      </c>
      <c r="E106" s="3">
        <v>15.499999999999996</v>
      </c>
      <c r="F106" s="4">
        <f t="shared" ref="F106:F161" si="18">E106*$A$29/$A$30*$A$32</f>
        <v>2369.8481825045833</v>
      </c>
      <c r="G106" s="7">
        <v>12.01</v>
      </c>
      <c r="H106" s="7">
        <v>200.6</v>
      </c>
      <c r="I106" s="7">
        <f t="shared" ref="I106:I161" si="19">H106-G106</f>
        <v>188.59</v>
      </c>
      <c r="J106" s="7">
        <v>178.81</v>
      </c>
      <c r="K106" s="5">
        <f t="shared" ref="K106:K161" si="20">(I106-J106)/I106*100</f>
        <v>5.1858529084256855</v>
      </c>
      <c r="L106" s="4">
        <f t="shared" ref="L106:L161" si="21">F106*(1-K106/100)</f>
        <v>2246.9513416068962</v>
      </c>
      <c r="M106" s="2">
        <v>41957</v>
      </c>
      <c r="N106" s="7">
        <v>1.45</v>
      </c>
      <c r="O106" s="7">
        <f t="shared" ref="O106:O137" si="22">N106/$A$29-$A$33</f>
        <v>3.0367054092664771</v>
      </c>
      <c r="P106" s="7">
        <v>1.1259999999999999</v>
      </c>
      <c r="Q106" s="7">
        <v>1.6220000000000003</v>
      </c>
      <c r="R106" s="6">
        <f t="shared" ref="R106:R161" si="23">P106/O106</f>
        <v>0.37079658651248215</v>
      </c>
      <c r="S106" s="6">
        <f t="shared" ref="S106:S161" si="24">Q106/O106</f>
        <v>0.534131494958478</v>
      </c>
      <c r="T106" s="6">
        <f t="shared" ref="T106:T161" si="25">1-R106-S106</f>
        <v>9.5071918529039845E-2</v>
      </c>
      <c r="U106" s="4">
        <f t="shared" si="16"/>
        <v>878.73161662550933</v>
      </c>
      <c r="V106" s="4">
        <f t="shared" si="17"/>
        <v>1265.8105525458052</v>
      </c>
      <c r="W106" s="4">
        <f t="shared" ref="W106:W161" si="26">U106+V106</f>
        <v>2144.5421691713145</v>
      </c>
      <c r="X106" s="4">
        <f t="shared" ref="X106:X161" si="27">L106*R106</f>
        <v>833.16188752747928</v>
      </c>
      <c r="Y106" s="4">
        <f t="shared" ref="Y106:Y161" si="28">L106*S106</f>
        <v>1200.1674791914493</v>
      </c>
      <c r="Z106" s="4">
        <f t="shared" ref="Z106:Z161" si="29">X106+Y106</f>
        <v>2033.3293667189287</v>
      </c>
      <c r="AE106" s="3"/>
      <c r="AF106" s="3"/>
      <c r="AG106" s="7"/>
      <c r="AH106" s="7"/>
      <c r="AI106" s="7"/>
      <c r="AJ106" s="7"/>
      <c r="AK106" s="7"/>
      <c r="AL106" s="3"/>
      <c r="AM106" s="9"/>
      <c r="AN106" s="7"/>
      <c r="AO106" s="7"/>
      <c r="AP106" s="7"/>
      <c r="AQ106" s="7"/>
      <c r="AR106" s="9"/>
      <c r="AS106" s="9"/>
      <c r="AT106" s="9"/>
      <c r="AU106" s="3"/>
      <c r="AV106" s="3"/>
      <c r="AW106" s="3"/>
      <c r="AX106" s="3"/>
      <c r="AY106" s="3"/>
      <c r="AZ106" s="3"/>
    </row>
    <row r="107" spans="1:52" x14ac:dyDescent="0.25">
      <c r="A107">
        <v>67</v>
      </c>
      <c r="B107" s="1" t="s">
        <v>105</v>
      </c>
      <c r="C107" s="1" t="s">
        <v>160</v>
      </c>
      <c r="D107" s="2">
        <v>41955</v>
      </c>
      <c r="E107" s="3">
        <v>27.099999999999998</v>
      </c>
      <c r="F107" s="4">
        <f t="shared" si="18"/>
        <v>4143.4119836047885</v>
      </c>
      <c r="G107" s="7">
        <v>12.04</v>
      </c>
      <c r="H107" s="7">
        <v>244.92</v>
      </c>
      <c r="I107" s="7">
        <f t="shared" si="19"/>
        <v>232.88</v>
      </c>
      <c r="J107" s="7">
        <v>222.22</v>
      </c>
      <c r="K107" s="5">
        <f t="shared" si="20"/>
        <v>4.5774647887323932</v>
      </c>
      <c r="L107" s="4">
        <f t="shared" si="21"/>
        <v>3953.748759003161</v>
      </c>
      <c r="M107" s="2">
        <v>41957</v>
      </c>
      <c r="N107" s="7">
        <v>1.48</v>
      </c>
      <c r="O107" s="7">
        <f t="shared" si="22"/>
        <v>3.1028441418719908</v>
      </c>
      <c r="P107" s="7">
        <v>1.1259999999999999</v>
      </c>
      <c r="Q107" s="7">
        <v>1.7479999999999998</v>
      </c>
      <c r="R107" s="6">
        <f t="shared" si="23"/>
        <v>0.36289286490576605</v>
      </c>
      <c r="S107" s="6">
        <f t="shared" si="24"/>
        <v>0.56335410999580726</v>
      </c>
      <c r="T107" s="6">
        <f t="shared" si="25"/>
        <v>7.3753025098426628E-2</v>
      </c>
      <c r="U107" s="4">
        <f t="shared" si="16"/>
        <v>1503.6146452152248</v>
      </c>
      <c r="V107" s="4">
        <f t="shared" si="17"/>
        <v>2334.2081703696381</v>
      </c>
      <c r="W107" s="4">
        <f t="shared" si="26"/>
        <v>3837.8228155848628</v>
      </c>
      <c r="X107" s="4">
        <f t="shared" si="27"/>
        <v>1434.7872142722742</v>
      </c>
      <c r="Y107" s="4">
        <f t="shared" si="28"/>
        <v>2227.3606132752534</v>
      </c>
      <c r="Z107" s="4">
        <f t="shared" si="29"/>
        <v>3662.1478275475274</v>
      </c>
      <c r="AB107" t="s">
        <v>32</v>
      </c>
      <c r="AC107" t="str">
        <f>C107</f>
        <v>Machine</v>
      </c>
      <c r="AD107" s="8">
        <f>D107</f>
        <v>41955</v>
      </c>
      <c r="AE107" s="3">
        <f>SUM(E107:E117)</f>
        <v>398.09999999999991</v>
      </c>
      <c r="AF107" s="3">
        <f>AE107*$A$29/($A$30*11)*$A$32</f>
        <v>5533.3522665986793</v>
      </c>
      <c r="AG107" s="7">
        <f>SUM(G107:G117)</f>
        <v>131.47</v>
      </c>
      <c r="AH107" s="7">
        <f>SUM(H107:H117)</f>
        <v>2529.29</v>
      </c>
      <c r="AI107" s="7">
        <f>AH107-AG107</f>
        <v>2397.8200000000002</v>
      </c>
      <c r="AJ107" s="7">
        <f>SUM(J107:J117)</f>
        <v>2283.5099999999998</v>
      </c>
      <c r="AK107" s="7">
        <f>(AI107-AJ107)/AI107*100</f>
        <v>4.7672469159486699</v>
      </c>
      <c r="AL107" s="3">
        <f>AF107*(1-AK107/100)</f>
        <v>5269.5637013206779</v>
      </c>
      <c r="AM107" s="11">
        <f>M107</f>
        <v>41957</v>
      </c>
      <c r="AN107" s="7">
        <f>SUM(N107:N117)</f>
        <v>17.64</v>
      </c>
      <c r="AO107" s="7">
        <f>AN107/$A$29-$A$33*11</f>
        <v>37.129574772041842</v>
      </c>
      <c r="AP107" s="7">
        <f>SUM(P107:P117)</f>
        <v>12.952999999999999</v>
      </c>
      <c r="AQ107" s="7">
        <f>SUM(Q107:Q117)</f>
        <v>20.298999999999996</v>
      </c>
      <c r="AR107" s="9">
        <f>AP107/AO107</f>
        <v>0.34885936829401731</v>
      </c>
      <c r="AS107" s="9">
        <f>AQ107/AO107</f>
        <v>0.54670704215241694</v>
      </c>
      <c r="AT107" s="9">
        <f>1-AR107-AS107</f>
        <v>0.10443358955356574</v>
      </c>
      <c r="AU107" s="3">
        <f>AF107*AR107</f>
        <v>1930.3617762738841</v>
      </c>
      <c r="AV107" s="3">
        <f>AF107*AS107</f>
        <v>3025.122650859536</v>
      </c>
      <c r="AW107" s="3">
        <f>AU107+AV107</f>
        <v>4955.4844271334205</v>
      </c>
      <c r="AX107" s="3">
        <f>AL107*AR107</f>
        <v>1838.3366640278155</v>
      </c>
      <c r="AY107" s="3">
        <f>AL107*AS107</f>
        <v>2880.9075845827701</v>
      </c>
      <c r="AZ107" s="3">
        <f>AX107+AY107</f>
        <v>4719.2442486105856</v>
      </c>
    </row>
    <row r="108" spans="1:52" x14ac:dyDescent="0.25">
      <c r="A108">
        <v>68</v>
      </c>
      <c r="B108" s="1" t="s">
        <v>106</v>
      </c>
      <c r="C108" s="1" t="s">
        <v>160</v>
      </c>
      <c r="D108" s="2">
        <v>41955</v>
      </c>
      <c r="E108" s="3">
        <v>32.099999999999994</v>
      </c>
      <c r="F108" s="4">
        <f t="shared" si="18"/>
        <v>4907.8791392514286</v>
      </c>
      <c r="G108" s="7">
        <v>12.01</v>
      </c>
      <c r="H108" s="7">
        <v>238.36</v>
      </c>
      <c r="I108" s="7">
        <f t="shared" si="19"/>
        <v>226.35000000000002</v>
      </c>
      <c r="J108" s="7">
        <v>217.06</v>
      </c>
      <c r="K108" s="5">
        <f t="shared" si="20"/>
        <v>4.1042633090346889</v>
      </c>
      <c r="L108" s="4">
        <f t="shared" si="21"/>
        <v>4706.446856487365</v>
      </c>
      <c r="M108" s="2">
        <v>41957</v>
      </c>
      <c r="N108" s="7">
        <v>1.61</v>
      </c>
      <c r="O108" s="7">
        <f t="shared" si="22"/>
        <v>3.3894453164958818</v>
      </c>
      <c r="P108" s="7">
        <v>1.1259999999999999</v>
      </c>
      <c r="Q108" s="7">
        <v>1.8740000000000001</v>
      </c>
      <c r="R108" s="6">
        <f t="shared" si="23"/>
        <v>0.3322077493092867</v>
      </c>
      <c r="S108" s="6">
        <f t="shared" si="24"/>
        <v>0.55289282611510071</v>
      </c>
      <c r="T108" s="6">
        <f t="shared" si="25"/>
        <v>0.11489942457561253</v>
      </c>
      <c r="U108" s="4">
        <f t="shared" si="16"/>
        <v>1630.4354827327163</v>
      </c>
      <c r="V108" s="4">
        <f t="shared" si="17"/>
        <v>2713.5311675320704</v>
      </c>
      <c r="W108" s="4">
        <f t="shared" si="26"/>
        <v>4343.9666502647869</v>
      </c>
      <c r="X108" s="4">
        <f t="shared" si="27"/>
        <v>1563.518117437435</v>
      </c>
      <c r="Y108" s="4">
        <f t="shared" si="28"/>
        <v>2602.1607034438312</v>
      </c>
      <c r="Z108" s="4">
        <f t="shared" si="29"/>
        <v>4165.6788208812659</v>
      </c>
      <c r="AE108" s="3"/>
      <c r="AF108" s="3"/>
      <c r="AG108" s="7"/>
      <c r="AH108" s="7"/>
      <c r="AI108" s="7"/>
      <c r="AJ108" s="7"/>
      <c r="AK108" s="7"/>
      <c r="AL108" s="3"/>
      <c r="AM108" s="9"/>
      <c r="AN108" s="7"/>
      <c r="AO108" s="7"/>
      <c r="AP108" s="7"/>
      <c r="AQ108" s="7"/>
      <c r="AR108" s="9"/>
      <c r="AS108" s="9"/>
      <c r="AT108" s="9"/>
      <c r="AU108" s="3"/>
      <c r="AV108" s="3"/>
      <c r="AW108" s="3"/>
      <c r="AX108" s="3"/>
      <c r="AY108" s="3"/>
      <c r="AZ108" s="3"/>
    </row>
    <row r="109" spans="1:52" x14ac:dyDescent="0.25">
      <c r="A109">
        <v>69</v>
      </c>
      <c r="B109" s="1" t="s">
        <v>107</v>
      </c>
      <c r="C109" s="1" t="s">
        <v>160</v>
      </c>
      <c r="D109" s="2">
        <v>41955</v>
      </c>
      <c r="E109" s="3">
        <v>37</v>
      </c>
      <c r="F109" s="4">
        <f t="shared" si="18"/>
        <v>5657.0569517851354</v>
      </c>
      <c r="G109" s="7">
        <v>11.94</v>
      </c>
      <c r="H109" s="7">
        <v>233.14</v>
      </c>
      <c r="I109" s="7">
        <f t="shared" si="19"/>
        <v>221.2</v>
      </c>
      <c r="J109" s="7">
        <v>210.48</v>
      </c>
      <c r="K109" s="5">
        <f t="shared" si="20"/>
        <v>4.8462929475587702</v>
      </c>
      <c r="L109" s="4">
        <f t="shared" si="21"/>
        <v>5382.8993996913896</v>
      </c>
      <c r="M109" s="2">
        <v>41957</v>
      </c>
      <c r="N109" s="7">
        <v>1.65</v>
      </c>
      <c r="O109" s="7">
        <f t="shared" si="22"/>
        <v>3.4776302933032324</v>
      </c>
      <c r="P109" s="7">
        <v>1.2520000000000002</v>
      </c>
      <c r="Q109" s="7">
        <v>1.9369999999999998</v>
      </c>
      <c r="R109" s="6">
        <f t="shared" si="23"/>
        <v>0.36001526741095474</v>
      </c>
      <c r="S109" s="6">
        <f t="shared" si="24"/>
        <v>0.55698847681710795</v>
      </c>
      <c r="T109" s="6">
        <f t="shared" si="25"/>
        <v>8.2996255771937366E-2</v>
      </c>
      <c r="U109" s="4">
        <f t="shared" si="16"/>
        <v>2036.6268712559261</v>
      </c>
      <c r="V109" s="4">
        <f t="shared" si="17"/>
        <v>3150.9155348424342</v>
      </c>
      <c r="W109" s="4">
        <f t="shared" si="26"/>
        <v>5187.5424060983605</v>
      </c>
      <c r="X109" s="4">
        <f t="shared" si="27"/>
        <v>1937.9259668261634</v>
      </c>
      <c r="Y109" s="4">
        <f t="shared" si="28"/>
        <v>2998.2129374938318</v>
      </c>
      <c r="Z109" s="4">
        <f t="shared" si="29"/>
        <v>4936.1389043199952</v>
      </c>
      <c r="AE109" s="3"/>
      <c r="AF109" s="3"/>
      <c r="AG109" s="7"/>
      <c r="AH109" s="7"/>
      <c r="AI109" s="7"/>
      <c r="AJ109" s="7"/>
      <c r="AK109" s="7"/>
      <c r="AL109" s="3"/>
      <c r="AM109" s="9"/>
      <c r="AN109" s="7"/>
      <c r="AO109" s="7"/>
      <c r="AP109" s="7"/>
      <c r="AQ109" s="7"/>
      <c r="AR109" s="9"/>
      <c r="AS109" s="9"/>
      <c r="AT109" s="9"/>
      <c r="AU109" s="3"/>
      <c r="AV109" s="3"/>
      <c r="AW109" s="3"/>
      <c r="AX109" s="3"/>
      <c r="AY109" s="3"/>
      <c r="AZ109" s="3"/>
    </row>
    <row r="110" spans="1:52" x14ac:dyDescent="0.25">
      <c r="A110">
        <v>70</v>
      </c>
      <c r="B110" s="1" t="s">
        <v>108</v>
      </c>
      <c r="C110" s="1" t="s">
        <v>160</v>
      </c>
      <c r="D110" s="2">
        <v>41955</v>
      </c>
      <c r="E110" s="3">
        <v>40.200000000000003</v>
      </c>
      <c r="F110" s="4">
        <f t="shared" si="18"/>
        <v>6146.3159313989854</v>
      </c>
      <c r="G110" s="7">
        <v>11.97</v>
      </c>
      <c r="H110" s="7">
        <v>241.28</v>
      </c>
      <c r="I110" s="7">
        <f t="shared" si="19"/>
        <v>229.31</v>
      </c>
      <c r="J110" s="7">
        <v>218.13</v>
      </c>
      <c r="K110" s="5">
        <f t="shared" si="20"/>
        <v>4.8754960533775265</v>
      </c>
      <c r="L110" s="4">
        <f t="shared" si="21"/>
        <v>5846.6525407355139</v>
      </c>
      <c r="M110" s="2">
        <v>41957</v>
      </c>
      <c r="N110" s="7">
        <v>1.69</v>
      </c>
      <c r="O110" s="7">
        <f t="shared" si="22"/>
        <v>3.5658152701105839</v>
      </c>
      <c r="P110" s="7">
        <v>1.2520000000000002</v>
      </c>
      <c r="Q110" s="7">
        <v>1.9369999999999998</v>
      </c>
      <c r="R110" s="6">
        <f t="shared" si="23"/>
        <v>0.35111185105255688</v>
      </c>
      <c r="S110" s="6">
        <f t="shared" si="24"/>
        <v>0.54321378233929918</v>
      </c>
      <c r="T110" s="6">
        <f t="shared" si="25"/>
        <v>0.105674366608144</v>
      </c>
      <c r="U110" s="4">
        <f t="shared" si="16"/>
        <v>2158.0443638273177</v>
      </c>
      <c r="V110" s="4">
        <f t="shared" si="17"/>
        <v>3338.7635245475353</v>
      </c>
      <c r="W110" s="4">
        <f t="shared" si="26"/>
        <v>5496.8078883748531</v>
      </c>
      <c r="X110" s="4">
        <f t="shared" si="27"/>
        <v>2052.828996038781</v>
      </c>
      <c r="Y110" s="4">
        <f t="shared" si="28"/>
        <v>3175.982240676612</v>
      </c>
      <c r="Z110" s="4">
        <f t="shared" si="29"/>
        <v>5228.8112367153935</v>
      </c>
      <c r="AE110" s="3"/>
      <c r="AF110" s="3"/>
      <c r="AG110" s="7"/>
      <c r="AH110" s="7"/>
      <c r="AI110" s="7"/>
      <c r="AJ110" s="7"/>
      <c r="AK110" s="7"/>
      <c r="AL110" s="3"/>
      <c r="AM110" s="9"/>
      <c r="AN110" s="7"/>
      <c r="AO110" s="7"/>
      <c r="AP110" s="7"/>
      <c r="AQ110" s="7"/>
      <c r="AR110" s="9"/>
      <c r="AS110" s="9"/>
      <c r="AT110" s="9"/>
      <c r="AU110" s="3"/>
      <c r="AV110" s="3"/>
      <c r="AW110" s="3"/>
      <c r="AX110" s="3"/>
      <c r="AY110" s="3"/>
      <c r="AZ110" s="3"/>
    </row>
    <row r="111" spans="1:52" x14ac:dyDescent="0.25">
      <c r="A111">
        <v>71</v>
      </c>
      <c r="B111" s="1" t="s">
        <v>109</v>
      </c>
      <c r="C111" s="1" t="s">
        <v>160</v>
      </c>
      <c r="D111" s="2">
        <v>41955</v>
      </c>
      <c r="E111" s="3">
        <v>39.200000000000003</v>
      </c>
      <c r="F111" s="4">
        <f t="shared" si="18"/>
        <v>5993.4225002696576</v>
      </c>
      <c r="G111" s="7">
        <v>11.88</v>
      </c>
      <c r="H111" s="7">
        <v>214.13</v>
      </c>
      <c r="I111" s="7">
        <f t="shared" si="19"/>
        <v>202.25</v>
      </c>
      <c r="J111" s="7">
        <v>192.22</v>
      </c>
      <c r="K111" s="5">
        <f t="shared" si="20"/>
        <v>4.9592088998763915</v>
      </c>
      <c r="L111" s="4">
        <f t="shared" si="21"/>
        <v>5696.1961582290905</v>
      </c>
      <c r="M111" s="2">
        <v>41957</v>
      </c>
      <c r="N111" s="7">
        <v>1.53</v>
      </c>
      <c r="O111" s="7">
        <f t="shared" si="22"/>
        <v>3.2130753628811797</v>
      </c>
      <c r="P111" s="7">
        <v>1.1259999999999999</v>
      </c>
      <c r="Q111" s="7">
        <v>1.8109999999999995</v>
      </c>
      <c r="R111" s="6">
        <f t="shared" si="23"/>
        <v>0.35044307177106188</v>
      </c>
      <c r="S111" s="6">
        <f t="shared" si="24"/>
        <v>0.56363446090354608</v>
      </c>
      <c r="T111" s="6">
        <f t="shared" si="25"/>
        <v>8.5922467325392105E-2</v>
      </c>
      <c r="U111" s="4">
        <f t="shared" si="16"/>
        <v>2100.3533914162967</v>
      </c>
      <c r="V111" s="4">
        <f t="shared" si="17"/>
        <v>3378.0994599066717</v>
      </c>
      <c r="W111" s="4">
        <f t="shared" si="26"/>
        <v>5478.4528513229689</v>
      </c>
      <c r="X111" s="4">
        <f t="shared" si="27"/>
        <v>1996.1924791003241</v>
      </c>
      <c r="Y111" s="4">
        <f t="shared" si="28"/>
        <v>3210.5724508443036</v>
      </c>
      <c r="Z111" s="4">
        <f t="shared" si="29"/>
        <v>5206.7649299446275</v>
      </c>
      <c r="AE111" s="3"/>
      <c r="AF111" s="3"/>
      <c r="AG111" s="7"/>
      <c r="AH111" s="7"/>
      <c r="AI111" s="7"/>
      <c r="AJ111" s="7"/>
      <c r="AK111" s="7"/>
      <c r="AL111" s="3"/>
      <c r="AM111" s="9"/>
      <c r="AN111" s="7"/>
      <c r="AO111" s="7"/>
      <c r="AP111" s="7"/>
      <c r="AQ111" s="7"/>
      <c r="AR111" s="9"/>
      <c r="AS111" s="9"/>
      <c r="AT111" s="9"/>
      <c r="AU111" s="3"/>
      <c r="AV111" s="3"/>
      <c r="AW111" s="3"/>
      <c r="AX111" s="3"/>
      <c r="AY111" s="3"/>
      <c r="AZ111" s="3"/>
    </row>
    <row r="112" spans="1:52" x14ac:dyDescent="0.25">
      <c r="A112">
        <v>72</v>
      </c>
      <c r="B112" s="1" t="s">
        <v>110</v>
      </c>
      <c r="C112" s="1" t="s">
        <v>160</v>
      </c>
      <c r="D112" s="2">
        <v>41955</v>
      </c>
      <c r="E112" s="3">
        <v>35.700000000000003</v>
      </c>
      <c r="F112" s="4">
        <f t="shared" si="18"/>
        <v>5458.2954913170097</v>
      </c>
      <c r="G112" s="7">
        <v>12.1</v>
      </c>
      <c r="H112" s="7">
        <v>237.46</v>
      </c>
      <c r="I112" s="7">
        <f t="shared" si="19"/>
        <v>225.36</v>
      </c>
      <c r="J112" s="7">
        <v>214.58</v>
      </c>
      <c r="K112" s="5">
        <f t="shared" si="20"/>
        <v>4.783457578984736</v>
      </c>
      <c r="L112" s="4">
        <f t="shared" si="21"/>
        <v>5197.2002419542241</v>
      </c>
      <c r="M112" s="2">
        <v>41957</v>
      </c>
      <c r="N112" s="7">
        <v>1.69</v>
      </c>
      <c r="O112" s="7">
        <f t="shared" si="22"/>
        <v>3.5658152701105839</v>
      </c>
      <c r="P112" s="7">
        <v>1.1890000000000001</v>
      </c>
      <c r="Q112" s="7">
        <v>1.9369999999999998</v>
      </c>
      <c r="R112" s="6">
        <f t="shared" si="23"/>
        <v>0.33344408218968857</v>
      </c>
      <c r="S112" s="6">
        <f t="shared" si="24"/>
        <v>0.54321378233929918</v>
      </c>
      <c r="T112" s="6">
        <f t="shared" si="25"/>
        <v>0.12334213547101225</v>
      </c>
      <c r="U112" s="4">
        <f t="shared" si="16"/>
        <v>1820.0363304223156</v>
      </c>
      <c r="V112" s="4">
        <f t="shared" si="17"/>
        <v>2965.0213389638561</v>
      </c>
      <c r="W112" s="4">
        <f t="shared" si="26"/>
        <v>4785.0576693861713</v>
      </c>
      <c r="X112" s="4">
        <f t="shared" si="27"/>
        <v>1732.9756646344536</v>
      </c>
      <c r="Y112" s="4">
        <f t="shared" si="28"/>
        <v>2823.190801006675</v>
      </c>
      <c r="Z112" s="4">
        <f t="shared" si="29"/>
        <v>4556.1664656411285</v>
      </c>
      <c r="AE112" s="3"/>
      <c r="AF112" s="3"/>
      <c r="AG112" s="7"/>
      <c r="AH112" s="7"/>
      <c r="AI112" s="7"/>
      <c r="AJ112" s="7"/>
      <c r="AK112" s="7"/>
      <c r="AL112" s="3"/>
      <c r="AM112" s="9"/>
      <c r="AN112" s="7"/>
      <c r="AO112" s="7"/>
      <c r="AP112" s="7"/>
      <c r="AQ112" s="7"/>
      <c r="AR112" s="9"/>
      <c r="AS112" s="9"/>
      <c r="AT112" s="9"/>
      <c r="AU112" s="3"/>
      <c r="AV112" s="3"/>
      <c r="AW112" s="3"/>
      <c r="AX112" s="3"/>
      <c r="AY112" s="3"/>
      <c r="AZ112" s="3"/>
    </row>
    <row r="113" spans="1:52" x14ac:dyDescent="0.25">
      <c r="A113">
        <v>73</v>
      </c>
      <c r="B113" s="1" t="s">
        <v>111</v>
      </c>
      <c r="C113" s="1" t="s">
        <v>160</v>
      </c>
      <c r="D113" s="2">
        <v>41955</v>
      </c>
      <c r="E113" s="3">
        <v>41.3</v>
      </c>
      <c r="F113" s="4">
        <f t="shared" si="18"/>
        <v>6314.4987056412465</v>
      </c>
      <c r="G113" s="7">
        <v>11.92</v>
      </c>
      <c r="H113" s="7">
        <v>200.14</v>
      </c>
      <c r="I113" s="7">
        <f t="shared" si="19"/>
        <v>188.22</v>
      </c>
      <c r="J113" s="7">
        <v>180.13</v>
      </c>
      <c r="K113" s="5">
        <f t="shared" si="20"/>
        <v>4.2981617256402105</v>
      </c>
      <c r="L113" s="4">
        <f t="shared" si="21"/>
        <v>6043.0913391093272</v>
      </c>
      <c r="M113" s="2">
        <v>41957</v>
      </c>
      <c r="N113" s="7">
        <v>1.48</v>
      </c>
      <c r="O113" s="7">
        <f t="shared" si="22"/>
        <v>3.1028441418719908</v>
      </c>
      <c r="P113" s="7">
        <v>1.1259999999999999</v>
      </c>
      <c r="Q113" s="7">
        <v>1.6850000000000001</v>
      </c>
      <c r="R113" s="6">
        <f t="shared" si="23"/>
        <v>0.36289286490576605</v>
      </c>
      <c r="S113" s="6">
        <f t="shared" si="24"/>
        <v>0.54305015751884178</v>
      </c>
      <c r="T113" s="6">
        <f t="shared" si="25"/>
        <v>9.4056977575392109E-2</v>
      </c>
      <c r="U113" s="4">
        <f t="shared" si="16"/>
        <v>2291.4865257339034</v>
      </c>
      <c r="V113" s="4">
        <f t="shared" si="17"/>
        <v>3429.0895167510016</v>
      </c>
      <c r="W113" s="4">
        <f t="shared" si="26"/>
        <v>5720.576042484905</v>
      </c>
      <c r="X113" s="4">
        <f t="shared" si="27"/>
        <v>2192.994728936606</v>
      </c>
      <c r="Y113" s="4">
        <f t="shared" si="28"/>
        <v>3281.7017036040688</v>
      </c>
      <c r="Z113" s="4">
        <f t="shared" si="29"/>
        <v>5474.6964325406752</v>
      </c>
      <c r="AE113" s="3"/>
      <c r="AF113" s="3"/>
      <c r="AG113" s="7"/>
      <c r="AH113" s="7"/>
      <c r="AI113" s="7"/>
      <c r="AJ113" s="7"/>
      <c r="AK113" s="7"/>
      <c r="AL113" s="3"/>
      <c r="AM113" s="9"/>
      <c r="AN113" s="7"/>
      <c r="AO113" s="7"/>
      <c r="AP113" s="7"/>
      <c r="AQ113" s="7"/>
      <c r="AR113" s="9"/>
      <c r="AS113" s="9"/>
      <c r="AT113" s="9"/>
      <c r="AU113" s="3"/>
      <c r="AV113" s="3"/>
      <c r="AW113" s="3"/>
      <c r="AX113" s="3"/>
      <c r="AY113" s="3"/>
      <c r="AZ113" s="3"/>
    </row>
    <row r="114" spans="1:52" x14ac:dyDescent="0.25">
      <c r="A114">
        <v>74</v>
      </c>
      <c r="B114" s="1" t="s">
        <v>112</v>
      </c>
      <c r="C114" s="1" t="s">
        <v>160</v>
      </c>
      <c r="D114" s="2">
        <v>41955</v>
      </c>
      <c r="E114" s="3">
        <v>40.200000000000003</v>
      </c>
      <c r="F114" s="4">
        <f t="shared" si="18"/>
        <v>6146.3159313989854</v>
      </c>
      <c r="G114" s="7">
        <v>11.89</v>
      </c>
      <c r="H114" s="7">
        <v>246.95</v>
      </c>
      <c r="I114" s="7">
        <f t="shared" si="19"/>
        <v>235.06</v>
      </c>
      <c r="J114" s="7">
        <v>224.27</v>
      </c>
      <c r="K114" s="5">
        <f t="shared" si="20"/>
        <v>4.5903173657789464</v>
      </c>
      <c r="L114" s="4">
        <f t="shared" si="21"/>
        <v>5864.1805238443394</v>
      </c>
      <c r="M114" s="2">
        <v>41957</v>
      </c>
      <c r="N114" s="7">
        <v>1.58</v>
      </c>
      <c r="O114" s="7">
        <f t="shared" si="22"/>
        <v>3.3233065838903686</v>
      </c>
      <c r="P114" s="7">
        <v>1.2520000000000002</v>
      </c>
      <c r="Q114" s="7">
        <v>1.8740000000000001</v>
      </c>
      <c r="R114" s="6">
        <f t="shared" si="23"/>
        <v>0.37673322288982714</v>
      </c>
      <c r="S114" s="6">
        <f t="shared" si="24"/>
        <v>0.56389621381432586</v>
      </c>
      <c r="T114" s="6">
        <f t="shared" si="25"/>
        <v>5.9370563295847001E-2</v>
      </c>
      <c r="U114" s="4">
        <f t="shared" si="16"/>
        <v>2315.5214097350295</v>
      </c>
      <c r="V114" s="4">
        <f t="shared" si="17"/>
        <v>3465.8842826225596</v>
      </c>
      <c r="W114" s="4">
        <f t="shared" si="26"/>
        <v>5781.405692357589</v>
      </c>
      <c r="X114" s="4">
        <f t="shared" si="27"/>
        <v>2209.2316283556329</v>
      </c>
      <c r="Y114" s="4">
        <f t="shared" si="28"/>
        <v>3306.7891945195329</v>
      </c>
      <c r="Z114" s="4">
        <f t="shared" si="29"/>
        <v>5516.0208228751653</v>
      </c>
      <c r="AE114" s="3"/>
      <c r="AF114" s="3"/>
      <c r="AG114" s="7"/>
      <c r="AH114" s="7"/>
      <c r="AI114" s="7"/>
      <c r="AJ114" s="7"/>
      <c r="AK114" s="7"/>
      <c r="AL114" s="3"/>
      <c r="AM114" s="9"/>
      <c r="AN114" s="7"/>
      <c r="AO114" s="7"/>
      <c r="AP114" s="7"/>
      <c r="AQ114" s="7"/>
      <c r="AR114" s="9"/>
      <c r="AS114" s="9"/>
      <c r="AT114" s="9"/>
      <c r="AU114" s="3"/>
      <c r="AV114" s="3"/>
      <c r="AW114" s="3"/>
      <c r="AX114" s="3"/>
      <c r="AY114" s="3"/>
      <c r="AZ114" s="3"/>
    </row>
    <row r="115" spans="1:52" x14ac:dyDescent="0.25">
      <c r="A115">
        <v>75</v>
      </c>
      <c r="B115" s="1" t="s">
        <v>113</v>
      </c>
      <c r="C115" s="1" t="s">
        <v>160</v>
      </c>
      <c r="D115" s="2">
        <v>41955</v>
      </c>
      <c r="E115" s="3">
        <v>37.4</v>
      </c>
      <c r="F115" s="4">
        <f t="shared" si="18"/>
        <v>5718.2143242368666</v>
      </c>
      <c r="G115" s="7">
        <v>11.78</v>
      </c>
      <c r="H115" s="7">
        <v>247.03</v>
      </c>
      <c r="I115" s="7">
        <f t="shared" si="19"/>
        <v>235.25</v>
      </c>
      <c r="J115" s="7">
        <v>222.82</v>
      </c>
      <c r="K115" s="5">
        <f t="shared" si="20"/>
        <v>5.2837407013815119</v>
      </c>
      <c r="L115" s="4">
        <f t="shared" si="21"/>
        <v>5416.0787065949353</v>
      </c>
      <c r="M115" s="2">
        <v>41957</v>
      </c>
      <c r="N115" s="7">
        <v>1.64</v>
      </c>
      <c r="O115" s="7">
        <f t="shared" si="22"/>
        <v>3.4555840491013949</v>
      </c>
      <c r="P115" s="7">
        <v>1.1890000000000001</v>
      </c>
      <c r="Q115" s="7">
        <v>1.8109999999999995</v>
      </c>
      <c r="R115" s="6">
        <f t="shared" si="23"/>
        <v>0.34408076409230814</v>
      </c>
      <c r="S115" s="6">
        <f t="shared" si="24"/>
        <v>0.5240792798748275</v>
      </c>
      <c r="T115" s="6">
        <f t="shared" si="25"/>
        <v>0.13183995603286436</v>
      </c>
      <c r="U115" s="4">
        <f t="shared" si="16"/>
        <v>1967.5275539270026</v>
      </c>
      <c r="V115" s="4">
        <f t="shared" si="17"/>
        <v>2996.7976452159805</v>
      </c>
      <c r="W115" s="4">
        <f t="shared" si="26"/>
        <v>4964.3251991429834</v>
      </c>
      <c r="X115" s="4">
        <f t="shared" si="27"/>
        <v>1863.5684997492654</v>
      </c>
      <c r="Y115" s="4">
        <f t="shared" si="28"/>
        <v>2838.4546282976607</v>
      </c>
      <c r="Z115" s="4">
        <f t="shared" si="29"/>
        <v>4702.0231280469261</v>
      </c>
      <c r="AE115" s="3"/>
      <c r="AF115" s="3"/>
      <c r="AG115" s="7"/>
      <c r="AH115" s="7"/>
      <c r="AI115" s="7"/>
      <c r="AJ115" s="7"/>
      <c r="AK115" s="7"/>
      <c r="AL115" s="3"/>
      <c r="AM115" s="9"/>
      <c r="AN115" s="7"/>
      <c r="AO115" s="7"/>
      <c r="AP115" s="7"/>
      <c r="AQ115" s="7"/>
      <c r="AR115" s="9"/>
      <c r="AS115" s="9"/>
      <c r="AT115" s="9"/>
      <c r="AU115" s="3"/>
      <c r="AV115" s="3"/>
      <c r="AW115" s="3"/>
      <c r="AX115" s="3"/>
      <c r="AY115" s="3"/>
      <c r="AZ115" s="3"/>
    </row>
    <row r="116" spans="1:52" x14ac:dyDescent="0.25">
      <c r="A116">
        <v>76</v>
      </c>
      <c r="B116" s="1" t="s">
        <v>114</v>
      </c>
      <c r="C116" s="1" t="s">
        <v>160</v>
      </c>
      <c r="D116" s="2">
        <v>41955</v>
      </c>
      <c r="E116" s="3">
        <v>32.4</v>
      </c>
      <c r="F116" s="4">
        <f t="shared" si="18"/>
        <v>4953.7471685902274</v>
      </c>
      <c r="G116" s="7">
        <v>11.99</v>
      </c>
      <c r="H116" s="7">
        <v>221.21</v>
      </c>
      <c r="I116" s="7">
        <f t="shared" si="19"/>
        <v>209.22</v>
      </c>
      <c r="J116" s="7">
        <v>197.58</v>
      </c>
      <c r="K116" s="5">
        <f t="shared" si="20"/>
        <v>5.5635216518497215</v>
      </c>
      <c r="L116" s="4">
        <f t="shared" si="21"/>
        <v>4678.1443722878175</v>
      </c>
      <c r="M116" s="2">
        <v>41957</v>
      </c>
      <c r="N116" s="7">
        <v>1.62</v>
      </c>
      <c r="O116" s="7">
        <f t="shared" si="22"/>
        <v>3.4114915606977196</v>
      </c>
      <c r="P116" s="7">
        <v>1.1890000000000001</v>
      </c>
      <c r="Q116" s="7">
        <v>1.8109999999999995</v>
      </c>
      <c r="R116" s="6">
        <f t="shared" si="23"/>
        <v>0.34852790307264464</v>
      </c>
      <c r="S116" s="6">
        <f t="shared" si="24"/>
        <v>0.53085284479777906</v>
      </c>
      <c r="T116" s="6">
        <f t="shared" si="25"/>
        <v>0.12061925212957625</v>
      </c>
      <c r="U116" s="4">
        <f t="shared" si="16"/>
        <v>1726.5191130208027</v>
      </c>
      <c r="V116" s="4">
        <f t="shared" si="17"/>
        <v>2629.7107768550654</v>
      </c>
      <c r="W116" s="4">
        <f t="shared" si="26"/>
        <v>4356.2298898758681</v>
      </c>
      <c r="X116" s="4">
        <f t="shared" si="27"/>
        <v>1630.4638483445665</v>
      </c>
      <c r="Y116" s="4">
        <f t="shared" si="28"/>
        <v>2483.4062484037081</v>
      </c>
      <c r="Z116" s="4">
        <f t="shared" si="29"/>
        <v>4113.8700967482746</v>
      </c>
      <c r="AE116" s="3"/>
      <c r="AF116" s="3"/>
      <c r="AG116" s="7"/>
      <c r="AH116" s="7"/>
      <c r="AI116" s="7"/>
      <c r="AJ116" s="7"/>
      <c r="AK116" s="7"/>
      <c r="AL116" s="3"/>
      <c r="AM116" s="9"/>
      <c r="AN116" s="7"/>
      <c r="AO116" s="7"/>
      <c r="AP116" s="7"/>
      <c r="AQ116" s="7"/>
      <c r="AR116" s="9"/>
      <c r="AS116" s="9"/>
      <c r="AT116" s="9"/>
      <c r="AU116" s="3"/>
      <c r="AV116" s="3"/>
      <c r="AW116" s="3"/>
      <c r="AX116" s="3"/>
      <c r="AY116" s="3"/>
      <c r="AZ116" s="3"/>
    </row>
    <row r="117" spans="1:52" x14ac:dyDescent="0.25">
      <c r="A117">
        <v>77</v>
      </c>
      <c r="B117" s="1" t="s">
        <v>115</v>
      </c>
      <c r="C117" s="1" t="s">
        <v>160</v>
      </c>
      <c r="D117" s="2">
        <v>41955</v>
      </c>
      <c r="E117" s="3">
        <v>35.5</v>
      </c>
      <c r="F117" s="4">
        <f t="shared" si="18"/>
        <v>5427.716805091145</v>
      </c>
      <c r="G117" s="7">
        <v>11.95</v>
      </c>
      <c r="H117" s="7">
        <v>204.67</v>
      </c>
      <c r="I117" s="7">
        <f t="shared" si="19"/>
        <v>192.72</v>
      </c>
      <c r="J117" s="7">
        <v>184.02</v>
      </c>
      <c r="K117" s="5">
        <f t="shared" si="20"/>
        <v>4.5143212951432075</v>
      </c>
      <c r="L117" s="4">
        <f t="shared" si="21"/>
        <v>5182.6922295188488</v>
      </c>
      <c r="M117" s="2">
        <v>41957</v>
      </c>
      <c r="N117" s="7">
        <v>1.67</v>
      </c>
      <c r="O117" s="7">
        <f t="shared" si="22"/>
        <v>3.5217227817069081</v>
      </c>
      <c r="P117" s="7">
        <v>1.1259999999999999</v>
      </c>
      <c r="Q117" s="7">
        <v>1.8740000000000001</v>
      </c>
      <c r="R117" s="6">
        <f t="shared" si="23"/>
        <v>0.31972987932180463</v>
      </c>
      <c r="S117" s="6">
        <f t="shared" si="24"/>
        <v>0.53212592704179573</v>
      </c>
      <c r="T117" s="6">
        <f t="shared" si="25"/>
        <v>0.14814419363639963</v>
      </c>
      <c r="U117" s="4">
        <f t="shared" si="16"/>
        <v>1735.4032390847228</v>
      </c>
      <c r="V117" s="4">
        <f t="shared" si="17"/>
        <v>2888.2288366294592</v>
      </c>
      <c r="W117" s="4">
        <f t="shared" si="26"/>
        <v>4623.6320757141821</v>
      </c>
      <c r="X117" s="4">
        <f t="shared" si="27"/>
        <v>1657.0615611061162</v>
      </c>
      <c r="Y117" s="4">
        <f t="shared" si="28"/>
        <v>2757.8449072050284</v>
      </c>
      <c r="Z117" s="4">
        <f t="shared" si="29"/>
        <v>4414.9064683111446</v>
      </c>
      <c r="AE117" s="3"/>
      <c r="AF117" s="3"/>
      <c r="AG117" s="7"/>
      <c r="AH117" s="7"/>
      <c r="AI117" s="7"/>
      <c r="AJ117" s="7"/>
      <c r="AK117" s="7"/>
      <c r="AL117" s="3"/>
      <c r="AM117" s="9"/>
      <c r="AN117" s="7"/>
      <c r="AO117" s="7"/>
      <c r="AP117" s="7"/>
      <c r="AQ117" s="7"/>
      <c r="AR117" s="9"/>
      <c r="AS117" s="9"/>
      <c r="AT117" s="9"/>
      <c r="AU117" s="3"/>
      <c r="AV117" s="3"/>
      <c r="AW117" s="3"/>
      <c r="AX117" s="3"/>
      <c r="AY117" s="3"/>
      <c r="AZ117" s="3"/>
    </row>
    <row r="118" spans="1:52" x14ac:dyDescent="0.25">
      <c r="A118">
        <v>78</v>
      </c>
      <c r="B118" s="1" t="s">
        <v>116</v>
      </c>
      <c r="C118" s="1" t="s">
        <v>160</v>
      </c>
      <c r="D118" s="2">
        <v>41955</v>
      </c>
      <c r="E118" s="3">
        <v>25.5</v>
      </c>
      <c r="F118" s="4">
        <f t="shared" si="18"/>
        <v>3898.7824937978644</v>
      </c>
      <c r="G118" s="7">
        <v>12.02</v>
      </c>
      <c r="H118" s="7">
        <v>223.2</v>
      </c>
      <c r="I118" s="7">
        <f t="shared" si="19"/>
        <v>211.17999999999998</v>
      </c>
      <c r="J118" s="7">
        <v>200.86</v>
      </c>
      <c r="K118" s="5">
        <f t="shared" si="20"/>
        <v>4.8868264040155163</v>
      </c>
      <c r="L118" s="4">
        <f t="shared" si="21"/>
        <v>3708.2557614558154</v>
      </c>
      <c r="M118" s="2">
        <v>41957</v>
      </c>
      <c r="N118" s="7">
        <v>1.7</v>
      </c>
      <c r="O118" s="7">
        <f t="shared" si="22"/>
        <v>3.5878615143124217</v>
      </c>
      <c r="P118" s="7">
        <v>1.2520000000000002</v>
      </c>
      <c r="Q118" s="7">
        <v>1.9369999999999998</v>
      </c>
      <c r="R118" s="6">
        <f t="shared" si="23"/>
        <v>0.34895438271672913</v>
      </c>
      <c r="S118" s="6">
        <f t="shared" si="24"/>
        <v>0.53987591000184043</v>
      </c>
      <c r="T118" s="6">
        <f t="shared" si="25"/>
        <v>0.11116970728143039</v>
      </c>
      <c r="U118" s="4">
        <f t="shared" si="16"/>
        <v>1360.4972384700236</v>
      </c>
      <c r="V118" s="4">
        <f t="shared" si="17"/>
        <v>2104.8587467383668</v>
      </c>
      <c r="W118" s="4">
        <f t="shared" si="26"/>
        <v>3465.3559852083904</v>
      </c>
      <c r="X118" s="4">
        <f t="shared" si="27"/>
        <v>1294.0121001945683</v>
      </c>
      <c r="Y118" s="4">
        <f t="shared" si="28"/>
        <v>2001.9979537355262</v>
      </c>
      <c r="Z118" s="4">
        <f t="shared" si="29"/>
        <v>3296.0100539300947</v>
      </c>
      <c r="AB118" t="s">
        <v>33</v>
      </c>
      <c r="AC118" t="str">
        <f>C118</f>
        <v>Machine</v>
      </c>
      <c r="AD118" s="8">
        <f>D118</f>
        <v>41955</v>
      </c>
      <c r="AE118" s="3">
        <f>SUM(E118:E128)</f>
        <v>342</v>
      </c>
      <c r="AF118" s="3">
        <f>AE118*$A$29/($A$30*11)*$A$32</f>
        <v>4753.5957678391069</v>
      </c>
      <c r="AG118" s="7">
        <f>SUM(G118:G128)</f>
        <v>131.93</v>
      </c>
      <c r="AH118" s="7">
        <f>SUM(H118:H128)</f>
        <v>2491.79</v>
      </c>
      <c r="AI118" s="7">
        <f>AH118-AG118</f>
        <v>2359.86</v>
      </c>
      <c r="AJ118" s="7">
        <f>SUM(J118:J128)</f>
        <v>2241.88</v>
      </c>
      <c r="AK118" s="7">
        <f>(AI118-AJ118)/AI118*100</f>
        <v>4.9994491198630433</v>
      </c>
      <c r="AL118" s="3">
        <f>AF118*(1-AK118/100)</f>
        <v>4515.9421660620283</v>
      </c>
      <c r="AM118" s="11">
        <f>M118</f>
        <v>41957</v>
      </c>
      <c r="AN118" s="7">
        <f>SUM(N118:N128)</f>
        <v>14.850000000000001</v>
      </c>
      <c r="AO118" s="7">
        <f>AN118/$A$29-$A$33*10</f>
        <v>31.138672639729094</v>
      </c>
      <c r="AP118" s="7">
        <f>SUM(P118:P128)</f>
        <v>10.882000000000001</v>
      </c>
      <c r="AQ118" s="7">
        <f>SUM(Q118:Q128)</f>
        <v>16.913</v>
      </c>
      <c r="AR118" s="9">
        <f>AP118/AO118</f>
        <v>0.34946897467029198</v>
      </c>
      <c r="AS118" s="9">
        <f>AQ118/AO118</f>
        <v>0.54315096201053559</v>
      </c>
      <c r="AT118" s="9">
        <f>1-AR118-AS118</f>
        <v>0.10738006331917249</v>
      </c>
      <c r="AU118" s="3">
        <f>AF118*AR118</f>
        <v>1661.234238983772</v>
      </c>
      <c r="AV118" s="3">
        <f>AF118*AS118</f>
        <v>2581.9201143110213</v>
      </c>
      <c r="AW118" s="3">
        <f>AU118+AV118</f>
        <v>4243.1543532947935</v>
      </c>
      <c r="AX118" s="3">
        <f>AL118*AR118</f>
        <v>1578.1816784440343</v>
      </c>
      <c r="AY118" s="3">
        <f>AL118*AS118</f>
        <v>2452.8383318805327</v>
      </c>
      <c r="AZ118" s="3">
        <f>AX118+AY118</f>
        <v>4031.020010324567</v>
      </c>
    </row>
    <row r="119" spans="1:52" x14ac:dyDescent="0.25">
      <c r="A119">
        <v>79</v>
      </c>
      <c r="B119" s="1" t="s">
        <v>117</v>
      </c>
      <c r="C119" s="1" t="s">
        <v>160</v>
      </c>
      <c r="D119" s="2">
        <v>41955</v>
      </c>
      <c r="E119" s="3">
        <v>31.7</v>
      </c>
      <c r="F119" s="4">
        <f t="shared" si="18"/>
        <v>4846.7217667996974</v>
      </c>
      <c r="G119" s="7">
        <v>11.94</v>
      </c>
      <c r="H119" s="7">
        <v>217.17</v>
      </c>
      <c r="I119" s="7">
        <f t="shared" si="19"/>
        <v>205.23</v>
      </c>
      <c r="J119" s="7">
        <v>195.25</v>
      </c>
      <c r="K119" s="5">
        <f t="shared" si="20"/>
        <v>4.8628368172294456</v>
      </c>
      <c r="L119" s="4">
        <f t="shared" si="21"/>
        <v>4611.0335962950885</v>
      </c>
      <c r="M119" s="2">
        <v>41957</v>
      </c>
      <c r="N119" s="7">
        <v>1.44</v>
      </c>
      <c r="O119" s="7">
        <f t="shared" si="22"/>
        <v>3.0146591650646393</v>
      </c>
      <c r="P119" s="7">
        <v>1.0630000000000002</v>
      </c>
      <c r="Q119" s="7">
        <v>1.6220000000000003</v>
      </c>
      <c r="R119" s="6">
        <f t="shared" si="23"/>
        <v>0.35261034226308885</v>
      </c>
      <c r="S119" s="6">
        <f t="shared" si="24"/>
        <v>0.53803760597434636</v>
      </c>
      <c r="T119" s="6">
        <f t="shared" si="25"/>
        <v>0.10935205176256479</v>
      </c>
      <c r="U119" s="4">
        <f t="shared" si="16"/>
        <v>1709.0042210452041</v>
      </c>
      <c r="V119" s="4">
        <f t="shared" si="17"/>
        <v>2607.7185762326635</v>
      </c>
      <c r="W119" s="4">
        <f t="shared" si="26"/>
        <v>4316.7227972778674</v>
      </c>
      <c r="X119" s="4">
        <f t="shared" si="27"/>
        <v>1625.8981345762127</v>
      </c>
      <c r="Y119" s="4">
        <f t="shared" si="28"/>
        <v>2480.9094772178901</v>
      </c>
      <c r="Z119" s="4">
        <f t="shared" si="29"/>
        <v>4106.8076117941027</v>
      </c>
      <c r="AE119" s="3"/>
      <c r="AF119" s="3"/>
      <c r="AG119" s="7"/>
      <c r="AH119" s="7"/>
      <c r="AI119" s="7"/>
      <c r="AJ119" s="7"/>
      <c r="AK119" s="7"/>
      <c r="AL119" s="3"/>
      <c r="AM119" s="9"/>
      <c r="AN119" s="7"/>
      <c r="AO119" s="7"/>
      <c r="AP119" s="7"/>
      <c r="AQ119" s="7"/>
      <c r="AR119" s="9"/>
      <c r="AS119" s="9"/>
      <c r="AT119" s="9"/>
      <c r="AU119" s="3"/>
      <c r="AV119" s="3"/>
      <c r="AW119" s="3"/>
      <c r="AX119" s="3"/>
      <c r="AY119" s="3"/>
      <c r="AZ119" s="3"/>
    </row>
    <row r="120" spans="1:52" x14ac:dyDescent="0.25">
      <c r="A120">
        <v>80</v>
      </c>
      <c r="B120" s="1" t="s">
        <v>118</v>
      </c>
      <c r="C120" s="1" t="s">
        <v>160</v>
      </c>
      <c r="D120" s="2">
        <v>41955</v>
      </c>
      <c r="E120" s="3">
        <v>33.400000000000006</v>
      </c>
      <c r="F120" s="4">
        <f t="shared" si="18"/>
        <v>5106.6405997195561</v>
      </c>
      <c r="G120" s="7">
        <v>11.96</v>
      </c>
      <c r="H120" s="7">
        <v>220.67</v>
      </c>
      <c r="I120" s="7">
        <f t="shared" si="19"/>
        <v>208.70999999999998</v>
      </c>
      <c r="J120" s="7">
        <v>197.26</v>
      </c>
      <c r="K120" s="5">
        <f t="shared" si="20"/>
        <v>5.4860811652532169</v>
      </c>
      <c r="L120" s="4">
        <f t="shared" si="21"/>
        <v>4826.4861516011679</v>
      </c>
      <c r="M120" s="2">
        <v>41957</v>
      </c>
      <c r="N120" s="7">
        <v>1.45</v>
      </c>
      <c r="O120" s="7">
        <f t="shared" si="22"/>
        <v>3.0367054092664771</v>
      </c>
      <c r="P120" s="7">
        <v>1.0630000000000002</v>
      </c>
      <c r="Q120" s="7">
        <v>1.6850000000000001</v>
      </c>
      <c r="R120" s="6">
        <f t="shared" si="23"/>
        <v>0.35005041870583364</v>
      </c>
      <c r="S120" s="6">
        <f t="shared" si="24"/>
        <v>0.55487766276512662</v>
      </c>
      <c r="T120" s="6">
        <f t="shared" si="25"/>
        <v>9.5071918529039734E-2</v>
      </c>
      <c r="U120" s="4">
        <f t="shared" si="16"/>
        <v>1787.58168011204</v>
      </c>
      <c r="V120" s="4">
        <f t="shared" si="17"/>
        <v>2833.560800553892</v>
      </c>
      <c r="W120" s="4">
        <f t="shared" si="26"/>
        <v>4621.1424806659325</v>
      </c>
      <c r="X120" s="4">
        <f t="shared" si="27"/>
        <v>1689.5134982458965</v>
      </c>
      <c r="Y120" s="4">
        <f t="shared" si="28"/>
        <v>2678.1093551687068</v>
      </c>
      <c r="Z120" s="4">
        <f t="shared" si="29"/>
        <v>4367.622853414603</v>
      </c>
      <c r="AE120" s="3"/>
      <c r="AF120" s="3"/>
      <c r="AG120" s="7"/>
      <c r="AH120" s="7"/>
      <c r="AI120" s="7"/>
      <c r="AJ120" s="7"/>
      <c r="AK120" s="7"/>
      <c r="AL120" s="3"/>
      <c r="AM120" s="9"/>
      <c r="AN120" s="7"/>
      <c r="AO120" s="7"/>
      <c r="AP120" s="7"/>
      <c r="AQ120" s="7"/>
      <c r="AR120" s="9"/>
      <c r="AS120" s="9"/>
      <c r="AT120" s="9"/>
      <c r="AU120" s="3"/>
      <c r="AV120" s="3"/>
      <c r="AW120" s="3"/>
      <c r="AX120" s="3"/>
      <c r="AY120" s="3"/>
      <c r="AZ120" s="3"/>
    </row>
    <row r="121" spans="1:52" x14ac:dyDescent="0.25">
      <c r="A121">
        <v>81</v>
      </c>
      <c r="B121" s="1" t="s">
        <v>119</v>
      </c>
      <c r="C121" s="1" t="s">
        <v>160</v>
      </c>
      <c r="D121" s="2">
        <v>41955</v>
      </c>
      <c r="E121" s="3">
        <v>31.999999999999996</v>
      </c>
      <c r="F121" s="4">
        <f t="shared" si="18"/>
        <v>4892.5897961384953</v>
      </c>
      <c r="G121" s="7">
        <v>11.89</v>
      </c>
      <c r="H121" s="7">
        <v>221.41</v>
      </c>
      <c r="I121" s="7">
        <f t="shared" si="19"/>
        <v>209.51999999999998</v>
      </c>
      <c r="J121" s="7">
        <v>198.26</v>
      </c>
      <c r="K121" s="5">
        <f t="shared" si="20"/>
        <v>5.3741886216112986</v>
      </c>
      <c r="L121" s="4">
        <f t="shared" si="21"/>
        <v>4629.6527920123053</v>
      </c>
      <c r="M121" s="2">
        <v>41957</v>
      </c>
      <c r="N121" s="7">
        <v>1.57</v>
      </c>
      <c r="O121" s="7">
        <f t="shared" si="22"/>
        <v>3.3012603396885307</v>
      </c>
      <c r="P121" s="7">
        <v>1.1890000000000001</v>
      </c>
      <c r="Q121" s="7">
        <v>1.6850000000000001</v>
      </c>
      <c r="R121" s="6">
        <f t="shared" si="23"/>
        <v>0.36016547550205646</v>
      </c>
      <c r="S121" s="6">
        <f t="shared" si="24"/>
        <v>0.51041112381914644</v>
      </c>
      <c r="T121" s="6">
        <f t="shared" si="25"/>
        <v>0.1294234006787971</v>
      </c>
      <c r="U121" s="4">
        <f t="shared" ref="U121:U126" si="30">F121*R121</f>
        <v>1762.1419303627306</v>
      </c>
      <c r="V121" s="4">
        <f t="shared" ref="V121:V126" si="31">F121*S121</f>
        <v>2497.2322562331378</v>
      </c>
      <c r="W121" s="4">
        <f t="shared" si="26"/>
        <v>4259.3741865958682</v>
      </c>
      <c r="X121" s="4">
        <f t="shared" si="27"/>
        <v>1667.4410992445353</v>
      </c>
      <c r="Y121" s="4">
        <f t="shared" si="28"/>
        <v>2363.0262844634499</v>
      </c>
      <c r="Z121" s="4">
        <f t="shared" si="29"/>
        <v>4030.4673837079854</v>
      </c>
      <c r="AE121" s="3"/>
      <c r="AF121" s="3"/>
      <c r="AG121" s="7"/>
      <c r="AH121" s="7"/>
      <c r="AI121" s="7"/>
      <c r="AJ121" s="7"/>
      <c r="AK121" s="7"/>
      <c r="AL121" s="3"/>
      <c r="AM121" s="9"/>
      <c r="AN121" s="7"/>
      <c r="AO121" s="7"/>
      <c r="AP121" s="7"/>
      <c r="AQ121" s="7"/>
      <c r="AR121" s="9"/>
      <c r="AS121" s="9"/>
      <c r="AT121" s="9"/>
      <c r="AU121" s="3"/>
      <c r="AV121" s="3"/>
      <c r="AW121" s="3"/>
      <c r="AX121" s="3"/>
      <c r="AY121" s="3"/>
      <c r="AZ121" s="3"/>
    </row>
    <row r="122" spans="1:52" x14ac:dyDescent="0.25">
      <c r="A122">
        <v>82</v>
      </c>
      <c r="B122" s="1" t="s">
        <v>120</v>
      </c>
      <c r="C122" s="1" t="s">
        <v>160</v>
      </c>
      <c r="D122" s="2">
        <v>41955</v>
      </c>
      <c r="E122" s="3">
        <v>35.6</v>
      </c>
      <c r="F122" s="4">
        <f t="shared" si="18"/>
        <v>5443.0061482040774</v>
      </c>
      <c r="G122" s="7">
        <v>12.03</v>
      </c>
      <c r="H122" s="7">
        <v>269.33</v>
      </c>
      <c r="I122" s="7">
        <f t="shared" si="19"/>
        <v>257.3</v>
      </c>
      <c r="J122" s="7">
        <v>244.57</v>
      </c>
      <c r="K122" s="5">
        <f t="shared" si="20"/>
        <v>4.9475320637388336</v>
      </c>
      <c r="L122" s="4">
        <f t="shared" si="21"/>
        <v>5173.7116737904043</v>
      </c>
      <c r="M122" s="2">
        <v>41957</v>
      </c>
      <c r="N122" s="7">
        <v>1.43</v>
      </c>
      <c r="O122" s="7">
        <f t="shared" si="22"/>
        <v>2.9926129208628014</v>
      </c>
      <c r="P122" s="7">
        <v>0.99999999999999989</v>
      </c>
      <c r="Q122" s="7">
        <v>1.6220000000000003</v>
      </c>
      <c r="R122" s="6">
        <f t="shared" si="23"/>
        <v>0.33415614596480775</v>
      </c>
      <c r="S122" s="6">
        <f t="shared" si="24"/>
        <v>0.54200126875491828</v>
      </c>
      <c r="T122" s="6">
        <f t="shared" si="25"/>
        <v>0.12384258528027403</v>
      </c>
      <c r="U122" s="4">
        <f t="shared" si="30"/>
        <v>1818.8139569466277</v>
      </c>
      <c r="V122" s="4">
        <f t="shared" si="31"/>
        <v>2950.1162381674308</v>
      </c>
      <c r="W122" s="4">
        <f t="shared" si="26"/>
        <v>4768.9301951140587</v>
      </c>
      <c r="X122" s="4">
        <f t="shared" si="27"/>
        <v>1728.8275532469361</v>
      </c>
      <c r="Y122" s="4">
        <f t="shared" si="28"/>
        <v>2804.1582913665311</v>
      </c>
      <c r="Z122" s="4">
        <f t="shared" si="29"/>
        <v>4532.9858446134676</v>
      </c>
      <c r="AE122" s="3"/>
      <c r="AF122" s="3"/>
      <c r="AG122" s="7"/>
      <c r="AH122" s="7"/>
      <c r="AI122" s="7"/>
      <c r="AJ122" s="7"/>
      <c r="AK122" s="7"/>
      <c r="AL122" s="3"/>
      <c r="AM122" s="9"/>
      <c r="AN122" s="7"/>
      <c r="AO122" s="7"/>
      <c r="AP122" s="7"/>
      <c r="AQ122" s="7"/>
      <c r="AR122" s="9"/>
      <c r="AS122" s="9"/>
      <c r="AT122" s="9"/>
      <c r="AU122" s="3"/>
      <c r="AV122" s="3"/>
      <c r="AW122" s="3"/>
      <c r="AX122" s="3"/>
      <c r="AY122" s="3"/>
      <c r="AZ122" s="3"/>
    </row>
    <row r="123" spans="1:52" x14ac:dyDescent="0.25">
      <c r="A123">
        <v>83</v>
      </c>
      <c r="B123" s="1" t="s">
        <v>121</v>
      </c>
      <c r="C123" s="1" t="s">
        <v>160</v>
      </c>
      <c r="D123" s="2">
        <v>41955</v>
      </c>
      <c r="E123" s="3">
        <v>29.999999999999996</v>
      </c>
      <c r="F123" s="4">
        <f t="shared" si="18"/>
        <v>4586.8029338798397</v>
      </c>
      <c r="G123" s="7">
        <v>11.98</v>
      </c>
      <c r="H123" s="7">
        <v>224.07</v>
      </c>
      <c r="I123" s="7">
        <f t="shared" si="19"/>
        <v>212.09</v>
      </c>
      <c r="J123" s="7">
        <v>199.75</v>
      </c>
      <c r="K123" s="5">
        <f t="shared" si="20"/>
        <v>5.8182846904615984</v>
      </c>
      <c r="L123" s="4">
        <f t="shared" si="21"/>
        <v>4319.9296809962652</v>
      </c>
      <c r="M123" s="2">
        <v>41957</v>
      </c>
      <c r="N123" s="7">
        <v>1.48</v>
      </c>
      <c r="O123" s="7">
        <f t="shared" si="22"/>
        <v>3.1028441418719908</v>
      </c>
      <c r="P123" s="7">
        <v>1.1890000000000001</v>
      </c>
      <c r="Q123" s="7">
        <v>1.6850000000000001</v>
      </c>
      <c r="R123" s="6">
        <f t="shared" si="23"/>
        <v>0.3831968173827317</v>
      </c>
      <c r="S123" s="6">
        <f t="shared" si="24"/>
        <v>0.54305015751884178</v>
      </c>
      <c r="T123" s="6">
        <f t="shared" si="25"/>
        <v>7.3753025098426517E-2</v>
      </c>
      <c r="U123" s="4">
        <f t="shared" si="30"/>
        <v>1757.6482862245309</v>
      </c>
      <c r="V123" s="4">
        <f t="shared" si="31"/>
        <v>2490.8640557513327</v>
      </c>
      <c r="W123" s="4">
        <f t="shared" si="26"/>
        <v>4248.5123419758638</v>
      </c>
      <c r="X123" s="4">
        <f t="shared" si="27"/>
        <v>1655.3833050749683</v>
      </c>
      <c r="Y123" s="4">
        <f t="shared" si="28"/>
        <v>2345.9384937353416</v>
      </c>
      <c r="Z123" s="4">
        <f t="shared" si="29"/>
        <v>4001.3217988103097</v>
      </c>
      <c r="AE123" s="3"/>
      <c r="AF123" s="3"/>
      <c r="AG123" s="7"/>
      <c r="AH123" s="7"/>
      <c r="AI123" s="7"/>
      <c r="AJ123" s="7"/>
      <c r="AK123" s="7"/>
      <c r="AL123" s="3"/>
      <c r="AM123" s="9"/>
      <c r="AN123" s="7"/>
      <c r="AO123" s="7"/>
      <c r="AP123" s="7"/>
      <c r="AQ123" s="7"/>
      <c r="AR123" s="9"/>
      <c r="AS123" s="9"/>
      <c r="AT123" s="9"/>
      <c r="AU123" s="3"/>
      <c r="AV123" s="3"/>
      <c r="AW123" s="3"/>
      <c r="AX123" s="3"/>
      <c r="AY123" s="3"/>
      <c r="AZ123" s="3"/>
    </row>
    <row r="124" spans="1:52" x14ac:dyDescent="0.25">
      <c r="A124">
        <v>84</v>
      </c>
      <c r="B124" s="1" t="s">
        <v>122</v>
      </c>
      <c r="C124" s="1" t="s">
        <v>160</v>
      </c>
      <c r="D124" s="2">
        <v>41955</v>
      </c>
      <c r="E124" s="3">
        <v>26.2</v>
      </c>
      <c r="F124" s="4">
        <f t="shared" si="18"/>
        <v>4005.8078955883934</v>
      </c>
      <c r="G124" s="7">
        <v>12.03</v>
      </c>
      <c r="H124" s="7">
        <v>205.94</v>
      </c>
      <c r="I124" s="7">
        <f t="shared" si="19"/>
        <v>193.91</v>
      </c>
      <c r="J124" s="7">
        <v>185.11</v>
      </c>
      <c r="K124" s="5">
        <f t="shared" si="20"/>
        <v>4.5381878190913225</v>
      </c>
      <c r="L124" s="4">
        <f t="shared" si="21"/>
        <v>3824.0168096146026</v>
      </c>
      <c r="M124" s="2">
        <v>41957</v>
      </c>
      <c r="N124" s="7">
        <v>1.37</v>
      </c>
      <c r="O124" s="7">
        <f t="shared" si="22"/>
        <v>2.8603354556517755</v>
      </c>
      <c r="P124" s="7">
        <v>0.99999999999999989</v>
      </c>
      <c r="Q124" s="7">
        <v>1.5589999999999997</v>
      </c>
      <c r="R124" s="6">
        <f t="shared" si="23"/>
        <v>0.34960934320626147</v>
      </c>
      <c r="S124" s="6">
        <f t="shared" si="24"/>
        <v>0.54504096605856156</v>
      </c>
      <c r="T124" s="6">
        <f t="shared" si="25"/>
        <v>0.10534969073517697</v>
      </c>
      <c r="U124" s="4">
        <f t="shared" si="30"/>
        <v>1400.4678673871147</v>
      </c>
      <c r="V124" s="4">
        <f t="shared" si="31"/>
        <v>2183.3294052565116</v>
      </c>
      <c r="W124" s="4">
        <f t="shared" si="26"/>
        <v>3583.7972726436265</v>
      </c>
      <c r="X124" s="4">
        <f t="shared" si="27"/>
        <v>1336.9120052190647</v>
      </c>
      <c r="Y124" s="4">
        <f t="shared" si="28"/>
        <v>2084.2458161365216</v>
      </c>
      <c r="Z124" s="4">
        <f t="shared" si="29"/>
        <v>3421.1578213555863</v>
      </c>
      <c r="AE124" s="3"/>
      <c r="AF124" s="3"/>
      <c r="AG124" s="7"/>
      <c r="AH124" s="7"/>
      <c r="AI124" s="7"/>
      <c r="AJ124" s="7"/>
      <c r="AK124" s="7"/>
      <c r="AL124" s="3"/>
      <c r="AM124" s="9"/>
      <c r="AN124" s="7"/>
      <c r="AO124" s="7"/>
      <c r="AP124" s="7"/>
      <c r="AQ124" s="7"/>
      <c r="AR124" s="9"/>
      <c r="AS124" s="9"/>
      <c r="AT124" s="9"/>
      <c r="AU124" s="3"/>
      <c r="AV124" s="3"/>
      <c r="AW124" s="3"/>
      <c r="AX124" s="3"/>
      <c r="AY124" s="3"/>
      <c r="AZ124" s="3"/>
    </row>
    <row r="125" spans="1:52" x14ac:dyDescent="0.25">
      <c r="A125">
        <v>85</v>
      </c>
      <c r="B125" s="1" t="s">
        <v>123</v>
      </c>
      <c r="C125" s="1" t="s">
        <v>160</v>
      </c>
      <c r="D125" s="2">
        <v>41955</v>
      </c>
      <c r="E125" s="3">
        <v>38.800000000000004</v>
      </c>
      <c r="F125" s="4">
        <f t="shared" si="18"/>
        <v>5932.2651278179274</v>
      </c>
      <c r="G125" s="7">
        <v>12.07</v>
      </c>
      <c r="H125" s="7">
        <v>218.11</v>
      </c>
      <c r="I125" s="7">
        <f t="shared" si="19"/>
        <v>206.04000000000002</v>
      </c>
      <c r="J125" s="7">
        <v>196</v>
      </c>
      <c r="K125" s="5">
        <f t="shared" si="20"/>
        <v>4.872840225199</v>
      </c>
      <c r="L125" s="4">
        <f t="shared" si="21"/>
        <v>5643.1953264041622</v>
      </c>
      <c r="M125" s="2">
        <v>41957</v>
      </c>
      <c r="N125" s="7">
        <v>1.43</v>
      </c>
      <c r="O125" s="7">
        <f t="shared" si="22"/>
        <v>2.9926129208628014</v>
      </c>
      <c r="P125" s="7">
        <v>0.99999999999999989</v>
      </c>
      <c r="Q125" s="7">
        <v>1.6220000000000003</v>
      </c>
      <c r="R125" s="6">
        <f t="shared" si="23"/>
        <v>0.33415614596480775</v>
      </c>
      <c r="S125" s="6">
        <f t="shared" si="24"/>
        <v>0.54200126875491828</v>
      </c>
      <c r="T125" s="6">
        <f t="shared" si="25"/>
        <v>0.12384258528027403</v>
      </c>
      <c r="U125" s="4">
        <f t="shared" si="30"/>
        <v>1982.3028519530662</v>
      </c>
      <c r="V125" s="4">
        <f t="shared" si="31"/>
        <v>3215.2952258678743</v>
      </c>
      <c r="W125" s="4">
        <f t="shared" si="26"/>
        <v>5197.5980778209405</v>
      </c>
      <c r="X125" s="4">
        <f t="shared" si="27"/>
        <v>1885.7084011978302</v>
      </c>
      <c r="Y125" s="4">
        <f t="shared" si="28"/>
        <v>3058.619026742881</v>
      </c>
      <c r="Z125" s="4">
        <f t="shared" si="29"/>
        <v>4944.3274279407115</v>
      </c>
      <c r="AE125" s="3"/>
      <c r="AF125" s="3"/>
      <c r="AG125" s="7"/>
      <c r="AH125" s="7"/>
      <c r="AI125" s="7"/>
      <c r="AJ125" s="7"/>
      <c r="AK125" s="7"/>
      <c r="AL125" s="3"/>
      <c r="AM125" s="9"/>
      <c r="AN125" s="7"/>
      <c r="AO125" s="7"/>
      <c r="AP125" s="7"/>
      <c r="AQ125" s="7"/>
      <c r="AR125" s="9"/>
      <c r="AS125" s="9"/>
      <c r="AT125" s="9"/>
      <c r="AU125" s="3"/>
      <c r="AV125" s="3"/>
      <c r="AW125" s="3"/>
      <c r="AX125" s="3"/>
      <c r="AY125" s="3"/>
      <c r="AZ125" s="3"/>
    </row>
    <row r="126" spans="1:52" x14ac:dyDescent="0.25">
      <c r="A126">
        <v>86</v>
      </c>
      <c r="B126" s="1" t="s">
        <v>124</v>
      </c>
      <c r="C126" s="1" t="s">
        <v>160</v>
      </c>
      <c r="D126" s="2">
        <v>41955</v>
      </c>
      <c r="E126" s="3">
        <v>35</v>
      </c>
      <c r="F126" s="4">
        <f t="shared" si="18"/>
        <v>5351.2700895264798</v>
      </c>
      <c r="G126" s="7">
        <v>12.03</v>
      </c>
      <c r="H126" s="7">
        <v>254.16</v>
      </c>
      <c r="I126" s="7">
        <f t="shared" si="19"/>
        <v>242.13</v>
      </c>
      <c r="J126" s="7">
        <v>230.9</v>
      </c>
      <c r="K126" s="5">
        <f t="shared" si="20"/>
        <v>4.6380043778135667</v>
      </c>
      <c r="L126" s="4">
        <f t="shared" si="21"/>
        <v>5103.0779485056137</v>
      </c>
      <c r="M126" s="2">
        <v>41957</v>
      </c>
      <c r="N126" s="7">
        <v>1.51</v>
      </c>
      <c r="O126" s="7">
        <f t="shared" si="22"/>
        <v>3.1689828744775039</v>
      </c>
      <c r="P126" s="7">
        <v>1.0630000000000002</v>
      </c>
      <c r="Q126" s="7">
        <v>1.7479999999999998</v>
      </c>
      <c r="R126" s="6">
        <f t="shared" si="23"/>
        <v>0.33543885912455923</v>
      </c>
      <c r="S126" s="6">
        <f t="shared" si="24"/>
        <v>0.55159654350868237</v>
      </c>
      <c r="T126" s="6">
        <f t="shared" si="25"/>
        <v>0.11296459736675846</v>
      </c>
      <c r="U126" s="4">
        <f t="shared" si="30"/>
        <v>1795.0239336981404</v>
      </c>
      <c r="V126" s="4">
        <f t="shared" si="31"/>
        <v>2951.7420847642034</v>
      </c>
      <c r="W126" s="4">
        <f t="shared" si="26"/>
        <v>4746.7660184623437</v>
      </c>
      <c r="X126" s="4">
        <f t="shared" si="27"/>
        <v>1711.7706450704193</v>
      </c>
      <c r="Y126" s="4">
        <f t="shared" si="28"/>
        <v>2814.8401576510742</v>
      </c>
      <c r="Z126" s="4">
        <f t="shared" si="29"/>
        <v>4526.6108027214932</v>
      </c>
      <c r="AE126" s="3"/>
      <c r="AF126" s="3"/>
      <c r="AG126" s="7"/>
      <c r="AH126" s="7"/>
      <c r="AI126" s="7"/>
      <c r="AJ126" s="7"/>
      <c r="AK126" s="7"/>
      <c r="AL126" s="3"/>
      <c r="AM126" s="9"/>
      <c r="AN126" s="7"/>
      <c r="AO126" s="7"/>
      <c r="AP126" s="7"/>
      <c r="AQ126" s="7"/>
      <c r="AR126" s="9"/>
      <c r="AS126" s="9"/>
      <c r="AT126" s="9"/>
      <c r="AU126" s="3"/>
      <c r="AV126" s="3"/>
      <c r="AW126" s="3"/>
      <c r="AX126" s="3"/>
      <c r="AY126" s="3"/>
      <c r="AZ126" s="3"/>
    </row>
    <row r="127" spans="1:52" x14ac:dyDescent="0.25">
      <c r="A127">
        <v>87</v>
      </c>
      <c r="B127" s="1" t="s">
        <v>125</v>
      </c>
      <c r="C127" s="1" t="s">
        <v>160</v>
      </c>
      <c r="D127" s="2">
        <v>41955</v>
      </c>
      <c r="E127" s="3">
        <v>24.900000000000002</v>
      </c>
      <c r="F127" s="4">
        <f t="shared" si="18"/>
        <v>3807.0464351202677</v>
      </c>
      <c r="G127" s="7">
        <v>11.92</v>
      </c>
      <c r="H127" s="7">
        <v>237.7</v>
      </c>
      <c r="I127" s="7">
        <f t="shared" si="19"/>
        <v>225.78</v>
      </c>
      <c r="J127" s="7">
        <v>214.68</v>
      </c>
      <c r="K127" s="5">
        <f t="shared" si="20"/>
        <v>4.9162901939941506</v>
      </c>
      <c r="L127" s="4">
        <f t="shared" si="21"/>
        <v>3619.8809845496457</v>
      </c>
      <c r="M127" s="2">
        <v>41957</v>
      </c>
      <c r="N127" s="7"/>
      <c r="O127" s="7"/>
      <c r="P127" s="7"/>
      <c r="Q127" s="7"/>
      <c r="R127" s="6"/>
      <c r="S127" s="6"/>
      <c r="T127" s="6"/>
      <c r="U127" s="4"/>
      <c r="V127" s="4"/>
      <c r="W127" s="4"/>
      <c r="X127" s="4"/>
      <c r="Y127" s="4"/>
      <c r="Z127" s="4"/>
      <c r="AE127" s="3"/>
      <c r="AF127" s="3"/>
      <c r="AG127" s="7"/>
      <c r="AH127" s="7"/>
      <c r="AI127" s="7"/>
      <c r="AJ127" s="7"/>
      <c r="AK127" s="7"/>
      <c r="AL127" s="3"/>
      <c r="AM127" s="9"/>
      <c r="AN127" s="7"/>
      <c r="AO127" s="7"/>
      <c r="AP127" s="7"/>
      <c r="AQ127" s="7"/>
      <c r="AR127" s="9"/>
      <c r="AS127" s="9"/>
      <c r="AT127" s="9"/>
      <c r="AU127" s="3"/>
      <c r="AV127" s="3"/>
      <c r="AW127" s="3"/>
      <c r="AX127" s="3"/>
      <c r="AY127" s="3"/>
      <c r="AZ127" s="3"/>
    </row>
    <row r="128" spans="1:52" x14ac:dyDescent="0.25">
      <c r="A128">
        <v>88</v>
      </c>
      <c r="B128" s="1" t="s">
        <v>126</v>
      </c>
      <c r="C128" s="1" t="s">
        <v>160</v>
      </c>
      <c r="D128" s="2">
        <v>41955</v>
      </c>
      <c r="E128" s="3">
        <v>28.900000000000002</v>
      </c>
      <c r="F128" s="4">
        <f t="shared" si="18"/>
        <v>4418.6201596375795</v>
      </c>
      <c r="G128" s="7">
        <v>12.06</v>
      </c>
      <c r="H128" s="7">
        <v>200.03</v>
      </c>
      <c r="I128" s="7">
        <f t="shared" si="19"/>
        <v>187.97</v>
      </c>
      <c r="J128" s="7">
        <v>179.24</v>
      </c>
      <c r="K128" s="5">
        <f t="shared" si="20"/>
        <v>4.6443581422567375</v>
      </c>
      <c r="L128" s="4">
        <f t="shared" si="21"/>
        <v>4213.4036144780539</v>
      </c>
      <c r="M128" s="2">
        <v>41957</v>
      </c>
      <c r="N128" s="7">
        <v>1.47</v>
      </c>
      <c r="O128" s="7">
        <f t="shared" si="22"/>
        <v>3.0807978976701529</v>
      </c>
      <c r="P128" s="7">
        <v>1.0630000000000002</v>
      </c>
      <c r="Q128" s="7">
        <v>1.7479999999999998</v>
      </c>
      <c r="R128" s="6">
        <f t="shared" si="23"/>
        <v>0.34504048474062249</v>
      </c>
      <c r="S128" s="6">
        <f t="shared" si="24"/>
        <v>0.56738548196294247</v>
      </c>
      <c r="T128" s="6">
        <f t="shared" si="25"/>
        <v>8.7574033296434983E-2</v>
      </c>
      <c r="U128" s="4">
        <f t="shared" ref="U128:U161" si="32">F128*R128</f>
        <v>1524.602841766037</v>
      </c>
      <c r="V128" s="4">
        <f t="shared" ref="V128:V161" si="33">F128*S128</f>
        <v>2507.0609288871419</v>
      </c>
      <c r="W128" s="4">
        <f t="shared" si="26"/>
        <v>4031.6637706531792</v>
      </c>
      <c r="X128" s="4">
        <f t="shared" si="27"/>
        <v>1453.7948255473987</v>
      </c>
      <c r="Y128" s="4">
        <f t="shared" si="28"/>
        <v>2390.6240405050344</v>
      </c>
      <c r="Z128" s="4">
        <f t="shared" si="29"/>
        <v>3844.4188660524333</v>
      </c>
      <c r="AE128" s="3"/>
      <c r="AF128" s="3"/>
      <c r="AG128" s="7"/>
      <c r="AH128" s="7"/>
      <c r="AI128" s="7"/>
      <c r="AJ128" s="7"/>
      <c r="AK128" s="7"/>
      <c r="AL128" s="3"/>
      <c r="AM128" s="9"/>
      <c r="AN128" s="7"/>
      <c r="AO128" s="7"/>
      <c r="AP128" s="7"/>
      <c r="AQ128" s="7"/>
      <c r="AR128" s="9"/>
      <c r="AS128" s="9"/>
      <c r="AT128" s="9"/>
      <c r="AU128" s="3"/>
      <c r="AV128" s="3"/>
      <c r="AW128" s="3"/>
      <c r="AX128" s="3"/>
      <c r="AY128" s="3"/>
      <c r="AZ128" s="3"/>
    </row>
    <row r="129" spans="1:52" x14ac:dyDescent="0.25">
      <c r="A129">
        <v>89</v>
      </c>
      <c r="B129" s="1" t="s">
        <v>127</v>
      </c>
      <c r="C129" s="1" t="s">
        <v>160</v>
      </c>
      <c r="D129" s="2">
        <v>41955</v>
      </c>
      <c r="E129" s="3">
        <v>24.9</v>
      </c>
      <c r="F129" s="4">
        <f t="shared" si="18"/>
        <v>3807.0464351202672</v>
      </c>
      <c r="G129" s="7">
        <v>11.88</v>
      </c>
      <c r="H129" s="7">
        <v>234.63</v>
      </c>
      <c r="I129" s="7">
        <f t="shared" si="19"/>
        <v>222.75</v>
      </c>
      <c r="J129" s="7">
        <v>208.91</v>
      </c>
      <c r="K129" s="5">
        <f t="shared" si="20"/>
        <v>6.2132435465768809</v>
      </c>
      <c r="L129" s="4">
        <f t="shared" si="21"/>
        <v>3570.5053681749719</v>
      </c>
      <c r="M129" s="2">
        <v>41957</v>
      </c>
      <c r="N129" s="7">
        <v>1.41</v>
      </c>
      <c r="O129" s="7">
        <f t="shared" si="22"/>
        <v>2.9485204324591261</v>
      </c>
      <c r="P129" s="7">
        <v>0.99999999999999989</v>
      </c>
      <c r="Q129" s="7">
        <v>1.6220000000000003</v>
      </c>
      <c r="R129" s="6">
        <f t="shared" si="23"/>
        <v>0.33915315254097783</v>
      </c>
      <c r="S129" s="6">
        <f t="shared" si="24"/>
        <v>0.55010641342146616</v>
      </c>
      <c r="T129" s="6">
        <f t="shared" si="25"/>
        <v>0.11074043403755596</v>
      </c>
      <c r="U129" s="4">
        <f t="shared" si="32"/>
        <v>1291.1718003409298</v>
      </c>
      <c r="V129" s="4">
        <f t="shared" si="33"/>
        <v>2094.2806601529887</v>
      </c>
      <c r="W129" s="4">
        <f t="shared" si="26"/>
        <v>3385.4524604939188</v>
      </c>
      <c r="X129" s="4">
        <f t="shared" si="27"/>
        <v>1210.9481517810264</v>
      </c>
      <c r="Y129" s="4">
        <f t="shared" si="28"/>
        <v>1964.1579021888253</v>
      </c>
      <c r="Z129" s="4">
        <f t="shared" si="29"/>
        <v>3175.1060539698519</v>
      </c>
      <c r="AB129" t="s">
        <v>169</v>
      </c>
      <c r="AC129" t="str">
        <f>C129</f>
        <v>Machine</v>
      </c>
      <c r="AD129" s="8">
        <f>D129</f>
        <v>41955</v>
      </c>
      <c r="AE129" s="3">
        <f>SUM(E129:E139)</f>
        <v>323.79999999999995</v>
      </c>
      <c r="AF129" s="3">
        <f>AE129*$A$29/($A$30*11)*$A$32</f>
        <v>4500.6266363342183</v>
      </c>
      <c r="AG129" s="7">
        <f>SUM(G129:G139)</f>
        <v>131.85</v>
      </c>
      <c r="AH129" s="7">
        <f>SUM(H129:H139)</f>
        <v>2402.79</v>
      </c>
      <c r="AI129" s="7">
        <f>AH129-AG129</f>
        <v>2270.94</v>
      </c>
      <c r="AJ129" s="7">
        <f>SUM(J129:J139)</f>
        <v>2158.6799999999998</v>
      </c>
      <c r="AK129" s="7">
        <f>(AI129-AJ129)/AI129*100</f>
        <v>4.9433274326930796</v>
      </c>
      <c r="AL129" s="3">
        <f>AF129*(1-AK129/100)</f>
        <v>4278.1459251772176</v>
      </c>
      <c r="AM129" s="11">
        <f>M129</f>
        <v>41957</v>
      </c>
      <c r="AN129" s="7">
        <f>SUM(N129:N139)</f>
        <v>16.219024560000001</v>
      </c>
      <c r="AO129" s="7">
        <f>AN129/$A$29-$A$33*11</f>
        <v>33.996857616536452</v>
      </c>
      <c r="AP129" s="7">
        <f>SUM(P129:P139)</f>
        <v>11.945000000000002</v>
      </c>
      <c r="AQ129" s="7">
        <f>SUM(Q129:Q139)</f>
        <v>18.535</v>
      </c>
      <c r="AR129" s="9">
        <f>AP129/AO129</f>
        <v>0.3513560028027361</v>
      </c>
      <c r="AS129" s="9">
        <f>AQ129/AO129</f>
        <v>0.5451974476307001</v>
      </c>
      <c r="AT129" s="9">
        <f>1-AR129-AS129</f>
        <v>0.10344654956656385</v>
      </c>
      <c r="AU129" s="3">
        <f>AF129*AR129</f>
        <v>1581.3221850499144</v>
      </c>
      <c r="AV129" s="3">
        <f>AF129*AS129</f>
        <v>2453.7301548681589</v>
      </c>
      <c r="AW129" s="3">
        <f>AU129+AV129</f>
        <v>4035.0523399180734</v>
      </c>
      <c r="AX129" s="3">
        <f>AL129*AR129</f>
        <v>1503.1522516770806</v>
      </c>
      <c r="AY129" s="3">
        <f>AL129*AS129</f>
        <v>2332.434238998299</v>
      </c>
      <c r="AZ129" s="3">
        <f>AX129+AY129</f>
        <v>3835.5864906753795</v>
      </c>
    </row>
    <row r="130" spans="1:52" x14ac:dyDescent="0.25">
      <c r="A130">
        <v>90</v>
      </c>
      <c r="B130" s="1" t="s">
        <v>128</v>
      </c>
      <c r="C130" s="1" t="s">
        <v>160</v>
      </c>
      <c r="D130" s="2">
        <v>41955</v>
      </c>
      <c r="E130" s="3">
        <v>25.6</v>
      </c>
      <c r="F130" s="4">
        <f t="shared" si="18"/>
        <v>3914.0718369107976</v>
      </c>
      <c r="G130" s="7">
        <v>12.03</v>
      </c>
      <c r="H130" s="7">
        <v>186.92</v>
      </c>
      <c r="I130" s="7">
        <f t="shared" si="19"/>
        <v>174.89</v>
      </c>
      <c r="J130" s="7">
        <v>166.52</v>
      </c>
      <c r="K130" s="5">
        <f t="shared" si="20"/>
        <v>4.7858654011092554</v>
      </c>
      <c r="L130" s="4">
        <f t="shared" si="21"/>
        <v>3726.7496270935221</v>
      </c>
      <c r="M130" s="2">
        <v>41957</v>
      </c>
      <c r="N130" s="7">
        <v>1.49</v>
      </c>
      <c r="O130" s="7">
        <f t="shared" si="22"/>
        <v>3.1248903860738282</v>
      </c>
      <c r="P130" s="7">
        <v>1.1259999999999999</v>
      </c>
      <c r="Q130" s="7">
        <v>1.6850000000000001</v>
      </c>
      <c r="R130" s="6">
        <f t="shared" si="23"/>
        <v>0.36033263919209907</v>
      </c>
      <c r="S130" s="6">
        <f t="shared" si="24"/>
        <v>0.53921891388870957</v>
      </c>
      <c r="T130" s="6">
        <f t="shared" si="25"/>
        <v>0.1004484469191913</v>
      </c>
      <c r="U130" s="4">
        <f t="shared" si="32"/>
        <v>1410.3678349815348</v>
      </c>
      <c r="V130" s="4">
        <f t="shared" si="33"/>
        <v>2110.5415647814266</v>
      </c>
      <c r="W130" s="4">
        <f t="shared" si="26"/>
        <v>3520.9093997629616</v>
      </c>
      <c r="X130" s="4">
        <f t="shared" si="27"/>
        <v>1342.8695287387798</v>
      </c>
      <c r="Y130" s="4">
        <f t="shared" si="28"/>
        <v>2009.5338862565225</v>
      </c>
      <c r="Z130" s="4">
        <f t="shared" si="29"/>
        <v>3352.4034149953022</v>
      </c>
      <c r="AE130" s="3"/>
      <c r="AF130" s="3"/>
      <c r="AG130" s="7"/>
      <c r="AH130" s="7"/>
      <c r="AI130" s="7"/>
      <c r="AJ130" s="7"/>
      <c r="AK130" s="7"/>
      <c r="AL130" s="3"/>
      <c r="AM130" s="9"/>
      <c r="AN130" s="7"/>
      <c r="AO130" s="7"/>
      <c r="AP130" s="7"/>
      <c r="AQ130" s="7"/>
      <c r="AR130" s="9"/>
      <c r="AS130" s="9"/>
      <c r="AT130" s="9"/>
      <c r="AU130" s="3"/>
      <c r="AV130" s="3"/>
      <c r="AW130" s="3"/>
      <c r="AX130" s="3"/>
      <c r="AY130" s="3"/>
      <c r="AZ130" s="3"/>
    </row>
    <row r="131" spans="1:52" x14ac:dyDescent="0.25">
      <c r="A131">
        <v>91</v>
      </c>
      <c r="B131" s="1" t="s">
        <v>129</v>
      </c>
      <c r="C131" s="1" t="s">
        <v>160</v>
      </c>
      <c r="D131" s="2">
        <v>41955</v>
      </c>
      <c r="E131" s="3">
        <v>34.799999999999997</v>
      </c>
      <c r="F131" s="4">
        <f t="shared" si="18"/>
        <v>5320.6914033006151</v>
      </c>
      <c r="G131" s="7">
        <v>12.05</v>
      </c>
      <c r="H131" s="7">
        <v>250.14</v>
      </c>
      <c r="I131" s="7">
        <f t="shared" si="19"/>
        <v>238.08999999999997</v>
      </c>
      <c r="J131" s="7">
        <v>226.19</v>
      </c>
      <c r="K131" s="5">
        <f t="shared" si="20"/>
        <v>4.998109958419076</v>
      </c>
      <c r="L131" s="4">
        <f t="shared" si="21"/>
        <v>5054.7573964154999</v>
      </c>
      <c r="M131" s="2">
        <v>41957</v>
      </c>
      <c r="N131" s="7">
        <v>1.52</v>
      </c>
      <c r="O131" s="7">
        <f t="shared" si="22"/>
        <v>3.1910291186793418</v>
      </c>
      <c r="P131" s="7">
        <v>1.1259999999999999</v>
      </c>
      <c r="Q131" s="7">
        <v>1.8109999999999995</v>
      </c>
      <c r="R131" s="6">
        <f t="shared" si="23"/>
        <v>0.35286421969913356</v>
      </c>
      <c r="S131" s="6">
        <f t="shared" si="24"/>
        <v>0.5675285096581979</v>
      </c>
      <c r="T131" s="6">
        <f t="shared" si="25"/>
        <v>7.9607270642668482E-2</v>
      </c>
      <c r="U131" s="4">
        <f t="shared" si="32"/>
        <v>1877.4816202855595</v>
      </c>
      <c r="V131" s="4">
        <f t="shared" si="33"/>
        <v>3019.6440624663837</v>
      </c>
      <c r="W131" s="4">
        <f t="shared" si="26"/>
        <v>4897.1256827519428</v>
      </c>
      <c r="X131" s="4">
        <f t="shared" si="27"/>
        <v>1783.6430244545793</v>
      </c>
      <c r="Y131" s="4">
        <f t="shared" si="28"/>
        <v>2868.7189318714413</v>
      </c>
      <c r="Z131" s="4">
        <f t="shared" si="29"/>
        <v>4652.3619563260208</v>
      </c>
      <c r="AE131" s="3"/>
      <c r="AF131" s="3"/>
      <c r="AG131" s="7"/>
      <c r="AH131" s="7"/>
      <c r="AI131" s="7"/>
      <c r="AJ131" s="7"/>
      <c r="AK131" s="7"/>
      <c r="AL131" s="3"/>
      <c r="AM131" s="9"/>
      <c r="AN131" s="7"/>
      <c r="AO131" s="7"/>
      <c r="AP131" s="7"/>
      <c r="AQ131" s="7"/>
      <c r="AR131" s="9"/>
      <c r="AS131" s="9"/>
      <c r="AT131" s="9"/>
      <c r="AU131" s="3"/>
      <c r="AV131" s="3"/>
      <c r="AW131" s="3"/>
      <c r="AX131" s="3"/>
      <c r="AY131" s="3"/>
      <c r="AZ131" s="3"/>
    </row>
    <row r="132" spans="1:52" x14ac:dyDescent="0.25">
      <c r="A132">
        <v>92</v>
      </c>
      <c r="B132" s="1" t="s">
        <v>130</v>
      </c>
      <c r="C132" s="1" t="s">
        <v>160</v>
      </c>
      <c r="D132" s="2">
        <v>41955</v>
      </c>
      <c r="E132" s="3">
        <v>39.5</v>
      </c>
      <c r="F132" s="4">
        <f t="shared" si="18"/>
        <v>6039.2905296084564</v>
      </c>
      <c r="G132" s="7">
        <v>12.03</v>
      </c>
      <c r="H132" s="7">
        <v>225.73</v>
      </c>
      <c r="I132" s="7">
        <f t="shared" si="19"/>
        <v>213.7</v>
      </c>
      <c r="J132" s="7">
        <v>203.97</v>
      </c>
      <c r="K132" s="5">
        <f t="shared" si="20"/>
        <v>4.5531118390266681</v>
      </c>
      <c r="L132" s="4">
        <f t="shared" si="21"/>
        <v>5764.314877511637</v>
      </c>
      <c r="M132" s="2">
        <v>41957</v>
      </c>
      <c r="N132" s="7">
        <v>1.61</v>
      </c>
      <c r="O132" s="7">
        <f t="shared" si="22"/>
        <v>3.3894453164958818</v>
      </c>
      <c r="P132" s="7">
        <v>1.1259999999999999</v>
      </c>
      <c r="Q132" s="7">
        <v>1.8109999999999995</v>
      </c>
      <c r="R132" s="6">
        <f t="shared" si="23"/>
        <v>0.3322077493092867</v>
      </c>
      <c r="S132" s="6">
        <f t="shared" si="24"/>
        <v>0.53430571403118843</v>
      </c>
      <c r="T132" s="6">
        <f t="shared" si="25"/>
        <v>0.13348653665952481</v>
      </c>
      <c r="U132" s="4">
        <f t="shared" si="32"/>
        <v>2006.2991142661153</v>
      </c>
      <c r="V132" s="4">
        <f t="shared" si="33"/>
        <v>3226.8274386642406</v>
      </c>
      <c r="W132" s="4">
        <f t="shared" si="26"/>
        <v>5233.1265529303564</v>
      </c>
      <c r="X132" s="4">
        <f t="shared" si="27"/>
        <v>1914.9500717681776</v>
      </c>
      <c r="Y132" s="4">
        <f t="shared" si="28"/>
        <v>3079.9063765294577</v>
      </c>
      <c r="Z132" s="4">
        <f t="shared" si="29"/>
        <v>4994.8564482976353</v>
      </c>
      <c r="AE132" s="3"/>
      <c r="AF132" s="3"/>
      <c r="AG132" s="7"/>
      <c r="AH132" s="7"/>
      <c r="AI132" s="7"/>
      <c r="AJ132" s="7"/>
      <c r="AK132" s="7"/>
      <c r="AL132" s="3"/>
      <c r="AM132" s="9"/>
      <c r="AN132" s="7"/>
      <c r="AO132" s="7"/>
      <c r="AP132" s="7"/>
      <c r="AQ132" s="7"/>
      <c r="AR132" s="9"/>
      <c r="AS132" s="9"/>
      <c r="AT132" s="9"/>
      <c r="AU132" s="3"/>
      <c r="AV132" s="3"/>
      <c r="AW132" s="3"/>
      <c r="AX132" s="3"/>
      <c r="AY132" s="3"/>
      <c r="AZ132" s="3"/>
    </row>
    <row r="133" spans="1:52" x14ac:dyDescent="0.25">
      <c r="A133">
        <v>93</v>
      </c>
      <c r="B133" s="1" t="s">
        <v>131</v>
      </c>
      <c r="C133" s="1" t="s">
        <v>160</v>
      </c>
      <c r="D133" s="2">
        <v>41955</v>
      </c>
      <c r="E133" s="3">
        <v>31.2</v>
      </c>
      <c r="F133" s="4">
        <f t="shared" si="18"/>
        <v>4770.2750512350331</v>
      </c>
      <c r="G133" s="7">
        <v>11.88</v>
      </c>
      <c r="H133" s="7">
        <v>214.83</v>
      </c>
      <c r="I133" s="7">
        <f t="shared" si="19"/>
        <v>202.95000000000002</v>
      </c>
      <c r="J133" s="7">
        <v>194.45</v>
      </c>
      <c r="K133" s="5">
        <f t="shared" si="20"/>
        <v>4.1882237004188365</v>
      </c>
      <c r="L133" s="4">
        <f t="shared" si="21"/>
        <v>4570.4852609640402</v>
      </c>
      <c r="M133" s="2">
        <v>41957</v>
      </c>
      <c r="N133" s="7">
        <v>1.46</v>
      </c>
      <c r="O133" s="7">
        <f t="shared" si="22"/>
        <v>3.058751653468315</v>
      </c>
      <c r="P133" s="7">
        <v>1.0630000000000002</v>
      </c>
      <c r="Q133" s="7">
        <v>1.6850000000000001</v>
      </c>
      <c r="R133" s="6">
        <f t="shared" si="23"/>
        <v>0.34752739693484619</v>
      </c>
      <c r="S133" s="6">
        <f t="shared" si="24"/>
        <v>0.55087832910180223</v>
      </c>
      <c r="T133" s="6">
        <f t="shared" si="25"/>
        <v>0.10159427396335152</v>
      </c>
      <c r="U133" s="4">
        <f t="shared" si="32"/>
        <v>1657.8012712189511</v>
      </c>
      <c r="V133" s="4">
        <f t="shared" si="33"/>
        <v>2627.8411495803689</v>
      </c>
      <c r="W133" s="4">
        <f t="shared" si="26"/>
        <v>4285.6424207993205</v>
      </c>
      <c r="X133" s="4">
        <f t="shared" si="27"/>
        <v>1588.368845471914</v>
      </c>
      <c r="Y133" s="4">
        <f t="shared" si="28"/>
        <v>2517.7812837442848</v>
      </c>
      <c r="Z133" s="4">
        <f t="shared" si="29"/>
        <v>4106.1501292161993</v>
      </c>
      <c r="AE133" s="3"/>
      <c r="AF133" s="3"/>
      <c r="AG133" s="7"/>
      <c r="AH133" s="7"/>
      <c r="AI133" s="7"/>
      <c r="AJ133" s="7"/>
      <c r="AK133" s="7"/>
      <c r="AL133" s="3"/>
      <c r="AM133" s="9"/>
      <c r="AN133" s="7"/>
      <c r="AO133" s="7"/>
      <c r="AP133" s="7"/>
      <c r="AQ133" s="7"/>
      <c r="AR133" s="9"/>
      <c r="AS133" s="9"/>
      <c r="AT133" s="9"/>
      <c r="AU133" s="3"/>
      <c r="AV133" s="3"/>
      <c r="AW133" s="3"/>
      <c r="AX133" s="3"/>
      <c r="AY133" s="3"/>
      <c r="AZ133" s="3"/>
    </row>
    <row r="134" spans="1:52" x14ac:dyDescent="0.25">
      <c r="A134">
        <v>94</v>
      </c>
      <c r="B134" s="1" t="s">
        <v>132</v>
      </c>
      <c r="C134" s="1" t="s">
        <v>160</v>
      </c>
      <c r="D134" s="2">
        <v>41955</v>
      </c>
      <c r="E134" s="3">
        <v>22.7</v>
      </c>
      <c r="F134" s="4">
        <f t="shared" si="18"/>
        <v>3470.6808866357451</v>
      </c>
      <c r="G134" s="7">
        <v>12.09</v>
      </c>
      <c r="H134" s="7">
        <v>214.2</v>
      </c>
      <c r="I134" s="7">
        <f t="shared" si="19"/>
        <v>202.10999999999999</v>
      </c>
      <c r="J134" s="7">
        <v>192.38</v>
      </c>
      <c r="K134" s="5">
        <f t="shared" si="20"/>
        <v>4.8142100836178274</v>
      </c>
      <c r="L134" s="4">
        <f t="shared" si="21"/>
        <v>3303.5950174211303</v>
      </c>
      <c r="M134" s="2">
        <v>41957</v>
      </c>
      <c r="N134" s="7">
        <v>1.41</v>
      </c>
      <c r="O134" s="7">
        <f t="shared" si="22"/>
        <v>2.9485204324591261</v>
      </c>
      <c r="P134" s="7">
        <v>1.1259999999999999</v>
      </c>
      <c r="Q134" s="7">
        <v>1.6850000000000001</v>
      </c>
      <c r="R134" s="6">
        <f t="shared" si="23"/>
        <v>0.38188644976114106</v>
      </c>
      <c r="S134" s="6">
        <f t="shared" si="24"/>
        <v>0.57147306203154769</v>
      </c>
      <c r="T134" s="6">
        <f t="shared" si="25"/>
        <v>4.6640488207311259E-2</v>
      </c>
      <c r="U134" s="4">
        <f t="shared" si="32"/>
        <v>1325.406002051174</v>
      </c>
      <c r="V134" s="4">
        <f t="shared" si="33"/>
        <v>1983.400633620096</v>
      </c>
      <c r="W134" s="4">
        <f t="shared" si="26"/>
        <v>3308.8066356712698</v>
      </c>
      <c r="X134" s="4">
        <f t="shared" si="27"/>
        <v>1261.5981726515504</v>
      </c>
      <c r="Y134" s="4">
        <f t="shared" si="28"/>
        <v>1887.9155603178174</v>
      </c>
      <c r="Z134" s="4">
        <f t="shared" si="29"/>
        <v>3149.513732969368</v>
      </c>
      <c r="AE134" s="3"/>
      <c r="AF134" s="3"/>
      <c r="AG134" s="7"/>
      <c r="AH134" s="7"/>
      <c r="AI134" s="7"/>
      <c r="AJ134" s="7"/>
      <c r="AK134" s="7"/>
      <c r="AL134" s="3"/>
      <c r="AM134" s="9"/>
      <c r="AN134" s="7"/>
      <c r="AO134" s="7"/>
      <c r="AP134" s="7"/>
      <c r="AQ134" s="7"/>
      <c r="AR134" s="9"/>
      <c r="AS134" s="9"/>
      <c r="AT134" s="9"/>
      <c r="AU134" s="3"/>
      <c r="AV134" s="3"/>
      <c r="AW134" s="3"/>
      <c r="AX134" s="3"/>
      <c r="AY134" s="3"/>
      <c r="AZ134" s="3"/>
    </row>
    <row r="135" spans="1:52" x14ac:dyDescent="0.25">
      <c r="A135">
        <v>95</v>
      </c>
      <c r="B135" s="1" t="s">
        <v>133</v>
      </c>
      <c r="C135" s="1" t="s">
        <v>160</v>
      </c>
      <c r="D135" s="2">
        <v>41955</v>
      </c>
      <c r="E135" s="3">
        <v>32.299999999999997</v>
      </c>
      <c r="F135" s="4">
        <f t="shared" si="18"/>
        <v>4938.4578254772941</v>
      </c>
      <c r="G135" s="7">
        <v>11.84</v>
      </c>
      <c r="H135" s="7">
        <v>235.71</v>
      </c>
      <c r="I135" s="7">
        <f t="shared" si="19"/>
        <v>223.87</v>
      </c>
      <c r="J135" s="7">
        <v>212.99</v>
      </c>
      <c r="K135" s="5">
        <f t="shared" si="20"/>
        <v>4.8599633715995871</v>
      </c>
      <c r="L135" s="4">
        <f t="shared" si="21"/>
        <v>4698.450584037204</v>
      </c>
      <c r="M135" s="2">
        <v>41957</v>
      </c>
      <c r="N135" s="7">
        <v>1.67</v>
      </c>
      <c r="O135" s="7">
        <f t="shared" si="22"/>
        <v>3.5217227817069081</v>
      </c>
      <c r="P135" s="7">
        <v>1.2520000000000002</v>
      </c>
      <c r="Q135" s="7">
        <v>1.9369999999999998</v>
      </c>
      <c r="R135" s="6">
        <f t="shared" si="23"/>
        <v>0.35550782318907598</v>
      </c>
      <c r="S135" s="6">
        <f t="shared" si="24"/>
        <v>0.55001489897543121</v>
      </c>
      <c r="T135" s="6">
        <f t="shared" si="25"/>
        <v>9.4477277835492757E-2</v>
      </c>
      <c r="U135" s="4">
        <f t="shared" si="32"/>
        <v>1755.6603914464906</v>
      </c>
      <c r="V135" s="4">
        <f t="shared" si="33"/>
        <v>2716.2253819743214</v>
      </c>
      <c r="W135" s="4">
        <f t="shared" si="26"/>
        <v>4471.8857734208123</v>
      </c>
      <c r="X135" s="4">
        <f t="shared" si="27"/>
        <v>1670.3359394925092</v>
      </c>
      <c r="Y135" s="4">
        <f t="shared" si="28"/>
        <v>2584.2178233202785</v>
      </c>
      <c r="Z135" s="4">
        <f t="shared" si="29"/>
        <v>4254.5537628127877</v>
      </c>
      <c r="AE135" s="3"/>
      <c r="AF135" s="3"/>
      <c r="AG135" s="7"/>
      <c r="AH135" s="7"/>
      <c r="AI135" s="7"/>
      <c r="AJ135" s="7"/>
      <c r="AK135" s="7"/>
      <c r="AL135" s="3"/>
      <c r="AM135" s="9"/>
      <c r="AN135" s="7"/>
      <c r="AO135" s="7"/>
      <c r="AP135" s="7"/>
      <c r="AQ135" s="7"/>
      <c r="AR135" s="9"/>
      <c r="AS135" s="9"/>
      <c r="AT135" s="9"/>
      <c r="AU135" s="3"/>
      <c r="AV135" s="3"/>
      <c r="AW135" s="3"/>
      <c r="AX135" s="3"/>
      <c r="AY135" s="3"/>
      <c r="AZ135" s="3"/>
    </row>
    <row r="136" spans="1:52" x14ac:dyDescent="0.25">
      <c r="A136">
        <v>96</v>
      </c>
      <c r="B136" s="1" t="s">
        <v>134</v>
      </c>
      <c r="C136" s="1" t="s">
        <v>160</v>
      </c>
      <c r="D136" s="2">
        <v>41955</v>
      </c>
      <c r="E136" s="3">
        <v>36.4</v>
      </c>
      <c r="F136" s="4">
        <f t="shared" si="18"/>
        <v>5565.3208931075396</v>
      </c>
      <c r="G136" s="7">
        <v>12.11</v>
      </c>
      <c r="H136" s="7">
        <v>231.21</v>
      </c>
      <c r="I136" s="7">
        <f t="shared" si="19"/>
        <v>219.10000000000002</v>
      </c>
      <c r="J136" s="7">
        <v>207.59</v>
      </c>
      <c r="K136" s="5">
        <f t="shared" si="20"/>
        <v>5.2533089913281694</v>
      </c>
      <c r="L136" s="4">
        <f t="shared" si="21"/>
        <v>5272.957390233656</v>
      </c>
      <c r="M136" s="2">
        <v>41957</v>
      </c>
      <c r="N136" s="7">
        <v>1.23</v>
      </c>
      <c r="O136" s="7">
        <f t="shared" si="22"/>
        <v>2.5516880368260462</v>
      </c>
      <c r="P136" s="7">
        <v>0.874</v>
      </c>
      <c r="Q136" s="7">
        <v>1.3699999999999997</v>
      </c>
      <c r="R136" s="6">
        <f t="shared" si="23"/>
        <v>0.34251835937089609</v>
      </c>
      <c r="S136" s="6">
        <f t="shared" si="24"/>
        <v>0.53689948780106123</v>
      </c>
      <c r="T136" s="6">
        <f t="shared" si="25"/>
        <v>0.12058215282804274</v>
      </c>
      <c r="U136" s="4">
        <f t="shared" si="32"/>
        <v>1906.2245816797647</v>
      </c>
      <c r="V136" s="4">
        <f t="shared" si="33"/>
        <v>2988.0179369579828</v>
      </c>
      <c r="W136" s="4">
        <f t="shared" si="26"/>
        <v>4894.2425186377477</v>
      </c>
      <c r="X136" s="4">
        <f t="shared" si="27"/>
        <v>1806.0847143354738</v>
      </c>
      <c r="Y136" s="4">
        <f t="shared" si="28"/>
        <v>2831.0481220132706</v>
      </c>
      <c r="Z136" s="4">
        <f t="shared" si="29"/>
        <v>4637.1328363487446</v>
      </c>
      <c r="AE136" s="3"/>
      <c r="AF136" s="3"/>
      <c r="AG136" s="7"/>
      <c r="AH136" s="7"/>
      <c r="AI136" s="7"/>
      <c r="AJ136" s="7"/>
      <c r="AK136" s="7"/>
      <c r="AL136" s="3"/>
      <c r="AM136" s="9"/>
      <c r="AN136" s="7"/>
      <c r="AO136" s="7"/>
      <c r="AP136" s="7"/>
      <c r="AQ136" s="7"/>
      <c r="AR136" s="9"/>
      <c r="AS136" s="9"/>
      <c r="AT136" s="9"/>
      <c r="AU136" s="3"/>
      <c r="AV136" s="3"/>
      <c r="AW136" s="3"/>
      <c r="AX136" s="3"/>
      <c r="AY136" s="3"/>
      <c r="AZ136" s="3"/>
    </row>
    <row r="137" spans="1:52" x14ac:dyDescent="0.25">
      <c r="A137">
        <v>97</v>
      </c>
      <c r="B137" s="1" t="s">
        <v>135</v>
      </c>
      <c r="C137" s="1" t="s">
        <v>160</v>
      </c>
      <c r="D137" s="2">
        <v>41955</v>
      </c>
      <c r="E137" s="3">
        <v>27.8</v>
      </c>
      <c r="F137" s="4">
        <f t="shared" si="18"/>
        <v>4250.4373853953184</v>
      </c>
      <c r="G137" s="7">
        <v>11.96</v>
      </c>
      <c r="H137" s="7">
        <v>207.9</v>
      </c>
      <c r="I137" s="7">
        <f t="shared" si="19"/>
        <v>195.94</v>
      </c>
      <c r="J137" s="7">
        <v>185.76</v>
      </c>
      <c r="K137" s="5">
        <f t="shared" si="20"/>
        <v>5.195468000408292</v>
      </c>
      <c r="L137" s="4">
        <f t="shared" si="21"/>
        <v>4029.6072711597139</v>
      </c>
      <c r="M137" s="2">
        <v>41957</v>
      </c>
      <c r="N137" s="7">
        <v>1.63</v>
      </c>
      <c r="O137" s="7">
        <f t="shared" si="22"/>
        <v>3.4335378048995571</v>
      </c>
      <c r="P137" s="7">
        <v>1.1890000000000001</v>
      </c>
      <c r="Q137" s="7">
        <v>1.8109999999999995</v>
      </c>
      <c r="R137" s="6">
        <f t="shared" si="23"/>
        <v>0.34629005636790489</v>
      </c>
      <c r="S137" s="6">
        <f t="shared" si="24"/>
        <v>0.52744431630132516</v>
      </c>
      <c r="T137" s="6">
        <f t="shared" si="25"/>
        <v>0.12626562733076996</v>
      </c>
      <c r="U137" s="4">
        <f t="shared" si="32"/>
        <v>1471.8842017767952</v>
      </c>
      <c r="V137" s="4">
        <f t="shared" si="33"/>
        <v>2241.8690407214258</v>
      </c>
      <c r="W137" s="4">
        <f t="shared" si="26"/>
        <v>3713.753242498221</v>
      </c>
      <c r="X137" s="4">
        <f t="shared" si="27"/>
        <v>1395.4129290704168</v>
      </c>
      <c r="Y137" s="4">
        <f t="shared" si="28"/>
        <v>2125.3934520996841</v>
      </c>
      <c r="Z137" s="4">
        <f t="shared" si="29"/>
        <v>3520.8063811701008</v>
      </c>
      <c r="AE137" s="3"/>
      <c r="AF137" s="3"/>
      <c r="AG137" s="7"/>
      <c r="AH137" s="7"/>
      <c r="AI137" s="7"/>
      <c r="AJ137" s="7"/>
      <c r="AK137" s="7"/>
      <c r="AL137" s="3"/>
      <c r="AM137" s="9"/>
      <c r="AN137" s="7"/>
      <c r="AO137" s="7"/>
      <c r="AP137" s="7"/>
      <c r="AQ137" s="7"/>
      <c r="AR137" s="9"/>
      <c r="AS137" s="9"/>
      <c r="AT137" s="9"/>
      <c r="AU137" s="3"/>
      <c r="AV137" s="3"/>
      <c r="AW137" s="3"/>
      <c r="AX137" s="3"/>
      <c r="AY137" s="3"/>
      <c r="AZ137" s="3"/>
    </row>
    <row r="138" spans="1:52" x14ac:dyDescent="0.25">
      <c r="A138">
        <v>98</v>
      </c>
      <c r="B138" s="1" t="s">
        <v>136</v>
      </c>
      <c r="C138" s="1" t="s">
        <v>160</v>
      </c>
      <c r="D138" s="2">
        <v>41955</v>
      </c>
      <c r="E138" s="3">
        <v>24.900000000000002</v>
      </c>
      <c r="F138" s="4">
        <f t="shared" si="18"/>
        <v>3807.0464351202677</v>
      </c>
      <c r="G138" s="7">
        <v>12.02</v>
      </c>
      <c r="H138" s="7">
        <v>209.84</v>
      </c>
      <c r="I138" s="7">
        <f t="shared" si="19"/>
        <v>197.82</v>
      </c>
      <c r="J138" s="7">
        <v>188.71</v>
      </c>
      <c r="K138" s="5">
        <f t="shared" si="20"/>
        <v>4.6051966434131968</v>
      </c>
      <c r="L138" s="4">
        <f t="shared" si="21"/>
        <v>3631.7244604769271</v>
      </c>
      <c r="M138" s="2">
        <v>41957</v>
      </c>
      <c r="N138" s="7">
        <v>1.46</v>
      </c>
      <c r="O138" s="7">
        <f>N138/$A$29-$A$33</f>
        <v>3.058751653468315</v>
      </c>
      <c r="P138" s="7">
        <v>1.0630000000000002</v>
      </c>
      <c r="Q138" s="7">
        <v>1.6220000000000003</v>
      </c>
      <c r="R138" s="6">
        <f t="shared" si="23"/>
        <v>0.34752739693484619</v>
      </c>
      <c r="S138" s="6">
        <f t="shared" si="24"/>
        <v>0.53028169127781799</v>
      </c>
      <c r="T138" s="6">
        <f t="shared" si="25"/>
        <v>0.12219091178733577</v>
      </c>
      <c r="U138" s="4">
        <f t="shared" si="32"/>
        <v>1323.0529376074323</v>
      </c>
      <c r="V138" s="4">
        <f t="shared" si="33"/>
        <v>2018.8070223887632</v>
      </c>
      <c r="W138" s="4">
        <f t="shared" si="26"/>
        <v>3341.8599599961954</v>
      </c>
      <c r="X138" s="4">
        <f t="shared" si="27"/>
        <v>1262.1237481341552</v>
      </c>
      <c r="Y138" s="4">
        <f t="shared" si="28"/>
        <v>1925.8369891567261</v>
      </c>
      <c r="Z138" s="4">
        <f t="shared" si="29"/>
        <v>3187.9607372908813</v>
      </c>
      <c r="AE138" s="3"/>
      <c r="AF138" s="3"/>
      <c r="AG138" s="7"/>
      <c r="AH138" s="7"/>
      <c r="AI138" s="7"/>
      <c r="AJ138" s="7"/>
      <c r="AK138" s="7"/>
      <c r="AL138" s="3"/>
      <c r="AM138" s="9"/>
      <c r="AN138" s="7"/>
      <c r="AO138" s="7"/>
      <c r="AP138" s="7"/>
      <c r="AQ138" s="7"/>
      <c r="AR138" s="9"/>
      <c r="AS138" s="9"/>
      <c r="AT138" s="9"/>
      <c r="AU138" s="3"/>
      <c r="AV138" s="3"/>
      <c r="AW138" s="3"/>
      <c r="AX138" s="3"/>
      <c r="AY138" s="3"/>
      <c r="AZ138" s="3"/>
    </row>
    <row r="139" spans="1:52" x14ac:dyDescent="0.25">
      <c r="A139">
        <v>99</v>
      </c>
      <c r="B139" s="1" t="s">
        <v>137</v>
      </c>
      <c r="C139" s="1" t="s">
        <v>160</v>
      </c>
      <c r="D139" s="2">
        <v>41955</v>
      </c>
      <c r="E139" s="3">
        <v>23.7</v>
      </c>
      <c r="F139" s="4">
        <f t="shared" si="18"/>
        <v>3623.5743177650738</v>
      </c>
      <c r="G139" s="7">
        <v>11.96</v>
      </c>
      <c r="H139" s="7">
        <v>191.68</v>
      </c>
      <c r="I139" s="7">
        <f t="shared" si="19"/>
        <v>179.72</v>
      </c>
      <c r="J139" s="7">
        <v>171.21</v>
      </c>
      <c r="K139" s="5">
        <f t="shared" si="20"/>
        <v>4.7351435566436635</v>
      </c>
      <c r="L139" s="4">
        <f t="shared" si="21"/>
        <v>3451.9928719372265</v>
      </c>
      <c r="M139" s="2">
        <v>41957</v>
      </c>
      <c r="N139" s="7">
        <f>(O139+$A$33)*$A$29</f>
        <v>1.3290245600000001</v>
      </c>
      <c r="O139" s="7">
        <v>2.77</v>
      </c>
      <c r="P139" s="7">
        <v>0.99999999999999989</v>
      </c>
      <c r="Q139" s="7">
        <v>1.496</v>
      </c>
      <c r="R139" s="6">
        <f t="shared" si="23"/>
        <v>0.36101083032490972</v>
      </c>
      <c r="S139" s="6">
        <f t="shared" si="24"/>
        <v>0.540072202166065</v>
      </c>
      <c r="T139" s="6">
        <f t="shared" si="25"/>
        <v>9.8916967509025233E-2</v>
      </c>
      <c r="U139" s="4">
        <f t="shared" si="32"/>
        <v>1308.1495732003875</v>
      </c>
      <c r="V139" s="4">
        <f t="shared" si="33"/>
        <v>1956.99176150778</v>
      </c>
      <c r="W139" s="4">
        <f t="shared" si="26"/>
        <v>3265.1413347081675</v>
      </c>
      <c r="X139" s="4">
        <f t="shared" si="27"/>
        <v>1246.2068129737279</v>
      </c>
      <c r="Y139" s="4">
        <f t="shared" si="28"/>
        <v>1864.3253922086972</v>
      </c>
      <c r="Z139" s="4">
        <f t="shared" si="29"/>
        <v>3110.5322051824251</v>
      </c>
      <c r="AE139" s="3"/>
      <c r="AF139" s="3"/>
      <c r="AG139" s="7"/>
      <c r="AH139" s="7"/>
      <c r="AI139" s="7"/>
      <c r="AJ139" s="7"/>
      <c r="AK139" s="7"/>
      <c r="AL139" s="3"/>
      <c r="AM139" s="9"/>
      <c r="AN139" s="7"/>
      <c r="AO139" s="7"/>
      <c r="AP139" s="7"/>
      <c r="AQ139" s="7"/>
      <c r="AR139" s="9"/>
      <c r="AS139" s="9"/>
      <c r="AT139" s="9"/>
      <c r="AU139" s="3"/>
      <c r="AV139" s="3"/>
      <c r="AW139" s="3"/>
      <c r="AX139" s="3"/>
      <c r="AY139" s="3"/>
      <c r="AZ139" s="3"/>
    </row>
    <row r="140" spans="1:52" x14ac:dyDescent="0.25">
      <c r="A140">
        <v>100</v>
      </c>
      <c r="B140" s="1" t="s">
        <v>138</v>
      </c>
      <c r="C140" s="1" t="s">
        <v>160</v>
      </c>
      <c r="D140" s="2">
        <v>41955</v>
      </c>
      <c r="E140" s="3">
        <v>24.4</v>
      </c>
      <c r="F140" s="4">
        <f t="shared" si="18"/>
        <v>3730.5997195556033</v>
      </c>
      <c r="G140" s="7">
        <v>12</v>
      </c>
      <c r="H140" s="7">
        <v>182.56</v>
      </c>
      <c r="I140" s="7">
        <f t="shared" si="19"/>
        <v>170.56</v>
      </c>
      <c r="J140" s="7">
        <v>162.96</v>
      </c>
      <c r="K140" s="5">
        <f t="shared" si="20"/>
        <v>4.4559099437148184</v>
      </c>
      <c r="L140" s="4">
        <f t="shared" si="21"/>
        <v>3564.3675556917278</v>
      </c>
      <c r="M140" s="2">
        <v>41957</v>
      </c>
      <c r="N140" s="7">
        <v>1.38</v>
      </c>
      <c r="O140" s="7">
        <f t="shared" ref="O140:O149" si="34">N140/$A$29-$A$33</f>
        <v>2.8823816998536125</v>
      </c>
      <c r="P140" s="7">
        <v>0.99999999999999989</v>
      </c>
      <c r="Q140" s="7">
        <v>1.5589999999999997</v>
      </c>
      <c r="R140" s="6">
        <f t="shared" si="23"/>
        <v>0.34693531396302818</v>
      </c>
      <c r="S140" s="6">
        <f t="shared" si="24"/>
        <v>0.5408721544683609</v>
      </c>
      <c r="T140" s="6">
        <f t="shared" si="25"/>
        <v>0.11219253156861086</v>
      </c>
      <c r="U140" s="4">
        <f t="shared" si="32"/>
        <v>1294.2767849744082</v>
      </c>
      <c r="V140" s="4">
        <f t="shared" si="33"/>
        <v>2017.7775077751021</v>
      </c>
      <c r="W140" s="4">
        <f t="shared" si="26"/>
        <v>3312.0542927495103</v>
      </c>
      <c r="X140" s="4">
        <f t="shared" si="27"/>
        <v>1236.604977013541</v>
      </c>
      <c r="Y140" s="4">
        <f t="shared" si="28"/>
        <v>1927.8671591641103</v>
      </c>
      <c r="Z140" s="4">
        <f t="shared" si="29"/>
        <v>3164.472136177651</v>
      </c>
      <c r="AB140" t="s">
        <v>170</v>
      </c>
      <c r="AC140" t="str">
        <f>C140</f>
        <v>Machine</v>
      </c>
      <c r="AD140" s="8">
        <f>D140</f>
        <v>41955</v>
      </c>
      <c r="AE140" s="3">
        <f>SUM(E140:E150)</f>
        <v>288.10000000000002</v>
      </c>
      <c r="AF140" s="3">
        <f>AE140*$A$29/($A$30*11)*$A$32</f>
        <v>4004.4179553054005</v>
      </c>
      <c r="AG140" s="7">
        <f>SUM(G140:G150)</f>
        <v>131.15</v>
      </c>
      <c r="AH140" s="7">
        <f>SUM(H140:H150)</f>
        <v>2490.8999999999996</v>
      </c>
      <c r="AI140" s="7">
        <f>AH140-AG140</f>
        <v>2359.7499999999995</v>
      </c>
      <c r="AJ140" s="7">
        <f>SUM(J140:J150)</f>
        <v>2254.7199999999998</v>
      </c>
      <c r="AK140" s="7">
        <f>(AI140-AJ140)/AI140*100</f>
        <v>4.4508952219514679</v>
      </c>
      <c r="AL140" s="3">
        <f>AF140*(1-AK140/100)</f>
        <v>3826.1855078657459</v>
      </c>
      <c r="AM140" s="11">
        <f>M140</f>
        <v>41957</v>
      </c>
      <c r="AN140" s="7">
        <f>SUM(N140:N150)</f>
        <v>16.259936960000001</v>
      </c>
      <c r="AO140" s="7">
        <f>AN140/$A$29-$A$33*11</f>
        <v>34.087054092664779</v>
      </c>
      <c r="AP140" s="7">
        <f>SUM(P140:P150)</f>
        <v>11.942</v>
      </c>
      <c r="AQ140" s="7">
        <f>SUM(Q140:Q150)</f>
        <v>18.471999999999998</v>
      </c>
      <c r="AR140" s="9">
        <f>AP140/AO140</f>
        <v>0.3503382829016547</v>
      </c>
      <c r="AS140" s="9">
        <f>AQ140/AO140</f>
        <v>0.54190661210512181</v>
      </c>
      <c r="AT140" s="9">
        <f>1-AR140-AS140</f>
        <v>0.10775510499322349</v>
      </c>
      <c r="AU140" s="3">
        <f>AF140*AR140</f>
        <v>1402.9009104822489</v>
      </c>
      <c r="AV140" s="3">
        <f>AF140*AS140</f>
        <v>2170.0205676124688</v>
      </c>
      <c r="AW140" s="3">
        <f>AU140+AV140</f>
        <v>3572.9214780947177</v>
      </c>
      <c r="AX140" s="3">
        <f>AL140*AR140</f>
        <v>1340.4592608888811</v>
      </c>
      <c r="AY140" s="3">
        <f>AL140*AS140</f>
        <v>2073.4352258532413</v>
      </c>
      <c r="AZ140" s="3">
        <f>AX140+AY140</f>
        <v>3413.8944867421224</v>
      </c>
    </row>
    <row r="141" spans="1:52" x14ac:dyDescent="0.25">
      <c r="A141">
        <v>101</v>
      </c>
      <c r="B141" s="1" t="s">
        <v>139</v>
      </c>
      <c r="C141" s="1" t="s">
        <v>160</v>
      </c>
      <c r="D141" s="2">
        <v>41955</v>
      </c>
      <c r="E141" s="3">
        <v>21.3</v>
      </c>
      <c r="F141" s="4">
        <f t="shared" si="18"/>
        <v>3256.630083054687</v>
      </c>
      <c r="G141" s="7">
        <v>11.93</v>
      </c>
      <c r="H141" s="7">
        <v>206.96</v>
      </c>
      <c r="I141" s="7">
        <f t="shared" si="19"/>
        <v>195.03</v>
      </c>
      <c r="J141" s="7">
        <v>186.93</v>
      </c>
      <c r="K141" s="5">
        <f t="shared" si="20"/>
        <v>4.153207198892475</v>
      </c>
      <c r="L141" s="4">
        <f t="shared" si="21"/>
        <v>3121.3754880039619</v>
      </c>
      <c r="M141" s="2">
        <v>41957</v>
      </c>
      <c r="N141" s="7">
        <v>1.31</v>
      </c>
      <c r="O141" s="7">
        <f t="shared" si="34"/>
        <v>2.7280579904407487</v>
      </c>
      <c r="P141" s="7">
        <v>0.99999999999999989</v>
      </c>
      <c r="Q141" s="7">
        <v>1.496</v>
      </c>
      <c r="R141" s="6">
        <f t="shared" si="23"/>
        <v>0.36656112278553088</v>
      </c>
      <c r="S141" s="6">
        <f t="shared" si="24"/>
        <v>0.5483754396871543</v>
      </c>
      <c r="T141" s="6">
        <f t="shared" si="25"/>
        <v>8.5063437527314822E-2</v>
      </c>
      <c r="U141" s="4">
        <f t="shared" si="32"/>
        <v>1193.7539797416628</v>
      </c>
      <c r="V141" s="4">
        <f t="shared" si="33"/>
        <v>1785.8559536935279</v>
      </c>
      <c r="W141" s="4">
        <f t="shared" si="26"/>
        <v>2979.6099334351907</v>
      </c>
      <c r="X141" s="4">
        <f t="shared" si="27"/>
        <v>1144.1749035179666</v>
      </c>
      <c r="Y141" s="4">
        <f t="shared" si="28"/>
        <v>1711.6856556628784</v>
      </c>
      <c r="Z141" s="4">
        <f t="shared" si="29"/>
        <v>2855.860559180845</v>
      </c>
      <c r="AE141" s="3"/>
      <c r="AF141" s="3"/>
      <c r="AG141" s="7"/>
      <c r="AH141" s="7"/>
      <c r="AI141" s="7"/>
      <c r="AJ141" s="7"/>
      <c r="AK141" s="7"/>
      <c r="AL141" s="3"/>
      <c r="AM141" s="9"/>
      <c r="AN141" s="7"/>
      <c r="AO141" s="7"/>
      <c r="AP141" s="7"/>
      <c r="AQ141" s="7"/>
      <c r="AR141" s="9"/>
      <c r="AS141" s="9"/>
      <c r="AT141" s="9"/>
      <c r="AU141" s="3"/>
      <c r="AV141" s="3"/>
      <c r="AW141" s="3"/>
      <c r="AX141" s="3"/>
      <c r="AY141" s="3"/>
      <c r="AZ141" s="3"/>
    </row>
    <row r="142" spans="1:52" x14ac:dyDescent="0.25">
      <c r="A142">
        <v>102</v>
      </c>
      <c r="B142" s="1" t="s">
        <v>140</v>
      </c>
      <c r="C142" s="1" t="s">
        <v>160</v>
      </c>
      <c r="D142" s="2">
        <v>41955</v>
      </c>
      <c r="E142" s="3">
        <v>28.299999999999997</v>
      </c>
      <c r="F142" s="4">
        <f t="shared" si="18"/>
        <v>4326.8841009599819</v>
      </c>
      <c r="G142" s="7">
        <v>12</v>
      </c>
      <c r="H142" s="7">
        <v>235.54</v>
      </c>
      <c r="I142" s="7">
        <f t="shared" si="19"/>
        <v>223.54</v>
      </c>
      <c r="J142" s="7">
        <v>212.75</v>
      </c>
      <c r="K142" s="5">
        <f t="shared" si="20"/>
        <v>4.8268766216337085</v>
      </c>
      <c r="L142" s="4">
        <f t="shared" si="21"/>
        <v>4118.0307438455584</v>
      </c>
      <c r="M142" s="2">
        <v>41957</v>
      </c>
      <c r="N142" s="7">
        <v>1.46</v>
      </c>
      <c r="O142" s="7">
        <f t="shared" si="34"/>
        <v>3.058751653468315</v>
      </c>
      <c r="P142" s="7">
        <v>1.0630000000000002</v>
      </c>
      <c r="Q142" s="7">
        <v>1.6850000000000001</v>
      </c>
      <c r="R142" s="6">
        <f t="shared" si="23"/>
        <v>0.34752739693484619</v>
      </c>
      <c r="S142" s="6">
        <f t="shared" si="24"/>
        <v>0.55087832910180223</v>
      </c>
      <c r="T142" s="6">
        <f t="shared" si="25"/>
        <v>0.10159427396335152</v>
      </c>
      <c r="U142" s="4">
        <f t="shared" si="32"/>
        <v>1503.7107684453947</v>
      </c>
      <c r="V142" s="4">
        <f t="shared" si="33"/>
        <v>2383.5866837539884</v>
      </c>
      <c r="W142" s="4">
        <f t="shared" si="26"/>
        <v>3887.2974521993829</v>
      </c>
      <c r="X142" s="4">
        <f t="shared" si="27"/>
        <v>1431.1285049063154</v>
      </c>
      <c r="Y142" s="4">
        <f t="shared" si="28"/>
        <v>2268.5338953594928</v>
      </c>
      <c r="Z142" s="4">
        <f t="shared" si="29"/>
        <v>3699.6624002658082</v>
      </c>
      <c r="AE142" s="3"/>
      <c r="AF142" s="3"/>
      <c r="AG142" s="7"/>
      <c r="AH142" s="7"/>
      <c r="AI142" s="7"/>
      <c r="AJ142" s="7"/>
      <c r="AK142" s="7"/>
      <c r="AL142" s="3"/>
      <c r="AM142" s="9"/>
      <c r="AN142" s="7"/>
      <c r="AO142" s="7"/>
      <c r="AP142" s="7"/>
      <c r="AQ142" s="7"/>
      <c r="AR142" s="9"/>
      <c r="AS142" s="9"/>
      <c r="AT142" s="9"/>
      <c r="AU142" s="3"/>
      <c r="AV142" s="3"/>
      <c r="AW142" s="3"/>
      <c r="AX142" s="3"/>
      <c r="AY142" s="3"/>
      <c r="AZ142" s="3"/>
    </row>
    <row r="143" spans="1:52" x14ac:dyDescent="0.25">
      <c r="A143">
        <v>103</v>
      </c>
      <c r="B143" s="1" t="s">
        <v>141</v>
      </c>
      <c r="C143" s="1" t="s">
        <v>160</v>
      </c>
      <c r="D143" s="2">
        <v>41955</v>
      </c>
      <c r="E143" s="3">
        <v>30.2</v>
      </c>
      <c r="F143" s="4">
        <f t="shared" si="18"/>
        <v>4617.3816201057052</v>
      </c>
      <c r="G143" s="7">
        <v>11.96</v>
      </c>
      <c r="H143" s="7">
        <v>202.26</v>
      </c>
      <c r="I143" s="7">
        <f t="shared" si="19"/>
        <v>190.29999999999998</v>
      </c>
      <c r="J143" s="7">
        <v>181.56</v>
      </c>
      <c r="K143" s="5">
        <f t="shared" si="20"/>
        <v>4.5927482921702474</v>
      </c>
      <c r="L143" s="4">
        <f t="shared" si="21"/>
        <v>4405.3169046053172</v>
      </c>
      <c r="M143" s="2">
        <v>41957</v>
      </c>
      <c r="N143" s="7">
        <v>1.85</v>
      </c>
      <c r="O143" s="7">
        <f t="shared" si="34"/>
        <v>3.9185551773399885</v>
      </c>
      <c r="P143" s="7">
        <v>1.4330000000000003</v>
      </c>
      <c r="Q143" s="7">
        <v>2.1259999999999999</v>
      </c>
      <c r="R143" s="6">
        <f t="shared" si="23"/>
        <v>0.36569601170520094</v>
      </c>
      <c r="S143" s="6">
        <f t="shared" si="24"/>
        <v>0.54254690920115634</v>
      </c>
      <c r="T143" s="6">
        <f t="shared" si="25"/>
        <v>9.1757079093642724E-2</v>
      </c>
      <c r="U143" s="4">
        <f t="shared" si="32"/>
        <v>1688.5580429935558</v>
      </c>
      <c r="V143" s="4">
        <f t="shared" si="33"/>
        <v>2505.1461265905782</v>
      </c>
      <c r="W143" s="4">
        <f t="shared" si="26"/>
        <v>4193.7041695841344</v>
      </c>
      <c r="X143" s="4">
        <f t="shared" si="27"/>
        <v>1611.0068223116657</v>
      </c>
      <c r="Y143" s="4">
        <f t="shared" si="28"/>
        <v>2390.09107064522</v>
      </c>
      <c r="Z143" s="4">
        <f t="shared" si="29"/>
        <v>4001.0978929568855</v>
      </c>
      <c r="AE143" s="3"/>
      <c r="AF143" s="3"/>
      <c r="AG143" s="7"/>
      <c r="AH143" s="7"/>
      <c r="AI143" s="7"/>
      <c r="AJ143" s="7"/>
      <c r="AK143" s="7"/>
      <c r="AL143" s="3"/>
      <c r="AM143" s="9"/>
      <c r="AN143" s="7"/>
      <c r="AO143" s="7"/>
      <c r="AP143" s="7"/>
      <c r="AQ143" s="7"/>
      <c r="AR143" s="9"/>
      <c r="AS143" s="9"/>
      <c r="AT143" s="9"/>
      <c r="AU143" s="3"/>
      <c r="AV143" s="3"/>
      <c r="AW143" s="3"/>
      <c r="AX143" s="3"/>
      <c r="AY143" s="3"/>
      <c r="AZ143" s="3"/>
    </row>
    <row r="144" spans="1:52" x14ac:dyDescent="0.25">
      <c r="A144">
        <v>104</v>
      </c>
      <c r="B144" s="1" t="s">
        <v>142</v>
      </c>
      <c r="C144" s="1" t="s">
        <v>160</v>
      </c>
      <c r="D144" s="2">
        <v>41955</v>
      </c>
      <c r="E144" s="3">
        <v>27.2</v>
      </c>
      <c r="F144" s="4">
        <f t="shared" si="18"/>
        <v>4158.7013267177217</v>
      </c>
      <c r="G144" s="7">
        <v>11.91</v>
      </c>
      <c r="H144" s="7">
        <v>256</v>
      </c>
      <c r="I144" s="7">
        <f t="shared" si="19"/>
        <v>244.09</v>
      </c>
      <c r="J144" s="7">
        <v>232.66</v>
      </c>
      <c r="K144" s="5">
        <f t="shared" si="20"/>
        <v>4.6826990044655687</v>
      </c>
      <c r="L144" s="4">
        <f t="shared" si="21"/>
        <v>3963.9618610928142</v>
      </c>
      <c r="M144" s="2">
        <v>41957</v>
      </c>
      <c r="N144" s="7">
        <v>1.51</v>
      </c>
      <c r="O144" s="7">
        <f t="shared" si="34"/>
        <v>3.1689828744775039</v>
      </c>
      <c r="P144" s="7">
        <v>1.1259999999999999</v>
      </c>
      <c r="Q144" s="7">
        <v>1.7479999999999998</v>
      </c>
      <c r="R144" s="6">
        <f t="shared" si="23"/>
        <v>0.35531905491463178</v>
      </c>
      <c r="S144" s="6">
        <f t="shared" si="24"/>
        <v>0.55159654350868237</v>
      </c>
      <c r="T144" s="6">
        <f t="shared" si="25"/>
        <v>9.3084401576685849E-2</v>
      </c>
      <c r="U144" s="4">
        <f t="shared" si="32"/>
        <v>1477.6658250815663</v>
      </c>
      <c r="V144" s="4">
        <f t="shared" si="33"/>
        <v>2293.9252773024668</v>
      </c>
      <c r="W144" s="4">
        <f t="shared" si="26"/>
        <v>3771.5911023840331</v>
      </c>
      <c r="X144" s="4">
        <f t="shared" si="27"/>
        <v>1408.4711822011436</v>
      </c>
      <c r="Y144" s="4">
        <f t="shared" si="28"/>
        <v>2186.50766117904</v>
      </c>
      <c r="Z144" s="4">
        <f t="shared" si="29"/>
        <v>3594.9788433801837</v>
      </c>
      <c r="AE144" s="3"/>
      <c r="AF144" s="3"/>
      <c r="AG144" s="7"/>
      <c r="AH144" s="7"/>
      <c r="AI144" s="7"/>
      <c r="AJ144" s="7"/>
      <c r="AK144" s="7"/>
      <c r="AL144" s="3"/>
      <c r="AM144" s="9"/>
      <c r="AN144" s="7"/>
      <c r="AO144" s="7"/>
      <c r="AP144" s="7"/>
      <c r="AQ144" s="7"/>
      <c r="AR144" s="9"/>
      <c r="AS144" s="9"/>
      <c r="AT144" s="9"/>
      <c r="AU144" s="3"/>
      <c r="AV144" s="3"/>
      <c r="AW144" s="3"/>
      <c r="AX144" s="3"/>
      <c r="AY144" s="3"/>
      <c r="AZ144" s="3"/>
    </row>
    <row r="145" spans="1:52" x14ac:dyDescent="0.25">
      <c r="A145">
        <v>105</v>
      </c>
      <c r="B145" s="1" t="s">
        <v>143</v>
      </c>
      <c r="C145" s="1" t="s">
        <v>160</v>
      </c>
      <c r="D145" s="2">
        <v>41955</v>
      </c>
      <c r="E145" s="3">
        <v>25.400000000000002</v>
      </c>
      <c r="F145" s="4">
        <f t="shared" si="18"/>
        <v>3883.4931506849312</v>
      </c>
      <c r="G145" s="7">
        <v>11.84</v>
      </c>
      <c r="H145" s="7">
        <v>226.39</v>
      </c>
      <c r="I145" s="7">
        <f t="shared" si="19"/>
        <v>214.54999999999998</v>
      </c>
      <c r="J145" s="7">
        <v>203.68</v>
      </c>
      <c r="K145" s="5">
        <f t="shared" si="20"/>
        <v>5.066418084362609</v>
      </c>
      <c r="L145" s="4">
        <f t="shared" si="21"/>
        <v>3686.7391513936464</v>
      </c>
      <c r="M145" s="2">
        <v>41957</v>
      </c>
      <c r="N145" s="7">
        <v>1.49</v>
      </c>
      <c r="O145" s="7">
        <f t="shared" si="34"/>
        <v>3.1248903860738282</v>
      </c>
      <c r="P145" s="7">
        <v>1.1259999999999999</v>
      </c>
      <c r="Q145" s="7">
        <v>1.6850000000000001</v>
      </c>
      <c r="R145" s="6">
        <f t="shared" si="23"/>
        <v>0.36033263919209907</v>
      </c>
      <c r="S145" s="6">
        <f t="shared" si="24"/>
        <v>0.53921891388870957</v>
      </c>
      <c r="T145" s="6">
        <f t="shared" si="25"/>
        <v>0.1004484469191913</v>
      </c>
      <c r="U145" s="4">
        <f t="shared" si="32"/>
        <v>1399.3493362707413</v>
      </c>
      <c r="V145" s="4">
        <f t="shared" si="33"/>
        <v>2094.0529588065715</v>
      </c>
      <c r="W145" s="4">
        <f t="shared" si="26"/>
        <v>3493.4022950773128</v>
      </c>
      <c r="X145" s="4">
        <f t="shared" si="27"/>
        <v>1328.4524484345122</v>
      </c>
      <c r="Y145" s="4">
        <f t="shared" si="28"/>
        <v>1987.9594810054648</v>
      </c>
      <c r="Z145" s="4">
        <f t="shared" si="29"/>
        <v>3316.411929439977</v>
      </c>
      <c r="AE145" s="3"/>
      <c r="AF145" s="3"/>
      <c r="AG145" s="7"/>
      <c r="AH145" s="7"/>
      <c r="AI145" s="7"/>
      <c r="AJ145" s="7"/>
      <c r="AK145" s="7"/>
      <c r="AL145" s="3"/>
      <c r="AM145" s="9"/>
      <c r="AN145" s="7"/>
      <c r="AO145" s="7"/>
      <c r="AP145" s="7"/>
      <c r="AQ145" s="7"/>
      <c r="AR145" s="9"/>
      <c r="AS145" s="9"/>
      <c r="AT145" s="9"/>
      <c r="AU145" s="3"/>
      <c r="AV145" s="3"/>
      <c r="AW145" s="3"/>
      <c r="AX145" s="3"/>
      <c r="AY145" s="3"/>
      <c r="AZ145" s="3"/>
    </row>
    <row r="146" spans="1:52" x14ac:dyDescent="0.25">
      <c r="A146">
        <v>106</v>
      </c>
      <c r="B146" s="1" t="s">
        <v>144</v>
      </c>
      <c r="C146" s="1" t="s">
        <v>160</v>
      </c>
      <c r="D146" s="2">
        <v>41955</v>
      </c>
      <c r="E146" s="3">
        <v>33.800000000000004</v>
      </c>
      <c r="F146" s="4">
        <f t="shared" si="18"/>
        <v>5167.7979721712873</v>
      </c>
      <c r="G146" s="7">
        <v>11.91</v>
      </c>
      <c r="H146" s="7">
        <v>214.98</v>
      </c>
      <c r="I146" s="7">
        <f t="shared" si="19"/>
        <v>203.07</v>
      </c>
      <c r="J146" s="7">
        <v>195.74</v>
      </c>
      <c r="K146" s="5">
        <f t="shared" si="20"/>
        <v>3.6095927512680279</v>
      </c>
      <c r="L146" s="4">
        <f t="shared" si="21"/>
        <v>4981.2615111676159</v>
      </c>
      <c r="M146" s="2">
        <v>41957</v>
      </c>
      <c r="N146" s="7">
        <v>1.23</v>
      </c>
      <c r="O146" s="7">
        <f t="shared" si="34"/>
        <v>2.5516880368260462</v>
      </c>
      <c r="P146" s="7">
        <v>0.81100000000000005</v>
      </c>
      <c r="Q146" s="7">
        <v>1.4330000000000003</v>
      </c>
      <c r="R146" s="6">
        <f t="shared" si="23"/>
        <v>0.3178288208807743</v>
      </c>
      <c r="S146" s="6">
        <f t="shared" si="24"/>
        <v>0.56158902629118324</v>
      </c>
      <c r="T146" s="6">
        <f t="shared" si="25"/>
        <v>0.12058215282804252</v>
      </c>
      <c r="U146" s="4">
        <f t="shared" si="32"/>
        <v>1642.4751360452567</v>
      </c>
      <c r="V146" s="4">
        <f t="shared" si="33"/>
        <v>2902.1786312612244</v>
      </c>
      <c r="W146" s="4">
        <f t="shared" si="26"/>
        <v>4544.6537673064813</v>
      </c>
      <c r="X146" s="4">
        <f t="shared" si="27"/>
        <v>1583.1884725931873</v>
      </c>
      <c r="Y146" s="4">
        <f t="shared" si="28"/>
        <v>2797.4218017583694</v>
      </c>
      <c r="Z146" s="4">
        <f t="shared" si="29"/>
        <v>4380.6102743515567</v>
      </c>
      <c r="AE146" s="3"/>
      <c r="AF146" s="3"/>
      <c r="AG146" s="7"/>
      <c r="AH146" s="7"/>
      <c r="AI146" s="7"/>
      <c r="AJ146" s="7"/>
      <c r="AK146" s="7"/>
      <c r="AL146" s="3"/>
      <c r="AM146" s="9"/>
      <c r="AN146" s="7"/>
      <c r="AO146" s="7"/>
      <c r="AP146" s="7"/>
      <c r="AQ146" s="7"/>
      <c r="AR146" s="9"/>
      <c r="AS146" s="9"/>
      <c r="AT146" s="9"/>
      <c r="AU146" s="3"/>
      <c r="AV146" s="3"/>
      <c r="AW146" s="3"/>
      <c r="AX146" s="3"/>
      <c r="AY146" s="3"/>
      <c r="AZ146" s="3"/>
    </row>
    <row r="147" spans="1:52" x14ac:dyDescent="0.25">
      <c r="A147">
        <v>107</v>
      </c>
      <c r="B147" s="1" t="s">
        <v>145</v>
      </c>
      <c r="C147" s="1" t="s">
        <v>160</v>
      </c>
      <c r="D147" s="2">
        <v>41955</v>
      </c>
      <c r="E147" s="3">
        <v>31.400000000000002</v>
      </c>
      <c r="F147" s="4">
        <f t="shared" si="18"/>
        <v>4800.8537374609004</v>
      </c>
      <c r="G147" s="7">
        <v>11.9</v>
      </c>
      <c r="H147" s="7">
        <v>227.94</v>
      </c>
      <c r="I147" s="7">
        <f t="shared" si="19"/>
        <v>216.04</v>
      </c>
      <c r="J147" s="7">
        <v>205.35</v>
      </c>
      <c r="K147" s="5">
        <f t="shared" si="20"/>
        <v>4.9481577485650794</v>
      </c>
      <c r="L147" s="4">
        <f t="shared" si="21"/>
        <v>4563.2999212534532</v>
      </c>
      <c r="M147" s="2">
        <v>41957</v>
      </c>
      <c r="N147" s="7">
        <v>1.3</v>
      </c>
      <c r="O147" s="7">
        <f t="shared" si="34"/>
        <v>2.7060117462389108</v>
      </c>
      <c r="P147" s="7">
        <v>0.93699999999999994</v>
      </c>
      <c r="Q147" s="7">
        <v>1.4330000000000003</v>
      </c>
      <c r="R147" s="6">
        <f t="shared" si="23"/>
        <v>0.34626605050858977</v>
      </c>
      <c r="S147" s="6">
        <f t="shared" si="24"/>
        <v>0.52956163327514327</v>
      </c>
      <c r="T147" s="6">
        <f t="shared" si="25"/>
        <v>0.12417231621626701</v>
      </c>
      <c r="U147" s="4">
        <f t="shared" si="32"/>
        <v>1662.3726627399881</v>
      </c>
      <c r="V147" s="4">
        <f t="shared" si="33"/>
        <v>2542.3479463248705</v>
      </c>
      <c r="W147" s="4">
        <f t="shared" si="26"/>
        <v>4204.7206090648588</v>
      </c>
      <c r="X147" s="4">
        <f t="shared" si="27"/>
        <v>1580.1158410185919</v>
      </c>
      <c r="Y147" s="4">
        <f t="shared" si="28"/>
        <v>2416.5485594233114</v>
      </c>
      <c r="Z147" s="4">
        <f t="shared" si="29"/>
        <v>3996.6644004419031</v>
      </c>
      <c r="AE147" s="3"/>
      <c r="AF147" s="3"/>
      <c r="AG147" s="7"/>
      <c r="AH147" s="7"/>
      <c r="AI147" s="7"/>
      <c r="AJ147" s="7"/>
      <c r="AK147" s="7"/>
      <c r="AL147" s="3"/>
      <c r="AM147" s="9"/>
      <c r="AN147" s="7"/>
      <c r="AO147" s="7"/>
      <c r="AP147" s="7"/>
      <c r="AQ147" s="7"/>
      <c r="AR147" s="9"/>
      <c r="AS147" s="9"/>
      <c r="AT147" s="9"/>
      <c r="AU147" s="3"/>
      <c r="AV147" s="3"/>
      <c r="AW147" s="3"/>
      <c r="AX147" s="3"/>
      <c r="AY147" s="3"/>
      <c r="AZ147" s="3"/>
    </row>
    <row r="148" spans="1:52" x14ac:dyDescent="0.25">
      <c r="A148">
        <v>108</v>
      </c>
      <c r="B148" s="1" t="s">
        <v>146</v>
      </c>
      <c r="C148" s="1" t="s">
        <v>160</v>
      </c>
      <c r="D148" s="2">
        <v>41955</v>
      </c>
      <c r="E148" s="3">
        <v>27</v>
      </c>
      <c r="F148" s="4">
        <f t="shared" si="18"/>
        <v>4128.1226404918561</v>
      </c>
      <c r="G148" s="7">
        <v>11.81</v>
      </c>
      <c r="H148" s="7">
        <v>215.57</v>
      </c>
      <c r="I148" s="7">
        <f t="shared" si="19"/>
        <v>203.76</v>
      </c>
      <c r="J148" s="7">
        <v>196.82</v>
      </c>
      <c r="K148" s="5">
        <f t="shared" si="20"/>
        <v>3.4059678052610907</v>
      </c>
      <c r="L148" s="4">
        <f t="shared" si="21"/>
        <v>3987.5201123950096</v>
      </c>
      <c r="M148" s="2">
        <v>41957</v>
      </c>
      <c r="N148" s="7">
        <v>1.46</v>
      </c>
      <c r="O148" s="7">
        <f t="shared" si="34"/>
        <v>3.058751653468315</v>
      </c>
      <c r="P148" s="7">
        <v>1.0630000000000002</v>
      </c>
      <c r="Q148" s="7">
        <v>1.6220000000000003</v>
      </c>
      <c r="R148" s="6">
        <f t="shared" si="23"/>
        <v>0.34752739693484619</v>
      </c>
      <c r="S148" s="6">
        <f t="shared" si="24"/>
        <v>0.53028169127781799</v>
      </c>
      <c r="T148" s="6">
        <f t="shared" si="25"/>
        <v>0.12219091178733577</v>
      </c>
      <c r="U148" s="4">
        <f t="shared" si="32"/>
        <v>1434.6357154779387</v>
      </c>
      <c r="V148" s="4">
        <f t="shared" si="33"/>
        <v>2189.0678556022731</v>
      </c>
      <c r="W148" s="4">
        <f t="shared" si="26"/>
        <v>3623.703571080212</v>
      </c>
      <c r="X148" s="4">
        <f t="shared" si="27"/>
        <v>1385.772484885983</v>
      </c>
      <c r="Y148" s="4">
        <f t="shared" si="28"/>
        <v>2114.5089092051408</v>
      </c>
      <c r="Z148" s="4">
        <f t="shared" si="29"/>
        <v>3500.2813940911237</v>
      </c>
      <c r="AE148" s="3"/>
      <c r="AF148" s="3"/>
      <c r="AG148" s="7"/>
      <c r="AH148" s="7"/>
      <c r="AI148" s="7"/>
      <c r="AJ148" s="7"/>
      <c r="AK148" s="7"/>
      <c r="AL148" s="3"/>
      <c r="AM148" s="9"/>
      <c r="AN148" s="7"/>
      <c r="AO148" s="7"/>
      <c r="AP148" s="7"/>
      <c r="AQ148" s="7"/>
      <c r="AR148" s="9"/>
      <c r="AS148" s="9"/>
      <c r="AT148" s="9"/>
      <c r="AU148" s="3"/>
      <c r="AV148" s="3"/>
      <c r="AW148" s="3"/>
      <c r="AX148" s="3"/>
      <c r="AY148" s="3"/>
      <c r="AZ148" s="3"/>
    </row>
    <row r="149" spans="1:52" x14ac:dyDescent="0.25">
      <c r="A149">
        <v>109</v>
      </c>
      <c r="B149" s="1" t="s">
        <v>147</v>
      </c>
      <c r="C149" s="1" t="s">
        <v>160</v>
      </c>
      <c r="D149" s="2">
        <v>41955</v>
      </c>
      <c r="E149" s="3">
        <v>20.7</v>
      </c>
      <c r="F149" s="4">
        <f t="shared" si="18"/>
        <v>3164.8940243770894</v>
      </c>
      <c r="G149" s="7">
        <v>11.94</v>
      </c>
      <c r="H149" s="7">
        <v>259.17</v>
      </c>
      <c r="I149" s="7">
        <f t="shared" si="19"/>
        <v>247.23000000000002</v>
      </c>
      <c r="J149" s="7">
        <v>235.76</v>
      </c>
      <c r="K149" s="5">
        <f t="shared" si="20"/>
        <v>4.6394046030012648</v>
      </c>
      <c r="L149" s="4">
        <f t="shared" si="21"/>
        <v>3018.0617853300269</v>
      </c>
      <c r="M149" s="2">
        <v>41957</v>
      </c>
      <c r="N149" s="7">
        <v>1.51</v>
      </c>
      <c r="O149" s="7">
        <f t="shared" si="34"/>
        <v>3.1689828744775039</v>
      </c>
      <c r="P149" s="7">
        <v>1.0630000000000002</v>
      </c>
      <c r="Q149" s="7">
        <v>1.6850000000000001</v>
      </c>
      <c r="R149" s="6">
        <f t="shared" si="23"/>
        <v>0.33543885912455923</v>
      </c>
      <c r="S149" s="6">
        <f t="shared" si="24"/>
        <v>0.53171634771860976</v>
      </c>
      <c r="T149" s="6">
        <f t="shared" si="25"/>
        <v>0.13284479315683106</v>
      </c>
      <c r="U149" s="4">
        <f t="shared" si="32"/>
        <v>1061.6284407871858</v>
      </c>
      <c r="V149" s="4">
        <f t="shared" si="33"/>
        <v>1682.8258915582387</v>
      </c>
      <c r="W149" s="4">
        <f t="shared" si="26"/>
        <v>2744.4543323454245</v>
      </c>
      <c r="X149" s="4">
        <f t="shared" si="27"/>
        <v>1012.3752020385346</v>
      </c>
      <c r="Y149" s="4">
        <f t="shared" si="28"/>
        <v>1604.7527896847887</v>
      </c>
      <c r="Z149" s="4">
        <f t="shared" si="29"/>
        <v>2617.1279917233232</v>
      </c>
      <c r="AE149" s="3"/>
      <c r="AF149" s="3"/>
      <c r="AG149" s="7"/>
      <c r="AH149" s="7"/>
      <c r="AI149" s="7"/>
      <c r="AJ149" s="7"/>
      <c r="AK149" s="7"/>
      <c r="AL149" s="3"/>
      <c r="AM149" s="9"/>
      <c r="AN149" s="7"/>
      <c r="AO149" s="7"/>
      <c r="AP149" s="7"/>
      <c r="AQ149" s="7"/>
      <c r="AR149" s="9"/>
      <c r="AS149" s="9"/>
      <c r="AT149" s="9"/>
      <c r="AU149" s="3"/>
      <c r="AV149" s="3"/>
      <c r="AW149" s="3"/>
      <c r="AX149" s="3"/>
      <c r="AY149" s="3"/>
      <c r="AZ149" s="3"/>
    </row>
    <row r="150" spans="1:52" x14ac:dyDescent="0.25">
      <c r="A150">
        <v>110</v>
      </c>
      <c r="B150" s="1" t="s">
        <v>148</v>
      </c>
      <c r="C150" s="1" t="s">
        <v>160</v>
      </c>
      <c r="D150" s="2">
        <v>41955</v>
      </c>
      <c r="E150" s="3">
        <v>18.399999999999999</v>
      </c>
      <c r="F150" s="4">
        <f t="shared" si="18"/>
        <v>2813.2391327796354</v>
      </c>
      <c r="G150" s="7">
        <v>11.95</v>
      </c>
      <c r="H150" s="7">
        <v>263.52999999999997</v>
      </c>
      <c r="I150" s="7">
        <f t="shared" si="19"/>
        <v>251.57999999999998</v>
      </c>
      <c r="J150" s="7">
        <v>240.51</v>
      </c>
      <c r="K150" s="5">
        <f t="shared" si="20"/>
        <v>4.4001907941807747</v>
      </c>
      <c r="L150" s="4">
        <f t="shared" si="21"/>
        <v>2689.4512434407748</v>
      </c>
      <c r="M150" s="2">
        <v>41957</v>
      </c>
      <c r="N150" s="7">
        <f>(O150+$A$33)*$A$29</f>
        <v>1.7599369600000001</v>
      </c>
      <c r="O150" s="7">
        <v>3.72</v>
      </c>
      <c r="P150" s="7">
        <v>1.32</v>
      </c>
      <c r="Q150" s="7">
        <v>2</v>
      </c>
      <c r="R150" s="6">
        <f t="shared" ref="R150" si="35">P150/O150</f>
        <v>0.35483870967741937</v>
      </c>
      <c r="S150" s="6">
        <f t="shared" ref="S150" si="36">Q150/O150</f>
        <v>0.5376344086021505</v>
      </c>
      <c r="T150" s="6">
        <f t="shared" ref="T150" si="37">1-R150-S150</f>
        <v>0.10752688172043012</v>
      </c>
      <c r="U150" s="4">
        <f t="shared" si="32"/>
        <v>998.24614388954808</v>
      </c>
      <c r="V150" s="4">
        <f t="shared" si="33"/>
        <v>1512.494157408406</v>
      </c>
      <c r="W150" s="4">
        <f t="shared" ref="W150" si="38">U150+V150</f>
        <v>2510.7403012979539</v>
      </c>
      <c r="X150" s="4">
        <f t="shared" si="27"/>
        <v>954.32140896285557</v>
      </c>
      <c r="Y150" s="4">
        <f t="shared" si="28"/>
        <v>1445.9415287315992</v>
      </c>
      <c r="Z150" s="4">
        <f t="shared" si="29"/>
        <v>2400.2629376944546</v>
      </c>
      <c r="AE150" s="3"/>
      <c r="AF150" s="3"/>
      <c r="AG150" s="7"/>
      <c r="AH150" s="7"/>
      <c r="AI150" s="7"/>
      <c r="AJ150" s="7"/>
      <c r="AK150" s="7"/>
      <c r="AL150" s="3"/>
      <c r="AM150" s="9"/>
      <c r="AN150" s="7"/>
      <c r="AO150" s="7"/>
      <c r="AP150" s="7"/>
      <c r="AQ150" s="7"/>
      <c r="AR150" s="9"/>
      <c r="AS150" s="9"/>
      <c r="AT150" s="9"/>
      <c r="AU150" s="3"/>
      <c r="AV150" s="3"/>
      <c r="AW150" s="3"/>
      <c r="AX150" s="3"/>
      <c r="AY150" s="3"/>
      <c r="AZ150" s="3"/>
    </row>
    <row r="151" spans="1:52" x14ac:dyDescent="0.25">
      <c r="A151">
        <v>111</v>
      </c>
      <c r="B151" s="1" t="s">
        <v>149</v>
      </c>
      <c r="C151" s="1" t="s">
        <v>160</v>
      </c>
      <c r="D151" s="2">
        <v>41955</v>
      </c>
      <c r="E151" s="3">
        <v>29.7</v>
      </c>
      <c r="F151" s="4">
        <f t="shared" si="18"/>
        <v>4540.9349045410418</v>
      </c>
      <c r="G151" s="7">
        <v>11.81</v>
      </c>
      <c r="H151" s="7">
        <v>255.96</v>
      </c>
      <c r="I151" s="7">
        <f t="shared" si="19"/>
        <v>244.15</v>
      </c>
      <c r="J151" s="7">
        <v>232.62</v>
      </c>
      <c r="K151" s="5">
        <f t="shared" si="20"/>
        <v>4.7225066557444197</v>
      </c>
      <c r="L151" s="4">
        <f t="shared" si="21"/>
        <v>4326.4889514410697</v>
      </c>
      <c r="M151" s="2">
        <v>41957</v>
      </c>
      <c r="N151" s="7">
        <v>1.23</v>
      </c>
      <c r="O151" s="7">
        <f t="shared" ref="O151:O161" si="39">N151/$A$29-$A$33</f>
        <v>2.5516880368260462</v>
      </c>
      <c r="P151" s="7">
        <v>0.874</v>
      </c>
      <c r="Q151" s="7">
        <v>1.4330000000000003</v>
      </c>
      <c r="R151" s="6">
        <f t="shared" si="23"/>
        <v>0.34251835937089609</v>
      </c>
      <c r="S151" s="6">
        <f t="shared" si="24"/>
        <v>0.56158902629118324</v>
      </c>
      <c r="T151" s="6">
        <f t="shared" si="25"/>
        <v>9.5892614337920734E-2</v>
      </c>
      <c r="U151" s="4">
        <f t="shared" si="32"/>
        <v>1555.3535735134342</v>
      </c>
      <c r="V151" s="4">
        <f t="shared" si="33"/>
        <v>2550.1392114928508</v>
      </c>
      <c r="W151" s="4">
        <f t="shared" si="26"/>
        <v>4105.492785006285</v>
      </c>
      <c r="X151" s="4">
        <f t="shared" si="27"/>
        <v>1481.9018974839037</v>
      </c>
      <c r="Y151" s="4">
        <f t="shared" si="28"/>
        <v>2429.7087174993526</v>
      </c>
      <c r="Z151" s="4">
        <f t="shared" si="29"/>
        <v>3911.6106149832563</v>
      </c>
      <c r="AB151" t="s">
        <v>34</v>
      </c>
      <c r="AC151" t="str">
        <f>C151</f>
        <v>Machine</v>
      </c>
      <c r="AD151" s="8">
        <f>D151</f>
        <v>41955</v>
      </c>
      <c r="AE151" s="3">
        <f>SUM(E151:E161)</f>
        <v>293.99999999999994</v>
      </c>
      <c r="AF151" s="3">
        <f>AE151*$A$29/($A$30*11)*$A$32</f>
        <v>4086.424432002038</v>
      </c>
      <c r="AG151" s="7">
        <f>SUM(G151:G161)</f>
        <v>132.4</v>
      </c>
      <c r="AH151" s="7">
        <f>SUM(H151:H161)</f>
        <v>2566.58</v>
      </c>
      <c r="AI151" s="7">
        <f>AH151-AG151</f>
        <v>2434.1799999999998</v>
      </c>
      <c r="AJ151" s="7">
        <f>SUM(J151:J161)</f>
        <v>2323.5100000000002</v>
      </c>
      <c r="AK151" s="7">
        <f>(AI151-AJ151)/AI151*100</f>
        <v>4.5465002588140413</v>
      </c>
      <c r="AL151" s="3">
        <f>AF151*(1-AK151/100)</f>
        <v>3900.6351346248248</v>
      </c>
      <c r="AM151" s="11">
        <f>M151</f>
        <v>41957</v>
      </c>
      <c r="AN151" s="7">
        <f>SUM(N151:N161)</f>
        <v>16.169999999999998</v>
      </c>
      <c r="AO151" s="7">
        <f>AN151/$A$29-$A$33*11</f>
        <v>33.888776874371679</v>
      </c>
      <c r="AP151" s="7">
        <f>SUM(P151:P161)</f>
        <v>11.684999999999999</v>
      </c>
      <c r="AQ151" s="7">
        <f>SUM(Q151:Q161)</f>
        <v>18.779</v>
      </c>
      <c r="AR151" s="9">
        <f>AP151/AO151</f>
        <v>0.34480441838657083</v>
      </c>
      <c r="AS151" s="9">
        <f>AQ151/AO151</f>
        <v>0.55413625784179843</v>
      </c>
      <c r="AT151" s="9">
        <f>1-AR151-AS151</f>
        <v>0.10105932377163074</v>
      </c>
      <c r="AU151" s="3">
        <f>AF151*AR151</f>
        <v>1409.0171995571359</v>
      </c>
      <c r="AV151" s="3">
        <f>AF151*AS151</f>
        <v>2264.4359427029062</v>
      </c>
      <c r="AW151" s="3">
        <f>AU151+AV151</f>
        <v>3673.4531422600421</v>
      </c>
      <c r="AX151" s="3">
        <f>AL151*AR151</f>
        <v>1344.9562289325361</v>
      </c>
      <c r="AY151" s="3">
        <f>AL151*AS151</f>
        <v>2161.4833567072401</v>
      </c>
      <c r="AZ151" s="3">
        <f>AX151+AY151</f>
        <v>3506.4395856397759</v>
      </c>
    </row>
    <row r="152" spans="1:52" x14ac:dyDescent="0.25">
      <c r="A152">
        <v>112</v>
      </c>
      <c r="B152" s="1" t="s">
        <v>150</v>
      </c>
      <c r="C152" s="1" t="s">
        <v>160</v>
      </c>
      <c r="D152" s="2">
        <v>41955</v>
      </c>
      <c r="E152" s="3">
        <v>17.400000000000002</v>
      </c>
      <c r="F152" s="4">
        <f t="shared" si="18"/>
        <v>2660.3457016503075</v>
      </c>
      <c r="G152" s="7">
        <v>12</v>
      </c>
      <c r="H152" s="7">
        <v>179.94</v>
      </c>
      <c r="I152" s="7">
        <f t="shared" si="19"/>
        <v>167.94</v>
      </c>
      <c r="J152" s="7">
        <v>159.78</v>
      </c>
      <c r="K152" s="5">
        <f t="shared" si="20"/>
        <v>4.8588781707752746</v>
      </c>
      <c r="L152" s="4">
        <f t="shared" si="21"/>
        <v>2531.0827450856627</v>
      </c>
      <c r="M152" s="2">
        <v>41957</v>
      </c>
      <c r="N152" s="7">
        <v>1.31</v>
      </c>
      <c r="O152" s="7">
        <f t="shared" si="39"/>
        <v>2.7280579904407487</v>
      </c>
      <c r="P152" s="7">
        <v>0.93699999999999994</v>
      </c>
      <c r="Q152" s="7">
        <v>1.496</v>
      </c>
      <c r="R152" s="6">
        <f t="shared" si="23"/>
        <v>0.34346777205004242</v>
      </c>
      <c r="S152" s="6">
        <f t="shared" si="24"/>
        <v>0.5483754396871543</v>
      </c>
      <c r="T152" s="6">
        <f t="shared" si="25"/>
        <v>0.10815678826280328</v>
      </c>
      <c r="U152" s="4">
        <f t="shared" si="32"/>
        <v>913.74301102873801</v>
      </c>
      <c r="V152" s="4">
        <f t="shared" si="33"/>
        <v>1458.8682438623184</v>
      </c>
      <c r="W152" s="4">
        <f t="shared" si="26"/>
        <v>2372.6112548910564</v>
      </c>
      <c r="X152" s="4">
        <f t="shared" si="27"/>
        <v>869.345351328878</v>
      </c>
      <c r="Y152" s="4">
        <f t="shared" si="28"/>
        <v>1387.9836132209198</v>
      </c>
      <c r="Z152" s="4">
        <f t="shared" si="29"/>
        <v>2257.328964549798</v>
      </c>
      <c r="AE152" s="3"/>
      <c r="AF152" s="3"/>
      <c r="AG152" s="7"/>
      <c r="AH152" s="7"/>
      <c r="AI152" s="7"/>
      <c r="AJ152" s="7"/>
      <c r="AK152" s="7"/>
      <c r="AL152" s="3"/>
      <c r="AM152" s="9"/>
      <c r="AN152" s="7"/>
      <c r="AO152" s="7"/>
      <c r="AP152" s="7"/>
      <c r="AQ152" s="7"/>
      <c r="AR152" s="9"/>
      <c r="AS152" s="9"/>
      <c r="AT152" s="9"/>
      <c r="AU152" s="3"/>
      <c r="AV152" s="3"/>
      <c r="AW152" s="3"/>
      <c r="AX152" s="3"/>
      <c r="AY152" s="3"/>
      <c r="AZ152" s="3"/>
    </row>
    <row r="153" spans="1:52" x14ac:dyDescent="0.25">
      <c r="A153">
        <v>113</v>
      </c>
      <c r="B153" s="1" t="s">
        <v>151</v>
      </c>
      <c r="C153" s="1" t="s">
        <v>160</v>
      </c>
      <c r="D153" s="2">
        <v>41955</v>
      </c>
      <c r="E153" s="3">
        <v>28</v>
      </c>
      <c r="F153" s="4">
        <f t="shared" si="18"/>
        <v>4281.016071621184</v>
      </c>
      <c r="G153" s="7">
        <v>12.13</v>
      </c>
      <c r="H153" s="7">
        <v>251.69</v>
      </c>
      <c r="I153" s="7">
        <f t="shared" si="19"/>
        <v>239.56</v>
      </c>
      <c r="J153" s="7">
        <v>228.24</v>
      </c>
      <c r="K153" s="5">
        <f t="shared" si="20"/>
        <v>4.7253297712472841</v>
      </c>
      <c r="L153" s="4">
        <f t="shared" si="21"/>
        <v>4078.7239446769872</v>
      </c>
      <c r="M153" s="2">
        <v>41957</v>
      </c>
      <c r="N153" s="7">
        <v>1.42</v>
      </c>
      <c r="O153" s="7">
        <f t="shared" si="39"/>
        <v>2.970566676660964</v>
      </c>
      <c r="P153" s="7">
        <v>0.93699999999999994</v>
      </c>
      <c r="Q153" s="7">
        <v>1.6220000000000003</v>
      </c>
      <c r="R153" s="6">
        <f t="shared" si="23"/>
        <v>0.31542803174956013</v>
      </c>
      <c r="S153" s="6">
        <f t="shared" si="24"/>
        <v>0.54602376467213098</v>
      </c>
      <c r="T153" s="6">
        <f t="shared" si="25"/>
        <v>0.13854820357830888</v>
      </c>
      <c r="U153" s="4">
        <f t="shared" si="32"/>
        <v>1350.3524733597039</v>
      </c>
      <c r="V153" s="4">
        <f t="shared" si="33"/>
        <v>2337.5365120484962</v>
      </c>
      <c r="W153" s="4">
        <f t="shared" si="26"/>
        <v>3687.8889854081999</v>
      </c>
      <c r="X153" s="4">
        <f t="shared" si="27"/>
        <v>1286.5438659192639</v>
      </c>
      <c r="Y153" s="4">
        <f t="shared" si="28"/>
        <v>2227.0802033308933</v>
      </c>
      <c r="Z153" s="4">
        <f t="shared" si="29"/>
        <v>3513.6240692501569</v>
      </c>
      <c r="AF153" s="3"/>
      <c r="AG153" s="7"/>
      <c r="AH153" s="7"/>
      <c r="AI153" s="7"/>
      <c r="AJ153" s="7"/>
      <c r="AK153" s="7"/>
      <c r="AL153" s="3"/>
      <c r="AM153" s="9"/>
      <c r="AN153" s="7"/>
      <c r="AO153" s="7"/>
      <c r="AP153" s="7"/>
      <c r="AQ153" s="7"/>
      <c r="AR153" s="9"/>
      <c r="AS153" s="9"/>
      <c r="AT153" s="9"/>
      <c r="AU153" s="3"/>
      <c r="AV153" s="3"/>
      <c r="AW153" s="3"/>
      <c r="AX153" s="3"/>
      <c r="AY153" s="3"/>
      <c r="AZ153" s="3"/>
    </row>
    <row r="154" spans="1:52" x14ac:dyDescent="0.25">
      <c r="A154">
        <v>114</v>
      </c>
      <c r="B154" s="1" t="s">
        <v>152</v>
      </c>
      <c r="C154" s="1" t="s">
        <v>160</v>
      </c>
      <c r="D154" s="2">
        <v>41955</v>
      </c>
      <c r="E154" s="3">
        <v>34.699999999999996</v>
      </c>
      <c r="F154" s="4">
        <f t="shared" si="18"/>
        <v>5305.4020601876809</v>
      </c>
      <c r="G154" s="7">
        <v>11.95</v>
      </c>
      <c r="H154" s="7">
        <v>223.65</v>
      </c>
      <c r="I154" s="7">
        <f t="shared" si="19"/>
        <v>211.70000000000002</v>
      </c>
      <c r="J154" s="7">
        <v>202.16</v>
      </c>
      <c r="K154" s="5">
        <f t="shared" si="20"/>
        <v>4.5063769485120542</v>
      </c>
      <c r="L154" s="4">
        <f t="shared" si="21"/>
        <v>5066.3206447214998</v>
      </c>
      <c r="M154" s="2">
        <v>41957</v>
      </c>
      <c r="N154" s="7">
        <v>1.57</v>
      </c>
      <c r="O154" s="7">
        <f t="shared" si="39"/>
        <v>3.3012603396885307</v>
      </c>
      <c r="P154" s="7">
        <v>1.1890000000000001</v>
      </c>
      <c r="Q154" s="7">
        <v>1.8740000000000001</v>
      </c>
      <c r="R154" s="6">
        <f t="shared" si="23"/>
        <v>0.36016547550205646</v>
      </c>
      <c r="S154" s="6">
        <f t="shared" si="24"/>
        <v>0.56766198577868276</v>
      </c>
      <c r="T154" s="6">
        <f t="shared" si="25"/>
        <v>7.217253871926077E-2</v>
      </c>
      <c r="U154" s="4">
        <f t="shared" si="32"/>
        <v>1910.8226557370861</v>
      </c>
      <c r="V154" s="4">
        <f t="shared" si="33"/>
        <v>3011.6750688404536</v>
      </c>
      <c r="W154" s="4">
        <f t="shared" si="26"/>
        <v>4922.4977245775399</v>
      </c>
      <c r="X154" s="4">
        <f t="shared" si="27"/>
        <v>1824.7137840520043</v>
      </c>
      <c r="Y154" s="4">
        <f t="shared" si="28"/>
        <v>2875.9576377741428</v>
      </c>
      <c r="Z154" s="4">
        <f t="shared" si="29"/>
        <v>4700.6714218261468</v>
      </c>
      <c r="AF154" s="3"/>
      <c r="AG154" s="7"/>
      <c r="AH154" s="7"/>
      <c r="AI154" s="7"/>
      <c r="AJ154" s="7"/>
      <c r="AK154" s="7"/>
      <c r="AL154" s="3"/>
      <c r="AM154" s="9"/>
      <c r="AN154" s="7"/>
      <c r="AO154" s="7"/>
      <c r="AP154" s="7"/>
      <c r="AQ154" s="7"/>
      <c r="AR154" s="9"/>
      <c r="AS154" s="9"/>
      <c r="AT154" s="9"/>
      <c r="AU154" s="3"/>
      <c r="AV154" s="3"/>
      <c r="AW154" s="3"/>
      <c r="AX154" s="3"/>
      <c r="AY154" s="3"/>
      <c r="AZ154" s="3"/>
    </row>
    <row r="155" spans="1:52" x14ac:dyDescent="0.25">
      <c r="A155">
        <v>115</v>
      </c>
      <c r="B155" s="1" t="s">
        <v>153</v>
      </c>
      <c r="C155" s="1" t="s">
        <v>160</v>
      </c>
      <c r="D155" s="2">
        <v>41955</v>
      </c>
      <c r="E155" s="3">
        <v>30.8</v>
      </c>
      <c r="F155" s="4">
        <f t="shared" si="18"/>
        <v>4709.1176787833019</v>
      </c>
      <c r="G155" s="7">
        <v>12</v>
      </c>
      <c r="H155" s="7">
        <v>229.05</v>
      </c>
      <c r="I155" s="7">
        <f t="shared" si="19"/>
        <v>217.05</v>
      </c>
      <c r="J155" s="7">
        <v>206.95</v>
      </c>
      <c r="K155" s="5">
        <f t="shared" si="20"/>
        <v>4.6533056899332053</v>
      </c>
      <c r="L155" s="4">
        <f t="shared" si="21"/>
        <v>4489.9880378908283</v>
      </c>
      <c r="M155" s="2">
        <v>41957</v>
      </c>
      <c r="N155" s="7">
        <v>1.56</v>
      </c>
      <c r="O155" s="7">
        <f t="shared" si="39"/>
        <v>3.2792140954866928</v>
      </c>
      <c r="P155" s="7">
        <v>1.1259999999999999</v>
      </c>
      <c r="Q155" s="7">
        <v>1.8109999999999995</v>
      </c>
      <c r="R155" s="6">
        <f t="shared" si="23"/>
        <v>0.34337495729533385</v>
      </c>
      <c r="S155" s="6">
        <f t="shared" si="24"/>
        <v>0.55226647216860514</v>
      </c>
      <c r="T155" s="6">
        <f t="shared" si="25"/>
        <v>0.10435857053606101</v>
      </c>
      <c r="U155" s="4">
        <f t="shared" si="32"/>
        <v>1616.9930818509179</v>
      </c>
      <c r="V155" s="4">
        <f t="shared" si="33"/>
        <v>2600.6878074884648</v>
      </c>
      <c r="W155" s="4">
        <f t="shared" si="26"/>
        <v>4217.6808893393827</v>
      </c>
      <c r="X155" s="4">
        <f t="shared" si="27"/>
        <v>1541.749450767323</v>
      </c>
      <c r="Y155" s="4">
        <f t="shared" si="28"/>
        <v>2479.6698537652051</v>
      </c>
      <c r="Z155" s="4">
        <f t="shared" si="29"/>
        <v>4021.4193045325283</v>
      </c>
      <c r="AF155" s="3"/>
      <c r="AG155" s="7"/>
      <c r="AH155" s="7"/>
      <c r="AI155" s="7"/>
      <c r="AJ155" s="7"/>
      <c r="AK155" s="7"/>
      <c r="AL155" s="3"/>
      <c r="AM155" s="9"/>
      <c r="AN155" s="7"/>
      <c r="AO155" s="7"/>
      <c r="AP155" s="7"/>
      <c r="AQ155" s="7"/>
      <c r="AR155" s="9"/>
      <c r="AS155" s="9"/>
      <c r="AT155" s="9"/>
      <c r="AU155" s="3"/>
      <c r="AV155" s="3"/>
      <c r="AW155" s="3"/>
      <c r="AX155" s="3"/>
      <c r="AY155" s="3"/>
      <c r="AZ155" s="3"/>
    </row>
    <row r="156" spans="1:52" x14ac:dyDescent="0.25">
      <c r="A156">
        <v>116</v>
      </c>
      <c r="B156" s="1" t="s">
        <v>154</v>
      </c>
      <c r="C156" s="1" t="s">
        <v>160</v>
      </c>
      <c r="D156" s="2">
        <v>41955</v>
      </c>
      <c r="E156" s="3">
        <v>24.2</v>
      </c>
      <c r="F156" s="4">
        <f t="shared" si="18"/>
        <v>3700.0210333297377</v>
      </c>
      <c r="G156" s="7">
        <v>11.96</v>
      </c>
      <c r="H156" s="7">
        <v>231.31</v>
      </c>
      <c r="I156" s="7">
        <f t="shared" si="19"/>
        <v>219.35</v>
      </c>
      <c r="J156" s="7">
        <v>209.63</v>
      </c>
      <c r="K156" s="5">
        <f t="shared" si="20"/>
        <v>4.4312742192842487</v>
      </c>
      <c r="L156" s="4">
        <f t="shared" si="21"/>
        <v>3536.062955171702</v>
      </c>
      <c r="M156" s="2">
        <v>41957</v>
      </c>
      <c r="N156" s="7">
        <v>1.36</v>
      </c>
      <c r="O156" s="7">
        <f t="shared" si="39"/>
        <v>2.8382892114499376</v>
      </c>
      <c r="P156" s="7">
        <v>0.99999999999999989</v>
      </c>
      <c r="Q156" s="7">
        <v>1.5589999999999997</v>
      </c>
      <c r="R156" s="6">
        <f t="shared" si="23"/>
        <v>0.35232491317865056</v>
      </c>
      <c r="S156" s="6">
        <f t="shared" si="24"/>
        <v>0.5492745396455162</v>
      </c>
      <c r="T156" s="6">
        <f t="shared" si="25"/>
        <v>9.8400547175833242E-2</v>
      </c>
      <c r="U156" s="4">
        <f t="shared" si="32"/>
        <v>1303.6095893270808</v>
      </c>
      <c r="V156" s="4">
        <f t="shared" si="33"/>
        <v>2032.3273497609189</v>
      </c>
      <c r="W156" s="4">
        <f t="shared" si="26"/>
        <v>3335.9369390879997</v>
      </c>
      <c r="X156" s="4">
        <f t="shared" si="27"/>
        <v>1245.8430736751125</v>
      </c>
      <c r="Y156" s="4">
        <f t="shared" si="28"/>
        <v>1942.2693518595001</v>
      </c>
      <c r="Z156" s="4">
        <f t="shared" si="29"/>
        <v>3188.1124255346126</v>
      </c>
      <c r="AF156" s="3"/>
      <c r="AG156" s="7"/>
      <c r="AH156" s="7"/>
      <c r="AI156" s="7"/>
      <c r="AJ156" s="7"/>
      <c r="AK156" s="7"/>
      <c r="AL156" s="3"/>
      <c r="AM156" s="9"/>
      <c r="AN156" s="9"/>
      <c r="AO156" s="3"/>
      <c r="AP156" s="3"/>
      <c r="AQ156" s="3"/>
      <c r="AR156" s="9"/>
      <c r="AS156" s="9"/>
      <c r="AT156" s="9"/>
      <c r="AU156" s="3"/>
      <c r="AV156" s="3"/>
      <c r="AW156" s="3"/>
      <c r="AX156" s="3"/>
      <c r="AY156" s="3"/>
      <c r="AZ156" s="3"/>
    </row>
    <row r="157" spans="1:52" x14ac:dyDescent="0.25">
      <c r="A157">
        <v>117</v>
      </c>
      <c r="B157" s="1" t="s">
        <v>155</v>
      </c>
      <c r="C157" s="1" t="s">
        <v>160</v>
      </c>
      <c r="D157" s="2">
        <v>41955</v>
      </c>
      <c r="E157" s="3">
        <v>29.599999999999998</v>
      </c>
      <c r="F157" s="4">
        <f t="shared" si="18"/>
        <v>4525.6455614281085</v>
      </c>
      <c r="G157" s="7">
        <v>12.14</v>
      </c>
      <c r="H157" s="7">
        <v>224.64</v>
      </c>
      <c r="I157" s="7">
        <f t="shared" si="19"/>
        <v>212.5</v>
      </c>
      <c r="J157" s="7">
        <v>200.97</v>
      </c>
      <c r="K157" s="5">
        <f t="shared" si="20"/>
        <v>5.4258823529411773</v>
      </c>
      <c r="L157" s="4">
        <f t="shared" si="21"/>
        <v>4280.0893575539149</v>
      </c>
      <c r="M157" s="2">
        <v>41957</v>
      </c>
      <c r="N157" s="7">
        <v>1.29</v>
      </c>
      <c r="O157" s="7">
        <f t="shared" si="39"/>
        <v>2.683965502037073</v>
      </c>
      <c r="P157" s="7">
        <v>0.93699999999999994</v>
      </c>
      <c r="Q157" s="7">
        <v>1.496</v>
      </c>
      <c r="R157" s="6">
        <f t="shared" si="23"/>
        <v>0.34911029940170124</v>
      </c>
      <c r="S157" s="6">
        <f t="shared" si="24"/>
        <v>0.55738421334572585</v>
      </c>
      <c r="T157" s="6">
        <f t="shared" si="25"/>
        <v>9.3505487252572905E-2</v>
      </c>
      <c r="U157" s="4">
        <f t="shared" si="32"/>
        <v>1579.9494769361472</v>
      </c>
      <c r="V157" s="4">
        <f t="shared" si="33"/>
        <v>2522.523391138182</v>
      </c>
      <c r="W157" s="4">
        <f t="shared" si="26"/>
        <v>4102.4728680743292</v>
      </c>
      <c r="X157" s="4">
        <f t="shared" si="27"/>
        <v>1494.2232770816822</v>
      </c>
      <c r="Y157" s="4">
        <f t="shared" si="28"/>
        <v>2385.654239609602</v>
      </c>
      <c r="Z157" s="4">
        <f t="shared" si="29"/>
        <v>3879.8775166912842</v>
      </c>
      <c r="AF157" s="3"/>
      <c r="AG157" s="7"/>
      <c r="AH157" s="7"/>
      <c r="AI157" s="7"/>
      <c r="AJ157" s="7"/>
      <c r="AK157" s="7"/>
      <c r="AL157" s="3"/>
      <c r="AM157" s="9"/>
      <c r="AN157" s="9"/>
      <c r="AO157" s="3"/>
      <c r="AP157" s="3"/>
      <c r="AQ157" s="3"/>
      <c r="AU157" s="3"/>
      <c r="AV157" s="3"/>
      <c r="AW157" s="3"/>
      <c r="AX157" s="3"/>
      <c r="AY157" s="3"/>
      <c r="AZ157" s="3"/>
    </row>
    <row r="158" spans="1:52" x14ac:dyDescent="0.25">
      <c r="A158">
        <v>118</v>
      </c>
      <c r="B158" s="1" t="s">
        <v>156</v>
      </c>
      <c r="C158" s="1" t="s">
        <v>160</v>
      </c>
      <c r="D158" s="2">
        <v>41955</v>
      </c>
      <c r="E158" s="3">
        <v>30.400000000000002</v>
      </c>
      <c r="F158" s="4">
        <f t="shared" si="18"/>
        <v>4647.9603063315717</v>
      </c>
      <c r="G158" s="7">
        <v>12.15</v>
      </c>
      <c r="H158" s="7">
        <v>247.06</v>
      </c>
      <c r="I158" s="7">
        <f t="shared" si="19"/>
        <v>234.91</v>
      </c>
      <c r="J158" s="7">
        <v>227.23</v>
      </c>
      <c r="K158" s="5">
        <f t="shared" si="20"/>
        <v>3.2693371929675226</v>
      </c>
      <c r="L158" s="4">
        <f t="shared" si="21"/>
        <v>4496.0028113223061</v>
      </c>
      <c r="M158" s="2">
        <v>41957</v>
      </c>
      <c r="N158" s="7">
        <v>1.52</v>
      </c>
      <c r="O158" s="7">
        <f t="shared" si="39"/>
        <v>3.1910291186793418</v>
      </c>
      <c r="P158" s="7">
        <v>1.1259999999999999</v>
      </c>
      <c r="Q158" s="7">
        <v>1.7479999999999998</v>
      </c>
      <c r="R158" s="6">
        <f t="shared" si="23"/>
        <v>0.35286421969913356</v>
      </c>
      <c r="S158" s="6">
        <f t="shared" si="24"/>
        <v>0.54778566255247374</v>
      </c>
      <c r="T158" s="6">
        <f t="shared" si="25"/>
        <v>9.9350117748392641E-2</v>
      </c>
      <c r="U158" s="4">
        <f t="shared" si="32"/>
        <v>1640.0988866862358</v>
      </c>
      <c r="V158" s="4">
        <f t="shared" si="33"/>
        <v>2546.086015921439</v>
      </c>
      <c r="W158" s="4">
        <f t="shared" si="26"/>
        <v>4186.1849026076743</v>
      </c>
      <c r="X158" s="4">
        <f t="shared" si="27"/>
        <v>1586.4785237823564</v>
      </c>
      <c r="Y158" s="4">
        <f t="shared" si="28"/>
        <v>2462.8458788379739</v>
      </c>
      <c r="Z158" s="4">
        <f t="shared" si="29"/>
        <v>4049.3244026203301</v>
      </c>
      <c r="AF158" s="3"/>
      <c r="AH158" s="7"/>
      <c r="AI158" s="7"/>
      <c r="AJ158" s="7"/>
      <c r="AK158" s="7"/>
      <c r="AL158" s="3"/>
      <c r="AM158" s="9"/>
      <c r="AN158" s="9"/>
      <c r="AO158" s="3"/>
      <c r="AP158" s="3"/>
      <c r="AQ158" s="3"/>
      <c r="AU158" s="3"/>
      <c r="AV158" s="3"/>
      <c r="AW158" s="3"/>
      <c r="AX158" s="3"/>
      <c r="AY158" s="3"/>
      <c r="AZ158" s="3"/>
    </row>
    <row r="159" spans="1:52" x14ac:dyDescent="0.25">
      <c r="A159">
        <v>119</v>
      </c>
      <c r="B159" s="1" t="s">
        <v>157</v>
      </c>
      <c r="C159" s="1" t="s">
        <v>160</v>
      </c>
      <c r="D159" s="2">
        <v>41955</v>
      </c>
      <c r="E159" s="3">
        <v>23.599999999999998</v>
      </c>
      <c r="F159" s="4">
        <f t="shared" si="18"/>
        <v>3608.2849746521406</v>
      </c>
      <c r="G159" s="7">
        <v>12.06</v>
      </c>
      <c r="H159" s="7">
        <v>268.10000000000002</v>
      </c>
      <c r="I159" s="7">
        <f t="shared" si="19"/>
        <v>256.04000000000002</v>
      </c>
      <c r="J159" s="7">
        <v>244.98</v>
      </c>
      <c r="K159" s="5">
        <f t="shared" si="20"/>
        <v>4.3196375566317879</v>
      </c>
      <c r="L159" s="4">
        <f t="shared" si="21"/>
        <v>3452.4201417367649</v>
      </c>
      <c r="M159" s="2">
        <v>41957</v>
      </c>
      <c r="N159" s="7">
        <v>1.3</v>
      </c>
      <c r="O159" s="7">
        <f t="shared" si="39"/>
        <v>2.7060117462389108</v>
      </c>
      <c r="P159" s="7">
        <v>0.874</v>
      </c>
      <c r="Q159" s="7">
        <v>1.496</v>
      </c>
      <c r="R159" s="6">
        <f t="shared" si="23"/>
        <v>0.3229845551168703</v>
      </c>
      <c r="S159" s="6">
        <f t="shared" si="24"/>
        <v>0.55284312866686269</v>
      </c>
      <c r="T159" s="6">
        <f t="shared" si="25"/>
        <v>0.12417231621626701</v>
      </c>
      <c r="U159" s="4">
        <f t="shared" si="32"/>
        <v>1165.4203172729092</v>
      </c>
      <c r="V159" s="4">
        <f t="shared" si="33"/>
        <v>1994.8155545083207</v>
      </c>
      <c r="W159" s="4">
        <f t="shared" si="26"/>
        <v>3160.2358717812299</v>
      </c>
      <c r="X159" s="4">
        <f t="shared" si="27"/>
        <v>1115.0783835553714</v>
      </c>
      <c r="Y159" s="4">
        <f t="shared" si="28"/>
        <v>1908.6467526302467</v>
      </c>
      <c r="Z159" s="4">
        <f t="shared" si="29"/>
        <v>3023.7251361856179</v>
      </c>
      <c r="AF159" s="3"/>
      <c r="AH159" s="7"/>
      <c r="AI159" s="7"/>
      <c r="AJ159" s="7"/>
      <c r="AK159" s="7"/>
      <c r="AL159" s="3"/>
      <c r="AM159" s="9"/>
      <c r="AN159" s="9"/>
      <c r="AO159" s="3"/>
      <c r="AP159" s="3"/>
      <c r="AQ159" s="3"/>
      <c r="AU159" s="3"/>
      <c r="AV159" s="3"/>
      <c r="AW159" s="3"/>
      <c r="AX159" s="3"/>
      <c r="AY159" s="3"/>
      <c r="AZ159" s="3"/>
    </row>
    <row r="160" spans="1:52" x14ac:dyDescent="0.25">
      <c r="A160">
        <v>120</v>
      </c>
      <c r="B160" s="1" t="s">
        <v>158</v>
      </c>
      <c r="C160" s="1" t="s">
        <v>160</v>
      </c>
      <c r="D160" s="2">
        <v>41955</v>
      </c>
      <c r="E160" s="3">
        <v>21.2</v>
      </c>
      <c r="F160" s="4">
        <f t="shared" si="18"/>
        <v>3241.3407399417538</v>
      </c>
      <c r="G160" s="7">
        <v>12.12</v>
      </c>
      <c r="H160" s="7">
        <v>238.82</v>
      </c>
      <c r="I160" s="7">
        <f t="shared" si="19"/>
        <v>226.7</v>
      </c>
      <c r="J160" s="7">
        <v>216.26</v>
      </c>
      <c r="K160" s="5">
        <f t="shared" si="20"/>
        <v>4.6052051168945738</v>
      </c>
      <c r="L160" s="4">
        <f t="shared" si="21"/>
        <v>3092.0703503299678</v>
      </c>
      <c r="M160" s="2">
        <v>41957</v>
      </c>
      <c r="N160" s="7">
        <v>1.57</v>
      </c>
      <c r="O160" s="7">
        <f t="shared" si="39"/>
        <v>3.3012603396885307</v>
      </c>
      <c r="P160" s="7">
        <v>1.1259999999999999</v>
      </c>
      <c r="Q160" s="7">
        <v>1.8109999999999995</v>
      </c>
      <c r="R160" s="6">
        <f t="shared" si="23"/>
        <v>0.34108185484887765</v>
      </c>
      <c r="S160" s="6">
        <f t="shared" si="24"/>
        <v>0.54857836512550384</v>
      </c>
      <c r="T160" s="6">
        <f t="shared" si="25"/>
        <v>0.11033978002561851</v>
      </c>
      <c r="U160" s="4">
        <f t="shared" si="32"/>
        <v>1105.5625117765669</v>
      </c>
      <c r="V160" s="4">
        <f t="shared" si="33"/>
        <v>1778.1294039319382</v>
      </c>
      <c r="W160" s="4">
        <f t="shared" si="26"/>
        <v>2883.6919157085049</v>
      </c>
      <c r="X160" s="4">
        <f t="shared" si="27"/>
        <v>1054.6490904137643</v>
      </c>
      <c r="Y160" s="4">
        <f t="shared" si="28"/>
        <v>1696.2428976370577</v>
      </c>
      <c r="Z160" s="4">
        <f t="shared" si="29"/>
        <v>2750.891988050822</v>
      </c>
      <c r="AF160" s="3"/>
      <c r="AH160" s="7"/>
      <c r="AI160" s="7"/>
      <c r="AJ160" s="7"/>
      <c r="AK160" s="7"/>
      <c r="AL160" s="3"/>
      <c r="AM160" s="9"/>
      <c r="AN160" s="9"/>
      <c r="AO160" s="3"/>
      <c r="AP160" s="3"/>
      <c r="AQ160" s="3"/>
      <c r="AU160" s="3"/>
      <c r="AV160" s="3"/>
      <c r="AW160" s="3"/>
      <c r="AX160" s="3"/>
      <c r="AY160" s="3"/>
      <c r="AZ160" s="3"/>
    </row>
    <row r="161" spans="1:43" x14ac:dyDescent="0.25">
      <c r="A161">
        <v>121</v>
      </c>
      <c r="B161" s="1" t="s">
        <v>159</v>
      </c>
      <c r="C161" s="1" t="s">
        <v>160</v>
      </c>
      <c r="D161" s="2">
        <v>41955</v>
      </c>
      <c r="E161" s="3">
        <v>24.400000000000002</v>
      </c>
      <c r="F161" s="4">
        <f t="shared" si="18"/>
        <v>3730.5997195556033</v>
      </c>
      <c r="G161" s="7">
        <v>12.08</v>
      </c>
      <c r="H161" s="7">
        <v>216.36</v>
      </c>
      <c r="I161" s="7">
        <f t="shared" si="19"/>
        <v>204.28</v>
      </c>
      <c r="J161" s="7">
        <v>194.69</v>
      </c>
      <c r="K161" s="5">
        <f t="shared" si="20"/>
        <v>4.6945369101233618</v>
      </c>
      <c r="L161" s="4">
        <f t="shared" si="21"/>
        <v>3555.4653387521071</v>
      </c>
      <c r="M161" s="2">
        <v>41957</v>
      </c>
      <c r="N161" s="7">
        <v>2.04</v>
      </c>
      <c r="O161" s="7">
        <f t="shared" si="39"/>
        <v>4.3374338171749063</v>
      </c>
      <c r="P161" s="7">
        <v>1.5590000000000002</v>
      </c>
      <c r="Q161" s="7">
        <v>2.4330000000000003</v>
      </c>
      <c r="R161" s="6">
        <f t="shared" si="23"/>
        <v>0.35942911539695171</v>
      </c>
      <c r="S161" s="6">
        <f t="shared" si="24"/>
        <v>0.5609307490447617</v>
      </c>
      <c r="T161" s="6">
        <f t="shared" si="25"/>
        <v>7.9640135558286529E-2</v>
      </c>
      <c r="U161" s="4">
        <f t="shared" si="32"/>
        <v>1340.8861570999866</v>
      </c>
      <c r="V161" s="4">
        <f t="shared" si="33"/>
        <v>2092.6080950765027</v>
      </c>
      <c r="W161" s="4">
        <f t="shared" si="26"/>
        <v>3433.4942521764892</v>
      </c>
      <c r="X161" s="4">
        <f t="shared" si="27"/>
        <v>1277.937761532193</v>
      </c>
      <c r="Y161" s="4">
        <f t="shared" si="28"/>
        <v>1994.3698356689067</v>
      </c>
      <c r="Z161" s="4">
        <f t="shared" si="29"/>
        <v>3272.3075972010997</v>
      </c>
      <c r="AF161" s="3"/>
      <c r="AG161" s="8"/>
      <c r="AH161" s="7"/>
      <c r="AI161" s="7"/>
      <c r="AJ161" s="7"/>
      <c r="AK161" s="7"/>
      <c r="AL161" s="9"/>
      <c r="AM161" s="9"/>
      <c r="AN161" s="9"/>
      <c r="AO161" s="3"/>
      <c r="AP161" s="3"/>
      <c r="AQ161"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174ED-B270-4962-A7F2-21DE7C85D8A3}">
  <dimension ref="A1:Y17"/>
  <sheetViews>
    <sheetView workbookViewId="0"/>
  </sheetViews>
  <sheetFormatPr defaultRowHeight="15" x14ac:dyDescent="0.25"/>
  <cols>
    <col min="3" max="5" width="10.5703125" bestFit="1" customWidth="1"/>
    <col min="7" max="7" width="10.5703125" bestFit="1" customWidth="1"/>
    <col min="12" max="12" width="10.5703125" bestFit="1" customWidth="1"/>
    <col min="16" max="16" width="9.5703125" bestFit="1" customWidth="1"/>
  </cols>
  <sheetData>
    <row r="1" spans="1:25" x14ac:dyDescent="0.25">
      <c r="A1" s="1"/>
      <c r="B1" s="1" t="s">
        <v>0</v>
      </c>
      <c r="C1" s="1" t="s">
        <v>0</v>
      </c>
      <c r="D1" t="s">
        <v>0</v>
      </c>
      <c r="E1" s="1" t="s">
        <v>0</v>
      </c>
      <c r="F1" t="s">
        <v>174</v>
      </c>
      <c r="G1" t="s">
        <v>174</v>
      </c>
      <c r="H1" t="s">
        <v>174</v>
      </c>
      <c r="I1" t="s">
        <v>174</v>
      </c>
      <c r="J1" s="1" t="s">
        <v>174</v>
      </c>
      <c r="K1" s="1" t="s">
        <v>174</v>
      </c>
      <c r="L1" s="1" t="s">
        <v>7</v>
      </c>
      <c r="M1" t="s">
        <v>7</v>
      </c>
      <c r="N1" t="s">
        <v>7</v>
      </c>
      <c r="O1" t="s">
        <v>7</v>
      </c>
      <c r="P1" t="s">
        <v>7</v>
      </c>
      <c r="Q1" s="1" t="s">
        <v>7</v>
      </c>
      <c r="R1" s="1" t="s">
        <v>7</v>
      </c>
      <c r="S1" s="1" t="s">
        <v>7</v>
      </c>
      <c r="T1" s="1" t="s">
        <v>16</v>
      </c>
      <c r="U1" s="1" t="s">
        <v>16</v>
      </c>
      <c r="V1" s="1" t="s">
        <v>16</v>
      </c>
      <c r="W1" s="1" t="s">
        <v>16</v>
      </c>
      <c r="X1" s="1" t="s">
        <v>16</v>
      </c>
      <c r="Y1" s="1" t="s">
        <v>16</v>
      </c>
    </row>
    <row r="2" spans="1:25" x14ac:dyDescent="0.25">
      <c r="A2" s="1"/>
      <c r="B2" s="1"/>
      <c r="C2" s="1"/>
      <c r="E2" s="1"/>
      <c r="G2" t="s">
        <v>177</v>
      </c>
      <c r="H2" t="s">
        <v>178</v>
      </c>
      <c r="I2" t="s">
        <v>179</v>
      </c>
      <c r="J2" s="1"/>
      <c r="K2" s="1"/>
      <c r="L2" s="1"/>
      <c r="Q2" s="1"/>
      <c r="R2" s="1"/>
      <c r="S2" s="1"/>
      <c r="T2" s="1"/>
      <c r="U2" s="1"/>
      <c r="V2" s="1"/>
      <c r="W2" s="1"/>
      <c r="X2" s="1"/>
      <c r="Y2" s="1"/>
    </row>
    <row r="3" spans="1:25" x14ac:dyDescent="0.25">
      <c r="A3" s="1"/>
      <c r="B3" s="1"/>
      <c r="C3" s="1"/>
      <c r="D3" t="s">
        <v>1</v>
      </c>
      <c r="E3" s="1"/>
      <c r="F3" t="s">
        <v>175</v>
      </c>
      <c r="G3" t="s">
        <v>176</v>
      </c>
      <c r="H3" t="s">
        <v>8</v>
      </c>
      <c r="I3" t="s">
        <v>8</v>
      </c>
      <c r="J3" s="1"/>
      <c r="K3" s="1"/>
      <c r="L3" s="1" t="s">
        <v>24</v>
      </c>
      <c r="M3" t="s">
        <v>8</v>
      </c>
      <c r="N3" t="s">
        <v>183</v>
      </c>
      <c r="O3" t="s">
        <v>10</v>
      </c>
      <c r="P3" t="s">
        <v>11</v>
      </c>
      <c r="Q3" s="1"/>
      <c r="R3" s="1"/>
      <c r="S3" s="1"/>
      <c r="T3" s="1"/>
      <c r="U3" s="1"/>
      <c r="V3" s="1"/>
      <c r="W3" s="1"/>
      <c r="X3" s="1"/>
      <c r="Y3" s="1"/>
    </row>
    <row r="4" spans="1:25" x14ac:dyDescent="0.25">
      <c r="A4" s="1" t="s">
        <v>20</v>
      </c>
      <c r="B4" s="1" t="s">
        <v>21</v>
      </c>
      <c r="C4" s="1" t="s">
        <v>2</v>
      </c>
      <c r="D4" t="s">
        <v>171</v>
      </c>
      <c r="E4" s="1" t="s">
        <v>3</v>
      </c>
      <c r="F4" t="s">
        <v>176</v>
      </c>
      <c r="G4" t="s">
        <v>162</v>
      </c>
      <c r="H4" t="s">
        <v>166</v>
      </c>
      <c r="I4" t="s">
        <v>166</v>
      </c>
      <c r="J4" s="1" t="s">
        <v>180</v>
      </c>
      <c r="K4" s="1" t="s">
        <v>181</v>
      </c>
      <c r="L4" s="1" t="s">
        <v>25</v>
      </c>
      <c r="M4" t="s">
        <v>164</v>
      </c>
      <c r="N4" t="s">
        <v>184</v>
      </c>
      <c r="O4" t="s">
        <v>184</v>
      </c>
      <c r="P4" t="s">
        <v>185</v>
      </c>
      <c r="Q4" s="1" t="s">
        <v>12</v>
      </c>
      <c r="R4" s="1" t="s">
        <v>13</v>
      </c>
      <c r="S4" s="1" t="s">
        <v>14</v>
      </c>
      <c r="T4" s="1" t="s">
        <v>17</v>
      </c>
      <c r="U4" s="1" t="s">
        <v>18</v>
      </c>
      <c r="V4" s="1" t="s">
        <v>19</v>
      </c>
      <c r="W4" s="1" t="s">
        <v>186</v>
      </c>
      <c r="X4" s="1" t="s">
        <v>187</v>
      </c>
      <c r="Y4" s="1" t="s">
        <v>188</v>
      </c>
    </row>
    <row r="5" spans="1:25" x14ac:dyDescent="0.25">
      <c r="A5" s="1"/>
      <c r="B5" s="1"/>
      <c r="C5" s="1"/>
      <c r="D5" t="s">
        <v>161</v>
      </c>
      <c r="E5" s="1" t="s">
        <v>4</v>
      </c>
      <c r="F5" t="s">
        <v>9</v>
      </c>
      <c r="G5" t="s">
        <v>9</v>
      </c>
      <c r="H5" t="s">
        <v>9</v>
      </c>
      <c r="I5" t="s">
        <v>9</v>
      </c>
      <c r="J5" s="1" t="s">
        <v>182</v>
      </c>
      <c r="K5" s="5" t="s">
        <v>4</v>
      </c>
      <c r="L5" s="5"/>
      <c r="M5" s="7" t="s">
        <v>38</v>
      </c>
      <c r="N5" s="7" t="s">
        <v>161</v>
      </c>
      <c r="O5" s="7" t="s">
        <v>161</v>
      </c>
      <c r="P5" t="s">
        <v>161</v>
      </c>
      <c r="Q5" s="1" t="s">
        <v>15</v>
      </c>
      <c r="R5" s="1" t="s">
        <v>15</v>
      </c>
      <c r="S5" s="1" t="s">
        <v>15</v>
      </c>
      <c r="T5" s="1" t="s">
        <v>4</v>
      </c>
      <c r="U5" s="1" t="s">
        <v>4</v>
      </c>
      <c r="V5" s="1" t="s">
        <v>4</v>
      </c>
      <c r="W5" s="1" t="s">
        <v>4</v>
      </c>
      <c r="X5" s="1" t="s">
        <v>4</v>
      </c>
      <c r="Y5" s="1" t="s">
        <v>4</v>
      </c>
    </row>
    <row r="6" spans="1:25" x14ac:dyDescent="0.25">
      <c r="A6" s="1" t="s">
        <v>20</v>
      </c>
      <c r="B6" s="1" t="s">
        <v>21</v>
      </c>
      <c r="C6" s="1" t="s">
        <v>2</v>
      </c>
      <c r="E6" s="1" t="s">
        <v>3</v>
      </c>
      <c r="J6" s="1" t="s">
        <v>180</v>
      </c>
      <c r="K6" s="1" t="s">
        <v>181</v>
      </c>
      <c r="L6" s="1" t="s">
        <v>25</v>
      </c>
      <c r="Q6" s="1" t="s">
        <v>12</v>
      </c>
      <c r="R6" s="1" t="s">
        <v>13</v>
      </c>
      <c r="S6" s="1" t="s">
        <v>14</v>
      </c>
      <c r="T6" s="1" t="s">
        <v>17</v>
      </c>
      <c r="U6" s="1" t="s">
        <v>18</v>
      </c>
      <c r="V6" s="1" t="s">
        <v>19</v>
      </c>
      <c r="W6" s="1" t="s">
        <v>186</v>
      </c>
      <c r="X6" s="1" t="s">
        <v>187</v>
      </c>
      <c r="Y6" s="1" t="s">
        <v>188</v>
      </c>
    </row>
    <row r="7" spans="1:25" x14ac:dyDescent="0.25">
      <c r="A7" s="1" t="s">
        <v>167</v>
      </c>
      <c r="B7" s="1" t="s">
        <v>160</v>
      </c>
      <c r="C7" s="10">
        <v>41955</v>
      </c>
      <c r="D7" s="3">
        <v>294.19999999999993</v>
      </c>
      <c r="E7" s="4">
        <v>4159.1273755441734</v>
      </c>
      <c r="F7" s="7">
        <v>131.18</v>
      </c>
      <c r="G7" s="7">
        <v>2563.6699999999996</v>
      </c>
      <c r="H7" s="7">
        <v>2432.4899999999998</v>
      </c>
      <c r="I7" s="7">
        <v>2268.08</v>
      </c>
      <c r="J7" s="5">
        <v>6.7589178167227777</v>
      </c>
      <c r="K7" s="4">
        <v>3878.0153743383239</v>
      </c>
      <c r="L7" s="10">
        <v>41957</v>
      </c>
      <c r="M7" s="7">
        <v>19.660000000000004</v>
      </c>
      <c r="N7" s="7">
        <v>41.582916100813073</v>
      </c>
      <c r="O7" s="7">
        <v>12.378000000000004</v>
      </c>
      <c r="P7" s="7">
        <v>19.983999999999998</v>
      </c>
      <c r="Q7" s="6">
        <v>0.29767032138849869</v>
      </c>
      <c r="R7" s="6">
        <v>0.48058197629889765</v>
      </c>
      <c r="S7" s="6">
        <v>0.22174770231260366</v>
      </c>
      <c r="T7" s="4">
        <v>1238.0487825739372</v>
      </c>
      <c r="U7" s="4">
        <v>1998.8016538178663</v>
      </c>
      <c r="V7" s="4">
        <v>3236.8504363918037</v>
      </c>
      <c r="W7" s="4">
        <v>1154.3700828288279</v>
      </c>
      <c r="X7" s="4">
        <v>1863.7042927170212</v>
      </c>
      <c r="Y7" s="4">
        <v>3018.0743755458489</v>
      </c>
    </row>
    <row r="8" spans="1:25" x14ac:dyDescent="0.25">
      <c r="A8" s="1" t="s">
        <v>28</v>
      </c>
      <c r="B8" s="1" t="s">
        <v>160</v>
      </c>
      <c r="C8" s="10">
        <v>41955</v>
      </c>
      <c r="D8" s="3">
        <v>277.20000000000005</v>
      </c>
      <c r="E8" s="4">
        <v>3918.797105713275</v>
      </c>
      <c r="F8" s="7">
        <v>130.97</v>
      </c>
      <c r="G8" s="7">
        <v>2403.21</v>
      </c>
      <c r="H8" s="7">
        <v>2272.2400000000002</v>
      </c>
      <c r="I8" s="7">
        <v>2136.6</v>
      </c>
      <c r="J8" s="5">
        <v>5.9694398479034048</v>
      </c>
      <c r="K8" s="4">
        <v>3684.8668697263415</v>
      </c>
      <c r="L8" s="10">
        <v>41957</v>
      </c>
      <c r="M8" s="7">
        <v>13.36</v>
      </c>
      <c r="N8" s="7">
        <v>27.853782253655265</v>
      </c>
      <c r="O8" s="7">
        <v>10.189</v>
      </c>
      <c r="P8" s="7">
        <v>15.023</v>
      </c>
      <c r="Q8" s="6">
        <v>0.36580310376566161</v>
      </c>
      <c r="R8" s="6">
        <v>0.53935224535003767</v>
      </c>
      <c r="S8" s="6">
        <v>9.4844650884300719E-2</v>
      </c>
      <c r="T8" s="4">
        <v>1433.5081442978076</v>
      </c>
      <c r="U8" s="4">
        <v>2113.6120180376838</v>
      </c>
      <c r="V8" s="4">
        <v>3547.1201623354914</v>
      </c>
      <c r="W8" s="4">
        <v>1347.9357379091537</v>
      </c>
      <c r="X8" s="4">
        <v>1987.4412200028671</v>
      </c>
      <c r="Y8" s="4">
        <v>3335.3769579120208</v>
      </c>
    </row>
    <row r="9" spans="1:25" x14ac:dyDescent="0.25">
      <c r="A9" s="1" t="s">
        <v>168</v>
      </c>
      <c r="B9" s="1" t="s">
        <v>160</v>
      </c>
      <c r="C9" s="10">
        <v>41955</v>
      </c>
      <c r="D9" s="3">
        <v>439.4</v>
      </c>
      <c r="E9" s="4">
        <v>6107.3976034751568</v>
      </c>
      <c r="F9" s="7">
        <v>131.08999999999997</v>
      </c>
      <c r="G9" s="7">
        <v>2505.6799999999998</v>
      </c>
      <c r="H9" s="7">
        <v>2374.5899999999997</v>
      </c>
      <c r="I9" s="7">
        <v>2247.2799999999997</v>
      </c>
      <c r="J9" s="5">
        <v>5.3613465903587549</v>
      </c>
      <c r="K9" s="4">
        <v>5779.9588503015893</v>
      </c>
      <c r="L9" s="10">
        <v>41957</v>
      </c>
      <c r="M9" s="7">
        <v>17.41</v>
      </c>
      <c r="N9" s="7">
        <v>36.622511155399572</v>
      </c>
      <c r="O9" s="7">
        <v>13.071</v>
      </c>
      <c r="P9" s="7">
        <v>20.047000000000001</v>
      </c>
      <c r="Q9" s="6">
        <v>0.35691162587229713</v>
      </c>
      <c r="R9" s="6">
        <v>0.54739555993129374</v>
      </c>
      <c r="S9" s="6">
        <v>9.5692814196409182E-2</v>
      </c>
      <c r="T9" s="4">
        <v>2179.8012085048895</v>
      </c>
      <c r="U9" s="4">
        <v>3343.1623308773251</v>
      </c>
      <c r="V9" s="4">
        <v>5522.9635393822145</v>
      </c>
      <c r="W9" s="4">
        <v>2062.9345107361137</v>
      </c>
      <c r="X9" s="4">
        <v>3163.9238112406751</v>
      </c>
      <c r="Y9" s="4">
        <v>5226.8583219767888</v>
      </c>
    </row>
    <row r="10" spans="1:25" x14ac:dyDescent="0.25">
      <c r="A10" s="1" t="s">
        <v>29</v>
      </c>
      <c r="B10" s="1" t="s">
        <v>160</v>
      </c>
      <c r="C10" s="10">
        <v>41955</v>
      </c>
      <c r="D10" s="3">
        <v>327.5</v>
      </c>
      <c r="E10" s="4">
        <v>4552.0544268049925</v>
      </c>
      <c r="F10" s="7">
        <v>131.04</v>
      </c>
      <c r="G10" s="7">
        <v>2494.7000000000003</v>
      </c>
      <c r="H10" s="7">
        <v>2363.6600000000003</v>
      </c>
      <c r="I10" s="7">
        <v>2240.48</v>
      </c>
      <c r="J10" s="5">
        <v>5.2114094243673064</v>
      </c>
      <c r="K10" s="4">
        <v>4314.8282334041478</v>
      </c>
      <c r="L10" s="10">
        <v>41957</v>
      </c>
      <c r="M10" s="7">
        <v>17.12</v>
      </c>
      <c r="N10" s="7">
        <v>35.983170073546276</v>
      </c>
      <c r="O10" s="7">
        <v>12.952999999999999</v>
      </c>
      <c r="P10" s="7">
        <v>19.605999999999998</v>
      </c>
      <c r="Q10" s="6">
        <v>0.35997384259155779</v>
      </c>
      <c r="R10" s="6">
        <v>0.54486583477573391</v>
      </c>
      <c r="S10" s="6">
        <v>9.516032263270835E-2</v>
      </c>
      <c r="T10" s="4">
        <v>1638.6205237029042</v>
      </c>
      <c r="U10" s="4">
        <v>2480.2589352056771</v>
      </c>
      <c r="V10" s="4">
        <v>4118.879458908581</v>
      </c>
      <c r="W10" s="4">
        <v>1553.2252993010341</v>
      </c>
      <c r="X10" s="4">
        <v>2351.0024873076563</v>
      </c>
      <c r="Y10" s="4">
        <v>3904.2277866086906</v>
      </c>
    </row>
    <row r="11" spans="1:25" x14ac:dyDescent="0.25">
      <c r="A11" s="1" t="s">
        <v>30</v>
      </c>
      <c r="B11" s="1" t="s">
        <v>160</v>
      </c>
      <c r="C11" s="10">
        <v>41955</v>
      </c>
      <c r="D11" s="3">
        <v>357.9</v>
      </c>
      <c r="E11" s="4">
        <v>4974.5962728351351</v>
      </c>
      <c r="F11" s="7">
        <v>131.14000000000001</v>
      </c>
      <c r="G11" s="7">
        <v>2420.2600000000002</v>
      </c>
      <c r="H11" s="7">
        <v>2289.1200000000003</v>
      </c>
      <c r="I11" s="7">
        <v>2163.81</v>
      </c>
      <c r="J11" s="5">
        <v>5.4741560075487685</v>
      </c>
      <c r="K11" s="4">
        <v>4702.2791121144337</v>
      </c>
      <c r="L11" s="10">
        <v>41957</v>
      </c>
      <c r="M11" s="7">
        <v>18.2</v>
      </c>
      <c r="N11" s="7">
        <v>38.364164447344749</v>
      </c>
      <c r="O11" s="7">
        <v>13.260000000000002</v>
      </c>
      <c r="P11" s="7">
        <v>20.488</v>
      </c>
      <c r="Q11" s="6">
        <v>0.34563505268567762</v>
      </c>
      <c r="R11" s="6">
        <v>0.53404004218885082</v>
      </c>
      <c r="S11" s="6">
        <v>0.12032490512547156</v>
      </c>
      <c r="T11" s="4">
        <v>1719.3948448513474</v>
      </c>
      <c r="U11" s="4">
        <v>2656.6336034173755</v>
      </c>
      <c r="V11" s="4">
        <v>4376.028448268723</v>
      </c>
      <c r="W11" s="4">
        <v>1625.2724886584338</v>
      </c>
      <c r="X11" s="4">
        <v>2511.205335417344</v>
      </c>
      <c r="Y11" s="4">
        <v>4136.4778240757778</v>
      </c>
    </row>
    <row r="12" spans="1:25" x14ac:dyDescent="0.25">
      <c r="A12" s="1" t="s">
        <v>31</v>
      </c>
      <c r="B12" s="1" t="s">
        <v>160</v>
      </c>
      <c r="C12" s="10">
        <v>41955</v>
      </c>
      <c r="D12" s="3">
        <v>158</v>
      </c>
      <c r="E12" s="4">
        <v>2196.1056471303477</v>
      </c>
      <c r="F12" s="7">
        <v>131.32</v>
      </c>
      <c r="G12" s="7">
        <v>2355.56</v>
      </c>
      <c r="H12" s="7">
        <v>2224.2399999999998</v>
      </c>
      <c r="I12" s="7">
        <v>2105.5099999999998</v>
      </c>
      <c r="J12" s="5">
        <v>5.3380030931913831</v>
      </c>
      <c r="K12" s="4">
        <v>2078.8774597567794</v>
      </c>
      <c r="L12" s="10">
        <v>41957</v>
      </c>
      <c r="M12" s="7">
        <v>16.760000000000002</v>
      </c>
      <c r="N12" s="7">
        <v>35.189505282280116</v>
      </c>
      <c r="O12" s="7">
        <v>12.322999999999999</v>
      </c>
      <c r="P12" s="7">
        <v>19.038999999999998</v>
      </c>
      <c r="Q12" s="6">
        <v>0.35018963469785747</v>
      </c>
      <c r="R12" s="6">
        <v>0.54104199099346817</v>
      </c>
      <c r="S12" s="6">
        <v>0.10876837430867436</v>
      </c>
      <c r="T12" s="4">
        <v>769.0534343264784</v>
      </c>
      <c r="U12" s="4">
        <v>1188.1853717554022</v>
      </c>
      <c r="V12" s="4">
        <v>1957.2388060818807</v>
      </c>
      <c r="W12" s="4">
        <v>728.00133821383645</v>
      </c>
      <c r="X12" s="4">
        <v>1124.7599998582514</v>
      </c>
      <c r="Y12" s="4">
        <v>1852.7613380720877</v>
      </c>
    </row>
    <row r="13" spans="1:25" x14ac:dyDescent="0.25">
      <c r="A13" s="1" t="s">
        <v>32</v>
      </c>
      <c r="B13" s="1" t="s">
        <v>160</v>
      </c>
      <c r="C13" s="10">
        <v>41955</v>
      </c>
      <c r="D13" s="3">
        <v>398.09999999999991</v>
      </c>
      <c r="E13" s="4">
        <v>5533.3522665986793</v>
      </c>
      <c r="F13" s="7">
        <v>131.47</v>
      </c>
      <c r="G13" s="7">
        <v>2529.29</v>
      </c>
      <c r="H13" s="7">
        <v>2397.8200000000002</v>
      </c>
      <c r="I13" s="7">
        <v>2283.5099999999998</v>
      </c>
      <c r="J13" s="5">
        <v>4.7672469159486699</v>
      </c>
      <c r="K13" s="4">
        <v>5269.5637013206779</v>
      </c>
      <c r="L13" s="10">
        <v>41957</v>
      </c>
      <c r="M13" s="7">
        <v>17.64</v>
      </c>
      <c r="N13" s="7">
        <v>37.129574772041842</v>
      </c>
      <c r="O13" s="7">
        <v>12.952999999999999</v>
      </c>
      <c r="P13" s="7">
        <v>20.298999999999996</v>
      </c>
      <c r="Q13" s="6">
        <v>0.34885936829401731</v>
      </c>
      <c r="R13" s="6">
        <v>0.54670704215241694</v>
      </c>
      <c r="S13" s="6">
        <v>0.10443358955356574</v>
      </c>
      <c r="T13" s="4">
        <v>1930.3617762738841</v>
      </c>
      <c r="U13" s="4">
        <v>3025.122650859536</v>
      </c>
      <c r="V13" s="4">
        <v>4955.4844271334205</v>
      </c>
      <c r="W13" s="4">
        <v>1838.3366640278155</v>
      </c>
      <c r="X13" s="4">
        <v>2880.9075845827701</v>
      </c>
      <c r="Y13" s="4">
        <v>4719.2442486105856</v>
      </c>
    </row>
    <row r="14" spans="1:25" x14ac:dyDescent="0.25">
      <c r="A14" s="1" t="s">
        <v>33</v>
      </c>
      <c r="B14" s="1" t="s">
        <v>160</v>
      </c>
      <c r="C14" s="10">
        <v>41955</v>
      </c>
      <c r="D14" s="3">
        <v>342</v>
      </c>
      <c r="E14" s="4">
        <v>4753.5957678391069</v>
      </c>
      <c r="F14" s="7">
        <v>131.93</v>
      </c>
      <c r="G14" s="7">
        <v>2491.79</v>
      </c>
      <c r="H14" s="7">
        <v>2359.86</v>
      </c>
      <c r="I14" s="7">
        <v>2241.88</v>
      </c>
      <c r="J14" s="5">
        <v>4.9994491198630433</v>
      </c>
      <c r="K14" s="4">
        <v>4515.9421660620283</v>
      </c>
      <c r="L14" s="10">
        <v>41957</v>
      </c>
      <c r="M14" s="7">
        <v>14.850000000000001</v>
      </c>
      <c r="N14" s="7">
        <v>31.138672639729094</v>
      </c>
      <c r="O14" s="7">
        <v>10.882000000000001</v>
      </c>
      <c r="P14" s="7">
        <v>16.913</v>
      </c>
      <c r="Q14" s="6">
        <v>0.34946897467029198</v>
      </c>
      <c r="R14" s="6">
        <v>0.54315096201053559</v>
      </c>
      <c r="S14" s="6">
        <v>0.10738006331917249</v>
      </c>
      <c r="T14" s="4">
        <v>1661.234238983772</v>
      </c>
      <c r="U14" s="4">
        <v>2581.9201143110213</v>
      </c>
      <c r="V14" s="4">
        <v>4243.1543532947935</v>
      </c>
      <c r="W14" s="4">
        <v>1578.1816784440343</v>
      </c>
      <c r="X14" s="4">
        <v>2452.8383318805327</v>
      </c>
      <c r="Y14" s="4">
        <v>4031.020010324567</v>
      </c>
    </row>
    <row r="15" spans="1:25" x14ac:dyDescent="0.25">
      <c r="A15" s="1" t="s">
        <v>169</v>
      </c>
      <c r="B15" s="1" t="s">
        <v>160</v>
      </c>
      <c r="C15" s="10">
        <v>41955</v>
      </c>
      <c r="D15" s="3">
        <v>323.79999999999995</v>
      </c>
      <c r="E15" s="4">
        <v>4500.6266363342183</v>
      </c>
      <c r="F15" s="7">
        <v>131.85</v>
      </c>
      <c r="G15" s="7">
        <v>2402.79</v>
      </c>
      <c r="H15" s="7">
        <v>2270.94</v>
      </c>
      <c r="I15" s="7">
        <v>2158.6799999999998</v>
      </c>
      <c r="J15" s="5">
        <v>4.9433274326930796</v>
      </c>
      <c r="K15" s="4">
        <v>4278.1459251772176</v>
      </c>
      <c r="L15" s="10">
        <v>41957</v>
      </c>
      <c r="M15" s="7">
        <v>16.219024560000001</v>
      </c>
      <c r="N15" s="7">
        <v>33.996857616536452</v>
      </c>
      <c r="O15" s="7">
        <v>11.945000000000002</v>
      </c>
      <c r="P15" s="7">
        <v>18.535</v>
      </c>
      <c r="Q15" s="6">
        <v>0.3513560028027361</v>
      </c>
      <c r="R15" s="6">
        <v>0.5451974476307001</v>
      </c>
      <c r="S15" s="6">
        <v>0.10344654956656385</v>
      </c>
      <c r="T15" s="4">
        <v>1581.3221850499144</v>
      </c>
      <c r="U15" s="4">
        <v>2453.7301548681589</v>
      </c>
      <c r="V15" s="4">
        <v>4035.0523399180734</v>
      </c>
      <c r="W15" s="4">
        <v>1503.1522516770806</v>
      </c>
      <c r="X15" s="4">
        <v>2332.434238998299</v>
      </c>
      <c r="Y15" s="4">
        <v>3835.5864906753795</v>
      </c>
    </row>
    <row r="16" spans="1:25" x14ac:dyDescent="0.25">
      <c r="A16" s="1" t="s">
        <v>170</v>
      </c>
      <c r="B16" s="1" t="s">
        <v>160</v>
      </c>
      <c r="C16" s="10">
        <v>41955</v>
      </c>
      <c r="D16" s="3">
        <v>288.10000000000002</v>
      </c>
      <c r="E16" s="4">
        <v>4004.4179553054005</v>
      </c>
      <c r="F16" s="7">
        <v>131.15</v>
      </c>
      <c r="G16" s="7">
        <v>2490.8999999999996</v>
      </c>
      <c r="H16" s="7">
        <v>2359.7499999999995</v>
      </c>
      <c r="I16" s="7">
        <v>2254.7199999999998</v>
      </c>
      <c r="J16" s="5">
        <v>4.4508952219514679</v>
      </c>
      <c r="K16" s="4">
        <v>3826.1855078657459</v>
      </c>
      <c r="L16" s="10">
        <v>41957</v>
      </c>
      <c r="M16" s="7">
        <v>16.259936960000001</v>
      </c>
      <c r="N16" s="7">
        <v>34.087054092664779</v>
      </c>
      <c r="O16" s="7">
        <v>11.942</v>
      </c>
      <c r="P16" s="7">
        <v>18.471999999999998</v>
      </c>
      <c r="Q16" s="6">
        <v>0.3503382829016547</v>
      </c>
      <c r="R16" s="6">
        <v>0.54190661210512181</v>
      </c>
      <c r="S16" s="6">
        <v>0.10775510499322349</v>
      </c>
      <c r="T16" s="4">
        <v>1402.9009104822489</v>
      </c>
      <c r="U16" s="4">
        <v>2170.0205676124688</v>
      </c>
      <c r="V16" s="4">
        <v>3572.9214780947177</v>
      </c>
      <c r="W16" s="4">
        <v>1340.4592608888811</v>
      </c>
      <c r="X16" s="4">
        <v>2073.4352258532413</v>
      </c>
      <c r="Y16" s="4">
        <v>3413.8944867421224</v>
      </c>
    </row>
    <row r="17" spans="1:25" x14ac:dyDescent="0.25">
      <c r="A17" s="1" t="s">
        <v>34</v>
      </c>
      <c r="B17" s="1" t="s">
        <v>160</v>
      </c>
      <c r="C17" s="10">
        <v>41955</v>
      </c>
      <c r="D17" s="3">
        <v>293.99999999999994</v>
      </c>
      <c r="E17" s="4">
        <v>4086.424432002038</v>
      </c>
      <c r="F17" s="7">
        <v>132.4</v>
      </c>
      <c r="G17" s="7">
        <v>2566.58</v>
      </c>
      <c r="H17" s="7">
        <v>2434.1799999999998</v>
      </c>
      <c r="I17" s="7">
        <v>2323.5100000000002</v>
      </c>
      <c r="J17" s="5">
        <v>4.5465002588140413</v>
      </c>
      <c r="K17" s="4">
        <v>3900.6351346248248</v>
      </c>
      <c r="L17" s="10">
        <v>41957</v>
      </c>
      <c r="M17" s="7">
        <v>16.169999999999998</v>
      </c>
      <c r="N17" s="7">
        <v>33.888776874371679</v>
      </c>
      <c r="O17" s="7">
        <v>11.684999999999999</v>
      </c>
      <c r="P17" s="7">
        <v>18.779</v>
      </c>
      <c r="Q17" s="6">
        <v>0.34480441838657083</v>
      </c>
      <c r="R17" s="6">
        <v>0.55413625784179843</v>
      </c>
      <c r="S17" s="6">
        <v>0.10105932377163074</v>
      </c>
      <c r="T17" s="4">
        <v>1409.0171995571359</v>
      </c>
      <c r="U17" s="4">
        <v>2264.4359427029062</v>
      </c>
      <c r="V17" s="4">
        <v>3673.4531422600421</v>
      </c>
      <c r="W17" s="4">
        <v>1344.9562289325361</v>
      </c>
      <c r="X17" s="4">
        <v>2161.4833567072401</v>
      </c>
      <c r="Y17" s="4">
        <v>3506.4395856397759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FB5DC-A560-41D7-B9E2-807CE5257771}">
  <dimension ref="A1:N126"/>
  <sheetViews>
    <sheetView workbookViewId="0"/>
  </sheetViews>
  <sheetFormatPr defaultRowHeight="15" x14ac:dyDescent="0.25"/>
  <sheetData>
    <row r="1" spans="1:14" x14ac:dyDescent="0.25">
      <c r="B1" t="s">
        <v>203</v>
      </c>
      <c r="C1" t="s">
        <v>203</v>
      </c>
    </row>
    <row r="2" spans="1:14" x14ac:dyDescent="0.25">
      <c r="B2" t="s">
        <v>204</v>
      </c>
      <c r="C2" t="s">
        <v>204</v>
      </c>
    </row>
    <row r="4" spans="1:14" x14ac:dyDescent="0.25">
      <c r="B4" t="s">
        <v>200</v>
      </c>
      <c r="C4" t="s">
        <v>201</v>
      </c>
      <c r="N4">
        <v>0</v>
      </c>
    </row>
    <row r="5" spans="1:14" x14ac:dyDescent="0.25">
      <c r="A5" t="s">
        <v>27</v>
      </c>
      <c r="B5" t="s">
        <v>202</v>
      </c>
      <c r="C5" t="s">
        <v>202</v>
      </c>
      <c r="N5">
        <v>4000</v>
      </c>
    </row>
    <row r="6" spans="1:14" x14ac:dyDescent="0.25">
      <c r="A6" t="s">
        <v>39</v>
      </c>
      <c r="B6">
        <v>504.98316440630566</v>
      </c>
      <c r="C6">
        <v>772.29549049544937</v>
      </c>
    </row>
    <row r="7" spans="1:14" x14ac:dyDescent="0.25">
      <c r="A7" t="s">
        <v>40</v>
      </c>
      <c r="B7">
        <v>1478.0394289010023</v>
      </c>
      <c r="C7">
        <v>2361.6265035505789</v>
      </c>
    </row>
    <row r="8" spans="1:14" x14ac:dyDescent="0.25">
      <c r="A8" t="s">
        <v>41</v>
      </c>
      <c r="B8">
        <v>1375.6879827604139</v>
      </c>
      <c r="C8">
        <v>2381.3937118862236</v>
      </c>
    </row>
    <row r="9" spans="1:14" x14ac:dyDescent="0.25">
      <c r="A9" t="s">
        <v>42</v>
      </c>
      <c r="B9">
        <v>1251.8570748743462</v>
      </c>
      <c r="C9">
        <v>2419.5444638179724</v>
      </c>
    </row>
    <row r="10" spans="1:14" x14ac:dyDescent="0.25">
      <c r="A10" t="s">
        <v>43</v>
      </c>
      <c r="B10">
        <v>1374.8667660909473</v>
      </c>
      <c r="C10">
        <v>2156.9202573730981</v>
      </c>
    </row>
    <row r="11" spans="1:14" x14ac:dyDescent="0.25">
      <c r="A11" t="s">
        <v>44</v>
      </c>
      <c r="B11">
        <v>1242.8976934873872</v>
      </c>
      <c r="C11">
        <v>2048.0015508502233</v>
      </c>
    </row>
    <row r="12" spans="1:14" x14ac:dyDescent="0.25">
      <c r="A12" t="s">
        <v>45</v>
      </c>
      <c r="B12">
        <v>921.19503283959568</v>
      </c>
      <c r="C12">
        <v>1425.203497292569</v>
      </c>
    </row>
    <row r="13" spans="1:14" x14ac:dyDescent="0.25">
      <c r="A13" t="s">
        <v>46</v>
      </c>
      <c r="B13">
        <v>719.29361861788743</v>
      </c>
      <c r="C13">
        <v>1257.3252453440673</v>
      </c>
    </row>
    <row r="14" spans="1:14" x14ac:dyDescent="0.25">
      <c r="A14" t="s">
        <v>47</v>
      </c>
      <c r="B14">
        <v>1117.1174700557681</v>
      </c>
      <c r="C14">
        <v>1638.3688954063418</v>
      </c>
    </row>
    <row r="15" spans="1:14" x14ac:dyDescent="0.25">
      <c r="A15" t="s">
        <v>48</v>
      </c>
      <c r="B15">
        <v>1438.5552424922234</v>
      </c>
      <c r="C15">
        <v>2280.3062874876732</v>
      </c>
    </row>
    <row r="16" spans="1:14" x14ac:dyDescent="0.25">
      <c r="A16" t="s">
        <v>49</v>
      </c>
      <c r="B16">
        <v>860.43015400789648</v>
      </c>
      <c r="C16">
        <v>1287.8962528840241</v>
      </c>
    </row>
    <row r="17" spans="1:14" x14ac:dyDescent="0.25">
      <c r="A17" t="s">
        <v>50</v>
      </c>
      <c r="B17">
        <v>1166.8533588792097</v>
      </c>
      <c r="C17">
        <v>1892.636148102079</v>
      </c>
    </row>
    <row r="18" spans="1:14" x14ac:dyDescent="0.25">
      <c r="A18" t="s">
        <v>51</v>
      </c>
      <c r="B18">
        <v>1594.7256733450504</v>
      </c>
      <c r="C18">
        <v>2338.8309734195036</v>
      </c>
    </row>
    <row r="19" spans="1:14" x14ac:dyDescent="0.25">
      <c r="A19" t="s">
        <v>52</v>
      </c>
      <c r="B19">
        <v>1467.1569194095248</v>
      </c>
      <c r="C19">
        <v>2145.1493912391124</v>
      </c>
    </row>
    <row r="20" spans="1:14" x14ac:dyDescent="0.25">
      <c r="A20" t="s">
        <v>53</v>
      </c>
      <c r="B20">
        <v>1412.4657260801625</v>
      </c>
      <c r="C20">
        <v>2024.0633854728735</v>
      </c>
    </row>
    <row r="21" spans="1:14" x14ac:dyDescent="0.25">
      <c r="A21" t="s">
        <v>54</v>
      </c>
      <c r="B21">
        <v>2312.1936000700548</v>
      </c>
      <c r="C21">
        <v>3694.4465624477007</v>
      </c>
      <c r="N21">
        <v>0</v>
      </c>
    </row>
    <row r="22" spans="1:14" x14ac:dyDescent="0.25">
      <c r="A22" t="s">
        <v>55</v>
      </c>
      <c r="B22">
        <v>1409.5384627516698</v>
      </c>
      <c r="C22">
        <v>1983.6966512478812</v>
      </c>
      <c r="N22">
        <v>4000</v>
      </c>
    </row>
    <row r="23" spans="1:14" x14ac:dyDescent="0.25">
      <c r="A23" t="s">
        <v>56</v>
      </c>
      <c r="B23">
        <v>1473.1419585340836</v>
      </c>
      <c r="C23">
        <v>2247.8233835769365</v>
      </c>
    </row>
    <row r="24" spans="1:14" x14ac:dyDescent="0.25">
      <c r="A24" t="s">
        <v>57</v>
      </c>
      <c r="B24">
        <v>1186.4888496897527</v>
      </c>
      <c r="C24">
        <v>1774.9873191358702</v>
      </c>
    </row>
    <row r="25" spans="1:14" x14ac:dyDescent="0.25">
      <c r="A25" t="s">
        <v>58</v>
      </c>
      <c r="B25">
        <v>1544.8217853086537</v>
      </c>
      <c r="C25">
        <v>2116.405845872855</v>
      </c>
    </row>
    <row r="26" spans="1:14" x14ac:dyDescent="0.25">
      <c r="A26" t="s">
        <v>59</v>
      </c>
      <c r="B26">
        <v>1077.522577187219</v>
      </c>
      <c r="C26">
        <v>1552.1684015965095</v>
      </c>
    </row>
    <row r="27" spans="1:14" x14ac:dyDescent="0.25">
      <c r="A27" t="s">
        <v>60</v>
      </c>
      <c r="B27">
        <v>575.84765036112901</v>
      </c>
      <c r="C27">
        <v>880.67202024279413</v>
      </c>
    </row>
    <row r="28" spans="1:14" x14ac:dyDescent="0.25">
      <c r="A28" t="s">
        <v>61</v>
      </c>
      <c r="B28">
        <v>2295.4877573170179</v>
      </c>
      <c r="C28">
        <v>3381.2621946182994</v>
      </c>
    </row>
    <row r="29" spans="1:14" x14ac:dyDescent="0.25">
      <c r="A29" t="s">
        <v>62</v>
      </c>
      <c r="B29">
        <v>1880.7833971766117</v>
      </c>
      <c r="C29">
        <v>3024.954469171264</v>
      </c>
    </row>
    <row r="30" spans="1:14" x14ac:dyDescent="0.25">
      <c r="A30" t="s">
        <v>63</v>
      </c>
      <c r="B30">
        <v>2229.5328327923744</v>
      </c>
      <c r="C30">
        <v>3390.9244605207214</v>
      </c>
    </row>
    <row r="31" spans="1:14" x14ac:dyDescent="0.25">
      <c r="A31" t="s">
        <v>64</v>
      </c>
      <c r="B31">
        <v>2137.757699506074</v>
      </c>
      <c r="C31">
        <v>3515.334392038209</v>
      </c>
    </row>
    <row r="32" spans="1:14" x14ac:dyDescent="0.25">
      <c r="A32" t="s">
        <v>65</v>
      </c>
      <c r="B32">
        <v>2321.7365352039474</v>
      </c>
      <c r="C32">
        <v>3475.1871141950451</v>
      </c>
    </row>
    <row r="33" spans="1:3" x14ac:dyDescent="0.25">
      <c r="A33" t="s">
        <v>66</v>
      </c>
      <c r="B33">
        <v>2101.7883217009762</v>
      </c>
      <c r="C33">
        <v>3207.0561221062871</v>
      </c>
    </row>
    <row r="34" spans="1:3" x14ac:dyDescent="0.25">
      <c r="A34" t="s">
        <v>67</v>
      </c>
      <c r="B34">
        <v>2081.3786150778192</v>
      </c>
      <c r="C34">
        <v>3114.6740376608573</v>
      </c>
    </row>
    <row r="35" spans="1:3" x14ac:dyDescent="0.25">
      <c r="A35" t="s">
        <v>68</v>
      </c>
      <c r="B35">
        <v>2083.492627117957</v>
      </c>
      <c r="C35">
        <v>3274.2675479899781</v>
      </c>
    </row>
    <row r="36" spans="1:3" x14ac:dyDescent="0.25">
      <c r="A36" t="s">
        <v>69</v>
      </c>
      <c r="B36">
        <v>2019.936874316837</v>
      </c>
      <c r="C36">
        <v>2969.5960103497309</v>
      </c>
    </row>
    <row r="37" spans="1:3" x14ac:dyDescent="0.25">
      <c r="A37" t="s">
        <v>70</v>
      </c>
      <c r="B37">
        <v>1827.094345013963</v>
      </c>
      <c r="C37">
        <v>2963.5470276126489</v>
      </c>
    </row>
    <row r="38" spans="1:3" x14ac:dyDescent="0.25">
      <c r="A38" t="s">
        <v>71</v>
      </c>
      <c r="B38">
        <v>1690.442265238004</v>
      </c>
      <c r="C38">
        <v>2485.1918247569643</v>
      </c>
    </row>
    <row r="39" spans="1:3" x14ac:dyDescent="0.25">
      <c r="A39" t="s">
        <v>72</v>
      </c>
      <c r="B39">
        <v>1560.5200005786185</v>
      </c>
      <c r="C39">
        <v>2422.5479227454925</v>
      </c>
    </row>
    <row r="40" spans="1:3" x14ac:dyDescent="0.25">
      <c r="A40" t="s">
        <v>73</v>
      </c>
      <c r="B40">
        <v>1606.6398436191373</v>
      </c>
      <c r="C40">
        <v>2404.2523414726879</v>
      </c>
    </row>
    <row r="41" spans="1:3" x14ac:dyDescent="0.25">
      <c r="A41" t="s">
        <v>74</v>
      </c>
      <c r="B41">
        <v>1908.3760002665799</v>
      </c>
      <c r="C41">
        <v>2962.5588352273367</v>
      </c>
    </row>
    <row r="42" spans="1:3" x14ac:dyDescent="0.25">
      <c r="A42" t="s">
        <v>75</v>
      </c>
      <c r="B42">
        <v>1522.0003896655999</v>
      </c>
      <c r="C42">
        <v>2232.1717850316741</v>
      </c>
    </row>
    <row r="43" spans="1:3" x14ac:dyDescent="0.25">
      <c r="A43" t="s">
        <v>76</v>
      </c>
      <c r="B43">
        <v>1861.2067002463687</v>
      </c>
      <c r="C43">
        <v>2830.7326239488498</v>
      </c>
    </row>
    <row r="44" spans="1:3" x14ac:dyDescent="0.25">
      <c r="A44" t="s">
        <v>77</v>
      </c>
      <c r="B44">
        <v>1689.422803980865</v>
      </c>
      <c r="C44">
        <v>2528.1327040033375</v>
      </c>
    </row>
    <row r="45" spans="1:3" x14ac:dyDescent="0.25">
      <c r="A45" t="s">
        <v>78</v>
      </c>
      <c r="B45">
        <v>1598.9547373943958</v>
      </c>
      <c r="C45">
        <v>2435.4138178479816</v>
      </c>
    </row>
    <row r="46" spans="1:3" x14ac:dyDescent="0.25">
      <c r="A46" t="s">
        <v>79</v>
      </c>
      <c r="B46">
        <v>1511.9707058023721</v>
      </c>
      <c r="C46">
        <v>2262.5849371909389</v>
      </c>
    </row>
    <row r="47" spans="1:3" x14ac:dyDescent="0.25">
      <c r="A47" t="s">
        <v>80</v>
      </c>
      <c r="B47">
        <v>1464.2796231541126</v>
      </c>
      <c r="C47">
        <v>2227.041251945418</v>
      </c>
    </row>
    <row r="48" spans="1:3" x14ac:dyDescent="0.25">
      <c r="A48" t="s">
        <v>81</v>
      </c>
      <c r="B48">
        <v>1189.2337316357093</v>
      </c>
      <c r="C48">
        <v>1811.3560033576694</v>
      </c>
    </row>
    <row r="49" spans="1:3" x14ac:dyDescent="0.25">
      <c r="A49" t="s">
        <v>82</v>
      </c>
      <c r="B49">
        <v>1193.6533766681105</v>
      </c>
      <c r="C49">
        <v>1786.6664759393282</v>
      </c>
    </row>
    <row r="50" spans="1:3" x14ac:dyDescent="0.25">
      <c r="A50" t="s">
        <v>83</v>
      </c>
      <c r="B50">
        <v>1465.450676297786</v>
      </c>
      <c r="C50">
        <v>2236.0874853763012</v>
      </c>
    </row>
    <row r="51" spans="1:3" x14ac:dyDescent="0.25">
      <c r="A51" t="s">
        <v>84</v>
      </c>
      <c r="B51">
        <v>1520.7221494151618</v>
      </c>
      <c r="C51">
        <v>2396.8320504659491</v>
      </c>
    </row>
    <row r="52" spans="1:3" x14ac:dyDescent="0.25">
      <c r="A52" t="s">
        <v>85</v>
      </c>
      <c r="B52">
        <v>1773.8174930974462</v>
      </c>
      <c r="C52">
        <v>2795.739261618683</v>
      </c>
    </row>
    <row r="53" spans="1:3" x14ac:dyDescent="0.25">
      <c r="A53" t="s">
        <v>86</v>
      </c>
      <c r="B53">
        <v>1978.2982447630002</v>
      </c>
      <c r="C53">
        <v>3222.8458369267705</v>
      </c>
    </row>
    <row r="54" spans="1:3" x14ac:dyDescent="0.25">
      <c r="A54" t="s">
        <v>87</v>
      </c>
      <c r="B54">
        <v>1743.5331865158778</v>
      </c>
      <c r="C54">
        <v>2785.1967835716887</v>
      </c>
    </row>
    <row r="55" spans="1:3" x14ac:dyDescent="0.25">
      <c r="A55" t="s">
        <v>88</v>
      </c>
      <c r="B55">
        <v>1592.866852759978</v>
      </c>
      <c r="C55">
        <v>2583.6300351766845</v>
      </c>
    </row>
    <row r="56" spans="1:3" x14ac:dyDescent="0.25">
      <c r="A56" t="s">
        <v>89</v>
      </c>
      <c r="B56">
        <v>1579.4844231563418</v>
      </c>
      <c r="C56">
        <v>2363.6156776362668</v>
      </c>
    </row>
    <row r="57" spans="1:3" x14ac:dyDescent="0.25">
      <c r="A57" t="s">
        <v>90</v>
      </c>
      <c r="B57">
        <v>1881.9914261214974</v>
      </c>
      <c r="C57">
        <v>2772.1805265379007</v>
      </c>
    </row>
    <row r="58" spans="1:3" x14ac:dyDescent="0.25">
      <c r="A58" t="s">
        <v>91</v>
      </c>
      <c r="B58">
        <v>1790.016478571074</v>
      </c>
      <c r="C58">
        <v>2726.4254354013565</v>
      </c>
    </row>
    <row r="59" spans="1:3" x14ac:dyDescent="0.25">
      <c r="A59" t="s">
        <v>92</v>
      </c>
      <c r="B59">
        <v>1272.0926535121782</v>
      </c>
      <c r="C59">
        <v>1968.0858385408053</v>
      </c>
    </row>
    <row r="60" spans="1:3" x14ac:dyDescent="0.25">
      <c r="A60" t="s">
        <v>93</v>
      </c>
      <c r="B60">
        <v>1203.073423968217</v>
      </c>
      <c r="C60">
        <v>1760.3794953652584</v>
      </c>
    </row>
    <row r="61" spans="1:3" x14ac:dyDescent="0.25">
      <c r="A61" t="s">
        <v>94</v>
      </c>
      <c r="B61">
        <v>519.55774715341829</v>
      </c>
      <c r="C61">
        <v>823.56990023848539</v>
      </c>
    </row>
    <row r="62" spans="1:3" x14ac:dyDescent="0.25">
      <c r="A62" t="s">
        <v>95</v>
      </c>
      <c r="B62">
        <v>574.40826154970864</v>
      </c>
      <c r="C62">
        <v>967.87792071125921</v>
      </c>
    </row>
    <row r="63" spans="1:3" x14ac:dyDescent="0.25">
      <c r="A63" t="s">
        <v>96</v>
      </c>
      <c r="B63">
        <v>657.5685072252511</v>
      </c>
      <c r="C63">
        <v>1066.5761187193575</v>
      </c>
    </row>
    <row r="64" spans="1:3" x14ac:dyDescent="0.25">
      <c r="A64" t="s">
        <v>97</v>
      </c>
      <c r="B64">
        <v>870.959037289756</v>
      </c>
      <c r="C64">
        <v>1282.9259735591311</v>
      </c>
    </row>
    <row r="65" spans="1:3" x14ac:dyDescent="0.25">
      <c r="A65" t="s">
        <v>98</v>
      </c>
      <c r="B65">
        <v>686.36542440026028</v>
      </c>
      <c r="C65">
        <v>1113.2847183772224</v>
      </c>
    </row>
    <row r="66" spans="1:3" x14ac:dyDescent="0.25">
      <c r="A66" t="s">
        <v>99</v>
      </c>
      <c r="B66">
        <v>746.53002454191312</v>
      </c>
      <c r="C66">
        <v>1097.5058729177995</v>
      </c>
    </row>
    <row r="67" spans="1:3" x14ac:dyDescent="0.25">
      <c r="A67" t="s">
        <v>100</v>
      </c>
      <c r="B67">
        <v>800.48151873755239</v>
      </c>
      <c r="C67">
        <v>1242.6658035108717</v>
      </c>
    </row>
    <row r="68" spans="1:3" x14ac:dyDescent="0.25">
      <c r="A68" t="s">
        <v>101</v>
      </c>
      <c r="B68">
        <v>932.14732263756548</v>
      </c>
      <c r="C68">
        <v>1395.2428774942471</v>
      </c>
    </row>
    <row r="69" spans="1:3" x14ac:dyDescent="0.25">
      <c r="A69" t="s">
        <v>102</v>
      </c>
      <c r="B69">
        <v>708.307426131645</v>
      </c>
      <c r="C69">
        <v>1099.5749386128909</v>
      </c>
    </row>
    <row r="70" spans="1:3" x14ac:dyDescent="0.25">
      <c r="A70" t="s">
        <v>103</v>
      </c>
      <c r="B70">
        <v>706.85204741375787</v>
      </c>
      <c r="C70">
        <v>1097.3156117932936</v>
      </c>
    </row>
    <row r="71" spans="1:3" x14ac:dyDescent="0.25">
      <c r="A71" t="s">
        <v>104</v>
      </c>
      <c r="B71">
        <v>833.16716825465471</v>
      </c>
      <c r="C71">
        <v>1200.175086064876</v>
      </c>
    </row>
    <row r="72" spans="1:3" x14ac:dyDescent="0.25">
      <c r="A72" t="s">
        <v>105</v>
      </c>
      <c r="B72">
        <v>1434.7963068925774</v>
      </c>
      <c r="C72">
        <v>2227.374728639631</v>
      </c>
    </row>
    <row r="73" spans="1:3" x14ac:dyDescent="0.25">
      <c r="A73" t="s">
        <v>106</v>
      </c>
      <c r="B73">
        <v>1563.5280202980218</v>
      </c>
      <c r="C73">
        <v>2602.1771847588757</v>
      </c>
    </row>
    <row r="74" spans="1:3" x14ac:dyDescent="0.25">
      <c r="A74" t="s">
        <v>107</v>
      </c>
      <c r="B74">
        <v>1937.9382391829035</v>
      </c>
      <c r="C74">
        <v>2998.2319243588527</v>
      </c>
    </row>
    <row r="75" spans="1:3" x14ac:dyDescent="0.25">
      <c r="A75" t="s">
        <v>108</v>
      </c>
      <c r="B75">
        <v>2052.8419941397724</v>
      </c>
      <c r="C75">
        <v>3176.0023503584162</v>
      </c>
    </row>
    <row r="76" spans="1:3" x14ac:dyDescent="0.25">
      <c r="A76" t="s">
        <v>109</v>
      </c>
      <c r="B76">
        <v>1996.2051266114074</v>
      </c>
      <c r="C76">
        <v>3210.5927924451671</v>
      </c>
    </row>
    <row r="77" spans="1:3" x14ac:dyDescent="0.25">
      <c r="A77" t="s">
        <v>110</v>
      </c>
      <c r="B77">
        <v>1732.9866374883773</v>
      </c>
      <c r="C77">
        <v>2823.208676883924</v>
      </c>
    </row>
    <row r="78" spans="1:3" x14ac:dyDescent="0.25">
      <c r="A78" t="s">
        <v>111</v>
      </c>
      <c r="B78">
        <v>2193.0086265154237</v>
      </c>
      <c r="C78">
        <v>3281.7225006025656</v>
      </c>
    </row>
    <row r="79" spans="1:3" x14ac:dyDescent="0.25">
      <c r="A79" t="s">
        <v>112</v>
      </c>
      <c r="B79">
        <v>2209.2456226673162</v>
      </c>
      <c r="C79">
        <v>3306.8101412767969</v>
      </c>
    </row>
    <row r="80" spans="1:3" x14ac:dyDescent="0.25">
      <c r="A80" t="s">
        <v>113</v>
      </c>
      <c r="B80">
        <v>1863.5803016666466</v>
      </c>
      <c r="C80">
        <v>2838.4726041364984</v>
      </c>
    </row>
    <row r="81" spans="1:3" x14ac:dyDescent="0.25">
      <c r="A81" t="s">
        <v>114</v>
      </c>
      <c r="B81">
        <v>1630.4741748138561</v>
      </c>
      <c r="C81">
        <v>2483.4219769452411</v>
      </c>
    </row>
    <row r="82" spans="1:3" x14ac:dyDescent="0.25">
      <c r="A82" t="s">
        <v>115</v>
      </c>
      <c r="B82">
        <v>1657.0720540465406</v>
      </c>
      <c r="C82">
        <v>2757.8623705890031</v>
      </c>
    </row>
    <row r="83" spans="1:3" x14ac:dyDescent="0.25">
      <c r="A83" t="s">
        <v>116</v>
      </c>
      <c r="B83">
        <v>1294.0202933283172</v>
      </c>
      <c r="C83">
        <v>2002.0106295343048</v>
      </c>
    </row>
    <row r="84" spans="1:3" x14ac:dyDescent="0.25">
      <c r="A84" t="s">
        <v>117</v>
      </c>
      <c r="B84">
        <v>1625.9084403167446</v>
      </c>
      <c r="C84">
        <v>2480.9252024400375</v>
      </c>
    </row>
    <row r="85" spans="1:3" x14ac:dyDescent="0.25">
      <c r="A85" t="s">
        <v>118</v>
      </c>
      <c r="B85">
        <v>1689.5242066808075</v>
      </c>
      <c r="C85">
        <v>2678.1263294987398</v>
      </c>
    </row>
    <row r="86" spans="1:3" x14ac:dyDescent="0.25">
      <c r="A86" t="s">
        <v>119</v>
      </c>
      <c r="B86">
        <v>1667.4516620376282</v>
      </c>
      <c r="C86">
        <v>2363.0412536025265</v>
      </c>
    </row>
    <row r="87" spans="1:3" x14ac:dyDescent="0.25">
      <c r="A87" t="s">
        <v>120</v>
      </c>
      <c r="B87">
        <v>1728.8385119560387</v>
      </c>
      <c r="C87">
        <v>2804.1760663926962</v>
      </c>
    </row>
    <row r="88" spans="1:3" x14ac:dyDescent="0.25">
      <c r="A88" t="s">
        <v>121</v>
      </c>
      <c r="B88">
        <v>1655.3937956701584</v>
      </c>
      <c r="C88">
        <v>2345.9533605586348</v>
      </c>
    </row>
    <row r="89" spans="1:3" x14ac:dyDescent="0.25">
      <c r="A89" t="s">
        <v>122</v>
      </c>
      <c r="B89">
        <v>1336.9204823464111</v>
      </c>
      <c r="C89">
        <v>2084.2590319780547</v>
      </c>
    </row>
    <row r="90" spans="1:3" x14ac:dyDescent="0.25">
      <c r="A90" t="s">
        <v>123</v>
      </c>
      <c r="B90">
        <v>1885.7203543447947</v>
      </c>
      <c r="C90">
        <v>3058.6384147472581</v>
      </c>
    </row>
    <row r="91" spans="1:3" x14ac:dyDescent="0.25">
      <c r="A91" t="s">
        <v>124</v>
      </c>
      <c r="B91">
        <v>1711.7814915041415</v>
      </c>
      <c r="C91">
        <v>2814.8579935552566</v>
      </c>
    </row>
    <row r="92" spans="1:3" x14ac:dyDescent="0.25">
      <c r="A92" t="s">
        <v>125</v>
      </c>
      <c r="B92">
        <v>1448.9039442609285</v>
      </c>
      <c r="C92">
        <v>2283.6383444448948</v>
      </c>
    </row>
    <row r="93" spans="1:3" x14ac:dyDescent="0.25">
      <c r="A93" t="s">
        <v>126</v>
      </c>
      <c r="B93">
        <v>1453.8040390614815</v>
      </c>
      <c r="C93">
        <v>2390.6391912318613</v>
      </c>
    </row>
    <row r="94" spans="1:3" x14ac:dyDescent="0.25">
      <c r="A94" t="s">
        <v>127</v>
      </c>
      <c r="B94">
        <v>1210.9558285408432</v>
      </c>
      <c r="C94">
        <v>1964.1703538932484</v>
      </c>
    </row>
    <row r="95" spans="1:3" x14ac:dyDescent="0.25">
      <c r="A95" t="s">
        <v>128</v>
      </c>
      <c r="B95">
        <v>1342.8780384542631</v>
      </c>
      <c r="C95">
        <v>2009.5466205998521</v>
      </c>
    </row>
    <row r="96" spans="1:3" x14ac:dyDescent="0.25">
      <c r="A96" t="s">
        <v>129</v>
      </c>
      <c r="B96">
        <v>1783.6543257916776</v>
      </c>
      <c r="C96">
        <v>2868.7371083558864</v>
      </c>
    </row>
    <row r="97" spans="1:3" x14ac:dyDescent="0.25">
      <c r="A97" t="s">
        <v>130</v>
      </c>
      <c r="B97">
        <v>1914.9622004946571</v>
      </c>
      <c r="C97">
        <v>3079.9258837440702</v>
      </c>
    </row>
    <row r="98" spans="1:3" x14ac:dyDescent="0.25">
      <c r="A98" t="s">
        <v>131</v>
      </c>
      <c r="B98">
        <v>1588.3789123421172</v>
      </c>
      <c r="C98">
        <v>2517.7972411067421</v>
      </c>
    </row>
    <row r="99" spans="1:3" x14ac:dyDescent="0.25">
      <c r="A99" t="s">
        <v>132</v>
      </c>
      <c r="B99">
        <v>1261.6061705052509</v>
      </c>
      <c r="C99">
        <v>1887.9275286868099</v>
      </c>
    </row>
    <row r="100" spans="1:3" x14ac:dyDescent="0.25">
      <c r="A100" t="s">
        <v>133</v>
      </c>
      <c r="B100">
        <v>1670.3465164897154</v>
      </c>
      <c r="C100">
        <v>2584.2341872528573</v>
      </c>
    </row>
    <row r="101" spans="1:3" x14ac:dyDescent="0.25">
      <c r="A101" t="s">
        <v>134</v>
      </c>
      <c r="B101">
        <v>1806.0961763738305</v>
      </c>
      <c r="C101">
        <v>2831.0660888239672</v>
      </c>
    </row>
    <row r="102" spans="1:3" x14ac:dyDescent="0.25">
      <c r="A102" t="s">
        <v>135</v>
      </c>
      <c r="B102">
        <v>1395.4217665125284</v>
      </c>
      <c r="C102">
        <v>2125.4069126612176</v>
      </c>
    </row>
    <row r="103" spans="1:3" x14ac:dyDescent="0.25">
      <c r="A103" t="s">
        <v>136</v>
      </c>
      <c r="B103">
        <v>1262.1317473063805</v>
      </c>
      <c r="C103">
        <v>1925.8491948550793</v>
      </c>
    </row>
    <row r="104" spans="1:3" x14ac:dyDescent="0.25">
      <c r="A104" t="s">
        <v>137</v>
      </c>
      <c r="B104">
        <v>1246.2136415416267</v>
      </c>
      <c r="C104">
        <v>1864.3356077462738</v>
      </c>
    </row>
    <row r="105" spans="1:3" x14ac:dyDescent="0.25">
      <c r="A105" t="s">
        <v>138</v>
      </c>
      <c r="B105">
        <v>1236.6128176798286</v>
      </c>
      <c r="C105">
        <v>1927.8793827628526</v>
      </c>
    </row>
    <row r="106" spans="1:3" x14ac:dyDescent="0.25">
      <c r="A106" t="s">
        <v>139</v>
      </c>
      <c r="B106">
        <v>1144.1821610641859</v>
      </c>
      <c r="C106">
        <v>1711.6965129520224</v>
      </c>
    </row>
    <row r="107" spans="1:3" x14ac:dyDescent="0.25">
      <c r="A107" t="s">
        <v>140</v>
      </c>
      <c r="B107">
        <v>1431.1375752081813</v>
      </c>
      <c r="C107">
        <v>2268.5482730251974</v>
      </c>
    </row>
    <row r="108" spans="1:3" x14ac:dyDescent="0.25">
      <c r="A108" t="s">
        <v>141</v>
      </c>
      <c r="B108">
        <v>1611.017017575429</v>
      </c>
      <c r="C108">
        <v>2390.1061963470765</v>
      </c>
    </row>
    <row r="109" spans="1:3" x14ac:dyDescent="0.25">
      <c r="A109" t="s">
        <v>142</v>
      </c>
      <c r="B109">
        <v>1408.4801068134282</v>
      </c>
      <c r="C109">
        <v>2186.5215157281282</v>
      </c>
    </row>
    <row r="110" spans="1:3" x14ac:dyDescent="0.25">
      <c r="A110" t="s">
        <v>143</v>
      </c>
      <c r="B110">
        <v>1328.4608667894806</v>
      </c>
      <c r="C110">
        <v>1987.9720786325718</v>
      </c>
    </row>
    <row r="111" spans="1:3" x14ac:dyDescent="0.25">
      <c r="A111" t="s">
        <v>144</v>
      </c>
      <c r="B111">
        <v>1583.1985200548902</v>
      </c>
      <c r="C111">
        <v>2797.4395551648063</v>
      </c>
    </row>
    <row r="112" spans="1:3" x14ac:dyDescent="0.25">
      <c r="A112" t="s">
        <v>145</v>
      </c>
      <c r="B112">
        <v>1580.1258643711344</v>
      </c>
      <c r="C112">
        <v>2416.5638886273596</v>
      </c>
    </row>
    <row r="113" spans="1:3" x14ac:dyDescent="0.25">
      <c r="A113" t="s">
        <v>146</v>
      </c>
      <c r="B113">
        <v>1385.7812677274342</v>
      </c>
      <c r="C113">
        <v>2114.5223106809958</v>
      </c>
    </row>
    <row r="114" spans="1:3" x14ac:dyDescent="0.25">
      <c r="A114" t="s">
        <v>147</v>
      </c>
      <c r="B114">
        <v>1012.3816168351444</v>
      </c>
      <c r="C114">
        <v>1604.7629580124346</v>
      </c>
    </row>
    <row r="115" spans="1:3" x14ac:dyDescent="0.25">
      <c r="A115" t="s">
        <v>148</v>
      </c>
      <c r="B115">
        <v>950.71176452055829</v>
      </c>
      <c r="C115">
        <v>1445.9494517422934</v>
      </c>
    </row>
    <row r="116" spans="1:3" x14ac:dyDescent="0.25">
      <c r="A116" t="s">
        <v>149</v>
      </c>
      <c r="B116">
        <v>1481.9113021459634</v>
      </c>
      <c r="C116">
        <v>2429.7241372713574</v>
      </c>
    </row>
    <row r="117" spans="1:3" x14ac:dyDescent="0.25">
      <c r="A117" t="s">
        <v>150</v>
      </c>
      <c r="B117">
        <v>869.35086562048571</v>
      </c>
      <c r="C117">
        <v>1387.9924172553322</v>
      </c>
    </row>
    <row r="118" spans="1:3" x14ac:dyDescent="0.25">
      <c r="A118" t="s">
        <v>151</v>
      </c>
      <c r="B118">
        <v>1286.5520214925953</v>
      </c>
      <c r="C118">
        <v>2227.0943210896371</v>
      </c>
    </row>
    <row r="119" spans="1:3" x14ac:dyDescent="0.25">
      <c r="A119" t="s">
        <v>152</v>
      </c>
      <c r="B119">
        <v>1824.7253431254633</v>
      </c>
      <c r="C119">
        <v>2875.975856196063</v>
      </c>
    </row>
    <row r="120" spans="1:3" x14ac:dyDescent="0.25">
      <c r="A120" t="s">
        <v>153</v>
      </c>
      <c r="B120">
        <v>1541.7592177472495</v>
      </c>
      <c r="C120">
        <v>2479.6855624691548</v>
      </c>
    </row>
    <row r="121" spans="1:3" x14ac:dyDescent="0.25">
      <c r="A121" t="s">
        <v>154</v>
      </c>
      <c r="B121">
        <v>1245.8509737916991</v>
      </c>
      <c r="C121">
        <v>1942.2816681412587</v>
      </c>
    </row>
    <row r="122" spans="1:3" x14ac:dyDescent="0.25">
      <c r="A122" t="s">
        <v>155</v>
      </c>
      <c r="B122">
        <v>1494.2327561728239</v>
      </c>
      <c r="C122">
        <v>2385.669373782865</v>
      </c>
    </row>
    <row r="123" spans="1:3" x14ac:dyDescent="0.25">
      <c r="A123" t="s">
        <v>156</v>
      </c>
      <c r="B123">
        <v>1586.4885758658459</v>
      </c>
      <c r="C123">
        <v>2462.861483670958</v>
      </c>
    </row>
    <row r="124" spans="1:3" x14ac:dyDescent="0.25">
      <c r="A124" t="s">
        <v>157</v>
      </c>
      <c r="B124">
        <v>1115.0854569758517</v>
      </c>
      <c r="C124">
        <v>1908.6588599952793</v>
      </c>
    </row>
    <row r="125" spans="1:3" x14ac:dyDescent="0.25">
      <c r="A125" t="s">
        <v>158</v>
      </c>
      <c r="B125">
        <v>1054.6557713334878</v>
      </c>
      <c r="C125">
        <v>1696.2536428818348</v>
      </c>
    </row>
    <row r="126" spans="1:3" x14ac:dyDescent="0.25">
      <c r="A126" t="s">
        <v>159</v>
      </c>
      <c r="B126">
        <v>1277.945844856406</v>
      </c>
      <c r="C126">
        <v>1994.3824506322233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3AD77-5007-43F3-8481-8FEE781097A8}">
  <dimension ref="A1:AU34"/>
  <sheetViews>
    <sheetView zoomScale="85" zoomScaleNormal="85" workbookViewId="0"/>
  </sheetViews>
  <sheetFormatPr defaultRowHeight="14.25" x14ac:dyDescent="0.2"/>
  <cols>
    <col min="1" max="6" width="9.140625" style="47"/>
    <col min="7" max="7" width="9.28515625" style="47" customWidth="1"/>
    <col min="8" max="8" width="3.42578125" style="47" customWidth="1"/>
    <col min="9" max="9" width="3.28515625" style="47" customWidth="1"/>
    <col min="10" max="10" width="1.42578125" style="47" customWidth="1"/>
    <col min="11" max="11" width="2.28515625" style="47" customWidth="1"/>
    <col min="12" max="12" width="3.28515625" style="47" customWidth="1"/>
    <col min="13" max="13" width="1.42578125" style="47" customWidth="1"/>
    <col min="14" max="14" width="2.28515625" style="47" customWidth="1"/>
    <col min="15" max="15" width="3.28515625" style="47" customWidth="1"/>
    <col min="16" max="16" width="1.42578125" style="47" customWidth="1"/>
    <col min="17" max="17" width="2.28515625" style="47" customWidth="1"/>
    <col min="18" max="18" width="3.28515625" style="47" customWidth="1"/>
    <col min="19" max="19" width="1.42578125" style="47" customWidth="1"/>
    <col min="20" max="20" width="2.28515625" style="47" customWidth="1"/>
    <col min="21" max="21" width="3.28515625" style="47" customWidth="1"/>
    <col min="22" max="22" width="1.42578125" style="47" customWidth="1"/>
    <col min="23" max="23" width="2.28515625" style="47" customWidth="1"/>
    <col min="24" max="24" width="3.28515625" style="47" customWidth="1"/>
    <col min="25" max="25" width="1.42578125" style="47" customWidth="1"/>
    <col min="26" max="26" width="2.28515625" style="47" customWidth="1"/>
    <col min="27" max="27" width="3.28515625" style="47" customWidth="1"/>
    <col min="28" max="28" width="1.42578125" style="47" customWidth="1"/>
    <col min="29" max="29" width="2.28515625" style="47" customWidth="1"/>
    <col min="30" max="30" width="3.28515625" style="47" customWidth="1"/>
    <col min="31" max="31" width="1.42578125" style="47" customWidth="1"/>
    <col min="32" max="32" width="2.28515625" style="47" customWidth="1"/>
    <col min="33" max="33" width="3.28515625" style="47" customWidth="1"/>
    <col min="34" max="34" width="1.42578125" style="47" customWidth="1"/>
    <col min="35" max="35" width="2.28515625" style="47" customWidth="1"/>
    <col min="36" max="36" width="3.28515625" style="47" customWidth="1"/>
    <col min="37" max="37" width="1.42578125" style="47" customWidth="1"/>
    <col min="38" max="38" width="2.28515625" style="47" customWidth="1"/>
    <col min="39" max="39" width="3.28515625" style="47" customWidth="1"/>
    <col min="40" max="40" width="1.42578125" style="47" customWidth="1"/>
    <col min="41" max="41" width="2.28515625" style="47" customWidth="1"/>
    <col min="42" max="42" width="3.28515625" style="47" customWidth="1"/>
    <col min="43" max="43" width="1.42578125" style="47" customWidth="1"/>
    <col min="44" max="44" width="2.28515625" style="47" customWidth="1"/>
    <col min="45" max="45" width="3.28515625" style="47" customWidth="1"/>
    <col min="46" max="46" width="1.42578125" style="47" customWidth="1"/>
    <col min="47" max="47" width="2.28515625" style="47" customWidth="1"/>
    <col min="48" max="16384" width="9.140625" style="47"/>
  </cols>
  <sheetData>
    <row r="1" spans="1:47" x14ac:dyDescent="0.2">
      <c r="A1" s="84">
        <v>2014</v>
      </c>
      <c r="B1" s="47" t="s">
        <v>245</v>
      </c>
    </row>
    <row r="2" spans="1:47" x14ac:dyDescent="0.2">
      <c r="A2" s="84"/>
      <c r="B2" s="47" t="s">
        <v>244</v>
      </c>
    </row>
    <row r="4" spans="1:47" ht="18.75" x14ac:dyDescent="0.3">
      <c r="B4" s="90" t="s">
        <v>284</v>
      </c>
    </row>
    <row r="5" spans="1:47" x14ac:dyDescent="0.2">
      <c r="B5" s="89" t="s">
        <v>283</v>
      </c>
    </row>
    <row r="6" spans="1:47" x14ac:dyDescent="0.2">
      <c r="B6" s="89"/>
    </row>
    <row r="7" spans="1:47" ht="18.75" x14ac:dyDescent="0.3">
      <c r="B7" s="88" t="s">
        <v>282</v>
      </c>
      <c r="C7" s="87"/>
      <c r="D7" s="86"/>
      <c r="E7" s="86"/>
    </row>
    <row r="8" spans="1:47" ht="50.45" customHeight="1" thickBot="1" x14ac:dyDescent="0.25">
      <c r="B8" s="50"/>
      <c r="C8" s="85" t="s">
        <v>281</v>
      </c>
      <c r="D8" s="85" t="s">
        <v>280</v>
      </c>
      <c r="E8" s="84"/>
      <c r="F8" s="83" t="s">
        <v>279</v>
      </c>
      <c r="I8" s="81" t="s">
        <v>278</v>
      </c>
      <c r="J8" s="81"/>
      <c r="K8" s="81"/>
      <c r="L8" s="81" t="s">
        <v>277</v>
      </c>
      <c r="M8" s="81"/>
      <c r="N8" s="81"/>
      <c r="O8" s="81" t="s">
        <v>276</v>
      </c>
      <c r="P8" s="81"/>
      <c r="Q8" s="81"/>
      <c r="R8" s="81" t="s">
        <v>275</v>
      </c>
      <c r="S8" s="81"/>
      <c r="T8" s="81"/>
      <c r="U8" s="81" t="s">
        <v>274</v>
      </c>
      <c r="V8" s="81"/>
      <c r="W8" s="81"/>
      <c r="X8" s="81" t="s">
        <v>273</v>
      </c>
      <c r="Y8" s="81"/>
      <c r="Z8" s="81"/>
      <c r="AA8" s="81" t="s">
        <v>272</v>
      </c>
      <c r="AB8" s="81"/>
      <c r="AC8" s="81"/>
      <c r="AD8" s="81" t="s">
        <v>271</v>
      </c>
      <c r="AE8" s="81"/>
      <c r="AF8" s="81"/>
      <c r="AG8" s="81" t="s">
        <v>270</v>
      </c>
      <c r="AH8" s="81"/>
      <c r="AI8" s="81"/>
      <c r="AJ8" s="81" t="s">
        <v>269</v>
      </c>
      <c r="AK8" s="81"/>
      <c r="AL8" s="81"/>
      <c r="AM8" s="82" t="s">
        <v>268</v>
      </c>
      <c r="AN8" s="82"/>
      <c r="AO8" s="82"/>
      <c r="AP8" s="82" t="s">
        <v>268</v>
      </c>
      <c r="AQ8" s="82"/>
      <c r="AR8" s="82"/>
      <c r="AS8" s="81" t="s">
        <v>267</v>
      </c>
      <c r="AT8" s="81"/>
      <c r="AU8" s="81"/>
    </row>
    <row r="9" spans="1:47" ht="34.9" customHeight="1" thickTop="1" thickBot="1" x14ac:dyDescent="0.25">
      <c r="B9" s="58"/>
      <c r="C9" s="57" t="s">
        <v>248</v>
      </c>
      <c r="D9" s="56"/>
      <c r="E9" s="74"/>
      <c r="I9" s="79" t="s">
        <v>266</v>
      </c>
      <c r="J9" s="79"/>
      <c r="K9" s="79"/>
      <c r="L9" s="79" t="s">
        <v>265</v>
      </c>
      <c r="M9" s="79"/>
      <c r="N9" s="79"/>
      <c r="O9" s="79" t="s">
        <v>264</v>
      </c>
      <c r="P9" s="79"/>
      <c r="Q9" s="79"/>
      <c r="R9" s="79" t="s">
        <v>263</v>
      </c>
      <c r="S9" s="79"/>
      <c r="T9" s="79"/>
      <c r="U9" s="79" t="s">
        <v>262</v>
      </c>
      <c r="V9" s="79"/>
      <c r="W9" s="79"/>
      <c r="X9" s="79" t="s">
        <v>261</v>
      </c>
      <c r="Y9" s="79"/>
      <c r="Z9" s="79"/>
      <c r="AA9" s="79" t="s">
        <v>260</v>
      </c>
      <c r="AB9" s="79"/>
      <c r="AC9" s="79"/>
      <c r="AD9" s="79" t="s">
        <v>259</v>
      </c>
      <c r="AE9" s="79"/>
      <c r="AF9" s="79"/>
      <c r="AG9" s="79" t="s">
        <v>258</v>
      </c>
      <c r="AH9" s="79"/>
      <c r="AI9" s="79"/>
      <c r="AJ9" s="79" t="s">
        <v>257</v>
      </c>
      <c r="AK9" s="79"/>
      <c r="AL9" s="79"/>
      <c r="AM9" s="80" t="s">
        <v>256</v>
      </c>
      <c r="AN9" s="80"/>
      <c r="AO9" s="80"/>
      <c r="AP9" s="80"/>
      <c r="AQ9" s="80"/>
      <c r="AR9" s="80"/>
      <c r="AS9" s="79" t="s">
        <v>255</v>
      </c>
      <c r="AT9" s="79"/>
      <c r="AU9" s="79"/>
    </row>
    <row r="10" spans="1:47" ht="34.9" customHeight="1" x14ac:dyDescent="0.45">
      <c r="B10" s="58"/>
      <c r="C10" s="62">
        <v>11</v>
      </c>
      <c r="D10" s="61"/>
      <c r="E10" s="74"/>
      <c r="H10" s="68" t="s">
        <v>254</v>
      </c>
      <c r="I10" s="77"/>
      <c r="J10" s="76" t="s">
        <v>252</v>
      </c>
      <c r="K10" s="75"/>
      <c r="L10" s="77"/>
      <c r="M10" s="76" t="s">
        <v>253</v>
      </c>
      <c r="N10" s="75"/>
      <c r="O10" s="77"/>
      <c r="P10" s="76" t="s">
        <v>252</v>
      </c>
      <c r="Q10" s="75"/>
      <c r="R10" s="77"/>
      <c r="S10" s="76" t="s">
        <v>253</v>
      </c>
      <c r="T10" s="75"/>
      <c r="U10" s="77"/>
      <c r="V10" s="76" t="s">
        <v>252</v>
      </c>
      <c r="W10" s="75"/>
      <c r="X10" s="77"/>
      <c r="Y10" s="76" t="s">
        <v>253</v>
      </c>
      <c r="Z10" s="75"/>
      <c r="AA10" s="77"/>
      <c r="AB10" s="76" t="s">
        <v>252</v>
      </c>
      <c r="AC10" s="75"/>
      <c r="AD10" s="77"/>
      <c r="AE10" s="76" t="s">
        <v>253</v>
      </c>
      <c r="AF10" s="75"/>
      <c r="AG10" s="77"/>
      <c r="AH10" s="76" t="s">
        <v>252</v>
      </c>
      <c r="AI10" s="75"/>
      <c r="AJ10" s="77"/>
      <c r="AK10" s="76" t="s">
        <v>253</v>
      </c>
      <c r="AL10" s="75"/>
      <c r="AM10" s="77"/>
      <c r="AN10" s="78"/>
      <c r="AO10" s="75"/>
      <c r="AP10" s="77"/>
      <c r="AQ10" s="78"/>
      <c r="AR10" s="75"/>
      <c r="AS10" s="77"/>
      <c r="AT10" s="76" t="s">
        <v>252</v>
      </c>
      <c r="AU10" s="75"/>
    </row>
    <row r="11" spans="1:47" ht="14.45" customHeight="1" thickBot="1" x14ac:dyDescent="0.3">
      <c r="B11" s="58"/>
      <c r="C11" s="60" t="s">
        <v>250</v>
      </c>
      <c r="D11" s="59" t="s">
        <v>249</v>
      </c>
      <c r="E11" s="74"/>
      <c r="H11" s="68"/>
      <c r="I11" s="71"/>
      <c r="J11" s="73"/>
      <c r="K11" s="69"/>
      <c r="L11" s="71"/>
      <c r="M11" s="73"/>
      <c r="N11" s="69"/>
      <c r="O11" s="71"/>
      <c r="P11" s="73"/>
      <c r="Q11" s="69"/>
      <c r="R11" s="71"/>
      <c r="S11" s="73"/>
      <c r="T11" s="69"/>
      <c r="U11" s="71"/>
      <c r="V11" s="73"/>
      <c r="W11" s="69"/>
      <c r="X11" s="71"/>
      <c r="Y11" s="73"/>
      <c r="Z11" s="69"/>
      <c r="AA11" s="71"/>
      <c r="AB11" s="73"/>
      <c r="AC11" s="69"/>
      <c r="AD11" s="71"/>
      <c r="AE11" s="73"/>
      <c r="AF11" s="69"/>
      <c r="AG11" s="71"/>
      <c r="AH11" s="73"/>
      <c r="AI11" s="69"/>
      <c r="AJ11" s="71"/>
      <c r="AK11" s="73"/>
      <c r="AL11" s="69"/>
      <c r="AM11" s="71"/>
      <c r="AO11" s="69"/>
      <c r="AP11" s="71"/>
      <c r="AR11" s="69"/>
      <c r="AS11" s="71"/>
      <c r="AT11" s="73"/>
      <c r="AU11" s="69"/>
    </row>
    <row r="12" spans="1:47" ht="40.15" customHeight="1" x14ac:dyDescent="0.45">
      <c r="B12" s="58"/>
      <c r="C12" s="62">
        <v>10</v>
      </c>
      <c r="D12" s="61"/>
      <c r="E12" s="55"/>
      <c r="H12" s="68"/>
      <c r="I12" s="71"/>
      <c r="J12" s="70" t="s">
        <v>252</v>
      </c>
      <c r="K12" s="69"/>
      <c r="L12" s="71"/>
      <c r="M12" s="70" t="s">
        <v>253</v>
      </c>
      <c r="N12" s="69"/>
      <c r="O12" s="71"/>
      <c r="P12" s="70" t="s">
        <v>252</v>
      </c>
      <c r="Q12" s="69"/>
      <c r="R12" s="71"/>
      <c r="S12" s="70" t="s">
        <v>253</v>
      </c>
      <c r="T12" s="69"/>
      <c r="U12" s="71"/>
      <c r="V12" s="70" t="s">
        <v>252</v>
      </c>
      <c r="W12" s="69"/>
      <c r="X12" s="71"/>
      <c r="Y12" s="70" t="s">
        <v>253</v>
      </c>
      <c r="Z12" s="69"/>
      <c r="AA12" s="71"/>
      <c r="AB12" s="70" t="s">
        <v>252</v>
      </c>
      <c r="AC12" s="69"/>
      <c r="AD12" s="71"/>
      <c r="AE12" s="70" t="s">
        <v>253</v>
      </c>
      <c r="AF12" s="69"/>
      <c r="AG12" s="71"/>
      <c r="AH12" s="70" t="s">
        <v>252</v>
      </c>
      <c r="AI12" s="69"/>
      <c r="AJ12" s="71"/>
      <c r="AK12" s="70" t="s">
        <v>253</v>
      </c>
      <c r="AL12" s="69"/>
      <c r="AM12" s="71"/>
      <c r="AN12" s="72"/>
      <c r="AO12" s="69"/>
      <c r="AP12" s="71"/>
      <c r="AQ12" s="72"/>
      <c r="AR12" s="69"/>
      <c r="AS12" s="71"/>
      <c r="AT12" s="70" t="s">
        <v>252</v>
      </c>
      <c r="AU12" s="69"/>
    </row>
    <row r="13" spans="1:47" ht="14.45" customHeight="1" thickBot="1" x14ac:dyDescent="0.3">
      <c r="B13" s="58"/>
      <c r="C13" s="60" t="s">
        <v>250</v>
      </c>
      <c r="D13" s="59" t="s">
        <v>249</v>
      </c>
      <c r="E13" s="55"/>
      <c r="H13" s="68"/>
      <c r="I13" s="71"/>
      <c r="J13" s="73"/>
      <c r="K13" s="69"/>
      <c r="L13" s="71"/>
      <c r="M13" s="73"/>
      <c r="N13" s="69"/>
      <c r="O13" s="71"/>
      <c r="P13" s="73"/>
      <c r="Q13" s="69"/>
      <c r="R13" s="71"/>
      <c r="S13" s="73"/>
      <c r="T13" s="69"/>
      <c r="U13" s="71"/>
      <c r="V13" s="73"/>
      <c r="W13" s="69"/>
      <c r="X13" s="71"/>
      <c r="Y13" s="73"/>
      <c r="Z13" s="69"/>
      <c r="AA13" s="71"/>
      <c r="AB13" s="73"/>
      <c r="AC13" s="69"/>
      <c r="AD13" s="71"/>
      <c r="AE13" s="73"/>
      <c r="AF13" s="69"/>
      <c r="AG13" s="71"/>
      <c r="AH13" s="73"/>
      <c r="AI13" s="69"/>
      <c r="AJ13" s="71"/>
      <c r="AK13" s="73"/>
      <c r="AL13" s="69"/>
      <c r="AM13" s="71"/>
      <c r="AO13" s="69"/>
      <c r="AP13" s="71"/>
      <c r="AR13" s="69"/>
      <c r="AS13" s="71"/>
      <c r="AT13" s="73"/>
      <c r="AU13" s="69"/>
    </row>
    <row r="14" spans="1:47" ht="39.6" customHeight="1" x14ac:dyDescent="0.45">
      <c r="B14" s="58"/>
      <c r="C14" s="62">
        <v>9</v>
      </c>
      <c r="D14" s="61"/>
      <c r="E14" s="55"/>
      <c r="H14" s="68"/>
      <c r="I14" s="71"/>
      <c r="J14" s="70" t="s">
        <v>252</v>
      </c>
      <c r="K14" s="69"/>
      <c r="L14" s="71"/>
      <c r="M14" s="70" t="s">
        <v>253</v>
      </c>
      <c r="N14" s="69"/>
      <c r="O14" s="71"/>
      <c r="P14" s="70" t="s">
        <v>252</v>
      </c>
      <c r="Q14" s="69"/>
      <c r="R14" s="71"/>
      <c r="S14" s="70" t="s">
        <v>253</v>
      </c>
      <c r="T14" s="69"/>
      <c r="U14" s="71"/>
      <c r="V14" s="70" t="s">
        <v>252</v>
      </c>
      <c r="W14" s="69"/>
      <c r="X14" s="71"/>
      <c r="Y14" s="70" t="s">
        <v>253</v>
      </c>
      <c r="Z14" s="69"/>
      <c r="AA14" s="71"/>
      <c r="AB14" s="70" t="s">
        <v>252</v>
      </c>
      <c r="AC14" s="69"/>
      <c r="AD14" s="71"/>
      <c r="AE14" s="70" t="s">
        <v>253</v>
      </c>
      <c r="AF14" s="69"/>
      <c r="AG14" s="71"/>
      <c r="AH14" s="70" t="s">
        <v>252</v>
      </c>
      <c r="AI14" s="69"/>
      <c r="AJ14" s="71"/>
      <c r="AK14" s="70" t="s">
        <v>253</v>
      </c>
      <c r="AL14" s="69"/>
      <c r="AM14" s="71"/>
      <c r="AN14" s="72"/>
      <c r="AO14" s="69"/>
      <c r="AP14" s="71"/>
      <c r="AQ14" s="72"/>
      <c r="AR14" s="69"/>
      <c r="AS14" s="71"/>
      <c r="AT14" s="70" t="s">
        <v>252</v>
      </c>
      <c r="AU14" s="69"/>
    </row>
    <row r="15" spans="1:47" ht="14.45" customHeight="1" thickBot="1" x14ac:dyDescent="0.3">
      <c r="B15" s="58"/>
      <c r="C15" s="60" t="s">
        <v>250</v>
      </c>
      <c r="D15" s="59" t="s">
        <v>249</v>
      </c>
      <c r="E15" s="55"/>
      <c r="H15" s="68"/>
      <c r="I15" s="66"/>
      <c r="J15" s="65"/>
      <c r="K15" s="64"/>
      <c r="L15" s="66"/>
      <c r="M15" s="65"/>
      <c r="N15" s="64"/>
      <c r="O15" s="66"/>
      <c r="P15" s="65"/>
      <c r="Q15" s="64"/>
      <c r="R15" s="66"/>
      <c r="S15" s="65"/>
      <c r="T15" s="64"/>
      <c r="U15" s="66"/>
      <c r="V15" s="65"/>
      <c r="W15" s="64"/>
      <c r="X15" s="66"/>
      <c r="Y15" s="65"/>
      <c r="Z15" s="64"/>
      <c r="AA15" s="66"/>
      <c r="AB15" s="65"/>
      <c r="AC15" s="64"/>
      <c r="AD15" s="66"/>
      <c r="AE15" s="65"/>
      <c r="AF15" s="64"/>
      <c r="AG15" s="66"/>
      <c r="AH15" s="65"/>
      <c r="AI15" s="64"/>
      <c r="AJ15" s="66"/>
      <c r="AK15" s="65"/>
      <c r="AL15" s="64"/>
      <c r="AM15" s="66"/>
      <c r="AN15" s="67"/>
      <c r="AO15" s="64"/>
      <c r="AP15" s="66"/>
      <c r="AQ15" s="67"/>
      <c r="AR15" s="64"/>
      <c r="AS15" s="66"/>
      <c r="AT15" s="65"/>
      <c r="AU15" s="64"/>
    </row>
    <row r="16" spans="1:47" ht="39.6" customHeight="1" x14ac:dyDescent="0.45">
      <c r="B16" s="58"/>
      <c r="C16" s="62">
        <v>8</v>
      </c>
      <c r="D16" s="61"/>
      <c r="E16" s="55"/>
      <c r="H16" s="63"/>
      <c r="V16" s="47" t="s">
        <v>251</v>
      </c>
    </row>
    <row r="17" spans="2:5" ht="14.45" customHeight="1" thickBot="1" x14ac:dyDescent="0.3">
      <c r="B17" s="58"/>
      <c r="C17" s="60" t="s">
        <v>250</v>
      </c>
      <c r="D17" s="59" t="s">
        <v>249</v>
      </c>
      <c r="E17" s="55"/>
    </row>
    <row r="18" spans="2:5" ht="39.6" customHeight="1" x14ac:dyDescent="0.45">
      <c r="B18" s="58"/>
      <c r="C18" s="62">
        <v>7</v>
      </c>
      <c r="D18" s="61"/>
      <c r="E18" s="55"/>
    </row>
    <row r="19" spans="2:5" ht="14.45" customHeight="1" thickBot="1" x14ac:dyDescent="0.3">
      <c r="B19" s="58"/>
      <c r="C19" s="60" t="s">
        <v>250</v>
      </c>
      <c r="D19" s="59" t="s">
        <v>249</v>
      </c>
      <c r="E19" s="55"/>
    </row>
    <row r="20" spans="2:5" ht="39.6" customHeight="1" x14ac:dyDescent="0.45">
      <c r="B20" s="58"/>
      <c r="C20" s="62">
        <v>6</v>
      </c>
      <c r="D20" s="61"/>
      <c r="E20" s="55"/>
    </row>
    <row r="21" spans="2:5" ht="14.45" customHeight="1" thickBot="1" x14ac:dyDescent="0.3">
      <c r="B21" s="58"/>
      <c r="C21" s="60" t="s">
        <v>250</v>
      </c>
      <c r="D21" s="59" t="s">
        <v>249</v>
      </c>
      <c r="E21" s="55"/>
    </row>
    <row r="22" spans="2:5" ht="39.6" customHeight="1" x14ac:dyDescent="0.45">
      <c r="B22" s="58"/>
      <c r="C22" s="62">
        <v>5</v>
      </c>
      <c r="D22" s="61"/>
      <c r="E22" s="55"/>
    </row>
    <row r="23" spans="2:5" ht="14.45" customHeight="1" thickBot="1" x14ac:dyDescent="0.3">
      <c r="B23" s="58"/>
      <c r="C23" s="60" t="s">
        <v>250</v>
      </c>
      <c r="D23" s="59" t="s">
        <v>249</v>
      </c>
      <c r="E23" s="55"/>
    </row>
    <row r="24" spans="2:5" ht="39.6" customHeight="1" x14ac:dyDescent="0.45">
      <c r="B24" s="58"/>
      <c r="C24" s="62">
        <v>4</v>
      </c>
      <c r="D24" s="61"/>
      <c r="E24" s="55"/>
    </row>
    <row r="25" spans="2:5" ht="14.45" customHeight="1" thickBot="1" x14ac:dyDescent="0.3">
      <c r="B25" s="58"/>
      <c r="C25" s="60" t="s">
        <v>250</v>
      </c>
      <c r="D25" s="59" t="s">
        <v>249</v>
      </c>
      <c r="E25" s="55"/>
    </row>
    <row r="26" spans="2:5" ht="39.6" customHeight="1" x14ac:dyDescent="0.45">
      <c r="B26" s="58"/>
      <c r="C26" s="62">
        <v>3</v>
      </c>
      <c r="D26" s="61"/>
      <c r="E26" s="55"/>
    </row>
    <row r="27" spans="2:5" ht="14.45" customHeight="1" thickBot="1" x14ac:dyDescent="0.3">
      <c r="B27" s="58"/>
      <c r="C27" s="60" t="s">
        <v>250</v>
      </c>
      <c r="D27" s="59" t="s">
        <v>249</v>
      </c>
      <c r="E27" s="55"/>
    </row>
    <row r="28" spans="2:5" ht="39.6" customHeight="1" x14ac:dyDescent="0.45">
      <c r="B28" s="58"/>
      <c r="C28" s="62">
        <v>2</v>
      </c>
      <c r="D28" s="61"/>
      <c r="E28" s="55"/>
    </row>
    <row r="29" spans="2:5" ht="14.45" customHeight="1" thickBot="1" x14ac:dyDescent="0.3">
      <c r="B29" s="58"/>
      <c r="C29" s="60" t="s">
        <v>250</v>
      </c>
      <c r="D29" s="59" t="s">
        <v>249</v>
      </c>
      <c r="E29" s="55"/>
    </row>
    <row r="30" spans="2:5" ht="39.6" customHeight="1" x14ac:dyDescent="0.45">
      <c r="B30" s="58"/>
      <c r="C30" s="62">
        <v>1</v>
      </c>
      <c r="D30" s="61"/>
      <c r="E30" s="55"/>
    </row>
    <row r="31" spans="2:5" ht="14.45" customHeight="1" thickBot="1" x14ac:dyDescent="0.3">
      <c r="B31" s="58"/>
      <c r="C31" s="60" t="s">
        <v>250</v>
      </c>
      <c r="D31" s="59" t="s">
        <v>249</v>
      </c>
      <c r="E31" s="55"/>
    </row>
    <row r="32" spans="2:5" ht="43.15" customHeight="1" thickTop="1" thickBot="1" x14ac:dyDescent="0.25">
      <c r="B32" s="58"/>
      <c r="C32" s="57" t="s">
        <v>248</v>
      </c>
      <c r="D32" s="56"/>
      <c r="E32" s="55"/>
    </row>
    <row r="33" spans="2:5" x14ac:dyDescent="0.2">
      <c r="B33" s="54"/>
      <c r="C33" s="53" t="s">
        <v>247</v>
      </c>
      <c r="D33" s="52"/>
      <c r="E33" s="51"/>
    </row>
    <row r="34" spans="2:5" x14ac:dyDescent="0.2">
      <c r="B34" s="50"/>
      <c r="C34" s="49" t="s">
        <v>246</v>
      </c>
      <c r="D34" s="48"/>
    </row>
  </sheetData>
  <mergeCells count="39">
    <mergeCell ref="R8:T8"/>
    <mergeCell ref="R9:T9"/>
    <mergeCell ref="U8:W8"/>
    <mergeCell ref="AA8:AC8"/>
    <mergeCell ref="AD8:AF8"/>
    <mergeCell ref="AG8:AI8"/>
    <mergeCell ref="AJ8:AL8"/>
    <mergeCell ref="AM8:AO8"/>
    <mergeCell ref="AP8:AR8"/>
    <mergeCell ref="L9:N9"/>
    <mergeCell ref="O8:Q8"/>
    <mergeCell ref="O9:Q9"/>
    <mergeCell ref="AS8:AU8"/>
    <mergeCell ref="AS9:AU9"/>
    <mergeCell ref="H10:H15"/>
    <mergeCell ref="AA9:AC9"/>
    <mergeCell ref="AD9:AF9"/>
    <mergeCell ref="AG9:AI9"/>
    <mergeCell ref="AJ9:AL9"/>
    <mergeCell ref="C24:D24"/>
    <mergeCell ref="C26:D26"/>
    <mergeCell ref="C28:D28"/>
    <mergeCell ref="C30:D30"/>
    <mergeCell ref="U9:W9"/>
    <mergeCell ref="X8:Z8"/>
    <mergeCell ref="X9:Z9"/>
    <mergeCell ref="I9:K9"/>
    <mergeCell ref="I8:K8"/>
    <mergeCell ref="L8:N8"/>
    <mergeCell ref="C33:D33"/>
    <mergeCell ref="C32:D32"/>
    <mergeCell ref="C12:D12"/>
    <mergeCell ref="C14:D14"/>
    <mergeCell ref="C9:D9"/>
    <mergeCell ref="C16:D16"/>
    <mergeCell ref="C18:D18"/>
    <mergeCell ref="C20:D20"/>
    <mergeCell ref="C10:D10"/>
    <mergeCell ref="C22:D22"/>
  </mergeCells>
  <pageMargins left="0.5" right="0.5" top="0.75" bottom="0.75" header="0.3" footer="0.3"/>
  <pageSetup scale="75"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02C3C-4105-4C6D-BCE3-0545D87B7955}">
  <dimension ref="A1:CJ75"/>
  <sheetViews>
    <sheetView zoomScale="80" zoomScaleNormal="80" workbookViewId="0">
      <selection activeCell="G16" sqref="G16:G17"/>
    </sheetView>
  </sheetViews>
  <sheetFormatPr defaultRowHeight="18" x14ac:dyDescent="0.2"/>
  <cols>
    <col min="1" max="1" width="6.42578125" style="91" customWidth="1"/>
    <col min="2" max="2" width="15.5703125" style="84" customWidth="1"/>
    <col min="3" max="3" width="6" style="47" customWidth="1"/>
    <col min="4" max="4" width="6.42578125" style="47" bestFit="1" customWidth="1"/>
    <col min="5" max="5" width="5.5703125" style="47" customWidth="1"/>
    <col min="6" max="7" width="14" style="47" customWidth="1"/>
    <col min="8" max="8" width="36.7109375" style="47" customWidth="1"/>
    <col min="9" max="9" width="3.85546875" style="47" customWidth="1"/>
    <col min="10" max="10" width="15.5703125" style="47" customWidth="1"/>
    <col min="11" max="11" width="6" style="47" customWidth="1"/>
    <col min="12" max="12" width="6.42578125" style="47" bestFit="1" customWidth="1"/>
    <col min="13" max="13" width="5.5703125" style="47" customWidth="1"/>
    <col min="14" max="15" width="14" style="47" customWidth="1"/>
    <col min="16" max="16" width="36.7109375" style="47" customWidth="1"/>
    <col min="17" max="17" width="3.85546875" style="47" customWidth="1"/>
    <col min="18" max="18" width="15.5703125" style="47" customWidth="1"/>
    <col min="19" max="19" width="5.85546875" style="47" bestFit="1" customWidth="1"/>
    <col min="20" max="20" width="6.42578125" style="47" bestFit="1" customWidth="1"/>
    <col min="21" max="21" width="14" style="47" customWidth="1"/>
    <col min="22" max="22" width="9.140625" style="47"/>
    <col min="23" max="23" width="14" style="47" customWidth="1"/>
    <col min="24" max="24" width="36.7109375" style="47" customWidth="1"/>
    <col min="25" max="25" width="3.85546875" style="47" customWidth="1"/>
    <col min="26" max="26" width="15.5703125" style="47" customWidth="1"/>
    <col min="27" max="27" width="5.85546875" style="47" bestFit="1" customWidth="1"/>
    <col min="28" max="28" width="6.42578125" style="47" bestFit="1" customWidth="1"/>
    <col min="29" max="29" width="14" style="47" customWidth="1"/>
    <col min="30" max="30" width="9.140625" style="47"/>
    <col min="31" max="31" width="14" style="47" customWidth="1"/>
    <col min="32" max="32" width="36.7109375" style="47" customWidth="1"/>
    <col min="33" max="33" width="3.85546875" style="47" customWidth="1"/>
    <col min="34" max="34" width="15.5703125" style="47" customWidth="1"/>
    <col min="35" max="35" width="5.85546875" style="47" bestFit="1" customWidth="1"/>
    <col min="36" max="36" width="6.42578125" style="47" bestFit="1" customWidth="1"/>
    <col min="37" max="37" width="14" style="47" customWidth="1"/>
    <col min="38" max="38" width="9.140625" style="47"/>
    <col min="39" max="39" width="14" style="47" customWidth="1"/>
    <col min="40" max="40" width="36.7109375" style="47" customWidth="1"/>
    <col min="41" max="41" width="3.85546875" style="47" customWidth="1"/>
    <col min="42" max="42" width="15.5703125" style="47" customWidth="1"/>
    <col min="43" max="43" width="5.85546875" style="47" bestFit="1" customWidth="1"/>
    <col min="44" max="44" width="6.42578125" style="47" bestFit="1" customWidth="1"/>
    <col min="45" max="45" width="14" style="47" customWidth="1"/>
    <col min="46" max="46" width="9.140625" style="47"/>
    <col min="47" max="47" width="14" style="47" customWidth="1"/>
    <col min="48" max="48" width="36.7109375" style="47" customWidth="1"/>
    <col min="49" max="49" width="3.85546875" style="47" customWidth="1"/>
    <col min="50" max="50" width="15.5703125" style="47" customWidth="1"/>
    <col min="51" max="51" width="5.85546875" style="47" bestFit="1" customWidth="1"/>
    <col min="52" max="52" width="6.42578125" style="47" bestFit="1" customWidth="1"/>
    <col min="53" max="53" width="14" style="47" customWidth="1"/>
    <col min="54" max="54" width="9.140625" style="47"/>
    <col min="55" max="55" width="14" style="47" customWidth="1"/>
    <col min="56" max="56" width="36.7109375" style="47" customWidth="1"/>
    <col min="57" max="57" width="3.85546875" style="47" customWidth="1"/>
    <col min="58" max="58" width="15.5703125" style="47" customWidth="1"/>
    <col min="59" max="59" width="5.85546875" style="47" bestFit="1" customWidth="1"/>
    <col min="60" max="60" width="6.42578125" style="47" bestFit="1" customWidth="1"/>
    <col min="61" max="61" width="14" style="47" customWidth="1"/>
    <col min="62" max="62" width="9.140625" style="47"/>
    <col min="63" max="63" width="14" style="47" customWidth="1"/>
    <col min="64" max="64" width="36.7109375" style="47" customWidth="1"/>
    <col min="65" max="65" width="3.85546875" style="47" customWidth="1"/>
    <col min="66" max="66" width="15.5703125" style="47" customWidth="1"/>
    <col min="67" max="67" width="5.85546875" style="47" bestFit="1" customWidth="1"/>
    <col min="68" max="68" width="5.5703125" style="47" customWidth="1"/>
    <col min="69" max="69" width="14" style="47" customWidth="1"/>
    <col min="70" max="70" width="9.140625" style="47"/>
    <col min="71" max="71" width="14" style="47" customWidth="1"/>
    <col min="72" max="72" width="36.7109375" style="47" customWidth="1"/>
    <col min="73" max="73" width="3.85546875" style="47" customWidth="1"/>
    <col min="74" max="74" width="15.5703125" style="47" customWidth="1"/>
    <col min="75" max="75" width="5.85546875" style="47" bestFit="1" customWidth="1"/>
    <col min="76" max="76" width="6.42578125" style="47" bestFit="1" customWidth="1"/>
    <col min="77" max="77" width="14" style="47" customWidth="1"/>
    <col min="78" max="78" width="9.140625" style="47"/>
    <col min="79" max="79" width="14" style="47" customWidth="1"/>
    <col min="80" max="80" width="36.7109375" style="47" customWidth="1"/>
    <col min="81" max="81" width="3.85546875" style="47" customWidth="1"/>
    <col min="82" max="82" width="15.5703125" style="47" customWidth="1"/>
    <col min="83" max="83" width="5.85546875" style="47" bestFit="1" customWidth="1"/>
    <col min="84" max="84" width="6.42578125" style="47" bestFit="1" customWidth="1"/>
    <col min="85" max="85" width="14" style="47" customWidth="1"/>
    <col min="86" max="86" width="9.140625" style="47"/>
    <col min="87" max="87" width="14" style="47" customWidth="1"/>
    <col min="88" max="88" width="36.7109375" style="47" customWidth="1"/>
    <col min="89" max="16384" width="9.140625" style="47"/>
  </cols>
  <sheetData>
    <row r="1" spans="1:88" ht="15" x14ac:dyDescent="0.25">
      <c r="A1" s="133">
        <v>2014</v>
      </c>
      <c r="B1" s="132" t="s">
        <v>245</v>
      </c>
    </row>
    <row r="2" spans="1:88" ht="15" x14ac:dyDescent="0.25">
      <c r="A2" s="133"/>
      <c r="B2" s="132" t="s">
        <v>244</v>
      </c>
      <c r="C2" s="47" t="s">
        <v>322</v>
      </c>
    </row>
    <row r="3" spans="1:88" ht="14.25" x14ac:dyDescent="0.2">
      <c r="A3" s="84"/>
      <c r="B3" s="47"/>
    </row>
    <row r="4" spans="1:88" ht="15" x14ac:dyDescent="0.25">
      <c r="A4" s="84"/>
      <c r="B4" s="132" t="s">
        <v>321</v>
      </c>
    </row>
    <row r="5" spans="1:88" ht="14.25" x14ac:dyDescent="0.2">
      <c r="A5" s="84"/>
      <c r="B5" s="47"/>
      <c r="C5" s="130" t="s">
        <v>320</v>
      </c>
    </row>
    <row r="6" spans="1:88" ht="14.25" x14ac:dyDescent="0.2">
      <c r="A6" s="84"/>
      <c r="B6" s="47"/>
      <c r="C6" s="130" t="s">
        <v>319</v>
      </c>
    </row>
    <row r="7" spans="1:88" ht="14.25" x14ac:dyDescent="0.2">
      <c r="A7" s="84"/>
      <c r="B7" s="47"/>
      <c r="C7" s="130"/>
    </row>
    <row r="8" spans="1:88" ht="14.25" x14ac:dyDescent="0.2">
      <c r="A8" s="84"/>
      <c r="B8" s="47"/>
      <c r="C8" s="130" t="s">
        <v>318</v>
      </c>
    </row>
    <row r="9" spans="1:88" ht="14.25" x14ac:dyDescent="0.2">
      <c r="A9" s="84"/>
      <c r="B9" s="47"/>
      <c r="C9" s="130" t="s">
        <v>317</v>
      </c>
    </row>
    <row r="10" spans="1:88" ht="14.25" x14ac:dyDescent="0.2">
      <c r="A10" s="84"/>
      <c r="B10" s="47"/>
      <c r="C10" s="131" t="s">
        <v>316</v>
      </c>
    </row>
    <row r="11" spans="1:88" ht="14.25" x14ac:dyDescent="0.2">
      <c r="A11" s="84"/>
      <c r="B11" s="47"/>
      <c r="C11" s="130"/>
    </row>
    <row r="12" spans="1:88" ht="21.6" customHeight="1" x14ac:dyDescent="0.25">
      <c r="A12" s="47"/>
      <c r="D12" s="130"/>
      <c r="F12" s="127" t="s">
        <v>315</v>
      </c>
      <c r="G12" s="127" t="s">
        <v>314</v>
      </c>
      <c r="L12" s="130"/>
      <c r="N12" s="127" t="s">
        <v>315</v>
      </c>
      <c r="O12" s="127" t="s">
        <v>314</v>
      </c>
      <c r="Q12" s="84"/>
      <c r="S12" s="130"/>
      <c r="U12" s="127" t="s">
        <v>315</v>
      </c>
      <c r="W12" s="127" t="s">
        <v>314</v>
      </c>
      <c r="AA12" s="130"/>
      <c r="AC12" s="127" t="s">
        <v>315</v>
      </c>
      <c r="AE12" s="127" t="s">
        <v>314</v>
      </c>
      <c r="AF12" s="84"/>
      <c r="AG12" s="84"/>
      <c r="AI12" s="130"/>
      <c r="AK12" s="127" t="s">
        <v>315</v>
      </c>
      <c r="AM12" s="127" t="s">
        <v>314</v>
      </c>
      <c r="AQ12" s="130"/>
      <c r="AS12" s="127" t="s">
        <v>315</v>
      </c>
      <c r="AU12" s="127" t="s">
        <v>314</v>
      </c>
      <c r="AV12" s="84"/>
      <c r="AW12" s="84"/>
      <c r="AY12" s="130"/>
      <c r="BA12" s="127" t="s">
        <v>315</v>
      </c>
      <c r="BC12" s="127" t="s">
        <v>314</v>
      </c>
      <c r="BG12" s="130"/>
      <c r="BI12" s="127" t="s">
        <v>315</v>
      </c>
      <c r="BK12" s="127" t="s">
        <v>314</v>
      </c>
      <c r="BL12" s="84"/>
      <c r="BM12" s="84"/>
      <c r="BO12" s="130"/>
      <c r="BQ12" s="127" t="s">
        <v>315</v>
      </c>
      <c r="BS12" s="127" t="s">
        <v>314</v>
      </c>
      <c r="BW12" s="130"/>
      <c r="BY12" s="127" t="s">
        <v>315</v>
      </c>
      <c r="CA12" s="127" t="s">
        <v>314</v>
      </c>
      <c r="CE12" s="130"/>
      <c r="CG12" s="127" t="s">
        <v>315</v>
      </c>
      <c r="CI12" s="127" t="s">
        <v>314</v>
      </c>
    </row>
    <row r="13" spans="1:88" ht="23.45" customHeight="1" thickBot="1" x14ac:dyDescent="0.3">
      <c r="A13" s="47"/>
      <c r="C13" s="127" t="s">
        <v>229</v>
      </c>
      <c r="D13" s="127" t="s">
        <v>228</v>
      </c>
      <c r="E13" s="129" t="s">
        <v>313</v>
      </c>
      <c r="F13" s="27" t="s">
        <v>312</v>
      </c>
      <c r="G13" s="128" t="s">
        <v>311</v>
      </c>
      <c r="H13" s="127" t="s">
        <v>310</v>
      </c>
      <c r="K13" s="127" t="s">
        <v>229</v>
      </c>
      <c r="L13" s="127" t="s">
        <v>228</v>
      </c>
      <c r="M13" s="129" t="s">
        <v>313</v>
      </c>
      <c r="N13" s="27" t="s">
        <v>312</v>
      </c>
      <c r="O13" s="128" t="s">
        <v>311</v>
      </c>
      <c r="P13" s="127" t="s">
        <v>310</v>
      </c>
      <c r="R13" s="84"/>
      <c r="S13" s="127" t="s">
        <v>229</v>
      </c>
      <c r="T13" s="127" t="s">
        <v>228</v>
      </c>
      <c r="U13" s="129" t="s">
        <v>313</v>
      </c>
      <c r="V13" s="27" t="s">
        <v>312</v>
      </c>
      <c r="W13" s="128" t="s">
        <v>311</v>
      </c>
      <c r="X13" s="127" t="s">
        <v>310</v>
      </c>
      <c r="Y13" s="127"/>
      <c r="AA13" s="127" t="s">
        <v>229</v>
      </c>
      <c r="AB13" s="127" t="s">
        <v>228</v>
      </c>
      <c r="AC13" s="129" t="s">
        <v>313</v>
      </c>
      <c r="AD13" s="27" t="s">
        <v>312</v>
      </c>
      <c r="AE13" s="128" t="s">
        <v>311</v>
      </c>
      <c r="AF13" s="127" t="s">
        <v>310</v>
      </c>
      <c r="AG13" s="127"/>
      <c r="AH13" s="84"/>
      <c r="AI13" s="127" t="s">
        <v>229</v>
      </c>
      <c r="AJ13" s="127" t="s">
        <v>228</v>
      </c>
      <c r="AK13" s="129" t="s">
        <v>313</v>
      </c>
      <c r="AL13" s="27" t="s">
        <v>312</v>
      </c>
      <c r="AM13" s="128" t="s">
        <v>311</v>
      </c>
      <c r="AN13" s="127" t="s">
        <v>310</v>
      </c>
      <c r="AO13" s="127"/>
      <c r="AQ13" s="127" t="s">
        <v>229</v>
      </c>
      <c r="AR13" s="127" t="s">
        <v>228</v>
      </c>
      <c r="AS13" s="129" t="s">
        <v>313</v>
      </c>
      <c r="AT13" s="27" t="s">
        <v>312</v>
      </c>
      <c r="AU13" s="128" t="s">
        <v>311</v>
      </c>
      <c r="AV13" s="127" t="s">
        <v>310</v>
      </c>
      <c r="AW13" s="127"/>
      <c r="AX13" s="84"/>
      <c r="AY13" s="127" t="s">
        <v>229</v>
      </c>
      <c r="AZ13" s="127" t="s">
        <v>228</v>
      </c>
      <c r="BA13" s="129" t="s">
        <v>313</v>
      </c>
      <c r="BB13" s="27" t="s">
        <v>312</v>
      </c>
      <c r="BC13" s="128" t="s">
        <v>311</v>
      </c>
      <c r="BD13" s="127" t="s">
        <v>310</v>
      </c>
      <c r="BE13" s="127"/>
      <c r="BG13" s="127" t="s">
        <v>229</v>
      </c>
      <c r="BH13" s="127" t="s">
        <v>228</v>
      </c>
      <c r="BI13" s="129" t="s">
        <v>313</v>
      </c>
      <c r="BJ13" s="27" t="s">
        <v>312</v>
      </c>
      <c r="BK13" s="128" t="s">
        <v>311</v>
      </c>
      <c r="BL13" s="127" t="s">
        <v>310</v>
      </c>
      <c r="BM13" s="127"/>
      <c r="BN13" s="84"/>
      <c r="BO13" s="127" t="s">
        <v>229</v>
      </c>
      <c r="BP13" s="127" t="s">
        <v>228</v>
      </c>
      <c r="BQ13" s="129" t="s">
        <v>313</v>
      </c>
      <c r="BR13" s="27" t="s">
        <v>312</v>
      </c>
      <c r="BS13" s="128" t="s">
        <v>311</v>
      </c>
      <c r="BT13" s="127" t="s">
        <v>310</v>
      </c>
      <c r="BU13" s="127"/>
      <c r="BW13" s="127" t="s">
        <v>229</v>
      </c>
      <c r="BX13" s="127" t="s">
        <v>228</v>
      </c>
      <c r="BY13" s="129" t="s">
        <v>313</v>
      </c>
      <c r="BZ13" s="27" t="s">
        <v>312</v>
      </c>
      <c r="CA13" s="128" t="s">
        <v>311</v>
      </c>
      <c r="CB13" s="127" t="s">
        <v>310</v>
      </c>
      <c r="CC13" s="127"/>
      <c r="CE13" s="127" t="s">
        <v>229</v>
      </c>
      <c r="CF13" s="127" t="s">
        <v>228</v>
      </c>
      <c r="CG13" s="129" t="s">
        <v>313</v>
      </c>
      <c r="CH13" s="27" t="s">
        <v>312</v>
      </c>
      <c r="CI13" s="128" t="s">
        <v>311</v>
      </c>
      <c r="CJ13" s="127" t="s">
        <v>310</v>
      </c>
    </row>
    <row r="14" spans="1:88" ht="25.15" customHeight="1" thickBot="1" x14ac:dyDescent="0.25">
      <c r="A14" s="47"/>
      <c r="B14" s="126" t="s">
        <v>309</v>
      </c>
      <c r="C14" s="120">
        <v>1</v>
      </c>
      <c r="D14" s="119">
        <v>-1</v>
      </c>
      <c r="E14" s="112" t="s">
        <v>250</v>
      </c>
      <c r="F14" s="111">
        <v>14.2</v>
      </c>
      <c r="G14" s="118">
        <f>F14+F15-2.2</f>
        <v>13.099999999999998</v>
      </c>
      <c r="H14" s="121" t="s">
        <v>297</v>
      </c>
      <c r="I14" s="123"/>
      <c r="J14" s="126" t="s">
        <v>308</v>
      </c>
      <c r="K14" s="120">
        <v>2</v>
      </c>
      <c r="L14" s="119">
        <v>-1</v>
      </c>
      <c r="M14" s="112" t="s">
        <v>250</v>
      </c>
      <c r="N14" s="111">
        <v>18.399999999999999</v>
      </c>
      <c r="O14" s="118">
        <f>N14+N15-2.3</f>
        <v>25.299999999999997</v>
      </c>
      <c r="P14" s="121" t="s">
        <v>299</v>
      </c>
      <c r="Q14" s="123"/>
      <c r="R14" s="126" t="s">
        <v>307</v>
      </c>
      <c r="S14" s="120">
        <v>3</v>
      </c>
      <c r="T14" s="119">
        <v>-1</v>
      </c>
      <c r="U14" s="112" t="s">
        <v>250</v>
      </c>
      <c r="V14" s="111">
        <v>27.7</v>
      </c>
      <c r="W14" s="118">
        <f>V14+V15-2.2</f>
        <v>43.199999999999996</v>
      </c>
      <c r="X14" s="121" t="s">
        <v>297</v>
      </c>
      <c r="Y14" s="123"/>
      <c r="Z14" s="126" t="s">
        <v>306</v>
      </c>
      <c r="AA14" s="120">
        <v>4</v>
      </c>
      <c r="AB14" s="119">
        <v>-1</v>
      </c>
      <c r="AC14" s="112" t="s">
        <v>250</v>
      </c>
      <c r="AD14" s="111">
        <v>12.3</v>
      </c>
      <c r="AE14" s="118">
        <f>AD14+AD15-2.3</f>
        <v>29.900000000000002</v>
      </c>
      <c r="AF14" s="121" t="s">
        <v>299</v>
      </c>
      <c r="AG14" s="123"/>
      <c r="AH14" s="126" t="s">
        <v>305</v>
      </c>
      <c r="AI14" s="120">
        <v>5</v>
      </c>
      <c r="AJ14" s="119">
        <v>-1</v>
      </c>
      <c r="AK14" s="112" t="s">
        <v>250</v>
      </c>
      <c r="AL14" s="111">
        <v>15.8</v>
      </c>
      <c r="AM14" s="118">
        <f>AL14+AL15-2.2</f>
        <v>28.7</v>
      </c>
      <c r="AN14" s="121" t="s">
        <v>297</v>
      </c>
      <c r="AO14" s="123"/>
      <c r="AP14" s="126" t="s">
        <v>304</v>
      </c>
      <c r="AQ14" s="120">
        <v>6</v>
      </c>
      <c r="AR14" s="119">
        <v>-1</v>
      </c>
      <c r="AS14" s="112" t="s">
        <v>250</v>
      </c>
      <c r="AT14" s="111">
        <v>7.2</v>
      </c>
      <c r="AU14" s="118">
        <f>AT14+AT15-2.3</f>
        <v>11</v>
      </c>
      <c r="AV14" s="121" t="s">
        <v>299</v>
      </c>
      <c r="AW14" s="123"/>
      <c r="AX14" s="126" t="s">
        <v>303</v>
      </c>
      <c r="AY14" s="120">
        <v>7</v>
      </c>
      <c r="AZ14" s="119">
        <v>-1</v>
      </c>
      <c r="BA14" s="112" t="s">
        <v>250</v>
      </c>
      <c r="BB14" s="111">
        <v>13.7</v>
      </c>
      <c r="BC14" s="118">
        <f>BB14+BB15-2.2</f>
        <v>27.099999999999998</v>
      </c>
      <c r="BD14" s="121" t="s">
        <v>297</v>
      </c>
      <c r="BE14" s="123"/>
      <c r="BF14" s="126" t="s">
        <v>302</v>
      </c>
      <c r="BG14" s="120">
        <v>8</v>
      </c>
      <c r="BH14" s="119">
        <v>-1</v>
      </c>
      <c r="BI14" s="112" t="s">
        <v>250</v>
      </c>
      <c r="BJ14" s="111">
        <v>10.5</v>
      </c>
      <c r="BK14" s="118">
        <f>BJ14+BJ15-2.3</f>
        <v>25.5</v>
      </c>
      <c r="BL14" s="121" t="s">
        <v>299</v>
      </c>
      <c r="BM14" s="123"/>
      <c r="BN14" s="126" t="s">
        <v>301</v>
      </c>
      <c r="BO14" s="120">
        <v>9</v>
      </c>
      <c r="BP14" s="119">
        <v>-1</v>
      </c>
      <c r="BQ14" s="112" t="s">
        <v>250</v>
      </c>
      <c r="BR14" s="111">
        <v>21.9</v>
      </c>
      <c r="BS14" s="118">
        <f>BR14+BR15-2.2</f>
        <v>24.9</v>
      </c>
      <c r="BT14" s="121" t="s">
        <v>297</v>
      </c>
      <c r="BU14" s="123"/>
      <c r="BV14" s="126" t="s">
        <v>300</v>
      </c>
      <c r="BW14" s="120">
        <v>10</v>
      </c>
      <c r="BX14" s="119">
        <v>-1</v>
      </c>
      <c r="BY14" s="112" t="s">
        <v>250</v>
      </c>
      <c r="BZ14" s="111">
        <v>13.7</v>
      </c>
      <c r="CA14" s="118">
        <f>BZ14+BZ15-2.3</f>
        <v>24.4</v>
      </c>
      <c r="CB14" s="121" t="s">
        <v>299</v>
      </c>
      <c r="CC14" s="123"/>
      <c r="CD14" s="126" t="s">
        <v>298</v>
      </c>
      <c r="CE14" s="120">
        <v>11</v>
      </c>
      <c r="CF14" s="119">
        <v>-1</v>
      </c>
      <c r="CG14" s="112" t="s">
        <v>250</v>
      </c>
      <c r="CH14" s="111">
        <v>14.1</v>
      </c>
      <c r="CI14" s="118">
        <f>CH14+CH15-2.2</f>
        <v>29.7</v>
      </c>
      <c r="CJ14" s="121" t="s">
        <v>297</v>
      </c>
    </row>
    <row r="15" spans="1:88" ht="25.15" customHeight="1" thickBot="1" x14ac:dyDescent="0.25">
      <c r="A15" s="47"/>
      <c r="B15" s="125" t="s">
        <v>292</v>
      </c>
      <c r="C15" s="114"/>
      <c r="D15" s="113"/>
      <c r="E15" s="112" t="s">
        <v>249</v>
      </c>
      <c r="F15" s="111">
        <v>1.1000000000000001</v>
      </c>
      <c r="G15" s="110"/>
      <c r="H15" s="121"/>
      <c r="I15" s="123"/>
      <c r="J15" s="125" t="s">
        <v>286</v>
      </c>
      <c r="K15" s="114"/>
      <c r="L15" s="113"/>
      <c r="M15" s="112" t="s">
        <v>249</v>
      </c>
      <c r="N15" s="111">
        <v>9.1999999999999993</v>
      </c>
      <c r="O15" s="110"/>
      <c r="P15" s="121"/>
      <c r="Q15" s="123"/>
      <c r="R15" s="125" t="s">
        <v>296</v>
      </c>
      <c r="S15" s="114"/>
      <c r="T15" s="113"/>
      <c r="U15" s="112" t="s">
        <v>249</v>
      </c>
      <c r="V15" s="111">
        <v>17.7</v>
      </c>
      <c r="W15" s="110"/>
      <c r="X15" s="121"/>
      <c r="Y15" s="123"/>
      <c r="Z15" s="125" t="s">
        <v>290</v>
      </c>
      <c r="AA15" s="114"/>
      <c r="AB15" s="113"/>
      <c r="AC15" s="112" t="s">
        <v>249</v>
      </c>
      <c r="AD15" s="111">
        <v>19.899999999999999</v>
      </c>
      <c r="AE15" s="110"/>
      <c r="AF15" s="121"/>
      <c r="AG15" s="123"/>
      <c r="AH15" s="125" t="s">
        <v>291</v>
      </c>
      <c r="AI15" s="114"/>
      <c r="AJ15" s="113"/>
      <c r="AK15" s="112" t="s">
        <v>249</v>
      </c>
      <c r="AL15" s="111">
        <v>15.1</v>
      </c>
      <c r="AM15" s="110"/>
      <c r="AN15" s="121"/>
      <c r="AO15" s="123"/>
      <c r="AP15" s="125" t="s">
        <v>292</v>
      </c>
      <c r="AQ15" s="114"/>
      <c r="AR15" s="113"/>
      <c r="AS15" s="112" t="s">
        <v>249</v>
      </c>
      <c r="AT15" s="111">
        <v>6.1</v>
      </c>
      <c r="AU15" s="110"/>
      <c r="AV15" s="121"/>
      <c r="AW15" s="123"/>
      <c r="AX15" s="125" t="s">
        <v>296</v>
      </c>
      <c r="AY15" s="114"/>
      <c r="AZ15" s="113"/>
      <c r="BA15" s="112" t="s">
        <v>249</v>
      </c>
      <c r="BB15" s="111">
        <v>15.6</v>
      </c>
      <c r="BC15" s="110"/>
      <c r="BD15" s="121"/>
      <c r="BE15" s="123"/>
      <c r="BF15" s="125" t="s">
        <v>290</v>
      </c>
      <c r="BG15" s="114"/>
      <c r="BH15" s="113"/>
      <c r="BI15" s="112" t="s">
        <v>249</v>
      </c>
      <c r="BJ15" s="111">
        <v>17.3</v>
      </c>
      <c r="BK15" s="110"/>
      <c r="BL15" s="121"/>
      <c r="BM15" s="123"/>
      <c r="BN15" s="125" t="s">
        <v>291</v>
      </c>
      <c r="BO15" s="114"/>
      <c r="BP15" s="113"/>
      <c r="BQ15" s="112" t="s">
        <v>249</v>
      </c>
      <c r="BR15" s="111">
        <v>5.2</v>
      </c>
      <c r="BS15" s="110"/>
      <c r="BT15" s="121"/>
      <c r="BU15" s="123"/>
      <c r="BV15" s="125" t="s">
        <v>286</v>
      </c>
      <c r="BW15" s="114"/>
      <c r="BX15" s="113"/>
      <c r="BY15" s="112" t="s">
        <v>249</v>
      </c>
      <c r="BZ15" s="111">
        <v>13</v>
      </c>
      <c r="CA15" s="110"/>
      <c r="CB15" s="121"/>
      <c r="CC15" s="123"/>
      <c r="CD15" s="125" t="s">
        <v>295</v>
      </c>
      <c r="CE15" s="114"/>
      <c r="CF15" s="113"/>
      <c r="CG15" s="112" t="s">
        <v>249</v>
      </c>
      <c r="CH15" s="111">
        <v>17.8</v>
      </c>
      <c r="CI15" s="110"/>
      <c r="CJ15" s="121"/>
    </row>
    <row r="16" spans="1:88" ht="25.15" customHeight="1" thickBot="1" x14ac:dyDescent="0.25">
      <c r="A16" s="47"/>
      <c r="B16" s="122"/>
      <c r="C16" s="120">
        <v>1</v>
      </c>
      <c r="D16" s="119">
        <v>-2</v>
      </c>
      <c r="E16" s="112" t="s">
        <v>250</v>
      </c>
      <c r="F16" s="111">
        <v>24.6</v>
      </c>
      <c r="G16" s="118">
        <f>F16+F17-2.2</f>
        <v>35.4</v>
      </c>
      <c r="H16" s="124" t="s">
        <v>294</v>
      </c>
      <c r="I16" s="123"/>
      <c r="J16" s="122"/>
      <c r="K16" s="120">
        <v>2</v>
      </c>
      <c r="L16" s="119">
        <v>-2</v>
      </c>
      <c r="M16" s="112" t="s">
        <v>250</v>
      </c>
      <c r="N16" s="111">
        <v>17.3</v>
      </c>
      <c r="O16" s="118">
        <f>N16+N17-2.3</f>
        <v>29.8</v>
      </c>
      <c r="P16" s="121"/>
      <c r="Q16" s="123"/>
      <c r="R16" s="122"/>
      <c r="S16" s="120">
        <v>3</v>
      </c>
      <c r="T16" s="119">
        <v>-2</v>
      </c>
      <c r="U16" s="112" t="s">
        <v>250</v>
      </c>
      <c r="V16" s="111">
        <v>24.5</v>
      </c>
      <c r="W16" s="118">
        <f>V16+V17-2.2</f>
        <v>39.099999999999994</v>
      </c>
      <c r="X16" s="121"/>
      <c r="Y16" s="123"/>
      <c r="Z16" s="122"/>
      <c r="AA16" s="120">
        <v>4</v>
      </c>
      <c r="AB16" s="119">
        <v>-2</v>
      </c>
      <c r="AC16" s="112" t="s">
        <v>250</v>
      </c>
      <c r="AD16" s="111">
        <v>18.2</v>
      </c>
      <c r="AE16" s="118">
        <f>AD16+AD17-2.3</f>
        <v>30.400000000000002</v>
      </c>
      <c r="AF16" s="121"/>
      <c r="AG16" s="123"/>
      <c r="AH16" s="122"/>
      <c r="AI16" s="120">
        <v>5</v>
      </c>
      <c r="AJ16" s="119">
        <v>-2</v>
      </c>
      <c r="AK16" s="112" t="s">
        <v>250</v>
      </c>
      <c r="AL16" s="111">
        <v>16.899999999999999</v>
      </c>
      <c r="AM16" s="118">
        <f>AL16+AL17-2.2</f>
        <v>30.3</v>
      </c>
      <c r="AN16" s="121"/>
      <c r="AO16" s="123"/>
      <c r="AP16" s="122"/>
      <c r="AQ16" s="120">
        <v>6</v>
      </c>
      <c r="AR16" s="119">
        <v>-2</v>
      </c>
      <c r="AS16" s="112" t="s">
        <v>250</v>
      </c>
      <c r="AT16" s="111">
        <v>10.1</v>
      </c>
      <c r="AU16" s="118">
        <f>AT16+AT17-2.3</f>
        <v>12.2</v>
      </c>
      <c r="AV16" s="121"/>
      <c r="AW16" s="123"/>
      <c r="AX16" s="122"/>
      <c r="AY16" s="120">
        <v>7</v>
      </c>
      <c r="AZ16" s="119">
        <v>-2</v>
      </c>
      <c r="BA16" s="112" t="s">
        <v>250</v>
      </c>
      <c r="BB16" s="111">
        <v>21.1</v>
      </c>
      <c r="BC16" s="118">
        <f>BB16+BB17-2.2</f>
        <v>32.099999999999994</v>
      </c>
      <c r="BD16" s="121"/>
      <c r="BE16" s="123"/>
      <c r="BF16" s="122"/>
      <c r="BG16" s="120">
        <v>8</v>
      </c>
      <c r="BH16" s="119">
        <v>-2</v>
      </c>
      <c r="BI16" s="112" t="s">
        <v>250</v>
      </c>
      <c r="BJ16" s="111">
        <v>11.5</v>
      </c>
      <c r="BK16" s="118">
        <f>BJ16+BJ17-2.3</f>
        <v>31.7</v>
      </c>
      <c r="BL16" s="121"/>
      <c r="BM16" s="123"/>
      <c r="BN16" s="122"/>
      <c r="BO16" s="120">
        <v>9</v>
      </c>
      <c r="BP16" s="119">
        <v>-2</v>
      </c>
      <c r="BQ16" s="112" t="s">
        <v>250</v>
      </c>
      <c r="BR16" s="111">
        <v>9.3000000000000007</v>
      </c>
      <c r="BS16" s="118">
        <f>BR16+BR17-2.2</f>
        <v>25.6</v>
      </c>
      <c r="BT16" s="121"/>
      <c r="BU16" s="123"/>
      <c r="BV16" s="122"/>
      <c r="BW16" s="120">
        <v>10</v>
      </c>
      <c r="BX16" s="119">
        <v>-2</v>
      </c>
      <c r="BY16" s="112" t="s">
        <v>250</v>
      </c>
      <c r="BZ16" s="111">
        <v>16.8</v>
      </c>
      <c r="CA16" s="118">
        <f>BZ16+BZ17-2.3</f>
        <v>21.3</v>
      </c>
      <c r="CB16" s="121"/>
      <c r="CC16" s="123"/>
      <c r="CD16" s="122"/>
      <c r="CE16" s="120">
        <v>11</v>
      </c>
      <c r="CF16" s="119">
        <v>-2</v>
      </c>
      <c r="CG16" s="112" t="s">
        <v>250</v>
      </c>
      <c r="CH16" s="111">
        <v>10.8</v>
      </c>
      <c r="CI16" s="118">
        <f>CH16+CH17-2.2</f>
        <v>17.400000000000002</v>
      </c>
      <c r="CJ16" s="121"/>
    </row>
    <row r="17" spans="2:88" ht="25.15" customHeight="1" thickBot="1" x14ac:dyDescent="0.25">
      <c r="B17" s="122"/>
      <c r="C17" s="114"/>
      <c r="D17" s="113"/>
      <c r="E17" s="112" t="s">
        <v>249</v>
      </c>
      <c r="F17" s="111">
        <v>13</v>
      </c>
      <c r="G17" s="110"/>
      <c r="H17" s="124" t="s">
        <v>293</v>
      </c>
      <c r="I17" s="123"/>
      <c r="J17" s="122"/>
      <c r="K17" s="114"/>
      <c r="L17" s="113"/>
      <c r="M17" s="112" t="s">
        <v>249</v>
      </c>
      <c r="N17" s="111">
        <v>14.8</v>
      </c>
      <c r="O17" s="110"/>
      <c r="P17" s="121"/>
      <c r="Q17" s="123"/>
      <c r="R17" s="122"/>
      <c r="S17" s="114"/>
      <c r="T17" s="113"/>
      <c r="U17" s="112" t="s">
        <v>249</v>
      </c>
      <c r="V17" s="111">
        <v>16.8</v>
      </c>
      <c r="W17" s="110"/>
      <c r="X17" s="121"/>
      <c r="Y17" s="123"/>
      <c r="Z17" s="122"/>
      <c r="AA17" s="114"/>
      <c r="AB17" s="113"/>
      <c r="AC17" s="112" t="s">
        <v>249</v>
      </c>
      <c r="AD17" s="111">
        <v>14.5</v>
      </c>
      <c r="AE17" s="110"/>
      <c r="AF17" s="121"/>
      <c r="AG17" s="123"/>
      <c r="AH17" s="122"/>
      <c r="AI17" s="114"/>
      <c r="AJ17" s="113"/>
      <c r="AK17" s="112" t="s">
        <v>249</v>
      </c>
      <c r="AL17" s="111">
        <v>15.6</v>
      </c>
      <c r="AM17" s="110"/>
      <c r="AN17" s="121"/>
      <c r="AO17" s="123"/>
      <c r="AP17" s="122"/>
      <c r="AQ17" s="114"/>
      <c r="AR17" s="113"/>
      <c r="AS17" s="112" t="s">
        <v>249</v>
      </c>
      <c r="AT17" s="111">
        <v>4.4000000000000004</v>
      </c>
      <c r="AU17" s="110"/>
      <c r="AV17" s="121"/>
      <c r="AW17" s="123"/>
      <c r="AX17" s="122"/>
      <c r="AY17" s="114"/>
      <c r="AZ17" s="113"/>
      <c r="BA17" s="112" t="s">
        <v>249</v>
      </c>
      <c r="BB17" s="111">
        <v>13.2</v>
      </c>
      <c r="BC17" s="110"/>
      <c r="BD17" s="121"/>
      <c r="BE17" s="123"/>
      <c r="BF17" s="122"/>
      <c r="BG17" s="114"/>
      <c r="BH17" s="113"/>
      <c r="BI17" s="112" t="s">
        <v>249</v>
      </c>
      <c r="BJ17" s="111">
        <v>22.5</v>
      </c>
      <c r="BK17" s="110"/>
      <c r="BL17" s="121"/>
      <c r="BM17" s="123"/>
      <c r="BN17" s="122"/>
      <c r="BO17" s="114"/>
      <c r="BP17" s="113"/>
      <c r="BQ17" s="112" t="s">
        <v>249</v>
      </c>
      <c r="BR17" s="111">
        <v>18.5</v>
      </c>
      <c r="BS17" s="110"/>
      <c r="BT17" s="121"/>
      <c r="BU17" s="123"/>
      <c r="BV17" s="122"/>
      <c r="BW17" s="114"/>
      <c r="BX17" s="113"/>
      <c r="BY17" s="112" t="s">
        <v>249</v>
      </c>
      <c r="BZ17" s="111">
        <v>6.8</v>
      </c>
      <c r="CA17" s="110"/>
      <c r="CB17" s="121"/>
      <c r="CC17" s="123"/>
      <c r="CD17" s="122"/>
      <c r="CE17" s="114"/>
      <c r="CF17" s="113"/>
      <c r="CG17" s="112" t="s">
        <v>249</v>
      </c>
      <c r="CH17" s="111">
        <v>8.8000000000000007</v>
      </c>
      <c r="CI17" s="110"/>
      <c r="CJ17" s="121"/>
    </row>
    <row r="18" spans="2:88" ht="25.15" customHeight="1" thickBot="1" x14ac:dyDescent="0.25">
      <c r="B18" s="122"/>
      <c r="C18" s="120">
        <v>1</v>
      </c>
      <c r="D18" s="119">
        <v>-3</v>
      </c>
      <c r="E18" s="112" t="s">
        <v>250</v>
      </c>
      <c r="F18" s="111">
        <v>22.5</v>
      </c>
      <c r="G18" s="118">
        <f>F18+F19-2.2</f>
        <v>34.599999999999994</v>
      </c>
      <c r="H18" s="121"/>
      <c r="I18" s="123"/>
      <c r="J18" s="122"/>
      <c r="K18" s="120">
        <v>2</v>
      </c>
      <c r="L18" s="119">
        <v>-3</v>
      </c>
      <c r="M18" s="112" t="s">
        <v>250</v>
      </c>
      <c r="N18" s="111">
        <v>17.7</v>
      </c>
      <c r="O18" s="118">
        <f>N18+N19-2.3</f>
        <v>27.4</v>
      </c>
      <c r="P18" s="121"/>
      <c r="Q18" s="123"/>
      <c r="R18" s="122"/>
      <c r="S18" s="120">
        <v>3</v>
      </c>
      <c r="T18" s="119">
        <v>-3</v>
      </c>
      <c r="U18" s="112" t="s">
        <v>250</v>
      </c>
      <c r="V18" s="111">
        <v>32</v>
      </c>
      <c r="W18" s="118">
        <f>V18+V19-2.2</f>
        <v>43.599999999999994</v>
      </c>
      <c r="X18" s="121"/>
      <c r="Y18" s="123"/>
      <c r="Z18" s="122"/>
      <c r="AA18" s="120">
        <v>4</v>
      </c>
      <c r="AB18" s="119">
        <v>-3</v>
      </c>
      <c r="AC18" s="112" t="s">
        <v>250</v>
      </c>
      <c r="AD18" s="111">
        <v>22.9</v>
      </c>
      <c r="AE18" s="118">
        <f>AD18+AD19-2.3</f>
        <v>36</v>
      </c>
      <c r="AF18" s="121"/>
      <c r="AG18" s="123"/>
      <c r="AH18" s="122"/>
      <c r="AI18" s="120">
        <v>5</v>
      </c>
      <c r="AJ18" s="119">
        <v>-3</v>
      </c>
      <c r="AK18" s="112" t="s">
        <v>250</v>
      </c>
      <c r="AL18" s="111">
        <v>18</v>
      </c>
      <c r="AM18" s="118">
        <f>AL18+AL19-2.2</f>
        <v>36.599999999999994</v>
      </c>
      <c r="AN18" s="121"/>
      <c r="AO18" s="123"/>
      <c r="AP18" s="122"/>
      <c r="AQ18" s="120">
        <v>6</v>
      </c>
      <c r="AR18" s="119">
        <v>-3</v>
      </c>
      <c r="AS18" s="112" t="s">
        <v>250</v>
      </c>
      <c r="AT18" s="111">
        <v>8.5</v>
      </c>
      <c r="AU18" s="118">
        <f>AT18+AT19-2.3</f>
        <v>13.7</v>
      </c>
      <c r="AV18" s="121"/>
      <c r="AW18" s="123"/>
      <c r="AX18" s="122"/>
      <c r="AY18" s="120">
        <v>7</v>
      </c>
      <c r="AZ18" s="119">
        <v>-3</v>
      </c>
      <c r="BA18" s="112" t="s">
        <v>250</v>
      </c>
      <c r="BB18" s="111">
        <v>17.100000000000001</v>
      </c>
      <c r="BC18" s="118">
        <f>BB18+BB19-2.2</f>
        <v>37</v>
      </c>
      <c r="BD18" s="121"/>
      <c r="BE18" s="123"/>
      <c r="BF18" s="122"/>
      <c r="BG18" s="120">
        <v>8</v>
      </c>
      <c r="BH18" s="119">
        <v>-3</v>
      </c>
      <c r="BI18" s="112" t="s">
        <v>250</v>
      </c>
      <c r="BJ18" s="111">
        <v>15.4</v>
      </c>
      <c r="BK18" s="118">
        <f>BJ18+BJ19-2.3</f>
        <v>33.400000000000006</v>
      </c>
      <c r="BL18" s="121"/>
      <c r="BM18" s="123"/>
      <c r="BN18" s="122"/>
      <c r="BO18" s="120">
        <v>9</v>
      </c>
      <c r="BP18" s="119">
        <v>-3</v>
      </c>
      <c r="BQ18" s="112" t="s">
        <v>250</v>
      </c>
      <c r="BR18" s="111">
        <v>15.3</v>
      </c>
      <c r="BS18" s="118">
        <f>BR18+BR19-2.2</f>
        <v>34.799999999999997</v>
      </c>
      <c r="BT18" s="121"/>
      <c r="BU18" s="123"/>
      <c r="BV18" s="122"/>
      <c r="BW18" s="120">
        <v>10</v>
      </c>
      <c r="BX18" s="119">
        <v>-3</v>
      </c>
      <c r="BY18" s="112" t="s">
        <v>250</v>
      </c>
      <c r="BZ18" s="111">
        <v>20.399999999999999</v>
      </c>
      <c r="CA18" s="118">
        <f>BZ18+BZ19-2.3</f>
        <v>28.299999999999997</v>
      </c>
      <c r="CB18" s="121"/>
      <c r="CC18" s="123"/>
      <c r="CD18" s="122"/>
      <c r="CE18" s="120">
        <v>11</v>
      </c>
      <c r="CF18" s="119">
        <v>-3</v>
      </c>
      <c r="CG18" s="112" t="s">
        <v>250</v>
      </c>
      <c r="CH18" s="111">
        <v>14.5</v>
      </c>
      <c r="CI18" s="118">
        <f>CH18+CH19-2.2</f>
        <v>28</v>
      </c>
      <c r="CJ18" s="121"/>
    </row>
    <row r="19" spans="2:88" ht="25.15" customHeight="1" thickBot="1" x14ac:dyDescent="0.25">
      <c r="B19" s="122"/>
      <c r="C19" s="114"/>
      <c r="D19" s="113"/>
      <c r="E19" s="112" t="s">
        <v>249</v>
      </c>
      <c r="F19" s="111">
        <v>14.3</v>
      </c>
      <c r="G19" s="110"/>
      <c r="H19" s="121"/>
      <c r="I19" s="123"/>
      <c r="J19" s="122"/>
      <c r="K19" s="114"/>
      <c r="L19" s="113"/>
      <c r="M19" s="112" t="s">
        <v>249</v>
      </c>
      <c r="N19" s="111">
        <v>12</v>
      </c>
      <c r="O19" s="110"/>
      <c r="P19" s="121"/>
      <c r="Q19" s="123"/>
      <c r="R19" s="122"/>
      <c r="S19" s="114"/>
      <c r="T19" s="113"/>
      <c r="U19" s="112" t="s">
        <v>249</v>
      </c>
      <c r="V19" s="111">
        <v>13.8</v>
      </c>
      <c r="W19" s="110"/>
      <c r="X19" s="121"/>
      <c r="Y19" s="123"/>
      <c r="Z19" s="122"/>
      <c r="AA19" s="114"/>
      <c r="AB19" s="113"/>
      <c r="AC19" s="112" t="s">
        <v>249</v>
      </c>
      <c r="AD19" s="111">
        <v>15.4</v>
      </c>
      <c r="AE19" s="110"/>
      <c r="AF19" s="121"/>
      <c r="AG19" s="123"/>
      <c r="AH19" s="122"/>
      <c r="AI19" s="114"/>
      <c r="AJ19" s="113"/>
      <c r="AK19" s="112" t="s">
        <v>249</v>
      </c>
      <c r="AL19" s="111">
        <v>20.8</v>
      </c>
      <c r="AM19" s="110"/>
      <c r="AN19" s="121"/>
      <c r="AO19" s="123"/>
      <c r="AP19" s="122"/>
      <c r="AQ19" s="114"/>
      <c r="AR19" s="113"/>
      <c r="AS19" s="112" t="s">
        <v>249</v>
      </c>
      <c r="AT19" s="111">
        <v>7.5</v>
      </c>
      <c r="AU19" s="110"/>
      <c r="AV19" s="121"/>
      <c r="AW19" s="123"/>
      <c r="AX19" s="122"/>
      <c r="AY19" s="114"/>
      <c r="AZ19" s="113"/>
      <c r="BA19" s="112" t="s">
        <v>249</v>
      </c>
      <c r="BB19" s="111">
        <v>22.1</v>
      </c>
      <c r="BC19" s="110"/>
      <c r="BD19" s="121"/>
      <c r="BE19" s="123"/>
      <c r="BF19" s="122"/>
      <c r="BG19" s="114"/>
      <c r="BH19" s="113"/>
      <c r="BI19" s="112" t="s">
        <v>249</v>
      </c>
      <c r="BJ19" s="111">
        <v>20.3</v>
      </c>
      <c r="BK19" s="110"/>
      <c r="BL19" s="121"/>
      <c r="BM19" s="123"/>
      <c r="BN19" s="122"/>
      <c r="BO19" s="114"/>
      <c r="BP19" s="113"/>
      <c r="BQ19" s="112" t="s">
        <v>249</v>
      </c>
      <c r="BR19" s="111">
        <v>21.7</v>
      </c>
      <c r="BS19" s="110"/>
      <c r="BT19" s="121"/>
      <c r="BU19" s="123"/>
      <c r="BV19" s="122"/>
      <c r="BW19" s="114"/>
      <c r="BX19" s="113"/>
      <c r="BY19" s="112" t="s">
        <v>249</v>
      </c>
      <c r="BZ19" s="111">
        <v>10.199999999999999</v>
      </c>
      <c r="CA19" s="110"/>
      <c r="CB19" s="121"/>
      <c r="CC19" s="123"/>
      <c r="CD19" s="122"/>
      <c r="CE19" s="114"/>
      <c r="CF19" s="113"/>
      <c r="CG19" s="112" t="s">
        <v>249</v>
      </c>
      <c r="CH19" s="111">
        <v>15.7</v>
      </c>
      <c r="CI19" s="110"/>
      <c r="CJ19" s="121"/>
    </row>
    <row r="20" spans="2:88" ht="25.15" customHeight="1" thickBot="1" x14ac:dyDescent="0.25">
      <c r="B20" s="122"/>
      <c r="C20" s="120">
        <v>1</v>
      </c>
      <c r="D20" s="119">
        <v>-4</v>
      </c>
      <c r="E20" s="112" t="s">
        <v>250</v>
      </c>
      <c r="F20" s="111">
        <v>28.1</v>
      </c>
      <c r="G20" s="118">
        <f>F20+F21-2.2</f>
        <v>35.599999999999994</v>
      </c>
      <c r="H20" s="121"/>
      <c r="I20" s="123"/>
      <c r="J20" s="122"/>
      <c r="K20" s="120">
        <v>2</v>
      </c>
      <c r="L20" s="119">
        <v>-4</v>
      </c>
      <c r="M20" s="112" t="s">
        <v>250</v>
      </c>
      <c r="N20" s="111">
        <v>23.3</v>
      </c>
      <c r="O20" s="118">
        <f>N20+N21-2.3</f>
        <v>26.900000000000002</v>
      </c>
      <c r="P20" s="121"/>
      <c r="Q20" s="123"/>
      <c r="R20" s="122"/>
      <c r="S20" s="120">
        <v>3</v>
      </c>
      <c r="T20" s="119">
        <v>-4</v>
      </c>
      <c r="U20" s="112" t="s">
        <v>250</v>
      </c>
      <c r="V20" s="111">
        <v>31.5</v>
      </c>
      <c r="W20" s="118">
        <f>V20+V21-2.2</f>
        <v>42.8</v>
      </c>
      <c r="X20" s="121"/>
      <c r="Y20" s="123"/>
      <c r="Z20" s="122"/>
      <c r="AA20" s="120">
        <v>4</v>
      </c>
      <c r="AB20" s="119">
        <v>-4</v>
      </c>
      <c r="AC20" s="112" t="s">
        <v>250</v>
      </c>
      <c r="AD20" s="111">
        <v>15.9</v>
      </c>
      <c r="AE20" s="118">
        <f>AD20+AD21-2.3</f>
        <v>30.3</v>
      </c>
      <c r="AF20" s="121"/>
      <c r="AG20" s="123"/>
      <c r="AH20" s="122"/>
      <c r="AI20" s="120">
        <v>5</v>
      </c>
      <c r="AJ20" s="119">
        <v>-4</v>
      </c>
      <c r="AK20" s="112" t="s">
        <v>250</v>
      </c>
      <c r="AL20" s="111">
        <v>19.7</v>
      </c>
      <c r="AM20" s="118">
        <f>AL20+AL21-2.2</f>
        <v>41</v>
      </c>
      <c r="AN20" s="121"/>
      <c r="AO20" s="123"/>
      <c r="AP20" s="122"/>
      <c r="AQ20" s="120">
        <v>6</v>
      </c>
      <c r="AR20" s="119">
        <v>-4</v>
      </c>
      <c r="AS20" s="112" t="s">
        <v>250</v>
      </c>
      <c r="AT20" s="111">
        <v>10.4</v>
      </c>
      <c r="AU20" s="118">
        <f>AT20+AT21-2.3</f>
        <v>16.3</v>
      </c>
      <c r="AV20" s="121"/>
      <c r="AW20" s="123"/>
      <c r="AX20" s="122"/>
      <c r="AY20" s="120">
        <v>7</v>
      </c>
      <c r="AZ20" s="119">
        <v>-4</v>
      </c>
      <c r="BA20" s="112" t="s">
        <v>250</v>
      </c>
      <c r="BB20" s="111">
        <v>19.8</v>
      </c>
      <c r="BC20" s="118">
        <f>BB20+BB21-2.2</f>
        <v>40.200000000000003</v>
      </c>
      <c r="BD20" s="121"/>
      <c r="BE20" s="123"/>
      <c r="BF20" s="122"/>
      <c r="BG20" s="120">
        <v>8</v>
      </c>
      <c r="BH20" s="119">
        <v>-4</v>
      </c>
      <c r="BI20" s="112" t="s">
        <v>250</v>
      </c>
      <c r="BJ20" s="111">
        <v>13.8</v>
      </c>
      <c r="BK20" s="118">
        <f>BJ20+BJ21-2.3</f>
        <v>31.999999999999996</v>
      </c>
      <c r="BL20" s="121"/>
      <c r="BM20" s="123"/>
      <c r="BN20" s="122"/>
      <c r="BO20" s="120">
        <v>9</v>
      </c>
      <c r="BP20" s="119">
        <v>-4</v>
      </c>
      <c r="BQ20" s="112" t="s">
        <v>250</v>
      </c>
      <c r="BR20" s="111">
        <v>23.5</v>
      </c>
      <c r="BS20" s="118">
        <f>BR20+BR21-2.2</f>
        <v>39.5</v>
      </c>
      <c r="BT20" s="121"/>
      <c r="BU20" s="123"/>
      <c r="BV20" s="122"/>
      <c r="BW20" s="120">
        <v>10</v>
      </c>
      <c r="BX20" s="119">
        <v>-4</v>
      </c>
      <c r="BY20" s="112" t="s">
        <v>250</v>
      </c>
      <c r="BZ20" s="111">
        <v>15.7</v>
      </c>
      <c r="CA20" s="118">
        <f>BZ20+BZ21-2.3</f>
        <v>30.2</v>
      </c>
      <c r="CB20" s="121"/>
      <c r="CC20" s="123"/>
      <c r="CD20" s="122"/>
      <c r="CE20" s="120">
        <v>11</v>
      </c>
      <c r="CF20" s="119">
        <v>-4</v>
      </c>
      <c r="CG20" s="112" t="s">
        <v>250</v>
      </c>
      <c r="CH20" s="111">
        <v>20</v>
      </c>
      <c r="CI20" s="118">
        <f>CH20+CH21-2.2</f>
        <v>34.699999999999996</v>
      </c>
      <c r="CJ20" s="121"/>
    </row>
    <row r="21" spans="2:88" ht="25.15" customHeight="1" thickBot="1" x14ac:dyDescent="0.25">
      <c r="B21" s="122"/>
      <c r="C21" s="114"/>
      <c r="D21" s="113"/>
      <c r="E21" s="112" t="s">
        <v>249</v>
      </c>
      <c r="F21" s="111">
        <v>9.6999999999999993</v>
      </c>
      <c r="G21" s="110"/>
      <c r="H21" s="121"/>
      <c r="I21" s="123"/>
      <c r="J21" s="122"/>
      <c r="K21" s="114"/>
      <c r="L21" s="113"/>
      <c r="M21" s="112" t="s">
        <v>249</v>
      </c>
      <c r="N21" s="111">
        <v>5.9</v>
      </c>
      <c r="O21" s="110"/>
      <c r="P21" s="121"/>
      <c r="Q21" s="123"/>
      <c r="R21" s="122"/>
      <c r="S21" s="114"/>
      <c r="T21" s="113"/>
      <c r="U21" s="112" t="s">
        <v>249</v>
      </c>
      <c r="V21" s="111">
        <v>13.5</v>
      </c>
      <c r="W21" s="110"/>
      <c r="X21" s="121"/>
      <c r="Y21" s="123"/>
      <c r="Z21" s="122"/>
      <c r="AA21" s="114"/>
      <c r="AB21" s="113"/>
      <c r="AC21" s="112" t="s">
        <v>249</v>
      </c>
      <c r="AD21" s="111">
        <v>16.7</v>
      </c>
      <c r="AE21" s="110"/>
      <c r="AF21" s="121"/>
      <c r="AG21" s="123"/>
      <c r="AH21" s="122"/>
      <c r="AI21" s="114"/>
      <c r="AJ21" s="113"/>
      <c r="AK21" s="112" t="s">
        <v>249</v>
      </c>
      <c r="AL21" s="111">
        <v>23.5</v>
      </c>
      <c r="AM21" s="110"/>
      <c r="AN21" s="121"/>
      <c r="AO21" s="123"/>
      <c r="AP21" s="122"/>
      <c r="AQ21" s="114"/>
      <c r="AR21" s="113"/>
      <c r="AS21" s="112" t="s">
        <v>249</v>
      </c>
      <c r="AT21" s="111">
        <v>8.1999999999999993</v>
      </c>
      <c r="AU21" s="110"/>
      <c r="AV21" s="121"/>
      <c r="AW21" s="123"/>
      <c r="AX21" s="122"/>
      <c r="AY21" s="114"/>
      <c r="AZ21" s="113"/>
      <c r="BA21" s="112" t="s">
        <v>249</v>
      </c>
      <c r="BB21" s="111">
        <v>22.6</v>
      </c>
      <c r="BC21" s="110"/>
      <c r="BD21" s="121"/>
      <c r="BE21" s="123"/>
      <c r="BF21" s="122"/>
      <c r="BG21" s="114"/>
      <c r="BH21" s="113"/>
      <c r="BI21" s="112" t="s">
        <v>249</v>
      </c>
      <c r="BJ21" s="111">
        <v>20.5</v>
      </c>
      <c r="BK21" s="110"/>
      <c r="BL21" s="121"/>
      <c r="BM21" s="123"/>
      <c r="BN21" s="122"/>
      <c r="BO21" s="114"/>
      <c r="BP21" s="113"/>
      <c r="BQ21" s="112" t="s">
        <v>249</v>
      </c>
      <c r="BR21" s="111">
        <v>18.2</v>
      </c>
      <c r="BS21" s="110"/>
      <c r="BT21" s="121"/>
      <c r="BU21" s="123"/>
      <c r="BV21" s="122"/>
      <c r="BW21" s="114"/>
      <c r="BX21" s="113"/>
      <c r="BY21" s="112" t="s">
        <v>249</v>
      </c>
      <c r="BZ21" s="111">
        <v>16.8</v>
      </c>
      <c r="CA21" s="110"/>
      <c r="CB21" s="121"/>
      <c r="CC21" s="123"/>
      <c r="CD21" s="122"/>
      <c r="CE21" s="114"/>
      <c r="CF21" s="113"/>
      <c r="CG21" s="112" t="s">
        <v>249</v>
      </c>
      <c r="CH21" s="111">
        <v>16.899999999999999</v>
      </c>
      <c r="CI21" s="110"/>
      <c r="CJ21" s="121"/>
    </row>
    <row r="22" spans="2:88" ht="25.15" customHeight="1" thickBot="1" x14ac:dyDescent="0.25">
      <c r="B22" s="122"/>
      <c r="C22" s="120">
        <v>1</v>
      </c>
      <c r="D22" s="119">
        <v>-5</v>
      </c>
      <c r="E22" s="112" t="s">
        <v>250</v>
      </c>
      <c r="F22" s="111">
        <v>29.4</v>
      </c>
      <c r="G22" s="118">
        <f>F22+F23-2.2</f>
        <v>31.7</v>
      </c>
      <c r="H22" s="121"/>
      <c r="I22" s="123"/>
      <c r="J22" s="122"/>
      <c r="K22" s="120">
        <v>2</v>
      </c>
      <c r="L22" s="119">
        <v>-5</v>
      </c>
      <c r="M22" s="112" t="s">
        <v>250</v>
      </c>
      <c r="N22" s="111">
        <v>25.7</v>
      </c>
      <c r="O22" s="118">
        <f>N22+N23-2.3</f>
        <v>32.200000000000003</v>
      </c>
      <c r="P22" s="121"/>
      <c r="Q22" s="123"/>
      <c r="R22" s="122"/>
      <c r="S22" s="120">
        <v>3</v>
      </c>
      <c r="T22" s="119">
        <v>-5</v>
      </c>
      <c r="U22" s="112" t="s">
        <v>250</v>
      </c>
      <c r="V22" s="111">
        <v>29.1</v>
      </c>
      <c r="W22" s="118">
        <f>V22+V23-2.2</f>
        <v>43.9</v>
      </c>
      <c r="X22" s="121"/>
      <c r="Y22" s="123"/>
      <c r="Z22" s="122"/>
      <c r="AA22" s="120">
        <v>4</v>
      </c>
      <c r="AB22" s="119">
        <v>-5</v>
      </c>
      <c r="AC22" s="112" t="s">
        <v>250</v>
      </c>
      <c r="AD22" s="111">
        <v>19.7</v>
      </c>
      <c r="AE22" s="118">
        <f>AD22+AD23-2.3</f>
        <v>34.900000000000006</v>
      </c>
      <c r="AF22" s="121"/>
      <c r="AG22" s="123"/>
      <c r="AH22" s="122"/>
      <c r="AI22" s="120">
        <v>5</v>
      </c>
      <c r="AJ22" s="119">
        <v>-5</v>
      </c>
      <c r="AK22" s="112" t="s">
        <v>250</v>
      </c>
      <c r="AL22" s="111">
        <v>19.899999999999999</v>
      </c>
      <c r="AM22" s="118">
        <f>AL22+AL23-2.2</f>
        <v>35.699999999999996</v>
      </c>
      <c r="AN22" s="121"/>
      <c r="AO22" s="123"/>
      <c r="AP22" s="122"/>
      <c r="AQ22" s="120">
        <v>6</v>
      </c>
      <c r="AR22" s="119">
        <v>-5</v>
      </c>
      <c r="AS22" s="112" t="s">
        <v>250</v>
      </c>
      <c r="AT22" s="111">
        <v>8.6</v>
      </c>
      <c r="AU22" s="118">
        <f>AT22+AT23-2.3</f>
        <v>14.2</v>
      </c>
      <c r="AV22" s="121"/>
      <c r="AW22" s="123"/>
      <c r="AX22" s="122"/>
      <c r="AY22" s="120">
        <v>7</v>
      </c>
      <c r="AZ22" s="119">
        <v>-5</v>
      </c>
      <c r="BA22" s="112" t="s">
        <v>250</v>
      </c>
      <c r="BB22" s="111">
        <v>18.100000000000001</v>
      </c>
      <c r="BC22" s="118">
        <f>BB22+BB23-2.2</f>
        <v>39.200000000000003</v>
      </c>
      <c r="BD22" s="121"/>
      <c r="BE22" s="123"/>
      <c r="BF22" s="122"/>
      <c r="BG22" s="120">
        <v>8</v>
      </c>
      <c r="BH22" s="119">
        <v>-5</v>
      </c>
      <c r="BI22" s="112" t="s">
        <v>250</v>
      </c>
      <c r="BJ22" s="111">
        <v>15</v>
      </c>
      <c r="BK22" s="118">
        <f>BJ22+BJ23-2.3</f>
        <v>35.6</v>
      </c>
      <c r="BL22" s="121"/>
      <c r="BM22" s="123"/>
      <c r="BN22" s="122"/>
      <c r="BO22" s="120">
        <v>9</v>
      </c>
      <c r="BP22" s="119">
        <v>-5</v>
      </c>
      <c r="BQ22" s="112" t="s">
        <v>250</v>
      </c>
      <c r="BR22" s="111">
        <v>19.5</v>
      </c>
      <c r="BS22" s="118">
        <f>BR22+BR23-2.2</f>
        <v>31.2</v>
      </c>
      <c r="BT22" s="121"/>
      <c r="BU22" s="123"/>
      <c r="BV22" s="122"/>
      <c r="BW22" s="120">
        <v>10</v>
      </c>
      <c r="BX22" s="119">
        <v>-5</v>
      </c>
      <c r="BY22" s="112" t="s">
        <v>250</v>
      </c>
      <c r="BZ22" s="111">
        <v>12.3</v>
      </c>
      <c r="CA22" s="118">
        <f>BZ22+BZ23-2.3</f>
        <v>27.2</v>
      </c>
      <c r="CB22" s="121"/>
      <c r="CC22" s="123"/>
      <c r="CD22" s="122"/>
      <c r="CE22" s="120">
        <v>11</v>
      </c>
      <c r="CF22" s="119">
        <v>-5</v>
      </c>
      <c r="CG22" s="112" t="s">
        <v>250</v>
      </c>
      <c r="CH22" s="111">
        <v>22.7</v>
      </c>
      <c r="CI22" s="118">
        <f>CH22+CH23-2.2</f>
        <v>30.8</v>
      </c>
      <c r="CJ22" s="121"/>
    </row>
    <row r="23" spans="2:88" ht="25.15" customHeight="1" thickBot="1" x14ac:dyDescent="0.25">
      <c r="B23" s="122"/>
      <c r="C23" s="114"/>
      <c r="D23" s="113"/>
      <c r="E23" s="112" t="s">
        <v>249</v>
      </c>
      <c r="F23" s="111">
        <v>4.5</v>
      </c>
      <c r="G23" s="110"/>
      <c r="H23" s="121"/>
      <c r="I23" s="123"/>
      <c r="J23" s="122"/>
      <c r="K23" s="114"/>
      <c r="L23" s="113"/>
      <c r="M23" s="112" t="s">
        <v>249</v>
      </c>
      <c r="N23" s="111">
        <v>8.8000000000000007</v>
      </c>
      <c r="O23" s="110"/>
      <c r="P23" s="121"/>
      <c r="Q23" s="123"/>
      <c r="R23" s="122"/>
      <c r="S23" s="114"/>
      <c r="T23" s="113"/>
      <c r="U23" s="112" t="s">
        <v>249</v>
      </c>
      <c r="V23" s="111">
        <v>17</v>
      </c>
      <c r="W23" s="110"/>
      <c r="X23" s="121"/>
      <c r="Y23" s="123"/>
      <c r="Z23" s="122"/>
      <c r="AA23" s="114"/>
      <c r="AB23" s="113"/>
      <c r="AC23" s="112" t="s">
        <v>249</v>
      </c>
      <c r="AD23" s="111">
        <v>17.5</v>
      </c>
      <c r="AE23" s="110"/>
      <c r="AF23" s="121"/>
      <c r="AG23" s="123"/>
      <c r="AH23" s="122"/>
      <c r="AI23" s="114"/>
      <c r="AJ23" s="113"/>
      <c r="AK23" s="112" t="s">
        <v>249</v>
      </c>
      <c r="AL23" s="111">
        <v>18</v>
      </c>
      <c r="AM23" s="110"/>
      <c r="AN23" s="121"/>
      <c r="AO23" s="123"/>
      <c r="AP23" s="122"/>
      <c r="AQ23" s="114"/>
      <c r="AR23" s="113"/>
      <c r="AS23" s="112" t="s">
        <v>249</v>
      </c>
      <c r="AT23" s="111">
        <v>7.9</v>
      </c>
      <c r="AU23" s="110"/>
      <c r="AV23" s="121"/>
      <c r="AW23" s="123"/>
      <c r="AX23" s="122"/>
      <c r="AY23" s="114"/>
      <c r="AZ23" s="113"/>
      <c r="BA23" s="112" t="s">
        <v>249</v>
      </c>
      <c r="BB23" s="111">
        <v>23.3</v>
      </c>
      <c r="BC23" s="110"/>
      <c r="BD23" s="121"/>
      <c r="BE23" s="123"/>
      <c r="BF23" s="122"/>
      <c r="BG23" s="114"/>
      <c r="BH23" s="113"/>
      <c r="BI23" s="112" t="s">
        <v>249</v>
      </c>
      <c r="BJ23" s="111">
        <v>22.9</v>
      </c>
      <c r="BK23" s="110"/>
      <c r="BL23" s="121"/>
      <c r="BM23" s="123"/>
      <c r="BN23" s="122"/>
      <c r="BO23" s="114"/>
      <c r="BP23" s="113"/>
      <c r="BQ23" s="112" t="s">
        <v>249</v>
      </c>
      <c r="BR23" s="111">
        <v>13.9</v>
      </c>
      <c r="BS23" s="110"/>
      <c r="BT23" s="121"/>
      <c r="BU23" s="123"/>
      <c r="BV23" s="122"/>
      <c r="BW23" s="114"/>
      <c r="BX23" s="113"/>
      <c r="BY23" s="112" t="s">
        <v>249</v>
      </c>
      <c r="BZ23" s="111">
        <v>17.2</v>
      </c>
      <c r="CA23" s="110"/>
      <c r="CB23" s="121"/>
      <c r="CC23" s="123"/>
      <c r="CD23" s="122"/>
      <c r="CE23" s="114"/>
      <c r="CF23" s="113"/>
      <c r="CG23" s="112" t="s">
        <v>249</v>
      </c>
      <c r="CH23" s="111">
        <v>10.3</v>
      </c>
      <c r="CI23" s="110"/>
      <c r="CJ23" s="121"/>
    </row>
    <row r="24" spans="2:88" ht="25.15" customHeight="1" thickBot="1" x14ac:dyDescent="0.25">
      <c r="B24" s="122"/>
      <c r="C24" s="120">
        <v>1</v>
      </c>
      <c r="D24" s="119">
        <v>-6</v>
      </c>
      <c r="E24" s="112" t="s">
        <v>250</v>
      </c>
      <c r="F24" s="111">
        <v>27.5</v>
      </c>
      <c r="G24" s="118">
        <f>F24+F25-2.2</f>
        <v>30.2</v>
      </c>
      <c r="H24" s="121"/>
      <c r="I24" s="123"/>
      <c r="J24" s="122"/>
      <c r="K24" s="120">
        <v>2</v>
      </c>
      <c r="L24" s="119">
        <v>-6</v>
      </c>
      <c r="M24" s="112" t="s">
        <v>250</v>
      </c>
      <c r="N24" s="111">
        <v>22.7</v>
      </c>
      <c r="O24" s="118">
        <f>N24+N25-2.3</f>
        <v>25.7</v>
      </c>
      <c r="P24" s="121"/>
      <c r="Q24" s="123"/>
      <c r="R24" s="122"/>
      <c r="S24" s="120">
        <v>3</v>
      </c>
      <c r="T24" s="119">
        <v>-6</v>
      </c>
      <c r="U24" s="112" t="s">
        <v>250</v>
      </c>
      <c r="V24" s="111">
        <v>25.6</v>
      </c>
      <c r="W24" s="118">
        <f>V24+V25-2.2</f>
        <v>41.4</v>
      </c>
      <c r="X24" s="121"/>
      <c r="Y24" s="123"/>
      <c r="Z24" s="122"/>
      <c r="AA24" s="120">
        <v>4</v>
      </c>
      <c r="AB24" s="119">
        <v>-6</v>
      </c>
      <c r="AC24" s="112" t="s">
        <v>250</v>
      </c>
      <c r="AD24" s="111">
        <v>20.2</v>
      </c>
      <c r="AE24" s="118">
        <f>AD24+AD25-2.3</f>
        <v>31.999999999999996</v>
      </c>
      <c r="AF24" s="121"/>
      <c r="AG24" s="123"/>
      <c r="AH24" s="122"/>
      <c r="AI24" s="120">
        <v>5</v>
      </c>
      <c r="AJ24" s="119">
        <v>-6</v>
      </c>
      <c r="AK24" s="112" t="s">
        <v>250</v>
      </c>
      <c r="AL24" s="111">
        <v>15.6</v>
      </c>
      <c r="AM24" s="118">
        <f>AL24+AL25-2.2</f>
        <v>34.199999999999996</v>
      </c>
      <c r="AN24" s="121"/>
      <c r="AO24" s="123"/>
      <c r="AP24" s="122"/>
      <c r="AQ24" s="120">
        <v>6</v>
      </c>
      <c r="AR24" s="119">
        <v>-6</v>
      </c>
      <c r="AS24" s="112" t="s">
        <v>250</v>
      </c>
      <c r="AT24" s="111">
        <v>10.7</v>
      </c>
      <c r="AU24" s="118">
        <f>AT24+AT25-2.3</f>
        <v>14.099999999999998</v>
      </c>
      <c r="AV24" s="121"/>
      <c r="AW24" s="123"/>
      <c r="AX24" s="122"/>
      <c r="AY24" s="120">
        <v>7</v>
      </c>
      <c r="AZ24" s="119">
        <v>-6</v>
      </c>
      <c r="BA24" s="112" t="s">
        <v>250</v>
      </c>
      <c r="BB24" s="111">
        <v>19.3</v>
      </c>
      <c r="BC24" s="118">
        <f>BB24+BB25-2.2</f>
        <v>35.700000000000003</v>
      </c>
      <c r="BD24" s="121"/>
      <c r="BE24" s="123"/>
      <c r="BF24" s="122"/>
      <c r="BG24" s="120">
        <v>8</v>
      </c>
      <c r="BH24" s="119">
        <v>-6</v>
      </c>
      <c r="BI24" s="112" t="s">
        <v>250</v>
      </c>
      <c r="BJ24" s="111">
        <v>20.100000000000001</v>
      </c>
      <c r="BK24" s="118">
        <f>BJ24+BJ25-2.3</f>
        <v>29.999999999999996</v>
      </c>
      <c r="BL24" s="121"/>
      <c r="BM24" s="123"/>
      <c r="BN24" s="122"/>
      <c r="BO24" s="120">
        <v>9</v>
      </c>
      <c r="BP24" s="119">
        <v>-6</v>
      </c>
      <c r="BQ24" s="112" t="s">
        <v>250</v>
      </c>
      <c r="BR24" s="111">
        <v>16.8</v>
      </c>
      <c r="BS24" s="118">
        <f>BR24+BR25-2.2</f>
        <v>22.7</v>
      </c>
      <c r="BT24" s="121"/>
      <c r="BU24" s="123"/>
      <c r="BV24" s="122"/>
      <c r="BW24" s="120">
        <v>10</v>
      </c>
      <c r="BX24" s="119">
        <v>-6</v>
      </c>
      <c r="BY24" s="112" t="s">
        <v>250</v>
      </c>
      <c r="BZ24" s="111">
        <v>13.4</v>
      </c>
      <c r="CA24" s="118">
        <f>BZ24+BZ25-2.3</f>
        <v>25.400000000000002</v>
      </c>
      <c r="CB24" s="121"/>
      <c r="CC24" s="123"/>
      <c r="CD24" s="122"/>
      <c r="CE24" s="120">
        <v>11</v>
      </c>
      <c r="CF24" s="119">
        <v>-6</v>
      </c>
      <c r="CG24" s="112" t="s">
        <v>250</v>
      </c>
      <c r="CH24" s="111">
        <v>20.3</v>
      </c>
      <c r="CI24" s="118">
        <f>CH24+CH25-2.2</f>
        <v>24.2</v>
      </c>
      <c r="CJ24" s="121"/>
    </row>
    <row r="25" spans="2:88" ht="25.15" customHeight="1" thickBot="1" x14ac:dyDescent="0.25">
      <c r="B25" s="122"/>
      <c r="C25" s="114"/>
      <c r="D25" s="113"/>
      <c r="E25" s="112" t="s">
        <v>249</v>
      </c>
      <c r="F25" s="111">
        <v>4.9000000000000004</v>
      </c>
      <c r="G25" s="110"/>
      <c r="H25" s="121"/>
      <c r="I25" s="123"/>
      <c r="J25" s="122"/>
      <c r="K25" s="114"/>
      <c r="L25" s="113"/>
      <c r="M25" s="112" t="s">
        <v>249</v>
      </c>
      <c r="N25" s="111">
        <v>5.3</v>
      </c>
      <c r="O25" s="110"/>
      <c r="P25" s="121"/>
      <c r="Q25" s="123"/>
      <c r="R25" s="122"/>
      <c r="S25" s="114"/>
      <c r="T25" s="113"/>
      <c r="U25" s="112" t="s">
        <v>249</v>
      </c>
      <c r="V25" s="111">
        <v>18</v>
      </c>
      <c r="W25" s="110"/>
      <c r="X25" s="121"/>
      <c r="Y25" s="123"/>
      <c r="Z25" s="122"/>
      <c r="AA25" s="114"/>
      <c r="AB25" s="113"/>
      <c r="AC25" s="112" t="s">
        <v>249</v>
      </c>
      <c r="AD25" s="111">
        <v>14.1</v>
      </c>
      <c r="AE25" s="110"/>
      <c r="AF25" s="121"/>
      <c r="AG25" s="123"/>
      <c r="AH25" s="122"/>
      <c r="AI25" s="114"/>
      <c r="AJ25" s="113"/>
      <c r="AK25" s="112" t="s">
        <v>249</v>
      </c>
      <c r="AL25" s="111">
        <v>20.8</v>
      </c>
      <c r="AM25" s="110"/>
      <c r="AN25" s="121"/>
      <c r="AO25" s="123"/>
      <c r="AP25" s="122"/>
      <c r="AQ25" s="114"/>
      <c r="AR25" s="113"/>
      <c r="AS25" s="112" t="s">
        <v>249</v>
      </c>
      <c r="AT25" s="111">
        <v>5.7</v>
      </c>
      <c r="AU25" s="110"/>
      <c r="AV25" s="121"/>
      <c r="AW25" s="123"/>
      <c r="AX25" s="122"/>
      <c r="AY25" s="114"/>
      <c r="AZ25" s="113"/>
      <c r="BA25" s="112" t="s">
        <v>249</v>
      </c>
      <c r="BB25" s="111">
        <v>18.600000000000001</v>
      </c>
      <c r="BC25" s="110"/>
      <c r="BD25" s="121"/>
      <c r="BE25" s="123"/>
      <c r="BF25" s="122"/>
      <c r="BG25" s="114"/>
      <c r="BH25" s="113"/>
      <c r="BI25" s="112" t="s">
        <v>249</v>
      </c>
      <c r="BJ25" s="111">
        <v>12.2</v>
      </c>
      <c r="BK25" s="110"/>
      <c r="BL25" s="121"/>
      <c r="BM25" s="123"/>
      <c r="BN25" s="122"/>
      <c r="BO25" s="114"/>
      <c r="BP25" s="113"/>
      <c r="BQ25" s="112" t="s">
        <v>249</v>
      </c>
      <c r="BR25" s="111">
        <v>8.1</v>
      </c>
      <c r="BS25" s="110"/>
      <c r="BT25" s="121"/>
      <c r="BU25" s="123"/>
      <c r="BV25" s="122"/>
      <c r="BW25" s="114"/>
      <c r="BX25" s="113"/>
      <c r="BY25" s="112" t="s">
        <v>249</v>
      </c>
      <c r="BZ25" s="111">
        <v>14.3</v>
      </c>
      <c r="CA25" s="110"/>
      <c r="CB25" s="121"/>
      <c r="CC25" s="123"/>
      <c r="CD25" s="122"/>
      <c r="CE25" s="114"/>
      <c r="CF25" s="113"/>
      <c r="CG25" s="112" t="s">
        <v>249</v>
      </c>
      <c r="CH25" s="111">
        <v>6.1</v>
      </c>
      <c r="CI25" s="110"/>
      <c r="CJ25" s="121"/>
    </row>
    <row r="26" spans="2:88" ht="25.15" customHeight="1" thickBot="1" x14ac:dyDescent="0.25">
      <c r="B26" s="122"/>
      <c r="C26" s="120">
        <v>1</v>
      </c>
      <c r="D26" s="119">
        <v>-7</v>
      </c>
      <c r="E26" s="112" t="s">
        <v>250</v>
      </c>
      <c r="F26" s="111">
        <v>21.1</v>
      </c>
      <c r="G26" s="118">
        <f>F26+F27-2.2</f>
        <v>21.6</v>
      </c>
      <c r="H26" s="121"/>
      <c r="I26" s="123"/>
      <c r="J26" s="122"/>
      <c r="K26" s="120">
        <v>2</v>
      </c>
      <c r="L26" s="119">
        <v>-7</v>
      </c>
      <c r="M26" s="112" t="s">
        <v>250</v>
      </c>
      <c r="N26" s="111">
        <v>20.100000000000001</v>
      </c>
      <c r="O26" s="118">
        <f>N26+N27-2.3</f>
        <v>27.8</v>
      </c>
      <c r="P26" s="121"/>
      <c r="Q26" s="123"/>
      <c r="R26" s="122"/>
      <c r="S26" s="120">
        <v>3</v>
      </c>
      <c r="T26" s="119">
        <v>-7</v>
      </c>
      <c r="U26" s="112" t="s">
        <v>250</v>
      </c>
      <c r="V26" s="111">
        <v>17.5</v>
      </c>
      <c r="W26" s="118">
        <f>V26+V27-2.2</f>
        <v>39.199999999999996</v>
      </c>
      <c r="X26" s="121"/>
      <c r="Y26" s="123"/>
      <c r="Z26" s="122"/>
      <c r="AA26" s="120">
        <v>4</v>
      </c>
      <c r="AB26" s="119">
        <v>-7</v>
      </c>
      <c r="AC26" s="112" t="s">
        <v>250</v>
      </c>
      <c r="AD26" s="111">
        <v>17</v>
      </c>
      <c r="AE26" s="118">
        <f>AD26+AD27-2.3</f>
        <v>30.7</v>
      </c>
      <c r="AF26" s="121"/>
      <c r="AG26" s="123"/>
      <c r="AH26" s="122"/>
      <c r="AI26" s="120">
        <v>5</v>
      </c>
      <c r="AJ26" s="119">
        <v>-7</v>
      </c>
      <c r="AK26" s="112" t="s">
        <v>250</v>
      </c>
      <c r="AL26" s="111">
        <v>18.3</v>
      </c>
      <c r="AM26" s="118">
        <f>AL26+AL27-2.2</f>
        <v>34.599999999999994</v>
      </c>
      <c r="AN26" s="121"/>
      <c r="AO26" s="123"/>
      <c r="AP26" s="122"/>
      <c r="AQ26" s="120">
        <v>6</v>
      </c>
      <c r="AR26" s="119">
        <v>-7</v>
      </c>
      <c r="AS26" s="112" t="s">
        <v>250</v>
      </c>
      <c r="AT26" s="111">
        <v>8.8000000000000007</v>
      </c>
      <c r="AU26" s="118">
        <f>AT26+AT27-2.3</f>
        <v>16.2</v>
      </c>
      <c r="AV26" s="121"/>
      <c r="AW26" s="123"/>
      <c r="AX26" s="122"/>
      <c r="AY26" s="120">
        <v>7</v>
      </c>
      <c r="AZ26" s="119">
        <v>-7</v>
      </c>
      <c r="BA26" s="112" t="s">
        <v>250</v>
      </c>
      <c r="BB26" s="111">
        <v>26.1</v>
      </c>
      <c r="BC26" s="118">
        <f>BB26+BB27-2.2</f>
        <v>41.3</v>
      </c>
      <c r="BD26" s="121"/>
      <c r="BE26" s="123"/>
      <c r="BF26" s="122"/>
      <c r="BG26" s="120">
        <v>8</v>
      </c>
      <c r="BH26" s="119">
        <v>-7</v>
      </c>
      <c r="BI26" s="112" t="s">
        <v>250</v>
      </c>
      <c r="BJ26" s="111">
        <v>12.2</v>
      </c>
      <c r="BK26" s="118">
        <f>BJ26+BJ27-2.3</f>
        <v>26.2</v>
      </c>
      <c r="BL26" s="121"/>
      <c r="BM26" s="123"/>
      <c r="BN26" s="122"/>
      <c r="BO26" s="120">
        <v>9</v>
      </c>
      <c r="BP26" s="119">
        <v>-7</v>
      </c>
      <c r="BQ26" s="112" t="s">
        <v>250</v>
      </c>
      <c r="BR26" s="111">
        <v>16.8</v>
      </c>
      <c r="BS26" s="118">
        <f>BR26+BR27-2.2</f>
        <v>32.299999999999997</v>
      </c>
      <c r="BT26" s="121"/>
      <c r="BU26" s="123"/>
      <c r="BV26" s="122"/>
      <c r="BW26" s="120">
        <v>10</v>
      </c>
      <c r="BX26" s="119">
        <v>-7</v>
      </c>
      <c r="BY26" s="112" t="s">
        <v>250</v>
      </c>
      <c r="BZ26" s="111">
        <v>22</v>
      </c>
      <c r="CA26" s="118">
        <f>BZ26+BZ27-2.3</f>
        <v>33.800000000000004</v>
      </c>
      <c r="CB26" s="121"/>
      <c r="CC26" s="123"/>
      <c r="CD26" s="122"/>
      <c r="CE26" s="120">
        <v>11</v>
      </c>
      <c r="CF26" s="119">
        <v>-7</v>
      </c>
      <c r="CG26" s="112" t="s">
        <v>250</v>
      </c>
      <c r="CH26" s="111">
        <v>14.9</v>
      </c>
      <c r="CI26" s="118">
        <f>CH26+CH27-2.2</f>
        <v>29.599999999999998</v>
      </c>
      <c r="CJ26" s="121"/>
    </row>
    <row r="27" spans="2:88" ht="25.15" customHeight="1" thickBot="1" x14ac:dyDescent="0.25">
      <c r="B27" s="122"/>
      <c r="C27" s="114"/>
      <c r="D27" s="113"/>
      <c r="E27" s="112" t="s">
        <v>249</v>
      </c>
      <c r="F27" s="111">
        <v>2.7</v>
      </c>
      <c r="G27" s="110"/>
      <c r="H27" s="121"/>
      <c r="I27" s="123"/>
      <c r="J27" s="122"/>
      <c r="K27" s="114"/>
      <c r="L27" s="113"/>
      <c r="M27" s="112" t="s">
        <v>249</v>
      </c>
      <c r="N27" s="111">
        <v>10</v>
      </c>
      <c r="O27" s="110"/>
      <c r="P27" s="121"/>
      <c r="Q27" s="123"/>
      <c r="R27" s="122"/>
      <c r="S27" s="114"/>
      <c r="T27" s="113"/>
      <c r="U27" s="112" t="s">
        <v>249</v>
      </c>
      <c r="V27" s="111">
        <v>23.9</v>
      </c>
      <c r="W27" s="110"/>
      <c r="X27" s="121"/>
      <c r="Y27" s="123"/>
      <c r="Z27" s="122"/>
      <c r="AA27" s="114"/>
      <c r="AB27" s="113"/>
      <c r="AC27" s="112" t="s">
        <v>249</v>
      </c>
      <c r="AD27" s="111">
        <v>16</v>
      </c>
      <c r="AE27" s="110"/>
      <c r="AF27" s="121"/>
      <c r="AG27" s="123"/>
      <c r="AH27" s="122"/>
      <c r="AI27" s="114"/>
      <c r="AJ27" s="113"/>
      <c r="AK27" s="112" t="s">
        <v>249</v>
      </c>
      <c r="AL27" s="111">
        <v>18.5</v>
      </c>
      <c r="AM27" s="110"/>
      <c r="AN27" s="121"/>
      <c r="AO27" s="123"/>
      <c r="AP27" s="122"/>
      <c r="AQ27" s="114"/>
      <c r="AR27" s="113"/>
      <c r="AS27" s="112" t="s">
        <v>249</v>
      </c>
      <c r="AT27" s="111">
        <v>9.6999999999999993</v>
      </c>
      <c r="AU27" s="110"/>
      <c r="AV27" s="121"/>
      <c r="AW27" s="123"/>
      <c r="AX27" s="122"/>
      <c r="AY27" s="114"/>
      <c r="AZ27" s="113"/>
      <c r="BA27" s="112" t="s">
        <v>249</v>
      </c>
      <c r="BB27" s="111">
        <v>17.399999999999999</v>
      </c>
      <c r="BC27" s="110"/>
      <c r="BD27" s="121"/>
      <c r="BE27" s="123"/>
      <c r="BF27" s="122"/>
      <c r="BG27" s="114"/>
      <c r="BH27" s="113"/>
      <c r="BI27" s="112" t="s">
        <v>249</v>
      </c>
      <c r="BJ27" s="111">
        <v>16.3</v>
      </c>
      <c r="BK27" s="110"/>
      <c r="BL27" s="121"/>
      <c r="BM27" s="123"/>
      <c r="BN27" s="122"/>
      <c r="BO27" s="114"/>
      <c r="BP27" s="113"/>
      <c r="BQ27" s="112" t="s">
        <v>249</v>
      </c>
      <c r="BR27" s="111">
        <v>17.7</v>
      </c>
      <c r="BS27" s="110"/>
      <c r="BT27" s="121"/>
      <c r="BU27" s="123"/>
      <c r="BV27" s="122"/>
      <c r="BW27" s="114"/>
      <c r="BX27" s="113"/>
      <c r="BY27" s="112" t="s">
        <v>249</v>
      </c>
      <c r="BZ27" s="111">
        <v>14.1</v>
      </c>
      <c r="CA27" s="110"/>
      <c r="CB27" s="121"/>
      <c r="CC27" s="123"/>
      <c r="CD27" s="122"/>
      <c r="CE27" s="114"/>
      <c r="CF27" s="113"/>
      <c r="CG27" s="112" t="s">
        <v>249</v>
      </c>
      <c r="CH27" s="111">
        <v>16.899999999999999</v>
      </c>
      <c r="CI27" s="110"/>
      <c r="CJ27" s="121"/>
    </row>
    <row r="28" spans="2:88" ht="25.15" customHeight="1" thickBot="1" x14ac:dyDescent="0.25">
      <c r="B28" s="122"/>
      <c r="C28" s="120">
        <v>1</v>
      </c>
      <c r="D28" s="119">
        <v>-8</v>
      </c>
      <c r="E28" s="112" t="s">
        <v>250</v>
      </c>
      <c r="F28" s="111">
        <v>17.5</v>
      </c>
      <c r="G28" s="118">
        <f>F28+F29-2.2</f>
        <v>18.400000000000002</v>
      </c>
      <c r="H28" s="121"/>
      <c r="I28" s="123"/>
      <c r="J28" s="122"/>
      <c r="K28" s="120">
        <v>2</v>
      </c>
      <c r="L28" s="119">
        <v>-8</v>
      </c>
      <c r="M28" s="112" t="s">
        <v>250</v>
      </c>
      <c r="N28" s="111">
        <v>19.3</v>
      </c>
      <c r="O28" s="118">
        <f>N28+N29-2.3</f>
        <v>23.900000000000002</v>
      </c>
      <c r="P28" s="121"/>
      <c r="Q28" s="123"/>
      <c r="R28" s="122"/>
      <c r="S28" s="120">
        <v>3</v>
      </c>
      <c r="T28" s="119">
        <v>-8</v>
      </c>
      <c r="U28" s="112" t="s">
        <v>250</v>
      </c>
      <c r="V28" s="111">
        <v>19</v>
      </c>
      <c r="W28" s="118">
        <f>V28+V29-2.2</f>
        <v>40.599999999999994</v>
      </c>
      <c r="X28" s="121"/>
      <c r="Y28" s="123"/>
      <c r="Z28" s="122"/>
      <c r="AA28" s="120">
        <v>4</v>
      </c>
      <c r="AB28" s="119">
        <v>-8</v>
      </c>
      <c r="AC28" s="112" t="s">
        <v>250</v>
      </c>
      <c r="AD28" s="111">
        <v>17</v>
      </c>
      <c r="AE28" s="118">
        <f>AD28+AD29-2.3</f>
        <v>29</v>
      </c>
      <c r="AF28" s="121"/>
      <c r="AG28" s="123"/>
      <c r="AH28" s="122"/>
      <c r="AI28" s="120">
        <v>5</v>
      </c>
      <c r="AJ28" s="119">
        <v>-8</v>
      </c>
      <c r="AK28" s="112" t="s">
        <v>250</v>
      </c>
      <c r="AL28" s="111">
        <v>20.6</v>
      </c>
      <c r="AM28" s="118">
        <f>AL28+AL29-2.2</f>
        <v>35.700000000000003</v>
      </c>
      <c r="AN28" s="121"/>
      <c r="AO28" s="123"/>
      <c r="AP28" s="122"/>
      <c r="AQ28" s="120">
        <v>6</v>
      </c>
      <c r="AR28" s="119">
        <v>-8</v>
      </c>
      <c r="AS28" s="112" t="s">
        <v>250</v>
      </c>
      <c r="AT28" s="111">
        <v>12.6</v>
      </c>
      <c r="AU28" s="118">
        <f>AT28+AT29-2.3</f>
        <v>16.899999999999999</v>
      </c>
      <c r="AV28" s="121"/>
      <c r="AW28" s="123"/>
      <c r="AX28" s="122"/>
      <c r="AY28" s="120">
        <v>7</v>
      </c>
      <c r="AZ28" s="119">
        <v>-8</v>
      </c>
      <c r="BA28" s="112" t="s">
        <v>250</v>
      </c>
      <c r="BB28" s="111">
        <v>24.3</v>
      </c>
      <c r="BC28" s="118">
        <f>BB28+BB29-2.2</f>
        <v>40.200000000000003</v>
      </c>
      <c r="BD28" s="121"/>
      <c r="BE28" s="123"/>
      <c r="BF28" s="122"/>
      <c r="BG28" s="120">
        <v>8</v>
      </c>
      <c r="BH28" s="119">
        <v>-8</v>
      </c>
      <c r="BI28" s="112" t="s">
        <v>250</v>
      </c>
      <c r="BJ28" s="111">
        <v>14.4</v>
      </c>
      <c r="BK28" s="118">
        <f>BJ28+BJ29-2.3</f>
        <v>38.800000000000004</v>
      </c>
      <c r="BL28" s="121"/>
      <c r="BM28" s="123"/>
      <c r="BN28" s="122"/>
      <c r="BO28" s="120">
        <v>9</v>
      </c>
      <c r="BP28" s="119">
        <v>-8</v>
      </c>
      <c r="BQ28" s="112" t="s">
        <v>250</v>
      </c>
      <c r="BR28" s="111">
        <v>17.100000000000001</v>
      </c>
      <c r="BS28" s="118">
        <f>BR28+BR29-2.2</f>
        <v>36.4</v>
      </c>
      <c r="BT28" s="121"/>
      <c r="BU28" s="123"/>
      <c r="BV28" s="122"/>
      <c r="BW28" s="120">
        <v>10</v>
      </c>
      <c r="BX28" s="119">
        <v>-8</v>
      </c>
      <c r="BY28" s="112" t="s">
        <v>250</v>
      </c>
      <c r="BZ28" s="111">
        <v>14.3</v>
      </c>
      <c r="CA28" s="118">
        <f>BZ28+BZ29-2.3</f>
        <v>31.400000000000002</v>
      </c>
      <c r="CB28" s="121"/>
      <c r="CC28" s="123"/>
      <c r="CD28" s="122"/>
      <c r="CE28" s="120">
        <v>11</v>
      </c>
      <c r="CF28" s="119">
        <v>-8</v>
      </c>
      <c r="CG28" s="112" t="s">
        <v>250</v>
      </c>
      <c r="CH28" s="111">
        <v>23.1</v>
      </c>
      <c r="CI28" s="118">
        <f>CH28+CH29-2.2</f>
        <v>30.400000000000002</v>
      </c>
      <c r="CJ28" s="121"/>
    </row>
    <row r="29" spans="2:88" ht="25.15" customHeight="1" thickBot="1" x14ac:dyDescent="0.25">
      <c r="B29" s="122"/>
      <c r="C29" s="114"/>
      <c r="D29" s="113"/>
      <c r="E29" s="112" t="s">
        <v>249</v>
      </c>
      <c r="F29" s="111">
        <v>3.1</v>
      </c>
      <c r="G29" s="110"/>
      <c r="H29" s="121"/>
      <c r="I29" s="123"/>
      <c r="J29" s="122"/>
      <c r="K29" s="114"/>
      <c r="L29" s="113"/>
      <c r="M29" s="112" t="s">
        <v>249</v>
      </c>
      <c r="N29" s="111">
        <v>6.9</v>
      </c>
      <c r="O29" s="110"/>
      <c r="P29" s="121"/>
      <c r="Q29" s="123"/>
      <c r="R29" s="122"/>
      <c r="S29" s="114"/>
      <c r="T29" s="113"/>
      <c r="U29" s="112" t="s">
        <v>249</v>
      </c>
      <c r="V29" s="111">
        <v>23.8</v>
      </c>
      <c r="W29" s="110"/>
      <c r="X29" s="121"/>
      <c r="Y29" s="123"/>
      <c r="Z29" s="122"/>
      <c r="AA29" s="114"/>
      <c r="AB29" s="113"/>
      <c r="AC29" s="112" t="s">
        <v>249</v>
      </c>
      <c r="AD29" s="111">
        <v>14.3</v>
      </c>
      <c r="AE29" s="110"/>
      <c r="AF29" s="121"/>
      <c r="AG29" s="123"/>
      <c r="AH29" s="122"/>
      <c r="AI29" s="114"/>
      <c r="AJ29" s="113"/>
      <c r="AK29" s="112" t="s">
        <v>249</v>
      </c>
      <c r="AL29" s="111">
        <v>17.3</v>
      </c>
      <c r="AM29" s="110"/>
      <c r="AN29" s="121"/>
      <c r="AO29" s="123"/>
      <c r="AP29" s="122"/>
      <c r="AQ29" s="114"/>
      <c r="AR29" s="113"/>
      <c r="AS29" s="112" t="s">
        <v>249</v>
      </c>
      <c r="AT29" s="111">
        <v>6.6</v>
      </c>
      <c r="AU29" s="110"/>
      <c r="AV29" s="121"/>
      <c r="AW29" s="123"/>
      <c r="AX29" s="122"/>
      <c r="AY29" s="114"/>
      <c r="AZ29" s="113"/>
      <c r="BA29" s="112" t="s">
        <v>249</v>
      </c>
      <c r="BB29" s="111">
        <v>18.100000000000001</v>
      </c>
      <c r="BC29" s="110"/>
      <c r="BD29" s="121"/>
      <c r="BE29" s="123"/>
      <c r="BF29" s="122"/>
      <c r="BG29" s="114"/>
      <c r="BH29" s="113"/>
      <c r="BI29" s="112" t="s">
        <v>249</v>
      </c>
      <c r="BJ29" s="111">
        <v>26.7</v>
      </c>
      <c r="BK29" s="110"/>
      <c r="BL29" s="121"/>
      <c r="BM29" s="123"/>
      <c r="BN29" s="122"/>
      <c r="BO29" s="114"/>
      <c r="BP29" s="113"/>
      <c r="BQ29" s="112" t="s">
        <v>249</v>
      </c>
      <c r="BR29" s="111">
        <v>21.5</v>
      </c>
      <c r="BS29" s="110"/>
      <c r="BT29" s="121"/>
      <c r="BU29" s="123"/>
      <c r="BV29" s="122"/>
      <c r="BW29" s="114"/>
      <c r="BX29" s="113"/>
      <c r="BY29" s="112" t="s">
        <v>249</v>
      </c>
      <c r="BZ29" s="111">
        <v>19.399999999999999</v>
      </c>
      <c r="CA29" s="110"/>
      <c r="CB29" s="121"/>
      <c r="CC29" s="123"/>
      <c r="CD29" s="122"/>
      <c r="CE29" s="114"/>
      <c r="CF29" s="113"/>
      <c r="CG29" s="112" t="s">
        <v>249</v>
      </c>
      <c r="CH29" s="111">
        <v>9.5</v>
      </c>
      <c r="CI29" s="110"/>
      <c r="CJ29" s="121"/>
    </row>
    <row r="30" spans="2:88" ht="25.15" customHeight="1" thickBot="1" x14ac:dyDescent="0.25">
      <c r="B30" s="122"/>
      <c r="C30" s="120">
        <v>1</v>
      </c>
      <c r="D30" s="119">
        <v>-9</v>
      </c>
      <c r="E30" s="112" t="s">
        <v>250</v>
      </c>
      <c r="F30" s="111">
        <v>19.399999999999999</v>
      </c>
      <c r="G30" s="118">
        <f>F30+F31-2.2</f>
        <v>22.3</v>
      </c>
      <c r="H30" s="121"/>
      <c r="I30" s="123"/>
      <c r="J30" s="122"/>
      <c r="K30" s="120">
        <v>2</v>
      </c>
      <c r="L30" s="119">
        <v>-9</v>
      </c>
      <c r="M30" s="112" t="s">
        <v>250</v>
      </c>
      <c r="N30" s="111">
        <v>23.5</v>
      </c>
      <c r="O30" s="118">
        <f>N30+N31-2.3</f>
        <v>27.9</v>
      </c>
      <c r="P30" s="121"/>
      <c r="Q30" s="123"/>
      <c r="R30" s="122"/>
      <c r="S30" s="120">
        <v>3</v>
      </c>
      <c r="T30" s="119">
        <v>-9</v>
      </c>
      <c r="U30" s="112" t="s">
        <v>250</v>
      </c>
      <c r="V30" s="111">
        <v>21.9</v>
      </c>
      <c r="W30" s="118">
        <f>V30+V31-2.2</f>
        <v>37.199999999999996</v>
      </c>
      <c r="X30" s="121"/>
      <c r="Y30" s="123"/>
      <c r="Z30" s="122"/>
      <c r="AA30" s="120">
        <v>4</v>
      </c>
      <c r="AB30" s="119">
        <v>-9</v>
      </c>
      <c r="AC30" s="112" t="s">
        <v>250</v>
      </c>
      <c r="AD30" s="111">
        <v>19.100000000000001</v>
      </c>
      <c r="AE30" s="118">
        <f>AD30+AD31-2.3</f>
        <v>28.1</v>
      </c>
      <c r="AF30" s="121"/>
      <c r="AG30" s="123"/>
      <c r="AH30" s="122"/>
      <c r="AI30" s="120">
        <v>5</v>
      </c>
      <c r="AJ30" s="119">
        <v>-9</v>
      </c>
      <c r="AK30" s="112" t="s">
        <v>250</v>
      </c>
      <c r="AL30" s="111">
        <v>27.3</v>
      </c>
      <c r="AM30" s="118">
        <f>AL30+AL31-2.2</f>
        <v>33.599999999999994</v>
      </c>
      <c r="AN30" s="121"/>
      <c r="AO30" s="123"/>
      <c r="AP30" s="122"/>
      <c r="AQ30" s="120">
        <v>6</v>
      </c>
      <c r="AR30" s="119">
        <v>-9</v>
      </c>
      <c r="AS30" s="112" t="s">
        <v>250</v>
      </c>
      <c r="AT30" s="111">
        <v>8</v>
      </c>
      <c r="AU30" s="118">
        <f>AT30+AT31-2.3</f>
        <v>14.399999999999999</v>
      </c>
      <c r="AV30" s="121"/>
      <c r="AW30" s="123"/>
      <c r="AX30" s="122"/>
      <c r="AY30" s="120">
        <v>7</v>
      </c>
      <c r="AZ30" s="119">
        <v>-9</v>
      </c>
      <c r="BA30" s="112" t="s">
        <v>250</v>
      </c>
      <c r="BB30" s="111">
        <v>20.6</v>
      </c>
      <c r="BC30" s="118">
        <f>BB30+BB31-2.2</f>
        <v>37.4</v>
      </c>
      <c r="BD30" s="121"/>
      <c r="BE30" s="123"/>
      <c r="BF30" s="122"/>
      <c r="BG30" s="120">
        <v>8</v>
      </c>
      <c r="BH30" s="119">
        <v>-9</v>
      </c>
      <c r="BI30" s="112" t="s">
        <v>250</v>
      </c>
      <c r="BJ30" s="111">
        <v>18.899999999999999</v>
      </c>
      <c r="BK30" s="118">
        <f>BJ30+BJ31-2.3</f>
        <v>35</v>
      </c>
      <c r="BL30" s="121"/>
      <c r="BM30" s="123"/>
      <c r="BN30" s="122"/>
      <c r="BO30" s="120">
        <v>9</v>
      </c>
      <c r="BP30" s="119">
        <v>-9</v>
      </c>
      <c r="BQ30" s="112" t="s">
        <v>250</v>
      </c>
      <c r="BR30" s="111">
        <v>17.600000000000001</v>
      </c>
      <c r="BS30" s="118">
        <f>BR30+BR31-2.2</f>
        <v>27.8</v>
      </c>
      <c r="BT30" s="121"/>
      <c r="BU30" s="123"/>
      <c r="BV30" s="122"/>
      <c r="BW30" s="120">
        <v>10</v>
      </c>
      <c r="BX30" s="119">
        <v>-9</v>
      </c>
      <c r="BY30" s="112" t="s">
        <v>250</v>
      </c>
      <c r="BZ30" s="111">
        <v>14.4</v>
      </c>
      <c r="CA30" s="118">
        <f>BZ30+BZ31-2.3</f>
        <v>27</v>
      </c>
      <c r="CB30" s="121"/>
      <c r="CC30" s="123"/>
      <c r="CD30" s="122"/>
      <c r="CE30" s="120">
        <v>11</v>
      </c>
      <c r="CF30" s="119">
        <v>-9</v>
      </c>
      <c r="CG30" s="112" t="s">
        <v>250</v>
      </c>
      <c r="CH30" s="111">
        <v>20.399999999999999</v>
      </c>
      <c r="CI30" s="118">
        <f>CH30+CH31-2.2</f>
        <v>23.599999999999998</v>
      </c>
      <c r="CJ30" s="121"/>
    </row>
    <row r="31" spans="2:88" ht="25.15" customHeight="1" thickBot="1" x14ac:dyDescent="0.25">
      <c r="B31" s="122"/>
      <c r="C31" s="114"/>
      <c r="D31" s="113"/>
      <c r="E31" s="112" t="s">
        <v>249</v>
      </c>
      <c r="F31" s="111">
        <v>5.0999999999999996</v>
      </c>
      <c r="G31" s="110"/>
      <c r="H31" s="121"/>
      <c r="I31" s="123"/>
      <c r="J31" s="122"/>
      <c r="K31" s="114"/>
      <c r="L31" s="113"/>
      <c r="M31" s="112" t="s">
        <v>249</v>
      </c>
      <c r="N31" s="111">
        <v>6.7</v>
      </c>
      <c r="O31" s="110"/>
      <c r="P31" s="121"/>
      <c r="Q31" s="123"/>
      <c r="R31" s="122"/>
      <c r="S31" s="114"/>
      <c r="T31" s="113"/>
      <c r="U31" s="112" t="s">
        <v>249</v>
      </c>
      <c r="V31" s="111">
        <v>17.5</v>
      </c>
      <c r="W31" s="110"/>
      <c r="X31" s="121"/>
      <c r="Y31" s="123"/>
      <c r="Z31" s="122"/>
      <c r="AA31" s="114"/>
      <c r="AB31" s="113"/>
      <c r="AC31" s="112" t="s">
        <v>249</v>
      </c>
      <c r="AD31" s="111">
        <v>11.3</v>
      </c>
      <c r="AE31" s="110"/>
      <c r="AF31" s="121"/>
      <c r="AG31" s="123"/>
      <c r="AH31" s="122"/>
      <c r="AI31" s="114"/>
      <c r="AJ31" s="113"/>
      <c r="AK31" s="112" t="s">
        <v>249</v>
      </c>
      <c r="AL31" s="111">
        <v>8.5</v>
      </c>
      <c r="AM31" s="110"/>
      <c r="AN31" s="121"/>
      <c r="AO31" s="123"/>
      <c r="AP31" s="122"/>
      <c r="AQ31" s="114"/>
      <c r="AR31" s="113"/>
      <c r="AS31" s="112" t="s">
        <v>249</v>
      </c>
      <c r="AT31" s="111">
        <v>8.6999999999999993</v>
      </c>
      <c r="AU31" s="110"/>
      <c r="AV31" s="121"/>
      <c r="AW31" s="123"/>
      <c r="AX31" s="122"/>
      <c r="AY31" s="114"/>
      <c r="AZ31" s="113"/>
      <c r="BA31" s="112" t="s">
        <v>249</v>
      </c>
      <c r="BB31" s="111">
        <v>19</v>
      </c>
      <c r="BC31" s="110"/>
      <c r="BD31" s="121"/>
      <c r="BE31" s="123"/>
      <c r="BF31" s="122"/>
      <c r="BG31" s="114"/>
      <c r="BH31" s="113"/>
      <c r="BI31" s="112" t="s">
        <v>249</v>
      </c>
      <c r="BJ31" s="111">
        <v>18.399999999999999</v>
      </c>
      <c r="BK31" s="110"/>
      <c r="BL31" s="121"/>
      <c r="BM31" s="123"/>
      <c r="BN31" s="122"/>
      <c r="BO31" s="114"/>
      <c r="BP31" s="113"/>
      <c r="BQ31" s="112" t="s">
        <v>249</v>
      </c>
      <c r="BR31" s="111">
        <v>12.4</v>
      </c>
      <c r="BS31" s="110"/>
      <c r="BT31" s="121"/>
      <c r="BU31" s="123"/>
      <c r="BV31" s="122"/>
      <c r="BW31" s="114"/>
      <c r="BX31" s="113"/>
      <c r="BY31" s="112" t="s">
        <v>249</v>
      </c>
      <c r="BZ31" s="111">
        <v>14.9</v>
      </c>
      <c r="CA31" s="110"/>
      <c r="CB31" s="121"/>
      <c r="CC31" s="123"/>
      <c r="CD31" s="122"/>
      <c r="CE31" s="114"/>
      <c r="CF31" s="113"/>
      <c r="CG31" s="112" t="s">
        <v>249</v>
      </c>
      <c r="CH31" s="111">
        <v>5.4</v>
      </c>
      <c r="CI31" s="110"/>
      <c r="CJ31" s="121"/>
    </row>
    <row r="32" spans="2:88" ht="23.45" customHeight="1" thickBot="1" x14ac:dyDescent="0.25">
      <c r="B32" s="122"/>
      <c r="C32" s="120">
        <v>1</v>
      </c>
      <c r="D32" s="119">
        <v>-10</v>
      </c>
      <c r="E32" s="112" t="s">
        <v>250</v>
      </c>
      <c r="F32" s="111">
        <v>26.9</v>
      </c>
      <c r="G32" s="118">
        <f>F32+F33-2.2</f>
        <v>32.899999999999991</v>
      </c>
      <c r="H32" s="121"/>
      <c r="I32" s="123"/>
      <c r="J32" s="122"/>
      <c r="K32" s="120">
        <v>2</v>
      </c>
      <c r="L32" s="119">
        <v>-10</v>
      </c>
      <c r="M32" s="112" t="s">
        <v>250</v>
      </c>
      <c r="N32" s="111">
        <v>17.7</v>
      </c>
      <c r="O32" s="118">
        <f>N32+N33-2.3</f>
        <v>19</v>
      </c>
      <c r="P32" s="121"/>
      <c r="Q32" s="123"/>
      <c r="R32" s="122"/>
      <c r="S32" s="120">
        <v>3</v>
      </c>
      <c r="T32" s="119">
        <v>-10</v>
      </c>
      <c r="U32" s="112" t="s">
        <v>250</v>
      </c>
      <c r="V32" s="111">
        <v>29.8</v>
      </c>
      <c r="W32" s="118">
        <f>V32+V33-2.2</f>
        <v>37.299999999999997</v>
      </c>
      <c r="X32" s="121"/>
      <c r="Y32" s="123"/>
      <c r="Z32" s="122"/>
      <c r="AA32" s="120">
        <v>4</v>
      </c>
      <c r="AB32" s="119">
        <v>-10</v>
      </c>
      <c r="AC32" s="112" t="s">
        <v>250</v>
      </c>
      <c r="AD32" s="111">
        <v>16.100000000000001</v>
      </c>
      <c r="AE32" s="118">
        <f>AD32+AD33-2.3</f>
        <v>24</v>
      </c>
      <c r="AF32" s="121"/>
      <c r="AG32" s="123"/>
      <c r="AH32" s="122"/>
      <c r="AI32" s="120">
        <v>5</v>
      </c>
      <c r="AJ32" s="119">
        <v>-10</v>
      </c>
      <c r="AK32" s="112" t="s">
        <v>250</v>
      </c>
      <c r="AL32" s="111">
        <v>16.7</v>
      </c>
      <c r="AM32" s="118">
        <f>AL32+AL33-2.2</f>
        <v>24.5</v>
      </c>
      <c r="AN32" s="121"/>
      <c r="AO32" s="123"/>
      <c r="AP32" s="122"/>
      <c r="AQ32" s="120">
        <v>6</v>
      </c>
      <c r="AR32" s="119">
        <v>-10</v>
      </c>
      <c r="AS32" s="112" t="s">
        <v>250</v>
      </c>
      <c r="AT32" s="111">
        <v>9.3000000000000007</v>
      </c>
      <c r="AU32" s="118">
        <f>AT32+AT33-2.3</f>
        <v>13.5</v>
      </c>
      <c r="AV32" s="121"/>
      <c r="AW32" s="123"/>
      <c r="AX32" s="122"/>
      <c r="AY32" s="120">
        <v>7</v>
      </c>
      <c r="AZ32" s="119">
        <v>-10</v>
      </c>
      <c r="BA32" s="112" t="s">
        <v>250</v>
      </c>
      <c r="BB32" s="111">
        <v>24.2</v>
      </c>
      <c r="BC32" s="118">
        <f>BB32+BB33-2.2</f>
        <v>32.4</v>
      </c>
      <c r="BD32" s="121"/>
      <c r="BE32" s="123"/>
      <c r="BF32" s="122"/>
      <c r="BG32" s="120">
        <v>8</v>
      </c>
      <c r="BH32" s="119">
        <v>-10</v>
      </c>
      <c r="BI32" s="112" t="s">
        <v>250</v>
      </c>
      <c r="BJ32" s="111">
        <v>18.100000000000001</v>
      </c>
      <c r="BK32" s="118">
        <f>BJ32+BJ33-2.3</f>
        <v>24.900000000000002</v>
      </c>
      <c r="BL32" s="121"/>
      <c r="BM32" s="123"/>
      <c r="BN32" s="122"/>
      <c r="BO32" s="120">
        <v>9</v>
      </c>
      <c r="BP32" s="119">
        <v>-10</v>
      </c>
      <c r="BQ32" s="112" t="s">
        <v>250</v>
      </c>
      <c r="BR32" s="111">
        <v>14.2</v>
      </c>
      <c r="BS32" s="118">
        <f>BR32+BR33-2.2</f>
        <v>24.900000000000002</v>
      </c>
      <c r="BT32" s="121"/>
      <c r="BU32" s="123"/>
      <c r="BV32" s="122"/>
      <c r="BW32" s="120">
        <v>10</v>
      </c>
      <c r="BX32" s="119">
        <v>-10</v>
      </c>
      <c r="BY32" s="112" t="s">
        <v>250</v>
      </c>
      <c r="BZ32" s="111">
        <v>9.9</v>
      </c>
      <c r="CA32" s="118">
        <f>BZ32+BZ33-2.3</f>
        <v>20.7</v>
      </c>
      <c r="CB32" s="121"/>
      <c r="CC32" s="123"/>
      <c r="CD32" s="122"/>
      <c r="CE32" s="120">
        <v>11</v>
      </c>
      <c r="CF32" s="119">
        <v>-10</v>
      </c>
      <c r="CG32" s="112" t="s">
        <v>250</v>
      </c>
      <c r="CH32" s="111">
        <v>16.3</v>
      </c>
      <c r="CI32" s="118">
        <f>CH32+CH33-2.2</f>
        <v>21.2</v>
      </c>
      <c r="CJ32" s="121"/>
    </row>
    <row r="33" spans="1:88" ht="24.6" customHeight="1" thickBot="1" x14ac:dyDescent="0.25">
      <c r="A33" s="47"/>
      <c r="B33" s="122"/>
      <c r="C33" s="114"/>
      <c r="D33" s="113"/>
      <c r="E33" s="112" t="s">
        <v>249</v>
      </c>
      <c r="F33" s="111">
        <v>8.1999999999999993</v>
      </c>
      <c r="G33" s="110"/>
      <c r="H33" s="121"/>
      <c r="I33" s="123"/>
      <c r="J33" s="122"/>
      <c r="K33" s="114"/>
      <c r="L33" s="113"/>
      <c r="M33" s="112" t="s">
        <v>249</v>
      </c>
      <c r="N33" s="111">
        <v>3.6</v>
      </c>
      <c r="O33" s="110"/>
      <c r="P33" s="121"/>
      <c r="Q33" s="123"/>
      <c r="R33" s="122"/>
      <c r="S33" s="114"/>
      <c r="T33" s="113"/>
      <c r="U33" s="112" t="s">
        <v>249</v>
      </c>
      <c r="V33" s="111">
        <v>9.6999999999999993</v>
      </c>
      <c r="W33" s="110"/>
      <c r="X33" s="121"/>
      <c r="Y33" s="123"/>
      <c r="Z33" s="122"/>
      <c r="AA33" s="114"/>
      <c r="AB33" s="113"/>
      <c r="AC33" s="112" t="s">
        <v>249</v>
      </c>
      <c r="AD33" s="111">
        <v>10.199999999999999</v>
      </c>
      <c r="AE33" s="110"/>
      <c r="AF33" s="121"/>
      <c r="AG33" s="123"/>
      <c r="AH33" s="122"/>
      <c r="AI33" s="114"/>
      <c r="AJ33" s="113"/>
      <c r="AK33" s="112" t="s">
        <v>249</v>
      </c>
      <c r="AL33" s="111">
        <v>10</v>
      </c>
      <c r="AM33" s="110"/>
      <c r="AN33" s="121"/>
      <c r="AO33" s="123"/>
      <c r="AP33" s="122"/>
      <c r="AQ33" s="114"/>
      <c r="AR33" s="113"/>
      <c r="AS33" s="112" t="s">
        <v>249</v>
      </c>
      <c r="AT33" s="111">
        <v>6.5</v>
      </c>
      <c r="AU33" s="110"/>
      <c r="AV33" s="121"/>
      <c r="AW33" s="123"/>
      <c r="AX33" s="122"/>
      <c r="AY33" s="114"/>
      <c r="AZ33" s="113"/>
      <c r="BA33" s="112" t="s">
        <v>249</v>
      </c>
      <c r="BB33" s="111">
        <v>10.4</v>
      </c>
      <c r="BC33" s="110"/>
      <c r="BD33" s="121"/>
      <c r="BE33" s="123"/>
      <c r="BF33" s="122"/>
      <c r="BG33" s="114"/>
      <c r="BH33" s="113"/>
      <c r="BI33" s="112" t="s">
        <v>249</v>
      </c>
      <c r="BJ33" s="111">
        <v>9.1</v>
      </c>
      <c r="BK33" s="110"/>
      <c r="BL33" s="121"/>
      <c r="BM33" s="123"/>
      <c r="BN33" s="122"/>
      <c r="BO33" s="114"/>
      <c r="BP33" s="113"/>
      <c r="BQ33" s="112" t="s">
        <v>249</v>
      </c>
      <c r="BR33" s="111">
        <v>12.9</v>
      </c>
      <c r="BS33" s="110"/>
      <c r="BT33" s="121"/>
      <c r="BU33" s="123"/>
      <c r="BV33" s="122"/>
      <c r="BW33" s="114"/>
      <c r="BX33" s="113"/>
      <c r="BY33" s="112" t="s">
        <v>249</v>
      </c>
      <c r="BZ33" s="111">
        <v>13.1</v>
      </c>
      <c r="CA33" s="110"/>
      <c r="CB33" s="121"/>
      <c r="CC33" s="123"/>
      <c r="CD33" s="122"/>
      <c r="CE33" s="114"/>
      <c r="CF33" s="113"/>
      <c r="CG33" s="112" t="s">
        <v>249</v>
      </c>
      <c r="CH33" s="111">
        <v>7.1</v>
      </c>
      <c r="CI33" s="110"/>
      <c r="CJ33" s="121"/>
    </row>
    <row r="34" spans="1:88" ht="24.6" customHeight="1" thickBot="1" x14ac:dyDescent="0.3">
      <c r="A34" s="47"/>
      <c r="B34" s="92"/>
      <c r="C34" s="120">
        <v>1</v>
      </c>
      <c r="D34" s="119">
        <v>-11</v>
      </c>
      <c r="E34" s="112" t="s">
        <v>250</v>
      </c>
      <c r="F34" s="117">
        <v>19.5</v>
      </c>
      <c r="G34" s="118">
        <f>F34+F35-2.2</f>
        <v>18.400000000000002</v>
      </c>
      <c r="H34" s="109"/>
      <c r="J34" s="92"/>
      <c r="K34" s="120">
        <v>2</v>
      </c>
      <c r="L34" s="119">
        <v>-11</v>
      </c>
      <c r="M34" s="112" t="s">
        <v>250</v>
      </c>
      <c r="N34" s="111">
        <v>12</v>
      </c>
      <c r="O34" s="118">
        <f>N34+N35-2.3</f>
        <v>11.3</v>
      </c>
      <c r="P34" s="109"/>
      <c r="R34" s="92"/>
      <c r="S34" s="120">
        <v>3</v>
      </c>
      <c r="T34" s="119">
        <v>-11</v>
      </c>
      <c r="U34" s="112" t="s">
        <v>250</v>
      </c>
      <c r="V34" s="111">
        <v>22.5</v>
      </c>
      <c r="W34" s="118">
        <f>V34+V35-2.2</f>
        <v>31.099999999999998</v>
      </c>
      <c r="X34" s="109"/>
      <c r="Z34" s="92"/>
      <c r="AA34" s="120">
        <v>4</v>
      </c>
      <c r="AB34" s="119">
        <v>-11</v>
      </c>
      <c r="AC34" s="112" t="s">
        <v>250</v>
      </c>
      <c r="AD34" s="111">
        <v>14.8</v>
      </c>
      <c r="AE34" s="118">
        <f>AD34+AD35-2.3</f>
        <v>22.2</v>
      </c>
      <c r="AF34" s="109"/>
      <c r="AH34" s="92"/>
      <c r="AI34" s="120">
        <v>5</v>
      </c>
      <c r="AJ34" s="119">
        <v>-11</v>
      </c>
      <c r="AK34" s="112" t="s">
        <v>250</v>
      </c>
      <c r="AL34" s="111">
        <v>16.8</v>
      </c>
      <c r="AM34" s="118">
        <f>AL34+AL35-2.2</f>
        <v>23.000000000000004</v>
      </c>
      <c r="AN34" s="109"/>
      <c r="AP34" s="92"/>
      <c r="AQ34" s="120">
        <v>6</v>
      </c>
      <c r="AR34" s="119">
        <v>-11</v>
      </c>
      <c r="AS34" s="112" t="s">
        <v>250</v>
      </c>
      <c r="AT34" s="111">
        <v>6.6</v>
      </c>
      <c r="AU34" s="118">
        <f>AT34+AT35-2.3</f>
        <v>15.499999999999996</v>
      </c>
      <c r="AV34" s="109"/>
      <c r="AX34" s="92"/>
      <c r="AY34" s="120">
        <v>7</v>
      </c>
      <c r="AZ34" s="119">
        <v>-11</v>
      </c>
      <c r="BA34" s="112" t="s">
        <v>250</v>
      </c>
      <c r="BB34" s="111">
        <v>33.700000000000003</v>
      </c>
      <c r="BC34" s="118">
        <f>BB34+BB35-2.2</f>
        <v>35.5</v>
      </c>
      <c r="BD34" s="109"/>
      <c r="BF34" s="92"/>
      <c r="BG34" s="120">
        <v>8</v>
      </c>
      <c r="BH34" s="119">
        <v>-11</v>
      </c>
      <c r="BI34" s="112" t="s">
        <v>250</v>
      </c>
      <c r="BJ34" s="111">
        <v>12.1</v>
      </c>
      <c r="BK34" s="118">
        <f>BJ34+BJ35-2.3</f>
        <v>28.900000000000002</v>
      </c>
      <c r="BL34" s="109"/>
      <c r="BN34" s="92"/>
      <c r="BO34" s="120">
        <v>9</v>
      </c>
      <c r="BP34" s="119">
        <v>-11</v>
      </c>
      <c r="BQ34" s="112" t="s">
        <v>250</v>
      </c>
      <c r="BR34" s="111">
        <v>15.2</v>
      </c>
      <c r="BS34" s="118">
        <f>BR34+BR35-2.2</f>
        <v>23.7</v>
      </c>
      <c r="BT34" s="109"/>
      <c r="BV34" s="92"/>
      <c r="BW34" s="120">
        <v>10</v>
      </c>
      <c r="BX34" s="119">
        <v>-11</v>
      </c>
      <c r="BY34" s="112" t="s">
        <v>250</v>
      </c>
      <c r="BZ34" s="111">
        <v>11.7</v>
      </c>
      <c r="CA34" s="118">
        <f>BZ34+BZ35-2.3</f>
        <v>18.399999999999999</v>
      </c>
      <c r="CB34" s="109"/>
      <c r="CD34" s="92"/>
      <c r="CE34" s="120">
        <v>11</v>
      </c>
      <c r="CF34" s="119">
        <v>-11</v>
      </c>
      <c r="CG34" s="112" t="s">
        <v>250</v>
      </c>
      <c r="CH34" s="111">
        <v>24.3</v>
      </c>
      <c r="CI34" s="118">
        <f>CH34+CH35-2.2</f>
        <v>24.400000000000002</v>
      </c>
      <c r="CJ34" s="109"/>
    </row>
    <row r="35" spans="1:88" ht="24.6" customHeight="1" thickBot="1" x14ac:dyDescent="0.3">
      <c r="A35" s="47"/>
      <c r="B35" s="115"/>
      <c r="C35" s="114"/>
      <c r="D35" s="113"/>
      <c r="E35" s="112" t="s">
        <v>249</v>
      </c>
      <c r="F35" s="117">
        <v>1.1000000000000001</v>
      </c>
      <c r="G35" s="110"/>
      <c r="H35" s="109"/>
      <c r="J35" s="115"/>
      <c r="K35" s="114"/>
      <c r="L35" s="113"/>
      <c r="M35" s="112" t="s">
        <v>249</v>
      </c>
      <c r="N35" s="111">
        <v>1.6</v>
      </c>
      <c r="O35" s="110"/>
      <c r="P35" s="109"/>
      <c r="R35" s="115"/>
      <c r="S35" s="114"/>
      <c r="T35" s="113"/>
      <c r="U35" s="112" t="s">
        <v>249</v>
      </c>
      <c r="V35" s="111">
        <v>10.8</v>
      </c>
      <c r="W35" s="110"/>
      <c r="X35" s="109"/>
      <c r="Y35" s="116"/>
      <c r="Z35" s="115"/>
      <c r="AA35" s="114"/>
      <c r="AB35" s="113"/>
      <c r="AC35" s="112" t="s">
        <v>249</v>
      </c>
      <c r="AD35" s="111">
        <v>9.6999999999999993</v>
      </c>
      <c r="AE35" s="110"/>
      <c r="AF35" s="109"/>
      <c r="AG35" s="116"/>
      <c r="AH35" s="115"/>
      <c r="AI35" s="114"/>
      <c r="AJ35" s="113"/>
      <c r="AK35" s="112" t="s">
        <v>249</v>
      </c>
      <c r="AL35" s="111">
        <v>8.4</v>
      </c>
      <c r="AM35" s="110"/>
      <c r="AN35" s="109"/>
      <c r="AO35" s="116"/>
      <c r="AP35" s="115"/>
      <c r="AQ35" s="114"/>
      <c r="AR35" s="113"/>
      <c r="AS35" s="112" t="s">
        <v>249</v>
      </c>
      <c r="AT35" s="111">
        <v>11.2</v>
      </c>
      <c r="AU35" s="110"/>
      <c r="AV35" s="109"/>
      <c r="AW35" s="116"/>
      <c r="AX35" s="115"/>
      <c r="AY35" s="114"/>
      <c r="AZ35" s="113"/>
      <c r="BA35" s="112" t="s">
        <v>249</v>
      </c>
      <c r="BB35" s="111">
        <v>4</v>
      </c>
      <c r="BC35" s="110"/>
      <c r="BD35" s="109"/>
      <c r="BE35" s="116"/>
      <c r="BF35" s="115"/>
      <c r="BG35" s="114"/>
      <c r="BH35" s="113"/>
      <c r="BI35" s="112" t="s">
        <v>249</v>
      </c>
      <c r="BJ35" s="111">
        <v>19.100000000000001</v>
      </c>
      <c r="BK35" s="110"/>
      <c r="BL35" s="109"/>
      <c r="BM35" s="116"/>
      <c r="BN35" s="115"/>
      <c r="BO35" s="114"/>
      <c r="BP35" s="113"/>
      <c r="BQ35" s="112" t="s">
        <v>249</v>
      </c>
      <c r="BR35" s="111">
        <v>10.7</v>
      </c>
      <c r="BS35" s="110"/>
      <c r="BT35" s="109"/>
      <c r="BU35" s="116"/>
      <c r="BV35" s="115"/>
      <c r="BW35" s="114"/>
      <c r="BX35" s="113"/>
      <c r="BY35" s="112" t="s">
        <v>249</v>
      </c>
      <c r="BZ35" s="111">
        <v>9</v>
      </c>
      <c r="CA35" s="110"/>
      <c r="CB35" s="109"/>
      <c r="CC35" s="116"/>
      <c r="CD35" s="115"/>
      <c r="CE35" s="114"/>
      <c r="CF35" s="113"/>
      <c r="CG35" s="112" t="s">
        <v>249</v>
      </c>
      <c r="CH35" s="111">
        <v>2.2999999999999998</v>
      </c>
      <c r="CI35" s="110"/>
      <c r="CJ35" s="109"/>
    </row>
    <row r="36" spans="1:88" ht="43.15" customHeight="1" x14ac:dyDescent="0.2">
      <c r="A36" s="47"/>
      <c r="B36" s="92"/>
      <c r="C36" s="93"/>
      <c r="D36" s="94"/>
      <c r="F36" s="108" t="s">
        <v>287</v>
      </c>
      <c r="G36" s="107">
        <f>AVERAGE(G14:G35)</f>
        <v>26.745454545454539</v>
      </c>
      <c r="N36" s="108" t="s">
        <v>287</v>
      </c>
      <c r="O36" s="107">
        <f>AVERAGE(O14:O35)</f>
        <v>25.200000000000003</v>
      </c>
      <c r="V36" s="108" t="s">
        <v>287</v>
      </c>
      <c r="W36" s="107">
        <f>AVERAGE(W14:W35)</f>
        <v>39.945454545454545</v>
      </c>
      <c r="AD36" s="108" t="s">
        <v>287</v>
      </c>
      <c r="AE36" s="107">
        <f>AVERAGE(AE14:AE35)</f>
        <v>29.772727272727273</v>
      </c>
      <c r="AL36" s="108" t="s">
        <v>287</v>
      </c>
      <c r="AM36" s="107">
        <f>AVERAGE(AM14:AM35)</f>
        <v>32.536363636363632</v>
      </c>
      <c r="AT36" s="108" t="s">
        <v>287</v>
      </c>
      <c r="AU36" s="107">
        <f>AVERAGE(AU14:AU35)</f>
        <v>14.363636363636363</v>
      </c>
      <c r="BB36" s="108" t="s">
        <v>287</v>
      </c>
      <c r="BC36" s="107">
        <f>AVERAGE(BC14:BC35)</f>
        <v>36.190909090909081</v>
      </c>
      <c r="BJ36" s="108" t="s">
        <v>287</v>
      </c>
      <c r="BK36" s="107">
        <f>AVERAGE(BK14:BK35)</f>
        <v>31.09090909090909</v>
      </c>
      <c r="BR36" s="108" t="s">
        <v>287</v>
      </c>
      <c r="BS36" s="107">
        <f>AVERAGE(BS14:BS35)</f>
        <v>29.436363636363634</v>
      </c>
      <c r="BZ36" s="108" t="s">
        <v>287</v>
      </c>
      <c r="CA36" s="107">
        <f>AVERAGE(CA14:CA35)</f>
        <v>26.190909090909091</v>
      </c>
      <c r="CH36" s="108" t="s">
        <v>287</v>
      </c>
      <c r="CI36" s="107">
        <f>AVERAGE(CI14:CI35)</f>
        <v>26.727272727272723</v>
      </c>
    </row>
    <row r="37" spans="1:88" ht="14.25" x14ac:dyDescent="0.2">
      <c r="A37" s="47"/>
      <c r="B37" s="92"/>
      <c r="C37" s="93"/>
      <c r="D37" s="94"/>
      <c r="H37" s="47" t="s">
        <v>202</v>
      </c>
    </row>
    <row r="38" spans="1:88" ht="34.9" customHeight="1" x14ac:dyDescent="0.25">
      <c r="A38" s="105" t="s">
        <v>292</v>
      </c>
      <c r="B38" s="105"/>
      <c r="C38" s="98"/>
      <c r="D38" s="106"/>
      <c r="E38" s="101" t="s">
        <v>287</v>
      </c>
      <c r="F38" s="100">
        <f>AVERAGE(G14:G35,AU14:AU35)</f>
        <v>20.554545454545448</v>
      </c>
      <c r="G38" s="50"/>
      <c r="H38" s="99">
        <f>F38*0.453592/(47.9*12*80*2.54^2/100/100/10000)</f>
        <v>3142.6721999708302</v>
      </c>
      <c r="I38" s="50"/>
      <c r="J38" s="50"/>
      <c r="K38" s="50"/>
      <c r="L38" s="50"/>
      <c r="M38" s="50"/>
      <c r="N38" s="50"/>
      <c r="O38" s="50"/>
    </row>
    <row r="39" spans="1:88" ht="34.9" customHeight="1" x14ac:dyDescent="0.2">
      <c r="A39" s="105" t="s">
        <v>286</v>
      </c>
      <c r="B39" s="104"/>
      <c r="C39" s="98"/>
      <c r="D39" s="101"/>
      <c r="E39" s="101" t="s">
        <v>287</v>
      </c>
      <c r="F39" s="100">
        <f>AVERAGE(O14:O35,CA14:CA35)</f>
        <v>25.695454545454549</v>
      </c>
      <c r="G39" s="50"/>
      <c r="H39" s="99">
        <f>F39*0.453592/(47.9*12*80*2.54^2/100/100/10000)</f>
        <v>3928.6877369383265</v>
      </c>
      <c r="I39" s="50"/>
      <c r="J39" s="50"/>
      <c r="K39" s="50"/>
      <c r="L39" s="50"/>
      <c r="M39" s="50"/>
      <c r="N39" s="50"/>
      <c r="O39" s="50"/>
    </row>
    <row r="40" spans="1:88" ht="34.9" customHeight="1" x14ac:dyDescent="0.2">
      <c r="A40" s="105" t="s">
        <v>291</v>
      </c>
      <c r="B40" s="104"/>
      <c r="C40" s="98"/>
      <c r="D40" s="101"/>
      <c r="E40" s="101" t="s">
        <v>287</v>
      </c>
      <c r="F40" s="100">
        <f>AVERAGE(AM14:AM35,BS14:BS35)</f>
        <v>30.986363636363635</v>
      </c>
      <c r="G40" s="50"/>
      <c r="H40" s="99">
        <f>F40*0.453592/(47.9*12*80*2.54^2/100/100/10000)</f>
        <v>4737.6374142417417</v>
      </c>
      <c r="I40" s="50"/>
      <c r="J40" s="50"/>
      <c r="K40" s="50"/>
      <c r="L40" s="50"/>
      <c r="M40" s="50"/>
      <c r="N40" s="50"/>
      <c r="O40" s="50"/>
    </row>
    <row r="41" spans="1:88" ht="34.9" customHeight="1" x14ac:dyDescent="0.2">
      <c r="A41" s="105" t="s">
        <v>290</v>
      </c>
      <c r="B41" s="104"/>
      <c r="C41" s="98"/>
      <c r="D41" s="101"/>
      <c r="E41" s="101" t="s">
        <v>287</v>
      </c>
      <c r="F41" s="100">
        <f>AVERAGE(AE14:AE35,BK14:BK35)</f>
        <v>30.431818181818183</v>
      </c>
      <c r="G41" s="50"/>
      <c r="H41" s="99">
        <f>F41*0.453592/(47.9*12*80*2.54^2/100/100/10000)</f>
        <v>4652.8505923937892</v>
      </c>
      <c r="I41" s="50"/>
      <c r="J41" s="50"/>
      <c r="K41" s="50"/>
      <c r="L41" s="50"/>
      <c r="M41" s="50"/>
      <c r="N41" s="50"/>
      <c r="O41" s="50"/>
    </row>
    <row r="42" spans="1:88" ht="34.9" customHeight="1" x14ac:dyDescent="0.2">
      <c r="A42" s="103" t="s">
        <v>289</v>
      </c>
      <c r="B42" s="102"/>
      <c r="C42" s="98"/>
      <c r="D42" s="101"/>
      <c r="E42" s="101" t="s">
        <v>287</v>
      </c>
      <c r="F42" s="100">
        <f>AVERAGE(W14:W35,BC14:BC35,CI14:CI35)</f>
        <v>34.287878787878796</v>
      </c>
      <c r="G42" s="50"/>
      <c r="H42" s="99">
        <f>F42*0.453592/(47.9*12*80*2.54^2/100/100/10000)</f>
        <v>5242.4201596152097</v>
      </c>
      <c r="I42" s="50"/>
      <c r="J42" s="50"/>
      <c r="K42" s="50"/>
      <c r="L42" s="50"/>
      <c r="M42" s="50"/>
      <c r="N42" s="50"/>
      <c r="O42" s="50"/>
    </row>
    <row r="43" spans="1:88" ht="34.9" customHeight="1" x14ac:dyDescent="0.2">
      <c r="A43" s="103" t="s">
        <v>288</v>
      </c>
      <c r="B43" s="102"/>
      <c r="C43" s="98"/>
      <c r="D43" s="97"/>
      <c r="E43" s="101" t="s">
        <v>287</v>
      </c>
      <c r="F43" s="100">
        <f>AVERAGE(W14:W35,BC14:BC35)</f>
        <v>38.06818181818182</v>
      </c>
      <c r="G43" s="50"/>
      <c r="H43" s="99">
        <f>F43*0.453592/(47.9*12*80*2.54^2/100/100/10000)</f>
        <v>5820.4068276770704</v>
      </c>
      <c r="I43" s="50"/>
      <c r="J43" s="50"/>
      <c r="K43" s="50"/>
      <c r="L43" s="50"/>
      <c r="M43" s="50"/>
      <c r="N43" s="50"/>
      <c r="O43" s="50"/>
    </row>
    <row r="44" spans="1:88" ht="25.15" customHeight="1" x14ac:dyDescent="0.2">
      <c r="A44" s="47"/>
      <c r="B44" s="96"/>
      <c r="C44" s="98"/>
      <c r="D44" s="97"/>
      <c r="E44" s="97"/>
      <c r="F44" s="97"/>
      <c r="G44" s="50"/>
      <c r="H44" s="50"/>
      <c r="I44" s="50"/>
      <c r="J44" s="50"/>
      <c r="K44" s="50"/>
      <c r="L44" s="50"/>
      <c r="M44" s="50"/>
      <c r="N44" s="50"/>
      <c r="O44" s="50"/>
    </row>
    <row r="45" spans="1:88" ht="25.15" customHeight="1" x14ac:dyDescent="0.2">
      <c r="A45" s="47"/>
      <c r="B45" s="96"/>
      <c r="C45" s="95"/>
      <c r="D45" s="50"/>
      <c r="E45" s="50"/>
      <c r="F45" s="50"/>
      <c r="G45" s="50"/>
      <c r="H45" s="50">
        <f>47.9*12*80*2.54^2/100^2/10000</f>
        <v>2.9667037439999999E-3</v>
      </c>
      <c r="I45" s="50"/>
      <c r="J45" s="50"/>
      <c r="K45" s="50"/>
      <c r="L45" s="50"/>
      <c r="M45" s="50"/>
      <c r="N45" s="50"/>
      <c r="O45" s="50"/>
    </row>
    <row r="46" spans="1:88" ht="25.15" customHeight="1" x14ac:dyDescent="0.2">
      <c r="A46" s="47"/>
      <c r="B46" s="96"/>
      <c r="C46" s="95"/>
      <c r="D46" s="50"/>
      <c r="E46" s="50"/>
      <c r="F46" s="50"/>
      <c r="G46" s="50"/>
      <c r="H46" s="50">
        <f>F43*0.453592/H45</f>
        <v>5820.4068276770704</v>
      </c>
      <c r="I46" s="50"/>
      <c r="J46" s="50"/>
      <c r="K46" s="50"/>
      <c r="L46" s="50"/>
      <c r="M46" s="50"/>
      <c r="N46" s="50"/>
      <c r="O46" s="50"/>
    </row>
    <row r="47" spans="1:88" ht="25.15" customHeight="1" x14ac:dyDescent="0.2">
      <c r="A47" s="47"/>
      <c r="B47" s="96"/>
      <c r="C47" s="95"/>
      <c r="D47" s="50"/>
      <c r="E47" s="50"/>
      <c r="F47" s="50"/>
      <c r="G47" s="50"/>
      <c r="H47" s="50">
        <f>H46*0.95</f>
        <v>5529.3864862932169</v>
      </c>
      <c r="I47" s="50"/>
      <c r="J47" s="50"/>
      <c r="K47" s="50"/>
      <c r="L47" s="50"/>
      <c r="M47" s="50"/>
      <c r="N47" s="50"/>
      <c r="O47" s="50"/>
    </row>
    <row r="48" spans="1:88" ht="25.15" customHeight="1" x14ac:dyDescent="0.2">
      <c r="A48" s="47"/>
      <c r="B48" s="96"/>
      <c r="C48" s="95"/>
      <c r="D48" s="50"/>
      <c r="E48" s="50"/>
      <c r="F48" s="50"/>
      <c r="G48" s="50"/>
      <c r="H48" s="50"/>
      <c r="I48" s="50"/>
      <c r="J48" s="50"/>
      <c r="K48" s="50"/>
      <c r="L48" s="50"/>
      <c r="M48" s="50"/>
      <c r="N48" s="50"/>
      <c r="O48" s="50"/>
    </row>
    <row r="49" spans="2:15" x14ac:dyDescent="0.2">
      <c r="B49" s="96"/>
      <c r="C49" s="95"/>
      <c r="D49" s="50"/>
      <c r="E49" s="50"/>
      <c r="F49" s="50"/>
      <c r="G49" s="50"/>
      <c r="H49" s="50"/>
      <c r="I49" s="50"/>
      <c r="J49" s="50"/>
      <c r="K49" s="50"/>
      <c r="L49" s="50"/>
      <c r="M49" s="50"/>
      <c r="N49" s="50"/>
      <c r="O49" s="50"/>
    </row>
    <row r="50" spans="2:15" x14ac:dyDescent="0.2">
      <c r="B50" s="92"/>
      <c r="C50" s="93"/>
      <c r="D50" s="94"/>
      <c r="G50" s="47" t="s">
        <v>286</v>
      </c>
      <c r="H50" s="47">
        <f>AVERAGE(F39:F41)*0.453592/H45</f>
        <v>4439.725247857953</v>
      </c>
    </row>
    <row r="51" spans="2:15" x14ac:dyDescent="0.2">
      <c r="B51" s="92"/>
      <c r="C51" s="93"/>
      <c r="D51" s="94"/>
      <c r="G51" s="47" t="s">
        <v>285</v>
      </c>
      <c r="H51" s="47">
        <f>AVERAGE(F42:F43)*0.453592/H45</f>
        <v>5531.4134936461405</v>
      </c>
    </row>
    <row r="52" spans="2:15" x14ac:dyDescent="0.2">
      <c r="B52" s="92"/>
      <c r="C52" s="93"/>
      <c r="D52" s="94"/>
    </row>
    <row r="53" spans="2:15" x14ac:dyDescent="0.2">
      <c r="B53" s="92"/>
      <c r="C53" s="93"/>
      <c r="D53" s="94"/>
    </row>
    <row r="54" spans="2:15" x14ac:dyDescent="0.2">
      <c r="B54" s="92"/>
      <c r="C54" s="93"/>
      <c r="D54" s="94"/>
    </row>
    <row r="55" spans="2:15" x14ac:dyDescent="0.2">
      <c r="B55" s="92"/>
      <c r="C55" s="93"/>
      <c r="D55" s="94"/>
    </row>
    <row r="56" spans="2:15" x14ac:dyDescent="0.2">
      <c r="B56" s="92"/>
      <c r="C56" s="93"/>
    </row>
    <row r="57" spans="2:15" x14ac:dyDescent="0.2">
      <c r="B57" s="92"/>
      <c r="C57" s="93"/>
    </row>
    <row r="58" spans="2:15" x14ac:dyDescent="0.2">
      <c r="B58" s="92"/>
      <c r="C58" s="93"/>
    </row>
    <row r="59" spans="2:15" x14ac:dyDescent="0.2">
      <c r="B59" s="92"/>
      <c r="C59" s="93"/>
    </row>
    <row r="60" spans="2:15" x14ac:dyDescent="0.2">
      <c r="B60" s="92"/>
      <c r="C60" s="93"/>
    </row>
    <row r="61" spans="2:15" x14ac:dyDescent="0.2">
      <c r="B61" s="92"/>
      <c r="C61" s="93"/>
    </row>
    <row r="62" spans="2:15" x14ac:dyDescent="0.2">
      <c r="B62" s="92"/>
      <c r="C62" s="93"/>
    </row>
    <row r="63" spans="2:15" x14ac:dyDescent="0.2">
      <c r="B63" s="92"/>
      <c r="C63" s="93"/>
    </row>
    <row r="64" spans="2:15" x14ac:dyDescent="0.2">
      <c r="B64" s="92"/>
      <c r="C64" s="93"/>
    </row>
    <row r="65" spans="2:3" x14ac:dyDescent="0.2">
      <c r="B65" s="92"/>
      <c r="C65" s="93"/>
    </row>
    <row r="66" spans="2:3" x14ac:dyDescent="0.2">
      <c r="B66" s="92"/>
      <c r="C66" s="93"/>
    </row>
    <row r="67" spans="2:3" x14ac:dyDescent="0.2">
      <c r="B67" s="92"/>
      <c r="C67" s="93"/>
    </row>
    <row r="68" spans="2:3" x14ac:dyDescent="0.2">
      <c r="B68" s="92"/>
      <c r="C68" s="93"/>
    </row>
    <row r="69" spans="2:3" x14ac:dyDescent="0.2">
      <c r="B69" s="92"/>
      <c r="C69" s="93"/>
    </row>
    <row r="70" spans="2:3" x14ac:dyDescent="0.2">
      <c r="B70" s="92"/>
      <c r="C70" s="93"/>
    </row>
    <row r="71" spans="2:3" x14ac:dyDescent="0.2">
      <c r="B71" s="92"/>
    </row>
    <row r="72" spans="2:3" x14ac:dyDescent="0.2">
      <c r="B72" s="92"/>
    </row>
    <row r="73" spans="2:3" x14ac:dyDescent="0.2">
      <c r="B73" s="92"/>
    </row>
    <row r="74" spans="2:3" x14ac:dyDescent="0.2">
      <c r="B74" s="92"/>
    </row>
    <row r="75" spans="2:3" x14ac:dyDescent="0.2">
      <c r="B75" s="92"/>
    </row>
  </sheetData>
  <mergeCells count="369">
    <mergeCell ref="BO32:BO33"/>
    <mergeCell ref="BP32:BP33"/>
    <mergeCell ref="BW32:BW33"/>
    <mergeCell ref="BX32:BX33"/>
    <mergeCell ref="BO30:BO31"/>
    <mergeCell ref="BP30:BP31"/>
    <mergeCell ref="BW30:BW31"/>
    <mergeCell ref="BX30:BX31"/>
    <mergeCell ref="A42:B42"/>
    <mergeCell ref="A43:B43"/>
    <mergeCell ref="A40:B40"/>
    <mergeCell ref="A41:B41"/>
    <mergeCell ref="CE24:CE25"/>
    <mergeCell ref="CE26:CE27"/>
    <mergeCell ref="CE28:CE29"/>
    <mergeCell ref="CE30:CE31"/>
    <mergeCell ref="CE32:CE33"/>
    <mergeCell ref="CE34:CE35"/>
    <mergeCell ref="CF18:CF19"/>
    <mergeCell ref="CF20:CF21"/>
    <mergeCell ref="CF22:CF23"/>
    <mergeCell ref="CF24:CF25"/>
    <mergeCell ref="A38:B38"/>
    <mergeCell ref="A39:B39"/>
    <mergeCell ref="BO34:BO35"/>
    <mergeCell ref="BP34:BP35"/>
    <mergeCell ref="BW34:BW35"/>
    <mergeCell ref="BX34:BX35"/>
    <mergeCell ref="BW20:BW21"/>
    <mergeCell ref="BX20:BX21"/>
    <mergeCell ref="CF34:CF35"/>
    <mergeCell ref="CE14:CE15"/>
    <mergeCell ref="CE16:CE17"/>
    <mergeCell ref="CE18:CE19"/>
    <mergeCell ref="CE20:CE21"/>
    <mergeCell ref="CE22:CE23"/>
    <mergeCell ref="CF14:CF15"/>
    <mergeCell ref="CF16:CF17"/>
    <mergeCell ref="CF28:CF29"/>
    <mergeCell ref="CF30:CF31"/>
    <mergeCell ref="CF32:CF33"/>
    <mergeCell ref="BP24:BP25"/>
    <mergeCell ref="BW24:BW25"/>
    <mergeCell ref="BX24:BX25"/>
    <mergeCell ref="BW14:BW15"/>
    <mergeCell ref="BX14:BX15"/>
    <mergeCell ref="BO16:BO17"/>
    <mergeCell ref="BP16:BP17"/>
    <mergeCell ref="BW16:BW17"/>
    <mergeCell ref="CF26:CF27"/>
    <mergeCell ref="BW18:BW19"/>
    <mergeCell ref="BX18:BX19"/>
    <mergeCell ref="BO20:BO21"/>
    <mergeCell ref="BP20:BP21"/>
    <mergeCell ref="BG32:BG33"/>
    <mergeCell ref="BH32:BH33"/>
    <mergeCell ref="AY26:AY27"/>
    <mergeCell ref="AZ26:AZ27"/>
    <mergeCell ref="BG26:BG27"/>
    <mergeCell ref="BH26:BH27"/>
    <mergeCell ref="AY28:AY29"/>
    <mergeCell ref="AZ28:AZ29"/>
    <mergeCell ref="BO14:BO15"/>
    <mergeCell ref="BP14:BP15"/>
    <mergeCell ref="BO18:BO19"/>
    <mergeCell ref="BP18:BP19"/>
    <mergeCell ref="BO22:BO23"/>
    <mergeCell ref="BP22:BP23"/>
    <mergeCell ref="BC26:BC27"/>
    <mergeCell ref="BC28:BC29"/>
    <mergeCell ref="AY34:AY35"/>
    <mergeCell ref="AZ34:AZ35"/>
    <mergeCell ref="BG34:BG35"/>
    <mergeCell ref="BH34:BH35"/>
    <mergeCell ref="AY30:AY31"/>
    <mergeCell ref="AZ30:AZ31"/>
    <mergeCell ref="BG30:BG31"/>
    <mergeCell ref="BH30:BH31"/>
    <mergeCell ref="BG28:BG29"/>
    <mergeCell ref="BH28:BH29"/>
    <mergeCell ref="BG22:BG23"/>
    <mergeCell ref="BH22:BH23"/>
    <mergeCell ref="AY24:AY25"/>
    <mergeCell ref="AZ24:AZ25"/>
    <mergeCell ref="BG24:BG25"/>
    <mergeCell ref="BH24:BH25"/>
    <mergeCell ref="BC22:BC23"/>
    <mergeCell ref="BC24:BC25"/>
    <mergeCell ref="BG14:BG15"/>
    <mergeCell ref="BH14:BH15"/>
    <mergeCell ref="AY16:AY17"/>
    <mergeCell ref="AZ16:AZ17"/>
    <mergeCell ref="BG16:BG17"/>
    <mergeCell ref="BH16:BH17"/>
    <mergeCell ref="BC14:BC15"/>
    <mergeCell ref="BC16:BC17"/>
    <mergeCell ref="BG18:BG19"/>
    <mergeCell ref="BH18:BH19"/>
    <mergeCell ref="AY20:AY21"/>
    <mergeCell ref="AZ20:AZ21"/>
    <mergeCell ref="BG20:BG21"/>
    <mergeCell ref="BH20:BH21"/>
    <mergeCell ref="BC18:BC19"/>
    <mergeCell ref="BC20:BC21"/>
    <mergeCell ref="AI26:AI27"/>
    <mergeCell ref="AJ26:AJ27"/>
    <mergeCell ref="AQ26:AQ27"/>
    <mergeCell ref="AR26:AR27"/>
    <mergeCell ref="AI28:AI29"/>
    <mergeCell ref="AJ28:AJ29"/>
    <mergeCell ref="AI30:AI31"/>
    <mergeCell ref="AJ30:AJ31"/>
    <mergeCell ref="AQ30:AQ31"/>
    <mergeCell ref="AR30:AR31"/>
    <mergeCell ref="AI32:AI33"/>
    <mergeCell ref="AJ32:AJ33"/>
    <mergeCell ref="AQ32:AQ33"/>
    <mergeCell ref="AR32:AR33"/>
    <mergeCell ref="AQ34:AQ35"/>
    <mergeCell ref="AR34:AR35"/>
    <mergeCell ref="AY14:AY15"/>
    <mergeCell ref="AZ14:AZ15"/>
    <mergeCell ref="AY18:AY19"/>
    <mergeCell ref="AZ18:AZ19"/>
    <mergeCell ref="AY22:AY23"/>
    <mergeCell ref="AZ22:AZ23"/>
    <mergeCell ref="AY32:AY33"/>
    <mergeCell ref="AZ32:AZ33"/>
    <mergeCell ref="AQ18:AQ19"/>
    <mergeCell ref="AR18:AR19"/>
    <mergeCell ref="AI20:AI21"/>
    <mergeCell ref="AJ20:AJ21"/>
    <mergeCell ref="AQ20:AQ21"/>
    <mergeCell ref="AR20:AR21"/>
    <mergeCell ref="AQ22:AQ23"/>
    <mergeCell ref="AR22:AR23"/>
    <mergeCell ref="AI24:AI25"/>
    <mergeCell ref="AJ24:AJ25"/>
    <mergeCell ref="AQ24:AQ25"/>
    <mergeCell ref="AR24:AR25"/>
    <mergeCell ref="S30:S31"/>
    <mergeCell ref="T30:T31"/>
    <mergeCell ref="AA30:AA31"/>
    <mergeCell ref="AB30:AB31"/>
    <mergeCell ref="S32:S33"/>
    <mergeCell ref="T32:T33"/>
    <mergeCell ref="AA32:AA33"/>
    <mergeCell ref="AB32:AB33"/>
    <mergeCell ref="S34:S35"/>
    <mergeCell ref="T34:T35"/>
    <mergeCell ref="AA34:AA35"/>
    <mergeCell ref="AB34:AB35"/>
    <mergeCell ref="AI14:AI15"/>
    <mergeCell ref="AJ14:AJ15"/>
    <mergeCell ref="AI18:AI19"/>
    <mergeCell ref="AJ18:AJ19"/>
    <mergeCell ref="AI22:AI23"/>
    <mergeCell ref="AJ22:AJ23"/>
    <mergeCell ref="AQ14:AQ15"/>
    <mergeCell ref="AR14:AR15"/>
    <mergeCell ref="AI16:AI17"/>
    <mergeCell ref="AJ16:AJ17"/>
    <mergeCell ref="AQ16:AQ17"/>
    <mergeCell ref="AR16:AR17"/>
    <mergeCell ref="S28:S29"/>
    <mergeCell ref="T28:T29"/>
    <mergeCell ref="AA28:AA29"/>
    <mergeCell ref="AB28:AB29"/>
    <mergeCell ref="AA22:AA23"/>
    <mergeCell ref="AB22:AB23"/>
    <mergeCell ref="S24:S25"/>
    <mergeCell ref="T24:T25"/>
    <mergeCell ref="AA24:AA25"/>
    <mergeCell ref="AB24:AB25"/>
    <mergeCell ref="W18:W19"/>
    <mergeCell ref="W20:W21"/>
    <mergeCell ref="S26:S27"/>
    <mergeCell ref="T26:T27"/>
    <mergeCell ref="AA26:AA27"/>
    <mergeCell ref="AB26:AB27"/>
    <mergeCell ref="W22:W23"/>
    <mergeCell ref="W24:W25"/>
    <mergeCell ref="W26:W27"/>
    <mergeCell ref="K26:K27"/>
    <mergeCell ref="L26:L27"/>
    <mergeCell ref="K28:K29"/>
    <mergeCell ref="L28:L29"/>
    <mergeCell ref="K20:K21"/>
    <mergeCell ref="L20:L21"/>
    <mergeCell ref="K22:K23"/>
    <mergeCell ref="L22:L23"/>
    <mergeCell ref="K24:K25"/>
    <mergeCell ref="L24:L25"/>
    <mergeCell ref="S14:S15"/>
    <mergeCell ref="T14:T15"/>
    <mergeCell ref="S18:S19"/>
    <mergeCell ref="T18:T19"/>
    <mergeCell ref="S22:S23"/>
    <mergeCell ref="T22:T23"/>
    <mergeCell ref="S20:S21"/>
    <mergeCell ref="T20:T21"/>
    <mergeCell ref="S16:S17"/>
    <mergeCell ref="T16:T17"/>
    <mergeCell ref="C32:C33"/>
    <mergeCell ref="D32:D33"/>
    <mergeCell ref="C34:C35"/>
    <mergeCell ref="D34:D35"/>
    <mergeCell ref="C24:C25"/>
    <mergeCell ref="D24:D25"/>
    <mergeCell ref="C26:C27"/>
    <mergeCell ref="D26:D27"/>
    <mergeCell ref="C28:C29"/>
    <mergeCell ref="D28:D29"/>
    <mergeCell ref="G18:G19"/>
    <mergeCell ref="G20:G21"/>
    <mergeCell ref="G22:G23"/>
    <mergeCell ref="G24:G25"/>
    <mergeCell ref="G26:G27"/>
    <mergeCell ref="G28:G29"/>
    <mergeCell ref="K18:K19"/>
    <mergeCell ref="L18:L19"/>
    <mergeCell ref="C30:C31"/>
    <mergeCell ref="D30:D31"/>
    <mergeCell ref="C18:C19"/>
    <mergeCell ref="D18:D19"/>
    <mergeCell ref="C20:C21"/>
    <mergeCell ref="D20:D21"/>
    <mergeCell ref="C22:C23"/>
    <mergeCell ref="D22:D23"/>
    <mergeCell ref="C14:C15"/>
    <mergeCell ref="D14:D15"/>
    <mergeCell ref="C16:C17"/>
    <mergeCell ref="D16:D17"/>
    <mergeCell ref="K16:K17"/>
    <mergeCell ref="L16:L17"/>
    <mergeCell ref="G14:G15"/>
    <mergeCell ref="G16:G17"/>
    <mergeCell ref="K14:K15"/>
    <mergeCell ref="L14:L15"/>
    <mergeCell ref="O28:O29"/>
    <mergeCell ref="O30:O31"/>
    <mergeCell ref="O32:O33"/>
    <mergeCell ref="O34:O35"/>
    <mergeCell ref="K32:K33"/>
    <mergeCell ref="L32:L33"/>
    <mergeCell ref="K34:K35"/>
    <mergeCell ref="L34:L35"/>
    <mergeCell ref="K30:K31"/>
    <mergeCell ref="L30:L31"/>
    <mergeCell ref="G30:G31"/>
    <mergeCell ref="G32:G33"/>
    <mergeCell ref="G34:G35"/>
    <mergeCell ref="O14:O15"/>
    <mergeCell ref="O16:O17"/>
    <mergeCell ref="O18:O19"/>
    <mergeCell ref="O20:O21"/>
    <mergeCell ref="O22:O23"/>
    <mergeCell ref="O24:O25"/>
    <mergeCell ref="O26:O27"/>
    <mergeCell ref="AA14:AA15"/>
    <mergeCell ref="AB14:AB15"/>
    <mergeCell ref="AA16:AA17"/>
    <mergeCell ref="AB16:AB17"/>
    <mergeCell ref="W14:W15"/>
    <mergeCell ref="W16:W17"/>
    <mergeCell ref="AM26:AM27"/>
    <mergeCell ref="AM28:AM29"/>
    <mergeCell ref="AM30:AM31"/>
    <mergeCell ref="AM32:AM33"/>
    <mergeCell ref="AM34:AM35"/>
    <mergeCell ref="AA18:AA19"/>
    <mergeCell ref="AB18:AB19"/>
    <mergeCell ref="AA20:AA21"/>
    <mergeCell ref="AB20:AB21"/>
    <mergeCell ref="AI34:AI35"/>
    <mergeCell ref="AM14:AM15"/>
    <mergeCell ref="AM16:AM17"/>
    <mergeCell ref="AM18:AM19"/>
    <mergeCell ref="AM20:AM21"/>
    <mergeCell ref="AM22:AM23"/>
    <mergeCell ref="AM24:AM25"/>
    <mergeCell ref="BK28:BK29"/>
    <mergeCell ref="BK30:BK31"/>
    <mergeCell ref="BK32:BK33"/>
    <mergeCell ref="W30:W31"/>
    <mergeCell ref="W32:W33"/>
    <mergeCell ref="W34:W35"/>
    <mergeCell ref="W28:W29"/>
    <mergeCell ref="AQ28:AQ29"/>
    <mergeCell ref="AR28:AR29"/>
    <mergeCell ref="AJ34:AJ35"/>
    <mergeCell ref="BS30:BS31"/>
    <mergeCell ref="BS32:BS33"/>
    <mergeCell ref="BS34:BS35"/>
    <mergeCell ref="BK14:BK15"/>
    <mergeCell ref="BK16:BK17"/>
    <mergeCell ref="BK18:BK19"/>
    <mergeCell ref="BK20:BK21"/>
    <mergeCell ref="BK22:BK23"/>
    <mergeCell ref="BK24:BK25"/>
    <mergeCell ref="BK26:BK27"/>
    <mergeCell ref="BC30:BC31"/>
    <mergeCell ref="BC32:BC33"/>
    <mergeCell ref="BC34:BC35"/>
    <mergeCell ref="BS14:BS15"/>
    <mergeCell ref="BS16:BS17"/>
    <mergeCell ref="BS18:BS19"/>
    <mergeCell ref="BS20:BS21"/>
    <mergeCell ref="BS22:BS23"/>
    <mergeCell ref="BS24:BS25"/>
    <mergeCell ref="BS26:BS27"/>
    <mergeCell ref="CI14:CI15"/>
    <mergeCell ref="CI16:CI17"/>
    <mergeCell ref="CI18:CI19"/>
    <mergeCell ref="CI20:CI21"/>
    <mergeCell ref="CI22:CI23"/>
    <mergeCell ref="CI24:CI25"/>
    <mergeCell ref="AU24:AU25"/>
    <mergeCell ref="AU26:AU27"/>
    <mergeCell ref="AU28:AU29"/>
    <mergeCell ref="AU30:AU31"/>
    <mergeCell ref="AU32:AU33"/>
    <mergeCell ref="AU34:AU35"/>
    <mergeCell ref="AE26:AE27"/>
    <mergeCell ref="AE28:AE29"/>
    <mergeCell ref="AE30:AE31"/>
    <mergeCell ref="AE32:AE33"/>
    <mergeCell ref="AE34:AE35"/>
    <mergeCell ref="AU14:AU15"/>
    <mergeCell ref="AU16:AU17"/>
    <mergeCell ref="AU18:AU19"/>
    <mergeCell ref="AU20:AU21"/>
    <mergeCell ref="AU22:AU23"/>
    <mergeCell ref="AE14:AE15"/>
    <mergeCell ref="AE16:AE17"/>
    <mergeCell ref="AE18:AE19"/>
    <mergeCell ref="AE20:AE21"/>
    <mergeCell ref="AE22:AE23"/>
    <mergeCell ref="AE24:AE25"/>
    <mergeCell ref="BX28:BX29"/>
    <mergeCell ref="BW22:BW23"/>
    <mergeCell ref="BX22:BX23"/>
    <mergeCell ref="BO24:BO25"/>
    <mergeCell ref="CI32:CI33"/>
    <mergeCell ref="CI34:CI35"/>
    <mergeCell ref="CI26:CI27"/>
    <mergeCell ref="CI28:CI29"/>
    <mergeCell ref="CI30:CI31"/>
    <mergeCell ref="BS28:BS29"/>
    <mergeCell ref="CA32:CA33"/>
    <mergeCell ref="CA34:CA35"/>
    <mergeCell ref="BX16:BX17"/>
    <mergeCell ref="BO26:BO27"/>
    <mergeCell ref="BP26:BP27"/>
    <mergeCell ref="BW26:BW27"/>
    <mergeCell ref="BX26:BX27"/>
    <mergeCell ref="BO28:BO29"/>
    <mergeCell ref="BP28:BP29"/>
    <mergeCell ref="BW28:BW29"/>
    <mergeCell ref="BK34:BK35"/>
    <mergeCell ref="CA14:CA15"/>
    <mergeCell ref="CA16:CA17"/>
    <mergeCell ref="CA18:CA19"/>
    <mergeCell ref="CA20:CA21"/>
    <mergeCell ref="CA22:CA23"/>
    <mergeCell ref="CA24:CA25"/>
    <mergeCell ref="CA26:CA27"/>
    <mergeCell ref="CA28:CA29"/>
    <mergeCell ref="CA30:CA31"/>
  </mergeCells>
  <pageMargins left="0.7" right="0.7" top="0.75" bottom="0.75" header="0.3" footer="0.3"/>
  <pageSetup pageOrder="overThenDown" orientation="portrait" r:id="rId1"/>
  <headerFooter>
    <oddHeader>&amp;L2014 F013 - lateral move irrigation 
Cotton
Final Harvest Weights</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B9BDE-5034-4AD3-BA3C-AE3DE9F6C07E}">
  <dimension ref="B1:CI75"/>
  <sheetViews>
    <sheetView zoomScale="70" zoomScaleNormal="70" workbookViewId="0">
      <selection activeCell="BB31" sqref="BB31"/>
    </sheetView>
  </sheetViews>
  <sheetFormatPr defaultRowHeight="15" x14ac:dyDescent="0.25"/>
  <cols>
    <col min="1" max="1" width="1.7109375" customWidth="1"/>
    <col min="2" max="2" width="10.7109375" customWidth="1"/>
    <col min="3" max="5" width="15.7109375" customWidth="1"/>
    <col min="6" max="6" width="7.85546875" customWidth="1"/>
    <col min="7" max="7" width="10.7109375" customWidth="1"/>
    <col min="8" max="10" width="15.7109375" customWidth="1"/>
    <col min="11" max="11" width="7.85546875" customWidth="1"/>
    <col min="12" max="12" width="10.7109375" customWidth="1"/>
    <col min="13" max="15" width="15.7109375" customWidth="1"/>
    <col min="16" max="16" width="7.85546875" customWidth="1"/>
    <col min="17" max="17" width="10.7109375" customWidth="1"/>
    <col min="18" max="20" width="15.7109375" customWidth="1"/>
    <col min="21" max="21" width="7.85546875" customWidth="1"/>
    <col min="22" max="22" width="10.7109375" customWidth="1"/>
    <col min="23" max="25" width="15.7109375" customWidth="1"/>
    <col min="26" max="26" width="7.85546875" customWidth="1"/>
    <col min="27" max="27" width="10.7109375" customWidth="1"/>
    <col min="28" max="30" width="15.7109375" customWidth="1"/>
    <col min="31" max="31" width="7.85546875" customWidth="1"/>
    <col min="32" max="32" width="10.7109375" customWidth="1"/>
    <col min="33" max="35" width="15.7109375" customWidth="1"/>
    <col min="36" max="36" width="7.85546875" customWidth="1"/>
    <col min="37" max="37" width="10.7109375" customWidth="1"/>
    <col min="38" max="40" width="15.7109375" customWidth="1"/>
    <col min="41" max="41" width="7.85546875" customWidth="1"/>
    <col min="42" max="42" width="10.7109375" customWidth="1"/>
    <col min="43" max="45" width="15.7109375" customWidth="1"/>
    <col min="46" max="46" width="7.85546875" customWidth="1"/>
    <col min="47" max="47" width="10.7109375" customWidth="1"/>
    <col min="48" max="50" width="15.7109375" customWidth="1"/>
    <col min="51" max="51" width="7.85546875" customWidth="1"/>
    <col min="52" max="52" width="10.7109375" customWidth="1"/>
    <col min="53" max="54" width="15.7109375" customWidth="1"/>
    <col min="55" max="55" width="16.42578125" customWidth="1"/>
    <col min="56" max="56" width="10.7109375" customWidth="1"/>
    <col min="57" max="57" width="15.7109375" customWidth="1"/>
    <col min="58" max="58" width="7.85546875" customWidth="1"/>
    <col min="59" max="59" width="10.7109375" customWidth="1"/>
    <col min="60" max="60" width="15.7109375" customWidth="1"/>
    <col min="61" max="61" width="7.85546875" customWidth="1"/>
    <col min="62" max="62" width="10.7109375" customWidth="1"/>
    <col min="63" max="63" width="15.7109375" customWidth="1"/>
    <col min="64" max="64" width="7.85546875" customWidth="1"/>
    <col min="65" max="65" width="10.7109375" customWidth="1"/>
    <col min="66" max="66" width="15.7109375" customWidth="1"/>
    <col min="67" max="67" width="7.85546875" customWidth="1"/>
    <col min="68" max="68" width="10.7109375" customWidth="1"/>
    <col min="69" max="69" width="15.7109375" customWidth="1"/>
    <col min="70" max="70" width="7.85546875" customWidth="1"/>
    <col min="71" max="71" width="10.7109375" customWidth="1"/>
    <col min="72" max="72" width="15.7109375" customWidth="1"/>
    <col min="73" max="73" width="7.85546875" customWidth="1"/>
  </cols>
  <sheetData>
    <row r="1" spans="2:87" ht="18.75" x14ac:dyDescent="0.3">
      <c r="B1" s="166" t="s">
        <v>351</v>
      </c>
      <c r="Q1" s="166" t="s">
        <v>351</v>
      </c>
      <c r="AF1" s="166" t="s">
        <v>351</v>
      </c>
      <c r="AU1" s="166" t="s">
        <v>351</v>
      </c>
      <c r="BG1" s="166"/>
      <c r="BP1" s="166"/>
    </row>
    <row r="2" spans="2:87" ht="8.65" customHeight="1" x14ac:dyDescent="0.25"/>
    <row r="3" spans="2:87" ht="15.75" x14ac:dyDescent="0.25">
      <c r="B3" s="165" t="s">
        <v>350</v>
      </c>
      <c r="Q3" s="165" t="s">
        <v>350</v>
      </c>
      <c r="AF3" s="165" t="s">
        <v>350</v>
      </c>
      <c r="AU3" s="165" t="s">
        <v>350</v>
      </c>
      <c r="BG3" s="165"/>
      <c r="BP3" s="165" t="s">
        <v>350</v>
      </c>
    </row>
    <row r="4" spans="2:87" ht="15.75" x14ac:dyDescent="0.25">
      <c r="B4" s="164" t="s">
        <v>349</v>
      </c>
      <c r="Q4" s="164" t="s">
        <v>349</v>
      </c>
      <c r="AF4" s="164" t="s">
        <v>349</v>
      </c>
      <c r="AU4" s="164" t="s">
        <v>349</v>
      </c>
      <c r="BG4" s="164"/>
      <c r="BP4" s="164" t="s">
        <v>349</v>
      </c>
    </row>
    <row r="5" spans="2:87" ht="20.85" customHeight="1" x14ac:dyDescent="0.35">
      <c r="B5" s="163" t="s">
        <v>348</v>
      </c>
      <c r="G5" s="162"/>
      <c r="H5" s="161"/>
      <c r="I5" s="161"/>
      <c r="J5" s="161"/>
      <c r="K5" s="161"/>
      <c r="L5" s="161"/>
      <c r="M5" s="161"/>
      <c r="N5" s="161"/>
      <c r="O5" s="161"/>
      <c r="P5" s="161"/>
      <c r="Q5" s="161"/>
      <c r="R5" s="161"/>
      <c r="S5" s="161"/>
      <c r="T5" s="161"/>
      <c r="U5" s="161"/>
      <c r="V5" s="161"/>
      <c r="W5" s="161"/>
      <c r="X5" s="161"/>
      <c r="Y5" s="161"/>
    </row>
    <row r="6" spans="2:87" ht="17.100000000000001" customHeight="1" x14ac:dyDescent="0.25"/>
    <row r="7" spans="2:87" ht="23.25" x14ac:dyDescent="0.35">
      <c r="B7" s="160" t="s">
        <v>347</v>
      </c>
      <c r="C7" s="159">
        <v>1</v>
      </c>
      <c r="D7" s="159"/>
      <c r="E7" s="159"/>
      <c r="F7" s="158"/>
      <c r="G7" s="160" t="s">
        <v>347</v>
      </c>
      <c r="H7" s="159">
        <v>2</v>
      </c>
      <c r="I7" s="159"/>
      <c r="J7" s="159"/>
      <c r="L7" s="160" t="s">
        <v>347</v>
      </c>
      <c r="M7" s="159">
        <v>3</v>
      </c>
      <c r="N7" s="159"/>
      <c r="O7" s="159"/>
      <c r="P7" s="158"/>
      <c r="Q7" s="160" t="s">
        <v>347</v>
      </c>
      <c r="R7" s="159">
        <v>4</v>
      </c>
      <c r="S7" s="159"/>
      <c r="T7" s="159"/>
      <c r="V7" s="160" t="s">
        <v>347</v>
      </c>
      <c r="W7" s="159">
        <v>5</v>
      </c>
      <c r="X7" s="159"/>
      <c r="Y7" s="159"/>
      <c r="Z7" s="158"/>
      <c r="AA7" s="160" t="s">
        <v>347</v>
      </c>
      <c r="AB7" s="159">
        <v>6</v>
      </c>
      <c r="AC7" s="159"/>
      <c r="AD7" s="159"/>
      <c r="AF7" s="160" t="s">
        <v>347</v>
      </c>
      <c r="AG7" s="159">
        <v>7</v>
      </c>
      <c r="AH7" s="159"/>
      <c r="AI7" s="159"/>
      <c r="AJ7" s="158"/>
      <c r="AK7" s="160" t="s">
        <v>347</v>
      </c>
      <c r="AL7" s="159">
        <v>8</v>
      </c>
      <c r="AM7" s="159"/>
      <c r="AN7" s="159"/>
      <c r="AP7" s="160" t="s">
        <v>347</v>
      </c>
      <c r="AQ7" s="159">
        <v>9</v>
      </c>
      <c r="AR7" s="159"/>
      <c r="AS7" s="159"/>
      <c r="AT7" s="158"/>
      <c r="AU7" s="160" t="s">
        <v>347</v>
      </c>
      <c r="AV7" s="159">
        <v>10</v>
      </c>
      <c r="AW7" s="159"/>
      <c r="AX7" s="159"/>
      <c r="AZ7" s="160" t="s">
        <v>347</v>
      </c>
      <c r="BA7" s="159">
        <v>11</v>
      </c>
      <c r="BB7" s="159"/>
      <c r="BC7" s="158"/>
      <c r="BD7" s="160"/>
      <c r="BE7" s="159"/>
      <c r="BG7" s="160"/>
      <c r="BH7" s="159"/>
      <c r="BI7" s="158"/>
      <c r="BJ7" s="160"/>
      <c r="BK7" s="159"/>
      <c r="BM7" s="160"/>
      <c r="BN7" s="159"/>
      <c r="BO7" s="158"/>
      <c r="BP7" s="160"/>
      <c r="BQ7" s="159"/>
      <c r="BR7" s="158"/>
      <c r="BS7" s="160"/>
      <c r="BT7" s="159"/>
    </row>
    <row r="8" spans="2:87" ht="21" x14ac:dyDescent="0.35">
      <c r="B8" s="157"/>
      <c r="C8" s="157"/>
      <c r="D8" s="157"/>
      <c r="E8" s="157"/>
      <c r="F8" s="158"/>
      <c r="G8" s="157"/>
      <c r="H8" s="157"/>
      <c r="I8" s="157"/>
      <c r="J8" s="157"/>
      <c r="L8" s="157"/>
      <c r="M8" s="157"/>
      <c r="N8" s="157"/>
      <c r="O8" s="157"/>
      <c r="P8" s="158"/>
      <c r="Q8" s="157"/>
      <c r="R8" s="157"/>
      <c r="S8" s="157"/>
      <c r="T8" s="157"/>
      <c r="V8" s="157"/>
      <c r="W8" s="157"/>
      <c r="X8" s="157"/>
      <c r="Y8" s="157"/>
      <c r="Z8" s="158"/>
      <c r="AA8" s="157"/>
      <c r="AB8" s="157"/>
      <c r="AC8" s="157"/>
      <c r="AD8" s="157"/>
      <c r="AF8" s="157"/>
      <c r="AG8" s="157"/>
      <c r="AH8" s="157"/>
      <c r="AI8" s="157"/>
      <c r="AJ8" s="158"/>
      <c r="AK8" s="157"/>
      <c r="AL8" s="157"/>
      <c r="AM8" s="157"/>
      <c r="AN8" s="157"/>
      <c r="AP8" s="157"/>
      <c r="AQ8" s="157"/>
      <c r="AR8" s="157"/>
      <c r="AS8" s="157"/>
      <c r="AT8" s="158"/>
      <c r="AU8" s="157"/>
      <c r="AV8" s="157"/>
      <c r="AW8" s="157"/>
      <c r="AX8" s="157"/>
      <c r="AZ8" s="157"/>
      <c r="BA8" s="157"/>
      <c r="BB8" s="157"/>
      <c r="BC8" s="158"/>
      <c r="BD8" s="157"/>
      <c r="BE8" s="157"/>
      <c r="BG8" s="157"/>
      <c r="BH8" s="157"/>
      <c r="BI8" s="158"/>
      <c r="BJ8" s="157"/>
      <c r="BK8" s="157"/>
      <c r="BM8" s="157"/>
      <c r="BN8" s="157"/>
      <c r="BO8" s="158"/>
      <c r="BP8" s="157"/>
      <c r="BQ8" s="157"/>
      <c r="BR8" s="158"/>
      <c r="BS8" s="157"/>
      <c r="BT8" s="157"/>
    </row>
    <row r="9" spans="2:87" ht="31.5" x14ac:dyDescent="0.25">
      <c r="B9" s="156" t="s">
        <v>345</v>
      </c>
      <c r="C9" s="155" t="s">
        <v>346</v>
      </c>
      <c r="D9" s="154" t="s">
        <v>343</v>
      </c>
      <c r="E9" s="154" t="s">
        <v>342</v>
      </c>
      <c r="F9" s="139"/>
      <c r="G9" s="156" t="s">
        <v>345</v>
      </c>
      <c r="H9" s="155" t="s">
        <v>346</v>
      </c>
      <c r="I9" s="154" t="s">
        <v>343</v>
      </c>
      <c r="J9" s="154" t="s">
        <v>342</v>
      </c>
      <c r="L9" s="156" t="s">
        <v>345</v>
      </c>
      <c r="M9" s="155" t="s">
        <v>346</v>
      </c>
      <c r="N9" s="154" t="s">
        <v>343</v>
      </c>
      <c r="O9" s="154" t="s">
        <v>342</v>
      </c>
      <c r="P9" s="139"/>
      <c r="Q9" s="156" t="s">
        <v>345</v>
      </c>
      <c r="R9" s="155" t="s">
        <v>346</v>
      </c>
      <c r="S9" s="154" t="s">
        <v>343</v>
      </c>
      <c r="T9" s="154" t="s">
        <v>342</v>
      </c>
      <c r="V9" s="156" t="s">
        <v>345</v>
      </c>
      <c r="W9" s="155" t="s">
        <v>346</v>
      </c>
      <c r="X9" s="154" t="s">
        <v>343</v>
      </c>
      <c r="Y9" s="154" t="s">
        <v>342</v>
      </c>
      <c r="Z9" s="139"/>
      <c r="AA9" s="156" t="s">
        <v>345</v>
      </c>
      <c r="AB9" s="155" t="s">
        <v>346</v>
      </c>
      <c r="AC9" s="154" t="s">
        <v>343</v>
      </c>
      <c r="AD9" s="154" t="s">
        <v>342</v>
      </c>
      <c r="AF9" s="156" t="s">
        <v>345</v>
      </c>
      <c r="AG9" s="155" t="s">
        <v>346</v>
      </c>
      <c r="AH9" s="154" t="s">
        <v>343</v>
      </c>
      <c r="AI9" s="154" t="s">
        <v>342</v>
      </c>
      <c r="AJ9" s="139"/>
      <c r="AK9" s="156" t="s">
        <v>345</v>
      </c>
      <c r="AL9" s="155" t="s">
        <v>346</v>
      </c>
      <c r="AM9" s="154" t="s">
        <v>343</v>
      </c>
      <c r="AN9" s="154" t="s">
        <v>342</v>
      </c>
      <c r="AP9" s="156" t="s">
        <v>345</v>
      </c>
      <c r="AQ9" s="155" t="s">
        <v>346</v>
      </c>
      <c r="AR9" s="154" t="s">
        <v>343</v>
      </c>
      <c r="AS9" s="154" t="s">
        <v>342</v>
      </c>
      <c r="AT9" s="139"/>
      <c r="AU9" s="156" t="s">
        <v>345</v>
      </c>
      <c r="AV9" s="155" t="s">
        <v>346</v>
      </c>
      <c r="AW9" s="154" t="s">
        <v>343</v>
      </c>
      <c r="AX9" s="154" t="s">
        <v>342</v>
      </c>
      <c r="AZ9" s="156" t="s">
        <v>345</v>
      </c>
      <c r="BA9" s="155" t="s">
        <v>344</v>
      </c>
      <c r="BB9" s="154" t="s">
        <v>343</v>
      </c>
      <c r="BC9" s="154" t="s">
        <v>342</v>
      </c>
      <c r="BD9" s="139"/>
      <c r="BE9" s="154"/>
      <c r="BG9" s="139"/>
      <c r="BH9" s="154"/>
      <c r="BI9" s="139"/>
      <c r="BJ9" s="139"/>
      <c r="BK9" s="154"/>
      <c r="BM9" s="139"/>
      <c r="BN9" s="154"/>
      <c r="BO9" s="139"/>
      <c r="BP9" s="139"/>
      <c r="BQ9" s="154"/>
      <c r="BR9" s="139"/>
      <c r="BS9" s="139"/>
      <c r="BT9" s="154"/>
    </row>
    <row r="10" spans="2:87" ht="20.100000000000001" customHeight="1" x14ac:dyDescent="0.25">
      <c r="B10" s="153">
        <v>1</v>
      </c>
      <c r="C10" s="150">
        <v>1.52</v>
      </c>
      <c r="D10" s="143">
        <f>CONVERT((C10*1000),"g","lbm")</f>
        <v>3.351026385210139</v>
      </c>
      <c r="E10" s="143">
        <f>D10-0.16</f>
        <v>3.1910263852101388</v>
      </c>
      <c r="F10" s="144"/>
      <c r="G10" s="153">
        <v>1</v>
      </c>
      <c r="H10" s="150">
        <v>1.49</v>
      </c>
      <c r="I10" s="143">
        <f>CONVERT((H10*1000),"g","lbm")</f>
        <v>3.284887706554676</v>
      </c>
      <c r="J10" s="143">
        <f>I10-0.16</f>
        <v>3.1248877065546758</v>
      </c>
      <c r="K10" s="142"/>
      <c r="L10" s="153">
        <v>1</v>
      </c>
      <c r="M10" s="150">
        <v>1.7</v>
      </c>
      <c r="N10" s="143">
        <f>CONVERT((M10*1000),"g","lbm")</f>
        <v>3.7478584571429185</v>
      </c>
      <c r="O10" s="143">
        <f>N10-0.16</f>
        <v>3.5878584571429184</v>
      </c>
      <c r="P10" s="144"/>
      <c r="Q10" s="153">
        <v>1</v>
      </c>
      <c r="R10" s="150">
        <v>1.51</v>
      </c>
      <c r="S10" s="143">
        <f>CONVERT((R10*1000),"g","lbm")</f>
        <v>3.3289801589916515</v>
      </c>
      <c r="T10" s="143">
        <f>S10-0.16</f>
        <v>3.1689801589916513</v>
      </c>
      <c r="U10" s="142"/>
      <c r="V10" s="153">
        <v>1</v>
      </c>
      <c r="W10" s="150">
        <v>1.44</v>
      </c>
      <c r="X10" s="143">
        <f>CONVERT((W10*1000),"g","lbm")</f>
        <v>3.1746565754622371</v>
      </c>
      <c r="Y10" s="143">
        <f>X10-0.16</f>
        <v>3.014656575462237</v>
      </c>
      <c r="Z10" s="144"/>
      <c r="AA10" s="153">
        <v>1</v>
      </c>
      <c r="AB10" s="150">
        <v>1.57</v>
      </c>
      <c r="AC10" s="143">
        <f>CONVERT((AB10*1000),"g","lbm")</f>
        <v>3.4612575163025778</v>
      </c>
      <c r="AD10" s="143">
        <f>AC10-0.16</f>
        <v>3.3012575163025777</v>
      </c>
      <c r="AE10" s="142"/>
      <c r="AF10" s="153">
        <v>1</v>
      </c>
      <c r="AG10" s="150">
        <v>1.48</v>
      </c>
      <c r="AH10" s="143">
        <f>CONVERT((AG10*1000),"g","lbm")</f>
        <v>3.262841480336188</v>
      </c>
      <c r="AI10" s="143">
        <f>AH10-0.16</f>
        <v>3.1028414803361879</v>
      </c>
      <c r="AJ10" s="144"/>
      <c r="AK10" s="153">
        <v>1</v>
      </c>
      <c r="AL10" s="150">
        <v>1.7</v>
      </c>
      <c r="AM10" s="143">
        <f>CONVERT((AL10*1000),"g","lbm")</f>
        <v>3.7478584571429185</v>
      </c>
      <c r="AN10" s="143">
        <f>AM10-0.16</f>
        <v>3.5878584571429184</v>
      </c>
      <c r="AO10" s="142"/>
      <c r="AP10" s="153">
        <v>1</v>
      </c>
      <c r="AQ10" s="150">
        <v>1.41</v>
      </c>
      <c r="AR10" s="143">
        <f>CONVERT((AQ10*1000),"g","lbm")</f>
        <v>3.1085178968067737</v>
      </c>
      <c r="AS10" s="143">
        <f>AR10-0.16</f>
        <v>2.9485178968067736</v>
      </c>
      <c r="AT10" s="144"/>
      <c r="AU10" s="153">
        <v>1</v>
      </c>
      <c r="AV10" s="150">
        <v>1.38</v>
      </c>
      <c r="AW10" s="143">
        <f>CONVERT((AV10*1000),"g","lbm")</f>
        <v>3.0423792181513103</v>
      </c>
      <c r="AX10" s="143">
        <f>AW10-0.16</f>
        <v>2.8823792181513102</v>
      </c>
      <c r="AY10" s="142"/>
      <c r="AZ10" s="153">
        <v>1</v>
      </c>
      <c r="BA10" s="150">
        <v>1.23</v>
      </c>
      <c r="BB10" s="143">
        <f>CONVERT((BA10*1000),"g","lbm")</f>
        <v>2.7116858248739941</v>
      </c>
      <c r="BC10" s="143">
        <f>BB10-0.16</f>
        <v>2.551685824873994</v>
      </c>
      <c r="BD10" s="152"/>
      <c r="BE10" s="143"/>
      <c r="BF10" s="142"/>
      <c r="BG10" s="152"/>
      <c r="BH10" s="143"/>
      <c r="BI10" s="144"/>
      <c r="BJ10" s="152"/>
      <c r="BK10" s="143"/>
      <c r="BL10" s="142"/>
      <c r="BM10" s="152"/>
      <c r="BN10" s="143"/>
      <c r="BO10" s="144"/>
      <c r="BP10" s="152"/>
      <c r="BQ10" s="143"/>
      <c r="BR10" s="144"/>
      <c r="BS10" s="152"/>
      <c r="BT10" s="143"/>
      <c r="BU10" s="142"/>
      <c r="BV10" s="142"/>
      <c r="BW10" s="142"/>
      <c r="BX10" s="142"/>
      <c r="BY10" s="142"/>
      <c r="BZ10" s="142"/>
      <c r="CA10" s="142"/>
      <c r="CB10" s="142"/>
      <c r="CC10" s="142"/>
      <c r="CD10" s="142"/>
      <c r="CE10" s="142"/>
      <c r="CF10" s="142"/>
      <c r="CG10" s="142"/>
      <c r="CH10" s="142"/>
      <c r="CI10" s="142"/>
    </row>
    <row r="11" spans="2:87" ht="20.100000000000001" customHeight="1" x14ac:dyDescent="0.25">
      <c r="B11" s="153">
        <v>2</v>
      </c>
      <c r="C11" s="150">
        <v>2.17</v>
      </c>
      <c r="D11" s="143">
        <f>CONVERT((C11*1000),"g","lbm")</f>
        <v>4.784031089411843</v>
      </c>
      <c r="E11" s="143">
        <f>D11-0.16</f>
        <v>4.6240310894118428</v>
      </c>
      <c r="F11" s="144"/>
      <c r="G11" s="153">
        <v>2</v>
      </c>
      <c r="H11" s="150">
        <v>1.36</v>
      </c>
      <c r="I11" s="143">
        <f>CONVERT((H11*1000),"g","lbm")</f>
        <v>2.9982867657143348</v>
      </c>
      <c r="J11" s="143">
        <f>I11-0.16</f>
        <v>2.8382867657143347</v>
      </c>
      <c r="K11" s="142"/>
      <c r="L11" s="153">
        <v>2</v>
      </c>
      <c r="M11" s="150">
        <v>1.6</v>
      </c>
      <c r="N11" s="143">
        <f>CONVERT((M11*1000),"g","lbm")</f>
        <v>3.5273961949580412</v>
      </c>
      <c r="O11" s="143">
        <f>N11-0.16</f>
        <v>3.3673961949580411</v>
      </c>
      <c r="P11" s="144"/>
      <c r="Q11" s="153">
        <v>2</v>
      </c>
      <c r="R11" s="150">
        <v>1.48</v>
      </c>
      <c r="S11" s="143">
        <f>CONVERT((R11*1000),"g","lbm")</f>
        <v>3.262841480336188</v>
      </c>
      <c r="T11" s="143">
        <f>S11-0.16</f>
        <v>3.1028414803361879</v>
      </c>
      <c r="U11" s="142"/>
      <c r="V11" s="153">
        <v>2</v>
      </c>
      <c r="W11" s="150">
        <v>1.63</v>
      </c>
      <c r="X11" s="143">
        <f>CONVERT((W11*1000),"g","lbm")</f>
        <v>3.5935348736135047</v>
      </c>
      <c r="Y11" s="143">
        <f>X11-0.16</f>
        <v>3.4335348736135045</v>
      </c>
      <c r="Z11" s="144"/>
      <c r="AA11" s="153">
        <v>2</v>
      </c>
      <c r="AB11" s="150">
        <v>1.47</v>
      </c>
      <c r="AC11" s="143">
        <f>CONVERT((AB11*1000),"g","lbm")</f>
        <v>3.2407952541177005</v>
      </c>
      <c r="AD11" s="143">
        <f>AC11-0.16</f>
        <v>3.0807952541177004</v>
      </c>
      <c r="AE11" s="142"/>
      <c r="AF11" s="153">
        <v>2</v>
      </c>
      <c r="AG11" s="150">
        <v>1.61</v>
      </c>
      <c r="AH11" s="143">
        <f>CONVERT((AG11*1000),"g","lbm")</f>
        <v>3.5494424211765288</v>
      </c>
      <c r="AI11" s="143">
        <f>AH11-0.16</f>
        <v>3.3894424211765286</v>
      </c>
      <c r="AJ11" s="144"/>
      <c r="AK11" s="153">
        <v>2</v>
      </c>
      <c r="AL11" s="150">
        <v>1.44</v>
      </c>
      <c r="AM11" s="143">
        <f>CONVERT((AL11*1000),"g","lbm")</f>
        <v>3.1746565754622371</v>
      </c>
      <c r="AN11" s="143">
        <f>AM11-0.16</f>
        <v>3.014656575462237</v>
      </c>
      <c r="AO11" s="142"/>
      <c r="AP11" s="153">
        <v>2</v>
      </c>
      <c r="AQ11" s="150">
        <v>1.49</v>
      </c>
      <c r="AR11" s="143">
        <f>CONVERT((AQ11*1000),"g","lbm")</f>
        <v>3.284887706554676</v>
      </c>
      <c r="AS11" s="143">
        <f>AR11-0.16</f>
        <v>3.1248877065546758</v>
      </c>
      <c r="AT11" s="144"/>
      <c r="AU11" s="153">
        <v>2</v>
      </c>
      <c r="AV11" s="150">
        <v>1.31</v>
      </c>
      <c r="AW11" s="143">
        <f>CONVERT((AV11*1000),"g","lbm")</f>
        <v>2.8880556346218964</v>
      </c>
      <c r="AX11" s="143">
        <f>AW11-0.16</f>
        <v>2.7280556346218963</v>
      </c>
      <c r="AY11" s="142"/>
      <c r="AZ11" s="153">
        <v>2</v>
      </c>
      <c r="BA11" s="150">
        <v>1.31</v>
      </c>
      <c r="BB11" s="143">
        <f>CONVERT((BA11*1000),"g","lbm")</f>
        <v>2.8880556346218964</v>
      </c>
      <c r="BC11" s="143">
        <f>BB11-0.16</f>
        <v>2.7280556346218963</v>
      </c>
      <c r="BD11" s="152"/>
      <c r="BE11" s="143"/>
      <c r="BF11" s="142"/>
      <c r="BG11" s="152"/>
      <c r="BH11" s="143"/>
      <c r="BI11" s="144"/>
      <c r="BJ11" s="152"/>
      <c r="BK11" s="143"/>
      <c r="BL11" s="142"/>
      <c r="BM11" s="152"/>
      <c r="BN11" s="143"/>
      <c r="BO11" s="144"/>
      <c r="BP11" s="152"/>
      <c r="BQ11" s="143"/>
      <c r="BR11" s="144"/>
      <c r="BS11" s="152"/>
      <c r="BT11" s="143"/>
      <c r="BU11" s="142"/>
      <c r="BV11" s="142"/>
      <c r="BW11" s="142"/>
      <c r="BX11" s="142"/>
      <c r="BY11" s="142"/>
      <c r="BZ11" s="142"/>
      <c r="CA11" s="142"/>
      <c r="CB11" s="142"/>
      <c r="CC11" s="142"/>
      <c r="CD11" s="142"/>
      <c r="CE11" s="142"/>
      <c r="CF11" s="142"/>
      <c r="CG11" s="142"/>
      <c r="CH11" s="142"/>
      <c r="CI11" s="142"/>
    </row>
    <row r="12" spans="2:87" ht="20.100000000000001" customHeight="1" x14ac:dyDescent="0.25">
      <c r="B12" s="153">
        <v>3</v>
      </c>
      <c r="C12" s="150">
        <v>1.6</v>
      </c>
      <c r="D12" s="143">
        <f>CONVERT((C12*1000),"g","lbm")</f>
        <v>3.5273961949580412</v>
      </c>
      <c r="E12" s="143">
        <f>D12-0.16</f>
        <v>3.3673961949580411</v>
      </c>
      <c r="F12" s="144"/>
      <c r="G12" s="153">
        <v>3</v>
      </c>
      <c r="H12" s="150">
        <v>1.22</v>
      </c>
      <c r="I12" s="143">
        <f>CONVERT((H12*1000),"g","lbm")</f>
        <v>2.6896395986555062</v>
      </c>
      <c r="J12" s="143">
        <f>I12-0.16</f>
        <v>2.529639598655506</v>
      </c>
      <c r="K12" s="142"/>
      <c r="L12" s="153">
        <v>3</v>
      </c>
      <c r="M12" s="150">
        <v>1.77</v>
      </c>
      <c r="N12" s="143">
        <f>CONVERT((M12*1000),"g","lbm")</f>
        <v>3.9021820406723329</v>
      </c>
      <c r="O12" s="143">
        <f>N12-0.16</f>
        <v>3.7421820406723327</v>
      </c>
      <c r="P12" s="144"/>
      <c r="Q12" s="153">
        <v>3</v>
      </c>
      <c r="R12" s="150">
        <v>1.47</v>
      </c>
      <c r="S12" s="143">
        <f>CONVERT((R12*1000),"g","lbm")</f>
        <v>3.2407952541177005</v>
      </c>
      <c r="T12" s="143">
        <f>S12-0.16</f>
        <v>3.0807952541177004</v>
      </c>
      <c r="U12" s="142"/>
      <c r="V12" s="153">
        <v>3</v>
      </c>
      <c r="W12" s="150">
        <v>1.67</v>
      </c>
      <c r="X12" s="143">
        <f>CONVERT((W12*1000),"g","lbm")</f>
        <v>3.6817197784874556</v>
      </c>
      <c r="Y12" s="143">
        <f>X12-0.16</f>
        <v>3.5217197784874554</v>
      </c>
      <c r="Z12" s="144"/>
      <c r="AA12" s="153">
        <v>3</v>
      </c>
      <c r="AB12" s="150">
        <v>1.44</v>
      </c>
      <c r="AC12" s="143">
        <f>CONVERT((AB12*1000),"g","lbm")</f>
        <v>3.1746565754622371</v>
      </c>
      <c r="AD12" s="143">
        <f>AC12-0.16</f>
        <v>3.014656575462237</v>
      </c>
      <c r="AE12" s="142"/>
      <c r="AF12" s="153">
        <v>3</v>
      </c>
      <c r="AG12" s="150">
        <v>1.65</v>
      </c>
      <c r="AH12" s="143">
        <f>CONVERT((AG12*1000),"g","lbm")</f>
        <v>3.6376273260504801</v>
      </c>
      <c r="AI12" s="143">
        <f>AH12-0.16</f>
        <v>3.47762732605048</v>
      </c>
      <c r="AJ12" s="144"/>
      <c r="AK12" s="153">
        <v>3</v>
      </c>
      <c r="AL12" s="150">
        <v>1.45</v>
      </c>
      <c r="AM12" s="143">
        <f>CONVERT((AL12*1000),"g","lbm")</f>
        <v>3.1967028016807246</v>
      </c>
      <c r="AN12" s="143">
        <f>AM12-0.16</f>
        <v>3.0367028016807245</v>
      </c>
      <c r="AO12" s="142"/>
      <c r="AP12" s="153">
        <v>3</v>
      </c>
      <c r="AQ12" s="150">
        <v>1.52</v>
      </c>
      <c r="AR12" s="143">
        <f>CONVERT((AQ12*1000),"g","lbm")</f>
        <v>3.351026385210139</v>
      </c>
      <c r="AS12" s="143">
        <f>AR12-0.16</f>
        <v>3.1910263852101388</v>
      </c>
      <c r="AT12" s="144"/>
      <c r="AU12" s="153">
        <v>3</v>
      </c>
      <c r="AV12" s="150">
        <v>1.46</v>
      </c>
      <c r="AW12" s="143">
        <f>CONVERT((AV12*1000),"g","lbm")</f>
        <v>3.2187490278992126</v>
      </c>
      <c r="AX12" s="143">
        <f>AW12-0.16</f>
        <v>3.0587490278992124</v>
      </c>
      <c r="AY12" s="142"/>
      <c r="AZ12" s="153">
        <v>3</v>
      </c>
      <c r="BA12" s="150">
        <v>1.42</v>
      </c>
      <c r="BB12" s="143">
        <f>CONVERT((BA12*1000),"g","lbm")</f>
        <v>3.1305641230252617</v>
      </c>
      <c r="BC12" s="143">
        <f>BB12-0.16</f>
        <v>2.9705641230252615</v>
      </c>
      <c r="BD12" s="152"/>
      <c r="BE12" s="143"/>
      <c r="BF12" s="142"/>
      <c r="BG12" s="152"/>
      <c r="BH12" s="143"/>
      <c r="BI12" s="144"/>
      <c r="BJ12" s="152"/>
      <c r="BK12" s="143"/>
      <c r="BL12" s="142"/>
      <c r="BM12" s="152"/>
      <c r="BN12" s="143"/>
      <c r="BO12" s="144"/>
      <c r="BP12" s="152"/>
      <c r="BQ12" s="143"/>
      <c r="BR12" s="144"/>
      <c r="BS12" s="152"/>
      <c r="BT12" s="143"/>
      <c r="BU12" s="142"/>
      <c r="BV12" s="142"/>
      <c r="BW12" s="142"/>
      <c r="BX12" s="142"/>
      <c r="BY12" s="142"/>
      <c r="BZ12" s="142"/>
      <c r="CA12" s="142"/>
      <c r="CB12" s="142"/>
      <c r="CC12" s="142"/>
      <c r="CD12" s="142"/>
      <c r="CE12" s="142"/>
      <c r="CF12" s="142"/>
      <c r="CG12" s="142"/>
      <c r="CH12" s="142"/>
      <c r="CI12" s="142"/>
    </row>
    <row r="13" spans="2:87" ht="20.100000000000001" customHeight="1" x14ac:dyDescent="0.25">
      <c r="B13" s="153">
        <v>4</v>
      </c>
      <c r="C13" s="150">
        <v>1.8</v>
      </c>
      <c r="D13" s="143">
        <f>CONVERT((C13*1000),"g","lbm")</f>
        <v>3.9683207193277963</v>
      </c>
      <c r="E13" s="143">
        <f>D13-0.16</f>
        <v>3.8083207193277961</v>
      </c>
      <c r="F13" s="144"/>
      <c r="G13" s="153">
        <v>4</v>
      </c>
      <c r="H13" s="150">
        <v>1.32</v>
      </c>
      <c r="I13" s="143">
        <f>CONVERT((H13*1000),"g","lbm")</f>
        <v>2.9101018608403839</v>
      </c>
      <c r="J13" s="143">
        <f>I13-0.16</f>
        <v>2.7501018608403838</v>
      </c>
      <c r="K13" s="142"/>
      <c r="L13" s="153">
        <v>4</v>
      </c>
      <c r="M13" s="150">
        <v>1.47</v>
      </c>
      <c r="N13" s="143">
        <f>CONVERT((M13*1000),"g","lbm")</f>
        <v>3.2407952541177005</v>
      </c>
      <c r="O13" s="143">
        <f>N13-0.16</f>
        <v>3.0807952541177004</v>
      </c>
      <c r="P13" s="144"/>
      <c r="Q13" s="153">
        <v>4</v>
      </c>
      <c r="R13" s="150">
        <v>1.46</v>
      </c>
      <c r="S13" s="143">
        <f>CONVERT((R13*1000),"g","lbm")</f>
        <v>3.2187490278992126</v>
      </c>
      <c r="T13" s="143">
        <f>S13-0.16</f>
        <v>3.0587490278992124</v>
      </c>
      <c r="U13" s="142"/>
      <c r="V13" s="153">
        <v>4</v>
      </c>
      <c r="W13" s="150">
        <v>1.69</v>
      </c>
      <c r="X13" s="143">
        <f>CONVERT((W13*1000),"g","lbm")</f>
        <v>3.725812230924431</v>
      </c>
      <c r="Y13" s="143">
        <f>X13-0.16</f>
        <v>3.5658122309244309</v>
      </c>
      <c r="Z13" s="144"/>
      <c r="AA13" s="153">
        <v>4</v>
      </c>
      <c r="AB13" s="150">
        <v>1.69</v>
      </c>
      <c r="AC13" s="143">
        <f>CONVERT((AB13*1000),"g","lbm")</f>
        <v>3.725812230924431</v>
      </c>
      <c r="AD13" s="143">
        <f>AC13-0.16</f>
        <v>3.5658122309244309</v>
      </c>
      <c r="AE13" s="142"/>
      <c r="AF13" s="153">
        <v>4</v>
      </c>
      <c r="AG13" s="150">
        <v>1.69</v>
      </c>
      <c r="AH13" s="143">
        <f>CONVERT((AG13*1000),"g","lbm")</f>
        <v>3.725812230924431</v>
      </c>
      <c r="AI13" s="143">
        <f>AH13-0.16</f>
        <v>3.5658122309244309</v>
      </c>
      <c r="AJ13" s="144"/>
      <c r="AK13" s="153">
        <v>4</v>
      </c>
      <c r="AL13" s="150">
        <v>1.57</v>
      </c>
      <c r="AM13" s="143">
        <f>CONVERT((AL13*1000),"g","lbm")</f>
        <v>3.4612575163025778</v>
      </c>
      <c r="AN13" s="143">
        <f>AM13-0.16</f>
        <v>3.3012575163025777</v>
      </c>
      <c r="AO13" s="142"/>
      <c r="AP13" s="153">
        <v>4</v>
      </c>
      <c r="AQ13" s="150">
        <v>1.61</v>
      </c>
      <c r="AR13" s="143">
        <f>CONVERT((AQ13*1000),"g","lbm")</f>
        <v>3.5494424211765288</v>
      </c>
      <c r="AS13" s="143">
        <f>AR13-0.16</f>
        <v>3.3894424211765286</v>
      </c>
      <c r="AT13" s="144"/>
      <c r="AU13" s="153">
        <v>4</v>
      </c>
      <c r="AV13" s="150">
        <v>1.85</v>
      </c>
      <c r="AW13" s="143">
        <f>CONVERT((AV13*1000),"g","lbm")</f>
        <v>4.0785518504202347</v>
      </c>
      <c r="AX13" s="143">
        <f>AW13-0.16</f>
        <v>3.9185518504202346</v>
      </c>
      <c r="AY13" s="142"/>
      <c r="AZ13" s="153">
        <v>4</v>
      </c>
      <c r="BA13" s="150">
        <v>1.57</v>
      </c>
      <c r="BB13" s="143">
        <f>CONVERT((BA13*1000),"g","lbm")</f>
        <v>3.4612575163025778</v>
      </c>
      <c r="BC13" s="143">
        <f>BB13-0.16</f>
        <v>3.3012575163025777</v>
      </c>
      <c r="BD13" s="152"/>
      <c r="BE13" s="143"/>
      <c r="BF13" s="142"/>
      <c r="BG13" s="152"/>
      <c r="BH13" s="143"/>
      <c r="BI13" s="144"/>
      <c r="BJ13" s="152"/>
      <c r="BK13" s="143"/>
      <c r="BL13" s="142"/>
      <c r="BM13" s="152"/>
      <c r="BN13" s="143"/>
      <c r="BO13" s="144"/>
      <c r="BP13" s="152"/>
      <c r="BQ13" s="143"/>
      <c r="BR13" s="144"/>
      <c r="BS13" s="152"/>
      <c r="BT13" s="143"/>
      <c r="BU13" s="142"/>
      <c r="BV13" s="142"/>
      <c r="BW13" s="142"/>
      <c r="BX13" s="142"/>
      <c r="BY13" s="142"/>
      <c r="BZ13" s="142"/>
      <c r="CA13" s="142"/>
      <c r="CB13" s="142"/>
      <c r="CC13" s="142"/>
      <c r="CD13" s="142"/>
      <c r="CE13" s="142"/>
      <c r="CF13" s="142"/>
      <c r="CG13" s="142"/>
      <c r="CH13" s="142"/>
      <c r="CI13" s="142"/>
    </row>
    <row r="14" spans="2:87" ht="20.100000000000001" customHeight="1" x14ac:dyDescent="0.25">
      <c r="B14" s="153">
        <v>5</v>
      </c>
      <c r="C14" s="150">
        <v>2.04</v>
      </c>
      <c r="D14" s="143">
        <f>CONVERT((C14*1000),"g","lbm")</f>
        <v>4.4974301485715023</v>
      </c>
      <c r="E14" s="143">
        <f>D14-0.16</f>
        <v>4.3374301485715021</v>
      </c>
      <c r="F14" s="144"/>
      <c r="G14" s="153">
        <v>5</v>
      </c>
      <c r="H14" s="150">
        <v>1.33</v>
      </c>
      <c r="I14" s="143">
        <f>CONVERT((H14*1000),"g","lbm")</f>
        <v>2.9321480870588719</v>
      </c>
      <c r="J14" s="143">
        <f>I14-0.16</f>
        <v>2.7721480870588717</v>
      </c>
      <c r="K14" s="142"/>
      <c r="L14" s="153">
        <v>5</v>
      </c>
      <c r="M14" s="150">
        <v>1.63</v>
      </c>
      <c r="N14" s="143">
        <f>CONVERT((M14*1000),"g","lbm")</f>
        <v>3.5935348736135047</v>
      </c>
      <c r="O14" s="143">
        <f>N14-0.16</f>
        <v>3.4335348736135045</v>
      </c>
      <c r="P14" s="144"/>
      <c r="Q14" s="153">
        <v>5</v>
      </c>
      <c r="R14" s="150">
        <v>1.7</v>
      </c>
      <c r="S14" s="143">
        <f>CONVERT((R14*1000),"g","lbm")</f>
        <v>3.7478584571429185</v>
      </c>
      <c r="T14" s="143">
        <f>S14-0.16</f>
        <v>3.5878584571429184</v>
      </c>
      <c r="U14" s="142"/>
      <c r="V14" s="153">
        <v>5</v>
      </c>
      <c r="W14" s="150">
        <v>1.75</v>
      </c>
      <c r="X14" s="143">
        <f>CONVERT((W14*1000),"g","lbm")</f>
        <v>3.8580895882353574</v>
      </c>
      <c r="Y14" s="143">
        <f>X14-0.16</f>
        <v>3.6980895882353573</v>
      </c>
      <c r="Z14" s="144"/>
      <c r="AA14" s="153">
        <v>5</v>
      </c>
      <c r="AB14" s="150">
        <v>1.44</v>
      </c>
      <c r="AC14" s="143">
        <f>CONVERT((AB14*1000),"g","lbm")</f>
        <v>3.1746565754622371</v>
      </c>
      <c r="AD14" s="143">
        <f>AC14-0.16</f>
        <v>3.014656575462237</v>
      </c>
      <c r="AE14" s="142"/>
      <c r="AF14" s="153">
        <v>5</v>
      </c>
      <c r="AG14" s="150">
        <v>1.53</v>
      </c>
      <c r="AH14" s="143">
        <f>CONVERT((AG14*1000),"g","lbm")</f>
        <v>3.3730726114286269</v>
      </c>
      <c r="AI14" s="143">
        <f>AH14-0.16</f>
        <v>3.2130726114286268</v>
      </c>
      <c r="AJ14" s="144"/>
      <c r="AK14" s="153">
        <v>5</v>
      </c>
      <c r="AL14" s="150">
        <v>1.43</v>
      </c>
      <c r="AM14" s="143">
        <f>CONVERT((AL14*1000),"g","lbm")</f>
        <v>3.1526103492437492</v>
      </c>
      <c r="AN14" s="143">
        <f>AM14-0.16</f>
        <v>2.992610349243749</v>
      </c>
      <c r="AO14" s="142"/>
      <c r="AP14" s="153">
        <v>5</v>
      </c>
      <c r="AQ14" s="150">
        <v>1.46</v>
      </c>
      <c r="AR14" s="143">
        <f>CONVERT((AQ14*1000),"g","lbm")</f>
        <v>3.2187490278992126</v>
      </c>
      <c r="AS14" s="143">
        <f>AR14-0.16</f>
        <v>3.0587490278992124</v>
      </c>
      <c r="AT14" s="144"/>
      <c r="AU14" s="153">
        <v>5</v>
      </c>
      <c r="AV14" s="150">
        <v>1.51</v>
      </c>
      <c r="AW14" s="143">
        <f>CONVERT((AV14*1000),"g","lbm")</f>
        <v>3.3289801589916515</v>
      </c>
      <c r="AX14" s="143">
        <f>AW14-0.16</f>
        <v>3.1689801589916513</v>
      </c>
      <c r="AY14" s="142"/>
      <c r="AZ14" s="153">
        <v>5</v>
      </c>
      <c r="BA14" s="150">
        <v>1.56</v>
      </c>
      <c r="BB14" s="143">
        <f>CONVERT((BA14*1000),"g","lbm")</f>
        <v>3.4392112900840903</v>
      </c>
      <c r="BC14" s="143">
        <f>BB14-0.16</f>
        <v>3.2792112900840902</v>
      </c>
      <c r="BD14" s="152"/>
      <c r="BE14" s="143"/>
      <c r="BF14" s="142"/>
      <c r="BG14" s="152"/>
      <c r="BH14" s="143"/>
      <c r="BI14" s="144"/>
      <c r="BJ14" s="152"/>
      <c r="BK14" s="143"/>
      <c r="BL14" s="142"/>
      <c r="BM14" s="152"/>
      <c r="BN14" s="143"/>
      <c r="BO14" s="144"/>
      <c r="BP14" s="152"/>
      <c r="BQ14" s="143"/>
      <c r="BR14" s="144"/>
      <c r="BS14" s="152"/>
      <c r="BT14" s="143"/>
      <c r="BU14" s="142"/>
      <c r="BV14" s="142"/>
      <c r="BW14" s="142"/>
      <c r="BX14" s="142"/>
      <c r="BY14" s="142"/>
      <c r="BZ14" s="142"/>
      <c r="CA14" s="142"/>
      <c r="CB14" s="142"/>
      <c r="CC14" s="142"/>
      <c r="CD14" s="142"/>
      <c r="CE14" s="142"/>
      <c r="CF14" s="142"/>
      <c r="CG14" s="142"/>
      <c r="CH14" s="142"/>
      <c r="CI14" s="142"/>
    </row>
    <row r="15" spans="2:87" ht="20.100000000000001" customHeight="1" x14ac:dyDescent="0.25">
      <c r="B15" s="153">
        <v>6</v>
      </c>
      <c r="C15" s="150">
        <v>2.0499999999999998</v>
      </c>
      <c r="D15" s="143">
        <f>CONVERT((C15*1000),"g","lbm")</f>
        <v>4.5194763747899902</v>
      </c>
      <c r="E15" s="143">
        <f>D15-0.16</f>
        <v>4.3594763747899901</v>
      </c>
      <c r="F15" s="144"/>
      <c r="G15" s="153">
        <v>6</v>
      </c>
      <c r="H15" s="150">
        <v>1.34</v>
      </c>
      <c r="I15" s="143">
        <f>CONVERT((H15*1000),"g","lbm")</f>
        <v>2.9541943132773594</v>
      </c>
      <c r="J15" s="143">
        <f>I15-0.16</f>
        <v>2.7941943132773592</v>
      </c>
      <c r="K15" s="142"/>
      <c r="L15" s="153">
        <v>6</v>
      </c>
      <c r="M15" s="150">
        <v>1.44</v>
      </c>
      <c r="N15" s="143">
        <f>CONVERT((M15*1000),"g","lbm")</f>
        <v>3.1746565754622371</v>
      </c>
      <c r="O15" s="143">
        <f>N15-0.16</f>
        <v>3.014656575462237</v>
      </c>
      <c r="P15" s="144"/>
      <c r="Q15" s="153">
        <v>6</v>
      </c>
      <c r="R15" s="150">
        <v>1.47</v>
      </c>
      <c r="S15" s="143">
        <f>CONVERT((R15*1000),"g","lbm")</f>
        <v>3.2407952541177005</v>
      </c>
      <c r="T15" s="143">
        <f>S15-0.16</f>
        <v>3.0807952541177004</v>
      </c>
      <c r="U15" s="142"/>
      <c r="V15" s="153">
        <v>6</v>
      </c>
      <c r="W15" s="150">
        <v>1.48</v>
      </c>
      <c r="X15" s="143">
        <f>CONVERT((W15*1000),"g","lbm")</f>
        <v>3.262841480336188</v>
      </c>
      <c r="Y15" s="143">
        <f>X15-0.16</f>
        <v>3.1028414803361879</v>
      </c>
      <c r="Z15" s="144"/>
      <c r="AA15" s="153">
        <v>6</v>
      </c>
      <c r="AB15" s="150">
        <v>1.55</v>
      </c>
      <c r="AC15" s="143">
        <f>CONVERT((AB15*1000),"g","lbm")</f>
        <v>3.4171650638656024</v>
      </c>
      <c r="AD15" s="143">
        <f>AC15-0.16</f>
        <v>3.2571650638656022</v>
      </c>
      <c r="AE15" s="142"/>
      <c r="AF15" s="153">
        <v>6</v>
      </c>
      <c r="AG15" s="150">
        <v>1.69</v>
      </c>
      <c r="AH15" s="143">
        <f>CONVERT((AG15*1000),"g","lbm")</f>
        <v>3.725812230924431</v>
      </c>
      <c r="AI15" s="143">
        <f>AH15-0.16</f>
        <v>3.5658122309244309</v>
      </c>
      <c r="AJ15" s="144"/>
      <c r="AK15" s="153">
        <v>6</v>
      </c>
      <c r="AL15" s="150">
        <v>1.48</v>
      </c>
      <c r="AM15" s="143">
        <f>CONVERT((AL15*1000),"g","lbm")</f>
        <v>3.262841480336188</v>
      </c>
      <c r="AN15" s="143">
        <f>AM15-0.16</f>
        <v>3.1028414803361879</v>
      </c>
      <c r="AO15" s="142"/>
      <c r="AP15" s="153">
        <v>6</v>
      </c>
      <c r="AQ15" s="150">
        <v>1.41</v>
      </c>
      <c r="AR15" s="143">
        <f>CONVERT((AQ15*1000),"g","lbm")</f>
        <v>3.1085178968067737</v>
      </c>
      <c r="AS15" s="143">
        <f>AR15-0.16</f>
        <v>2.9485178968067736</v>
      </c>
      <c r="AT15" s="144"/>
      <c r="AU15" s="153">
        <v>6</v>
      </c>
      <c r="AV15" s="150">
        <v>1.49</v>
      </c>
      <c r="AW15" s="143">
        <f>CONVERT((AV15*1000),"g","lbm")</f>
        <v>3.284887706554676</v>
      </c>
      <c r="AX15" s="143">
        <f>AW15-0.16</f>
        <v>3.1248877065546758</v>
      </c>
      <c r="AY15" s="142"/>
      <c r="AZ15" s="153">
        <v>6</v>
      </c>
      <c r="BA15" s="150">
        <v>1.36</v>
      </c>
      <c r="BB15" s="143">
        <f>CONVERT((BA15*1000),"g","lbm")</f>
        <v>2.9982867657143348</v>
      </c>
      <c r="BC15" s="143">
        <f>BB15-0.16</f>
        <v>2.8382867657143347</v>
      </c>
      <c r="BD15" s="152"/>
      <c r="BE15" s="143"/>
      <c r="BF15" s="142"/>
      <c r="BG15" s="152"/>
      <c r="BH15" s="143"/>
      <c r="BI15" s="144"/>
      <c r="BJ15" s="152"/>
      <c r="BK15" s="143"/>
      <c r="BL15" s="142"/>
      <c r="BM15" s="152"/>
      <c r="BN15" s="143"/>
      <c r="BO15" s="144"/>
      <c r="BP15" s="152"/>
      <c r="BQ15" s="143"/>
      <c r="BR15" s="144"/>
      <c r="BS15" s="152"/>
      <c r="BT15" s="143"/>
      <c r="BU15" s="142"/>
      <c r="BV15" s="142"/>
      <c r="BW15" s="142"/>
      <c r="BX15" s="142"/>
      <c r="BY15" s="142"/>
      <c r="BZ15" s="142"/>
      <c r="CA15" s="142"/>
      <c r="CB15" s="142"/>
      <c r="CC15" s="142"/>
      <c r="CD15" s="142"/>
      <c r="CE15" s="142"/>
      <c r="CF15" s="142"/>
      <c r="CG15" s="142"/>
      <c r="CH15" s="142"/>
      <c r="CI15" s="142"/>
    </row>
    <row r="16" spans="2:87" ht="20.100000000000001" customHeight="1" x14ac:dyDescent="0.25">
      <c r="B16" s="153">
        <v>7</v>
      </c>
      <c r="C16" s="150">
        <v>1.98</v>
      </c>
      <c r="D16" s="143">
        <f>CONVERT((C16*1000),"g","lbm")</f>
        <v>4.3651527912605763</v>
      </c>
      <c r="E16" s="143">
        <f>D16-0.16</f>
        <v>4.2051527912605762</v>
      </c>
      <c r="F16" s="144"/>
      <c r="G16" s="153">
        <v>7</v>
      </c>
      <c r="H16" s="150">
        <v>1.38</v>
      </c>
      <c r="I16" s="143">
        <f>CONVERT((H16*1000),"g","lbm")</f>
        <v>3.0423792181513103</v>
      </c>
      <c r="J16" s="143">
        <f>I16-0.16</f>
        <v>2.8823792181513102</v>
      </c>
      <c r="K16" s="142"/>
      <c r="L16" s="153">
        <v>7</v>
      </c>
      <c r="M16" s="150">
        <v>1.46</v>
      </c>
      <c r="N16" s="143">
        <f>CONVERT((M16*1000),"g","lbm")</f>
        <v>3.2187490278992126</v>
      </c>
      <c r="O16" s="143">
        <f>N16-0.16</f>
        <v>3.0587490278992124</v>
      </c>
      <c r="P16" s="144"/>
      <c r="Q16" s="153">
        <v>7</v>
      </c>
      <c r="R16" s="150">
        <v>1.57</v>
      </c>
      <c r="S16" s="143">
        <f>CONVERT((R16*1000),"g","lbm")</f>
        <v>3.4612575163025778</v>
      </c>
      <c r="T16" s="143">
        <f>S16-0.16</f>
        <v>3.3012575163025777</v>
      </c>
      <c r="U16" s="142"/>
      <c r="V16" s="153">
        <v>7</v>
      </c>
      <c r="W16" s="150">
        <v>1.68</v>
      </c>
      <c r="X16" s="143">
        <f>CONVERT((W16*1000),"g","lbm")</f>
        <v>3.7037660047059431</v>
      </c>
      <c r="Y16" s="143">
        <f>X16-0.16</f>
        <v>3.5437660047059429</v>
      </c>
      <c r="Z16" s="144"/>
      <c r="AA16" s="153">
        <v>7</v>
      </c>
      <c r="AB16" s="150">
        <v>1.54</v>
      </c>
      <c r="AC16" s="143">
        <f>CONVERT((AB16*1000),"g","lbm")</f>
        <v>3.3951188376471144</v>
      </c>
      <c r="AD16" s="143">
        <f>AC16-0.16</f>
        <v>3.2351188376471143</v>
      </c>
      <c r="AE16" s="142"/>
      <c r="AF16" s="153">
        <v>7</v>
      </c>
      <c r="AG16" s="150">
        <v>1.48</v>
      </c>
      <c r="AH16" s="143">
        <f>CONVERT((AG16*1000),"g","lbm")</f>
        <v>3.262841480336188</v>
      </c>
      <c r="AI16" s="143">
        <f>AH16-0.16</f>
        <v>3.1028414803361879</v>
      </c>
      <c r="AJ16" s="144"/>
      <c r="AK16" s="153">
        <v>7</v>
      </c>
      <c r="AL16" s="150">
        <v>1.37</v>
      </c>
      <c r="AM16" s="143">
        <f>CONVERT((AL16*1000),"g","lbm")</f>
        <v>3.0203329919328228</v>
      </c>
      <c r="AN16" s="143">
        <f>AM16-0.16</f>
        <v>2.8603329919328226</v>
      </c>
      <c r="AO16" s="142"/>
      <c r="AP16" s="153">
        <v>7</v>
      </c>
      <c r="AQ16" s="150">
        <v>1.67</v>
      </c>
      <c r="AR16" s="143">
        <f>CONVERT((AQ16*1000),"g","lbm")</f>
        <v>3.6817197784874556</v>
      </c>
      <c r="AS16" s="143">
        <f>AR16-0.16</f>
        <v>3.5217197784874554</v>
      </c>
      <c r="AT16" s="144"/>
      <c r="AU16" s="153">
        <v>7</v>
      </c>
      <c r="AV16" s="150">
        <v>1.23</v>
      </c>
      <c r="AW16" s="143">
        <f>CONVERT((AV16*1000),"g","lbm")</f>
        <v>2.7116858248739941</v>
      </c>
      <c r="AX16" s="143">
        <f>AW16-0.16</f>
        <v>2.551685824873994</v>
      </c>
      <c r="AY16" s="142"/>
      <c r="AZ16" s="153">
        <v>7</v>
      </c>
      <c r="BA16" s="150">
        <v>1.29</v>
      </c>
      <c r="BB16" s="143">
        <f>CONVERT((BA16*1000),"g","lbm")</f>
        <v>2.8439631821849205</v>
      </c>
      <c r="BC16" s="143">
        <f>BB16-0.16</f>
        <v>2.6839631821849204</v>
      </c>
      <c r="BD16" s="152"/>
      <c r="BE16" s="143"/>
      <c r="BF16" s="142"/>
      <c r="BG16" s="152"/>
      <c r="BH16" s="143"/>
      <c r="BI16" s="144"/>
      <c r="BJ16" s="152"/>
      <c r="BK16" s="143"/>
      <c r="BL16" s="142"/>
      <c r="BM16" s="152"/>
      <c r="BN16" s="143"/>
      <c r="BO16" s="144"/>
      <c r="BP16" s="152"/>
      <c r="BQ16" s="143"/>
      <c r="BR16" s="144"/>
      <c r="BS16" s="152"/>
      <c r="BT16" s="143"/>
      <c r="BU16" s="142"/>
      <c r="BV16" s="142"/>
      <c r="BW16" s="142"/>
      <c r="BX16" s="142"/>
      <c r="BY16" s="142"/>
      <c r="BZ16" s="142"/>
      <c r="CA16" s="142"/>
      <c r="CB16" s="142"/>
      <c r="CC16" s="142"/>
      <c r="CD16" s="142"/>
      <c r="CE16" s="142"/>
      <c r="CF16" s="142"/>
      <c r="CG16" s="142"/>
      <c r="CH16" s="142"/>
      <c r="CI16" s="142"/>
    </row>
    <row r="17" spans="2:87" ht="20.100000000000001" customHeight="1" x14ac:dyDescent="0.25">
      <c r="B17" s="153">
        <v>8</v>
      </c>
      <c r="C17" s="150">
        <v>1.72</v>
      </c>
      <c r="D17" s="143">
        <f>CONVERT((C17*1000),"g","lbm")</f>
        <v>3.7919509095798944</v>
      </c>
      <c r="E17" s="143">
        <f>D17-0.16</f>
        <v>3.6319509095798943</v>
      </c>
      <c r="F17" s="144"/>
      <c r="G17" s="153">
        <v>8</v>
      </c>
      <c r="H17" s="150">
        <v>1.39</v>
      </c>
      <c r="I17" s="143">
        <f>CONVERT((H17*1000),"g","lbm")</f>
        <v>3.0644254443697982</v>
      </c>
      <c r="J17" s="143">
        <f>I17-0.16</f>
        <v>2.9044254443697981</v>
      </c>
      <c r="K17" s="142"/>
      <c r="L17" s="153">
        <v>8</v>
      </c>
      <c r="M17" s="150">
        <v>1.91</v>
      </c>
      <c r="N17" s="143">
        <f>CONVERT((M17*1000),"g","lbm")</f>
        <v>4.2108292077311615</v>
      </c>
      <c r="O17" s="143">
        <f>N17-0.16</f>
        <v>4.0508292077311614</v>
      </c>
      <c r="P17" s="144"/>
      <c r="Q17" s="153">
        <v>8</v>
      </c>
      <c r="R17" s="150">
        <v>1.49</v>
      </c>
      <c r="S17" s="143">
        <f>CONVERT((R17*1000),"g","lbm")</f>
        <v>3.284887706554676</v>
      </c>
      <c r="T17" s="143">
        <f>S17-0.16</f>
        <v>3.1248877065546758</v>
      </c>
      <c r="U17" s="142"/>
      <c r="V17" s="153">
        <v>8</v>
      </c>
      <c r="W17" s="150">
        <v>1.7</v>
      </c>
      <c r="X17" s="143">
        <f>CONVERT((W17*1000),"g","lbm")</f>
        <v>3.7478584571429185</v>
      </c>
      <c r="Y17" s="143">
        <f>X17-0.16</f>
        <v>3.5878584571429184</v>
      </c>
      <c r="Z17" s="144"/>
      <c r="AA17" s="153">
        <v>8</v>
      </c>
      <c r="AB17" s="150">
        <v>1.56</v>
      </c>
      <c r="AC17" s="143">
        <f>CONVERT((AB17*1000),"g","lbm")</f>
        <v>3.4392112900840903</v>
      </c>
      <c r="AD17" s="143">
        <f>AC17-0.16</f>
        <v>3.2792112900840902</v>
      </c>
      <c r="AE17" s="142"/>
      <c r="AF17" s="153">
        <v>8</v>
      </c>
      <c r="AG17" s="150">
        <v>1.58</v>
      </c>
      <c r="AH17" s="143">
        <f>CONVERT((AG17*1000),"g","lbm")</f>
        <v>3.4833037425210658</v>
      </c>
      <c r="AI17" s="143">
        <f>AH17-0.16</f>
        <v>3.3233037425210656</v>
      </c>
      <c r="AJ17" s="144"/>
      <c r="AK17" s="153">
        <v>8</v>
      </c>
      <c r="AL17" s="150">
        <v>1.43</v>
      </c>
      <c r="AM17" s="143">
        <f>CONVERT((AL17*1000),"g","lbm")</f>
        <v>3.1526103492437492</v>
      </c>
      <c r="AN17" s="143">
        <f>AM17-0.16</f>
        <v>2.992610349243749</v>
      </c>
      <c r="AO17" s="142"/>
      <c r="AP17" s="153">
        <v>8</v>
      </c>
      <c r="AQ17" s="150">
        <v>1.23</v>
      </c>
      <c r="AR17" s="143">
        <f>CONVERT((AQ17*1000),"g","lbm")</f>
        <v>2.7116858248739941</v>
      </c>
      <c r="AS17" s="143">
        <f>AR17-0.16</f>
        <v>2.551685824873994</v>
      </c>
      <c r="AT17" s="144"/>
      <c r="AU17" s="153">
        <v>8</v>
      </c>
      <c r="AV17" s="150">
        <v>1.3</v>
      </c>
      <c r="AW17" s="143">
        <f>CONVERT((AV17*1000),"g","lbm")</f>
        <v>2.8660094084034085</v>
      </c>
      <c r="AX17" s="143">
        <f>AW17-0.16</f>
        <v>2.7060094084034083</v>
      </c>
      <c r="AY17" s="142"/>
      <c r="AZ17" s="153">
        <v>8</v>
      </c>
      <c r="BA17" s="150">
        <v>1.52</v>
      </c>
      <c r="BB17" s="143">
        <f>CONVERT((BA17*1000),"g","lbm")</f>
        <v>3.351026385210139</v>
      </c>
      <c r="BC17" s="143">
        <f>BB17-0.16</f>
        <v>3.1910263852101388</v>
      </c>
      <c r="BD17" s="152"/>
      <c r="BE17" s="143"/>
      <c r="BF17" s="142"/>
      <c r="BG17" s="152"/>
      <c r="BH17" s="143"/>
      <c r="BI17" s="144"/>
      <c r="BJ17" s="152"/>
      <c r="BK17" s="143"/>
      <c r="BL17" s="142"/>
      <c r="BM17" s="152"/>
      <c r="BN17" s="143"/>
      <c r="BO17" s="144"/>
      <c r="BP17" s="152"/>
      <c r="BQ17" s="143"/>
      <c r="BR17" s="144"/>
      <c r="BS17" s="152"/>
      <c r="BT17" s="143"/>
      <c r="BU17" s="142"/>
      <c r="BV17" s="142"/>
      <c r="BW17" s="142"/>
      <c r="BX17" s="142"/>
      <c r="BY17" s="142"/>
      <c r="BZ17" s="142"/>
      <c r="CA17" s="142"/>
      <c r="CB17" s="142"/>
      <c r="CC17" s="142"/>
      <c r="CD17" s="142"/>
      <c r="CE17" s="142"/>
      <c r="CF17" s="142"/>
      <c r="CG17" s="142"/>
      <c r="CH17" s="142"/>
      <c r="CI17" s="142"/>
    </row>
    <row r="18" spans="2:87" ht="20.100000000000001" customHeight="1" x14ac:dyDescent="0.25">
      <c r="B18" s="153">
        <v>9</v>
      </c>
      <c r="C18" s="150">
        <v>1.45</v>
      </c>
      <c r="D18" s="143">
        <f>CONVERT((C18*1000),"g","lbm")</f>
        <v>3.1967028016807246</v>
      </c>
      <c r="E18" s="143">
        <f>D18-0.16</f>
        <v>3.0367028016807245</v>
      </c>
      <c r="F18" s="144"/>
      <c r="G18" s="153">
        <v>9</v>
      </c>
      <c r="H18" s="150">
        <v>1.25</v>
      </c>
      <c r="I18" s="143">
        <f>CONVERT((H18*1000),"g","lbm")</f>
        <v>2.7557782773109696</v>
      </c>
      <c r="J18" s="143">
        <f>I18-0.16</f>
        <v>2.5957782773109694</v>
      </c>
      <c r="K18" s="142"/>
      <c r="L18" s="153">
        <v>9</v>
      </c>
      <c r="M18" s="150">
        <v>1.51</v>
      </c>
      <c r="N18" s="143">
        <f>CONVERT((M18*1000),"g","lbm")</f>
        <v>3.3289801589916515</v>
      </c>
      <c r="O18" s="143">
        <f>N18-0.16</f>
        <v>3.1689801589916513</v>
      </c>
      <c r="P18" s="144"/>
      <c r="Q18" s="153">
        <v>9</v>
      </c>
      <c r="R18" s="150">
        <v>1.73</v>
      </c>
      <c r="S18" s="143">
        <f>CONVERT((R18*1000),"g","lbm")</f>
        <v>3.813997135798382</v>
      </c>
      <c r="T18" s="143">
        <f>S18-0.16</f>
        <v>3.6539971357983818</v>
      </c>
      <c r="U18" s="142"/>
      <c r="V18" s="153">
        <v>9</v>
      </c>
      <c r="W18" s="150">
        <v>1.54</v>
      </c>
      <c r="X18" s="143">
        <f>CONVERT((W18*1000),"g","lbm")</f>
        <v>3.3951188376471144</v>
      </c>
      <c r="Y18" s="143">
        <f>X18-0.16</f>
        <v>3.2351188376471143</v>
      </c>
      <c r="Z18" s="144"/>
      <c r="AA18" s="153">
        <v>9</v>
      </c>
      <c r="AB18" s="150">
        <v>1.57</v>
      </c>
      <c r="AC18" s="143">
        <f>CONVERT((AB18*1000),"g","lbm")</f>
        <v>3.4612575163025778</v>
      </c>
      <c r="AD18" s="143">
        <f>AC18-0.16</f>
        <v>3.3012575163025777</v>
      </c>
      <c r="AE18" s="142"/>
      <c r="AF18" s="153">
        <v>9</v>
      </c>
      <c r="AG18" s="150">
        <v>1.64</v>
      </c>
      <c r="AH18" s="143">
        <f>CONVERT((AG18*1000),"g","lbm")</f>
        <v>3.6155810998319922</v>
      </c>
      <c r="AI18" s="143">
        <f>AH18-0.16</f>
        <v>3.455581099831992</v>
      </c>
      <c r="AJ18" s="144"/>
      <c r="AK18" s="153">
        <v>9</v>
      </c>
      <c r="AL18" s="150">
        <v>1.51</v>
      </c>
      <c r="AM18" s="143">
        <f>CONVERT((AL18*1000),"g","lbm")</f>
        <v>3.3289801589916515</v>
      </c>
      <c r="AN18" s="143">
        <f>AM18-0.16</f>
        <v>3.1689801589916513</v>
      </c>
      <c r="AO18" s="142"/>
      <c r="AP18" s="153">
        <v>9</v>
      </c>
      <c r="AQ18" s="150">
        <v>1.63</v>
      </c>
      <c r="AR18" s="143">
        <f>CONVERT((AQ18*1000),"g","lbm")</f>
        <v>3.5935348736135047</v>
      </c>
      <c r="AS18" s="143">
        <f>AR18-0.16</f>
        <v>3.4335348736135045</v>
      </c>
      <c r="AT18" s="144"/>
      <c r="AU18" s="153">
        <v>9</v>
      </c>
      <c r="AV18" s="150">
        <v>1.46</v>
      </c>
      <c r="AW18" s="143">
        <f>CONVERT((AV18*1000),"g","lbm")</f>
        <v>3.2187490278992126</v>
      </c>
      <c r="AX18" s="143">
        <f>AW18-0.16</f>
        <v>3.0587490278992124</v>
      </c>
      <c r="AY18" s="142"/>
      <c r="AZ18" s="153">
        <v>9</v>
      </c>
      <c r="BA18" s="150">
        <v>1.3</v>
      </c>
      <c r="BB18" s="143">
        <f>CONVERT((BA18*1000),"g","lbm")</f>
        <v>2.8660094084034085</v>
      </c>
      <c r="BC18" s="143">
        <f>BB18-0.16</f>
        <v>2.7060094084034083</v>
      </c>
      <c r="BD18" s="152"/>
      <c r="BE18" s="143"/>
      <c r="BF18" s="142"/>
      <c r="BG18" s="152"/>
      <c r="BH18" s="143"/>
      <c r="BI18" s="144"/>
      <c r="BJ18" s="152"/>
      <c r="BK18" s="143"/>
      <c r="BL18" s="142"/>
      <c r="BM18" s="152"/>
      <c r="BN18" s="143"/>
      <c r="BO18" s="144"/>
      <c r="BP18" s="152"/>
      <c r="BQ18" s="143"/>
      <c r="BR18" s="144"/>
      <c r="BS18" s="152"/>
      <c r="BT18" s="143"/>
      <c r="BU18" s="142"/>
      <c r="BV18" s="142"/>
      <c r="BW18" s="142"/>
      <c r="BX18" s="142"/>
      <c r="BY18" s="142"/>
      <c r="BZ18" s="142"/>
      <c r="CA18" s="142"/>
      <c r="CB18" s="142"/>
      <c r="CC18" s="142"/>
      <c r="CD18" s="142"/>
      <c r="CE18" s="142"/>
      <c r="CF18" s="142"/>
      <c r="CG18" s="142"/>
      <c r="CH18" s="142"/>
      <c r="CI18" s="142"/>
    </row>
    <row r="19" spans="2:87" ht="20.100000000000001" customHeight="1" x14ac:dyDescent="0.25">
      <c r="B19" s="151">
        <v>10</v>
      </c>
      <c r="C19" s="150">
        <v>1.62</v>
      </c>
      <c r="D19" s="143">
        <f>CONVERT((C19*1000),"g","lbm")</f>
        <v>3.5714886473950167</v>
      </c>
      <c r="E19" s="143">
        <f>D19-0.16</f>
        <v>3.4114886473950166</v>
      </c>
      <c r="F19" s="144"/>
      <c r="G19" s="151">
        <v>10</v>
      </c>
      <c r="H19" s="150">
        <v>1.34</v>
      </c>
      <c r="I19" s="143">
        <f>CONVERT((H19*1000),"g","lbm")</f>
        <v>2.9541943132773594</v>
      </c>
      <c r="J19" s="143">
        <f>I19-0.16</f>
        <v>2.7941943132773592</v>
      </c>
      <c r="K19" s="142"/>
      <c r="L19" s="151">
        <v>10</v>
      </c>
      <c r="M19" s="150">
        <v>1.42</v>
      </c>
      <c r="N19" s="143">
        <f>CONVERT((M19*1000),"g","lbm")</f>
        <v>3.1305641230252617</v>
      </c>
      <c r="O19" s="143">
        <f>N19-0.16</f>
        <v>2.9705641230252615</v>
      </c>
      <c r="P19" s="144"/>
      <c r="Q19" s="151">
        <v>10</v>
      </c>
      <c r="R19" s="150">
        <v>1.64</v>
      </c>
      <c r="S19" s="143">
        <f>CONVERT((R19*1000),"g","lbm")</f>
        <v>3.6155810998319922</v>
      </c>
      <c r="T19" s="143">
        <f>S19-0.16</f>
        <v>3.455581099831992</v>
      </c>
      <c r="U19" s="142"/>
      <c r="V19" s="151">
        <v>10</v>
      </c>
      <c r="W19" s="150">
        <v>1.67</v>
      </c>
      <c r="X19" s="143">
        <f>CONVERT((W19*1000),"g","lbm")</f>
        <v>3.6817197784874556</v>
      </c>
      <c r="Y19" s="143">
        <f>X19-0.16</f>
        <v>3.5217197784874554</v>
      </c>
      <c r="Z19" s="144"/>
      <c r="AA19" s="151">
        <v>10</v>
      </c>
      <c r="AB19" s="150">
        <v>1.48</v>
      </c>
      <c r="AC19" s="143">
        <f>CONVERT((AB19*1000),"g","lbm")</f>
        <v>3.262841480336188</v>
      </c>
      <c r="AD19" s="143">
        <f>AC19-0.16</f>
        <v>3.1028414803361879</v>
      </c>
      <c r="AE19" s="142"/>
      <c r="AF19" s="151">
        <v>10</v>
      </c>
      <c r="AG19" s="150">
        <v>1.62</v>
      </c>
      <c r="AH19" s="143">
        <f>CONVERT((AG19*1000),"g","lbm")</f>
        <v>3.5714886473950167</v>
      </c>
      <c r="AI19" s="143">
        <f>AH19-0.16</f>
        <v>3.4114886473950166</v>
      </c>
      <c r="AJ19" s="144"/>
      <c r="AK19" s="151">
        <v>10</v>
      </c>
      <c r="AL19" s="150">
        <v>1.42</v>
      </c>
      <c r="AM19" s="143">
        <f>CONVERT((AL19*1000),"g","lbm")</f>
        <v>3.1305641230252617</v>
      </c>
      <c r="AN19" s="143">
        <f>AM19-0.16</f>
        <v>2.9705641230252615</v>
      </c>
      <c r="AO19" s="142"/>
      <c r="AP19" s="151">
        <v>10</v>
      </c>
      <c r="AQ19" s="150">
        <v>1.46</v>
      </c>
      <c r="AR19" s="143">
        <f>CONVERT((AQ19*1000),"g","lbm")</f>
        <v>3.2187490278992126</v>
      </c>
      <c r="AS19" s="143">
        <f>AR19-0.16</f>
        <v>3.0587490278992124</v>
      </c>
      <c r="AT19" s="144"/>
      <c r="AU19" s="151">
        <v>10</v>
      </c>
      <c r="AV19" s="150">
        <v>1.51</v>
      </c>
      <c r="AW19" s="143">
        <f>CONVERT((AV19*1000),"g","lbm")</f>
        <v>3.3289801589916515</v>
      </c>
      <c r="AX19" s="143">
        <f>AW19-0.16</f>
        <v>3.1689801589916513</v>
      </c>
      <c r="AY19" s="142"/>
      <c r="AZ19" s="151">
        <v>10</v>
      </c>
      <c r="BA19" s="150">
        <v>1.57</v>
      </c>
      <c r="BB19" s="143">
        <f>CONVERT((BA19*1000),"g","lbm")</f>
        <v>3.4612575163025778</v>
      </c>
      <c r="BC19" s="143">
        <f>BB19-0.16</f>
        <v>3.3012575163025777</v>
      </c>
      <c r="BD19" s="144"/>
      <c r="BE19" s="143"/>
      <c r="BF19" s="142"/>
      <c r="BG19" s="144"/>
      <c r="BH19" s="143"/>
      <c r="BI19" s="144"/>
      <c r="BJ19" s="144"/>
      <c r="BK19" s="143"/>
      <c r="BL19" s="142"/>
      <c r="BM19" s="144"/>
      <c r="BN19" s="143"/>
      <c r="BO19" s="144"/>
      <c r="BP19" s="144"/>
      <c r="BQ19" s="143"/>
      <c r="BR19" s="144"/>
      <c r="BS19" s="144"/>
      <c r="BT19" s="143"/>
      <c r="BU19" s="142"/>
      <c r="BV19" s="142"/>
      <c r="BW19" s="142"/>
      <c r="BX19" s="142"/>
      <c r="BY19" s="142"/>
      <c r="BZ19" s="142"/>
      <c r="CA19" s="142"/>
      <c r="CB19" s="142"/>
      <c r="CC19" s="142"/>
      <c r="CD19" s="142"/>
      <c r="CE19" s="142"/>
      <c r="CF19" s="142"/>
      <c r="CG19" s="142"/>
      <c r="CH19" s="142"/>
      <c r="CI19" s="142"/>
    </row>
    <row r="20" spans="2:87" ht="20.100000000000001" customHeight="1" x14ac:dyDescent="0.25">
      <c r="B20" s="149">
        <v>11</v>
      </c>
      <c r="C20" s="148">
        <v>1.71</v>
      </c>
      <c r="D20" s="143">
        <f>CONVERT((C20*1000),"g","lbm")</f>
        <v>3.7699046833614065</v>
      </c>
      <c r="E20" s="143">
        <f>D20-0.16</f>
        <v>3.6099046833614064</v>
      </c>
      <c r="F20" s="144"/>
      <c r="G20" s="149">
        <v>11</v>
      </c>
      <c r="H20" s="148">
        <v>1.27</v>
      </c>
      <c r="I20" s="143">
        <f>CONVERT((H20*1000),"g","lbm")</f>
        <v>2.799870729747945</v>
      </c>
      <c r="J20" s="143">
        <f>I20-0.16</f>
        <v>2.6398707297479449</v>
      </c>
      <c r="K20" s="142"/>
      <c r="L20" s="149">
        <v>11</v>
      </c>
      <c r="M20" s="148">
        <v>1.5</v>
      </c>
      <c r="N20" s="143">
        <f>CONVERT((M20*1000),"g","lbm")</f>
        <v>3.3069339327731635</v>
      </c>
      <c r="O20" s="143">
        <f>N20-0.16</f>
        <v>3.1469339327731634</v>
      </c>
      <c r="P20" s="144"/>
      <c r="Q20" s="149">
        <v>11</v>
      </c>
      <c r="R20" s="148">
        <v>1.6</v>
      </c>
      <c r="S20" s="143">
        <f>CONVERT((R20*1000),"g","lbm")</f>
        <v>3.5273961949580412</v>
      </c>
      <c r="T20" s="143">
        <f>S20-0.16</f>
        <v>3.3673961949580411</v>
      </c>
      <c r="U20" s="142"/>
      <c r="V20" s="149">
        <v>11</v>
      </c>
      <c r="W20" s="148">
        <v>1.95</v>
      </c>
      <c r="X20" s="143">
        <f>CONVERT((W20*1000),"g","lbm")</f>
        <v>4.2990141126051125</v>
      </c>
      <c r="Y20" s="143">
        <f>X20-0.16</f>
        <v>4.1390141126051123</v>
      </c>
      <c r="Z20" s="144"/>
      <c r="AA20" s="149">
        <v>11</v>
      </c>
      <c r="AB20" s="148">
        <v>1.45</v>
      </c>
      <c r="AC20" s="143">
        <f>CONVERT((AB20*1000),"g","lbm")</f>
        <v>3.1967028016807246</v>
      </c>
      <c r="AD20" s="143">
        <f>AC20-0.16</f>
        <v>3.0367028016807245</v>
      </c>
      <c r="AE20" s="142"/>
      <c r="AF20" s="149">
        <v>11</v>
      </c>
      <c r="AG20" s="148">
        <v>1.67</v>
      </c>
      <c r="AH20" s="143">
        <f>CONVERT((AG20*1000),"g","lbm")</f>
        <v>3.6817197784874556</v>
      </c>
      <c r="AI20" s="143">
        <f>AH20-0.16</f>
        <v>3.5217197784874554</v>
      </c>
      <c r="AJ20" s="144"/>
      <c r="AK20" s="149">
        <v>11</v>
      </c>
      <c r="AL20" s="148">
        <v>1.47</v>
      </c>
      <c r="AM20" s="143">
        <f>CONVERT((AL20*1000),"g","lbm")</f>
        <v>3.2407952541177005</v>
      </c>
      <c r="AN20" s="143">
        <f>AM20-0.16</f>
        <v>3.0807952541177004</v>
      </c>
      <c r="AO20" s="142"/>
      <c r="AP20" s="149">
        <v>11</v>
      </c>
      <c r="AQ20" s="148">
        <v>1.76</v>
      </c>
      <c r="AR20" s="143">
        <f>CONVERT((AQ20*1000),"g","lbm")</f>
        <v>3.8801358144538454</v>
      </c>
      <c r="AS20" s="143">
        <f>AR20-0.16</f>
        <v>3.7201358144538452</v>
      </c>
      <c r="AT20" s="144"/>
      <c r="AU20" s="149">
        <v>11</v>
      </c>
      <c r="AV20" s="148">
        <v>1.33</v>
      </c>
      <c r="AW20" s="143">
        <f>CONVERT((AV20*1000),"g","lbm")</f>
        <v>2.9321480870588719</v>
      </c>
      <c r="AX20" s="143">
        <f>AW20-0.16</f>
        <v>2.7721480870588717</v>
      </c>
      <c r="AY20" s="142"/>
      <c r="AZ20" s="149">
        <v>11</v>
      </c>
      <c r="BA20" s="148">
        <v>2.04</v>
      </c>
      <c r="BB20" s="143">
        <f>CONVERT((BA20*1000),"g","lbm")</f>
        <v>4.4974301485715023</v>
      </c>
      <c r="BC20" s="143">
        <f>BB20-0.16</f>
        <v>4.3374301485715021</v>
      </c>
      <c r="BD20" s="144"/>
      <c r="BE20" s="143"/>
      <c r="BF20" s="142"/>
      <c r="BG20" s="144"/>
      <c r="BH20" s="143"/>
      <c r="BI20" s="144"/>
      <c r="BJ20" s="144"/>
      <c r="BK20" s="143"/>
      <c r="BL20" s="142"/>
      <c r="BM20" s="144"/>
      <c r="BN20" s="143"/>
      <c r="BO20" s="144"/>
      <c r="BP20" s="144"/>
      <c r="BQ20" s="143"/>
      <c r="BR20" s="144"/>
      <c r="BS20" s="144"/>
      <c r="BT20" s="143"/>
      <c r="BU20" s="142"/>
      <c r="BV20" s="142"/>
      <c r="BW20" s="142"/>
      <c r="BX20" s="142"/>
      <c r="BY20" s="142"/>
      <c r="BZ20" s="142"/>
      <c r="CA20" s="142"/>
      <c r="CB20" s="142"/>
      <c r="CC20" s="142"/>
      <c r="CD20" s="142"/>
      <c r="CE20" s="142"/>
      <c r="CF20" s="142"/>
      <c r="CG20" s="142"/>
      <c r="CH20" s="142"/>
      <c r="CI20" s="142"/>
    </row>
    <row r="21" spans="2:87" ht="20.100000000000001" customHeight="1" x14ac:dyDescent="0.25">
      <c r="B21" s="144"/>
      <c r="C21" s="143"/>
      <c r="D21" s="143"/>
      <c r="E21" s="143"/>
      <c r="F21" s="144"/>
      <c r="G21" s="144"/>
      <c r="H21" s="143"/>
      <c r="I21" s="143"/>
      <c r="J21" s="143"/>
      <c r="K21" s="142"/>
      <c r="L21" s="144"/>
      <c r="M21" s="143"/>
      <c r="N21" s="143"/>
      <c r="O21" s="143"/>
      <c r="P21" s="144"/>
      <c r="Q21" s="144"/>
      <c r="R21" s="143"/>
      <c r="S21" s="143"/>
      <c r="T21" s="143"/>
      <c r="U21" s="142"/>
      <c r="V21" s="144"/>
      <c r="W21" s="143"/>
      <c r="X21" s="143"/>
      <c r="Y21" s="143"/>
      <c r="Z21" s="144"/>
      <c r="AA21" s="144"/>
      <c r="AB21" s="143"/>
      <c r="AC21" s="143"/>
      <c r="AD21" s="143"/>
      <c r="AE21" s="142"/>
      <c r="AF21" s="144"/>
      <c r="AG21" s="143"/>
      <c r="AH21" s="143"/>
      <c r="AI21" s="143"/>
      <c r="AJ21" s="144"/>
      <c r="AK21" s="144"/>
      <c r="AL21" s="143"/>
      <c r="AM21" s="143"/>
      <c r="AN21" s="143"/>
      <c r="AO21" s="142"/>
      <c r="AP21" s="144"/>
      <c r="AQ21" s="143"/>
      <c r="AR21" s="143"/>
      <c r="AS21" s="143"/>
      <c r="AT21" s="144"/>
      <c r="AU21" s="144"/>
      <c r="AV21" s="143"/>
      <c r="AW21" s="143"/>
      <c r="AX21" s="143"/>
      <c r="AY21" s="142"/>
      <c r="AZ21" s="144"/>
      <c r="BA21" s="143"/>
      <c r="BB21" s="143"/>
      <c r="BC21" s="144"/>
      <c r="BD21" s="144"/>
      <c r="BE21" s="143"/>
      <c r="BF21" s="142"/>
      <c r="BG21" s="144"/>
      <c r="BH21" s="143"/>
      <c r="BI21" s="144"/>
      <c r="BJ21" s="144"/>
      <c r="BK21" s="143"/>
      <c r="BL21" s="142"/>
      <c r="BM21" s="144"/>
      <c r="BN21" s="143"/>
      <c r="BO21" s="144"/>
      <c r="BP21" s="144"/>
      <c r="BQ21" s="143"/>
      <c r="BR21" s="144"/>
      <c r="BS21" s="144"/>
      <c r="BT21" s="143"/>
      <c r="BU21" s="142"/>
      <c r="BV21" s="142"/>
      <c r="BW21" s="142"/>
      <c r="BX21" s="142"/>
      <c r="BY21" s="142"/>
      <c r="BZ21" s="142"/>
      <c r="CA21" s="142"/>
      <c r="CB21" s="142"/>
      <c r="CC21" s="142"/>
      <c r="CD21" s="142"/>
      <c r="CE21" s="142"/>
      <c r="CF21" s="142"/>
      <c r="CG21" s="142"/>
      <c r="CH21" s="142"/>
      <c r="CI21" s="142"/>
    </row>
    <row r="22" spans="2:87" ht="20.100000000000001" customHeight="1" x14ac:dyDescent="0.25">
      <c r="B22" s="144"/>
      <c r="C22" s="143"/>
      <c r="D22" s="143"/>
      <c r="E22" s="143"/>
      <c r="F22" s="144"/>
      <c r="G22" s="144"/>
      <c r="H22" s="143"/>
      <c r="I22" s="143"/>
      <c r="J22" s="143"/>
      <c r="K22" s="142"/>
      <c r="L22" s="144"/>
      <c r="M22" s="143"/>
      <c r="N22" s="143"/>
      <c r="O22" s="143"/>
      <c r="P22" s="144"/>
      <c r="Q22" s="144"/>
      <c r="R22" s="143"/>
      <c r="S22" s="143"/>
      <c r="T22" s="143"/>
      <c r="U22" s="142"/>
      <c r="V22" s="144"/>
      <c r="W22" s="143"/>
      <c r="X22" s="143"/>
      <c r="Y22" s="143"/>
      <c r="Z22" s="144"/>
      <c r="AA22" s="144"/>
      <c r="AB22" s="143"/>
      <c r="AC22" s="143"/>
      <c r="AD22" s="143"/>
      <c r="AE22" s="142"/>
      <c r="AF22" s="144"/>
      <c r="AG22" s="143"/>
      <c r="AH22" s="143"/>
      <c r="AI22" s="143"/>
      <c r="AJ22" s="144"/>
      <c r="AK22" s="144"/>
      <c r="AL22" s="143"/>
      <c r="AM22" s="143"/>
      <c r="AN22" s="143"/>
      <c r="AO22" s="142"/>
      <c r="AP22" s="144"/>
      <c r="AQ22" s="143"/>
      <c r="AR22" s="143"/>
      <c r="AS22" s="143"/>
      <c r="AT22" s="144"/>
      <c r="AU22" s="144"/>
      <c r="AV22" s="143"/>
      <c r="AW22" s="143"/>
      <c r="AX22" s="143"/>
      <c r="AY22" s="142"/>
      <c r="AZ22" s="144"/>
      <c r="BA22" s="143"/>
      <c r="BB22" s="143"/>
      <c r="BC22" s="144"/>
      <c r="BD22" s="144"/>
      <c r="BE22" s="143"/>
      <c r="BF22" s="142"/>
      <c r="BG22" s="144"/>
      <c r="BH22" s="143"/>
      <c r="BI22" s="144"/>
      <c r="BJ22" s="144"/>
      <c r="BK22" s="143"/>
      <c r="BL22" s="142"/>
      <c r="BM22" s="144"/>
      <c r="BN22" s="143"/>
      <c r="BO22" s="144"/>
      <c r="BP22" s="144"/>
      <c r="BQ22" s="143"/>
      <c r="BR22" s="144"/>
      <c r="BS22" s="144"/>
      <c r="BT22" s="143"/>
      <c r="BU22" s="142"/>
      <c r="BV22" s="142"/>
      <c r="BW22" s="142"/>
      <c r="BX22" s="142"/>
      <c r="BY22" s="142"/>
      <c r="BZ22" s="142"/>
      <c r="CA22" s="142"/>
      <c r="CB22" s="142"/>
      <c r="CC22" s="142"/>
      <c r="CD22" s="142"/>
      <c r="CE22" s="142"/>
      <c r="CF22" s="142"/>
      <c r="CG22" s="142"/>
      <c r="CH22" s="142"/>
      <c r="CI22" s="142"/>
    </row>
    <row r="23" spans="2:87" ht="20.100000000000001" customHeight="1" x14ac:dyDescent="0.25">
      <c r="B23" s="144"/>
      <c r="C23" s="143"/>
      <c r="D23" s="143"/>
      <c r="E23" s="143"/>
      <c r="F23" s="144"/>
      <c r="G23" s="144"/>
      <c r="H23" s="143"/>
      <c r="I23" s="143"/>
      <c r="J23" s="143"/>
      <c r="K23" s="142"/>
      <c r="L23" s="144"/>
      <c r="M23" s="143"/>
      <c r="N23" s="143"/>
      <c r="O23" s="143"/>
      <c r="P23" s="144"/>
      <c r="Q23" s="144"/>
      <c r="R23" s="143"/>
      <c r="S23" s="143"/>
      <c r="T23" s="143"/>
      <c r="U23" s="142"/>
      <c r="V23" s="144"/>
      <c r="W23" s="143"/>
      <c r="X23" s="143"/>
      <c r="Y23" s="143"/>
      <c r="Z23" s="144"/>
      <c r="AA23" s="144"/>
      <c r="AB23" s="143"/>
      <c r="AC23" s="143"/>
      <c r="AD23" s="143"/>
      <c r="AE23" s="142"/>
      <c r="AF23" s="144"/>
      <c r="AG23" s="143"/>
      <c r="AH23" s="143"/>
      <c r="AI23" s="143"/>
      <c r="AJ23" s="144"/>
      <c r="AK23" s="144"/>
      <c r="AL23" s="143"/>
      <c r="AM23" s="143"/>
      <c r="AN23" s="143"/>
      <c r="AO23" s="142"/>
      <c r="AP23" s="144"/>
      <c r="AQ23" s="143"/>
      <c r="AR23" s="143"/>
      <c r="AS23" s="143"/>
      <c r="AT23" s="144"/>
      <c r="AU23" s="144"/>
      <c r="AV23" s="143"/>
      <c r="AW23" s="143"/>
      <c r="AX23" s="143"/>
      <c r="AY23" s="142"/>
      <c r="AZ23" s="144"/>
      <c r="BA23" s="143"/>
      <c r="BB23" s="143"/>
      <c r="BC23" s="144"/>
      <c r="BD23" s="144"/>
      <c r="BE23" s="143"/>
      <c r="BF23" s="142"/>
      <c r="BG23" s="144"/>
      <c r="BH23" s="143"/>
      <c r="BI23" s="144"/>
      <c r="BJ23" s="144"/>
      <c r="BK23" s="143"/>
      <c r="BL23" s="142"/>
      <c r="BM23" s="144"/>
      <c r="BN23" s="143"/>
      <c r="BO23" s="144"/>
      <c r="BP23" s="144"/>
      <c r="BQ23" s="143"/>
      <c r="BR23" s="144"/>
      <c r="BS23" s="144"/>
      <c r="BT23" s="143"/>
      <c r="BU23" s="142"/>
      <c r="BV23" s="142"/>
      <c r="BW23" s="142"/>
      <c r="BX23" s="142"/>
      <c r="BY23" s="142"/>
      <c r="BZ23" s="142"/>
      <c r="CA23" s="142"/>
      <c r="CB23" s="142"/>
      <c r="CC23" s="142"/>
      <c r="CD23" s="142"/>
      <c r="CE23" s="142"/>
      <c r="CF23" s="142"/>
      <c r="CG23" s="142"/>
      <c r="CH23" s="142"/>
      <c r="CI23" s="142"/>
    </row>
    <row r="24" spans="2:87" ht="20.100000000000001" customHeight="1" x14ac:dyDescent="0.25">
      <c r="B24" s="144"/>
      <c r="C24" s="143"/>
      <c r="D24" s="143"/>
      <c r="E24" s="143"/>
      <c r="F24" s="144"/>
      <c r="G24" s="144"/>
      <c r="H24" s="143"/>
      <c r="I24" s="143"/>
      <c r="J24" s="143"/>
      <c r="K24" s="142"/>
      <c r="L24" s="144"/>
      <c r="M24" s="143"/>
      <c r="N24" s="143"/>
      <c r="O24" s="143"/>
      <c r="P24" s="144"/>
      <c r="Q24" s="144"/>
      <c r="R24" s="143"/>
      <c r="S24" s="143"/>
      <c r="T24" s="143"/>
      <c r="U24" s="142"/>
      <c r="V24" s="144"/>
      <c r="W24" s="143"/>
      <c r="X24" s="143"/>
      <c r="Y24" s="143"/>
      <c r="Z24" s="144"/>
      <c r="AA24" s="144"/>
      <c r="AB24" s="143"/>
      <c r="AC24" s="143"/>
      <c r="AD24" s="143"/>
      <c r="AE24" s="142"/>
      <c r="AF24" s="144"/>
      <c r="AG24" s="143"/>
      <c r="AH24" s="143"/>
      <c r="AI24" s="143"/>
      <c r="AJ24" s="144"/>
      <c r="AK24" s="144"/>
      <c r="AL24" s="143"/>
      <c r="AM24" s="143"/>
      <c r="AN24" s="143"/>
      <c r="AO24" s="142"/>
      <c r="AP24" s="144"/>
      <c r="AQ24" s="143"/>
      <c r="AR24" s="143"/>
      <c r="AS24" s="143"/>
      <c r="AT24" s="144"/>
      <c r="AU24" s="144"/>
      <c r="AV24" s="143"/>
      <c r="AW24" s="143"/>
      <c r="AX24" s="143"/>
      <c r="AY24" s="142"/>
      <c r="AZ24" s="144"/>
      <c r="BA24" s="143"/>
      <c r="BB24" s="143"/>
      <c r="BC24" s="144"/>
      <c r="BD24" s="144"/>
      <c r="BE24" s="143"/>
      <c r="BF24" s="142"/>
      <c r="BG24" s="144"/>
      <c r="BH24" s="143"/>
      <c r="BI24" s="144"/>
      <c r="BJ24" s="144"/>
      <c r="BK24" s="143"/>
      <c r="BL24" s="142"/>
      <c r="BM24" s="144"/>
      <c r="BN24" s="143"/>
      <c r="BO24" s="144"/>
      <c r="BP24" s="144"/>
      <c r="BQ24" s="143"/>
      <c r="BR24" s="144"/>
      <c r="BS24" s="144"/>
      <c r="BT24" s="143"/>
      <c r="BU24" s="142"/>
      <c r="BV24" s="142"/>
      <c r="BW24" s="142"/>
      <c r="BX24" s="142"/>
      <c r="BY24" s="142"/>
      <c r="BZ24" s="142"/>
      <c r="CA24" s="142"/>
      <c r="CB24" s="142"/>
      <c r="CC24" s="142"/>
      <c r="CD24" s="142"/>
      <c r="CE24" s="142"/>
      <c r="CF24" s="142"/>
      <c r="CG24" s="142"/>
      <c r="CH24" s="142"/>
      <c r="CI24" s="142"/>
    </row>
    <row r="25" spans="2:87" ht="20.100000000000001" customHeight="1" x14ac:dyDescent="0.25">
      <c r="B25" s="144"/>
      <c r="C25" s="143"/>
      <c r="D25" s="143"/>
      <c r="E25" s="143"/>
      <c r="F25" s="144"/>
      <c r="G25" s="144"/>
      <c r="H25" s="143"/>
      <c r="I25" s="143"/>
      <c r="J25" s="143"/>
      <c r="K25" s="142"/>
      <c r="L25" s="144"/>
      <c r="M25" s="143"/>
      <c r="N25" s="143"/>
      <c r="O25" s="143"/>
      <c r="P25" s="144"/>
      <c r="Q25" s="144"/>
      <c r="R25" s="143"/>
      <c r="S25" s="143"/>
      <c r="T25" s="143"/>
      <c r="U25" s="142"/>
      <c r="V25" s="144"/>
      <c r="W25" s="143"/>
      <c r="X25" s="143"/>
      <c r="Y25" s="143"/>
      <c r="Z25" s="144"/>
      <c r="AA25" s="144"/>
      <c r="AB25" s="143"/>
      <c r="AC25" s="143"/>
      <c r="AD25" s="143"/>
      <c r="AE25" s="142"/>
      <c r="AF25" s="144"/>
      <c r="AG25" s="143"/>
      <c r="AH25" s="143"/>
      <c r="AI25" s="143"/>
      <c r="AJ25" s="144"/>
      <c r="AK25" s="144"/>
      <c r="AL25" s="143"/>
      <c r="AM25" s="143"/>
      <c r="AN25" s="143"/>
      <c r="AO25" s="142"/>
      <c r="AP25" s="144"/>
      <c r="AQ25" s="143"/>
      <c r="AR25" s="143"/>
      <c r="AS25" s="143"/>
      <c r="AT25" s="144"/>
      <c r="AU25" s="144"/>
      <c r="AV25" s="143"/>
      <c r="AW25" s="143"/>
      <c r="AX25" s="143"/>
      <c r="AY25" s="142"/>
      <c r="AZ25" s="144"/>
      <c r="BA25" s="143"/>
      <c r="BB25" s="143"/>
      <c r="BC25" s="144"/>
      <c r="BD25" s="144"/>
      <c r="BE25" s="143"/>
      <c r="BF25" s="142"/>
      <c r="BG25" s="144"/>
      <c r="BH25" s="143"/>
      <c r="BI25" s="144"/>
      <c r="BJ25" s="144"/>
      <c r="BK25" s="143"/>
      <c r="BL25" s="142"/>
      <c r="BM25" s="144"/>
      <c r="BN25" s="143"/>
      <c r="BO25" s="144"/>
      <c r="BP25" s="144"/>
      <c r="BQ25" s="143"/>
      <c r="BR25" s="144"/>
      <c r="BS25" s="144"/>
      <c r="BT25" s="143"/>
      <c r="BU25" s="142"/>
      <c r="BV25" s="142"/>
      <c r="BW25" s="142"/>
      <c r="BX25" s="142"/>
      <c r="BY25" s="142"/>
      <c r="BZ25" s="142"/>
      <c r="CA25" s="142"/>
      <c r="CB25" s="142"/>
      <c r="CC25" s="142"/>
      <c r="CD25" s="142"/>
      <c r="CE25" s="142"/>
      <c r="CF25" s="142"/>
      <c r="CG25" s="142"/>
      <c r="CH25" s="142"/>
      <c r="CI25" s="142"/>
    </row>
    <row r="26" spans="2:87" ht="20.100000000000001" customHeight="1" x14ac:dyDescent="0.25">
      <c r="B26" s="144"/>
      <c r="C26" s="143"/>
      <c r="D26" s="143"/>
      <c r="E26" s="143"/>
      <c r="F26" s="144"/>
      <c r="G26" s="144"/>
      <c r="H26" s="143"/>
      <c r="I26" s="143"/>
      <c r="J26" s="143"/>
      <c r="K26" s="142"/>
      <c r="L26" s="144"/>
      <c r="M26" s="143"/>
      <c r="N26" s="143"/>
      <c r="O26" s="143"/>
      <c r="P26" s="144"/>
      <c r="Q26" s="144"/>
      <c r="R26" s="143"/>
      <c r="S26" s="143"/>
      <c r="T26" s="143"/>
      <c r="U26" s="142"/>
      <c r="V26" s="144"/>
      <c r="W26" s="143"/>
      <c r="X26" s="143"/>
      <c r="Y26" s="143"/>
      <c r="Z26" s="144"/>
      <c r="AA26" s="144"/>
      <c r="AB26" s="143"/>
      <c r="AC26" s="143"/>
      <c r="AD26" s="143"/>
      <c r="AE26" s="142"/>
      <c r="AF26" s="144"/>
      <c r="AG26" s="143"/>
      <c r="AH26" s="143"/>
      <c r="AI26" s="143"/>
      <c r="AJ26" s="144"/>
      <c r="AK26" s="144"/>
      <c r="AL26" s="143"/>
      <c r="AM26" s="143"/>
      <c r="AN26" s="143"/>
      <c r="AO26" s="142"/>
      <c r="AP26" s="144"/>
      <c r="AQ26" s="143"/>
      <c r="AR26" s="143"/>
      <c r="AS26" s="143"/>
      <c r="AT26" s="144"/>
      <c r="AU26" s="144"/>
      <c r="AV26" s="143"/>
      <c r="AW26" s="143"/>
      <c r="AX26" s="143"/>
      <c r="AY26" s="142"/>
      <c r="AZ26" s="144"/>
      <c r="BA26" s="143"/>
      <c r="BB26" s="143"/>
      <c r="BC26" s="144"/>
      <c r="BD26" s="144"/>
      <c r="BE26" s="143"/>
      <c r="BF26" s="142"/>
      <c r="BG26" s="144"/>
      <c r="BH26" s="143"/>
      <c r="BI26" s="144"/>
      <c r="BJ26" s="144"/>
      <c r="BK26" s="143"/>
      <c r="BL26" s="142"/>
      <c r="BM26" s="144"/>
      <c r="BN26" s="143"/>
      <c r="BO26" s="144"/>
      <c r="BP26" s="144"/>
      <c r="BQ26" s="143"/>
      <c r="BR26" s="144"/>
      <c r="BS26" s="144"/>
      <c r="BT26" s="143"/>
      <c r="BU26" s="142"/>
      <c r="BV26" s="142"/>
      <c r="BW26" s="142"/>
      <c r="BX26" s="142"/>
      <c r="BY26" s="142"/>
      <c r="BZ26" s="142"/>
      <c r="CA26" s="142"/>
      <c r="CB26" s="142"/>
      <c r="CC26" s="142"/>
      <c r="CD26" s="142"/>
      <c r="CE26" s="142"/>
      <c r="CF26" s="142"/>
      <c r="CG26" s="142"/>
      <c r="CH26" s="142"/>
      <c r="CI26" s="142"/>
    </row>
    <row r="27" spans="2:87" ht="20.100000000000001" customHeight="1" x14ac:dyDescent="0.25">
      <c r="B27" s="144"/>
      <c r="C27" s="143"/>
      <c r="D27" s="143"/>
      <c r="E27" s="143"/>
      <c r="F27" s="144"/>
      <c r="G27" s="144"/>
      <c r="H27" s="143"/>
      <c r="I27" s="143"/>
      <c r="J27" s="143"/>
      <c r="K27" s="142"/>
      <c r="L27" s="144"/>
      <c r="M27" s="143"/>
      <c r="N27" s="143"/>
      <c r="O27" s="143"/>
      <c r="P27" s="144"/>
      <c r="Q27" s="144"/>
      <c r="R27" s="143"/>
      <c r="S27" s="143"/>
      <c r="T27" s="143"/>
      <c r="U27" s="142"/>
      <c r="V27" s="144"/>
      <c r="W27" s="143"/>
      <c r="X27" s="143"/>
      <c r="Y27" s="143"/>
      <c r="Z27" s="144"/>
      <c r="AA27" s="144"/>
      <c r="AB27" s="143"/>
      <c r="AC27" s="143"/>
      <c r="AD27" s="143"/>
      <c r="AE27" s="142"/>
      <c r="AF27" s="144"/>
      <c r="AG27" s="143"/>
      <c r="AH27" s="143"/>
      <c r="AI27" s="143"/>
      <c r="AJ27" s="144"/>
      <c r="AK27" s="144"/>
      <c r="AL27" s="143"/>
      <c r="AM27" s="143"/>
      <c r="AN27" s="143"/>
      <c r="AO27" s="142"/>
      <c r="AP27" s="144"/>
      <c r="AQ27" s="143"/>
      <c r="AR27" s="143"/>
      <c r="AS27" s="143"/>
      <c r="AT27" s="144"/>
      <c r="AU27" s="144"/>
      <c r="AV27" s="143"/>
      <c r="AW27" s="143"/>
      <c r="AX27" s="143"/>
      <c r="AY27" s="142"/>
      <c r="AZ27" s="144"/>
      <c r="BA27" s="143"/>
      <c r="BB27" s="143"/>
      <c r="BC27" s="144"/>
      <c r="BD27" s="144"/>
      <c r="BE27" s="143"/>
      <c r="BF27" s="142"/>
      <c r="BG27" s="144"/>
      <c r="BH27" s="143"/>
      <c r="BI27" s="144"/>
      <c r="BJ27" s="144"/>
      <c r="BK27" s="143"/>
      <c r="BL27" s="142"/>
      <c r="BM27" s="144"/>
      <c r="BN27" s="143"/>
      <c r="BO27" s="144"/>
      <c r="BP27" s="144"/>
      <c r="BQ27" s="143"/>
      <c r="BR27" s="144"/>
      <c r="BS27" s="144"/>
      <c r="BT27" s="143"/>
      <c r="BU27" s="142"/>
      <c r="BV27" s="142"/>
      <c r="BW27" s="142"/>
      <c r="BX27" s="142"/>
      <c r="BY27" s="142"/>
      <c r="BZ27" s="142"/>
      <c r="CA27" s="142"/>
      <c r="CB27" s="142"/>
      <c r="CC27" s="142"/>
      <c r="CD27" s="142"/>
      <c r="CE27" s="142"/>
      <c r="CF27" s="142"/>
      <c r="CG27" s="142"/>
      <c r="CH27" s="142"/>
      <c r="CI27" s="142"/>
    </row>
    <row r="28" spans="2:87" ht="20.100000000000001" customHeight="1" x14ac:dyDescent="0.25">
      <c r="B28" s="144"/>
      <c r="C28" s="143"/>
      <c r="D28" s="143"/>
      <c r="E28" s="143"/>
      <c r="F28" s="144"/>
      <c r="G28" s="144"/>
      <c r="H28" s="143"/>
      <c r="I28" s="143"/>
      <c r="J28" s="143"/>
      <c r="K28" s="142"/>
      <c r="L28" s="144"/>
      <c r="M28" s="143"/>
      <c r="N28" s="143"/>
      <c r="O28" s="143"/>
      <c r="P28" s="144"/>
      <c r="Q28" s="144"/>
      <c r="R28" s="143"/>
      <c r="S28" s="143"/>
      <c r="T28" s="143"/>
      <c r="U28" s="142"/>
      <c r="V28" s="144"/>
      <c r="W28" s="143"/>
      <c r="X28" s="143"/>
      <c r="Y28" s="143"/>
      <c r="Z28" s="144"/>
      <c r="AA28" s="144"/>
      <c r="AB28" s="143"/>
      <c r="AC28" s="143"/>
      <c r="AD28" s="143"/>
      <c r="AE28" s="142"/>
      <c r="AF28" s="144"/>
      <c r="AG28" s="143"/>
      <c r="AH28" s="143"/>
      <c r="AI28" s="143"/>
      <c r="AJ28" s="144"/>
      <c r="AK28" s="144"/>
      <c r="AL28" s="143"/>
      <c r="AM28" s="143"/>
      <c r="AN28" s="143"/>
      <c r="AO28" s="142"/>
      <c r="AP28" s="144"/>
      <c r="AQ28" s="143"/>
      <c r="AR28" s="143"/>
      <c r="AS28" s="143"/>
      <c r="AT28" s="144"/>
      <c r="AU28" s="144"/>
      <c r="AV28" s="143"/>
      <c r="AW28" s="143"/>
      <c r="AX28" s="143"/>
      <c r="AY28" s="142"/>
      <c r="AZ28" s="144"/>
      <c r="BA28" s="143"/>
      <c r="BB28" s="143"/>
      <c r="BC28" s="144"/>
      <c r="BD28" s="144"/>
      <c r="BE28" s="143"/>
      <c r="BF28" s="142"/>
      <c r="BG28" s="144"/>
      <c r="BH28" s="143"/>
      <c r="BI28" s="144"/>
      <c r="BJ28" s="144"/>
      <c r="BK28" s="143"/>
      <c r="BL28" s="142"/>
      <c r="BM28" s="144"/>
      <c r="BN28" s="143"/>
      <c r="BO28" s="144"/>
      <c r="BP28" s="144"/>
      <c r="BQ28" s="143"/>
      <c r="BR28" s="144"/>
      <c r="BS28" s="144"/>
      <c r="BT28" s="143"/>
      <c r="BU28" s="142"/>
      <c r="BV28" s="142"/>
      <c r="BW28" s="142"/>
      <c r="BX28" s="142"/>
      <c r="BY28" s="142"/>
      <c r="BZ28" s="142"/>
      <c r="CA28" s="142"/>
      <c r="CB28" s="142"/>
      <c r="CC28" s="142"/>
      <c r="CD28" s="142"/>
      <c r="CE28" s="142"/>
      <c r="CF28" s="142"/>
      <c r="CG28" s="142"/>
      <c r="CH28" s="142"/>
      <c r="CI28" s="142"/>
    </row>
    <row r="29" spans="2:87" ht="20.100000000000001" customHeight="1" x14ac:dyDescent="0.25">
      <c r="B29" s="144"/>
      <c r="C29" s="143"/>
      <c r="D29" s="143"/>
      <c r="E29" s="143"/>
      <c r="F29" s="144"/>
      <c r="G29" s="144"/>
      <c r="H29" s="143"/>
      <c r="I29" s="143"/>
      <c r="J29" s="143"/>
      <c r="K29" s="142"/>
      <c r="L29" s="144"/>
      <c r="M29" s="143"/>
      <c r="N29" s="143"/>
      <c r="O29" s="143"/>
      <c r="P29" s="144"/>
      <c r="Q29" s="144"/>
      <c r="R29" s="143"/>
      <c r="S29" s="143"/>
      <c r="T29" s="143"/>
      <c r="U29" s="142"/>
      <c r="V29" s="144"/>
      <c r="W29" s="143"/>
      <c r="X29" s="143"/>
      <c r="Y29" s="143"/>
      <c r="Z29" s="144"/>
      <c r="AA29" s="144"/>
      <c r="AB29" s="143"/>
      <c r="AC29" s="143"/>
      <c r="AD29" s="143"/>
      <c r="AE29" s="142"/>
      <c r="AF29" s="144"/>
      <c r="AG29" s="143"/>
      <c r="AH29" s="143"/>
      <c r="AI29" s="143"/>
      <c r="AJ29" s="144"/>
      <c r="AK29" s="144"/>
      <c r="AL29" s="143"/>
      <c r="AM29" s="143"/>
      <c r="AN29" s="143"/>
      <c r="AO29" s="142"/>
      <c r="AP29" s="144"/>
      <c r="AQ29" s="143"/>
      <c r="AR29" s="143"/>
      <c r="AS29" s="143"/>
      <c r="AT29" s="144"/>
      <c r="AU29" s="144"/>
      <c r="AV29" s="143"/>
      <c r="AW29" s="143"/>
      <c r="AX29" s="143"/>
      <c r="AY29" s="142"/>
      <c r="AZ29" s="144"/>
      <c r="BA29" s="143"/>
      <c r="BB29" s="143"/>
      <c r="BC29" s="144"/>
      <c r="BD29" s="144"/>
      <c r="BE29" s="143"/>
      <c r="BF29" s="142"/>
      <c r="BG29" s="144"/>
      <c r="BH29" s="143"/>
      <c r="BI29" s="144"/>
      <c r="BJ29" s="144"/>
      <c r="BK29" s="143"/>
      <c r="BL29" s="142"/>
      <c r="BM29" s="144"/>
      <c r="BN29" s="143"/>
      <c r="BO29" s="144"/>
      <c r="BP29" s="144"/>
      <c r="BQ29" s="143"/>
      <c r="BR29" s="144"/>
      <c r="BS29" s="144"/>
      <c r="BT29" s="143"/>
      <c r="BU29" s="142"/>
      <c r="BV29" s="142"/>
      <c r="BW29" s="142"/>
      <c r="BX29" s="142"/>
      <c r="BY29" s="142"/>
      <c r="BZ29" s="142"/>
      <c r="CA29" s="142"/>
      <c r="CB29" s="142"/>
      <c r="CC29" s="142"/>
      <c r="CD29" s="142"/>
      <c r="CE29" s="142"/>
      <c r="CF29" s="142"/>
      <c r="CG29" s="142"/>
      <c r="CH29" s="142"/>
      <c r="CI29" s="142"/>
    </row>
    <row r="30" spans="2:87" ht="20.100000000000001" customHeight="1" x14ac:dyDescent="0.25">
      <c r="B30" s="144"/>
      <c r="C30" s="143"/>
      <c r="D30" s="143"/>
      <c r="E30" s="143"/>
      <c r="F30" s="142"/>
      <c r="G30" s="144"/>
      <c r="H30" s="143"/>
      <c r="I30" s="143"/>
      <c r="J30" s="143"/>
      <c r="K30" s="142"/>
      <c r="L30" s="144"/>
      <c r="M30" s="143"/>
      <c r="N30" s="143"/>
      <c r="O30" s="143"/>
      <c r="P30" s="142"/>
      <c r="Q30" s="144"/>
      <c r="R30" s="143"/>
      <c r="S30" s="143"/>
      <c r="T30" s="143"/>
      <c r="U30" s="142"/>
      <c r="V30" s="144"/>
      <c r="W30" s="143"/>
      <c r="X30" s="143"/>
      <c r="Y30" s="143"/>
      <c r="Z30" s="142"/>
      <c r="AA30" s="144"/>
      <c r="AB30" s="143"/>
      <c r="AC30" s="143"/>
      <c r="AD30" s="143"/>
      <c r="AE30" s="142"/>
      <c r="AF30" s="144"/>
      <c r="AG30" s="143"/>
      <c r="AH30" s="143"/>
      <c r="AI30" s="143"/>
      <c r="AJ30" s="142"/>
      <c r="AK30" s="144"/>
      <c r="AL30" s="143"/>
      <c r="AM30" s="143"/>
      <c r="AN30" s="143"/>
      <c r="AO30" s="142"/>
      <c r="AP30" s="144"/>
      <c r="AQ30" s="143"/>
      <c r="AR30" s="143"/>
      <c r="AS30" s="143"/>
      <c r="AT30" s="142"/>
      <c r="AU30" s="144"/>
      <c r="AV30" s="143"/>
      <c r="AW30" s="143"/>
      <c r="AX30" s="143"/>
      <c r="AY30" s="142"/>
      <c r="AZ30" s="144"/>
      <c r="BA30" s="143"/>
      <c r="BB30" s="143"/>
      <c r="BC30" s="142"/>
      <c r="BD30" s="144"/>
      <c r="BE30" s="143"/>
      <c r="BF30" s="142"/>
      <c r="BG30" s="144"/>
      <c r="BH30" s="143"/>
      <c r="BI30" s="142"/>
      <c r="BJ30" s="144"/>
      <c r="BK30" s="143"/>
      <c r="BL30" s="142"/>
      <c r="BM30" s="144"/>
      <c r="BN30" s="143"/>
      <c r="BO30" s="142"/>
      <c r="BP30" s="144"/>
      <c r="BQ30" s="143"/>
      <c r="BR30" s="142"/>
      <c r="BS30" s="144"/>
      <c r="BT30" s="143"/>
      <c r="BU30" s="142"/>
      <c r="BV30" s="142"/>
      <c r="BW30" s="142"/>
      <c r="BX30" s="142"/>
      <c r="BY30" s="142"/>
      <c r="BZ30" s="142"/>
      <c r="CA30" s="142"/>
      <c r="CB30" s="142"/>
      <c r="CC30" s="142"/>
      <c r="CD30" s="142"/>
      <c r="CE30" s="142"/>
      <c r="CF30" s="142"/>
      <c r="CG30" s="142"/>
      <c r="CH30" s="142"/>
      <c r="CI30" s="142"/>
    </row>
    <row r="31" spans="2:87" ht="20.100000000000001" customHeight="1" x14ac:dyDescent="0.25">
      <c r="B31" s="144"/>
      <c r="C31" s="143"/>
      <c r="D31" s="143"/>
      <c r="E31" s="143"/>
      <c r="F31" s="142"/>
      <c r="G31" s="144"/>
      <c r="H31" s="143"/>
      <c r="I31" s="143"/>
      <c r="J31" s="143"/>
      <c r="K31" s="142"/>
      <c r="L31" s="144"/>
      <c r="M31" s="143"/>
      <c r="N31" s="143"/>
      <c r="O31" s="143"/>
      <c r="P31" s="142"/>
      <c r="Q31" s="144"/>
      <c r="R31" s="143"/>
      <c r="S31" s="143"/>
      <c r="T31" s="143"/>
      <c r="U31" s="142"/>
      <c r="V31" s="144"/>
      <c r="W31" s="143"/>
      <c r="X31" s="143"/>
      <c r="Y31" s="143"/>
      <c r="Z31" s="142"/>
      <c r="AA31" s="144"/>
      <c r="AB31" s="143"/>
      <c r="AC31" s="143"/>
      <c r="AD31" s="143"/>
      <c r="AE31" s="142"/>
      <c r="AF31" s="144"/>
      <c r="AG31" s="143"/>
      <c r="AH31" s="143"/>
      <c r="AI31" s="143"/>
      <c r="AJ31" s="142"/>
      <c r="AK31" s="144"/>
      <c r="AL31" s="143"/>
      <c r="AM31" s="143"/>
      <c r="AN31" s="143"/>
      <c r="AO31" s="142"/>
      <c r="AP31" s="144"/>
      <c r="AQ31" s="143"/>
      <c r="AR31" s="143"/>
      <c r="AS31" s="143"/>
      <c r="AT31" s="142"/>
      <c r="AU31" s="144"/>
      <c r="AV31" s="143"/>
      <c r="AW31" s="143"/>
      <c r="AX31" s="143"/>
      <c r="AY31" s="142"/>
      <c r="AZ31" s="144"/>
      <c r="BA31" s="143"/>
      <c r="BB31" s="143"/>
      <c r="BC31" s="142"/>
      <c r="BD31" s="144"/>
      <c r="BE31" s="143"/>
      <c r="BF31" s="142"/>
      <c r="BG31" s="144"/>
      <c r="BH31" s="143"/>
      <c r="BI31" s="142"/>
      <c r="BJ31" s="147"/>
      <c r="BK31" s="146"/>
      <c r="BL31" s="145"/>
      <c r="BM31" s="144"/>
      <c r="BN31" s="143"/>
      <c r="BO31" s="142"/>
      <c r="BP31" s="144"/>
      <c r="BQ31" s="143"/>
      <c r="BR31" s="142"/>
      <c r="BS31" s="144"/>
      <c r="BT31" s="143"/>
      <c r="BU31" s="142"/>
      <c r="BV31" s="142"/>
      <c r="BW31" s="142"/>
      <c r="BX31" s="142"/>
      <c r="BY31" s="142"/>
      <c r="BZ31" s="142"/>
      <c r="CA31" s="142"/>
      <c r="CB31" s="142"/>
      <c r="CC31" s="142"/>
      <c r="CD31" s="142"/>
      <c r="CE31" s="142"/>
      <c r="CF31" s="142"/>
      <c r="CG31" s="142"/>
      <c r="CH31" s="142"/>
      <c r="CI31" s="142"/>
    </row>
    <row r="32" spans="2:87" ht="20.100000000000001" customHeight="1" x14ac:dyDescent="0.25">
      <c r="B32" s="144"/>
      <c r="C32" s="143"/>
      <c r="D32" s="143"/>
      <c r="E32" s="143"/>
      <c r="F32" s="142"/>
      <c r="G32" s="144"/>
      <c r="H32" s="143"/>
      <c r="I32" s="143"/>
      <c r="J32" s="143"/>
      <c r="K32" s="142"/>
      <c r="L32" s="144"/>
      <c r="M32" s="143"/>
      <c r="N32" s="143"/>
      <c r="O32" s="143"/>
      <c r="P32" s="142"/>
      <c r="Q32" s="144"/>
      <c r="R32" s="143"/>
      <c r="S32" s="143"/>
      <c r="T32" s="143"/>
      <c r="U32" s="142"/>
      <c r="V32" s="144"/>
      <c r="W32" s="143"/>
      <c r="X32" s="143"/>
      <c r="Y32" s="143"/>
      <c r="Z32" s="142"/>
      <c r="AA32" s="144"/>
      <c r="AB32" s="143"/>
      <c r="AC32" s="143"/>
      <c r="AD32" s="143"/>
      <c r="AE32" s="142"/>
      <c r="AF32" s="144"/>
      <c r="AG32" s="143"/>
      <c r="AH32" s="143"/>
      <c r="AI32" s="143"/>
      <c r="AJ32" s="142"/>
      <c r="AK32" s="144"/>
      <c r="AL32" s="143"/>
      <c r="AM32" s="143"/>
      <c r="AN32" s="143"/>
      <c r="AO32" s="142"/>
      <c r="AP32" s="144"/>
      <c r="AQ32" s="143"/>
      <c r="AR32" s="143"/>
      <c r="AS32" s="143"/>
      <c r="AT32" s="142"/>
      <c r="AU32" s="144"/>
      <c r="AV32" s="143"/>
      <c r="AW32" s="143"/>
      <c r="AX32" s="143"/>
      <c r="AY32" s="142"/>
      <c r="AZ32" s="144"/>
      <c r="BA32" s="143"/>
      <c r="BB32" s="143"/>
      <c r="BC32" s="142"/>
      <c r="BD32" s="144"/>
      <c r="BE32" s="143"/>
      <c r="BF32" s="142"/>
      <c r="BG32" s="144"/>
      <c r="BH32" s="143"/>
      <c r="BI32" s="142"/>
      <c r="BJ32" s="144"/>
      <c r="BK32" s="143"/>
      <c r="BL32" s="145"/>
      <c r="BM32" s="144"/>
      <c r="BN32" s="143"/>
      <c r="BO32" s="142"/>
      <c r="BP32" s="144"/>
      <c r="BQ32" s="143"/>
      <c r="BR32" s="142"/>
      <c r="BS32" s="144"/>
      <c r="BT32" s="143"/>
      <c r="BU32" s="142"/>
      <c r="BV32" s="142"/>
      <c r="BW32" s="142"/>
      <c r="BX32" s="142"/>
      <c r="BY32" s="142"/>
      <c r="BZ32" s="142"/>
      <c r="CA32" s="142"/>
      <c r="CB32" s="142"/>
      <c r="CC32" s="142"/>
      <c r="CD32" s="142"/>
      <c r="CE32" s="142"/>
      <c r="CF32" s="142"/>
      <c r="CG32" s="142"/>
      <c r="CH32" s="142"/>
      <c r="CI32" s="142"/>
    </row>
    <row r="33" spans="2:87" ht="20.100000000000001" customHeight="1" x14ac:dyDescent="0.25">
      <c r="B33" s="144"/>
      <c r="C33" s="143"/>
      <c r="D33" s="143"/>
      <c r="E33" s="143"/>
      <c r="F33" s="142"/>
      <c r="G33" s="144"/>
      <c r="H33" s="143"/>
      <c r="I33" s="143"/>
      <c r="J33" s="143"/>
      <c r="K33" s="142"/>
      <c r="L33" s="144"/>
      <c r="M33" s="143"/>
      <c r="N33" s="143"/>
      <c r="O33" s="143"/>
      <c r="P33" s="142"/>
      <c r="Q33" s="144"/>
      <c r="R33" s="143"/>
      <c r="S33" s="143"/>
      <c r="T33" s="143"/>
      <c r="U33" s="142"/>
      <c r="V33" s="144"/>
      <c r="W33" s="143"/>
      <c r="X33" s="143"/>
      <c r="Y33" s="143"/>
      <c r="Z33" s="142"/>
      <c r="AA33" s="144"/>
      <c r="AB33" s="143"/>
      <c r="AC33" s="143"/>
      <c r="AD33" s="143"/>
      <c r="AE33" s="142"/>
      <c r="AF33" s="144"/>
      <c r="AG33" s="143"/>
      <c r="AH33" s="143"/>
      <c r="AI33" s="143"/>
      <c r="AJ33" s="142"/>
      <c r="AK33" s="144"/>
      <c r="AL33" s="143"/>
      <c r="AM33" s="143"/>
      <c r="AN33" s="143"/>
      <c r="AO33" s="142"/>
      <c r="AP33" s="144"/>
      <c r="AQ33" s="143"/>
      <c r="AR33" s="143"/>
      <c r="AS33" s="143"/>
      <c r="AT33" s="142"/>
      <c r="AU33" s="144"/>
      <c r="AV33" s="143"/>
      <c r="AW33" s="143"/>
      <c r="AX33" s="143"/>
      <c r="AY33" s="142"/>
      <c r="AZ33" s="144"/>
      <c r="BA33" s="143"/>
      <c r="BB33" s="143"/>
      <c r="BC33" s="142"/>
      <c r="BD33" s="144"/>
      <c r="BE33" s="143"/>
      <c r="BF33" s="142"/>
      <c r="BG33" s="144"/>
      <c r="BH33" s="143"/>
      <c r="BI33" s="142"/>
      <c r="BJ33" s="144"/>
      <c r="BK33" s="143"/>
      <c r="BL33" s="145"/>
      <c r="BM33" s="144"/>
      <c r="BN33" s="143"/>
      <c r="BO33" s="142"/>
      <c r="BP33" s="144"/>
      <c r="BQ33" s="143"/>
      <c r="BR33" s="142"/>
      <c r="BS33" s="144"/>
      <c r="BT33" s="143"/>
      <c r="BU33" s="142"/>
      <c r="BV33" s="142"/>
      <c r="BW33" s="142"/>
      <c r="BX33" s="142"/>
      <c r="BY33" s="142"/>
      <c r="BZ33" s="142"/>
      <c r="CA33" s="142"/>
      <c r="CB33" s="142"/>
      <c r="CC33" s="142"/>
      <c r="CD33" s="142"/>
      <c r="CE33" s="142"/>
      <c r="CF33" s="142"/>
      <c r="CG33" s="142"/>
      <c r="CH33" s="142"/>
      <c r="CI33" s="142"/>
    </row>
    <row r="34" spans="2:87" ht="20.100000000000001" customHeight="1" x14ac:dyDescent="0.25">
      <c r="B34" s="144"/>
      <c r="C34" s="143"/>
      <c r="D34" s="143"/>
      <c r="E34" s="143"/>
      <c r="F34" s="142"/>
      <c r="G34" s="144"/>
      <c r="H34" s="143"/>
      <c r="I34" s="143"/>
      <c r="J34" s="143"/>
      <c r="K34" s="142"/>
      <c r="L34" s="144"/>
      <c r="M34" s="143"/>
      <c r="N34" s="143"/>
      <c r="O34" s="143"/>
      <c r="P34" s="142"/>
      <c r="Q34" s="144"/>
      <c r="R34" s="143"/>
      <c r="S34" s="143"/>
      <c r="T34" s="143"/>
      <c r="U34" s="142"/>
      <c r="V34" s="144"/>
      <c r="W34" s="143"/>
      <c r="X34" s="143"/>
      <c r="Y34" s="143"/>
      <c r="Z34" s="142"/>
      <c r="AA34" s="144"/>
      <c r="AB34" s="143"/>
      <c r="AC34" s="143"/>
      <c r="AD34" s="143"/>
      <c r="AE34" s="142"/>
      <c r="AF34" s="144"/>
      <c r="AG34" s="143"/>
      <c r="AH34" s="143"/>
      <c r="AI34" s="143"/>
      <c r="AJ34" s="142"/>
      <c r="AK34" s="144"/>
      <c r="AL34" s="143"/>
      <c r="AM34" s="143"/>
      <c r="AN34" s="143"/>
      <c r="AO34" s="142"/>
      <c r="AP34" s="144"/>
      <c r="AQ34" s="143"/>
      <c r="AR34" s="143"/>
      <c r="AS34" s="143"/>
      <c r="AT34" s="142"/>
      <c r="AU34" s="144"/>
      <c r="AV34" s="143"/>
      <c r="AW34" s="143"/>
      <c r="AX34" s="143"/>
      <c r="AY34" s="142"/>
      <c r="AZ34" s="144"/>
      <c r="BA34" s="143"/>
      <c r="BB34" s="143"/>
      <c r="BC34" s="142"/>
      <c r="BD34" s="144"/>
      <c r="BE34" s="143"/>
      <c r="BF34" s="142"/>
      <c r="BG34" s="144"/>
      <c r="BH34" s="143"/>
      <c r="BI34" s="142"/>
      <c r="BJ34" s="144"/>
      <c r="BK34" s="143"/>
      <c r="BL34" s="145"/>
      <c r="BM34" s="144"/>
      <c r="BN34" s="143"/>
      <c r="BO34" s="142"/>
      <c r="BP34" s="144"/>
      <c r="BQ34" s="143"/>
      <c r="BR34" s="142"/>
      <c r="BS34" s="144"/>
      <c r="BT34" s="143"/>
      <c r="BU34" s="142"/>
      <c r="BV34" s="142"/>
      <c r="BW34" s="142"/>
      <c r="BX34" s="142"/>
      <c r="BY34" s="142"/>
      <c r="BZ34" s="142"/>
      <c r="CA34" s="142"/>
      <c r="CB34" s="142"/>
      <c r="CC34" s="142"/>
      <c r="CD34" s="142"/>
      <c r="CE34" s="142"/>
      <c r="CF34" s="142"/>
      <c r="CG34" s="142"/>
      <c r="CH34" s="142"/>
      <c r="CI34" s="142"/>
    </row>
    <row r="35" spans="2:87" ht="20.100000000000001" customHeight="1" x14ac:dyDescent="0.25">
      <c r="B35" s="144"/>
      <c r="C35" s="143"/>
      <c r="D35" s="143"/>
      <c r="E35" s="143"/>
      <c r="F35" s="142"/>
      <c r="G35" s="144"/>
      <c r="H35" s="143"/>
      <c r="I35" s="143"/>
      <c r="J35" s="143"/>
      <c r="K35" s="142"/>
      <c r="L35" s="144"/>
      <c r="M35" s="143"/>
      <c r="N35" s="143"/>
      <c r="O35" s="143"/>
      <c r="P35" s="142"/>
      <c r="Q35" s="144"/>
      <c r="R35" s="143"/>
      <c r="S35" s="143"/>
      <c r="T35" s="143"/>
      <c r="U35" s="142"/>
      <c r="V35" s="144"/>
      <c r="W35" s="143"/>
      <c r="X35" s="143"/>
      <c r="Y35" s="143"/>
      <c r="Z35" s="142"/>
      <c r="AA35" s="144"/>
      <c r="AB35" s="143"/>
      <c r="AC35" s="143"/>
      <c r="AD35" s="143"/>
      <c r="AE35" s="142"/>
      <c r="AF35" s="144"/>
      <c r="AG35" s="143"/>
      <c r="AH35" s="143"/>
      <c r="AI35" s="143"/>
      <c r="AJ35" s="142"/>
      <c r="AK35" s="144"/>
      <c r="AL35" s="143"/>
      <c r="AM35" s="143"/>
      <c r="AN35" s="143"/>
      <c r="AO35" s="142"/>
      <c r="AP35" s="144"/>
      <c r="AQ35" s="143"/>
      <c r="AR35" s="143"/>
      <c r="AS35" s="143"/>
      <c r="AT35" s="142"/>
      <c r="AU35" s="144"/>
      <c r="AV35" s="143"/>
      <c r="AW35" s="143"/>
      <c r="AX35" s="143"/>
      <c r="AY35" s="142"/>
      <c r="AZ35" s="144"/>
      <c r="BA35" s="143"/>
      <c r="BB35" s="143"/>
      <c r="BC35" s="142"/>
      <c r="BD35" s="144"/>
      <c r="BE35" s="143"/>
      <c r="BF35" s="142"/>
      <c r="BG35" s="144"/>
      <c r="BH35" s="143"/>
      <c r="BI35" s="142"/>
      <c r="BJ35" s="144"/>
      <c r="BK35" s="143"/>
      <c r="BL35" s="145"/>
      <c r="BM35" s="144"/>
      <c r="BN35" s="143"/>
      <c r="BO35" s="142"/>
      <c r="BP35" s="144"/>
      <c r="BQ35" s="143"/>
      <c r="BR35" s="142"/>
      <c r="BS35" s="144"/>
      <c r="BT35" s="143"/>
      <c r="BU35" s="142"/>
      <c r="BV35" s="142"/>
      <c r="BW35" s="142"/>
      <c r="BX35" s="142"/>
      <c r="BY35" s="142"/>
      <c r="BZ35" s="142"/>
      <c r="CA35" s="142"/>
      <c r="CB35" s="142"/>
      <c r="CC35" s="142"/>
      <c r="CD35" s="142"/>
      <c r="CE35" s="142"/>
      <c r="CF35" s="142"/>
      <c r="CG35" s="142"/>
      <c r="CH35" s="142"/>
      <c r="CI35" s="142"/>
    </row>
    <row r="36" spans="2:87" ht="20.100000000000001" customHeight="1" x14ac:dyDescent="0.25">
      <c r="B36" s="144"/>
      <c r="C36" s="143"/>
      <c r="D36" s="143"/>
      <c r="E36" s="143"/>
      <c r="F36" s="142"/>
      <c r="G36" s="144"/>
      <c r="H36" s="143"/>
      <c r="I36" s="143"/>
      <c r="J36" s="143"/>
      <c r="K36" s="142"/>
      <c r="L36" s="144"/>
      <c r="M36" s="143"/>
      <c r="N36" s="143"/>
      <c r="O36" s="143"/>
      <c r="P36" s="142"/>
      <c r="Q36" s="144"/>
      <c r="R36" s="143"/>
      <c r="S36" s="143"/>
      <c r="T36" s="143"/>
      <c r="U36" s="142"/>
      <c r="V36" s="144"/>
      <c r="W36" s="143"/>
      <c r="X36" s="143"/>
      <c r="Y36" s="143"/>
      <c r="Z36" s="142"/>
      <c r="AA36" s="144"/>
      <c r="AB36" s="143"/>
      <c r="AC36" s="143"/>
      <c r="AD36" s="143"/>
      <c r="AE36" s="142"/>
      <c r="AF36" s="144"/>
      <c r="AG36" s="143"/>
      <c r="AH36" s="143"/>
      <c r="AI36" s="143"/>
      <c r="AJ36" s="142"/>
      <c r="AK36" s="144"/>
      <c r="AL36" s="143"/>
      <c r="AM36" s="143"/>
      <c r="AN36" s="143"/>
      <c r="AO36" s="142"/>
      <c r="AP36" s="144"/>
      <c r="AQ36" s="143"/>
      <c r="AR36" s="143"/>
      <c r="AS36" s="143"/>
      <c r="AT36" s="142"/>
      <c r="AU36" s="144"/>
      <c r="AV36" s="143"/>
      <c r="AW36" s="143"/>
      <c r="AX36" s="143"/>
      <c r="AY36" s="142"/>
      <c r="AZ36" s="144"/>
      <c r="BA36" s="143"/>
      <c r="BB36" s="143"/>
      <c r="BC36" s="142"/>
      <c r="BD36" s="144"/>
      <c r="BE36" s="143"/>
      <c r="BF36" s="142"/>
      <c r="BG36" s="144"/>
      <c r="BH36" s="143"/>
      <c r="BI36" s="142"/>
      <c r="BJ36" s="144"/>
      <c r="BK36" s="143"/>
      <c r="BL36" s="145"/>
      <c r="BM36" s="144"/>
      <c r="BN36" s="143"/>
      <c r="BO36" s="142"/>
      <c r="BP36" s="144"/>
      <c r="BQ36" s="143"/>
      <c r="BR36" s="142"/>
      <c r="BS36" s="144"/>
      <c r="BT36" s="143"/>
      <c r="BU36" s="142"/>
      <c r="BV36" s="142"/>
      <c r="BW36" s="142"/>
      <c r="BX36" s="142"/>
      <c r="BY36" s="142"/>
      <c r="BZ36" s="142"/>
      <c r="CA36" s="142"/>
      <c r="CB36" s="142"/>
      <c r="CC36" s="142"/>
      <c r="CD36" s="142"/>
      <c r="CE36" s="142"/>
      <c r="CF36" s="142"/>
      <c r="CG36" s="142"/>
      <c r="CH36" s="142"/>
      <c r="CI36" s="142"/>
    </row>
    <row r="37" spans="2:87" ht="20.100000000000001" customHeight="1" x14ac:dyDescent="0.25">
      <c r="B37" s="144"/>
      <c r="C37" s="143"/>
      <c r="D37" s="143"/>
      <c r="E37" s="143"/>
      <c r="F37" s="142"/>
      <c r="G37" s="144"/>
      <c r="H37" s="143"/>
      <c r="I37" s="143"/>
      <c r="J37" s="143"/>
      <c r="K37" s="142"/>
      <c r="L37" s="144"/>
      <c r="M37" s="143"/>
      <c r="N37" s="143"/>
      <c r="O37" s="143"/>
      <c r="P37" s="142"/>
      <c r="Q37" s="144"/>
      <c r="R37" s="143"/>
      <c r="S37" s="143"/>
      <c r="T37" s="143"/>
      <c r="U37" s="142"/>
      <c r="V37" s="144"/>
      <c r="W37" s="143"/>
      <c r="X37" s="143"/>
      <c r="Y37" s="143"/>
      <c r="Z37" s="142"/>
      <c r="AA37" s="144"/>
      <c r="AB37" s="143"/>
      <c r="AC37" s="143"/>
      <c r="AD37" s="143"/>
      <c r="AE37" s="142"/>
      <c r="AF37" s="144"/>
      <c r="AG37" s="143"/>
      <c r="AH37" s="143"/>
      <c r="AI37" s="143"/>
      <c r="AJ37" s="142"/>
      <c r="AK37" s="144"/>
      <c r="AL37" s="143"/>
      <c r="AM37" s="143"/>
      <c r="AN37" s="143"/>
      <c r="AO37" s="142"/>
      <c r="AP37" s="144"/>
      <c r="AQ37" s="143"/>
      <c r="AR37" s="143"/>
      <c r="AS37" s="143"/>
      <c r="AT37" s="142"/>
      <c r="AU37" s="144"/>
      <c r="AV37" s="143"/>
      <c r="AW37" s="143"/>
      <c r="AX37" s="143"/>
      <c r="AY37" s="142"/>
      <c r="AZ37" s="144"/>
      <c r="BA37" s="143"/>
      <c r="BB37" s="143"/>
      <c r="BC37" s="142"/>
      <c r="BD37" s="144"/>
      <c r="BE37" s="143"/>
      <c r="BF37" s="142"/>
      <c r="BG37" s="144"/>
      <c r="BH37" s="143"/>
      <c r="BI37" s="142"/>
      <c r="BJ37" s="144"/>
      <c r="BK37" s="143"/>
      <c r="BL37" s="145"/>
      <c r="BM37" s="144"/>
      <c r="BN37" s="143"/>
      <c r="BO37" s="142"/>
      <c r="BP37" s="144"/>
      <c r="BQ37" s="143"/>
      <c r="BR37" s="142"/>
      <c r="BS37" s="144"/>
      <c r="BT37" s="143"/>
      <c r="BU37" s="142"/>
      <c r="BV37" s="142"/>
      <c r="BW37" s="142"/>
      <c r="BX37" s="142"/>
      <c r="BY37" s="142"/>
      <c r="BZ37" s="142"/>
      <c r="CA37" s="142"/>
      <c r="CB37" s="142"/>
      <c r="CC37" s="142"/>
      <c r="CD37" s="142"/>
      <c r="CE37" s="142"/>
      <c r="CF37" s="142"/>
      <c r="CG37" s="142"/>
      <c r="CH37" s="142"/>
      <c r="CI37" s="142"/>
    </row>
    <row r="38" spans="2:87" ht="20.100000000000001" customHeight="1" x14ac:dyDescent="0.25">
      <c r="B38" s="144"/>
      <c r="C38" s="143"/>
      <c r="D38" s="143"/>
      <c r="E38" s="143"/>
      <c r="F38" s="142"/>
      <c r="G38" s="144"/>
      <c r="H38" s="143"/>
      <c r="I38" s="143"/>
      <c r="J38" s="143"/>
      <c r="K38" s="142"/>
      <c r="L38" s="144"/>
      <c r="M38" s="143"/>
      <c r="N38" s="143"/>
      <c r="O38" s="143"/>
      <c r="P38" s="142"/>
      <c r="Q38" s="144"/>
      <c r="R38" s="143"/>
      <c r="S38" s="143"/>
      <c r="T38" s="143"/>
      <c r="U38" s="142"/>
      <c r="V38" s="144"/>
      <c r="W38" s="143"/>
      <c r="X38" s="143"/>
      <c r="Y38" s="143"/>
      <c r="Z38" s="142"/>
      <c r="AA38" s="144"/>
      <c r="AB38" s="143"/>
      <c r="AC38" s="143"/>
      <c r="AD38" s="143"/>
      <c r="AE38" s="142"/>
      <c r="AF38" s="144"/>
      <c r="AG38" s="143"/>
      <c r="AH38" s="143"/>
      <c r="AI38" s="143"/>
      <c r="AJ38" s="142"/>
      <c r="AK38" s="144"/>
      <c r="AL38" s="143"/>
      <c r="AM38" s="143"/>
      <c r="AN38" s="143"/>
      <c r="AO38" s="142"/>
      <c r="AP38" s="144"/>
      <c r="AQ38" s="143"/>
      <c r="AR38" s="143"/>
      <c r="AS38" s="143"/>
      <c r="AT38" s="142"/>
      <c r="AU38" s="144"/>
      <c r="AV38" s="143"/>
      <c r="AW38" s="143"/>
      <c r="AX38" s="143"/>
      <c r="AY38" s="142"/>
      <c r="AZ38" s="144"/>
      <c r="BA38" s="143"/>
      <c r="BB38" s="143"/>
      <c r="BC38" s="142"/>
      <c r="BD38" s="144"/>
      <c r="BE38" s="143"/>
      <c r="BF38" s="142"/>
      <c r="BG38" s="144"/>
      <c r="BH38" s="143"/>
      <c r="BI38" s="142"/>
      <c r="BJ38" s="144"/>
      <c r="BK38" s="143"/>
      <c r="BL38" s="142"/>
      <c r="BM38" s="144"/>
      <c r="BN38" s="143"/>
      <c r="BO38" s="142"/>
      <c r="BP38" s="144"/>
      <c r="BQ38" s="143"/>
      <c r="BR38" s="142"/>
      <c r="BS38" s="144"/>
      <c r="BT38" s="143"/>
      <c r="BU38" s="142"/>
      <c r="BV38" s="142"/>
      <c r="BW38" s="142"/>
      <c r="BX38" s="142"/>
      <c r="BY38" s="142"/>
      <c r="BZ38" s="142"/>
      <c r="CA38" s="142"/>
      <c r="CB38" s="142"/>
      <c r="CC38" s="142"/>
      <c r="CD38" s="142"/>
      <c r="CE38" s="142"/>
      <c r="CF38" s="142"/>
      <c r="CG38" s="142"/>
      <c r="CH38" s="142"/>
      <c r="CI38" s="142"/>
    </row>
    <row r="39" spans="2:87" ht="20.100000000000001" customHeight="1" x14ac:dyDescent="0.25">
      <c r="B39" s="144"/>
      <c r="C39" s="143"/>
      <c r="D39" s="143"/>
      <c r="E39" s="143"/>
      <c r="F39" s="142"/>
      <c r="G39" s="144"/>
      <c r="H39" s="143"/>
      <c r="I39" s="143"/>
      <c r="J39" s="143"/>
      <c r="K39" s="142"/>
      <c r="L39" s="144"/>
      <c r="M39" s="143"/>
      <c r="N39" s="143"/>
      <c r="O39" s="143"/>
      <c r="P39" s="142"/>
      <c r="Q39" s="144"/>
      <c r="R39" s="143"/>
      <c r="S39" s="143"/>
      <c r="T39" s="143"/>
      <c r="U39" s="142"/>
      <c r="V39" s="144"/>
      <c r="W39" s="143"/>
      <c r="X39" s="143"/>
      <c r="Y39" s="143"/>
      <c r="Z39" s="142"/>
      <c r="AA39" s="144"/>
      <c r="AB39" s="143"/>
      <c r="AC39" s="143"/>
      <c r="AD39" s="143"/>
      <c r="AE39" s="142"/>
      <c r="AF39" s="144"/>
      <c r="AG39" s="143"/>
      <c r="AH39" s="143"/>
      <c r="AI39" s="143"/>
      <c r="AJ39" s="142"/>
      <c r="AK39" s="144"/>
      <c r="AL39" s="143"/>
      <c r="AM39" s="143"/>
      <c r="AN39" s="143"/>
      <c r="AO39" s="142"/>
      <c r="AP39" s="144"/>
      <c r="AQ39" s="143"/>
      <c r="AR39" s="143"/>
      <c r="AS39" s="143"/>
      <c r="AT39" s="142"/>
      <c r="AU39" s="144"/>
      <c r="AV39" s="143"/>
      <c r="AW39" s="143"/>
      <c r="AX39" s="143"/>
      <c r="AY39" s="142"/>
      <c r="AZ39" s="144"/>
      <c r="BA39" s="143"/>
      <c r="BB39" s="143"/>
      <c r="BC39" s="142"/>
      <c r="BD39" s="144"/>
      <c r="BE39" s="143"/>
      <c r="BF39" s="142"/>
      <c r="BG39" s="144"/>
      <c r="BH39" s="143"/>
      <c r="BI39" s="142"/>
      <c r="BJ39" s="144"/>
      <c r="BK39" s="143"/>
      <c r="BL39" s="142"/>
      <c r="BM39" s="144"/>
      <c r="BN39" s="143"/>
      <c r="BO39" s="142"/>
      <c r="BP39" s="144"/>
      <c r="BQ39" s="143"/>
      <c r="BR39" s="142"/>
      <c r="BS39" s="144"/>
      <c r="BT39" s="143"/>
      <c r="BU39" s="142"/>
      <c r="BV39" s="142"/>
      <c r="BW39" s="142"/>
      <c r="BX39" s="142"/>
      <c r="BY39" s="142"/>
      <c r="BZ39" s="142"/>
      <c r="CA39" s="142"/>
      <c r="CB39" s="142"/>
      <c r="CC39" s="142"/>
      <c r="CD39" s="142"/>
      <c r="CE39" s="142"/>
      <c r="CF39" s="142"/>
      <c r="CG39" s="142"/>
      <c r="CH39" s="142"/>
      <c r="CI39" s="142"/>
    </row>
    <row r="40" spans="2:87" ht="20.100000000000001" customHeight="1" x14ac:dyDescent="0.25">
      <c r="B40" s="144"/>
      <c r="C40" s="143"/>
      <c r="D40" s="143"/>
      <c r="E40" s="143"/>
      <c r="F40" s="142"/>
      <c r="G40" s="144"/>
      <c r="H40" s="143"/>
      <c r="I40" s="143"/>
      <c r="J40" s="143"/>
      <c r="K40" s="142"/>
      <c r="L40" s="144"/>
      <c r="M40" s="143"/>
      <c r="N40" s="143"/>
      <c r="O40" s="143"/>
      <c r="P40" s="142"/>
      <c r="Q40" s="144"/>
      <c r="R40" s="143"/>
      <c r="S40" s="143"/>
      <c r="T40" s="143"/>
      <c r="U40" s="142"/>
      <c r="V40" s="144"/>
      <c r="W40" s="143"/>
      <c r="X40" s="143"/>
      <c r="Y40" s="143"/>
      <c r="Z40" s="142"/>
      <c r="AA40" s="144"/>
      <c r="AB40" s="143"/>
      <c r="AC40" s="143"/>
      <c r="AD40" s="143"/>
      <c r="AE40" s="142"/>
      <c r="AF40" s="144"/>
      <c r="AG40" s="143"/>
      <c r="AH40" s="143"/>
      <c r="AI40" s="143"/>
      <c r="AJ40" s="142"/>
      <c r="AK40" s="144"/>
      <c r="AL40" s="143"/>
      <c r="AM40" s="143"/>
      <c r="AN40" s="143"/>
      <c r="AO40" s="142"/>
      <c r="AP40" s="144"/>
      <c r="AQ40" s="143"/>
      <c r="AR40" s="143"/>
      <c r="AS40" s="143"/>
      <c r="AT40" s="142"/>
      <c r="AU40" s="144"/>
      <c r="AV40" s="143"/>
      <c r="AW40" s="143"/>
      <c r="AX40" s="143"/>
      <c r="AY40" s="142"/>
      <c r="AZ40" s="144"/>
      <c r="BA40" s="143"/>
      <c r="BB40" s="143"/>
      <c r="BC40" s="142"/>
      <c r="BD40" s="144"/>
      <c r="BE40" s="143"/>
      <c r="BF40" s="142"/>
      <c r="BG40" s="144"/>
      <c r="BH40" s="143"/>
      <c r="BI40" s="142"/>
      <c r="BJ40" s="144"/>
      <c r="BK40" s="143"/>
      <c r="BL40" s="142"/>
      <c r="BM40" s="144"/>
      <c r="BN40" s="143"/>
      <c r="BO40" s="142"/>
      <c r="BP40" s="144"/>
      <c r="BQ40" s="143"/>
      <c r="BR40" s="142"/>
      <c r="BS40" s="144"/>
      <c r="BT40" s="143"/>
      <c r="BU40" s="142"/>
      <c r="BV40" s="142"/>
      <c r="BW40" s="142"/>
      <c r="BX40" s="142"/>
      <c r="BY40" s="142"/>
      <c r="BZ40" s="142"/>
      <c r="CA40" s="142"/>
      <c r="CB40" s="142"/>
      <c r="CC40" s="142"/>
      <c r="CD40" s="142"/>
      <c r="CE40" s="142"/>
      <c r="CF40" s="142"/>
      <c r="CG40" s="142"/>
      <c r="CH40" s="142"/>
      <c r="CI40" s="142"/>
    </row>
    <row r="41" spans="2:87" ht="20.100000000000001" customHeight="1" x14ac:dyDescent="0.25">
      <c r="B41" s="144"/>
      <c r="C41" s="143"/>
      <c r="D41" s="143"/>
      <c r="E41" s="143"/>
      <c r="F41" s="142"/>
      <c r="G41" s="144"/>
      <c r="H41" s="143"/>
      <c r="I41" s="143"/>
      <c r="J41" s="143"/>
      <c r="K41" s="142"/>
      <c r="L41" s="144"/>
      <c r="M41" s="143"/>
      <c r="N41" s="143"/>
      <c r="O41" s="143"/>
      <c r="P41" s="142"/>
      <c r="Q41" s="144"/>
      <c r="R41" s="143"/>
      <c r="S41" s="143"/>
      <c r="T41" s="143"/>
      <c r="U41" s="142"/>
      <c r="V41" s="144"/>
      <c r="W41" s="143"/>
      <c r="X41" s="143"/>
      <c r="Y41" s="143"/>
      <c r="Z41" s="142"/>
      <c r="AA41" s="144"/>
      <c r="AB41" s="143"/>
      <c r="AC41" s="143"/>
      <c r="AD41" s="143"/>
      <c r="AE41" s="142"/>
      <c r="AF41" s="144"/>
      <c r="AG41" s="143"/>
      <c r="AH41" s="143"/>
      <c r="AI41" s="143"/>
      <c r="AJ41" s="142"/>
      <c r="AK41" s="144"/>
      <c r="AL41" s="143"/>
      <c r="AM41" s="143"/>
      <c r="AN41" s="143"/>
      <c r="AO41" s="142"/>
      <c r="AP41" s="144"/>
      <c r="AQ41" s="143"/>
      <c r="AR41" s="143"/>
      <c r="AS41" s="143"/>
      <c r="AT41" s="142"/>
      <c r="AU41" s="144"/>
      <c r="AV41" s="143"/>
      <c r="AW41" s="143"/>
      <c r="AX41" s="143"/>
      <c r="AY41" s="142"/>
      <c r="AZ41" s="144"/>
      <c r="BA41" s="143"/>
      <c r="BB41" s="143"/>
      <c r="BC41" s="142"/>
      <c r="BD41" s="144"/>
      <c r="BE41" s="143"/>
      <c r="BF41" s="142"/>
      <c r="BG41" s="144"/>
      <c r="BH41" s="143"/>
      <c r="BI41" s="142"/>
      <c r="BJ41" s="144"/>
      <c r="BK41" s="143"/>
      <c r="BL41" s="142"/>
      <c r="BM41" s="144"/>
      <c r="BN41" s="143"/>
      <c r="BO41" s="142"/>
      <c r="BP41" s="144"/>
      <c r="BQ41" s="143"/>
      <c r="BR41" s="142"/>
      <c r="BS41" s="144"/>
      <c r="BT41" s="143"/>
      <c r="BU41" s="142"/>
      <c r="BV41" s="142"/>
      <c r="BW41" s="142"/>
      <c r="BX41" s="142"/>
      <c r="BY41" s="142"/>
      <c r="BZ41" s="142"/>
      <c r="CA41" s="142"/>
      <c r="CB41" s="142"/>
      <c r="CC41" s="142"/>
      <c r="CD41" s="142"/>
      <c r="CE41" s="142"/>
      <c r="CF41" s="142"/>
      <c r="CG41" s="142"/>
      <c r="CH41" s="142"/>
      <c r="CI41" s="142"/>
    </row>
    <row r="42" spans="2:87" ht="20.100000000000001" customHeight="1" x14ac:dyDescent="0.25">
      <c r="B42" s="144"/>
      <c r="C42" s="143"/>
      <c r="D42" s="143"/>
      <c r="E42" s="143"/>
      <c r="F42" s="142"/>
      <c r="G42" s="144"/>
      <c r="H42" s="143"/>
      <c r="I42" s="143"/>
      <c r="J42" s="143"/>
      <c r="K42" s="142"/>
      <c r="L42" s="144"/>
      <c r="M42" s="143"/>
      <c r="N42" s="143"/>
      <c r="O42" s="143"/>
      <c r="P42" s="142"/>
      <c r="Q42" s="144"/>
      <c r="R42" s="143"/>
      <c r="S42" s="143"/>
      <c r="T42" s="143"/>
      <c r="U42" s="142"/>
      <c r="V42" s="144"/>
      <c r="W42" s="143"/>
      <c r="X42" s="143"/>
      <c r="Y42" s="143"/>
      <c r="Z42" s="142"/>
      <c r="AA42" s="144"/>
      <c r="AB42" s="143"/>
      <c r="AC42" s="143"/>
      <c r="AD42" s="143"/>
      <c r="AE42" s="142"/>
      <c r="AF42" s="144"/>
      <c r="AG42" s="143"/>
      <c r="AH42" s="143"/>
      <c r="AI42" s="143"/>
      <c r="AJ42" s="142"/>
      <c r="AK42" s="144"/>
      <c r="AL42" s="143"/>
      <c r="AM42" s="143"/>
      <c r="AN42" s="143"/>
      <c r="AO42" s="142"/>
      <c r="AP42" s="144"/>
      <c r="AQ42" s="143"/>
      <c r="AR42" s="143"/>
      <c r="AS42" s="143"/>
      <c r="AT42" s="142"/>
      <c r="AU42" s="144"/>
      <c r="AV42" s="143"/>
      <c r="AW42" s="143"/>
      <c r="AX42" s="143"/>
      <c r="AY42" s="142"/>
      <c r="AZ42" s="144"/>
      <c r="BA42" s="143"/>
      <c r="BB42" s="143"/>
      <c r="BC42" s="142"/>
      <c r="BD42" s="144"/>
      <c r="BE42" s="143"/>
      <c r="BF42" s="142"/>
      <c r="BG42" s="144"/>
      <c r="BH42" s="143"/>
      <c r="BI42" s="142"/>
      <c r="BJ42" s="144"/>
      <c r="BK42" s="143"/>
      <c r="BL42" s="142"/>
      <c r="BM42" s="144"/>
      <c r="BN42" s="143"/>
      <c r="BO42" s="142"/>
      <c r="BP42" s="144"/>
      <c r="BQ42" s="143"/>
      <c r="BR42" s="142"/>
      <c r="BS42" s="144"/>
      <c r="BT42" s="143"/>
      <c r="BU42" s="142"/>
      <c r="BV42" s="142"/>
      <c r="BW42" s="142"/>
      <c r="BX42" s="142"/>
      <c r="BY42" s="142"/>
      <c r="BZ42" s="142"/>
      <c r="CA42" s="142"/>
      <c r="CB42" s="142"/>
      <c r="CC42" s="142"/>
      <c r="CD42" s="142"/>
      <c r="CE42" s="142"/>
      <c r="CF42" s="142"/>
      <c r="CG42" s="142"/>
      <c r="CH42" s="142"/>
      <c r="CI42" s="142"/>
    </row>
    <row r="43" spans="2:87" ht="20.100000000000001" customHeight="1" x14ac:dyDescent="0.25">
      <c r="B43" s="144"/>
      <c r="C43" s="143"/>
      <c r="D43" s="143"/>
      <c r="E43" s="143"/>
      <c r="F43" s="142"/>
      <c r="G43" s="144"/>
      <c r="H43" s="143"/>
      <c r="I43" s="143"/>
      <c r="J43" s="143"/>
      <c r="K43" s="142"/>
      <c r="L43" s="144"/>
      <c r="M43" s="143"/>
      <c r="N43" s="143"/>
      <c r="O43" s="143"/>
      <c r="P43" s="142"/>
      <c r="Q43" s="144"/>
      <c r="R43" s="143"/>
      <c r="S43" s="143"/>
      <c r="T43" s="143"/>
      <c r="U43" s="142"/>
      <c r="V43" s="144"/>
      <c r="W43" s="143"/>
      <c r="X43" s="143"/>
      <c r="Y43" s="143"/>
      <c r="Z43" s="142"/>
      <c r="AA43" s="144"/>
      <c r="AB43" s="143"/>
      <c r="AC43" s="143"/>
      <c r="AD43" s="143"/>
      <c r="AE43" s="142"/>
      <c r="AF43" s="144"/>
      <c r="AG43" s="143"/>
      <c r="AH43" s="143"/>
      <c r="AI43" s="143"/>
      <c r="AJ43" s="142"/>
      <c r="AK43" s="144"/>
      <c r="AL43" s="143"/>
      <c r="AM43" s="143"/>
      <c r="AN43" s="143"/>
      <c r="AO43" s="142"/>
      <c r="AP43" s="144"/>
      <c r="AQ43" s="143"/>
      <c r="AR43" s="143"/>
      <c r="AS43" s="143"/>
      <c r="AT43" s="142"/>
      <c r="AU43" s="144"/>
      <c r="AV43" s="143"/>
      <c r="AW43" s="143"/>
      <c r="AX43" s="143"/>
      <c r="AY43" s="142"/>
      <c r="AZ43" s="144"/>
      <c r="BA43" s="143"/>
      <c r="BB43" s="143"/>
      <c r="BC43" s="142"/>
      <c r="BD43" s="144"/>
      <c r="BE43" s="143"/>
      <c r="BF43" s="142"/>
      <c r="BG43" s="144"/>
      <c r="BH43" s="143"/>
      <c r="BI43" s="142"/>
      <c r="BJ43" s="144"/>
      <c r="BK43" s="143"/>
      <c r="BL43" s="142"/>
      <c r="BM43" s="144"/>
      <c r="BN43" s="143"/>
      <c r="BO43" s="142"/>
      <c r="BP43" s="144"/>
      <c r="BQ43" s="143"/>
      <c r="BR43" s="142"/>
      <c r="BS43" s="144"/>
      <c r="BT43" s="143"/>
      <c r="BU43" s="142"/>
      <c r="BV43" s="142"/>
      <c r="BW43" s="142"/>
      <c r="BX43" s="142"/>
      <c r="BY43" s="142"/>
      <c r="BZ43" s="142"/>
      <c r="CA43" s="142"/>
      <c r="CB43" s="142"/>
      <c r="CC43" s="142"/>
      <c r="CD43" s="142"/>
      <c r="CE43" s="142"/>
      <c r="CF43" s="142"/>
      <c r="CG43" s="142"/>
      <c r="CH43" s="142"/>
      <c r="CI43" s="142"/>
    </row>
    <row r="44" spans="2:87" ht="20.100000000000001" customHeight="1" x14ac:dyDescent="0.25">
      <c r="B44" s="144"/>
      <c r="C44" s="143"/>
      <c r="D44" s="143"/>
      <c r="E44" s="143"/>
      <c r="F44" s="142"/>
      <c r="G44" s="144"/>
      <c r="H44" s="143"/>
      <c r="I44" s="143"/>
      <c r="J44" s="143"/>
      <c r="K44" s="142"/>
      <c r="L44" s="144"/>
      <c r="M44" s="143"/>
      <c r="N44" s="143"/>
      <c r="O44" s="143"/>
      <c r="P44" s="142"/>
      <c r="Q44" s="144"/>
      <c r="R44" s="143"/>
      <c r="S44" s="143"/>
      <c r="T44" s="143"/>
      <c r="U44" s="142"/>
      <c r="V44" s="144"/>
      <c r="W44" s="143"/>
      <c r="X44" s="143"/>
      <c r="Y44" s="143"/>
      <c r="Z44" s="142"/>
      <c r="AA44" s="144"/>
      <c r="AB44" s="143"/>
      <c r="AC44" s="143"/>
      <c r="AD44" s="143"/>
      <c r="AE44" s="142"/>
      <c r="AF44" s="144"/>
      <c r="AG44" s="143"/>
      <c r="AH44" s="143"/>
      <c r="AI44" s="143"/>
      <c r="AJ44" s="142"/>
      <c r="AK44" s="144"/>
      <c r="AL44" s="143"/>
      <c r="AM44" s="143"/>
      <c r="AN44" s="143"/>
      <c r="AO44" s="142"/>
      <c r="AP44" s="144"/>
      <c r="AQ44" s="143"/>
      <c r="AR44" s="143"/>
      <c r="AS44" s="143"/>
      <c r="AT44" s="142"/>
      <c r="AU44" s="144"/>
      <c r="AV44" s="143"/>
      <c r="AW44" s="143"/>
      <c r="AX44" s="143"/>
      <c r="AY44" s="142"/>
      <c r="AZ44" s="144"/>
      <c r="BA44" s="143"/>
      <c r="BB44" s="143"/>
      <c r="BC44" s="142"/>
      <c r="BD44" s="144"/>
      <c r="BE44" s="143"/>
      <c r="BF44" s="142"/>
      <c r="BG44" s="144"/>
      <c r="BH44" s="143"/>
      <c r="BI44" s="142"/>
      <c r="BJ44" s="144"/>
      <c r="BK44" s="143"/>
      <c r="BL44" s="142"/>
      <c r="BM44" s="144"/>
      <c r="BN44" s="143"/>
      <c r="BO44" s="142"/>
      <c r="BP44" s="144"/>
      <c r="BQ44" s="143"/>
      <c r="BR44" s="142"/>
      <c r="BS44" s="144"/>
      <c r="BT44" s="143"/>
      <c r="BU44" s="142"/>
      <c r="BV44" s="142"/>
      <c r="BW44" s="142"/>
      <c r="BX44" s="142"/>
      <c r="BY44" s="142"/>
      <c r="BZ44" s="142"/>
      <c r="CA44" s="142"/>
      <c r="CB44" s="142"/>
      <c r="CC44" s="142"/>
      <c r="CD44" s="142"/>
      <c r="CE44" s="142"/>
      <c r="CF44" s="142"/>
      <c r="CG44" s="142"/>
      <c r="CH44" s="142"/>
      <c r="CI44" s="142"/>
    </row>
    <row r="45" spans="2:87" ht="20.100000000000001" customHeight="1" x14ac:dyDescent="0.25">
      <c r="B45" s="144"/>
      <c r="C45" s="143"/>
      <c r="D45" s="143"/>
      <c r="E45" s="143"/>
      <c r="F45" s="142"/>
      <c r="G45" s="144"/>
      <c r="H45" s="143"/>
      <c r="I45" s="143"/>
      <c r="J45" s="143"/>
      <c r="K45" s="142"/>
      <c r="L45" s="144"/>
      <c r="M45" s="143"/>
      <c r="N45" s="143"/>
      <c r="O45" s="143"/>
      <c r="P45" s="142"/>
      <c r="Q45" s="144"/>
      <c r="R45" s="143"/>
      <c r="S45" s="143"/>
      <c r="T45" s="143"/>
      <c r="U45" s="142"/>
      <c r="V45" s="144"/>
      <c r="W45" s="143"/>
      <c r="X45" s="143"/>
      <c r="Y45" s="143"/>
      <c r="Z45" s="142"/>
      <c r="AA45" s="144"/>
      <c r="AB45" s="143"/>
      <c r="AC45" s="143"/>
      <c r="AD45" s="143"/>
      <c r="AE45" s="142"/>
      <c r="AF45" s="144"/>
      <c r="AG45" s="143"/>
      <c r="AH45" s="143"/>
      <c r="AI45" s="143"/>
      <c r="AJ45" s="142"/>
      <c r="AK45" s="144"/>
      <c r="AL45" s="143"/>
      <c r="AM45" s="143"/>
      <c r="AN45" s="143"/>
      <c r="AO45" s="142"/>
      <c r="AP45" s="144"/>
      <c r="AQ45" s="143"/>
      <c r="AR45" s="143"/>
      <c r="AS45" s="143"/>
      <c r="AT45" s="142"/>
      <c r="AU45" s="144"/>
      <c r="AV45" s="143"/>
      <c r="AW45" s="143"/>
      <c r="AX45" s="143"/>
      <c r="AY45" s="142"/>
      <c r="AZ45" s="144"/>
      <c r="BA45" s="143"/>
      <c r="BB45" s="143"/>
      <c r="BC45" s="142"/>
      <c r="BD45" s="144"/>
      <c r="BE45" s="143"/>
      <c r="BF45" s="142"/>
      <c r="BG45" s="144"/>
      <c r="BH45" s="143"/>
      <c r="BI45" s="142"/>
      <c r="BJ45" s="144"/>
      <c r="BK45" s="143"/>
      <c r="BL45" s="142"/>
      <c r="BM45" s="144"/>
      <c r="BN45" s="143"/>
      <c r="BO45" s="142"/>
      <c r="BP45" s="144"/>
      <c r="BQ45" s="143"/>
      <c r="BR45" s="142"/>
      <c r="BS45" s="144"/>
      <c r="BT45" s="143"/>
      <c r="BU45" s="142"/>
      <c r="BV45" s="142"/>
      <c r="BW45" s="142"/>
      <c r="BX45" s="142"/>
      <c r="BY45" s="142"/>
      <c r="BZ45" s="142"/>
      <c r="CA45" s="142"/>
      <c r="CB45" s="142"/>
      <c r="CC45" s="142"/>
      <c r="CD45" s="142"/>
      <c r="CE45" s="142"/>
      <c r="CF45" s="142"/>
      <c r="CG45" s="142"/>
      <c r="CH45" s="142"/>
      <c r="CI45" s="142"/>
    </row>
    <row r="46" spans="2:87" ht="20.100000000000001" customHeight="1" x14ac:dyDescent="0.25">
      <c r="B46" s="144"/>
      <c r="C46" s="143"/>
      <c r="D46" s="143"/>
      <c r="E46" s="143"/>
      <c r="F46" s="142"/>
      <c r="G46" s="144"/>
      <c r="H46" s="143"/>
      <c r="I46" s="143"/>
      <c r="J46" s="143"/>
      <c r="K46" s="142"/>
      <c r="L46" s="144"/>
      <c r="M46" s="143"/>
      <c r="N46" s="143"/>
      <c r="O46" s="143"/>
      <c r="P46" s="142"/>
      <c r="Q46" s="144"/>
      <c r="R46" s="143"/>
      <c r="S46" s="143"/>
      <c r="T46" s="143"/>
      <c r="U46" s="142"/>
      <c r="V46" s="144"/>
      <c r="W46" s="143"/>
      <c r="X46" s="143"/>
      <c r="Y46" s="143"/>
      <c r="Z46" s="142"/>
      <c r="AA46" s="144"/>
      <c r="AB46" s="143"/>
      <c r="AC46" s="143"/>
      <c r="AD46" s="143"/>
      <c r="AE46" s="142"/>
      <c r="AF46" s="144"/>
      <c r="AG46" s="143"/>
      <c r="AH46" s="143"/>
      <c r="AI46" s="143"/>
      <c r="AJ46" s="142"/>
      <c r="AK46" s="144"/>
      <c r="AL46" s="143"/>
      <c r="AM46" s="143"/>
      <c r="AN46" s="143"/>
      <c r="AO46" s="142"/>
      <c r="AP46" s="144"/>
      <c r="AQ46" s="143"/>
      <c r="AR46" s="143"/>
      <c r="AS46" s="143"/>
      <c r="AT46" s="142"/>
      <c r="AU46" s="144"/>
      <c r="AV46" s="143"/>
      <c r="AW46" s="143"/>
      <c r="AX46" s="143"/>
      <c r="AY46" s="142"/>
      <c r="AZ46" s="144"/>
      <c r="BA46" s="143"/>
      <c r="BB46" s="143"/>
      <c r="BC46" s="142"/>
      <c r="BD46" s="144"/>
      <c r="BE46" s="143"/>
      <c r="BF46" s="142"/>
      <c r="BG46" s="144"/>
      <c r="BH46" s="143"/>
      <c r="BI46" s="142"/>
      <c r="BJ46" s="144"/>
      <c r="BK46" s="143"/>
      <c r="BL46" s="142"/>
      <c r="BM46" s="144"/>
      <c r="BN46" s="143"/>
      <c r="BO46" s="142"/>
      <c r="BP46" s="144"/>
      <c r="BQ46" s="143"/>
      <c r="BR46" s="142"/>
      <c r="BS46" s="144"/>
      <c r="BT46" s="143"/>
      <c r="BU46" s="142"/>
      <c r="BV46" s="142"/>
      <c r="BW46" s="142"/>
      <c r="BX46" s="142"/>
      <c r="BY46" s="142"/>
      <c r="BZ46" s="142"/>
      <c r="CA46" s="142"/>
      <c r="CB46" s="142"/>
      <c r="CC46" s="142"/>
      <c r="CD46" s="142"/>
      <c r="CE46" s="142"/>
      <c r="CF46" s="142"/>
      <c r="CG46" s="142"/>
      <c r="CH46" s="142"/>
      <c r="CI46" s="142"/>
    </row>
    <row r="47" spans="2:87" ht="20.100000000000001" customHeight="1" x14ac:dyDescent="0.25">
      <c r="B47" s="144"/>
      <c r="C47" s="143"/>
      <c r="D47" s="143"/>
      <c r="E47" s="143"/>
      <c r="F47" s="142"/>
      <c r="G47" s="144"/>
      <c r="H47" s="143"/>
      <c r="I47" s="143"/>
      <c r="J47" s="143"/>
      <c r="K47" s="142"/>
      <c r="L47" s="144"/>
      <c r="M47" s="143"/>
      <c r="N47" s="143"/>
      <c r="O47" s="143"/>
      <c r="P47" s="142"/>
      <c r="Q47" s="144"/>
      <c r="R47" s="143"/>
      <c r="S47" s="143"/>
      <c r="T47" s="143"/>
      <c r="U47" s="142"/>
      <c r="V47" s="144"/>
      <c r="W47" s="143"/>
      <c r="X47" s="143"/>
      <c r="Y47" s="143"/>
      <c r="Z47" s="142"/>
      <c r="AA47" s="144"/>
      <c r="AB47" s="143"/>
      <c r="AC47" s="143"/>
      <c r="AD47" s="143"/>
      <c r="AE47" s="142"/>
      <c r="AF47" s="144"/>
      <c r="AG47" s="143"/>
      <c r="AH47" s="143"/>
      <c r="AI47" s="143"/>
      <c r="AJ47" s="142"/>
      <c r="AK47" s="144"/>
      <c r="AL47" s="143"/>
      <c r="AM47" s="143"/>
      <c r="AN47" s="143"/>
      <c r="AO47" s="142"/>
      <c r="AP47" s="144"/>
      <c r="AQ47" s="143"/>
      <c r="AR47" s="143"/>
      <c r="AS47" s="143"/>
      <c r="AT47" s="142"/>
      <c r="AU47" s="144"/>
      <c r="AV47" s="143"/>
      <c r="AW47" s="143"/>
      <c r="AX47" s="143"/>
      <c r="AY47" s="142"/>
      <c r="AZ47" s="144"/>
      <c r="BA47" s="143"/>
      <c r="BB47" s="143"/>
      <c r="BC47" s="142"/>
      <c r="BD47" s="144"/>
      <c r="BE47" s="143"/>
      <c r="BF47" s="142"/>
      <c r="BG47" s="144"/>
      <c r="BH47" s="143"/>
      <c r="BI47" s="142"/>
      <c r="BJ47" s="144"/>
      <c r="BK47" s="143"/>
      <c r="BL47" s="142"/>
      <c r="BM47" s="144"/>
      <c r="BN47" s="143"/>
      <c r="BO47" s="142"/>
      <c r="BP47" s="144"/>
      <c r="BQ47" s="143"/>
      <c r="BR47" s="142"/>
      <c r="BS47" s="144"/>
      <c r="BT47" s="143"/>
      <c r="BU47" s="142"/>
      <c r="BV47" s="142"/>
      <c r="BW47" s="142"/>
      <c r="BX47" s="142"/>
      <c r="BY47" s="142"/>
      <c r="BZ47" s="142"/>
      <c r="CA47" s="142"/>
      <c r="CB47" s="142"/>
      <c r="CC47" s="142"/>
      <c r="CD47" s="142"/>
      <c r="CE47" s="142"/>
      <c r="CF47" s="142"/>
      <c r="CG47" s="142"/>
      <c r="CH47" s="142"/>
      <c r="CI47" s="142"/>
    </row>
    <row r="48" spans="2:87" ht="20.100000000000001" customHeight="1" x14ac:dyDescent="0.25">
      <c r="B48" s="144"/>
      <c r="C48" s="143"/>
      <c r="D48" s="143"/>
      <c r="E48" s="143"/>
      <c r="F48" s="142"/>
      <c r="G48" s="144"/>
      <c r="H48" s="143"/>
      <c r="I48" s="143"/>
      <c r="J48" s="143"/>
      <c r="K48" s="142"/>
      <c r="L48" s="144"/>
      <c r="M48" s="143"/>
      <c r="N48" s="143"/>
      <c r="O48" s="143"/>
      <c r="P48" s="142"/>
      <c r="Q48" s="144"/>
      <c r="R48" s="143"/>
      <c r="S48" s="143"/>
      <c r="T48" s="143"/>
      <c r="U48" s="142"/>
      <c r="V48" s="144"/>
      <c r="W48" s="143"/>
      <c r="X48" s="143"/>
      <c r="Y48" s="143"/>
      <c r="Z48" s="142"/>
      <c r="AA48" s="144"/>
      <c r="AB48" s="143"/>
      <c r="AC48" s="143"/>
      <c r="AD48" s="143"/>
      <c r="AE48" s="142"/>
      <c r="AF48" s="144"/>
      <c r="AG48" s="143"/>
      <c r="AH48" s="143"/>
      <c r="AI48" s="143"/>
      <c r="AJ48" s="142"/>
      <c r="AK48" s="144"/>
      <c r="AL48" s="143"/>
      <c r="AM48" s="143"/>
      <c r="AN48" s="143"/>
      <c r="AO48" s="142"/>
      <c r="AP48" s="144"/>
      <c r="AQ48" s="143"/>
      <c r="AR48" s="143"/>
      <c r="AS48" s="143"/>
      <c r="AT48" s="142"/>
      <c r="AU48" s="144"/>
      <c r="AV48" s="143"/>
      <c r="AW48" s="143"/>
      <c r="AX48" s="143"/>
      <c r="AY48" s="142"/>
      <c r="AZ48" s="144"/>
      <c r="BA48" s="143"/>
      <c r="BB48" s="143"/>
      <c r="BC48" s="142"/>
      <c r="BD48" s="144"/>
      <c r="BE48" s="143"/>
      <c r="BF48" s="142"/>
      <c r="BG48" s="144"/>
      <c r="BH48" s="143"/>
      <c r="BI48" s="142"/>
      <c r="BJ48" s="144"/>
      <c r="BK48" s="143"/>
      <c r="BL48" s="142"/>
      <c r="BM48" s="144"/>
      <c r="BN48" s="143"/>
      <c r="BO48" s="142"/>
      <c r="BP48" s="144"/>
      <c r="BQ48" s="143"/>
      <c r="BR48" s="142"/>
      <c r="BS48" s="144"/>
      <c r="BT48" s="143"/>
      <c r="BU48" s="142"/>
      <c r="BV48" s="142"/>
      <c r="BW48" s="142"/>
      <c r="BX48" s="142"/>
      <c r="BY48" s="142"/>
      <c r="BZ48" s="142"/>
      <c r="CA48" s="142"/>
      <c r="CB48" s="142"/>
      <c r="CC48" s="142"/>
      <c r="CD48" s="142"/>
      <c r="CE48" s="142"/>
      <c r="CF48" s="142"/>
      <c r="CG48" s="142"/>
      <c r="CH48" s="142"/>
      <c r="CI48" s="142"/>
    </row>
    <row r="49" spans="2:87" ht="20.100000000000001" customHeight="1" x14ac:dyDescent="0.25">
      <c r="B49" s="144"/>
      <c r="C49" s="143"/>
      <c r="D49" s="143"/>
      <c r="E49" s="143"/>
      <c r="F49" s="142"/>
      <c r="G49" s="144"/>
      <c r="H49" s="143"/>
      <c r="I49" s="143"/>
      <c r="J49" s="143"/>
      <c r="K49" s="142"/>
      <c r="L49" s="144"/>
      <c r="M49" s="143"/>
      <c r="N49" s="143"/>
      <c r="O49" s="143"/>
      <c r="P49" s="142"/>
      <c r="Q49" s="144"/>
      <c r="R49" s="143"/>
      <c r="S49" s="143"/>
      <c r="T49" s="143"/>
      <c r="U49" s="142"/>
      <c r="V49" s="144"/>
      <c r="W49" s="143"/>
      <c r="X49" s="143"/>
      <c r="Y49" s="143"/>
      <c r="Z49" s="142"/>
      <c r="AA49" s="144"/>
      <c r="AB49" s="143"/>
      <c r="AC49" s="143"/>
      <c r="AD49" s="143"/>
      <c r="AE49" s="142"/>
      <c r="AF49" s="144"/>
      <c r="AG49" s="143"/>
      <c r="AH49" s="143"/>
      <c r="AI49" s="143"/>
      <c r="AJ49" s="142"/>
      <c r="AK49" s="144"/>
      <c r="AL49" s="143"/>
      <c r="AM49" s="143"/>
      <c r="AN49" s="143"/>
      <c r="AO49" s="142"/>
      <c r="AP49" s="144"/>
      <c r="AQ49" s="143"/>
      <c r="AR49" s="143"/>
      <c r="AS49" s="143"/>
      <c r="AT49" s="142"/>
      <c r="AU49" s="144"/>
      <c r="AV49" s="143"/>
      <c r="AW49" s="143"/>
      <c r="AX49" s="143"/>
      <c r="AY49" s="142"/>
      <c r="AZ49" s="144"/>
      <c r="BA49" s="143"/>
      <c r="BB49" s="143"/>
      <c r="BC49" s="142"/>
      <c r="BD49" s="144"/>
      <c r="BE49" s="143"/>
      <c r="BF49" s="142"/>
      <c r="BG49" s="144"/>
      <c r="BH49" s="143"/>
      <c r="BI49" s="142"/>
      <c r="BJ49" s="144"/>
      <c r="BK49" s="143"/>
      <c r="BL49" s="142"/>
      <c r="BM49" s="144"/>
      <c r="BN49" s="143"/>
      <c r="BO49" s="142"/>
      <c r="BP49" s="144"/>
      <c r="BQ49" s="143"/>
      <c r="BR49" s="142"/>
      <c r="BS49" s="144"/>
      <c r="BT49" s="143"/>
      <c r="BU49" s="142"/>
      <c r="BV49" s="142"/>
      <c r="BW49" s="142"/>
      <c r="BX49" s="142"/>
      <c r="BY49" s="142"/>
      <c r="BZ49" s="142"/>
      <c r="CA49" s="142"/>
      <c r="CB49" s="142"/>
      <c r="CC49" s="142"/>
      <c r="CD49" s="142"/>
      <c r="CE49" s="142"/>
      <c r="CF49" s="142"/>
      <c r="CG49" s="142"/>
      <c r="CH49" s="142"/>
      <c r="CI49" s="142"/>
    </row>
    <row r="51" spans="2:87" ht="48.2" customHeight="1" x14ac:dyDescent="0.35">
      <c r="B51" s="141" t="s">
        <v>341</v>
      </c>
      <c r="C51" s="140" t="s">
        <v>340</v>
      </c>
      <c r="D51" s="140"/>
      <c r="E51" s="140"/>
      <c r="G51" s="140" t="s">
        <v>341</v>
      </c>
      <c r="H51" s="140" t="s">
        <v>340</v>
      </c>
      <c r="I51" s="140"/>
      <c r="J51" s="140"/>
      <c r="L51" s="140" t="s">
        <v>341</v>
      </c>
      <c r="M51" s="140" t="s">
        <v>340</v>
      </c>
      <c r="N51" s="140"/>
      <c r="O51" s="140"/>
      <c r="Q51" s="140" t="s">
        <v>341</v>
      </c>
      <c r="R51" s="140" t="s">
        <v>340</v>
      </c>
      <c r="S51" s="140"/>
      <c r="T51" s="140"/>
      <c r="V51" s="140" t="s">
        <v>341</v>
      </c>
      <c r="W51" s="140" t="s">
        <v>340</v>
      </c>
      <c r="X51" s="140"/>
      <c r="Y51" s="140"/>
      <c r="AA51" s="140" t="s">
        <v>341</v>
      </c>
      <c r="AB51" s="140" t="s">
        <v>340</v>
      </c>
      <c r="AC51" s="140"/>
      <c r="AD51" s="140"/>
      <c r="AF51" s="140" t="s">
        <v>341</v>
      </c>
      <c r="AG51" s="140" t="s">
        <v>340</v>
      </c>
      <c r="AH51" s="140"/>
      <c r="AI51" s="140"/>
      <c r="AK51" s="140" t="s">
        <v>341</v>
      </c>
      <c r="AL51" s="140" t="s">
        <v>340</v>
      </c>
      <c r="AM51" s="140"/>
      <c r="AN51" s="140"/>
      <c r="AP51" s="140" t="s">
        <v>341</v>
      </c>
      <c r="AQ51" s="140" t="s">
        <v>340</v>
      </c>
      <c r="AR51" s="140"/>
      <c r="AS51" s="140"/>
      <c r="AU51" s="140" t="s">
        <v>341</v>
      </c>
      <c r="AV51" s="140" t="s">
        <v>340</v>
      </c>
      <c r="AW51" s="140"/>
      <c r="AX51" s="140"/>
      <c r="AZ51" s="140" t="s">
        <v>341</v>
      </c>
      <c r="BA51" s="140" t="s">
        <v>340</v>
      </c>
      <c r="BB51" s="140"/>
      <c r="BD51" s="140" t="s">
        <v>341</v>
      </c>
      <c r="BE51" s="140" t="s">
        <v>340</v>
      </c>
      <c r="BG51" s="140" t="s">
        <v>341</v>
      </c>
      <c r="BH51" s="140" t="s">
        <v>340</v>
      </c>
      <c r="BJ51" s="140" t="s">
        <v>341</v>
      </c>
      <c r="BK51" s="140" t="s">
        <v>340</v>
      </c>
      <c r="BM51" s="140" t="s">
        <v>341</v>
      </c>
      <c r="BN51" s="140" t="s">
        <v>340</v>
      </c>
      <c r="BP51" s="140" t="s">
        <v>341</v>
      </c>
      <c r="BQ51" s="140" t="s">
        <v>340</v>
      </c>
      <c r="BS51" s="140" t="s">
        <v>341</v>
      </c>
      <c r="BT51" s="140" t="s">
        <v>340</v>
      </c>
    </row>
    <row r="52" spans="2:87" ht="18.75" x14ac:dyDescent="0.25">
      <c r="B52" s="139">
        <v>1</v>
      </c>
      <c r="C52" s="138">
        <f>(C10+C29)-(2*0.16)</f>
        <v>1.2</v>
      </c>
      <c r="D52" s="138"/>
      <c r="E52" s="138"/>
      <c r="G52" s="139">
        <v>1</v>
      </c>
      <c r="H52" s="138">
        <f>(H10+H29)-(2*0.16)</f>
        <v>1.17</v>
      </c>
      <c r="I52" s="138"/>
      <c r="J52" s="138"/>
      <c r="L52" s="139">
        <v>1</v>
      </c>
      <c r="M52" s="138">
        <f>(M10+M29)-(2*0.16)</f>
        <v>1.38</v>
      </c>
      <c r="N52" s="138"/>
      <c r="O52" s="138"/>
      <c r="Q52" s="139">
        <v>1</v>
      </c>
      <c r="R52" s="138">
        <f>(R10+R29)-(2*0.16)</f>
        <v>1.19</v>
      </c>
      <c r="S52" s="138"/>
      <c r="T52" s="138"/>
      <c r="V52" s="139">
        <v>1</v>
      </c>
      <c r="W52" s="138">
        <f>(W10+W29)-(2*0.16)</f>
        <v>1.1199999999999999</v>
      </c>
      <c r="X52" s="138"/>
      <c r="Y52" s="138"/>
      <c r="AA52" s="139">
        <v>1</v>
      </c>
      <c r="AB52" s="138">
        <f>(AB10+AB29)-(2*0.16)</f>
        <v>1.25</v>
      </c>
      <c r="AC52" s="138"/>
      <c r="AD52" s="138"/>
      <c r="AF52" s="139">
        <v>1</v>
      </c>
      <c r="AG52" s="138">
        <f>(AG10+AG29)-(2*0.16)</f>
        <v>1.1599999999999999</v>
      </c>
      <c r="AH52" s="138"/>
      <c r="AI52" s="138"/>
      <c r="AK52" s="139">
        <v>1</v>
      </c>
      <c r="AL52" s="138">
        <f>(AL10+AL29)-(2*0.16)</f>
        <v>1.38</v>
      </c>
      <c r="AM52" s="138"/>
      <c r="AN52" s="138"/>
      <c r="AP52" s="139">
        <v>1</v>
      </c>
      <c r="AQ52" s="138">
        <f>(AQ10+AQ29)-(2*0.16)</f>
        <v>1.0899999999999999</v>
      </c>
      <c r="AR52" s="138"/>
      <c r="AS52" s="138"/>
      <c r="AU52" s="139">
        <v>1</v>
      </c>
      <c r="AV52" s="138">
        <f>(AV10+AV29)-(2*0.16)</f>
        <v>1.0599999999999998</v>
      </c>
      <c r="AW52" s="138"/>
      <c r="AX52" s="138"/>
      <c r="AZ52" s="139">
        <v>1</v>
      </c>
      <c r="BA52" s="138">
        <f>(BA10+BA29)-(2*0.16)</f>
        <v>0.90999999999999992</v>
      </c>
      <c r="BB52" s="138"/>
      <c r="BD52" s="139">
        <v>1</v>
      </c>
      <c r="BE52" s="138">
        <f>(BE10+BE29)-(2*0.16)</f>
        <v>-0.32</v>
      </c>
      <c r="BG52" s="139">
        <v>1</v>
      </c>
      <c r="BH52" s="138">
        <f>(BH10+BH29)-(2*0.16)</f>
        <v>-0.32</v>
      </c>
      <c r="BJ52" s="139">
        <v>1</v>
      </c>
      <c r="BK52" s="138">
        <f>(BK10+BK29)-(2*0.16)</f>
        <v>-0.32</v>
      </c>
      <c r="BM52" s="139">
        <v>1</v>
      </c>
      <c r="BN52" s="138">
        <f>(BN10+BN29)-(2*0.16)</f>
        <v>-0.32</v>
      </c>
      <c r="BP52" s="139">
        <v>1</v>
      </c>
      <c r="BQ52" s="138">
        <f>(BQ10+BQ29)-(2*0.16)</f>
        <v>-0.32</v>
      </c>
      <c r="BS52" s="139">
        <v>1</v>
      </c>
      <c r="BT52" s="138">
        <f>(BT10+BT29)-(2*0.16)</f>
        <v>-0.32</v>
      </c>
    </row>
    <row r="53" spans="2:87" ht="18.75" x14ac:dyDescent="0.25">
      <c r="B53" s="139">
        <v>2</v>
      </c>
      <c r="C53" s="138">
        <f>(C11+C28)-(2*0.16)</f>
        <v>1.8499999999999999</v>
      </c>
      <c r="D53" s="138"/>
      <c r="E53" s="138"/>
      <c r="G53" s="139">
        <v>2</v>
      </c>
      <c r="H53" s="138">
        <f>(H11+H28)-(2*0.16)</f>
        <v>1.04</v>
      </c>
      <c r="I53" s="138"/>
      <c r="J53" s="138"/>
      <c r="L53" s="139">
        <v>2</v>
      </c>
      <c r="M53" s="138">
        <f>(M11+M28)-(2*0.16)</f>
        <v>1.28</v>
      </c>
      <c r="N53" s="138"/>
      <c r="O53" s="138"/>
      <c r="Q53" s="139">
        <v>2</v>
      </c>
      <c r="R53" s="138">
        <f>(R11+R28)-(2*0.16)</f>
        <v>1.1599999999999999</v>
      </c>
      <c r="S53" s="138"/>
      <c r="T53" s="138"/>
      <c r="V53" s="139">
        <v>2</v>
      </c>
      <c r="W53" s="138">
        <f>(W11+W28)-(2*0.16)</f>
        <v>1.3099999999999998</v>
      </c>
      <c r="X53" s="138"/>
      <c r="Y53" s="138"/>
      <c r="AA53" s="139">
        <v>2</v>
      </c>
      <c r="AB53" s="138">
        <f>(AB11+AB28)-(2*0.16)</f>
        <v>1.1499999999999999</v>
      </c>
      <c r="AC53" s="138"/>
      <c r="AD53" s="138"/>
      <c r="AF53" s="139">
        <v>2</v>
      </c>
      <c r="AG53" s="138">
        <f>(AG11+AG28)-(2*0.16)</f>
        <v>1.29</v>
      </c>
      <c r="AH53" s="138"/>
      <c r="AI53" s="138"/>
      <c r="AK53" s="139">
        <v>2</v>
      </c>
      <c r="AL53" s="138">
        <f>(AL11+AL28)-(2*0.16)</f>
        <v>1.1199999999999999</v>
      </c>
      <c r="AM53" s="138"/>
      <c r="AN53" s="138"/>
      <c r="AP53" s="139">
        <v>2</v>
      </c>
      <c r="AQ53" s="138">
        <f>(AQ11+AQ28)-(2*0.16)</f>
        <v>1.17</v>
      </c>
      <c r="AR53" s="138"/>
      <c r="AS53" s="138"/>
      <c r="AU53" s="139">
        <v>2</v>
      </c>
      <c r="AV53" s="138">
        <f>(AV11+AV28)-(2*0.16)</f>
        <v>0.99</v>
      </c>
      <c r="AW53" s="138"/>
      <c r="AX53" s="138"/>
      <c r="AZ53" s="139">
        <v>2</v>
      </c>
      <c r="BA53" s="138">
        <f>(BA11+BA28)-(2*0.16)</f>
        <v>0.99</v>
      </c>
      <c r="BB53" s="138"/>
      <c r="BD53" s="139">
        <v>2</v>
      </c>
      <c r="BE53" s="138">
        <f>(BE11+BE28)-(2*0.16)</f>
        <v>-0.32</v>
      </c>
      <c r="BG53" s="139">
        <v>2</v>
      </c>
      <c r="BH53" s="138">
        <f>(BH11+BH28)-(2*0.16)</f>
        <v>-0.32</v>
      </c>
      <c r="BJ53" s="139">
        <v>2</v>
      </c>
      <c r="BK53" s="138">
        <f>(BK11+BK28)-(2*0.16)</f>
        <v>-0.32</v>
      </c>
      <c r="BM53" s="139">
        <v>2</v>
      </c>
      <c r="BN53" s="138">
        <f>(BN11+BN28)-(2*0.16)</f>
        <v>-0.32</v>
      </c>
      <c r="BP53" s="139">
        <v>2</v>
      </c>
      <c r="BQ53" s="138">
        <f>(BQ11+BQ28)-(2*0.16)</f>
        <v>-0.32</v>
      </c>
      <c r="BS53" s="139">
        <v>2</v>
      </c>
      <c r="BT53" s="138">
        <f>(BT11+BT28)-(2*0.16)</f>
        <v>-0.32</v>
      </c>
    </row>
    <row r="54" spans="2:87" ht="18.75" x14ac:dyDescent="0.25">
      <c r="B54" s="139">
        <v>3</v>
      </c>
      <c r="C54" s="138">
        <f>(C12+C27)-(2*0.16)</f>
        <v>1.28</v>
      </c>
      <c r="D54" s="138"/>
      <c r="E54" s="138"/>
      <c r="G54" s="139">
        <v>3</v>
      </c>
      <c r="H54" s="138">
        <f>(H12+H27)-(2*0.16)</f>
        <v>0.89999999999999991</v>
      </c>
      <c r="I54" s="138"/>
      <c r="J54" s="138"/>
      <c r="L54" s="139">
        <v>3</v>
      </c>
      <c r="M54" s="138">
        <f>(M12+M27)-(2*0.16)</f>
        <v>1.45</v>
      </c>
      <c r="N54" s="138"/>
      <c r="O54" s="138"/>
      <c r="Q54" s="139">
        <v>3</v>
      </c>
      <c r="R54" s="138">
        <f>(R12+R27)-(2*0.16)</f>
        <v>1.1499999999999999</v>
      </c>
      <c r="S54" s="138"/>
      <c r="T54" s="138"/>
      <c r="V54" s="139">
        <v>3</v>
      </c>
      <c r="W54" s="138">
        <f>(W12+W27)-(2*0.16)</f>
        <v>1.3499999999999999</v>
      </c>
      <c r="X54" s="138"/>
      <c r="Y54" s="138"/>
      <c r="AA54" s="139">
        <v>3</v>
      </c>
      <c r="AB54" s="138">
        <f>(AB12+AB27)-(2*0.16)</f>
        <v>1.1199999999999999</v>
      </c>
      <c r="AC54" s="138"/>
      <c r="AD54" s="138"/>
      <c r="AF54" s="139">
        <v>3</v>
      </c>
      <c r="AG54" s="138">
        <f>(AG12+AG27)-(2*0.16)</f>
        <v>1.3299999999999998</v>
      </c>
      <c r="AH54" s="138"/>
      <c r="AI54" s="138"/>
      <c r="AK54" s="139">
        <v>3</v>
      </c>
      <c r="AL54" s="138">
        <f>(AL12+AL27)-(2*0.16)</f>
        <v>1.1299999999999999</v>
      </c>
      <c r="AM54" s="138"/>
      <c r="AN54" s="138"/>
      <c r="AP54" s="139">
        <v>3</v>
      </c>
      <c r="AQ54" s="138">
        <f>(AQ12+AQ27)-(2*0.16)</f>
        <v>1.2</v>
      </c>
      <c r="AR54" s="138"/>
      <c r="AS54" s="138"/>
      <c r="AU54" s="139">
        <v>3</v>
      </c>
      <c r="AV54" s="138">
        <f>(AV12+AV27)-(2*0.16)</f>
        <v>1.1399999999999999</v>
      </c>
      <c r="AW54" s="138"/>
      <c r="AX54" s="138"/>
      <c r="AZ54" s="139">
        <v>3</v>
      </c>
      <c r="BA54" s="138">
        <f>(BA12+BA27)-(2*0.16)</f>
        <v>1.0999999999999999</v>
      </c>
      <c r="BB54" s="138"/>
      <c r="BD54" s="139">
        <v>3</v>
      </c>
      <c r="BE54" s="138">
        <f>(BE12+BE27)-(2*0.16)</f>
        <v>-0.32</v>
      </c>
      <c r="BG54" s="139">
        <v>3</v>
      </c>
      <c r="BH54" s="138">
        <f>(BH12+BH27)-(2*0.16)</f>
        <v>-0.32</v>
      </c>
      <c r="BJ54" s="139">
        <v>3</v>
      </c>
      <c r="BK54" s="138">
        <f>(BK12+BK27)-(2*0.16)</f>
        <v>-0.32</v>
      </c>
      <c r="BM54" s="139">
        <v>3</v>
      </c>
      <c r="BN54" s="138">
        <f>(BN12+BN27)-(2*0.16)</f>
        <v>-0.32</v>
      </c>
      <c r="BP54" s="139">
        <v>3</v>
      </c>
      <c r="BQ54" s="138">
        <f>(BQ12+BQ27)-(2*0.16)</f>
        <v>-0.32</v>
      </c>
      <c r="BS54" s="139">
        <v>3</v>
      </c>
      <c r="BT54" s="138">
        <f>(BT12+BT27)-(2*0.16)</f>
        <v>-0.32</v>
      </c>
    </row>
    <row r="55" spans="2:87" ht="18.75" x14ac:dyDescent="0.25">
      <c r="B55" s="139">
        <v>4</v>
      </c>
      <c r="C55" s="138">
        <f>(C13+C26)-(2*0.16)</f>
        <v>1.48</v>
      </c>
      <c r="D55" s="138"/>
      <c r="E55" s="138"/>
      <c r="G55" s="139">
        <v>4</v>
      </c>
      <c r="H55" s="138">
        <f>(H13+H26)-(2*0.16)</f>
        <v>1</v>
      </c>
      <c r="I55" s="138"/>
      <c r="J55" s="138"/>
      <c r="L55" s="139">
        <v>4</v>
      </c>
      <c r="M55" s="138">
        <f>(M13+M26)-(2*0.16)</f>
        <v>1.1499999999999999</v>
      </c>
      <c r="N55" s="138"/>
      <c r="O55" s="138"/>
      <c r="Q55" s="139">
        <v>4</v>
      </c>
      <c r="R55" s="138">
        <f>(R13+R26)-(2*0.16)</f>
        <v>1.1399999999999999</v>
      </c>
      <c r="S55" s="138"/>
      <c r="T55" s="138"/>
      <c r="V55" s="139">
        <v>4</v>
      </c>
      <c r="W55" s="138">
        <f>(W13+W26)-(2*0.16)</f>
        <v>1.3699999999999999</v>
      </c>
      <c r="X55" s="138"/>
      <c r="Y55" s="138"/>
      <c r="AA55" s="139">
        <v>4</v>
      </c>
      <c r="AB55" s="138">
        <f>(AB13+AB26)-(2*0.16)</f>
        <v>1.3699999999999999</v>
      </c>
      <c r="AC55" s="138"/>
      <c r="AD55" s="138"/>
      <c r="AF55" s="139">
        <v>4</v>
      </c>
      <c r="AG55" s="138">
        <f>(AG13+AG26)-(2*0.16)</f>
        <v>1.3699999999999999</v>
      </c>
      <c r="AH55" s="138"/>
      <c r="AI55" s="138"/>
      <c r="AK55" s="139">
        <v>4</v>
      </c>
      <c r="AL55" s="138">
        <f>(AL13+AL26)-(2*0.16)</f>
        <v>1.25</v>
      </c>
      <c r="AM55" s="138"/>
      <c r="AN55" s="138"/>
      <c r="AP55" s="139">
        <v>4</v>
      </c>
      <c r="AQ55" s="138">
        <f>(AQ13+AQ26)-(2*0.16)</f>
        <v>1.29</v>
      </c>
      <c r="AR55" s="138"/>
      <c r="AS55" s="138"/>
      <c r="AU55" s="139">
        <v>4</v>
      </c>
      <c r="AV55" s="138">
        <f>(AV13+AV26)-(2*0.16)</f>
        <v>1.53</v>
      </c>
      <c r="AW55" s="138"/>
      <c r="AX55" s="138"/>
      <c r="AZ55" s="139">
        <v>4</v>
      </c>
      <c r="BA55" s="138">
        <f>(BA13+BA26)-(2*0.16)</f>
        <v>1.25</v>
      </c>
      <c r="BB55" s="138"/>
      <c r="BD55" s="139">
        <v>4</v>
      </c>
      <c r="BE55" s="138">
        <f>(BE13+BE26)-(2*0.16)</f>
        <v>-0.32</v>
      </c>
      <c r="BG55" s="139">
        <v>4</v>
      </c>
      <c r="BH55" s="138">
        <f>(BH13+BH26)-(2*0.16)</f>
        <v>-0.32</v>
      </c>
      <c r="BJ55" s="139">
        <v>4</v>
      </c>
      <c r="BK55" s="138">
        <f>(BK13+BK26)-(2*0.16)</f>
        <v>-0.32</v>
      </c>
      <c r="BM55" s="139">
        <v>4</v>
      </c>
      <c r="BN55" s="138">
        <f>(BN13+BN26)-(2*0.16)</f>
        <v>-0.32</v>
      </c>
      <c r="BP55" s="139">
        <v>4</v>
      </c>
      <c r="BQ55" s="138">
        <f>(BQ13+BQ26)-(2*0.16)</f>
        <v>-0.32</v>
      </c>
      <c r="BS55" s="139">
        <v>4</v>
      </c>
      <c r="BT55" s="138">
        <f>(BT13+BT26)-(2*0.16)</f>
        <v>-0.32</v>
      </c>
    </row>
    <row r="56" spans="2:87" ht="18.75" x14ac:dyDescent="0.25">
      <c r="B56" s="139">
        <v>5</v>
      </c>
      <c r="C56" s="138">
        <f>(C14+C25)-(2*0.16)</f>
        <v>1.72</v>
      </c>
      <c r="D56" s="138"/>
      <c r="E56" s="138"/>
      <c r="G56" s="139">
        <v>5</v>
      </c>
      <c r="H56" s="138">
        <f>(H14+H25)-(2*0.16)</f>
        <v>1.01</v>
      </c>
      <c r="I56" s="138"/>
      <c r="J56" s="138"/>
      <c r="L56" s="139">
        <v>5</v>
      </c>
      <c r="M56" s="138">
        <f>(M14+M25)-(2*0.16)</f>
        <v>1.3099999999999998</v>
      </c>
      <c r="N56" s="138"/>
      <c r="O56" s="138"/>
      <c r="Q56" s="139">
        <v>5</v>
      </c>
      <c r="R56" s="138">
        <f>(R14+R25)-(2*0.16)</f>
        <v>1.38</v>
      </c>
      <c r="S56" s="138"/>
      <c r="T56" s="138"/>
      <c r="V56" s="139">
        <v>5</v>
      </c>
      <c r="W56" s="138">
        <f>(W14+W25)-(2*0.16)</f>
        <v>1.43</v>
      </c>
      <c r="X56" s="138"/>
      <c r="Y56" s="138"/>
      <c r="AA56" s="139">
        <v>5</v>
      </c>
      <c r="AB56" s="138">
        <f>(AB14+AB25)-(2*0.16)</f>
        <v>1.1199999999999999</v>
      </c>
      <c r="AC56" s="138"/>
      <c r="AD56" s="138"/>
      <c r="AF56" s="139">
        <v>5</v>
      </c>
      <c r="AG56" s="138">
        <f>(AG14+AG25)-(2*0.16)</f>
        <v>1.21</v>
      </c>
      <c r="AH56" s="138"/>
      <c r="AI56" s="138"/>
      <c r="AK56" s="139">
        <v>5</v>
      </c>
      <c r="AL56" s="138">
        <f>(AL14+AL25)-(2*0.16)</f>
        <v>1.1099999999999999</v>
      </c>
      <c r="AM56" s="138"/>
      <c r="AN56" s="138"/>
      <c r="AP56" s="139">
        <v>5</v>
      </c>
      <c r="AQ56" s="138">
        <f>(AQ14+AQ25)-(2*0.16)</f>
        <v>1.1399999999999999</v>
      </c>
      <c r="AR56" s="138"/>
      <c r="AS56" s="138"/>
      <c r="AU56" s="139">
        <v>5</v>
      </c>
      <c r="AV56" s="138">
        <f>(AV14+AV25)-(2*0.16)</f>
        <v>1.19</v>
      </c>
      <c r="AW56" s="138"/>
      <c r="AX56" s="138"/>
      <c r="AZ56" s="139">
        <v>5</v>
      </c>
      <c r="BA56" s="138">
        <f>(BA14+BA25)-(2*0.16)</f>
        <v>1.24</v>
      </c>
      <c r="BB56" s="138"/>
      <c r="BD56" s="139">
        <v>5</v>
      </c>
      <c r="BE56" s="138">
        <f>(BE14+BE25)-(2*0.16)</f>
        <v>-0.32</v>
      </c>
      <c r="BG56" s="139">
        <v>5</v>
      </c>
      <c r="BH56" s="138">
        <f>(BH14+BH25)-(2*0.16)</f>
        <v>-0.32</v>
      </c>
      <c r="BJ56" s="139">
        <v>5</v>
      </c>
      <c r="BK56" s="138">
        <f>(BK14+BK25)-(2*0.16)</f>
        <v>-0.32</v>
      </c>
      <c r="BM56" s="139">
        <v>5</v>
      </c>
      <c r="BN56" s="138">
        <f>(BN14+BN25)-(2*0.16)</f>
        <v>-0.32</v>
      </c>
      <c r="BP56" s="139">
        <v>5</v>
      </c>
      <c r="BQ56" s="138">
        <f>(BQ14+BQ25)-(2*0.16)</f>
        <v>-0.32</v>
      </c>
      <c r="BS56" s="139">
        <v>5</v>
      </c>
      <c r="BT56" s="138">
        <f>(BT14+BT25)-(2*0.16)</f>
        <v>-0.32</v>
      </c>
    </row>
    <row r="57" spans="2:87" ht="18.75" x14ac:dyDescent="0.25">
      <c r="B57" s="139">
        <v>6</v>
      </c>
      <c r="C57" s="138">
        <f>(C15+C24)-(2*0.16)</f>
        <v>1.7299999999999998</v>
      </c>
      <c r="D57" s="138"/>
      <c r="E57" s="138"/>
      <c r="G57" s="139">
        <v>6</v>
      </c>
      <c r="H57" s="138">
        <f>(H15+H24)-(2*0.16)</f>
        <v>1.02</v>
      </c>
      <c r="I57" s="138"/>
      <c r="J57" s="138"/>
      <c r="L57" s="139">
        <v>6</v>
      </c>
      <c r="M57" s="138">
        <f>(M15+M24)-(2*0.16)</f>
        <v>1.1199999999999999</v>
      </c>
      <c r="N57" s="138"/>
      <c r="O57" s="138"/>
      <c r="Q57" s="139">
        <v>6</v>
      </c>
      <c r="R57" s="138">
        <f>(R15+R24)-(2*0.16)</f>
        <v>1.1499999999999999</v>
      </c>
      <c r="S57" s="138"/>
      <c r="T57" s="138"/>
      <c r="V57" s="139">
        <v>6</v>
      </c>
      <c r="W57" s="138">
        <f>(W15+W24)-(2*0.16)</f>
        <v>1.1599999999999999</v>
      </c>
      <c r="X57" s="138"/>
      <c r="Y57" s="138"/>
      <c r="AA57" s="139">
        <v>6</v>
      </c>
      <c r="AB57" s="138">
        <f>(AB15+AB24)-(2*0.16)</f>
        <v>1.23</v>
      </c>
      <c r="AC57" s="138"/>
      <c r="AD57" s="138"/>
      <c r="AF57" s="139">
        <v>6</v>
      </c>
      <c r="AG57" s="138">
        <f>(AG15+AG24)-(2*0.16)</f>
        <v>1.3699999999999999</v>
      </c>
      <c r="AH57" s="138"/>
      <c r="AI57" s="138"/>
      <c r="AK57" s="139">
        <v>6</v>
      </c>
      <c r="AL57" s="138">
        <f>(AL15+AL24)-(2*0.16)</f>
        <v>1.1599999999999999</v>
      </c>
      <c r="AM57" s="138"/>
      <c r="AN57" s="138"/>
      <c r="AP57" s="139">
        <v>6</v>
      </c>
      <c r="AQ57" s="138">
        <f>(AQ15+AQ24)-(2*0.16)</f>
        <v>1.0899999999999999</v>
      </c>
      <c r="AR57" s="138"/>
      <c r="AS57" s="138"/>
      <c r="AU57" s="139">
        <v>6</v>
      </c>
      <c r="AV57" s="138">
        <f>(AV15+AV24)-(2*0.16)</f>
        <v>1.17</v>
      </c>
      <c r="AW57" s="138"/>
      <c r="AX57" s="138"/>
      <c r="AZ57" s="139">
        <v>6</v>
      </c>
      <c r="BA57" s="138">
        <f>(BA15+BA24)-(2*0.16)</f>
        <v>1.04</v>
      </c>
      <c r="BB57" s="138"/>
      <c r="BD57" s="139">
        <v>6</v>
      </c>
      <c r="BE57" s="138">
        <f>(BE15+BE24)-(2*0.16)</f>
        <v>-0.32</v>
      </c>
      <c r="BG57" s="139">
        <v>6</v>
      </c>
      <c r="BH57" s="138">
        <f>(BH15+BH24)-(2*0.16)</f>
        <v>-0.32</v>
      </c>
      <c r="BJ57" s="139">
        <v>6</v>
      </c>
      <c r="BK57" s="138">
        <f>(BK15+BK24)-(2*0.16)</f>
        <v>-0.32</v>
      </c>
      <c r="BM57" s="139">
        <v>6</v>
      </c>
      <c r="BN57" s="138">
        <f>(BN15+BN24)-(2*0.16)</f>
        <v>-0.32</v>
      </c>
      <c r="BP57" s="139">
        <v>6</v>
      </c>
      <c r="BQ57" s="138">
        <f>(BQ15+BQ24)-(2*0.16)</f>
        <v>-0.32</v>
      </c>
      <c r="BS57" s="139">
        <v>6</v>
      </c>
      <c r="BT57" s="138">
        <f>(BT15+BT24)-(2*0.16)</f>
        <v>-0.32</v>
      </c>
    </row>
    <row r="58" spans="2:87" ht="18.75" x14ac:dyDescent="0.25">
      <c r="B58" s="139">
        <v>7</v>
      </c>
      <c r="C58" s="138">
        <f>(C16+C23)-(2*0.16)</f>
        <v>1.66</v>
      </c>
      <c r="D58" s="138"/>
      <c r="E58" s="138"/>
      <c r="G58" s="139">
        <v>7</v>
      </c>
      <c r="H58" s="138">
        <f>(H16+H23)-(2*0.16)</f>
        <v>1.0599999999999998</v>
      </c>
      <c r="I58" s="138"/>
      <c r="J58" s="138"/>
      <c r="L58" s="139">
        <v>7</v>
      </c>
      <c r="M58" s="138">
        <f>(M16+M23)-(2*0.16)</f>
        <v>1.1399999999999999</v>
      </c>
      <c r="N58" s="138"/>
      <c r="O58" s="138"/>
      <c r="Q58" s="139">
        <v>7</v>
      </c>
      <c r="R58" s="138">
        <f>(R16+R23)-(2*0.16)</f>
        <v>1.25</v>
      </c>
      <c r="S58" s="138"/>
      <c r="T58" s="138"/>
      <c r="V58" s="139">
        <v>7</v>
      </c>
      <c r="W58" s="138">
        <f>(W16+W23)-(2*0.16)</f>
        <v>1.3599999999999999</v>
      </c>
      <c r="X58" s="138"/>
      <c r="Y58" s="138"/>
      <c r="AA58" s="139">
        <v>7</v>
      </c>
      <c r="AB58" s="138">
        <f>(AB16+AB23)-(2*0.16)</f>
        <v>1.22</v>
      </c>
      <c r="AC58" s="138"/>
      <c r="AD58" s="138"/>
      <c r="AF58" s="139">
        <v>7</v>
      </c>
      <c r="AG58" s="138">
        <f>(AG16+AG23)-(2*0.16)</f>
        <v>1.1599999999999999</v>
      </c>
      <c r="AH58" s="138"/>
      <c r="AI58" s="138"/>
      <c r="AK58" s="139">
        <v>7</v>
      </c>
      <c r="AL58" s="138">
        <f>(AL16+AL23)-(2*0.16)</f>
        <v>1.05</v>
      </c>
      <c r="AM58" s="138"/>
      <c r="AN58" s="138"/>
      <c r="AP58" s="139">
        <v>7</v>
      </c>
      <c r="AQ58" s="138">
        <f>(AQ16+AQ23)-(2*0.16)</f>
        <v>1.3499999999999999</v>
      </c>
      <c r="AR58" s="138"/>
      <c r="AS58" s="138"/>
      <c r="AU58" s="139">
        <v>7</v>
      </c>
      <c r="AV58" s="138">
        <f>(AV16+AV23)-(2*0.16)</f>
        <v>0.90999999999999992</v>
      </c>
      <c r="AW58" s="138"/>
      <c r="AX58" s="138"/>
      <c r="AZ58" s="139">
        <v>7</v>
      </c>
      <c r="BA58" s="138">
        <f>(BA16+BA23)-(2*0.16)</f>
        <v>0.97</v>
      </c>
      <c r="BB58" s="138"/>
      <c r="BD58" s="139">
        <v>7</v>
      </c>
      <c r="BE58" s="138">
        <f>(BE16+BE23)-(2*0.16)</f>
        <v>-0.32</v>
      </c>
      <c r="BG58" s="139">
        <v>7</v>
      </c>
      <c r="BH58" s="138">
        <f>(BH16+BH23)-(2*0.16)</f>
        <v>-0.32</v>
      </c>
      <c r="BJ58" s="139">
        <v>7</v>
      </c>
      <c r="BK58" s="138">
        <f>(BK16+BK23)-(2*0.16)</f>
        <v>-0.32</v>
      </c>
      <c r="BM58" s="139">
        <v>7</v>
      </c>
      <c r="BN58" s="138">
        <f>(BN16+BN23)-(2*0.16)</f>
        <v>-0.32</v>
      </c>
      <c r="BP58" s="139">
        <v>7</v>
      </c>
      <c r="BQ58" s="138">
        <f>(BQ16+BQ23)-(2*0.16)</f>
        <v>-0.32</v>
      </c>
      <c r="BS58" s="139">
        <v>7</v>
      </c>
      <c r="BT58" s="138">
        <f>(BT16+BT23)-(2*0.16)</f>
        <v>-0.32</v>
      </c>
    </row>
    <row r="59" spans="2:87" ht="18.75" x14ac:dyDescent="0.25">
      <c r="B59" s="139">
        <v>8</v>
      </c>
      <c r="C59" s="138">
        <f>(C17+C22)-(2*0.16)</f>
        <v>1.4</v>
      </c>
      <c r="D59" s="138"/>
      <c r="E59" s="138"/>
      <c r="G59" s="139">
        <v>8</v>
      </c>
      <c r="H59" s="138">
        <f>(H17+H22)-(2*0.16)</f>
        <v>1.0699999999999998</v>
      </c>
      <c r="I59" s="138"/>
      <c r="J59" s="138"/>
      <c r="L59" s="139">
        <v>8</v>
      </c>
      <c r="M59" s="138">
        <f>(M17+M22)-(2*0.16)</f>
        <v>1.5899999999999999</v>
      </c>
      <c r="N59" s="138"/>
      <c r="O59" s="138"/>
      <c r="Q59" s="139">
        <v>8</v>
      </c>
      <c r="R59" s="138">
        <f>(R17+R22)-(2*0.16)</f>
        <v>1.17</v>
      </c>
      <c r="S59" s="138"/>
      <c r="T59" s="138"/>
      <c r="V59" s="139">
        <v>8</v>
      </c>
      <c r="W59" s="138">
        <f>(W17+W22)-(2*0.16)</f>
        <v>1.38</v>
      </c>
      <c r="X59" s="138"/>
      <c r="Y59" s="138"/>
      <c r="AA59" s="139">
        <v>8</v>
      </c>
      <c r="AB59" s="138">
        <f>(AB17+AB22)-(2*0.16)</f>
        <v>1.24</v>
      </c>
      <c r="AC59" s="138"/>
      <c r="AD59" s="138"/>
      <c r="AF59" s="139">
        <v>8</v>
      </c>
      <c r="AG59" s="138">
        <f>(AG17+AG22)-(2*0.16)</f>
        <v>1.26</v>
      </c>
      <c r="AH59" s="138"/>
      <c r="AI59" s="138"/>
      <c r="AK59" s="139">
        <v>8</v>
      </c>
      <c r="AL59" s="138">
        <f>(AL17+AL22)-(2*0.16)</f>
        <v>1.1099999999999999</v>
      </c>
      <c r="AM59" s="138"/>
      <c r="AN59" s="138"/>
      <c r="AP59" s="139">
        <v>8</v>
      </c>
      <c r="AQ59" s="138">
        <f>(AQ17+AQ22)-(2*0.16)</f>
        <v>0.90999999999999992</v>
      </c>
      <c r="AR59" s="138"/>
      <c r="AS59" s="138"/>
      <c r="AU59" s="139">
        <v>8</v>
      </c>
      <c r="AV59" s="138">
        <f>(AV17+AV22)-(2*0.16)</f>
        <v>0.98</v>
      </c>
      <c r="AW59" s="138"/>
      <c r="AX59" s="138"/>
      <c r="AZ59" s="139">
        <v>8</v>
      </c>
      <c r="BA59" s="138">
        <f>(BA17+BA22)-(2*0.16)</f>
        <v>1.2</v>
      </c>
      <c r="BB59" s="138"/>
      <c r="BD59" s="139">
        <v>8</v>
      </c>
      <c r="BE59" s="138">
        <f>(BE17+BE22)-(2*0.16)</f>
        <v>-0.32</v>
      </c>
      <c r="BG59" s="139">
        <v>8</v>
      </c>
      <c r="BH59" s="138">
        <f>(BH17+BH22)-(2*0.16)</f>
        <v>-0.32</v>
      </c>
      <c r="BJ59" s="139">
        <v>8</v>
      </c>
      <c r="BK59" s="138">
        <f>(BK17+BK22)-(2*0.16)</f>
        <v>-0.32</v>
      </c>
      <c r="BM59" s="139">
        <v>8</v>
      </c>
      <c r="BN59" s="138">
        <f>(BN17+BN22)-(2*0.16)</f>
        <v>-0.32</v>
      </c>
      <c r="BP59" s="139">
        <v>8</v>
      </c>
      <c r="BQ59" s="138">
        <f>(BQ17+BQ22)-(2*0.16)</f>
        <v>-0.32</v>
      </c>
      <c r="BS59" s="139">
        <v>8</v>
      </c>
      <c r="BT59" s="138">
        <f>(BT17+BT22)-(2*0.16)</f>
        <v>-0.32</v>
      </c>
    </row>
    <row r="60" spans="2:87" ht="18.75" x14ac:dyDescent="0.25">
      <c r="B60" s="139">
        <v>9</v>
      </c>
      <c r="C60" s="138">
        <f>(C18+C21)-(2*0.16)</f>
        <v>1.1299999999999999</v>
      </c>
      <c r="D60" s="138"/>
      <c r="E60" s="138"/>
      <c r="G60" s="139">
        <v>9</v>
      </c>
      <c r="H60" s="138">
        <f>(H18+H21)-(2*0.16)</f>
        <v>0.92999999999999994</v>
      </c>
      <c r="I60" s="138"/>
      <c r="J60" s="138"/>
      <c r="L60" s="139">
        <v>9</v>
      </c>
      <c r="M60" s="138">
        <f>(M18+M21)-(2*0.16)</f>
        <v>1.19</v>
      </c>
      <c r="N60" s="138"/>
      <c r="O60" s="138"/>
      <c r="Q60" s="139">
        <v>9</v>
      </c>
      <c r="R60" s="138">
        <f>(R18+R21)-(2*0.16)</f>
        <v>1.41</v>
      </c>
      <c r="S60" s="138"/>
      <c r="T60" s="138"/>
      <c r="V60" s="139">
        <v>9</v>
      </c>
      <c r="W60" s="138">
        <f>(W18+W21)-(2*0.16)</f>
        <v>1.22</v>
      </c>
      <c r="X60" s="138"/>
      <c r="Y60" s="138"/>
      <c r="AA60" s="139">
        <v>9</v>
      </c>
      <c r="AB60" s="138">
        <f>(AB18+AB21)-(2*0.16)</f>
        <v>1.25</v>
      </c>
      <c r="AC60" s="138"/>
      <c r="AD60" s="138"/>
      <c r="AF60" s="139">
        <v>9</v>
      </c>
      <c r="AG60" s="138">
        <f>(AG18+AG21)-(2*0.16)</f>
        <v>1.3199999999999998</v>
      </c>
      <c r="AH60" s="138"/>
      <c r="AI60" s="138"/>
      <c r="AK60" s="139">
        <v>9</v>
      </c>
      <c r="AL60" s="138">
        <f>(AL18+AL21)-(2*0.16)</f>
        <v>1.19</v>
      </c>
      <c r="AM60" s="138"/>
      <c r="AN60" s="138"/>
      <c r="AP60" s="139">
        <v>9</v>
      </c>
      <c r="AQ60" s="138">
        <f>(AQ18+AQ21)-(2*0.16)</f>
        <v>1.3099999999999998</v>
      </c>
      <c r="AR60" s="138"/>
      <c r="AS60" s="138"/>
      <c r="AU60" s="139">
        <v>9</v>
      </c>
      <c r="AV60" s="138">
        <f>(AV18+AV21)-(2*0.16)</f>
        <v>1.1399999999999999</v>
      </c>
      <c r="AW60" s="138"/>
      <c r="AX60" s="138"/>
      <c r="AZ60" s="139">
        <v>9</v>
      </c>
      <c r="BA60" s="138">
        <f>(BA18+BA21)-(2*0.16)</f>
        <v>0.98</v>
      </c>
      <c r="BB60" s="138"/>
      <c r="BD60" s="139">
        <v>9</v>
      </c>
      <c r="BE60" s="138">
        <f>(BE18+BE21)-(2*0.16)</f>
        <v>-0.32</v>
      </c>
      <c r="BG60" s="139">
        <v>9</v>
      </c>
      <c r="BH60" s="138">
        <f>(BH18+BH21)-(2*0.16)</f>
        <v>-0.32</v>
      </c>
      <c r="BJ60" s="139">
        <v>9</v>
      </c>
      <c r="BK60" s="138">
        <f>(BK18+BK21)-(2*0.16)</f>
        <v>-0.32</v>
      </c>
      <c r="BM60" s="139">
        <v>9</v>
      </c>
      <c r="BN60" s="138">
        <f>(BN18+BN21)-(2*0.16)</f>
        <v>-0.32</v>
      </c>
      <c r="BP60" s="139">
        <v>9</v>
      </c>
      <c r="BQ60" s="138">
        <f>(BQ18+BQ21)-(2*0.16)</f>
        <v>-0.32</v>
      </c>
      <c r="BS60" s="139">
        <v>9</v>
      </c>
      <c r="BT60" s="138">
        <f>(BT18+BT21)-(2*0.16)</f>
        <v>-0.32</v>
      </c>
    </row>
    <row r="61" spans="2:87" ht="18.75" x14ac:dyDescent="0.25">
      <c r="B61" s="139">
        <v>10</v>
      </c>
      <c r="C61" s="138">
        <f>(C19+C20)-(2*0.16)</f>
        <v>3.0100000000000002</v>
      </c>
      <c r="D61" s="138"/>
      <c r="E61" s="138"/>
      <c r="G61" s="139">
        <v>10</v>
      </c>
      <c r="H61" s="138">
        <f>(H19+H20)-(2*0.16)</f>
        <v>2.2900000000000005</v>
      </c>
      <c r="I61" s="138"/>
      <c r="J61" s="138"/>
      <c r="L61" s="139">
        <v>10</v>
      </c>
      <c r="M61" s="138">
        <f>(M19+M20)-(2*0.16)</f>
        <v>2.6</v>
      </c>
      <c r="N61" s="138"/>
      <c r="O61" s="138"/>
      <c r="Q61" s="139">
        <v>10</v>
      </c>
      <c r="R61" s="138">
        <f>(R19+R20)-(2*0.16)</f>
        <v>2.9200000000000004</v>
      </c>
      <c r="S61" s="138"/>
      <c r="T61" s="138"/>
      <c r="V61" s="139">
        <v>10</v>
      </c>
      <c r="W61" s="138">
        <f>(W19+W20)-(2*0.16)</f>
        <v>3.3000000000000003</v>
      </c>
      <c r="X61" s="138"/>
      <c r="Y61" s="138"/>
      <c r="AA61" s="139">
        <v>10</v>
      </c>
      <c r="AB61" s="138">
        <f>(AB19+AB20)-(2*0.16)</f>
        <v>2.61</v>
      </c>
      <c r="AC61" s="138"/>
      <c r="AD61" s="138"/>
      <c r="AF61" s="139">
        <v>10</v>
      </c>
      <c r="AG61" s="138">
        <f>(AG19+AG20)-(2*0.16)</f>
        <v>2.97</v>
      </c>
      <c r="AH61" s="138"/>
      <c r="AI61" s="138"/>
      <c r="AK61" s="139">
        <v>10</v>
      </c>
      <c r="AL61" s="138">
        <f>(AL19+AL20)-(2*0.16)</f>
        <v>2.57</v>
      </c>
      <c r="AM61" s="138"/>
      <c r="AN61" s="138"/>
      <c r="AP61" s="139">
        <v>10</v>
      </c>
      <c r="AQ61" s="138">
        <f>(AQ19+AQ20)-(2*0.16)</f>
        <v>2.9</v>
      </c>
      <c r="AR61" s="138"/>
      <c r="AS61" s="138"/>
      <c r="AU61" s="139">
        <v>10</v>
      </c>
      <c r="AV61" s="138">
        <f>(AV19+AV20)-(2*0.16)</f>
        <v>2.52</v>
      </c>
      <c r="AW61" s="138"/>
      <c r="AX61" s="138"/>
      <c r="AZ61" s="139">
        <v>10</v>
      </c>
      <c r="BA61" s="138">
        <f>(BA19+BA20)-(2*0.16)</f>
        <v>3.2900000000000005</v>
      </c>
      <c r="BB61" s="138"/>
      <c r="BD61" s="139">
        <v>10</v>
      </c>
      <c r="BE61" s="138">
        <f>(BE19+BE20)-(2*0.16)</f>
        <v>-0.32</v>
      </c>
      <c r="BG61" s="139">
        <v>10</v>
      </c>
      <c r="BH61" s="138">
        <f>(BH19+BH20)-(2*0.16)</f>
        <v>-0.32</v>
      </c>
      <c r="BJ61" s="139">
        <v>10</v>
      </c>
      <c r="BK61" s="138">
        <f>(BK19+BK20)-(2*0.16)</f>
        <v>-0.32</v>
      </c>
      <c r="BM61" s="139">
        <v>10</v>
      </c>
      <c r="BN61" s="138">
        <f>(BN19+BN20)-(2*0.16)</f>
        <v>-0.32</v>
      </c>
      <c r="BP61" s="139">
        <v>10</v>
      </c>
      <c r="BQ61" s="138">
        <f>(BQ19+BQ20)-(2*0.16)</f>
        <v>-0.32</v>
      </c>
      <c r="BS61" s="139">
        <v>10</v>
      </c>
      <c r="BT61" s="138">
        <f>(BT19+BT20)-(2*0.16)</f>
        <v>-0.32</v>
      </c>
    </row>
    <row r="62" spans="2:87" ht="18.75" x14ac:dyDescent="0.25">
      <c r="B62" s="139">
        <v>11</v>
      </c>
      <c r="C62" s="138">
        <f>(C30+C49)-(2*0.16)</f>
        <v>-0.32</v>
      </c>
      <c r="D62" s="138"/>
      <c r="E62" s="138"/>
      <c r="G62" s="139">
        <v>11</v>
      </c>
      <c r="H62" s="138">
        <f>(H30+H49)-(2*0.16)</f>
        <v>-0.32</v>
      </c>
      <c r="I62" s="138"/>
      <c r="J62" s="138"/>
      <c r="L62" s="139">
        <v>11</v>
      </c>
      <c r="M62" s="138">
        <f>(M30+M49)-(2*0.16)</f>
        <v>-0.32</v>
      </c>
      <c r="N62" s="138"/>
      <c r="O62" s="138"/>
      <c r="Q62" s="139">
        <v>11</v>
      </c>
      <c r="R62" s="138">
        <f>(R30+R49)-(2*0.16)</f>
        <v>-0.32</v>
      </c>
      <c r="S62" s="138"/>
      <c r="T62" s="138"/>
      <c r="V62" s="139">
        <v>11</v>
      </c>
      <c r="W62" s="138">
        <f>(W30+W49)-(2*0.16)</f>
        <v>-0.32</v>
      </c>
      <c r="X62" s="138"/>
      <c r="Y62" s="138"/>
      <c r="AA62" s="139">
        <v>11</v>
      </c>
      <c r="AB62" s="138">
        <f>(AB30+AB49)-(2*0.16)</f>
        <v>-0.32</v>
      </c>
      <c r="AC62" s="138"/>
      <c r="AD62" s="138"/>
      <c r="AF62" s="139">
        <v>11</v>
      </c>
      <c r="AG62" s="138">
        <f>(AG30+AG49)-(2*0.16)</f>
        <v>-0.32</v>
      </c>
      <c r="AH62" s="138"/>
      <c r="AI62" s="138"/>
      <c r="AK62" s="139">
        <v>11</v>
      </c>
      <c r="AL62" s="138">
        <f>(AL30+AL49)-(2*0.16)</f>
        <v>-0.32</v>
      </c>
      <c r="AM62" s="138"/>
      <c r="AN62" s="138"/>
      <c r="AP62" s="139">
        <v>11</v>
      </c>
      <c r="AQ62" s="138">
        <f>(AQ30+AQ49)-(2*0.16)</f>
        <v>-0.32</v>
      </c>
      <c r="AR62" s="138"/>
      <c r="AS62" s="138"/>
      <c r="AU62" s="139">
        <v>11</v>
      </c>
      <c r="AV62" s="138">
        <f>(AV30+AV49)-(2*0.16)</f>
        <v>-0.32</v>
      </c>
      <c r="AW62" s="138"/>
      <c r="AX62" s="138"/>
      <c r="AZ62" s="139">
        <v>11</v>
      </c>
      <c r="BA62" s="138">
        <f>(BA30+BA49)-(2*0.16)</f>
        <v>-0.32</v>
      </c>
      <c r="BB62" s="138"/>
      <c r="BD62" s="139">
        <v>11</v>
      </c>
      <c r="BE62" s="138">
        <f>(BE30+BE49)-(2*0.16)</f>
        <v>-0.32</v>
      </c>
      <c r="BG62" s="139">
        <v>11</v>
      </c>
      <c r="BH62" s="138">
        <f>(BH30+BH49)-(2*0.16)</f>
        <v>-0.32</v>
      </c>
      <c r="BJ62" s="139">
        <v>11</v>
      </c>
      <c r="BK62" s="138">
        <f>(BK30+BK49)-(2*0.16)</f>
        <v>-0.32</v>
      </c>
      <c r="BM62" s="139">
        <v>11</v>
      </c>
      <c r="BN62" s="138">
        <f>(BN30+BN49)-(2*0.16)</f>
        <v>-0.32</v>
      </c>
      <c r="BP62" s="139">
        <v>11</v>
      </c>
      <c r="BQ62" s="138">
        <f>(BQ30+BQ49)-(2*0.16)</f>
        <v>-0.32</v>
      </c>
      <c r="BS62" s="139">
        <v>11</v>
      </c>
      <c r="BT62" s="138">
        <f>(BT30+BT49)-(2*0.16)</f>
        <v>-0.32</v>
      </c>
    </row>
    <row r="63" spans="2:87" ht="18.75" x14ac:dyDescent="0.25">
      <c r="B63" s="139">
        <v>12</v>
      </c>
      <c r="C63" s="138">
        <f>(C31+C48)-(2*0.16)</f>
        <v>-0.32</v>
      </c>
      <c r="D63" s="138"/>
      <c r="E63" s="138"/>
      <c r="G63" s="139">
        <v>12</v>
      </c>
      <c r="H63" s="138">
        <f>(H31+H48)-(2*0.16)</f>
        <v>-0.32</v>
      </c>
      <c r="I63" s="138"/>
      <c r="J63" s="138"/>
      <c r="L63" s="139">
        <v>12</v>
      </c>
      <c r="M63" s="138">
        <f>(M31+M48)-(2*0.16)</f>
        <v>-0.32</v>
      </c>
      <c r="N63" s="138"/>
      <c r="O63" s="138"/>
      <c r="Q63" s="139">
        <v>12</v>
      </c>
      <c r="R63" s="138">
        <f>(R31+R48)-(2*0.16)</f>
        <v>-0.32</v>
      </c>
      <c r="S63" s="138"/>
      <c r="T63" s="138"/>
      <c r="V63" s="139">
        <v>12</v>
      </c>
      <c r="W63" s="138">
        <f>(W31+W48)-(2*0.16)</f>
        <v>-0.32</v>
      </c>
      <c r="X63" s="138"/>
      <c r="Y63" s="138"/>
      <c r="AA63" s="139">
        <v>12</v>
      </c>
      <c r="AB63" s="138">
        <f>(AB31+AB48)-(2*0.16)</f>
        <v>-0.32</v>
      </c>
      <c r="AC63" s="138"/>
      <c r="AD63" s="138"/>
      <c r="AF63" s="139">
        <v>12</v>
      </c>
      <c r="AG63" s="138">
        <f>(AG31+AG48)-(2*0.16)</f>
        <v>-0.32</v>
      </c>
      <c r="AH63" s="138"/>
      <c r="AI63" s="138"/>
      <c r="AK63" s="139">
        <v>12</v>
      </c>
      <c r="AL63" s="138">
        <f>(AL31+AL48)-(2*0.16)</f>
        <v>-0.32</v>
      </c>
      <c r="AM63" s="138"/>
      <c r="AN63" s="138"/>
      <c r="AP63" s="139">
        <v>12</v>
      </c>
      <c r="AQ63" s="138">
        <f>(AQ31+AQ48)-(2*0.16)</f>
        <v>-0.32</v>
      </c>
      <c r="AR63" s="138"/>
      <c r="AS63" s="138"/>
      <c r="AU63" s="139">
        <v>12</v>
      </c>
      <c r="AV63" s="138">
        <f>(AV31+AV48)-(2*0.16)</f>
        <v>-0.32</v>
      </c>
      <c r="AW63" s="138"/>
      <c r="AX63" s="138"/>
      <c r="AZ63" s="139">
        <v>12</v>
      </c>
      <c r="BA63" s="138">
        <f>(BA31+BA48)-(2*0.16)</f>
        <v>-0.32</v>
      </c>
      <c r="BB63" s="138"/>
      <c r="BD63" s="139">
        <v>12</v>
      </c>
      <c r="BE63" s="138">
        <f>(BE31+BE48)-(2*0.16)</f>
        <v>-0.32</v>
      </c>
      <c r="BG63" s="139">
        <v>12</v>
      </c>
      <c r="BH63" s="138">
        <f>(BH31+BH48)-(2*0.16)</f>
        <v>-0.32</v>
      </c>
      <c r="BJ63" s="139">
        <v>12</v>
      </c>
      <c r="BK63" s="138">
        <f>(BK31+BK48)-(2*0.16)</f>
        <v>-0.32</v>
      </c>
      <c r="BM63" s="139">
        <v>12</v>
      </c>
      <c r="BN63" s="138">
        <f>(BN31+BN48)-(2*0.16)</f>
        <v>-0.32</v>
      </c>
      <c r="BP63" s="139">
        <v>12</v>
      </c>
      <c r="BQ63" s="138">
        <f>(BQ31+BQ48)-(2*0.16)</f>
        <v>-0.32</v>
      </c>
      <c r="BS63" s="139">
        <v>12</v>
      </c>
      <c r="BT63" s="138">
        <f>(BT31+BT48)-(2*0.16)</f>
        <v>-0.32</v>
      </c>
    </row>
    <row r="64" spans="2:87" ht="18.75" x14ac:dyDescent="0.25">
      <c r="B64" s="139">
        <v>13</v>
      </c>
      <c r="C64" s="138">
        <f>(C32+C47)-(2*0.16)</f>
        <v>-0.32</v>
      </c>
      <c r="D64" s="138"/>
      <c r="E64" s="138"/>
      <c r="G64" s="139">
        <v>13</v>
      </c>
      <c r="H64" s="138">
        <f>(H32+H47)-(2*0.16)</f>
        <v>-0.32</v>
      </c>
      <c r="I64" s="138"/>
      <c r="J64" s="138"/>
      <c r="L64" s="139">
        <v>13</v>
      </c>
      <c r="M64" s="138">
        <f>(M32+M47)-(2*0.16)</f>
        <v>-0.32</v>
      </c>
      <c r="N64" s="138"/>
      <c r="O64" s="138"/>
      <c r="Q64" s="139">
        <v>13</v>
      </c>
      <c r="R64" s="138">
        <f>(R32+R47)-(2*0.16)</f>
        <v>-0.32</v>
      </c>
      <c r="S64" s="138"/>
      <c r="T64" s="138"/>
      <c r="V64" s="139">
        <v>13</v>
      </c>
      <c r="W64" s="138">
        <f>(W32+W47)-(2*0.16)</f>
        <v>-0.32</v>
      </c>
      <c r="X64" s="138"/>
      <c r="Y64" s="138"/>
      <c r="AA64" s="139">
        <v>13</v>
      </c>
      <c r="AB64" s="138">
        <f>(AB32+AB47)-(2*0.16)</f>
        <v>-0.32</v>
      </c>
      <c r="AC64" s="138"/>
      <c r="AD64" s="138"/>
      <c r="AF64" s="139">
        <v>13</v>
      </c>
      <c r="AG64" s="138">
        <f>(AG32+AG47)-(2*0.16)</f>
        <v>-0.32</v>
      </c>
      <c r="AH64" s="138"/>
      <c r="AI64" s="138"/>
      <c r="AK64" s="139">
        <v>13</v>
      </c>
      <c r="AL64" s="138">
        <f>(AL32+AL47)-(2*0.16)</f>
        <v>-0.32</v>
      </c>
      <c r="AM64" s="138"/>
      <c r="AN64" s="138"/>
      <c r="AP64" s="139">
        <v>13</v>
      </c>
      <c r="AQ64" s="138">
        <f>(AQ32+AQ47)-(2*0.16)</f>
        <v>-0.32</v>
      </c>
      <c r="AR64" s="138"/>
      <c r="AS64" s="138"/>
      <c r="AU64" s="139">
        <v>13</v>
      </c>
      <c r="AV64" s="138">
        <f>(AV32+AV47)-(2*0.16)</f>
        <v>-0.32</v>
      </c>
      <c r="AW64" s="138"/>
      <c r="AX64" s="138"/>
      <c r="AZ64" s="139">
        <v>13</v>
      </c>
      <c r="BA64" s="138">
        <f>(BA32+BA47)-(2*0.16)</f>
        <v>-0.32</v>
      </c>
      <c r="BB64" s="138"/>
      <c r="BD64" s="139">
        <v>13</v>
      </c>
      <c r="BE64" s="138">
        <f>(BE32+BE47)-(2*0.16)</f>
        <v>-0.32</v>
      </c>
      <c r="BG64" s="139">
        <v>13</v>
      </c>
      <c r="BH64" s="138">
        <f>(BH32+BH47)-(2*0.16)</f>
        <v>-0.32</v>
      </c>
      <c r="BJ64" s="139">
        <v>13</v>
      </c>
      <c r="BK64" s="138">
        <f>(BK32+BK47)-(2*0.16)</f>
        <v>-0.32</v>
      </c>
      <c r="BM64" s="139">
        <v>13</v>
      </c>
      <c r="BN64" s="138">
        <f>(BN32+BN47)-(2*0.16)</f>
        <v>-0.32</v>
      </c>
      <c r="BP64" s="139">
        <v>13</v>
      </c>
      <c r="BQ64" s="138">
        <f>(BQ32+BQ47)-(2*0.16)</f>
        <v>-0.32</v>
      </c>
      <c r="BS64" s="139">
        <v>13</v>
      </c>
      <c r="BT64" s="138">
        <f>(BT32+BT47)-(2*0.16)</f>
        <v>-0.32</v>
      </c>
    </row>
    <row r="65" spans="2:72" ht="18.75" x14ac:dyDescent="0.25">
      <c r="B65" s="139">
        <v>14</v>
      </c>
      <c r="C65" s="138">
        <f>(C33+C46)-(2*0.16)</f>
        <v>-0.32</v>
      </c>
      <c r="D65" s="138"/>
      <c r="E65" s="138"/>
      <c r="G65" s="139">
        <v>14</v>
      </c>
      <c r="H65" s="138">
        <f>(H33+H46)-(2*0.16)</f>
        <v>-0.32</v>
      </c>
      <c r="I65" s="138"/>
      <c r="J65" s="138"/>
      <c r="L65" s="139">
        <v>14</v>
      </c>
      <c r="M65" s="138">
        <f>(M33+M46)-(2*0.16)</f>
        <v>-0.32</v>
      </c>
      <c r="N65" s="138"/>
      <c r="O65" s="138"/>
      <c r="Q65" s="139">
        <v>14</v>
      </c>
      <c r="R65" s="138">
        <f>(R33+R46)-(2*0.16)</f>
        <v>-0.32</v>
      </c>
      <c r="S65" s="138"/>
      <c r="T65" s="138"/>
      <c r="V65" s="139">
        <v>14</v>
      </c>
      <c r="W65" s="138">
        <f>(W33+W46)-(2*0.16)</f>
        <v>-0.32</v>
      </c>
      <c r="X65" s="138"/>
      <c r="Y65" s="138"/>
      <c r="AA65" s="139">
        <v>14</v>
      </c>
      <c r="AB65" s="138">
        <f>(AB33+AB46)-(2*0.16)</f>
        <v>-0.32</v>
      </c>
      <c r="AC65" s="138"/>
      <c r="AD65" s="138"/>
      <c r="AF65" s="139">
        <v>14</v>
      </c>
      <c r="AG65" s="138">
        <f>(AG33+AG46)-(2*0.16)</f>
        <v>-0.32</v>
      </c>
      <c r="AH65" s="138"/>
      <c r="AI65" s="138"/>
      <c r="AK65" s="139">
        <v>14</v>
      </c>
      <c r="AL65" s="138">
        <f>(AL33+AL46)-(2*0.16)</f>
        <v>-0.32</v>
      </c>
      <c r="AM65" s="138"/>
      <c r="AN65" s="138"/>
      <c r="AP65" s="139">
        <v>14</v>
      </c>
      <c r="AQ65" s="138">
        <f>(AQ33+AQ46)-(2*0.16)</f>
        <v>-0.32</v>
      </c>
      <c r="AR65" s="138"/>
      <c r="AS65" s="138"/>
      <c r="AU65" s="139">
        <v>14</v>
      </c>
      <c r="AV65" s="138">
        <f>(AV33+AV46)-(2*0.16)</f>
        <v>-0.32</v>
      </c>
      <c r="AW65" s="138"/>
      <c r="AX65" s="138"/>
      <c r="AZ65" s="139">
        <v>14</v>
      </c>
      <c r="BA65" s="138">
        <f>(BA33+BA46)-(2*0.16)</f>
        <v>-0.32</v>
      </c>
      <c r="BB65" s="138"/>
      <c r="BD65" s="139">
        <v>14</v>
      </c>
      <c r="BE65" s="138">
        <f>(BE33+BE46)-(2*0.16)</f>
        <v>-0.32</v>
      </c>
      <c r="BG65" s="139">
        <v>14</v>
      </c>
      <c r="BH65" s="138">
        <f>(BH33+BH46)-(2*0.16)</f>
        <v>-0.32</v>
      </c>
      <c r="BJ65" s="139">
        <v>14</v>
      </c>
      <c r="BK65" s="138">
        <f>(BK33+BK46)-(2*0.16)</f>
        <v>-0.32</v>
      </c>
      <c r="BM65" s="139">
        <v>14</v>
      </c>
      <c r="BN65" s="138">
        <f>(BN33+BN46)-(2*0.16)</f>
        <v>-0.32</v>
      </c>
      <c r="BP65" s="139">
        <v>14</v>
      </c>
      <c r="BQ65" s="138">
        <f>(BQ33+BQ46)-(2*0.16)</f>
        <v>-0.32</v>
      </c>
      <c r="BS65" s="139">
        <v>14</v>
      </c>
      <c r="BT65" s="138">
        <f>(BT33+BT46)-(2*0.16)</f>
        <v>-0.32</v>
      </c>
    </row>
    <row r="66" spans="2:72" ht="18.75" x14ac:dyDescent="0.25">
      <c r="B66" s="139">
        <v>15</v>
      </c>
      <c r="C66" s="138">
        <f>(C34+C45)-(2*0.16)</f>
        <v>-0.32</v>
      </c>
      <c r="D66" s="138"/>
      <c r="E66" s="138"/>
      <c r="G66" s="139">
        <v>15</v>
      </c>
      <c r="H66" s="138">
        <f>(H34+H45)-(2*0.16)</f>
        <v>-0.32</v>
      </c>
      <c r="I66" s="138"/>
      <c r="J66" s="138"/>
      <c r="L66" s="139">
        <v>15</v>
      </c>
      <c r="M66" s="138">
        <f>(M34+M45)-(2*0.16)</f>
        <v>-0.32</v>
      </c>
      <c r="N66" s="138"/>
      <c r="O66" s="138"/>
      <c r="Q66" s="139">
        <v>15</v>
      </c>
      <c r="R66" s="138">
        <f>(R34+R45)-(2*0.16)</f>
        <v>-0.32</v>
      </c>
      <c r="S66" s="138"/>
      <c r="T66" s="138"/>
      <c r="V66" s="139">
        <v>15</v>
      </c>
      <c r="W66" s="138">
        <f>(W34+W45)-(2*0.16)</f>
        <v>-0.32</v>
      </c>
      <c r="X66" s="138"/>
      <c r="Y66" s="138"/>
      <c r="AA66" s="139">
        <v>15</v>
      </c>
      <c r="AB66" s="138">
        <f>(AB34+AB45)-(2*0.16)</f>
        <v>-0.32</v>
      </c>
      <c r="AC66" s="138"/>
      <c r="AD66" s="138"/>
      <c r="AF66" s="139">
        <v>15</v>
      </c>
      <c r="AG66" s="138">
        <f>(AG34+AG45)-(2*0.16)</f>
        <v>-0.32</v>
      </c>
      <c r="AH66" s="138"/>
      <c r="AI66" s="138"/>
      <c r="AK66" s="139">
        <v>15</v>
      </c>
      <c r="AL66" s="138">
        <f>(AL34+AL45)-(2*0.16)</f>
        <v>-0.32</v>
      </c>
      <c r="AM66" s="138"/>
      <c r="AN66" s="138"/>
      <c r="AP66" s="139">
        <v>15</v>
      </c>
      <c r="AQ66" s="138">
        <f>(AQ34+AQ45)-(2*0.16)</f>
        <v>-0.32</v>
      </c>
      <c r="AR66" s="138"/>
      <c r="AS66" s="138"/>
      <c r="AU66" s="139">
        <v>15</v>
      </c>
      <c r="AV66" s="138">
        <f>(AV34+AV45)-(2*0.16)</f>
        <v>-0.32</v>
      </c>
      <c r="AW66" s="138"/>
      <c r="AX66" s="138"/>
      <c r="AZ66" s="139">
        <v>15</v>
      </c>
      <c r="BA66" s="138">
        <f>(BA34+BA45)-(2*0.16)</f>
        <v>-0.32</v>
      </c>
      <c r="BB66" s="138"/>
      <c r="BD66" s="139">
        <v>15</v>
      </c>
      <c r="BE66" s="138">
        <f>(BE34+BE45)-(2*0.16)</f>
        <v>-0.32</v>
      </c>
      <c r="BG66" s="139">
        <v>15</v>
      </c>
      <c r="BH66" s="138">
        <f>(BH34+BH45)-(2*0.16)</f>
        <v>-0.32</v>
      </c>
      <c r="BJ66" s="139">
        <v>15</v>
      </c>
      <c r="BK66" s="138">
        <f>(BK34+BK45)-(2*0.16)</f>
        <v>-0.32</v>
      </c>
      <c r="BM66" s="139">
        <v>15</v>
      </c>
      <c r="BN66" s="138">
        <f>(BN34+BN45)-(2*0.16)</f>
        <v>-0.32</v>
      </c>
      <c r="BP66" s="139">
        <v>15</v>
      </c>
      <c r="BQ66" s="138">
        <f>(BQ34+BQ45)-(2*0.16)</f>
        <v>-0.32</v>
      </c>
      <c r="BS66" s="139">
        <v>15</v>
      </c>
      <c r="BT66" s="138">
        <f>(BT34+BT45)-(2*0.16)</f>
        <v>-0.32</v>
      </c>
    </row>
    <row r="67" spans="2:72" ht="18.75" x14ac:dyDescent="0.25">
      <c r="B67" s="139">
        <v>16</v>
      </c>
      <c r="C67" s="138">
        <f>(C35+C44)-(2*0.16)</f>
        <v>-0.32</v>
      </c>
      <c r="D67" s="138"/>
      <c r="E67" s="138"/>
      <c r="G67" s="139">
        <v>16</v>
      </c>
      <c r="H67" s="138">
        <f>(H35+H44)-(2*0.16)</f>
        <v>-0.32</v>
      </c>
      <c r="I67" s="138"/>
      <c r="J67" s="138"/>
      <c r="L67" s="139">
        <v>16</v>
      </c>
      <c r="M67" s="138">
        <f>(M35+M44)-(2*0.16)</f>
        <v>-0.32</v>
      </c>
      <c r="N67" s="138"/>
      <c r="O67" s="138"/>
      <c r="Q67" s="139">
        <v>16</v>
      </c>
      <c r="R67" s="138">
        <f>(R35+R44)-(2*0.16)</f>
        <v>-0.32</v>
      </c>
      <c r="S67" s="138"/>
      <c r="T67" s="138"/>
      <c r="V67" s="139">
        <v>16</v>
      </c>
      <c r="W67" s="138">
        <f>(W35+W44)-(2*0.16)</f>
        <v>-0.32</v>
      </c>
      <c r="X67" s="138"/>
      <c r="Y67" s="138"/>
      <c r="AA67" s="139">
        <v>16</v>
      </c>
      <c r="AB67" s="138">
        <f>(AB35+AB44)-(2*0.16)</f>
        <v>-0.32</v>
      </c>
      <c r="AC67" s="138"/>
      <c r="AD67" s="138"/>
      <c r="AF67" s="139">
        <v>16</v>
      </c>
      <c r="AG67" s="138">
        <f>(AG35+AG44)-(2*0.16)</f>
        <v>-0.32</v>
      </c>
      <c r="AH67" s="138"/>
      <c r="AI67" s="138"/>
      <c r="AK67" s="139">
        <v>16</v>
      </c>
      <c r="AL67" s="138">
        <f>(AL35+AL44)-(2*0.16)</f>
        <v>-0.32</v>
      </c>
      <c r="AM67" s="138"/>
      <c r="AN67" s="138"/>
      <c r="AP67" s="139">
        <v>16</v>
      </c>
      <c r="AQ67" s="138">
        <f>(AQ35+AQ44)-(2*0.16)</f>
        <v>-0.32</v>
      </c>
      <c r="AR67" s="138"/>
      <c r="AS67" s="138"/>
      <c r="AU67" s="139">
        <v>16</v>
      </c>
      <c r="AV67" s="138">
        <f>(AV35+AV44)-(2*0.16)</f>
        <v>-0.32</v>
      </c>
      <c r="AW67" s="138"/>
      <c r="AX67" s="138"/>
      <c r="AZ67" s="139">
        <v>16</v>
      </c>
      <c r="BA67" s="138">
        <f>(BA35+BA44)-(2*0.16)</f>
        <v>-0.32</v>
      </c>
      <c r="BB67" s="138"/>
      <c r="BD67" s="139">
        <v>16</v>
      </c>
      <c r="BE67" s="138">
        <f>(BE35+BE44)-(2*0.16)</f>
        <v>-0.32</v>
      </c>
      <c r="BG67" s="139">
        <v>16</v>
      </c>
      <c r="BH67" s="138">
        <f>(BH35+BH44)-(2*0.16)</f>
        <v>-0.32</v>
      </c>
      <c r="BJ67" s="139">
        <v>16</v>
      </c>
      <c r="BK67" s="138">
        <f>(BK35+BK44)-(2*0.16)</f>
        <v>-0.32</v>
      </c>
      <c r="BM67" s="139">
        <v>16</v>
      </c>
      <c r="BN67" s="138">
        <f>(BN35+BN44)-(2*0.16)</f>
        <v>-0.32</v>
      </c>
      <c r="BP67" s="139">
        <v>16</v>
      </c>
      <c r="BQ67" s="138">
        <f>(BQ35+BQ44)-(2*0.16)</f>
        <v>-0.32</v>
      </c>
      <c r="BS67" s="139">
        <v>16</v>
      </c>
      <c r="BT67" s="138">
        <f>(BT35+BT44)-(2*0.16)</f>
        <v>-0.32</v>
      </c>
    </row>
    <row r="68" spans="2:72" ht="18.75" x14ac:dyDescent="0.25">
      <c r="B68" s="139">
        <v>17</v>
      </c>
      <c r="C68" s="138">
        <f>(C36+C43)-(2*0.16)</f>
        <v>-0.32</v>
      </c>
      <c r="D68" s="138"/>
      <c r="E68" s="138"/>
      <c r="G68" s="139">
        <v>17</v>
      </c>
      <c r="H68" s="138">
        <f>(H36+H43)-(2*0.16)</f>
        <v>-0.32</v>
      </c>
      <c r="I68" s="138"/>
      <c r="J68" s="138"/>
      <c r="L68" s="139">
        <v>17</v>
      </c>
      <c r="M68" s="138">
        <f>(M36+M43)-(2*0.16)</f>
        <v>-0.32</v>
      </c>
      <c r="N68" s="138"/>
      <c r="O68" s="138"/>
      <c r="Q68" s="139">
        <v>17</v>
      </c>
      <c r="R68" s="138">
        <f>(R36+R43)-(2*0.16)</f>
        <v>-0.32</v>
      </c>
      <c r="S68" s="138"/>
      <c r="T68" s="138"/>
      <c r="V68" s="139">
        <v>17</v>
      </c>
      <c r="W68" s="138">
        <f>(W36+W43)-(2*0.16)</f>
        <v>-0.32</v>
      </c>
      <c r="X68" s="138"/>
      <c r="Y68" s="138"/>
      <c r="AA68" s="139">
        <v>17</v>
      </c>
      <c r="AB68" s="138">
        <f>(AB36+AB43)-(2*0.16)</f>
        <v>-0.32</v>
      </c>
      <c r="AC68" s="138"/>
      <c r="AD68" s="138"/>
      <c r="AF68" s="139">
        <v>17</v>
      </c>
      <c r="AG68" s="138">
        <f>(AG36+AG43)-(2*0.16)</f>
        <v>-0.32</v>
      </c>
      <c r="AH68" s="138"/>
      <c r="AI68" s="138"/>
      <c r="AK68" s="139">
        <v>17</v>
      </c>
      <c r="AL68" s="138">
        <f>(AL36+AL43)-(2*0.16)</f>
        <v>-0.32</v>
      </c>
      <c r="AM68" s="138"/>
      <c r="AN68" s="138"/>
      <c r="AP68" s="139">
        <v>17</v>
      </c>
      <c r="AQ68" s="138">
        <f>(AQ36+AQ43)-(2*0.16)</f>
        <v>-0.32</v>
      </c>
      <c r="AR68" s="138"/>
      <c r="AS68" s="138"/>
      <c r="AU68" s="139">
        <v>17</v>
      </c>
      <c r="AV68" s="138">
        <f>(AV36+AV43)-(2*0.16)</f>
        <v>-0.32</v>
      </c>
      <c r="AW68" s="138"/>
      <c r="AX68" s="138"/>
      <c r="AZ68" s="139">
        <v>17</v>
      </c>
      <c r="BA68" s="138">
        <f>(BA36+BA43)-(2*0.16)</f>
        <v>-0.32</v>
      </c>
      <c r="BB68" s="138"/>
      <c r="BD68" s="139">
        <v>17</v>
      </c>
      <c r="BE68" s="138">
        <f>(BE36+BE43)-(2*0.16)</f>
        <v>-0.32</v>
      </c>
      <c r="BG68" s="139">
        <v>17</v>
      </c>
      <c r="BH68" s="138">
        <f>(BH36+BH43)-(2*0.16)</f>
        <v>-0.32</v>
      </c>
      <c r="BJ68" s="139">
        <v>17</v>
      </c>
      <c r="BK68" s="138">
        <f>(BK36+BK43)-(2*0.16)</f>
        <v>-0.32</v>
      </c>
      <c r="BM68" s="139">
        <v>17</v>
      </c>
      <c r="BN68" s="138">
        <f>(BN36+BN43)-(2*0.16)</f>
        <v>-0.32</v>
      </c>
      <c r="BP68" s="139">
        <v>17</v>
      </c>
      <c r="BQ68" s="138">
        <f>(BQ36+BQ43)-(2*0.16)</f>
        <v>-0.32</v>
      </c>
      <c r="BS68" s="139">
        <v>17</v>
      </c>
      <c r="BT68" s="138">
        <f>(BT36+BT43)-(2*0.16)</f>
        <v>-0.32</v>
      </c>
    </row>
    <row r="69" spans="2:72" ht="18.75" x14ac:dyDescent="0.25">
      <c r="B69" s="139">
        <v>18</v>
      </c>
      <c r="C69" s="138">
        <f>(C37+C42)-(2*0.16)</f>
        <v>-0.32</v>
      </c>
      <c r="D69" s="138"/>
      <c r="E69" s="138"/>
      <c r="G69" s="139">
        <v>18</v>
      </c>
      <c r="H69" s="138">
        <f>(H37+H42)-(2*0.16)</f>
        <v>-0.32</v>
      </c>
      <c r="I69" s="138"/>
      <c r="J69" s="138"/>
      <c r="L69" s="139">
        <v>18</v>
      </c>
      <c r="M69" s="138">
        <f>(M37+M42)-(2*0.16)</f>
        <v>-0.32</v>
      </c>
      <c r="N69" s="138"/>
      <c r="O69" s="138"/>
      <c r="Q69" s="139">
        <v>18</v>
      </c>
      <c r="R69" s="138">
        <f>(R37+R42)-(2*0.16)</f>
        <v>-0.32</v>
      </c>
      <c r="S69" s="138"/>
      <c r="T69" s="138"/>
      <c r="V69" s="139">
        <v>18</v>
      </c>
      <c r="W69" s="138">
        <f>(W37+W42)-(2*0.16)</f>
        <v>-0.32</v>
      </c>
      <c r="X69" s="138"/>
      <c r="Y69" s="138"/>
      <c r="AA69" s="139">
        <v>18</v>
      </c>
      <c r="AB69" s="138">
        <f>(AB37+AB42)-(2*0.16)</f>
        <v>-0.32</v>
      </c>
      <c r="AC69" s="138"/>
      <c r="AD69" s="138"/>
      <c r="AF69" s="139">
        <v>18</v>
      </c>
      <c r="AG69" s="138">
        <f>(AG37+AG42)-(2*0.16)</f>
        <v>-0.32</v>
      </c>
      <c r="AH69" s="138"/>
      <c r="AI69" s="138"/>
      <c r="AK69" s="139">
        <v>18</v>
      </c>
      <c r="AL69" s="138">
        <f>(AL37+AL42)-(2*0.16)</f>
        <v>-0.32</v>
      </c>
      <c r="AM69" s="138"/>
      <c r="AN69" s="138"/>
      <c r="AP69" s="139">
        <v>18</v>
      </c>
      <c r="AQ69" s="138">
        <f>(AQ37+AQ42)-(2*0.16)</f>
        <v>-0.32</v>
      </c>
      <c r="AR69" s="138"/>
      <c r="AS69" s="138"/>
      <c r="AU69" s="139">
        <v>18</v>
      </c>
      <c r="AV69" s="138">
        <f>(AV37+AV42)-(2*0.16)</f>
        <v>-0.32</v>
      </c>
      <c r="AW69" s="138"/>
      <c r="AX69" s="138"/>
      <c r="AZ69" s="139">
        <v>18</v>
      </c>
      <c r="BA69" s="138">
        <f>(BA37+BA42)-(2*0.16)</f>
        <v>-0.32</v>
      </c>
      <c r="BB69" s="138"/>
      <c r="BD69" s="139">
        <v>18</v>
      </c>
      <c r="BE69" s="138">
        <f>(BE37+BE42)-(2*0.16)</f>
        <v>-0.32</v>
      </c>
      <c r="BG69" s="139">
        <v>18</v>
      </c>
      <c r="BH69" s="138">
        <f>(BH37+BH42)-(2*0.16)</f>
        <v>-0.32</v>
      </c>
      <c r="BJ69" s="139">
        <v>18</v>
      </c>
      <c r="BK69" s="138">
        <f>(BK37+BK42)-(2*0.16)</f>
        <v>-0.32</v>
      </c>
      <c r="BM69" s="139">
        <v>18</v>
      </c>
      <c r="BN69" s="138">
        <f>(BN37+BN42)-(2*0.16)</f>
        <v>-0.32</v>
      </c>
      <c r="BP69" s="139">
        <v>18</v>
      </c>
      <c r="BQ69" s="138">
        <f>(BQ37+BQ42)-(2*0.16)</f>
        <v>-0.32</v>
      </c>
      <c r="BS69" s="139">
        <v>18</v>
      </c>
      <c r="BT69" s="138">
        <f>(BT37+BT42)-(2*0.16)</f>
        <v>-0.32</v>
      </c>
    </row>
    <row r="70" spans="2:72" ht="18.75" x14ac:dyDescent="0.25">
      <c r="B70" s="139">
        <v>19</v>
      </c>
      <c r="C70" s="138">
        <f>(C38+C41)-(2*0.16)</f>
        <v>-0.32</v>
      </c>
      <c r="D70" s="138"/>
      <c r="E70" s="138"/>
      <c r="G70" s="139">
        <v>19</v>
      </c>
      <c r="H70" s="138">
        <f>(H38+H41)-(2*0.16)</f>
        <v>-0.32</v>
      </c>
      <c r="I70" s="138"/>
      <c r="J70" s="138"/>
      <c r="L70" s="139">
        <v>19</v>
      </c>
      <c r="M70" s="138">
        <f>(M38+M41)-(2*0.16)</f>
        <v>-0.32</v>
      </c>
      <c r="N70" s="138"/>
      <c r="O70" s="138"/>
      <c r="Q70" s="139">
        <v>19</v>
      </c>
      <c r="R70" s="138">
        <f>(R38+R41)-(2*0.16)</f>
        <v>-0.32</v>
      </c>
      <c r="S70" s="138"/>
      <c r="T70" s="138"/>
      <c r="V70" s="139">
        <v>19</v>
      </c>
      <c r="W70" s="138">
        <f>(W38+W41)-(2*0.16)</f>
        <v>-0.32</v>
      </c>
      <c r="X70" s="138"/>
      <c r="Y70" s="138"/>
      <c r="AA70" s="139">
        <v>19</v>
      </c>
      <c r="AB70" s="138">
        <f>(AB38+AB41)-(2*0.16)</f>
        <v>-0.32</v>
      </c>
      <c r="AC70" s="138"/>
      <c r="AD70" s="138"/>
      <c r="AF70" s="139">
        <v>19</v>
      </c>
      <c r="AG70" s="138">
        <f>(AG38+AG41)-(2*0.16)</f>
        <v>-0.32</v>
      </c>
      <c r="AH70" s="138"/>
      <c r="AI70" s="138"/>
      <c r="AK70" s="139">
        <v>19</v>
      </c>
      <c r="AL70" s="138">
        <f>(AL38+AL41)-(2*0.16)</f>
        <v>-0.32</v>
      </c>
      <c r="AM70" s="138"/>
      <c r="AN70" s="138"/>
      <c r="AP70" s="139">
        <v>19</v>
      </c>
      <c r="AQ70" s="138">
        <f>(AQ38+AQ41)-(2*0.16)</f>
        <v>-0.32</v>
      </c>
      <c r="AR70" s="138"/>
      <c r="AS70" s="138"/>
      <c r="AU70" s="139">
        <v>19</v>
      </c>
      <c r="AV70" s="138">
        <f>(AV38+AV41)-(2*0.16)</f>
        <v>-0.32</v>
      </c>
      <c r="AW70" s="138"/>
      <c r="AX70" s="138"/>
      <c r="AZ70" s="139">
        <v>19</v>
      </c>
      <c r="BA70" s="138">
        <f>(BA38+BA41)-(2*0.16)</f>
        <v>-0.32</v>
      </c>
      <c r="BB70" s="138"/>
      <c r="BD70" s="139">
        <v>19</v>
      </c>
      <c r="BE70" s="138">
        <f>(BE38+BE41)-(2*0.16)</f>
        <v>-0.32</v>
      </c>
      <c r="BG70" s="139">
        <v>19</v>
      </c>
      <c r="BH70" s="138">
        <f>(BH38+BH41)-(2*0.16)</f>
        <v>-0.32</v>
      </c>
      <c r="BJ70" s="139">
        <v>19</v>
      </c>
      <c r="BK70" s="138">
        <f>(BK38+BK41)-(2*0.16)</f>
        <v>-0.32</v>
      </c>
      <c r="BM70" s="139">
        <v>19</v>
      </c>
      <c r="BN70" s="138">
        <f>(BN38+BN41)-(2*0.16)</f>
        <v>-0.32</v>
      </c>
      <c r="BP70" s="139">
        <v>19</v>
      </c>
      <c r="BQ70" s="138">
        <f>(BQ38+BQ41)-(2*0.16)</f>
        <v>-0.32</v>
      </c>
      <c r="BS70" s="139">
        <v>19</v>
      </c>
      <c r="BT70" s="138">
        <f>(BT38+BT41)-(2*0.16)</f>
        <v>-0.32</v>
      </c>
    </row>
    <row r="71" spans="2:72" ht="18.75" x14ac:dyDescent="0.25">
      <c r="B71" s="139">
        <v>20</v>
      </c>
      <c r="C71" s="138">
        <f>(C39+C40)-(2*0.16)</f>
        <v>-0.32</v>
      </c>
      <c r="D71" s="138"/>
      <c r="E71" s="138"/>
      <c r="G71" s="139">
        <v>20</v>
      </c>
      <c r="H71" s="138">
        <f>(H39+H40)-(2*0.16)</f>
        <v>-0.32</v>
      </c>
      <c r="I71" s="138"/>
      <c r="J71" s="138"/>
      <c r="L71" s="139">
        <v>20</v>
      </c>
      <c r="M71" s="138">
        <f>(M39+M40)-(2*0.16)</f>
        <v>-0.32</v>
      </c>
      <c r="N71" s="138"/>
      <c r="O71" s="138"/>
      <c r="Q71" s="139">
        <v>20</v>
      </c>
      <c r="R71" s="138">
        <f>(R39+R40)-(2*0.16)</f>
        <v>-0.32</v>
      </c>
      <c r="S71" s="138"/>
      <c r="T71" s="138"/>
      <c r="V71" s="139">
        <v>20</v>
      </c>
      <c r="W71" s="138">
        <f>(W39+W40)-(2*0.16)</f>
        <v>-0.32</v>
      </c>
      <c r="X71" s="138"/>
      <c r="Y71" s="138"/>
      <c r="AA71" s="139">
        <v>20</v>
      </c>
      <c r="AB71" s="138">
        <f>(AB39+AB40)-(2*0.16)</f>
        <v>-0.32</v>
      </c>
      <c r="AC71" s="138"/>
      <c r="AD71" s="138"/>
      <c r="AF71" s="139">
        <v>20</v>
      </c>
      <c r="AG71" s="138">
        <f>(AG39+AG40)-(2*0.16)</f>
        <v>-0.32</v>
      </c>
      <c r="AH71" s="138"/>
      <c r="AI71" s="138"/>
      <c r="AK71" s="139">
        <v>20</v>
      </c>
      <c r="AL71" s="138">
        <f>(AL39+AL40)-(2*0.16)</f>
        <v>-0.32</v>
      </c>
      <c r="AM71" s="138"/>
      <c r="AN71" s="138"/>
      <c r="AP71" s="139">
        <v>20</v>
      </c>
      <c r="AQ71" s="138">
        <f>(AQ39+AQ40)-(2*0.16)</f>
        <v>-0.32</v>
      </c>
      <c r="AR71" s="138"/>
      <c r="AS71" s="138"/>
      <c r="AU71" s="139">
        <v>20</v>
      </c>
      <c r="AV71" s="138">
        <f>(AV39+AV40)-(2*0.16)</f>
        <v>-0.32</v>
      </c>
      <c r="AW71" s="138"/>
      <c r="AX71" s="138"/>
      <c r="AZ71" s="139">
        <v>20</v>
      </c>
      <c r="BA71" s="138">
        <f>(BA39+BA40)-(2*0.16)</f>
        <v>-0.32</v>
      </c>
      <c r="BB71" s="138"/>
      <c r="BD71" s="139">
        <v>20</v>
      </c>
      <c r="BE71" s="138">
        <f>(BE39+BE40)-(2*0.16)</f>
        <v>-0.32</v>
      </c>
      <c r="BG71" s="139">
        <v>20</v>
      </c>
      <c r="BH71" s="138">
        <f>(BH39+BH40)-(2*0.16)</f>
        <v>-0.32</v>
      </c>
      <c r="BJ71" s="139">
        <v>20</v>
      </c>
      <c r="BK71" s="138">
        <f>(BK39+BK40)-(2*0.16)</f>
        <v>-0.32</v>
      </c>
      <c r="BM71" s="139">
        <v>20</v>
      </c>
      <c r="BN71" s="138">
        <f>(BN39+BN40)-(2*0.16)</f>
        <v>-0.32</v>
      </c>
      <c r="BP71" s="139">
        <v>20</v>
      </c>
      <c r="BQ71" s="138">
        <f>(BQ39+BQ40)-(2*0.16)</f>
        <v>-0.32</v>
      </c>
      <c r="BS71" s="139">
        <v>20</v>
      </c>
      <c r="BT71" s="138">
        <f>(BT39+BT40)-(2*0.16)</f>
        <v>-0.32</v>
      </c>
    </row>
    <row r="75" spans="2:72" x14ac:dyDescent="0.25">
      <c r="C75" s="7"/>
      <c r="D75" s="7"/>
      <c r="E75" s="7"/>
    </row>
  </sheetData>
  <mergeCells count="1">
    <mergeCell ref="BL31:BL37"/>
  </mergeCells>
  <printOptions horizontalCentered="1"/>
  <pageMargins left="0.2" right="0.2" top="0.2" bottom="0.2" header="0" footer="0"/>
  <pageSetup scale="81" fitToWidth="5" orientation="landscape" r:id="rId1"/>
  <colBreaks count="5" manualBreakCount="5">
    <brk id="15" max="50" man="1"/>
    <brk id="30" max="50" man="1"/>
    <brk id="45" max="50" man="1"/>
    <brk id="57" max="50" man="1"/>
    <brk id="66" max="50"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864E6-7B40-4657-9BD2-904EFC6BF1B1}">
  <sheetPr>
    <pageSetUpPr fitToPage="1"/>
  </sheetPr>
  <dimension ref="A1:CC83"/>
  <sheetViews>
    <sheetView topLeftCell="A7" zoomScale="70" zoomScaleNormal="70" workbookViewId="0">
      <selection activeCell="AA35" sqref="AA35"/>
    </sheetView>
  </sheetViews>
  <sheetFormatPr defaultColWidth="12" defaultRowHeight="15" x14ac:dyDescent="0.25"/>
  <cols>
    <col min="4" max="5" width="0" hidden="1" customWidth="1"/>
    <col min="13" max="14" width="0" hidden="1" customWidth="1"/>
    <col min="22" max="23" width="0" hidden="1" customWidth="1"/>
    <col min="31" max="32" width="0" hidden="1" customWidth="1"/>
    <col min="40" max="41" width="0" hidden="1" customWidth="1"/>
    <col min="49" max="50" width="0" hidden="1" customWidth="1"/>
    <col min="58" max="59" width="0" hidden="1" customWidth="1"/>
    <col min="67" max="68" width="0" hidden="1" customWidth="1"/>
  </cols>
  <sheetData>
    <row r="1" spans="1:74" ht="18.75" x14ac:dyDescent="0.3">
      <c r="A1" s="166" t="s">
        <v>367</v>
      </c>
    </row>
    <row r="3" spans="1:74" ht="15.75" x14ac:dyDescent="0.25">
      <c r="A3" s="165"/>
    </row>
    <row r="4" spans="1:74" ht="15.75" x14ac:dyDescent="0.25">
      <c r="A4" s="165"/>
      <c r="B4" s="165"/>
    </row>
    <row r="5" spans="1:74" ht="15.75" x14ac:dyDescent="0.25">
      <c r="A5" s="165"/>
      <c r="B5" s="165"/>
    </row>
    <row r="6" spans="1:74" ht="18.75" x14ac:dyDescent="0.3">
      <c r="A6" s="165"/>
      <c r="B6" s="224" t="s">
        <v>366</v>
      </c>
    </row>
    <row r="7" spans="1:74" ht="18.75" x14ac:dyDescent="0.3">
      <c r="A7" s="165"/>
      <c r="B7" s="224" t="s">
        <v>365</v>
      </c>
      <c r="H7" s="225"/>
    </row>
    <row r="8" spans="1:74" ht="18.75" x14ac:dyDescent="0.3">
      <c r="A8" s="165"/>
      <c r="B8" s="224" t="s">
        <v>364</v>
      </c>
    </row>
    <row r="9" spans="1:74" ht="18.75" x14ac:dyDescent="0.3">
      <c r="A9" s="165"/>
      <c r="B9" s="223"/>
      <c r="E9" s="222"/>
    </row>
    <row r="11" spans="1:74" ht="23.25" x14ac:dyDescent="0.35">
      <c r="B11" s="160" t="s">
        <v>347</v>
      </c>
      <c r="C11" s="159">
        <v>1</v>
      </c>
      <c r="E11" s="158"/>
      <c r="F11" s="158" t="s">
        <v>333</v>
      </c>
      <c r="G11" s="158"/>
      <c r="H11" s="158"/>
      <c r="I11" s="158"/>
      <c r="J11" s="158"/>
      <c r="K11" s="160" t="s">
        <v>347</v>
      </c>
      <c r="L11" s="159">
        <v>2</v>
      </c>
      <c r="N11" s="158"/>
      <c r="O11" s="158" t="s">
        <v>286</v>
      </c>
      <c r="P11" s="158"/>
      <c r="Q11" s="158"/>
      <c r="R11" s="158"/>
      <c r="T11" s="160" t="s">
        <v>347</v>
      </c>
      <c r="U11" s="159">
        <v>3</v>
      </c>
      <c r="W11" s="158"/>
      <c r="X11" s="158" t="s">
        <v>296</v>
      </c>
      <c r="Y11" s="158"/>
      <c r="Z11" s="158"/>
      <c r="AA11" s="158"/>
      <c r="AC11" s="160" t="s">
        <v>347</v>
      </c>
      <c r="AD11" s="159">
        <v>4</v>
      </c>
      <c r="AF11" s="158"/>
      <c r="AG11" s="158" t="s">
        <v>290</v>
      </c>
      <c r="AH11" s="158"/>
      <c r="AI11" s="158"/>
      <c r="AJ11" s="158"/>
      <c r="AL11" s="160" t="s">
        <v>347</v>
      </c>
      <c r="AM11" s="159">
        <v>5</v>
      </c>
      <c r="AO11" s="158"/>
      <c r="AP11" s="158" t="s">
        <v>291</v>
      </c>
      <c r="AQ11" s="158"/>
      <c r="AR11" s="158"/>
      <c r="AS11" s="158"/>
      <c r="AU11" s="160" t="s">
        <v>347</v>
      </c>
      <c r="AV11" s="159">
        <v>6</v>
      </c>
      <c r="AX11" s="158"/>
      <c r="AY11" s="158" t="s">
        <v>333</v>
      </c>
      <c r="AZ11" s="158"/>
      <c r="BA11" s="158"/>
      <c r="BB11" s="158"/>
      <c r="BD11" s="160" t="s">
        <v>347</v>
      </c>
      <c r="BE11" s="159">
        <v>7</v>
      </c>
      <c r="BG11" s="158"/>
      <c r="BH11" s="158" t="s">
        <v>296</v>
      </c>
      <c r="BI11" s="158"/>
      <c r="BJ11" s="158"/>
      <c r="BK11" s="158"/>
      <c r="BM11" s="160" t="s">
        <v>347</v>
      </c>
      <c r="BN11" s="159">
        <v>8</v>
      </c>
      <c r="BP11" s="158"/>
      <c r="BQ11" s="158" t="s">
        <v>290</v>
      </c>
      <c r="BR11" s="158"/>
      <c r="BS11" s="158"/>
      <c r="BT11" s="158"/>
    </row>
    <row r="12" spans="1:74" ht="21" x14ac:dyDescent="0.35">
      <c r="B12" s="160" t="s">
        <v>363</v>
      </c>
      <c r="C12" s="210">
        <v>41962</v>
      </c>
      <c r="E12" s="158"/>
      <c r="F12" s="158"/>
      <c r="G12" s="158"/>
      <c r="H12" s="158"/>
      <c r="I12" s="158"/>
      <c r="J12" s="158"/>
      <c r="K12" s="160" t="s">
        <v>363</v>
      </c>
      <c r="L12" s="210">
        <v>41962</v>
      </c>
      <c r="N12" s="158"/>
      <c r="O12" s="158"/>
      <c r="P12" s="158"/>
      <c r="Q12" s="158"/>
      <c r="R12" s="158"/>
      <c r="T12" s="160" t="s">
        <v>363</v>
      </c>
      <c r="U12" s="210"/>
      <c r="W12" s="158"/>
      <c r="X12" s="158"/>
      <c r="Y12" s="158"/>
      <c r="Z12" s="158"/>
      <c r="AA12" s="158"/>
      <c r="AC12" s="160" t="s">
        <v>363</v>
      </c>
      <c r="AD12" s="210"/>
      <c r="AF12" s="209"/>
      <c r="AG12" s="209"/>
      <c r="AH12" s="209"/>
      <c r="AI12" s="209"/>
      <c r="AJ12" s="209"/>
      <c r="AL12" s="160" t="s">
        <v>363</v>
      </c>
      <c r="AM12" s="210"/>
      <c r="AO12" s="158"/>
      <c r="AP12" s="158"/>
      <c r="AQ12" s="158"/>
      <c r="AR12" s="158"/>
      <c r="AS12" s="158"/>
      <c r="AU12" s="160" t="s">
        <v>363</v>
      </c>
      <c r="AV12" s="210"/>
      <c r="AX12" s="209"/>
      <c r="AY12" s="209"/>
      <c r="AZ12" s="209"/>
      <c r="BA12" s="209"/>
      <c r="BB12" s="209"/>
      <c r="BD12" s="160" t="s">
        <v>363</v>
      </c>
      <c r="BE12" s="210"/>
      <c r="BG12" s="158"/>
      <c r="BH12" s="158"/>
      <c r="BI12" s="158"/>
      <c r="BJ12" s="158"/>
      <c r="BK12" s="158"/>
      <c r="BM12" s="160" t="s">
        <v>363</v>
      </c>
      <c r="BN12" s="210"/>
      <c r="BP12" s="158"/>
      <c r="BQ12" s="158"/>
      <c r="BR12" s="158"/>
      <c r="BS12" s="158"/>
      <c r="BT12" s="158"/>
    </row>
    <row r="13" spans="1:74" x14ac:dyDescent="0.25">
      <c r="AF13" s="210"/>
      <c r="AG13" s="210"/>
      <c r="AH13" s="210"/>
      <c r="AI13" s="210"/>
      <c r="AJ13" s="209"/>
      <c r="AK13" s="209"/>
      <c r="AX13" s="210"/>
      <c r="AY13" s="210"/>
      <c r="AZ13" s="210"/>
      <c r="BA13" s="210"/>
      <c r="BB13" s="209"/>
      <c r="BC13" s="209"/>
    </row>
    <row r="14" spans="1:74" ht="15.6" customHeight="1" x14ac:dyDescent="0.25">
      <c r="M14" s="219"/>
      <c r="N14" s="219"/>
      <c r="O14" s="219"/>
      <c r="P14" s="219"/>
      <c r="Q14" s="219"/>
      <c r="R14" s="219"/>
      <c r="S14" s="219"/>
      <c r="T14" s="218"/>
      <c r="AE14" s="221"/>
      <c r="AF14" s="221"/>
      <c r="AG14" s="221"/>
      <c r="AH14" s="221"/>
      <c r="AI14" s="221"/>
      <c r="AJ14" s="221"/>
      <c r="AK14" s="221"/>
      <c r="AL14" s="220"/>
      <c r="AN14" s="219"/>
      <c r="AO14" s="219"/>
      <c r="AP14" s="219"/>
      <c r="AQ14" s="219"/>
      <c r="AR14" s="219"/>
      <c r="AS14" s="219"/>
      <c r="AT14" s="219"/>
      <c r="AU14" s="218"/>
      <c r="BB14" s="210"/>
      <c r="BC14" s="209"/>
      <c r="BD14" s="209"/>
      <c r="BO14" s="219"/>
      <c r="BP14" s="219"/>
      <c r="BQ14" s="219"/>
      <c r="BR14" s="219"/>
      <c r="BS14" s="219"/>
      <c r="BT14" s="219"/>
      <c r="BU14" s="219"/>
      <c r="BV14" s="218"/>
    </row>
    <row r="15" spans="1:74" ht="66.95" customHeight="1" x14ac:dyDescent="0.3">
      <c r="B15" s="215" t="s">
        <v>362</v>
      </c>
      <c r="C15" s="215" t="s">
        <v>361</v>
      </c>
      <c r="D15" s="214" t="s">
        <v>360</v>
      </c>
      <c r="E15" s="205" t="s">
        <v>359</v>
      </c>
      <c r="F15" s="204" t="s">
        <v>358</v>
      </c>
      <c r="G15" s="204" t="s">
        <v>357</v>
      </c>
      <c r="H15" s="204" t="s">
        <v>356</v>
      </c>
      <c r="I15" s="203" t="s">
        <v>355</v>
      </c>
      <c r="J15" s="213" t="s">
        <v>354</v>
      </c>
      <c r="K15" s="217" t="s">
        <v>362</v>
      </c>
      <c r="L15" s="215" t="s">
        <v>361</v>
      </c>
      <c r="M15" s="214" t="s">
        <v>360</v>
      </c>
      <c r="N15" s="205" t="s">
        <v>359</v>
      </c>
      <c r="O15" s="204" t="s">
        <v>358</v>
      </c>
      <c r="P15" s="204" t="s">
        <v>357</v>
      </c>
      <c r="Q15" s="204" t="s">
        <v>356</v>
      </c>
      <c r="R15" s="203" t="s">
        <v>355</v>
      </c>
      <c r="S15" s="213" t="s">
        <v>354</v>
      </c>
      <c r="T15" s="217" t="s">
        <v>362</v>
      </c>
      <c r="U15" s="215" t="s">
        <v>361</v>
      </c>
      <c r="V15" s="214" t="s">
        <v>360</v>
      </c>
      <c r="W15" s="205" t="s">
        <v>359</v>
      </c>
      <c r="X15" s="204" t="s">
        <v>358</v>
      </c>
      <c r="Y15" s="204" t="s">
        <v>357</v>
      </c>
      <c r="Z15" s="204" t="s">
        <v>356</v>
      </c>
      <c r="AA15" s="203" t="s">
        <v>355</v>
      </c>
      <c r="AB15" s="213" t="s">
        <v>354</v>
      </c>
      <c r="AC15" s="217" t="s">
        <v>362</v>
      </c>
      <c r="AD15" s="215" t="s">
        <v>361</v>
      </c>
      <c r="AE15" s="214" t="s">
        <v>360</v>
      </c>
      <c r="AF15" s="205" t="s">
        <v>359</v>
      </c>
      <c r="AG15" s="204" t="s">
        <v>358</v>
      </c>
      <c r="AH15" s="204" t="s">
        <v>357</v>
      </c>
      <c r="AI15" s="204" t="s">
        <v>356</v>
      </c>
      <c r="AJ15" s="203" t="s">
        <v>355</v>
      </c>
      <c r="AK15" s="213" t="s">
        <v>354</v>
      </c>
      <c r="AL15" s="217" t="s">
        <v>362</v>
      </c>
      <c r="AM15" s="215" t="s">
        <v>361</v>
      </c>
      <c r="AN15" s="214" t="s">
        <v>360</v>
      </c>
      <c r="AO15" s="205" t="s">
        <v>359</v>
      </c>
      <c r="AP15" s="204" t="s">
        <v>358</v>
      </c>
      <c r="AQ15" s="204" t="s">
        <v>357</v>
      </c>
      <c r="AR15" s="204" t="s">
        <v>356</v>
      </c>
      <c r="AS15" s="203" t="s">
        <v>355</v>
      </c>
      <c r="AT15" s="213" t="s">
        <v>354</v>
      </c>
      <c r="AU15" s="217" t="s">
        <v>362</v>
      </c>
      <c r="AV15" s="215" t="s">
        <v>361</v>
      </c>
      <c r="AW15" s="214" t="s">
        <v>360</v>
      </c>
      <c r="AX15" s="205" t="s">
        <v>359</v>
      </c>
      <c r="AY15" s="204" t="s">
        <v>358</v>
      </c>
      <c r="AZ15" s="204" t="s">
        <v>357</v>
      </c>
      <c r="BA15" s="204" t="s">
        <v>356</v>
      </c>
      <c r="BB15" s="203" t="s">
        <v>355</v>
      </c>
      <c r="BC15" s="213" t="s">
        <v>354</v>
      </c>
      <c r="BD15" s="217" t="s">
        <v>362</v>
      </c>
      <c r="BE15" s="215" t="s">
        <v>361</v>
      </c>
      <c r="BF15" s="214" t="s">
        <v>360</v>
      </c>
      <c r="BG15" s="205" t="s">
        <v>359</v>
      </c>
      <c r="BH15" s="204" t="s">
        <v>358</v>
      </c>
      <c r="BI15" s="204" t="s">
        <v>357</v>
      </c>
      <c r="BJ15" s="204" t="s">
        <v>356</v>
      </c>
      <c r="BK15" s="203" t="s">
        <v>355</v>
      </c>
      <c r="BL15" s="213" t="s">
        <v>354</v>
      </c>
      <c r="BM15" s="217" t="s">
        <v>362</v>
      </c>
      <c r="BN15" s="215" t="s">
        <v>361</v>
      </c>
      <c r="BO15" s="214" t="s">
        <v>360</v>
      </c>
      <c r="BP15" s="205" t="s">
        <v>359</v>
      </c>
      <c r="BQ15" s="204" t="s">
        <v>358</v>
      </c>
      <c r="BR15" s="204" t="s">
        <v>357</v>
      </c>
      <c r="BS15" s="204" t="s">
        <v>356</v>
      </c>
      <c r="BT15" s="203" t="s">
        <v>355</v>
      </c>
      <c r="BU15" s="213" t="s">
        <v>354</v>
      </c>
    </row>
    <row r="16" spans="1:74" ht="22.5" x14ac:dyDescent="0.25">
      <c r="B16" s="202">
        <v>1</v>
      </c>
      <c r="C16" s="143">
        <v>3.1910263852101388</v>
      </c>
      <c r="D16" s="200"/>
      <c r="E16" s="188"/>
      <c r="F16" s="190">
        <v>0.93699999999999994</v>
      </c>
      <c r="G16" s="208">
        <v>1.4330000000000003</v>
      </c>
      <c r="H16" s="188">
        <f>C16-F16-G16</f>
        <v>0.82102638521013871</v>
      </c>
      <c r="I16" s="187">
        <f>F16/C16</f>
        <v>0.29363592991359599</v>
      </c>
      <c r="J16" s="186">
        <f>G16/C16</f>
        <v>0.44907181170350391</v>
      </c>
      <c r="K16" s="202">
        <v>1</v>
      </c>
      <c r="L16" s="143">
        <v>3.1248877065546758</v>
      </c>
      <c r="M16" s="188"/>
      <c r="N16" s="188"/>
      <c r="O16" s="190">
        <v>0.99999999999999989</v>
      </c>
      <c r="P16" s="208">
        <v>1.6220000000000003</v>
      </c>
      <c r="Q16" s="188">
        <f>L16-O16-P16</f>
        <v>0.50288770655467552</v>
      </c>
      <c r="R16" s="187">
        <f>O16/L16</f>
        <v>0.3200114992620145</v>
      </c>
      <c r="S16" s="186">
        <f>P16/L16</f>
        <v>0.51905865180298771</v>
      </c>
      <c r="T16" s="202">
        <v>1</v>
      </c>
      <c r="U16" s="143">
        <v>3.5878584571429184</v>
      </c>
      <c r="V16" s="188"/>
      <c r="W16" s="188"/>
      <c r="X16" s="190">
        <v>1.3149999999999999</v>
      </c>
      <c r="Y16" s="208">
        <v>1.9369999999999998</v>
      </c>
      <c r="Z16" s="188">
        <f>U16-X16-Y16</f>
        <v>0.33585845714291862</v>
      </c>
      <c r="AA16" s="187">
        <f>X16/U16</f>
        <v>0.36651390117746174</v>
      </c>
      <c r="AB16" s="186">
        <f>Y16/U16</f>
        <v>0.53987637002337896</v>
      </c>
      <c r="AC16" s="202">
        <v>1</v>
      </c>
      <c r="AD16" s="143">
        <v>3.1689801589916513</v>
      </c>
      <c r="AE16" s="188"/>
      <c r="AF16" s="188"/>
      <c r="AG16" s="190">
        <v>1.1259999999999999</v>
      </c>
      <c r="AH16" s="208">
        <v>1.7479999999999998</v>
      </c>
      <c r="AI16" s="188">
        <f>AD16-AG16-AH16</f>
        <v>0.29498015899165164</v>
      </c>
      <c r="AJ16" s="187">
        <f>AG16/AD16</f>
        <v>0.35531935938604481</v>
      </c>
      <c r="AK16" s="186">
        <f>AH16/AD16</f>
        <v>0.55159701616945489</v>
      </c>
      <c r="AL16" s="202">
        <v>1</v>
      </c>
      <c r="AM16" s="143">
        <v>3.014656575462237</v>
      </c>
      <c r="AN16" s="188"/>
      <c r="AO16" s="188"/>
      <c r="AP16" s="190">
        <v>1.0630000000000002</v>
      </c>
      <c r="AQ16" s="208">
        <v>1.6220000000000003</v>
      </c>
      <c r="AR16" s="188">
        <f>AM16-AP16-AQ16</f>
        <v>0.32965657546223648</v>
      </c>
      <c r="AS16" s="187">
        <f>AP16/AM16</f>
        <v>0.35261064515682372</v>
      </c>
      <c r="AT16" s="186">
        <f>AQ16/AM16</f>
        <v>0.53803806815086364</v>
      </c>
      <c r="AU16" s="202">
        <v>1</v>
      </c>
      <c r="AV16" s="143">
        <v>3.3012575163025777</v>
      </c>
      <c r="AW16" s="188"/>
      <c r="AX16" s="188"/>
      <c r="AY16" s="190">
        <v>1.0630000000000002</v>
      </c>
      <c r="AZ16" s="208">
        <v>1.6850000000000001</v>
      </c>
      <c r="BA16" s="188">
        <f>AV16-AY16-AZ16</f>
        <v>0.55325751630257747</v>
      </c>
      <c r="BB16" s="187">
        <f>AY16/AV16</f>
        <v>0.32199850958327075</v>
      </c>
      <c r="BC16" s="186">
        <f>AZ16/AV16</f>
        <v>0.51041156034601243</v>
      </c>
      <c r="BD16" s="202">
        <v>1</v>
      </c>
      <c r="BE16" s="143">
        <v>3.1028414803361879</v>
      </c>
      <c r="BF16" s="188"/>
      <c r="BG16" s="188"/>
      <c r="BH16" s="190">
        <v>1.1259999999999999</v>
      </c>
      <c r="BI16" s="208">
        <v>1.7479999999999998</v>
      </c>
      <c r="BJ16" s="188">
        <f>BE16-BH16-BI16</f>
        <v>0.22884148033618823</v>
      </c>
      <c r="BK16" s="187">
        <f>BH16/BE16</f>
        <v>0.36289317618571981</v>
      </c>
      <c r="BL16" s="186">
        <f>BI16/BE16</f>
        <v>0.56335459322614401</v>
      </c>
      <c r="BM16" s="202">
        <v>1</v>
      </c>
      <c r="BN16" s="143">
        <v>3.5878584571429184</v>
      </c>
      <c r="BO16" s="188"/>
      <c r="BP16" s="188"/>
      <c r="BQ16" s="190">
        <v>1.2520000000000002</v>
      </c>
      <c r="BR16" s="208">
        <v>1.9369999999999998</v>
      </c>
      <c r="BS16" s="188">
        <f>BN16-BQ16-BR16</f>
        <v>0.39885845714291834</v>
      </c>
      <c r="BT16" s="187">
        <f>BQ16/BN16</f>
        <v>0.34895468005641234</v>
      </c>
      <c r="BU16" s="186">
        <f>BR16/BN16</f>
        <v>0.53987637002337896</v>
      </c>
    </row>
    <row r="17" spans="2:73" ht="22.5" x14ac:dyDescent="0.25">
      <c r="B17" s="202">
        <v>2</v>
      </c>
      <c r="C17" s="143">
        <v>4.6240310894118428</v>
      </c>
      <c r="D17" s="200"/>
      <c r="E17" s="188"/>
      <c r="F17" s="199">
        <v>1.37</v>
      </c>
      <c r="G17" s="208">
        <v>2.1889999999999996</v>
      </c>
      <c r="H17" s="188">
        <f>C17-F17-G17</f>
        <v>1.0650310894118431</v>
      </c>
      <c r="I17" s="187">
        <f>F17/C17</f>
        <v>0.29627828479290313</v>
      </c>
      <c r="J17" s="186">
        <f>G17/C17</f>
        <v>0.47339647110340494</v>
      </c>
      <c r="K17" s="202">
        <v>2</v>
      </c>
      <c r="L17" s="143">
        <v>2.8382867657143347</v>
      </c>
      <c r="M17" s="188"/>
      <c r="N17" s="188"/>
      <c r="O17" s="199">
        <v>1.0630000000000002</v>
      </c>
      <c r="P17" s="208">
        <v>1.5589999999999997</v>
      </c>
      <c r="Q17" s="188">
        <f>L17-O17-P17</f>
        <v>0.21628676571433481</v>
      </c>
      <c r="R17" s="187">
        <f>O17/L17</f>
        <v>0.37452170543185631</v>
      </c>
      <c r="S17" s="186">
        <f>P17/L17</f>
        <v>0.54927501295227066</v>
      </c>
      <c r="T17" s="202">
        <v>2</v>
      </c>
      <c r="U17" s="143">
        <v>3.3673961949580411</v>
      </c>
      <c r="V17" s="188"/>
      <c r="W17" s="188"/>
      <c r="X17" s="199">
        <v>1.1259999999999999</v>
      </c>
      <c r="Y17" s="208">
        <v>1.8109999999999995</v>
      </c>
      <c r="Z17" s="188">
        <f>U17-X17-Y17</f>
        <v>0.43039619495804171</v>
      </c>
      <c r="AA17" s="187">
        <f>X17/U17</f>
        <v>0.3343829875694298</v>
      </c>
      <c r="AB17" s="186">
        <f>Y17/U17</f>
        <v>0.53780425443005087</v>
      </c>
      <c r="AC17" s="202">
        <v>2</v>
      </c>
      <c r="AD17" s="143">
        <v>3.1028414803361879</v>
      </c>
      <c r="AE17" s="188"/>
      <c r="AF17" s="188"/>
      <c r="AG17" s="199">
        <v>1.1259999999999999</v>
      </c>
      <c r="AH17" s="208">
        <v>1.6850000000000001</v>
      </c>
      <c r="AI17" s="188">
        <f>AD17-AG17-AH17</f>
        <v>0.29184148033618795</v>
      </c>
      <c r="AJ17" s="187">
        <f>AG17/AD17</f>
        <v>0.36289317618571981</v>
      </c>
      <c r="AK17" s="186">
        <f>AH17/AD17</f>
        <v>0.54305062333298215</v>
      </c>
      <c r="AL17" s="202">
        <v>2</v>
      </c>
      <c r="AM17" s="143">
        <v>3.4335348736135045</v>
      </c>
      <c r="AN17" s="188"/>
      <c r="AO17" s="188"/>
      <c r="AP17" s="199">
        <v>1.1890000000000001</v>
      </c>
      <c r="AQ17" s="208">
        <v>1.8740000000000001</v>
      </c>
      <c r="AR17" s="188">
        <f>AM17-AP17-AQ17</f>
        <v>0.37053487361350435</v>
      </c>
      <c r="AS17" s="187">
        <f>AP17/AM17</f>
        <v>0.34629035200352526</v>
      </c>
      <c r="AT17" s="186">
        <f>AQ17/AM17</f>
        <v>0.54579320408293219</v>
      </c>
      <c r="AU17" s="202">
        <v>2</v>
      </c>
      <c r="AV17" s="143">
        <v>3.0807952541177004</v>
      </c>
      <c r="AW17" s="188"/>
      <c r="AX17" s="188"/>
      <c r="AY17" s="199">
        <v>0.99999999999999989</v>
      </c>
      <c r="AZ17" s="208">
        <v>1.6850000000000001</v>
      </c>
      <c r="BA17" s="188">
        <f>AV17-AY17-AZ17</f>
        <v>0.39579525411770033</v>
      </c>
      <c r="BB17" s="187">
        <f>AY17/AV17</f>
        <v>0.32459151534443237</v>
      </c>
      <c r="BC17" s="186">
        <f>AZ17/AV17</f>
        <v>0.54693670335536859</v>
      </c>
      <c r="BD17" s="202">
        <v>2</v>
      </c>
      <c r="BE17" s="143">
        <v>3.3894424211765286</v>
      </c>
      <c r="BF17" s="188"/>
      <c r="BG17" s="188"/>
      <c r="BH17" s="199">
        <v>1.1259999999999999</v>
      </c>
      <c r="BI17" s="208">
        <v>1.8740000000000001</v>
      </c>
      <c r="BJ17" s="188">
        <f>BE17-BH17-BI17</f>
        <v>0.38944242117652861</v>
      </c>
      <c r="BK17" s="187">
        <f>BH17/BE17</f>
        <v>0.33220803308679531</v>
      </c>
      <c r="BL17" s="186">
        <f>BI17/BE17</f>
        <v>0.55289329840555468</v>
      </c>
      <c r="BM17" s="202">
        <v>2</v>
      </c>
      <c r="BN17" s="143">
        <v>3.014656575462237</v>
      </c>
      <c r="BO17" s="188"/>
      <c r="BP17" s="188"/>
      <c r="BQ17" s="199">
        <v>1.0630000000000002</v>
      </c>
      <c r="BR17" s="208">
        <v>1.6220000000000003</v>
      </c>
      <c r="BS17" s="188">
        <f>BN17-BQ17-BR17</f>
        <v>0.32965657546223648</v>
      </c>
      <c r="BT17" s="187">
        <f>BQ17/BN17</f>
        <v>0.35261064515682372</v>
      </c>
      <c r="BU17" s="186">
        <f>BR17/BN17</f>
        <v>0.53803806815086364</v>
      </c>
    </row>
    <row r="18" spans="2:73" ht="22.5" x14ac:dyDescent="0.25">
      <c r="B18" s="202">
        <v>3</v>
      </c>
      <c r="C18" s="143">
        <v>3.3673961949580411</v>
      </c>
      <c r="D18" s="200"/>
      <c r="E18" s="188"/>
      <c r="F18" s="199">
        <v>0.93699999999999994</v>
      </c>
      <c r="G18" s="208">
        <v>1.6220000000000003</v>
      </c>
      <c r="H18" s="188">
        <f>C18-F18-G18</f>
        <v>0.80839619495804094</v>
      </c>
      <c r="I18" s="187">
        <f>F18/C18</f>
        <v>0.27825653583708326</v>
      </c>
      <c r="J18" s="186">
        <f>G18/C18</f>
        <v>0.48167780269770455</v>
      </c>
      <c r="K18" s="202">
        <v>3</v>
      </c>
      <c r="L18" s="143">
        <v>2.529639598655506</v>
      </c>
      <c r="M18" s="188"/>
      <c r="N18" s="188"/>
      <c r="O18" s="199">
        <v>0.93699999999999994</v>
      </c>
      <c r="P18" s="208">
        <v>1.3699999999999997</v>
      </c>
      <c r="Q18" s="188">
        <f>L18-O18-P18</f>
        <v>0.22263959865550653</v>
      </c>
      <c r="R18" s="187">
        <f>O18/L18</f>
        <v>0.37040849633205136</v>
      </c>
      <c r="S18" s="186">
        <f>P18/L18</f>
        <v>0.54157912483981885</v>
      </c>
      <c r="T18" s="202">
        <v>3</v>
      </c>
      <c r="U18" s="143">
        <v>3.7421820406723327</v>
      </c>
      <c r="V18" s="188"/>
      <c r="W18" s="188"/>
      <c r="X18" s="199">
        <v>1.3149999999999999</v>
      </c>
      <c r="Y18" s="208">
        <v>1.9999999999999996</v>
      </c>
      <c r="Z18" s="188">
        <f>U18-X18-Y18</f>
        <v>0.42718204067233323</v>
      </c>
      <c r="AA18" s="187">
        <f>X18/U18</f>
        <v>0.35139926003272215</v>
      </c>
      <c r="AB18" s="186">
        <f>Y18/U18</f>
        <v>0.53444754377600323</v>
      </c>
      <c r="AC18" s="202">
        <v>3</v>
      </c>
      <c r="AD18" s="143">
        <v>3.0807952541177004</v>
      </c>
      <c r="AE18" s="188"/>
      <c r="AF18" s="188"/>
      <c r="AG18" s="199">
        <v>1.1259999999999999</v>
      </c>
      <c r="AH18" s="208">
        <v>1.7479999999999998</v>
      </c>
      <c r="AI18" s="188">
        <f>AD18-AG18-AH18</f>
        <v>0.20679525411770072</v>
      </c>
      <c r="AJ18" s="187">
        <f>AG18/AD18</f>
        <v>0.36549004627783083</v>
      </c>
      <c r="AK18" s="186">
        <f>AH18/AD18</f>
        <v>0.56738596882206771</v>
      </c>
      <c r="AL18" s="202">
        <v>3</v>
      </c>
      <c r="AM18" s="143">
        <v>3.5217197784874554</v>
      </c>
      <c r="AN18" s="188"/>
      <c r="AO18" s="188"/>
      <c r="AP18" s="199">
        <v>1.1890000000000001</v>
      </c>
      <c r="AQ18" s="208">
        <v>1.8740000000000001</v>
      </c>
      <c r="AR18" s="188">
        <f>AM18-AP18-AQ18</f>
        <v>0.45871977848745527</v>
      </c>
      <c r="AS18" s="187">
        <f>AP18/AM18</f>
        <v>0.33761913916690556</v>
      </c>
      <c r="AT18" s="186">
        <f>AQ18/AM18</f>
        <v>0.53212638082319685</v>
      </c>
      <c r="AU18" s="202">
        <v>3</v>
      </c>
      <c r="AV18" s="143">
        <v>3.014656575462237</v>
      </c>
      <c r="AW18" s="188"/>
      <c r="AX18" s="188"/>
      <c r="AY18" s="199">
        <v>0.99999999999999989</v>
      </c>
      <c r="AZ18" s="208">
        <v>1.6220000000000003</v>
      </c>
      <c r="BA18" s="188">
        <f>AV18-AY18-AZ18</f>
        <v>0.39265657546223665</v>
      </c>
      <c r="BB18" s="187">
        <f>AY18/AV18</f>
        <v>0.33171274238647563</v>
      </c>
      <c r="BC18" s="186">
        <f>AZ18/AV18</f>
        <v>0.53803806815086364</v>
      </c>
      <c r="BD18" s="202">
        <v>3</v>
      </c>
      <c r="BE18" s="143">
        <v>3.47762732605048</v>
      </c>
      <c r="BF18" s="188"/>
      <c r="BG18" s="188"/>
      <c r="BH18" s="199">
        <v>1.2520000000000002</v>
      </c>
      <c r="BI18" s="208">
        <v>1.9369999999999998</v>
      </c>
      <c r="BJ18" s="188">
        <f>BE18-BH18-BI18</f>
        <v>0.28862732605047992</v>
      </c>
      <c r="BK18" s="187">
        <f>BH18/BE18</f>
        <v>0.36001557459058986</v>
      </c>
      <c r="BL18" s="186">
        <f>BI18/BE18</f>
        <v>0.55698895206227828</v>
      </c>
      <c r="BM18" s="202">
        <v>3</v>
      </c>
      <c r="BN18" s="143">
        <v>3.0367028016807245</v>
      </c>
      <c r="BO18" s="188"/>
      <c r="BP18" s="188"/>
      <c r="BQ18" s="199">
        <v>1.0630000000000002</v>
      </c>
      <c r="BR18" s="208">
        <v>1.6850000000000001</v>
      </c>
      <c r="BS18" s="188">
        <f>BN18-BQ18-BR18</f>
        <v>0.28870280168072426</v>
      </c>
      <c r="BT18" s="187">
        <f>BQ18/BN18</f>
        <v>0.35005071929056125</v>
      </c>
      <c r="BU18" s="186">
        <f>BR18/BN18</f>
        <v>0.55487813923292162</v>
      </c>
    </row>
    <row r="19" spans="2:73" ht="22.5" x14ac:dyDescent="0.25">
      <c r="B19" s="202">
        <v>4</v>
      </c>
      <c r="C19" s="143">
        <v>3.8083207193277961</v>
      </c>
      <c r="D19" s="200"/>
      <c r="E19" s="188"/>
      <c r="F19" s="208">
        <v>0.93699999999999994</v>
      </c>
      <c r="G19" s="208">
        <v>1.8109999999999995</v>
      </c>
      <c r="H19" s="188">
        <f>C19-F19-G19</f>
        <v>1.0603207193277968</v>
      </c>
      <c r="I19" s="187">
        <f>F19/C19</f>
        <v>0.24604020224572606</v>
      </c>
      <c r="J19" s="186">
        <f>G19/C19</f>
        <v>0.47553768011420472</v>
      </c>
      <c r="K19" s="202">
        <v>4</v>
      </c>
      <c r="L19" s="143">
        <v>2.7501018608403838</v>
      </c>
      <c r="M19" s="188"/>
      <c r="N19" s="188"/>
      <c r="O19" s="208">
        <v>0.99999999999999989</v>
      </c>
      <c r="P19" s="208">
        <v>1.4330000000000003</v>
      </c>
      <c r="Q19" s="188">
        <f>L19-O19-P19</f>
        <v>0.3171018608403835</v>
      </c>
      <c r="R19" s="187">
        <f>O19/L19</f>
        <v>0.36362289493321426</v>
      </c>
      <c r="S19" s="186">
        <f>P19/L19</f>
        <v>0.52107160843929623</v>
      </c>
      <c r="T19" s="202">
        <v>4</v>
      </c>
      <c r="U19" s="143">
        <v>3.0807952541177004</v>
      </c>
      <c r="V19" s="188"/>
      <c r="W19" s="188"/>
      <c r="X19" s="208">
        <v>1.0630000000000002</v>
      </c>
      <c r="Y19" s="208">
        <v>1.7479999999999998</v>
      </c>
      <c r="Z19" s="188">
        <f>U19-X19-Y19</f>
        <v>0.26979525411770044</v>
      </c>
      <c r="AA19" s="187">
        <f>X19/U19</f>
        <v>0.34504078081113165</v>
      </c>
      <c r="AB19" s="186">
        <f>Y19/U19</f>
        <v>0.56738596882206771</v>
      </c>
      <c r="AC19" s="202">
        <v>4</v>
      </c>
      <c r="AD19" s="143">
        <v>3.0587490278992124</v>
      </c>
      <c r="AE19" s="188"/>
      <c r="AF19" s="188"/>
      <c r="AG19" s="208">
        <v>1.0630000000000002</v>
      </c>
      <c r="AH19" s="208">
        <v>1.5589999999999997</v>
      </c>
      <c r="AI19" s="188">
        <f>AD19-AG19-AH19</f>
        <v>0.43674902789921255</v>
      </c>
      <c r="AJ19" s="187">
        <f>AG19/AD19</f>
        <v>0.34752769524542587</v>
      </c>
      <c r="AK19" s="186">
        <f>AH19/AD19</f>
        <v>0.50968549095730831</v>
      </c>
      <c r="AL19" s="202">
        <v>4</v>
      </c>
      <c r="AM19" s="143">
        <v>3.5658122309244309</v>
      </c>
      <c r="AN19" s="188"/>
      <c r="AO19" s="188"/>
      <c r="AP19" s="208">
        <v>1.1890000000000001</v>
      </c>
      <c r="AQ19" s="208">
        <v>1.9369999999999998</v>
      </c>
      <c r="AR19" s="188">
        <f>AM19-AP19-AQ19</f>
        <v>0.439812230924431</v>
      </c>
      <c r="AS19" s="187">
        <f>AP19/AM19</f>
        <v>0.33344436638823066</v>
      </c>
      <c r="AT19" s="186">
        <f>AQ19/AM19</f>
        <v>0.54321424532716789</v>
      </c>
      <c r="AU19" s="202">
        <v>4</v>
      </c>
      <c r="AV19" s="143">
        <v>3.5658122309244309</v>
      </c>
      <c r="AW19" s="188"/>
      <c r="AX19" s="188"/>
      <c r="AY19" s="208">
        <v>1.3149999999999999</v>
      </c>
      <c r="AZ19" s="208">
        <v>1.9369999999999998</v>
      </c>
      <c r="BA19" s="188">
        <f>AV19-AY19-AZ19</f>
        <v>0.31381223092443111</v>
      </c>
      <c r="BB19" s="187">
        <f>AY19/AV19</f>
        <v>0.36877993423088584</v>
      </c>
      <c r="BC19" s="186">
        <f>AZ19/AV19</f>
        <v>0.54321424532716789</v>
      </c>
      <c r="BD19" s="202">
        <v>4</v>
      </c>
      <c r="BE19" s="143">
        <v>3.5658122309244309</v>
      </c>
      <c r="BF19" s="188"/>
      <c r="BG19" s="188"/>
      <c r="BH19" s="208">
        <v>1.2520000000000002</v>
      </c>
      <c r="BI19" s="208">
        <v>1.9369999999999998</v>
      </c>
      <c r="BJ19" s="188">
        <f>BE19-BH19-BI19</f>
        <v>0.37681223092443084</v>
      </c>
      <c r="BK19" s="187">
        <f>BH19/BE19</f>
        <v>0.35111215030955834</v>
      </c>
      <c r="BL19" s="186">
        <f>BI19/BE19</f>
        <v>0.54321424532716789</v>
      </c>
      <c r="BM19" s="202">
        <v>4</v>
      </c>
      <c r="BN19" s="143">
        <v>3.3012575163025777</v>
      </c>
      <c r="BO19" s="188"/>
      <c r="BP19" s="188"/>
      <c r="BQ19" s="208">
        <v>1.1890000000000001</v>
      </c>
      <c r="BR19" s="208">
        <v>1.6850000000000001</v>
      </c>
      <c r="BS19" s="188">
        <f>BN19-BQ19-BR19</f>
        <v>0.42725751630257758</v>
      </c>
      <c r="BT19" s="187">
        <f>BQ19/BN19</f>
        <v>0.3601657835319933</v>
      </c>
      <c r="BU19" s="186">
        <f>BR19/BN19</f>
        <v>0.51041156034601243</v>
      </c>
    </row>
    <row r="20" spans="2:73" ht="22.5" x14ac:dyDescent="0.25">
      <c r="B20" s="202">
        <v>5</v>
      </c>
      <c r="C20" s="143">
        <v>4.3374301485715021</v>
      </c>
      <c r="D20" s="200"/>
      <c r="E20" s="188"/>
      <c r="F20" s="208">
        <v>1.3149999999999999</v>
      </c>
      <c r="G20" s="208">
        <v>2.0630000000000002</v>
      </c>
      <c r="H20" s="188">
        <f>C20-F20-G20</f>
        <v>0.959430148571502</v>
      </c>
      <c r="I20" s="187">
        <f>F20/C20</f>
        <v>0.30317491117017403</v>
      </c>
      <c r="J20" s="186">
        <f>G20/C20</f>
        <v>0.47562725607914003</v>
      </c>
      <c r="K20" s="202">
        <v>5</v>
      </c>
      <c r="L20" s="143">
        <v>2.7721480870588717</v>
      </c>
      <c r="M20" s="188"/>
      <c r="N20" s="188"/>
      <c r="O20" s="208">
        <v>1.37</v>
      </c>
      <c r="P20" s="208">
        <v>2.1889999999999996</v>
      </c>
      <c r="Q20" s="188">
        <f>L20-O20-P20</f>
        <v>-0.786851912941128</v>
      </c>
      <c r="R20" s="187">
        <f>O20/L20</f>
        <v>0.49420159276321718</v>
      </c>
      <c r="S20" s="186">
        <f>P20/L20</f>
        <v>0.78964035515232278</v>
      </c>
      <c r="T20" s="202">
        <v>5</v>
      </c>
      <c r="U20" s="143">
        <v>3.4335348736135045</v>
      </c>
      <c r="V20" s="188"/>
      <c r="W20" s="188"/>
      <c r="X20" s="208">
        <v>1.2520000000000002</v>
      </c>
      <c r="Y20" s="208">
        <v>1.8740000000000001</v>
      </c>
      <c r="Z20" s="188">
        <f>U20-X20-Y20</f>
        <v>0.30753487361350418</v>
      </c>
      <c r="AA20" s="187">
        <f>X20/U20</f>
        <v>0.36463878949404011</v>
      </c>
      <c r="AB20" s="186">
        <f>Y20/U20</f>
        <v>0.54579320408293219</v>
      </c>
      <c r="AC20" s="202">
        <v>5</v>
      </c>
      <c r="AD20" s="143">
        <v>3.5878584571429184</v>
      </c>
      <c r="AE20" s="188"/>
      <c r="AF20" s="188"/>
      <c r="AG20" s="208">
        <v>1.3149999999999999</v>
      </c>
      <c r="AH20" s="208">
        <v>1.9999999999999996</v>
      </c>
      <c r="AI20" s="188">
        <f>AD20-AG20-AH20</f>
        <v>0.2728584571429189</v>
      </c>
      <c r="AJ20" s="187">
        <f>AG20/AD20</f>
        <v>0.36651390117746174</v>
      </c>
      <c r="AK20" s="186">
        <f>AH20/AD20</f>
        <v>0.55743559114442842</v>
      </c>
      <c r="AL20" s="202">
        <v>5</v>
      </c>
      <c r="AM20" s="143">
        <v>3.6980895882353573</v>
      </c>
      <c r="AN20" s="188"/>
      <c r="AO20" s="188"/>
      <c r="AP20" s="208">
        <v>1.2520000000000002</v>
      </c>
      <c r="AQ20" s="208">
        <v>1.9999999999999996</v>
      </c>
      <c r="AR20" s="188">
        <f>AM20-AP20-AQ20</f>
        <v>0.44608958823535749</v>
      </c>
      <c r="AS20" s="187">
        <f>AP20/AM20</f>
        <v>0.33855318269815782</v>
      </c>
      <c r="AT20" s="186">
        <f>AQ20/AM20</f>
        <v>0.54081978066798353</v>
      </c>
      <c r="AU20" s="202">
        <v>5</v>
      </c>
      <c r="AV20" s="143">
        <v>3.014656575462237</v>
      </c>
      <c r="AW20" s="188"/>
      <c r="AX20" s="188"/>
      <c r="AY20" s="208">
        <v>0.99999999999999989</v>
      </c>
      <c r="AZ20" s="208">
        <v>1.6220000000000003</v>
      </c>
      <c r="BA20" s="188">
        <f>AV20-AY20-AZ20</f>
        <v>0.39265657546223665</v>
      </c>
      <c r="BB20" s="187">
        <f>AY20/AV20</f>
        <v>0.33171274238647563</v>
      </c>
      <c r="BC20" s="186">
        <f>AZ20/AV20</f>
        <v>0.53803806815086364</v>
      </c>
      <c r="BD20" s="202">
        <v>5</v>
      </c>
      <c r="BE20" s="143">
        <v>3.2130726114286268</v>
      </c>
      <c r="BF20" s="188"/>
      <c r="BG20" s="188"/>
      <c r="BH20" s="208">
        <v>1.1259999999999999</v>
      </c>
      <c r="BI20" s="208">
        <v>1.8109999999999995</v>
      </c>
      <c r="BJ20" s="188">
        <f>BE20-BH20-BI20</f>
        <v>0.27607261142862738</v>
      </c>
      <c r="BK20" s="187">
        <f>BH20/BE20</f>
        <v>0.35044337186620478</v>
      </c>
      <c r="BL20" s="186">
        <f>BI20/BE20</f>
        <v>0.56363494356100952</v>
      </c>
      <c r="BM20" s="202">
        <v>5</v>
      </c>
      <c r="BN20" s="143">
        <v>2.992610349243749</v>
      </c>
      <c r="BO20" s="188"/>
      <c r="BP20" s="188"/>
      <c r="BQ20" s="208">
        <v>0.99999999999999989</v>
      </c>
      <c r="BR20" s="208">
        <v>1.6220000000000003</v>
      </c>
      <c r="BS20" s="188">
        <f>BN20-BQ20-BR20</f>
        <v>0.37061034924374869</v>
      </c>
      <c r="BT20" s="187">
        <f>BQ20/BN20</f>
        <v>0.33415643311288623</v>
      </c>
      <c r="BU20" s="186">
        <f>BR20/BN20</f>
        <v>0.54200173450910161</v>
      </c>
    </row>
    <row r="21" spans="2:73" ht="22.5" x14ac:dyDescent="0.25">
      <c r="B21" s="202">
        <v>6</v>
      </c>
      <c r="C21" s="143">
        <v>4.3594763747899901</v>
      </c>
      <c r="D21" s="200"/>
      <c r="E21" s="188"/>
      <c r="F21" s="199">
        <v>1.2520000000000002</v>
      </c>
      <c r="G21" s="199">
        <v>2.0630000000000002</v>
      </c>
      <c r="H21" s="188">
        <f>C21-F21-G21</f>
        <v>1.0444763747899897</v>
      </c>
      <c r="I21" s="187">
        <f>F21/C21</f>
        <v>0.28719045416556777</v>
      </c>
      <c r="J21" s="186">
        <f>G21/C21</f>
        <v>0.47322197040220948</v>
      </c>
      <c r="K21" s="202">
        <v>6</v>
      </c>
      <c r="L21" s="143">
        <v>2.7941943132773592</v>
      </c>
      <c r="M21" s="188"/>
      <c r="N21" s="188"/>
      <c r="O21" s="199">
        <v>1.0630000000000002</v>
      </c>
      <c r="P21" s="199">
        <v>1.496</v>
      </c>
      <c r="Q21" s="188">
        <f>L21-O21-P21</f>
        <v>0.23519431327735907</v>
      </c>
      <c r="R21" s="187">
        <f>O21/L21</f>
        <v>0.38043166681317481</v>
      </c>
      <c r="S21" s="186">
        <f>P21/L21</f>
        <v>0.53539583589135409</v>
      </c>
      <c r="T21" s="202">
        <v>6</v>
      </c>
      <c r="U21" s="143">
        <v>3.014656575462237</v>
      </c>
      <c r="V21" s="188"/>
      <c r="W21" s="188"/>
      <c r="X21" s="199">
        <v>1.0630000000000002</v>
      </c>
      <c r="Y21" s="199">
        <v>1.6220000000000003</v>
      </c>
      <c r="Z21" s="188">
        <f>U21-X21-Y21</f>
        <v>0.32965657546223648</v>
      </c>
      <c r="AA21" s="187">
        <f>X21/U21</f>
        <v>0.35261064515682372</v>
      </c>
      <c r="AB21" s="186">
        <f>Y21/U21</f>
        <v>0.53803806815086364</v>
      </c>
      <c r="AC21" s="202">
        <v>6</v>
      </c>
      <c r="AD21" s="143">
        <v>3.0807952541177004</v>
      </c>
      <c r="AE21" s="188"/>
      <c r="AF21" s="188"/>
      <c r="AG21" s="199">
        <v>1.1259999999999999</v>
      </c>
      <c r="AH21" s="199">
        <v>1.6850000000000001</v>
      </c>
      <c r="AI21" s="188">
        <f>AD21-AG21-AH21</f>
        <v>0.26979525411770044</v>
      </c>
      <c r="AJ21" s="187">
        <f>AG21/AD21</f>
        <v>0.36549004627783083</v>
      </c>
      <c r="AK21" s="186">
        <f>AH21/AD21</f>
        <v>0.54693670335536859</v>
      </c>
      <c r="AL21" s="202">
        <v>6</v>
      </c>
      <c r="AM21" s="143">
        <v>3.1028414803361879</v>
      </c>
      <c r="AN21" s="188"/>
      <c r="AO21" s="188"/>
      <c r="AP21" s="199">
        <v>0.99999999999999989</v>
      </c>
      <c r="AQ21" s="199">
        <v>1.6220000000000003</v>
      </c>
      <c r="AR21" s="188">
        <f>AM21-AP21-AQ21</f>
        <v>0.48084148033618757</v>
      </c>
      <c r="AS21" s="187">
        <f>AP21/AM21</f>
        <v>0.32228523639939594</v>
      </c>
      <c r="AT21" s="186">
        <f>AQ21/AM21</f>
        <v>0.5227466534398203</v>
      </c>
      <c r="AU21" s="202">
        <v>6</v>
      </c>
      <c r="AV21" s="143">
        <v>3.2571650638656022</v>
      </c>
      <c r="AW21" s="188"/>
      <c r="AX21" s="188"/>
      <c r="AY21" s="199">
        <v>1.1890000000000001</v>
      </c>
      <c r="AZ21" s="199">
        <v>1.7479999999999998</v>
      </c>
      <c r="BA21" s="188">
        <f>AV21-AY21-AZ21</f>
        <v>0.3201650638656024</v>
      </c>
      <c r="BB21" s="187">
        <f>AY21/AV21</f>
        <v>0.36504137085054428</v>
      </c>
      <c r="BC21" s="186">
        <f>AZ21/AV21</f>
        <v>0.53666300777691445</v>
      </c>
      <c r="BD21" s="202">
        <v>6</v>
      </c>
      <c r="BE21" s="143">
        <v>3.5658122309244309</v>
      </c>
      <c r="BF21" s="188"/>
      <c r="BG21" s="188"/>
      <c r="BH21" s="199">
        <v>1.1890000000000001</v>
      </c>
      <c r="BI21" s="199">
        <v>1.9369999999999998</v>
      </c>
      <c r="BJ21" s="188">
        <f>BE21-BH21-BI21</f>
        <v>0.439812230924431</v>
      </c>
      <c r="BK21" s="187">
        <f>BH21/BE21</f>
        <v>0.33344436638823066</v>
      </c>
      <c r="BL21" s="186">
        <f>BI21/BE21</f>
        <v>0.54321424532716789</v>
      </c>
      <c r="BM21" s="202">
        <v>6</v>
      </c>
      <c r="BN21" s="143">
        <v>3.1028414803361879</v>
      </c>
      <c r="BO21" s="188"/>
      <c r="BP21" s="188"/>
      <c r="BQ21" s="199">
        <v>1.1890000000000001</v>
      </c>
      <c r="BR21" s="199">
        <v>1.6850000000000001</v>
      </c>
      <c r="BS21" s="188">
        <f>BN21-BQ21-BR21</f>
        <v>0.22884148033618779</v>
      </c>
      <c r="BT21" s="187">
        <f>BQ21/BN21</f>
        <v>0.38319714607888178</v>
      </c>
      <c r="BU21" s="186">
        <f>BR21/BN21</f>
        <v>0.54305062333298215</v>
      </c>
    </row>
    <row r="22" spans="2:73" ht="22.5" x14ac:dyDescent="0.25">
      <c r="B22" s="202">
        <v>7</v>
      </c>
      <c r="C22" s="143">
        <v>4.2051527912605762</v>
      </c>
      <c r="D22" s="200"/>
      <c r="E22" s="188"/>
      <c r="F22" s="199">
        <v>1.2520000000000002</v>
      </c>
      <c r="G22" s="208">
        <v>1.9369999999999998</v>
      </c>
      <c r="H22" s="188">
        <f>C22-F22-G22</f>
        <v>1.0161527912605761</v>
      </c>
      <c r="I22" s="187">
        <f>F22/C22</f>
        <v>0.29772996657861961</v>
      </c>
      <c r="J22" s="186">
        <f>G22/C22</f>
        <v>0.46062535564120288</v>
      </c>
      <c r="K22" s="202">
        <v>7</v>
      </c>
      <c r="L22" s="143">
        <v>2.8823792181513102</v>
      </c>
      <c r="M22" s="188"/>
      <c r="N22" s="188"/>
      <c r="O22" s="199">
        <v>1.0630000000000002</v>
      </c>
      <c r="P22" s="208">
        <v>1.6220000000000003</v>
      </c>
      <c r="Q22" s="188">
        <f>L22-O22-P22</f>
        <v>0.19737921815130965</v>
      </c>
      <c r="R22" s="187">
        <f>O22/L22</f>
        <v>0.36879255626946383</v>
      </c>
      <c r="S22" s="186">
        <f>P22/L22</f>
        <v>0.56272956375265315</v>
      </c>
      <c r="T22" s="202">
        <v>7</v>
      </c>
      <c r="U22" s="143">
        <v>3.0587490278992124</v>
      </c>
      <c r="V22" s="188"/>
      <c r="W22" s="188"/>
      <c r="X22" s="199">
        <v>1.1259999999999999</v>
      </c>
      <c r="Y22" s="208">
        <v>1.6850000000000001</v>
      </c>
      <c r="Z22" s="188">
        <f>U22-X22-Y22</f>
        <v>0.24774902789921249</v>
      </c>
      <c r="AA22" s="187">
        <f>X22/U22</f>
        <v>0.36812435074915284</v>
      </c>
      <c r="AB22" s="186">
        <f>Y22/U22</f>
        <v>0.55087880196476247</v>
      </c>
      <c r="AC22" s="202">
        <v>7</v>
      </c>
      <c r="AD22" s="143">
        <v>3.3012575163025777</v>
      </c>
      <c r="AE22" s="188"/>
      <c r="AF22" s="188"/>
      <c r="AG22" s="199">
        <v>1.1890000000000001</v>
      </c>
      <c r="AH22" s="208">
        <v>1.8109999999999995</v>
      </c>
      <c r="AI22" s="188">
        <f>AD22-AG22-AH22</f>
        <v>0.30125751630257813</v>
      </c>
      <c r="AJ22" s="187">
        <f>AG22/AD22</f>
        <v>0.3601657835319933</v>
      </c>
      <c r="AK22" s="186">
        <f>AH22/AD22</f>
        <v>0.54857883429473475</v>
      </c>
      <c r="AL22" s="202">
        <v>7</v>
      </c>
      <c r="AM22" s="143">
        <v>3.5437660047059429</v>
      </c>
      <c r="AN22" s="188"/>
      <c r="AO22" s="188"/>
      <c r="AP22" s="199">
        <v>1.1259999999999999</v>
      </c>
      <c r="AQ22" s="208">
        <v>1.6850000000000001</v>
      </c>
      <c r="AR22" s="188">
        <f>AM22-AP22-AQ22</f>
        <v>0.732766004705943</v>
      </c>
      <c r="AS22" s="187">
        <f>AP22/AM22</f>
        <v>0.31774106938909863</v>
      </c>
      <c r="AT22" s="186">
        <f>AQ22/AM22</f>
        <v>0.47548286138599583</v>
      </c>
      <c r="AU22" s="202">
        <v>7</v>
      </c>
      <c r="AV22" s="143">
        <v>3.2351188376471143</v>
      </c>
      <c r="AW22" s="188"/>
      <c r="AX22" s="188"/>
      <c r="AY22" s="199">
        <v>1.1259999999999999</v>
      </c>
      <c r="AZ22" s="208">
        <v>1.7479999999999998</v>
      </c>
      <c r="BA22" s="188">
        <f>AV22-AY22-AZ22</f>
        <v>0.36111883764711461</v>
      </c>
      <c r="BB22" s="187">
        <f>AY22/AV22</f>
        <v>0.34805522038223918</v>
      </c>
      <c r="BC22" s="186">
        <f>AZ22/AV22</f>
        <v>0.54032018226301426</v>
      </c>
      <c r="BD22" s="202">
        <v>7</v>
      </c>
      <c r="BE22" s="143">
        <v>3.1028414803361879</v>
      </c>
      <c r="BF22" s="188"/>
      <c r="BG22" s="188"/>
      <c r="BH22" s="199">
        <v>1.1259999999999999</v>
      </c>
      <c r="BI22" s="208">
        <v>1.6850000000000001</v>
      </c>
      <c r="BJ22" s="188">
        <f>BE22-BH22-BI22</f>
        <v>0.29184148033618795</v>
      </c>
      <c r="BK22" s="187">
        <f>BH22/BE22</f>
        <v>0.36289317618571981</v>
      </c>
      <c r="BL22" s="186">
        <f>BI22/BE22</f>
        <v>0.54305062333298215</v>
      </c>
      <c r="BM22" s="202">
        <v>7</v>
      </c>
      <c r="BN22" s="143">
        <v>2.8603329919328226</v>
      </c>
      <c r="BO22" s="188"/>
      <c r="BP22" s="188"/>
      <c r="BQ22" s="199">
        <v>0.99999999999999989</v>
      </c>
      <c r="BR22" s="208">
        <v>1.5589999999999997</v>
      </c>
      <c r="BS22" s="188">
        <f>BN22-BQ22-BR22</f>
        <v>0.30133299193282292</v>
      </c>
      <c r="BT22" s="187">
        <f>BQ22/BN22</f>
        <v>0.34960964433874059</v>
      </c>
      <c r="BU22" s="186">
        <f>BR22/BN22</f>
        <v>0.54504143552409656</v>
      </c>
    </row>
    <row r="23" spans="2:73" ht="22.5" x14ac:dyDescent="0.25">
      <c r="B23" s="202">
        <v>8</v>
      </c>
      <c r="C23" s="143">
        <v>3.6319509095798943</v>
      </c>
      <c r="D23" s="200"/>
      <c r="E23" s="188"/>
      <c r="F23" s="189">
        <v>0.99999999999999989</v>
      </c>
      <c r="G23" s="208">
        <v>1.7479999999999998</v>
      </c>
      <c r="H23" s="188">
        <f>C23-F23-G23</f>
        <v>0.88395090957989453</v>
      </c>
      <c r="I23" s="187">
        <f>F23/C23</f>
        <v>0.27533411791506546</v>
      </c>
      <c r="J23" s="186">
        <f>G23/C23</f>
        <v>0.48128403811553444</v>
      </c>
      <c r="K23" s="202">
        <v>8</v>
      </c>
      <c r="L23" s="143">
        <v>2.9044254443697981</v>
      </c>
      <c r="M23" s="188"/>
      <c r="N23" s="188"/>
      <c r="O23" s="189">
        <v>0.99999999999999989</v>
      </c>
      <c r="P23" s="208">
        <v>1.496</v>
      </c>
      <c r="Q23" s="188">
        <f>L23-O23-P23</f>
        <v>0.40842544436979811</v>
      </c>
      <c r="R23" s="187">
        <f>O23/L23</f>
        <v>0.34430217581879768</v>
      </c>
      <c r="S23" s="186">
        <f>P23/L23</f>
        <v>0.51507605502492138</v>
      </c>
      <c r="T23" s="202">
        <v>8</v>
      </c>
      <c r="U23" s="143">
        <v>4.0508292077311614</v>
      </c>
      <c r="V23" s="188"/>
      <c r="W23" s="188"/>
      <c r="X23" s="189">
        <v>1.4330000000000003</v>
      </c>
      <c r="Y23" s="208">
        <v>2.2520000000000002</v>
      </c>
      <c r="Z23" s="188">
        <f>U23-X23-Y23</f>
        <v>0.3658292077311609</v>
      </c>
      <c r="AA23" s="187">
        <f>X23/U23</f>
        <v>0.35375473181270278</v>
      </c>
      <c r="AB23" s="186">
        <f>Y23/U23</f>
        <v>0.55593555899665503</v>
      </c>
      <c r="AC23" s="202">
        <v>8</v>
      </c>
      <c r="AD23" s="143">
        <v>3.1248877065546758</v>
      </c>
      <c r="AE23" s="188"/>
      <c r="AF23" s="188"/>
      <c r="AG23" s="189">
        <v>1.1259999999999999</v>
      </c>
      <c r="AH23" s="208">
        <v>1.6850000000000001</v>
      </c>
      <c r="AI23" s="188">
        <f>AD23-AG23-AH23</f>
        <v>0.3138877065546759</v>
      </c>
      <c r="AJ23" s="187">
        <f>AG23/AD23</f>
        <v>0.36033294816902833</v>
      </c>
      <c r="AK23" s="186">
        <f>AH23/AD23</f>
        <v>0.53921937625649452</v>
      </c>
      <c r="AL23" s="202">
        <v>8</v>
      </c>
      <c r="AM23" s="143">
        <v>3.5878584571429184</v>
      </c>
      <c r="AN23" s="188"/>
      <c r="AO23" s="188"/>
      <c r="AP23" s="189">
        <v>1.3149999999999999</v>
      </c>
      <c r="AQ23" s="208">
        <v>1.9369999999999998</v>
      </c>
      <c r="AR23" s="188">
        <f>AM23-AP23-AQ23</f>
        <v>0.33585845714291862</v>
      </c>
      <c r="AS23" s="187">
        <f>AP23/AM23</f>
        <v>0.36651390117746174</v>
      </c>
      <c r="AT23" s="186">
        <f>AQ23/AM23</f>
        <v>0.53987637002337896</v>
      </c>
      <c r="AU23" s="202">
        <v>8</v>
      </c>
      <c r="AV23" s="143">
        <v>3.2792112900840902</v>
      </c>
      <c r="AW23" s="188"/>
      <c r="AX23" s="188"/>
      <c r="AY23" s="189">
        <v>1.2520000000000002</v>
      </c>
      <c r="AZ23" s="208">
        <v>1.8740000000000001</v>
      </c>
      <c r="BA23" s="188">
        <f>AV23-AY23-AZ23</f>
        <v>0.15321129008408985</v>
      </c>
      <c r="BB23" s="187">
        <f>AY23/AV23</f>
        <v>0.38179912462057136</v>
      </c>
      <c r="BC23" s="186">
        <f>AZ23/AV23</f>
        <v>0.5714788814208871</v>
      </c>
      <c r="BD23" s="202">
        <v>8</v>
      </c>
      <c r="BE23" s="143">
        <v>3.3233037425210656</v>
      </c>
      <c r="BF23" s="188"/>
      <c r="BG23" s="188"/>
      <c r="BH23" s="189">
        <v>1.2520000000000002</v>
      </c>
      <c r="BI23" s="208">
        <v>1.8740000000000001</v>
      </c>
      <c r="BJ23" s="188">
        <f>BE23-BH23-BI23</f>
        <v>0.19730374252106531</v>
      </c>
      <c r="BK23" s="187">
        <f>BH23/BE23</f>
        <v>0.37673354499045286</v>
      </c>
      <c r="BL23" s="186">
        <f>BI23/BE23</f>
        <v>0.56389669593618896</v>
      </c>
      <c r="BM23" s="202">
        <v>8</v>
      </c>
      <c r="BN23" s="143">
        <v>2.992610349243749</v>
      </c>
      <c r="BO23" s="188"/>
      <c r="BP23" s="188"/>
      <c r="BQ23" s="189">
        <v>0.99999999999999989</v>
      </c>
      <c r="BR23" s="208">
        <v>1.6220000000000003</v>
      </c>
      <c r="BS23" s="188">
        <f>BN23-BQ23-BR23</f>
        <v>0.37061034924374869</v>
      </c>
      <c r="BT23" s="187">
        <f>BQ23/BN23</f>
        <v>0.33415643311288623</v>
      </c>
      <c r="BU23" s="186">
        <f>BR23/BN23</f>
        <v>0.54200173450910161</v>
      </c>
    </row>
    <row r="24" spans="2:73" ht="22.5" x14ac:dyDescent="0.25">
      <c r="B24" s="202">
        <v>9</v>
      </c>
      <c r="C24" s="143">
        <v>3.0367028016807245</v>
      </c>
      <c r="D24" s="200"/>
      <c r="E24" s="188"/>
      <c r="F24" s="190">
        <v>1.0630000000000002</v>
      </c>
      <c r="G24" s="199">
        <v>1.5589999999999997</v>
      </c>
      <c r="H24" s="188">
        <f>C24-F24-G24</f>
        <v>0.4147028016807246</v>
      </c>
      <c r="I24" s="187">
        <f>F24/C24</f>
        <v>0.35005071929056125</v>
      </c>
      <c r="J24" s="186">
        <f>G24/C24</f>
        <v>0.51338576799057833</v>
      </c>
      <c r="K24" s="202">
        <v>9</v>
      </c>
      <c r="L24" s="143">
        <v>2.5957782773109694</v>
      </c>
      <c r="M24" s="188"/>
      <c r="N24" s="188"/>
      <c r="O24" s="190">
        <v>0.99999999999999989</v>
      </c>
      <c r="P24" s="199">
        <v>1.3699999999999997</v>
      </c>
      <c r="Q24" s="188">
        <f>L24-O24-P24</f>
        <v>0.22577827731096978</v>
      </c>
      <c r="R24" s="187">
        <f>O24/L24</f>
        <v>0.38524091550528133</v>
      </c>
      <c r="S24" s="186">
        <f>P24/L24</f>
        <v>0.52778005424223529</v>
      </c>
      <c r="T24" s="202">
        <v>9</v>
      </c>
      <c r="U24" s="143">
        <v>3.1689801589916513</v>
      </c>
      <c r="V24" s="188"/>
      <c r="W24" s="188"/>
      <c r="X24" s="190">
        <v>1.1890000000000001</v>
      </c>
      <c r="Y24" s="199">
        <v>1.7479999999999998</v>
      </c>
      <c r="Z24" s="188">
        <f>U24-X24-Y24</f>
        <v>0.23198015899165148</v>
      </c>
      <c r="AA24" s="187">
        <f>X24/U24</f>
        <v>0.37519957221137418</v>
      </c>
      <c r="AB24" s="186">
        <f>Y24/U24</f>
        <v>0.55159701616945489</v>
      </c>
      <c r="AC24" s="202">
        <v>9</v>
      </c>
      <c r="AD24" s="143">
        <v>3.6539971357983818</v>
      </c>
      <c r="AE24" s="188"/>
      <c r="AF24" s="188"/>
      <c r="AG24" s="190">
        <v>1.3149999999999999</v>
      </c>
      <c r="AH24" s="199">
        <v>1.9999999999999996</v>
      </c>
      <c r="AI24" s="188">
        <f>AD24-AG24-AH24</f>
        <v>0.33899713579838231</v>
      </c>
      <c r="AJ24" s="187">
        <f>AG24/AD24</f>
        <v>0.35987986611069916</v>
      </c>
      <c r="AK24" s="186">
        <f>AH24/AD24</f>
        <v>0.54734580397064503</v>
      </c>
      <c r="AL24" s="202">
        <v>9</v>
      </c>
      <c r="AM24" s="143">
        <v>3.2351188376471143</v>
      </c>
      <c r="AN24" s="188"/>
      <c r="AO24" s="188"/>
      <c r="AP24" s="190">
        <v>1.1890000000000001</v>
      </c>
      <c r="AQ24" s="199">
        <v>1.8109999999999995</v>
      </c>
      <c r="AR24" s="188">
        <f>AM24-AP24-AQ24</f>
        <v>0.23511883764711472</v>
      </c>
      <c r="AS24" s="187">
        <f>AP24/AM24</f>
        <v>0.36752900269492228</v>
      </c>
      <c r="AT24" s="186">
        <f>AQ24/AM24</f>
        <v>0.55979396457569719</v>
      </c>
      <c r="AU24" s="202">
        <v>9</v>
      </c>
      <c r="AV24" s="143">
        <v>3.3012575163025777</v>
      </c>
      <c r="AW24" s="188"/>
      <c r="AX24" s="188"/>
      <c r="AY24" s="190">
        <v>1.1259999999999999</v>
      </c>
      <c r="AZ24" s="199">
        <v>1.7479999999999998</v>
      </c>
      <c r="BA24" s="188">
        <f>AV24-AY24-AZ24</f>
        <v>0.42725751630257802</v>
      </c>
      <c r="BB24" s="187">
        <f>AY24/AV24</f>
        <v>0.34108214655763197</v>
      </c>
      <c r="BC24" s="186">
        <f>AZ24/AV24</f>
        <v>0.52949519732037353</v>
      </c>
      <c r="BD24" s="202">
        <v>9</v>
      </c>
      <c r="BE24" s="143">
        <v>3.455581099831992</v>
      </c>
      <c r="BF24" s="188"/>
      <c r="BG24" s="188"/>
      <c r="BH24" s="190">
        <v>1.1890000000000001</v>
      </c>
      <c r="BI24" s="199">
        <v>1.8109999999999995</v>
      </c>
      <c r="BJ24" s="188">
        <f>BE24-BH24-BI24</f>
        <v>0.45558109983199246</v>
      </c>
      <c r="BK24" s="187">
        <f>BH24/BE24</f>
        <v>0.34408105775836323</v>
      </c>
      <c r="BL24" s="186">
        <f>BI24/BE24</f>
        <v>0.52407972716601825</v>
      </c>
      <c r="BM24" s="202">
        <v>9</v>
      </c>
      <c r="BN24" s="143">
        <v>3.1689801589916513</v>
      </c>
      <c r="BO24" s="188"/>
      <c r="BP24" s="188"/>
      <c r="BQ24" s="190">
        <v>1.0630000000000002</v>
      </c>
      <c r="BR24" s="199">
        <v>1.7479999999999998</v>
      </c>
      <c r="BS24" s="188">
        <f>BN24-BQ24-BR24</f>
        <v>0.35798015899165136</v>
      </c>
      <c r="BT24" s="187">
        <f>BQ24/BN24</f>
        <v>0.33543914656071555</v>
      </c>
      <c r="BU24" s="186">
        <f>BR24/BN24</f>
        <v>0.55159701616945489</v>
      </c>
    </row>
    <row r="25" spans="2:73" ht="22.5" x14ac:dyDescent="0.25">
      <c r="B25" s="201">
        <v>10</v>
      </c>
      <c r="C25" s="143">
        <v>3.4114886473950166</v>
      </c>
      <c r="D25" s="200"/>
      <c r="E25" s="188"/>
      <c r="F25" s="190">
        <v>1.0630000000000002</v>
      </c>
      <c r="G25" s="199">
        <v>1.6850000000000001</v>
      </c>
      <c r="H25" s="188">
        <f>C25-F25-G25</f>
        <v>0.66348864739501634</v>
      </c>
      <c r="I25" s="187">
        <f>F25/C25</f>
        <v>0.31159417775336812</v>
      </c>
      <c r="J25" s="186">
        <f>G25/C25</f>
        <v>0.49391927517819872</v>
      </c>
      <c r="K25" s="201">
        <v>10</v>
      </c>
      <c r="L25" s="143">
        <v>2.7941943132773592</v>
      </c>
      <c r="M25" s="188"/>
      <c r="N25" s="188"/>
      <c r="O25" s="190">
        <v>1.1259999999999999</v>
      </c>
      <c r="P25" s="199">
        <v>1.6220000000000003</v>
      </c>
      <c r="Q25" s="188">
        <f>L25-O25-P25</f>
        <v>4.6194313277359011E-2</v>
      </c>
      <c r="R25" s="187">
        <f>O25/L25</f>
        <v>0.40297841658667427</v>
      </c>
      <c r="S25" s="186">
        <f>P25/L25</f>
        <v>0.58048933543835335</v>
      </c>
      <c r="T25" s="201">
        <v>10</v>
      </c>
      <c r="U25" s="143">
        <v>2.9705641230252615</v>
      </c>
      <c r="V25" s="188"/>
      <c r="W25" s="188"/>
      <c r="X25" s="190">
        <v>0.99999999999999989</v>
      </c>
      <c r="Y25" s="199">
        <v>1.6220000000000003</v>
      </c>
      <c r="Z25" s="188">
        <f>U25-X25-Y25</f>
        <v>0.34856412302526119</v>
      </c>
      <c r="AA25" s="187">
        <f>X25/U25</f>
        <v>0.336636395844432</v>
      </c>
      <c r="AB25" s="186">
        <f>Y25/U25</f>
        <v>0.54602423405966882</v>
      </c>
      <c r="AC25" s="201">
        <v>10</v>
      </c>
      <c r="AD25" s="143">
        <v>3.455581099831992</v>
      </c>
      <c r="AE25" s="188"/>
      <c r="AF25" s="188"/>
      <c r="AG25" s="190">
        <v>1.1890000000000001</v>
      </c>
      <c r="AH25" s="199">
        <v>1.8109999999999995</v>
      </c>
      <c r="AI25" s="188">
        <f>AD25-AG25-AH25</f>
        <v>0.45558109983199246</v>
      </c>
      <c r="AJ25" s="187">
        <f>AG25/AD25</f>
        <v>0.34408105775836323</v>
      </c>
      <c r="AK25" s="186">
        <f>AH25/AD25</f>
        <v>0.52407972716601825</v>
      </c>
      <c r="AL25" s="201">
        <v>10</v>
      </c>
      <c r="AM25" s="143">
        <v>3.5217197784874554</v>
      </c>
      <c r="AN25" s="188"/>
      <c r="AO25" s="188"/>
      <c r="AP25" s="190">
        <v>1.2520000000000002</v>
      </c>
      <c r="AQ25" s="199">
        <v>1.9369999999999998</v>
      </c>
      <c r="AR25" s="188">
        <f>AM25-AP25-AQ25</f>
        <v>0.33271977848745538</v>
      </c>
      <c r="AS25" s="187">
        <f>AP25/AM25</f>
        <v>0.35550812635573242</v>
      </c>
      <c r="AT25" s="186">
        <f>AQ25/AM25</f>
        <v>0.55001536801202355</v>
      </c>
      <c r="AU25" s="201">
        <v>10</v>
      </c>
      <c r="AV25" s="143">
        <v>3.1028414803361879</v>
      </c>
      <c r="AW25" s="188"/>
      <c r="AX25" s="188"/>
      <c r="AY25" s="190">
        <v>1.1259999999999999</v>
      </c>
      <c r="AZ25" s="199">
        <v>1.7479999999999998</v>
      </c>
      <c r="BA25" s="188">
        <f>AV25-AY25-AZ25</f>
        <v>0.22884148033618823</v>
      </c>
      <c r="BB25" s="187">
        <f>AY25/AV25</f>
        <v>0.36289317618571981</v>
      </c>
      <c r="BC25" s="186">
        <f>AZ25/AV25</f>
        <v>0.56335459322614401</v>
      </c>
      <c r="BD25" s="201">
        <v>10</v>
      </c>
      <c r="BE25" s="143">
        <v>3.4114886473950166</v>
      </c>
      <c r="BF25" s="188"/>
      <c r="BG25" s="188"/>
      <c r="BH25" s="190">
        <v>1.1890000000000001</v>
      </c>
      <c r="BI25" s="199">
        <v>1.8109999999999995</v>
      </c>
      <c r="BJ25" s="188">
        <f>BE25-BH25-BI25</f>
        <v>0.411488647395017</v>
      </c>
      <c r="BK25" s="187">
        <f>BH25/BE25</f>
        <v>0.34852820070437879</v>
      </c>
      <c r="BL25" s="186">
        <f>BI25/BE25</f>
        <v>0.53085329812920923</v>
      </c>
      <c r="BM25" s="201">
        <v>10</v>
      </c>
      <c r="BN25" s="143">
        <v>2.9705641230252615</v>
      </c>
      <c r="BO25" s="188"/>
      <c r="BP25" s="188"/>
      <c r="BQ25" s="190">
        <v>1.1890000000000001</v>
      </c>
      <c r="BR25" s="199">
        <v>1.8740000000000001</v>
      </c>
      <c r="BS25" s="188">
        <f>BN25-BQ25-BR25</f>
        <v>-9.2435876974738651E-2</v>
      </c>
      <c r="BT25" s="187">
        <f>BQ25/BN25</f>
        <v>0.4002606746590297</v>
      </c>
      <c r="BU25" s="186">
        <f>BR25/BN25</f>
        <v>0.63085660581246561</v>
      </c>
    </row>
    <row r="26" spans="2:73" ht="22.5" x14ac:dyDescent="0.25">
      <c r="B26" s="193">
        <v>11</v>
      </c>
      <c r="C26" s="143">
        <v>3.6099046833614064</v>
      </c>
      <c r="D26" s="192"/>
      <c r="E26" s="191"/>
      <c r="F26" s="190">
        <v>1.2520000000000002</v>
      </c>
      <c r="G26" s="189">
        <v>1.8740000000000001</v>
      </c>
      <c r="H26" s="188">
        <f>C26-F26-G26</f>
        <v>0.48390468336140602</v>
      </c>
      <c r="I26" s="187">
        <f>F26/C26</f>
        <v>0.34682356178839197</v>
      </c>
      <c r="J26" s="186">
        <f>G26/C26</f>
        <v>0.51912728018486143</v>
      </c>
      <c r="K26" s="193">
        <v>11</v>
      </c>
      <c r="L26" s="143">
        <v>2.6398707297479449</v>
      </c>
      <c r="M26" s="191"/>
      <c r="N26" s="191"/>
      <c r="O26" s="190">
        <v>0.93699999999999994</v>
      </c>
      <c r="P26" s="189">
        <v>1.4330000000000003</v>
      </c>
      <c r="Q26" s="188">
        <f>L26-O26-P26</f>
        <v>0.26987072974794479</v>
      </c>
      <c r="R26" s="187">
        <f>O26/L26</f>
        <v>0.3549416224973504</v>
      </c>
      <c r="S26" s="186">
        <f>P26/L26</f>
        <v>0.54282961050021694</v>
      </c>
      <c r="T26" s="193">
        <v>11</v>
      </c>
      <c r="U26" s="143">
        <v>3.1469339327731634</v>
      </c>
      <c r="V26" s="191"/>
      <c r="W26" s="191"/>
      <c r="X26" s="190">
        <v>1.1890000000000001</v>
      </c>
      <c r="Y26" s="189">
        <v>1.7479999999999998</v>
      </c>
      <c r="Z26" s="188">
        <f>U26-X26-Y26</f>
        <v>0.20993393277316352</v>
      </c>
      <c r="AA26" s="187">
        <f>X26/U26</f>
        <v>0.37782807818663705</v>
      </c>
      <c r="AB26" s="186">
        <f>Y26/U26</f>
        <v>0.55546129576975733</v>
      </c>
      <c r="AC26" s="193">
        <v>11</v>
      </c>
      <c r="AD26" s="143">
        <v>3.3673961949580411</v>
      </c>
      <c r="AE26" s="191"/>
      <c r="AF26" s="191"/>
      <c r="AG26" s="190">
        <v>1.2520000000000002</v>
      </c>
      <c r="AH26" s="189">
        <v>1.8740000000000001</v>
      </c>
      <c r="AI26" s="188">
        <f>AD26-AG26-AH26</f>
        <v>0.24139619495804077</v>
      </c>
      <c r="AJ26" s="187">
        <f>AG26/AD26</f>
        <v>0.37180062205766096</v>
      </c>
      <c r="AK26" s="186">
        <f>AH26/AD26</f>
        <v>0.55651307167416653</v>
      </c>
      <c r="AL26" s="193">
        <v>11</v>
      </c>
      <c r="AM26" s="143">
        <v>4.1390141126051123</v>
      </c>
      <c r="AN26" s="191"/>
      <c r="AO26" s="191"/>
      <c r="AP26" s="190">
        <v>1.496</v>
      </c>
      <c r="AQ26" s="189">
        <v>2.1889999999999996</v>
      </c>
      <c r="AR26" s="188">
        <f>AM26-AP26-AQ26</f>
        <v>0.45401411260511271</v>
      </c>
      <c r="AS26" s="187">
        <f>AP26/AM26</f>
        <v>0.3614387289581894</v>
      </c>
      <c r="AT26" s="186">
        <f>AQ26/AM26</f>
        <v>0.52886990487264474</v>
      </c>
      <c r="AU26" s="193">
        <v>11</v>
      </c>
      <c r="AV26" s="143">
        <v>3.0367028016807245</v>
      </c>
      <c r="AW26" s="191"/>
      <c r="AX26" s="191"/>
      <c r="AY26" s="190">
        <v>1.1259999999999999</v>
      </c>
      <c r="AZ26" s="189">
        <v>1.6220000000000003</v>
      </c>
      <c r="BA26" s="188">
        <f>AV26-AY26-AZ26</f>
        <v>0.28870280168072426</v>
      </c>
      <c r="BB26" s="187">
        <f>AY26/AV26</f>
        <v>0.37079690491173273</v>
      </c>
      <c r="BC26" s="186">
        <f>AZ26/AV26</f>
        <v>0.53413195361175014</v>
      </c>
      <c r="BD26" s="193">
        <v>11</v>
      </c>
      <c r="BE26" s="143">
        <v>3.5217197784874554</v>
      </c>
      <c r="BF26" s="191"/>
      <c r="BG26" s="191"/>
      <c r="BH26" s="190">
        <v>1.1259999999999999</v>
      </c>
      <c r="BI26" s="189">
        <v>1.8740000000000001</v>
      </c>
      <c r="BJ26" s="188">
        <f>BE26-BH26-BI26</f>
        <v>0.52171977848745543</v>
      </c>
      <c r="BK26" s="187">
        <f>BH26/BE26</f>
        <v>0.31973015197807875</v>
      </c>
      <c r="BL26" s="186">
        <f>BI26/BE26</f>
        <v>0.53212638082319685</v>
      </c>
      <c r="BM26" s="193">
        <v>11</v>
      </c>
      <c r="BN26" s="143">
        <v>3.0807952541177004</v>
      </c>
      <c r="BO26" s="191"/>
      <c r="BP26" s="191"/>
      <c r="BQ26" s="190">
        <v>1.0630000000000002</v>
      </c>
      <c r="BR26" s="189">
        <v>1.7479999999999998</v>
      </c>
      <c r="BS26" s="188">
        <f>BN26-BQ26-BR26</f>
        <v>0.26979525411770044</v>
      </c>
      <c r="BT26" s="187">
        <f>BQ26/BN26</f>
        <v>0.34504078081113165</v>
      </c>
      <c r="BU26" s="186">
        <f>BR26/BN26</f>
        <v>0.56738596882206771</v>
      </c>
    </row>
    <row r="27" spans="2:73" ht="22.5" x14ac:dyDescent="0.25">
      <c r="B27" s="176"/>
      <c r="C27" s="175"/>
      <c r="D27" s="185"/>
      <c r="E27" s="174"/>
      <c r="F27" s="174"/>
      <c r="G27" s="174"/>
      <c r="H27" s="174" t="s">
        <v>353</v>
      </c>
      <c r="I27" s="184">
        <f>AVERAGE(I16:I26)</f>
        <v>0.29873716922282334</v>
      </c>
      <c r="J27" s="139"/>
      <c r="K27" s="176"/>
      <c r="L27" s="175"/>
      <c r="M27" s="174"/>
      <c r="N27" s="174"/>
      <c r="O27" s="174"/>
      <c r="P27" s="174"/>
      <c r="Q27" s="174" t="s">
        <v>353</v>
      </c>
      <c r="R27" s="184">
        <f>AVERAGE(R16:R26)</f>
        <v>0.37813214020119051</v>
      </c>
      <c r="T27" s="176"/>
      <c r="U27" s="175"/>
      <c r="V27" s="174"/>
      <c r="W27" s="174"/>
      <c r="X27" s="174"/>
      <c r="Y27" s="174"/>
      <c r="Z27" s="174" t="s">
        <v>353</v>
      </c>
      <c r="AA27" s="184">
        <f>AVERAGE(AA16:AA26)</f>
        <v>0.35692086300417347</v>
      </c>
      <c r="AC27" s="176"/>
      <c r="AD27" s="175"/>
      <c r="AE27" s="174"/>
      <c r="AF27" s="174"/>
      <c r="AG27" s="174"/>
      <c r="AH27" s="174"/>
      <c r="AI27" s="174" t="s">
        <v>353</v>
      </c>
      <c r="AJ27" s="184">
        <f>AVERAGE(AJ16:AJ26)</f>
        <v>0.35995404565255074</v>
      </c>
      <c r="AL27" s="176"/>
      <c r="AM27" s="175"/>
      <c r="AN27" s="174"/>
      <c r="AO27" s="174"/>
      <c r="AP27" s="174"/>
      <c r="AQ27" s="174"/>
      <c r="AR27" s="174" t="s">
        <v>353</v>
      </c>
      <c r="AS27" s="184">
        <f>AVERAGE(AS16:AS26)</f>
        <v>0.3454121591262222</v>
      </c>
      <c r="AU27" s="176"/>
      <c r="AV27" s="175"/>
      <c r="AW27" s="174"/>
      <c r="AX27" s="174"/>
      <c r="AY27" s="174"/>
      <c r="AZ27" s="174"/>
      <c r="BA27" s="174" t="s">
        <v>353</v>
      </c>
      <c r="BB27" s="184">
        <f>AVERAGE(BB16:BB26)</f>
        <v>0.34986030794908901</v>
      </c>
      <c r="BD27" s="176"/>
      <c r="BE27" s="175"/>
      <c r="BF27" s="174"/>
      <c r="BG27" s="174"/>
      <c r="BH27" s="174"/>
      <c r="BI27" s="174"/>
      <c r="BJ27" s="174" t="s">
        <v>353</v>
      </c>
      <c r="BK27" s="184">
        <f>AVERAGE(BK16:BK26)</f>
        <v>0.34928025491309928</v>
      </c>
      <c r="BM27" s="176"/>
      <c r="BN27" s="175"/>
      <c r="BO27" s="174"/>
      <c r="BP27" s="174"/>
      <c r="BQ27" s="174"/>
      <c r="BR27" s="174"/>
      <c r="BS27" s="174" t="s">
        <v>353</v>
      </c>
      <c r="BT27" s="184">
        <f>AVERAGE(BT16:BT26)</f>
        <v>0.35396746242818755</v>
      </c>
    </row>
    <row r="28" spans="2:73" ht="22.5" x14ac:dyDescent="0.25">
      <c r="B28" s="176"/>
      <c r="C28" s="175"/>
      <c r="D28" s="185"/>
      <c r="E28" s="174"/>
      <c r="F28" s="174"/>
      <c r="G28" s="174"/>
      <c r="H28" s="174"/>
      <c r="I28" s="184"/>
      <c r="J28" s="139"/>
      <c r="K28" s="176"/>
      <c r="L28" s="175"/>
      <c r="M28" s="174"/>
      <c r="N28" s="174"/>
      <c r="O28" s="174"/>
      <c r="P28" s="174"/>
      <c r="Q28" s="174"/>
      <c r="R28" s="184"/>
      <c r="T28" s="176"/>
      <c r="U28" s="175"/>
      <c r="V28" s="174"/>
      <c r="W28" s="174"/>
      <c r="X28" s="174"/>
      <c r="Y28" s="174"/>
      <c r="Z28" s="174"/>
      <c r="AA28" s="174"/>
      <c r="AC28" s="176"/>
      <c r="AD28" s="175"/>
      <c r="AE28" s="174"/>
      <c r="AF28" s="174"/>
      <c r="AG28" s="174"/>
      <c r="AH28" s="174"/>
      <c r="AI28" s="174"/>
      <c r="AJ28" s="184"/>
      <c r="AL28" s="176"/>
      <c r="AM28" s="175"/>
      <c r="AN28" s="174"/>
      <c r="AO28" s="174"/>
      <c r="AP28" s="174"/>
      <c r="AQ28" s="174"/>
      <c r="AR28" s="174"/>
      <c r="AS28" s="173"/>
      <c r="AU28" s="176"/>
      <c r="AV28" s="175"/>
      <c r="AW28" s="174"/>
      <c r="AX28" s="174"/>
      <c r="AY28" s="174"/>
      <c r="AZ28" s="174"/>
      <c r="BA28" s="174"/>
      <c r="BB28" s="177"/>
      <c r="BD28" s="176"/>
      <c r="BE28" s="175"/>
      <c r="BF28" s="174"/>
      <c r="BG28" s="174"/>
      <c r="BH28" s="174"/>
      <c r="BI28" s="174"/>
      <c r="BJ28" s="174"/>
      <c r="BK28" s="177"/>
      <c r="BM28" s="176"/>
      <c r="BN28" s="175"/>
      <c r="BO28" s="174"/>
      <c r="BP28" s="174"/>
      <c r="BQ28" s="174"/>
      <c r="BR28" s="174"/>
      <c r="BS28" s="174"/>
      <c r="BT28" s="177"/>
    </row>
    <row r="29" spans="2:73" ht="22.5" x14ac:dyDescent="0.25">
      <c r="B29" s="176"/>
      <c r="C29" s="175"/>
      <c r="D29" s="185"/>
      <c r="E29" s="174"/>
      <c r="F29" s="174"/>
      <c r="G29" s="174"/>
      <c r="H29" s="174"/>
      <c r="I29" s="184"/>
      <c r="J29" s="139"/>
      <c r="K29" s="176"/>
      <c r="L29" s="175"/>
      <c r="M29" s="174"/>
      <c r="N29" s="174"/>
      <c r="O29" s="174"/>
      <c r="P29" s="174"/>
      <c r="Q29" s="174"/>
      <c r="R29" s="184"/>
      <c r="T29" s="176"/>
      <c r="U29" s="175"/>
      <c r="V29" s="174"/>
      <c r="W29" s="174"/>
      <c r="X29" s="174"/>
      <c r="Y29" s="174"/>
      <c r="Z29" s="174"/>
      <c r="AA29" s="174"/>
      <c r="AC29" s="176"/>
      <c r="AD29" s="175"/>
      <c r="AE29" s="174"/>
      <c r="AF29" s="174"/>
      <c r="AG29" s="174"/>
      <c r="AH29" s="174"/>
      <c r="AI29" s="174"/>
      <c r="AJ29" s="184"/>
      <c r="AL29" s="176"/>
      <c r="AM29" s="175"/>
      <c r="AN29" s="174"/>
      <c r="AO29" s="174"/>
      <c r="AP29" s="174"/>
      <c r="AQ29" s="174"/>
      <c r="AR29" s="174"/>
      <c r="AS29" s="173"/>
      <c r="AU29" s="176"/>
      <c r="AV29" s="175"/>
      <c r="AW29" s="174"/>
      <c r="AX29" s="174"/>
      <c r="AY29" s="174"/>
      <c r="AZ29" s="174"/>
      <c r="BA29" s="174"/>
      <c r="BB29" s="177"/>
      <c r="BD29" s="176"/>
      <c r="BE29" s="175"/>
      <c r="BF29" s="174"/>
      <c r="BG29" s="174"/>
      <c r="BH29" s="174"/>
      <c r="BI29" s="174"/>
      <c r="BJ29" s="174"/>
      <c r="BK29" s="177"/>
      <c r="BM29" s="176"/>
      <c r="BN29" s="175"/>
      <c r="BO29" s="174"/>
      <c r="BP29" s="174"/>
      <c r="BQ29" s="174"/>
      <c r="BR29" s="174"/>
      <c r="BS29" s="174"/>
      <c r="BT29" s="177"/>
    </row>
    <row r="30" spans="2:73" ht="23.25" x14ac:dyDescent="0.35">
      <c r="B30" s="160" t="s">
        <v>347</v>
      </c>
      <c r="C30" s="159">
        <v>9</v>
      </c>
      <c r="E30" s="158"/>
      <c r="F30" s="158" t="s">
        <v>291</v>
      </c>
      <c r="G30" s="158"/>
      <c r="H30" s="158"/>
      <c r="I30" s="158"/>
      <c r="J30" s="139"/>
      <c r="K30" s="160" t="s">
        <v>347</v>
      </c>
      <c r="L30" s="159">
        <v>10</v>
      </c>
      <c r="N30" s="158"/>
      <c r="O30" s="158" t="s">
        <v>286</v>
      </c>
      <c r="P30" s="158"/>
      <c r="Q30" s="158"/>
      <c r="R30" s="158"/>
      <c r="T30" s="160" t="s">
        <v>347</v>
      </c>
      <c r="U30" s="159">
        <v>11</v>
      </c>
      <c r="W30" s="158"/>
      <c r="X30" s="158" t="s">
        <v>296</v>
      </c>
      <c r="Y30" s="158"/>
      <c r="Z30" s="158"/>
      <c r="AA30" s="158"/>
      <c r="AC30" s="176"/>
      <c r="AD30" s="175"/>
      <c r="AE30" s="174"/>
      <c r="AF30" s="174"/>
      <c r="AG30" s="174"/>
      <c r="AH30" s="174"/>
      <c r="AI30" s="174"/>
      <c r="AJ30" s="184"/>
      <c r="AL30" s="176"/>
      <c r="AM30" s="175"/>
      <c r="AN30" s="174"/>
      <c r="AO30" s="174"/>
      <c r="AP30" s="174"/>
      <c r="AQ30" s="174"/>
      <c r="AR30" s="174"/>
      <c r="AS30" s="173"/>
      <c r="AU30" s="176"/>
      <c r="AV30" s="175"/>
      <c r="AW30" s="174"/>
      <c r="AX30" s="174"/>
      <c r="AY30" s="174"/>
      <c r="AZ30" s="174"/>
      <c r="BA30" s="174"/>
      <c r="BB30" s="177"/>
      <c r="BD30" s="176"/>
      <c r="BE30" s="175"/>
      <c r="BF30" s="174"/>
      <c r="BG30" s="174"/>
      <c r="BH30" s="174"/>
      <c r="BI30" s="174"/>
      <c r="BJ30" s="174"/>
      <c r="BK30" s="177"/>
      <c r="BM30" s="176"/>
      <c r="BN30" s="175"/>
      <c r="BO30" s="174"/>
      <c r="BP30" s="174"/>
      <c r="BQ30" s="174"/>
      <c r="BR30" s="174"/>
      <c r="BS30" s="174"/>
      <c r="BT30" s="177"/>
    </row>
    <row r="31" spans="2:73" ht="22.5" x14ac:dyDescent="0.35">
      <c r="B31" s="160" t="s">
        <v>363</v>
      </c>
      <c r="C31" s="210">
        <v>41962</v>
      </c>
      <c r="E31" s="158"/>
      <c r="F31" s="158"/>
      <c r="G31" s="158"/>
      <c r="H31" s="158"/>
      <c r="I31" s="158"/>
      <c r="J31" s="139"/>
      <c r="K31" s="160" t="s">
        <v>363</v>
      </c>
      <c r="L31" s="210">
        <v>41962</v>
      </c>
      <c r="N31" s="158"/>
      <c r="O31" s="158"/>
      <c r="P31" s="158"/>
      <c r="Q31" s="158"/>
      <c r="R31" s="158"/>
      <c r="T31" s="160" t="s">
        <v>363</v>
      </c>
      <c r="U31" s="210">
        <v>41962</v>
      </c>
      <c r="W31" s="158"/>
      <c r="X31" s="158"/>
      <c r="Y31" s="158"/>
      <c r="Z31" s="158"/>
      <c r="AA31" s="158"/>
      <c r="AC31" s="176"/>
      <c r="AD31" s="175"/>
      <c r="AE31" s="174"/>
      <c r="AG31" s="174"/>
      <c r="AH31" s="174"/>
      <c r="AI31" s="174"/>
      <c r="AJ31" s="184"/>
      <c r="AL31" s="176"/>
      <c r="AM31" s="175"/>
      <c r="AN31" s="174"/>
      <c r="AO31" s="174"/>
      <c r="AP31" s="174"/>
      <c r="AQ31" s="174"/>
      <c r="AR31" s="174"/>
      <c r="AS31" s="173"/>
      <c r="AU31" s="176"/>
      <c r="AV31" s="175"/>
      <c r="AW31" s="174"/>
      <c r="AX31" s="174"/>
      <c r="AY31" s="174"/>
      <c r="AZ31" s="174"/>
      <c r="BA31" s="174"/>
      <c r="BB31" s="177"/>
      <c r="BD31" s="176"/>
      <c r="BE31" s="175"/>
      <c r="BF31" s="174"/>
      <c r="BG31" s="174"/>
      <c r="BH31" s="174"/>
      <c r="BI31" s="174"/>
      <c r="BJ31" s="174"/>
      <c r="BK31" s="177"/>
      <c r="BM31" s="176"/>
      <c r="BN31" s="175"/>
      <c r="BO31" s="174"/>
      <c r="BP31" s="174"/>
      <c r="BQ31" s="174"/>
      <c r="BR31" s="174"/>
      <c r="BS31" s="174"/>
      <c r="BT31" s="177"/>
    </row>
    <row r="32" spans="2:73" ht="22.5" x14ac:dyDescent="0.25">
      <c r="J32" s="139"/>
      <c r="AC32" s="176"/>
      <c r="AD32" s="175"/>
      <c r="AE32" s="174"/>
      <c r="AG32" s="174"/>
      <c r="AH32" s="174"/>
      <c r="AI32" s="174"/>
      <c r="AJ32" s="216"/>
      <c r="AL32" s="176"/>
      <c r="AM32" s="175"/>
      <c r="AN32" s="174"/>
      <c r="AO32" s="174"/>
      <c r="AP32" s="174"/>
      <c r="AQ32" s="174"/>
      <c r="AR32" s="174"/>
      <c r="AS32" s="173"/>
      <c r="AU32" s="176"/>
      <c r="AV32" s="175"/>
      <c r="AW32" s="174"/>
      <c r="AX32" s="174"/>
      <c r="AY32" s="174"/>
      <c r="AZ32" s="174"/>
      <c r="BA32" s="174"/>
      <c r="BB32" s="177"/>
      <c r="BD32" s="176"/>
      <c r="BE32" s="175"/>
      <c r="BF32" s="174"/>
      <c r="BG32" s="174"/>
      <c r="BH32" s="174"/>
      <c r="BI32" s="174"/>
      <c r="BJ32" s="174"/>
      <c r="BK32" s="177"/>
      <c r="BM32" s="176"/>
      <c r="BN32" s="175"/>
      <c r="BO32" s="174"/>
      <c r="BP32" s="174"/>
      <c r="BQ32" s="174"/>
      <c r="BR32" s="174"/>
      <c r="BS32" s="174"/>
      <c r="BT32" s="177"/>
    </row>
    <row r="33" spans="2:81" ht="22.5" x14ac:dyDescent="0.25">
      <c r="J33" s="139"/>
      <c r="AC33" s="176"/>
      <c r="AD33" s="175"/>
      <c r="AE33" s="174"/>
      <c r="AG33" s="174"/>
      <c r="AH33" s="174"/>
      <c r="AI33" s="174"/>
      <c r="AJ33" s="184"/>
      <c r="AL33" s="176"/>
      <c r="AM33" s="175"/>
      <c r="AN33" s="174"/>
      <c r="AO33" s="174"/>
      <c r="AP33" s="174"/>
      <c r="AQ33" s="174"/>
      <c r="AR33" s="174"/>
      <c r="AS33" s="173"/>
      <c r="AU33" s="176"/>
      <c r="AV33" s="175"/>
      <c r="AW33" s="174"/>
      <c r="AX33" s="174"/>
      <c r="AY33" s="174"/>
      <c r="AZ33" s="174"/>
      <c r="BA33" s="174"/>
      <c r="BB33" s="177"/>
      <c r="BD33" s="176"/>
      <c r="BE33" s="175"/>
      <c r="BF33" s="174"/>
      <c r="BG33" s="174"/>
      <c r="BH33" s="174"/>
      <c r="BI33" s="174"/>
      <c r="BJ33" s="174"/>
      <c r="BK33" s="177"/>
      <c r="BM33" s="176"/>
      <c r="BN33" s="175"/>
      <c r="BO33" s="174"/>
      <c r="BP33" s="174"/>
      <c r="BQ33" s="174"/>
      <c r="BR33" s="174"/>
      <c r="BS33" s="174"/>
      <c r="BT33" s="177"/>
    </row>
    <row r="34" spans="2:81" ht="60.75" customHeight="1" x14ac:dyDescent="0.3">
      <c r="B34" s="215" t="s">
        <v>362</v>
      </c>
      <c r="C34" s="215" t="s">
        <v>361</v>
      </c>
      <c r="D34" s="214" t="s">
        <v>360</v>
      </c>
      <c r="E34" s="205" t="s">
        <v>359</v>
      </c>
      <c r="F34" s="204" t="s">
        <v>358</v>
      </c>
      <c r="G34" s="204" t="s">
        <v>357</v>
      </c>
      <c r="H34" s="204" t="s">
        <v>356</v>
      </c>
      <c r="I34" s="203" t="s">
        <v>355</v>
      </c>
      <c r="J34" s="213" t="s">
        <v>354</v>
      </c>
      <c r="K34" s="215" t="s">
        <v>362</v>
      </c>
      <c r="L34" s="215" t="s">
        <v>361</v>
      </c>
      <c r="M34" s="214" t="s">
        <v>360</v>
      </c>
      <c r="N34" s="205" t="s">
        <v>359</v>
      </c>
      <c r="O34" s="204" t="s">
        <v>358</v>
      </c>
      <c r="P34" s="204" t="s">
        <v>357</v>
      </c>
      <c r="Q34" s="204" t="s">
        <v>356</v>
      </c>
      <c r="R34" s="203" t="s">
        <v>355</v>
      </c>
      <c r="S34" s="213" t="s">
        <v>354</v>
      </c>
      <c r="T34" s="215" t="s">
        <v>362</v>
      </c>
      <c r="U34" s="215" t="s">
        <v>361</v>
      </c>
      <c r="V34" s="214" t="s">
        <v>360</v>
      </c>
      <c r="W34" s="205" t="s">
        <v>359</v>
      </c>
      <c r="X34" s="204" t="s">
        <v>358</v>
      </c>
      <c r="Y34" s="204" t="s">
        <v>357</v>
      </c>
      <c r="Z34" s="204" t="s">
        <v>356</v>
      </c>
      <c r="AA34" s="203" t="s">
        <v>355</v>
      </c>
      <c r="AB34" s="213" t="s">
        <v>354</v>
      </c>
      <c r="AC34" s="176"/>
      <c r="AD34" s="212"/>
      <c r="AE34" s="174"/>
      <c r="AG34" s="174"/>
      <c r="AH34" s="174"/>
      <c r="AI34" s="174"/>
      <c r="AJ34" s="184"/>
      <c r="AL34" s="176"/>
      <c r="AM34" s="175"/>
      <c r="AN34" s="174"/>
      <c r="AO34" s="174"/>
      <c r="AP34" s="174"/>
      <c r="AQ34" s="174"/>
      <c r="AR34" s="174"/>
      <c r="AS34" s="173"/>
      <c r="AU34" s="176"/>
      <c r="AV34" s="175"/>
      <c r="AW34" s="174"/>
      <c r="AX34" s="174"/>
      <c r="AY34" s="174"/>
      <c r="AZ34" s="174"/>
      <c r="BA34" s="174"/>
      <c r="BB34" s="177"/>
      <c r="BD34" s="176"/>
      <c r="BE34" s="175"/>
      <c r="BF34" s="174"/>
      <c r="BG34" s="174"/>
      <c r="BH34" s="174"/>
      <c r="BI34" s="174"/>
      <c r="BJ34" s="174"/>
      <c r="BK34" s="177"/>
      <c r="BM34" s="176"/>
      <c r="BN34" s="175"/>
      <c r="BO34" s="174"/>
      <c r="BP34" s="174"/>
      <c r="BQ34" s="174"/>
      <c r="BR34" s="174"/>
      <c r="BS34" s="174"/>
      <c r="BT34" s="177"/>
    </row>
    <row r="35" spans="2:81" ht="21.95" customHeight="1" x14ac:dyDescent="0.25">
      <c r="B35" s="202">
        <v>1</v>
      </c>
      <c r="C35" s="143">
        <v>2.9485178968067736</v>
      </c>
      <c r="D35" s="200"/>
      <c r="E35" s="188"/>
      <c r="F35" s="190">
        <v>0.99999999999999989</v>
      </c>
      <c r="G35" s="208">
        <v>1.6220000000000003</v>
      </c>
      <c r="H35" s="188">
        <f>C35-F35-G35</f>
        <v>0.32651789680677323</v>
      </c>
      <c r="I35" s="187">
        <f>F35/C35</f>
        <v>0.33915344420428772</v>
      </c>
      <c r="J35" s="186">
        <f>G35/C35</f>
        <v>0.55010688649935491</v>
      </c>
      <c r="K35" s="202">
        <v>1</v>
      </c>
      <c r="L35" s="143">
        <v>2.8823792181513102</v>
      </c>
      <c r="M35" s="200"/>
      <c r="N35" s="188"/>
      <c r="O35" s="190">
        <v>0.99999999999999989</v>
      </c>
      <c r="P35" s="208">
        <v>1.5589999999999997</v>
      </c>
      <c r="Q35" s="188">
        <f>L35-O35-P35</f>
        <v>0.32337921815131043</v>
      </c>
      <c r="R35" s="187">
        <f>O35/L35</f>
        <v>0.34693561267117939</v>
      </c>
      <c r="S35" s="186">
        <f>P35/L35</f>
        <v>0.54087262015436866</v>
      </c>
      <c r="T35" s="202">
        <v>1</v>
      </c>
      <c r="U35" s="143">
        <v>2.551685824873994</v>
      </c>
      <c r="V35" s="200"/>
      <c r="W35" s="188"/>
      <c r="X35" s="190">
        <v>0.874</v>
      </c>
      <c r="Y35" s="208">
        <v>1.4330000000000003</v>
      </c>
      <c r="Z35" s="188">
        <f>U35-X35-Y35</f>
        <v>0.2446858248739936</v>
      </c>
      <c r="AA35" s="187">
        <f>X35/U35</f>
        <v>0.34251865628604938</v>
      </c>
      <c r="AB35" s="186">
        <f>Y35/U35</f>
        <v>0.56158951310973559</v>
      </c>
      <c r="AC35" s="176"/>
      <c r="AD35" s="167"/>
      <c r="AE35" s="174"/>
      <c r="AG35" s="174"/>
      <c r="AH35" s="174"/>
      <c r="AI35" s="174"/>
      <c r="AJ35" s="184"/>
      <c r="AL35" s="176"/>
      <c r="AM35" s="175"/>
      <c r="AN35" s="174"/>
      <c r="AO35" s="174"/>
      <c r="AP35" s="174"/>
      <c r="AQ35" s="174"/>
      <c r="AR35" s="174"/>
      <c r="AS35" s="173"/>
      <c r="AU35" s="176"/>
      <c r="AV35" s="175"/>
      <c r="AW35" s="174"/>
      <c r="AX35" s="174"/>
      <c r="AY35" s="174"/>
      <c r="AZ35" s="174"/>
      <c r="BA35" s="174"/>
      <c r="BB35" s="177"/>
      <c r="BD35" s="176"/>
      <c r="BE35" s="175"/>
      <c r="BF35" s="174"/>
      <c r="BG35" s="174"/>
      <c r="BH35" s="174"/>
      <c r="BI35" s="174"/>
      <c r="BJ35" s="174"/>
      <c r="BK35" s="177"/>
      <c r="BM35" s="176"/>
      <c r="BN35" s="175"/>
      <c r="BO35" s="174"/>
      <c r="BP35" s="174"/>
      <c r="BQ35" s="174"/>
      <c r="BR35" s="174"/>
      <c r="BS35" s="174"/>
      <c r="BT35" s="177"/>
    </row>
    <row r="36" spans="2:81" ht="21.95" customHeight="1" x14ac:dyDescent="0.25">
      <c r="B36" s="202">
        <v>2</v>
      </c>
      <c r="C36" s="143">
        <v>3.1248877065546758</v>
      </c>
      <c r="D36" s="200"/>
      <c r="E36" s="188"/>
      <c r="F36" s="199">
        <v>1.1259999999999999</v>
      </c>
      <c r="G36" s="208">
        <v>1.6850000000000001</v>
      </c>
      <c r="H36" s="188">
        <f>C36-F36-G36</f>
        <v>0.3138877065546759</v>
      </c>
      <c r="I36" s="187">
        <f>F36/C36</f>
        <v>0.36033294816902833</v>
      </c>
      <c r="J36" s="186">
        <f>G36/C36</f>
        <v>0.53921937625649452</v>
      </c>
      <c r="K36" s="202">
        <v>2</v>
      </c>
      <c r="L36" s="143">
        <v>2.7280556346218963</v>
      </c>
      <c r="M36" s="200"/>
      <c r="N36" s="188"/>
      <c r="O36" s="199">
        <v>0.99999999999999989</v>
      </c>
      <c r="P36" s="208">
        <v>1.496</v>
      </c>
      <c r="Q36" s="188">
        <f>L36-O36-P36</f>
        <v>0.23205563462189627</v>
      </c>
      <c r="R36" s="187">
        <f>O36/L36</f>
        <v>0.36656143933024965</v>
      </c>
      <c r="S36" s="186">
        <f>P36/L36</f>
        <v>0.54837591323805346</v>
      </c>
      <c r="T36" s="202">
        <v>2</v>
      </c>
      <c r="U36" s="143">
        <v>2.7280556346218963</v>
      </c>
      <c r="V36" s="200"/>
      <c r="W36" s="188"/>
      <c r="X36" s="199">
        <v>0.93699999999999994</v>
      </c>
      <c r="Y36" s="208">
        <v>1.496</v>
      </c>
      <c r="Z36" s="188">
        <f>U36-X36-Y36</f>
        <v>0.29505563462189643</v>
      </c>
      <c r="AA36" s="187">
        <f>X36/U36</f>
        <v>0.34346806865244395</v>
      </c>
      <c r="AB36" s="186">
        <f>Y36/U36</f>
        <v>0.54837591323805346</v>
      </c>
      <c r="AG36" s="169"/>
      <c r="AH36" s="170"/>
      <c r="AI36" s="170"/>
      <c r="AJ36" s="169"/>
      <c r="AK36" s="169"/>
      <c r="AO36" s="170"/>
      <c r="AP36" s="169"/>
      <c r="AQ36" s="170"/>
      <c r="AR36" s="170"/>
      <c r="AS36" s="169"/>
      <c r="AT36" s="169"/>
      <c r="AX36" s="170"/>
      <c r="AY36" s="169"/>
      <c r="AZ36" s="170"/>
      <c r="BA36" s="170"/>
      <c r="BB36" s="169"/>
      <c r="BC36" s="169"/>
      <c r="BG36" s="170"/>
      <c r="BH36" s="169"/>
      <c r="BI36" s="170"/>
      <c r="BJ36" s="170"/>
      <c r="BK36" s="169"/>
      <c r="BL36" s="169"/>
      <c r="BP36" s="170"/>
      <c r="BQ36" s="169"/>
      <c r="BR36" s="170"/>
      <c r="BS36" s="170"/>
      <c r="BT36" s="169"/>
      <c r="BU36" s="168"/>
    </row>
    <row r="37" spans="2:81" ht="21.95" customHeight="1" x14ac:dyDescent="0.25">
      <c r="B37" s="202">
        <v>3</v>
      </c>
      <c r="C37" s="143">
        <v>3.1910263852101388</v>
      </c>
      <c r="D37" s="200"/>
      <c r="E37" s="188"/>
      <c r="F37" s="199">
        <v>1.1259999999999999</v>
      </c>
      <c r="G37" s="208">
        <v>1.8109999999999995</v>
      </c>
      <c r="H37" s="188">
        <f>C37-F37-G37</f>
        <v>0.25402638521013943</v>
      </c>
      <c r="I37" s="187">
        <f>F37/C37</f>
        <v>0.35286452196660523</v>
      </c>
      <c r="J37" s="186">
        <f>G37/C37</f>
        <v>0.56752899580952221</v>
      </c>
      <c r="K37" s="202">
        <v>3</v>
      </c>
      <c r="L37" s="143">
        <v>3.0587490278992124</v>
      </c>
      <c r="M37" s="200"/>
      <c r="N37" s="188"/>
      <c r="O37" s="199">
        <v>1.0630000000000002</v>
      </c>
      <c r="P37" s="208">
        <v>1.6850000000000001</v>
      </c>
      <c r="Q37" s="188">
        <f>L37-O37-P37</f>
        <v>0.31074902789921222</v>
      </c>
      <c r="R37" s="187">
        <f>O37/L37</f>
        <v>0.34752769524542587</v>
      </c>
      <c r="S37" s="186">
        <f>P37/L37</f>
        <v>0.55087880196476247</v>
      </c>
      <c r="T37" s="202">
        <v>3</v>
      </c>
      <c r="U37" s="143">
        <v>2.9705641230252615</v>
      </c>
      <c r="V37" s="200"/>
      <c r="W37" s="188"/>
      <c r="X37" s="199">
        <v>0.93699999999999994</v>
      </c>
      <c r="Y37" s="208">
        <v>1.6220000000000003</v>
      </c>
      <c r="Z37" s="188">
        <f>U37-X37-Y37</f>
        <v>0.41156412302526135</v>
      </c>
      <c r="AA37" s="187">
        <f>X37/U37</f>
        <v>0.3154283029062328</v>
      </c>
      <c r="AB37" s="186">
        <f>Y37/U37</f>
        <v>0.54602423405966882</v>
      </c>
    </row>
    <row r="38" spans="2:81" ht="21.95" customHeight="1" x14ac:dyDescent="0.35">
      <c r="B38" s="202">
        <v>4</v>
      </c>
      <c r="C38" s="143">
        <v>3.3894424211765286</v>
      </c>
      <c r="D38" s="200"/>
      <c r="E38" s="188"/>
      <c r="F38" s="208">
        <v>1.1259999999999999</v>
      </c>
      <c r="G38" s="208">
        <v>1.8109999999999995</v>
      </c>
      <c r="H38" s="188">
        <f>C38-F38-G38</f>
        <v>0.45244242117652922</v>
      </c>
      <c r="I38" s="187">
        <f>F38/C38</f>
        <v>0.33220803308679531</v>
      </c>
      <c r="J38" s="186">
        <f>G38/C38</f>
        <v>0.53430617044421513</v>
      </c>
      <c r="K38" s="202">
        <v>4</v>
      </c>
      <c r="L38" s="143">
        <v>3.9185518504202346</v>
      </c>
      <c r="M38" s="200"/>
      <c r="N38" s="188"/>
      <c r="O38" s="208">
        <v>1.4330000000000003</v>
      </c>
      <c r="P38" s="208">
        <v>2.1259999999999999</v>
      </c>
      <c r="Q38" s="188">
        <f>L38-O38-P38</f>
        <v>0.35955185042023441</v>
      </c>
      <c r="R38" s="187">
        <f>O38/L38</f>
        <v>0.36569632218757603</v>
      </c>
      <c r="S38" s="186">
        <f>P38/L38</f>
        <v>0.54254736983306795</v>
      </c>
      <c r="T38" s="202">
        <v>4</v>
      </c>
      <c r="U38" s="143">
        <v>3.3012575163025777</v>
      </c>
      <c r="V38" s="200"/>
      <c r="W38" s="188"/>
      <c r="X38" s="208">
        <v>1.1890000000000001</v>
      </c>
      <c r="Y38" s="208">
        <v>1.8740000000000001</v>
      </c>
      <c r="Z38" s="188">
        <f>U38-X38-Y38</f>
        <v>0.23825751630257752</v>
      </c>
      <c r="AA38" s="187">
        <f>X38/U38</f>
        <v>0.3601657835319933</v>
      </c>
      <c r="AB38" s="186">
        <f>Y38/U38</f>
        <v>0.5676624712690963</v>
      </c>
      <c r="AE38" s="159"/>
      <c r="AG38" s="158"/>
      <c r="AH38" s="158"/>
      <c r="AI38" s="158"/>
      <c r="AJ38" s="158"/>
      <c r="AM38" s="160"/>
      <c r="AN38" s="159"/>
      <c r="AO38" s="158"/>
      <c r="AP38" s="158"/>
      <c r="AQ38" s="158"/>
      <c r="AR38" s="158"/>
      <c r="AS38" s="158"/>
      <c r="AV38" s="160"/>
      <c r="AW38" s="159"/>
      <c r="AX38" s="158"/>
      <c r="AY38" s="158"/>
      <c r="AZ38" s="158"/>
      <c r="BA38" s="158"/>
      <c r="BB38" s="158"/>
      <c r="BE38" s="160"/>
      <c r="BF38" s="159"/>
      <c r="BG38" s="158"/>
      <c r="BH38" s="158"/>
      <c r="BI38" s="158"/>
      <c r="BJ38" s="158"/>
      <c r="BK38" s="158"/>
      <c r="BN38" s="160"/>
      <c r="BO38" s="159"/>
      <c r="BP38" s="158"/>
      <c r="BQ38" s="158"/>
      <c r="BR38" s="158"/>
      <c r="BS38" s="158"/>
      <c r="BT38" s="158"/>
      <c r="BW38" s="160"/>
      <c r="BX38" s="159"/>
      <c r="BY38" s="158"/>
      <c r="BZ38" s="158"/>
      <c r="CA38" s="158"/>
      <c r="CB38" s="158"/>
      <c r="CC38" s="158"/>
    </row>
    <row r="39" spans="2:81" ht="21.95" customHeight="1" x14ac:dyDescent="0.35">
      <c r="B39" s="202">
        <v>5</v>
      </c>
      <c r="C39" s="143">
        <v>3.0587490278992124</v>
      </c>
      <c r="D39" s="200"/>
      <c r="E39" s="188"/>
      <c r="F39" s="208">
        <v>1.0630000000000002</v>
      </c>
      <c r="G39" s="208">
        <v>1.6850000000000001</v>
      </c>
      <c r="H39" s="188">
        <f>C39-F39-G39</f>
        <v>0.31074902789921222</v>
      </c>
      <c r="I39" s="187">
        <f>F39/C39</f>
        <v>0.34752769524542587</v>
      </c>
      <c r="J39" s="186">
        <f>G39/C39</f>
        <v>0.55087880196476247</v>
      </c>
      <c r="K39" s="202">
        <v>5</v>
      </c>
      <c r="L39" s="143">
        <v>3.1689801589916513</v>
      </c>
      <c r="M39" s="200"/>
      <c r="N39" s="188"/>
      <c r="O39" s="208">
        <v>1.1259999999999999</v>
      </c>
      <c r="P39" s="208">
        <v>1.7479999999999998</v>
      </c>
      <c r="Q39" s="188">
        <f>L39-O39-P39</f>
        <v>0.29498015899165164</v>
      </c>
      <c r="R39" s="187">
        <f>O39/L39</f>
        <v>0.35531935938604481</v>
      </c>
      <c r="S39" s="186">
        <f>P39/L39</f>
        <v>0.55159701616945489</v>
      </c>
      <c r="T39" s="202">
        <v>5</v>
      </c>
      <c r="U39" s="143">
        <v>3.2792112900840902</v>
      </c>
      <c r="V39" s="200"/>
      <c r="W39" s="188"/>
      <c r="X39" s="208">
        <v>1.1259999999999999</v>
      </c>
      <c r="Y39" s="208">
        <v>1.8109999999999995</v>
      </c>
      <c r="Z39" s="188">
        <f>U39-X39-Y39</f>
        <v>0.34221129008409079</v>
      </c>
      <c r="AA39" s="187">
        <f>X39/U39</f>
        <v>0.34337525105652017</v>
      </c>
      <c r="AB39" s="186">
        <f>Y39/U39</f>
        <v>0.55226694463886139</v>
      </c>
      <c r="AE39" s="211"/>
      <c r="AG39" s="158"/>
      <c r="AH39" s="158"/>
      <c r="AI39" s="158"/>
      <c r="AJ39" s="158"/>
      <c r="AM39" s="160"/>
      <c r="AN39" s="210"/>
      <c r="AO39" s="209"/>
      <c r="AP39" s="209"/>
      <c r="AQ39" s="209"/>
      <c r="AR39" s="209"/>
      <c r="AS39" s="209"/>
      <c r="AV39" s="160"/>
      <c r="AW39" s="210"/>
      <c r="AX39" s="158"/>
      <c r="AY39" s="158"/>
      <c r="AZ39" s="158"/>
      <c r="BA39" s="158"/>
      <c r="BB39" s="158"/>
      <c r="BE39" s="160"/>
      <c r="BF39" s="210"/>
      <c r="BG39" s="158"/>
      <c r="BH39" s="158"/>
      <c r="BI39" s="158"/>
      <c r="BJ39" s="158"/>
      <c r="BK39" s="158"/>
      <c r="BN39" s="160"/>
      <c r="BO39" s="210"/>
      <c r="BP39" s="158"/>
      <c r="BQ39" s="158"/>
      <c r="BR39" s="158"/>
      <c r="BS39" s="158"/>
      <c r="BT39" s="158"/>
      <c r="BW39" s="160"/>
      <c r="BX39" s="210"/>
      <c r="BY39" s="158"/>
      <c r="BZ39" s="158"/>
      <c r="CA39" s="158"/>
      <c r="CB39" s="158"/>
      <c r="CC39" s="158"/>
    </row>
    <row r="40" spans="2:81" ht="21.95" customHeight="1" x14ac:dyDescent="0.25">
      <c r="B40" s="202">
        <v>6</v>
      </c>
      <c r="C40" s="143">
        <v>2.9485178968067736</v>
      </c>
      <c r="D40" s="200"/>
      <c r="E40" s="188"/>
      <c r="F40" s="199">
        <v>1.1259999999999999</v>
      </c>
      <c r="G40" s="199">
        <v>1.6850000000000001</v>
      </c>
      <c r="H40" s="188">
        <f>C40-F40-G40</f>
        <v>0.13751789680677362</v>
      </c>
      <c r="I40" s="187">
        <f>F40/C40</f>
        <v>0.381886778174028</v>
      </c>
      <c r="J40" s="186">
        <f>G40/C40</f>
        <v>0.57147355348422491</v>
      </c>
      <c r="K40" s="202">
        <v>6</v>
      </c>
      <c r="L40" s="143">
        <v>3.1248877065546758</v>
      </c>
      <c r="M40" s="200"/>
      <c r="N40" s="188"/>
      <c r="O40" s="199">
        <v>1.1259999999999999</v>
      </c>
      <c r="P40" s="199">
        <v>1.6850000000000001</v>
      </c>
      <c r="Q40" s="188">
        <f>L40-O40-P40</f>
        <v>0.3138877065546759</v>
      </c>
      <c r="R40" s="187">
        <f>O40/L40</f>
        <v>0.36033294816902833</v>
      </c>
      <c r="S40" s="186">
        <f>P40/L40</f>
        <v>0.53921937625649452</v>
      </c>
      <c r="T40" s="202">
        <v>6</v>
      </c>
      <c r="U40" s="143">
        <v>2.8382867657143347</v>
      </c>
      <c r="V40" s="200"/>
      <c r="W40" s="188"/>
      <c r="X40" s="199">
        <v>0.99999999999999989</v>
      </c>
      <c r="Y40" s="199">
        <v>1.5589999999999997</v>
      </c>
      <c r="Z40" s="188">
        <f>U40-X40-Y40</f>
        <v>0.27928676571433497</v>
      </c>
      <c r="AA40" s="187">
        <f>X40/U40</f>
        <v>0.35232521677502932</v>
      </c>
      <c r="AB40" s="186">
        <f>Y40/U40</f>
        <v>0.54927501295227066</v>
      </c>
      <c r="AO40" s="210"/>
      <c r="AP40" s="210"/>
      <c r="AQ40" s="210"/>
      <c r="AR40" s="210"/>
      <c r="AS40" s="209"/>
      <c r="AT40" s="209"/>
    </row>
    <row r="41" spans="2:81" ht="21.95" customHeight="1" x14ac:dyDescent="0.25">
      <c r="B41" s="202">
        <v>7</v>
      </c>
      <c r="C41" s="143">
        <v>3.5217197784874554</v>
      </c>
      <c r="D41" s="200"/>
      <c r="E41" s="188"/>
      <c r="F41" s="199">
        <v>1.2520000000000002</v>
      </c>
      <c r="G41" s="208">
        <v>1.9369999999999998</v>
      </c>
      <c r="H41" s="188">
        <f>C41-F41-G41</f>
        <v>0.33271977848745538</v>
      </c>
      <c r="I41" s="187">
        <f>F41/C41</f>
        <v>0.35550812635573242</v>
      </c>
      <c r="J41" s="186">
        <f>G41/C41</f>
        <v>0.55001536801202355</v>
      </c>
      <c r="K41" s="202">
        <v>7</v>
      </c>
      <c r="L41" s="143">
        <v>2.551685824873994</v>
      </c>
      <c r="M41" s="200"/>
      <c r="N41" s="188"/>
      <c r="O41" s="199">
        <v>0.81100000000000005</v>
      </c>
      <c r="P41" s="208">
        <v>1.4330000000000003</v>
      </c>
      <c r="Q41" s="188">
        <f>L41-O41-P41</f>
        <v>0.30768582487399376</v>
      </c>
      <c r="R41" s="187">
        <f>O41/L41</f>
        <v>0.31782909639357676</v>
      </c>
      <c r="S41" s="186">
        <f>P41/L41</f>
        <v>0.56158951310973559</v>
      </c>
      <c r="T41" s="202">
        <v>7</v>
      </c>
      <c r="U41" s="143">
        <v>2.6839631821849204</v>
      </c>
      <c r="V41" s="200"/>
      <c r="W41" s="188"/>
      <c r="X41" s="199">
        <v>0.93699999999999994</v>
      </c>
      <c r="Y41" s="208">
        <v>1.496</v>
      </c>
      <c r="Z41" s="188">
        <f>U41-X41-Y41</f>
        <v>0.25096318218492053</v>
      </c>
      <c r="AA41" s="187">
        <f>X41/U41</f>
        <v>0.34911060115110115</v>
      </c>
      <c r="AB41" s="186">
        <f>Y41/U41</f>
        <v>0.55738469511424471</v>
      </c>
    </row>
    <row r="42" spans="2:81" ht="21.95" customHeight="1" x14ac:dyDescent="0.3">
      <c r="B42" s="202">
        <v>8</v>
      </c>
      <c r="C42" s="143">
        <v>2.551685824873994</v>
      </c>
      <c r="D42" s="200"/>
      <c r="E42" s="188"/>
      <c r="F42" s="189">
        <v>0.874</v>
      </c>
      <c r="G42" s="208">
        <v>1.3699999999999997</v>
      </c>
      <c r="H42" s="188">
        <f>C42-F42-G42</f>
        <v>0.30768582487399421</v>
      </c>
      <c r="I42" s="187">
        <f>F42/C42</f>
        <v>0.34251865628604938</v>
      </c>
      <c r="J42" s="186">
        <f>G42/C42</f>
        <v>0.53689995321726269</v>
      </c>
      <c r="K42" s="202">
        <v>8</v>
      </c>
      <c r="L42" s="143">
        <v>2.7060094084034083</v>
      </c>
      <c r="M42" s="200"/>
      <c r="N42" s="188"/>
      <c r="O42" s="189">
        <v>0.93699999999999994</v>
      </c>
      <c r="P42" s="208">
        <v>1.4330000000000003</v>
      </c>
      <c r="Q42" s="188">
        <f>L42-O42-P42</f>
        <v>0.33600940840340821</v>
      </c>
      <c r="R42" s="187">
        <f>O42/L42</f>
        <v>0.34626634966241521</v>
      </c>
      <c r="S42" s="186">
        <f>P42/L42</f>
        <v>0.5295620907857429</v>
      </c>
      <c r="T42" s="202">
        <v>8</v>
      </c>
      <c r="U42" s="143">
        <v>3.1910263852101388</v>
      </c>
      <c r="V42" s="200"/>
      <c r="W42" s="188"/>
      <c r="X42" s="189">
        <v>1.1259999999999999</v>
      </c>
      <c r="Y42" s="208">
        <v>1.7479999999999998</v>
      </c>
      <c r="Z42" s="188">
        <f>U42-X42-Y42</f>
        <v>0.31702638521013915</v>
      </c>
      <c r="AA42" s="187">
        <f>X42/U42</f>
        <v>0.35286452196660523</v>
      </c>
      <c r="AB42" s="186">
        <f>Y42/U42</f>
        <v>0.54778613179185254</v>
      </c>
      <c r="AC42" s="207"/>
      <c r="AE42" s="205"/>
      <c r="AG42" s="204"/>
      <c r="AH42" s="204"/>
      <c r="AI42" s="204"/>
      <c r="AJ42" s="203"/>
      <c r="AL42" s="207"/>
      <c r="AM42" s="206"/>
      <c r="AN42" s="205"/>
      <c r="AO42" s="205"/>
      <c r="AP42" s="204"/>
      <c r="AQ42" s="204"/>
      <c r="AR42" s="204"/>
      <c r="AS42" s="203"/>
      <c r="AU42" s="207"/>
      <c r="AV42" s="206"/>
      <c r="AW42" s="205"/>
      <c r="AX42" s="205"/>
      <c r="AY42" s="204"/>
      <c r="AZ42" s="204"/>
      <c r="BA42" s="204"/>
      <c r="BB42" s="203"/>
      <c r="BD42" s="207"/>
      <c r="BE42" s="206"/>
      <c r="BF42" s="205"/>
      <c r="BG42" s="205"/>
      <c r="BH42" s="204"/>
      <c r="BI42" s="204"/>
      <c r="BJ42" s="204"/>
      <c r="BK42" s="203"/>
      <c r="BM42" s="207"/>
      <c r="BN42" s="206"/>
      <c r="BO42" s="205"/>
      <c r="BP42" s="205"/>
      <c r="BQ42" s="204"/>
      <c r="BR42" s="204"/>
      <c r="BS42" s="204"/>
      <c r="BT42" s="203"/>
      <c r="BV42" s="207"/>
      <c r="BW42" s="206"/>
      <c r="BX42" s="205"/>
      <c r="BY42" s="205"/>
      <c r="BZ42" s="204"/>
      <c r="CA42" s="204"/>
      <c r="CB42" s="204"/>
      <c r="CC42" s="203"/>
    </row>
    <row r="43" spans="2:81" ht="21.95" customHeight="1" x14ac:dyDescent="0.25">
      <c r="B43" s="202">
        <v>9</v>
      </c>
      <c r="C43" s="143">
        <v>3.4335348736135045</v>
      </c>
      <c r="D43" s="200"/>
      <c r="E43" s="188"/>
      <c r="F43" s="190">
        <v>1.1890000000000001</v>
      </c>
      <c r="G43" s="199">
        <v>1.8109999999999995</v>
      </c>
      <c r="H43" s="188">
        <f>C43-F43-G43</f>
        <v>0.43353487361350496</v>
      </c>
      <c r="I43" s="187">
        <f>F43/C43</f>
        <v>0.34629035200352526</v>
      </c>
      <c r="J43" s="186">
        <f>G43/C43</f>
        <v>0.52744476659241712</v>
      </c>
      <c r="K43" s="202">
        <v>9</v>
      </c>
      <c r="L43" s="143">
        <v>3.0587490278992124</v>
      </c>
      <c r="M43" s="200"/>
      <c r="N43" s="188"/>
      <c r="O43" s="190">
        <v>1.0630000000000002</v>
      </c>
      <c r="P43" s="199">
        <v>1.6220000000000003</v>
      </c>
      <c r="Q43" s="188">
        <f>L43-O43-P43</f>
        <v>0.37374902789921194</v>
      </c>
      <c r="R43" s="187">
        <f>O43/L43</f>
        <v>0.34752769524542587</v>
      </c>
      <c r="S43" s="186">
        <f>P43/L43</f>
        <v>0.53028214646103555</v>
      </c>
      <c r="T43" s="202">
        <v>9</v>
      </c>
      <c r="U43" s="143">
        <v>2.7060094084034083</v>
      </c>
      <c r="V43" s="200"/>
      <c r="W43" s="188"/>
      <c r="X43" s="190">
        <v>0.874</v>
      </c>
      <c r="Y43" s="199">
        <v>1.496</v>
      </c>
      <c r="Z43" s="188">
        <f>U43-X43-Y43</f>
        <v>0.33600940840340821</v>
      </c>
      <c r="AA43" s="187">
        <f>X43/U43</f>
        <v>0.32298483415683127</v>
      </c>
      <c r="AB43" s="186">
        <f>Y43/U43</f>
        <v>0.55284360629132678</v>
      </c>
      <c r="AC43" s="180"/>
      <c r="AE43" s="174"/>
      <c r="AG43" s="174"/>
      <c r="AH43" s="174"/>
      <c r="AI43" s="174"/>
      <c r="AJ43" s="173"/>
      <c r="AL43" s="180"/>
      <c r="AM43" s="175"/>
      <c r="AN43" s="174"/>
      <c r="AO43" s="174"/>
      <c r="AP43" s="174"/>
      <c r="AQ43" s="174"/>
      <c r="AR43" s="174"/>
      <c r="AS43" s="173"/>
      <c r="AU43" s="180"/>
      <c r="AV43" s="175"/>
      <c r="AW43" s="174"/>
      <c r="AX43" s="174"/>
      <c r="AY43" s="174"/>
      <c r="AZ43" s="174"/>
      <c r="BA43" s="174"/>
      <c r="BB43" s="173"/>
      <c r="BD43" s="180"/>
      <c r="BE43" s="175"/>
      <c r="BF43" s="174"/>
      <c r="BG43" s="174"/>
      <c r="BH43" s="174"/>
      <c r="BI43" s="174"/>
      <c r="BJ43" s="174"/>
      <c r="BK43" s="173"/>
      <c r="BM43" s="180"/>
      <c r="BN43" s="175"/>
      <c r="BO43" s="174"/>
      <c r="BP43" s="174"/>
      <c r="BQ43" s="174"/>
      <c r="BR43" s="174"/>
      <c r="BS43" s="174"/>
      <c r="BT43" s="173"/>
      <c r="BV43" s="180"/>
      <c r="BW43" s="175"/>
      <c r="BX43" s="174"/>
      <c r="BY43" s="174"/>
      <c r="BZ43" s="174"/>
      <c r="CA43" s="174"/>
      <c r="CB43" s="174"/>
      <c r="CC43" s="173"/>
    </row>
    <row r="44" spans="2:81" ht="21.95" customHeight="1" x14ac:dyDescent="0.25">
      <c r="B44" s="201">
        <v>10</v>
      </c>
      <c r="C44" s="143">
        <v>3.0587490278992124</v>
      </c>
      <c r="D44" s="200"/>
      <c r="E44" s="188"/>
      <c r="F44" s="190">
        <v>1.0630000000000002</v>
      </c>
      <c r="G44" s="199">
        <v>1.6220000000000003</v>
      </c>
      <c r="H44" s="188">
        <f>C44-F44-G44</f>
        <v>0.37374902789921194</v>
      </c>
      <c r="I44" s="187">
        <f>F44/C44</f>
        <v>0.34752769524542587</v>
      </c>
      <c r="J44" s="186">
        <f>G44/C44</f>
        <v>0.53028214646103555</v>
      </c>
      <c r="K44" s="201">
        <v>10</v>
      </c>
      <c r="L44" s="143">
        <v>3.1689801589916513</v>
      </c>
      <c r="M44" s="200"/>
      <c r="N44" s="188"/>
      <c r="O44" s="190">
        <v>1.0630000000000002</v>
      </c>
      <c r="P44" s="199">
        <v>1.6850000000000001</v>
      </c>
      <c r="Q44" s="188">
        <f>L44-O44-P44</f>
        <v>0.42098015899165109</v>
      </c>
      <c r="R44" s="187">
        <f>O44/L44</f>
        <v>0.33543914656071555</v>
      </c>
      <c r="S44" s="186">
        <f>P44/L44</f>
        <v>0.53171680334412574</v>
      </c>
      <c r="T44" s="201">
        <v>10</v>
      </c>
      <c r="U44" s="143">
        <v>3.3012575163025777</v>
      </c>
      <c r="V44" s="200"/>
      <c r="W44" s="188"/>
      <c r="X44" s="190">
        <v>1.1259999999999999</v>
      </c>
      <c r="Y44" s="199">
        <v>1.8109999999999995</v>
      </c>
      <c r="Z44" s="188">
        <f>U44-X44-Y44</f>
        <v>0.3642575163025783</v>
      </c>
      <c r="AA44" s="187">
        <f>X44/U44</f>
        <v>0.34108214655763197</v>
      </c>
      <c r="AB44" s="186">
        <f>Y44/U44</f>
        <v>0.54857883429473475</v>
      </c>
      <c r="AC44" s="180"/>
      <c r="AE44" s="174"/>
      <c r="AG44" s="174"/>
      <c r="AH44" s="174"/>
      <c r="AI44" s="174"/>
      <c r="AJ44" s="173"/>
      <c r="AL44" s="180"/>
      <c r="AM44" s="175"/>
      <c r="AN44" s="174"/>
      <c r="AO44" s="174"/>
      <c r="AP44" s="174"/>
      <c r="AQ44" s="174"/>
      <c r="AR44" s="174"/>
      <c r="AS44" s="173"/>
      <c r="AU44" s="180"/>
      <c r="AV44" s="175"/>
      <c r="AW44" s="174"/>
      <c r="AX44" s="174"/>
      <c r="AY44" s="174"/>
      <c r="AZ44" s="174"/>
      <c r="BA44" s="174"/>
      <c r="BB44" s="173"/>
      <c r="BD44" s="180"/>
      <c r="BE44" s="175"/>
      <c r="BF44" s="174"/>
      <c r="BG44" s="174"/>
      <c r="BH44" s="174"/>
      <c r="BI44" s="174"/>
      <c r="BJ44" s="174"/>
      <c r="BK44" s="173"/>
      <c r="BM44" s="180"/>
      <c r="BN44" s="175"/>
      <c r="BO44" s="174"/>
      <c r="BP44" s="174"/>
      <c r="BQ44" s="174"/>
      <c r="BR44" s="174"/>
      <c r="BS44" s="174"/>
      <c r="BT44" s="173"/>
      <c r="BV44" s="180"/>
      <c r="BW44" s="175"/>
      <c r="BX44" s="174"/>
      <c r="BY44" s="174"/>
      <c r="BZ44" s="174"/>
      <c r="CA44" s="174"/>
      <c r="CB44" s="174"/>
      <c r="CC44" s="173"/>
    </row>
    <row r="45" spans="2:81" ht="21.95" customHeight="1" x14ac:dyDescent="0.25">
      <c r="B45" s="193">
        <v>11</v>
      </c>
      <c r="C45" s="146">
        <v>2.77</v>
      </c>
      <c r="D45" s="198"/>
      <c r="E45" s="197"/>
      <c r="F45" s="196">
        <v>0.99999999999999989</v>
      </c>
      <c r="G45" s="195">
        <v>1.496</v>
      </c>
      <c r="H45" s="194">
        <f>C45-F45-G45</f>
        <v>0.27400000000000002</v>
      </c>
      <c r="I45" s="187">
        <f>F45/C45</f>
        <v>0.36101083032490972</v>
      </c>
      <c r="J45" s="186">
        <f>G45/C45</f>
        <v>0.540072202166065</v>
      </c>
      <c r="K45" s="193">
        <v>11</v>
      </c>
      <c r="L45" s="146">
        <v>3.72</v>
      </c>
      <c r="M45" s="198"/>
      <c r="N45" s="197"/>
      <c r="O45" s="196">
        <v>1.3149999999999999</v>
      </c>
      <c r="P45" s="195">
        <v>1.9999999999999996</v>
      </c>
      <c r="Q45" s="194">
        <f>L45-O45-P45</f>
        <v>0.40500000000000069</v>
      </c>
      <c r="R45" s="187">
        <f>O45/L45</f>
        <v>0.35349462365591394</v>
      </c>
      <c r="S45" s="186">
        <f>P45/L45</f>
        <v>0.53763440860215039</v>
      </c>
      <c r="T45" s="193">
        <v>11</v>
      </c>
      <c r="U45" s="143">
        <v>4.3374301485715021</v>
      </c>
      <c r="V45" s="192"/>
      <c r="W45" s="191"/>
      <c r="X45" s="190">
        <v>1.5590000000000002</v>
      </c>
      <c r="Y45" s="189">
        <v>2.4330000000000003</v>
      </c>
      <c r="Z45" s="188">
        <f>U45-X45-Y45</f>
        <v>0.34543014857150167</v>
      </c>
      <c r="AA45" s="187">
        <f>X45/U45</f>
        <v>0.35942941940251055</v>
      </c>
      <c r="AB45" s="186">
        <f>Y45/U45</f>
        <v>0.56093122348063384</v>
      </c>
      <c r="AC45" s="180"/>
      <c r="AE45" s="174"/>
      <c r="AG45" s="174"/>
      <c r="AH45" s="174"/>
      <c r="AI45" s="174"/>
      <c r="AJ45" s="173"/>
      <c r="AL45" s="180"/>
      <c r="AM45" s="175"/>
      <c r="AN45" s="174"/>
      <c r="AO45" s="174"/>
      <c r="AP45" s="174"/>
      <c r="AQ45" s="174"/>
      <c r="AR45" s="174"/>
      <c r="AS45" s="173"/>
      <c r="AU45" s="180"/>
      <c r="AV45" s="175"/>
      <c r="AW45" s="174"/>
      <c r="AX45" s="174"/>
      <c r="AY45" s="174"/>
      <c r="AZ45" s="174"/>
      <c r="BA45" s="174"/>
      <c r="BB45" s="173"/>
      <c r="BD45" s="180"/>
      <c r="BE45" s="175"/>
      <c r="BF45" s="174"/>
      <c r="BG45" s="174"/>
      <c r="BH45" s="174"/>
      <c r="BI45" s="174"/>
      <c r="BJ45" s="174"/>
      <c r="BK45" s="173"/>
      <c r="BM45" s="180"/>
      <c r="BN45" s="175"/>
      <c r="BO45" s="174"/>
      <c r="BP45" s="174"/>
      <c r="BQ45" s="174"/>
      <c r="BR45" s="174"/>
      <c r="BS45" s="174"/>
      <c r="BT45" s="173"/>
      <c r="BV45" s="180"/>
      <c r="BW45" s="175"/>
      <c r="BX45" s="174"/>
      <c r="BY45" s="174"/>
      <c r="BZ45" s="174"/>
      <c r="CA45" s="174"/>
      <c r="CB45" s="174"/>
      <c r="CC45" s="173"/>
    </row>
    <row r="46" spans="2:81" ht="22.5" x14ac:dyDescent="0.25">
      <c r="B46" s="176"/>
      <c r="C46" s="175"/>
      <c r="D46" s="185"/>
      <c r="E46" s="174"/>
      <c r="F46" s="174"/>
      <c r="G46" s="174"/>
      <c r="H46" s="174" t="s">
        <v>353</v>
      </c>
      <c r="I46" s="184">
        <f>AVERAGE(I35:I45)</f>
        <v>0.35152991646016479</v>
      </c>
      <c r="K46" s="176"/>
      <c r="L46" s="175"/>
      <c r="M46" s="185"/>
      <c r="N46" s="174"/>
      <c r="O46" s="174"/>
      <c r="P46" s="174"/>
      <c r="Q46" s="174" t="s">
        <v>353</v>
      </c>
      <c r="R46" s="184">
        <f>AVERAGE(R35:R45)</f>
        <v>0.34935729895523199</v>
      </c>
      <c r="T46" s="176"/>
      <c r="U46" s="175"/>
      <c r="V46" s="185"/>
      <c r="W46" s="174"/>
      <c r="X46" s="174"/>
      <c r="Y46" s="174"/>
      <c r="Z46" s="174" t="s">
        <v>353</v>
      </c>
      <c r="AA46" s="184">
        <f>AVERAGE(AA35:AA45)</f>
        <v>0.3438866184039045</v>
      </c>
      <c r="AC46" s="180"/>
      <c r="AE46" s="174"/>
      <c r="AG46" s="174"/>
      <c r="AH46" s="174"/>
      <c r="AI46" s="174"/>
      <c r="AJ46" s="173"/>
      <c r="AL46" s="180"/>
      <c r="AM46" s="175"/>
      <c r="AN46" s="174"/>
      <c r="AO46" s="174"/>
      <c r="AP46" s="174"/>
      <c r="AQ46" s="174"/>
      <c r="AR46" s="174"/>
      <c r="AS46" s="173"/>
      <c r="AU46" s="180"/>
      <c r="AV46" s="175"/>
      <c r="AW46" s="174"/>
      <c r="AX46" s="174"/>
      <c r="AY46" s="174"/>
      <c r="AZ46" s="174"/>
      <c r="BA46" s="174"/>
      <c r="BB46" s="173"/>
      <c r="BD46" s="180"/>
      <c r="BE46" s="175"/>
      <c r="BF46" s="174"/>
      <c r="BG46" s="174"/>
      <c r="BH46" s="174"/>
      <c r="BI46" s="174"/>
      <c r="BJ46" s="174"/>
      <c r="BK46" s="173"/>
      <c r="BM46" s="180"/>
      <c r="BN46" s="175"/>
      <c r="BO46" s="174"/>
      <c r="BP46" s="174"/>
      <c r="BQ46" s="174"/>
      <c r="BR46" s="174"/>
      <c r="BS46" s="174"/>
      <c r="BT46" s="173"/>
      <c r="BV46" s="180"/>
      <c r="BW46" s="175"/>
      <c r="BX46" s="174"/>
      <c r="BY46" s="174"/>
      <c r="BZ46" s="174"/>
      <c r="CA46" s="174"/>
      <c r="CB46" s="174"/>
      <c r="CC46" s="173"/>
    </row>
    <row r="47" spans="2:81" ht="22.5" x14ac:dyDescent="0.25">
      <c r="B47" s="180"/>
      <c r="C47" s="175"/>
      <c r="D47" s="174"/>
      <c r="E47" s="174"/>
      <c r="F47" s="174"/>
      <c r="G47" s="174"/>
      <c r="H47" s="174"/>
      <c r="I47" s="177"/>
      <c r="K47" s="180"/>
      <c r="L47" s="175"/>
      <c r="M47" s="174"/>
      <c r="N47" s="174"/>
      <c r="O47" s="174"/>
      <c r="P47" s="174"/>
      <c r="Q47" s="174"/>
      <c r="R47" s="173"/>
      <c r="T47" s="180"/>
      <c r="U47" s="175"/>
      <c r="V47" s="174"/>
      <c r="W47" s="174"/>
      <c r="X47" s="174"/>
      <c r="Y47" s="174"/>
      <c r="Z47" s="174"/>
      <c r="AA47" s="177"/>
      <c r="AC47" s="180"/>
      <c r="AD47" s="167"/>
      <c r="AE47" s="174"/>
      <c r="AG47" s="174"/>
      <c r="AH47" s="174"/>
      <c r="AI47" s="174"/>
      <c r="AJ47" s="173"/>
      <c r="AL47" s="180"/>
      <c r="AM47" s="175"/>
      <c r="AN47" s="174"/>
      <c r="AO47" s="174"/>
      <c r="AP47" s="174"/>
      <c r="AQ47" s="174"/>
      <c r="AR47" s="174"/>
      <c r="AS47" s="173"/>
      <c r="AU47" s="180"/>
      <c r="AV47" s="175"/>
      <c r="AW47" s="174"/>
      <c r="AX47" s="174"/>
      <c r="AY47" s="174"/>
      <c r="AZ47" s="174"/>
      <c r="BA47" s="174"/>
      <c r="BB47" s="173"/>
      <c r="BD47" s="180"/>
      <c r="BE47" s="175"/>
      <c r="BF47" s="174"/>
      <c r="BG47" s="174"/>
      <c r="BH47" s="174"/>
      <c r="BI47" s="174"/>
      <c r="BJ47" s="174"/>
      <c r="BK47" s="173"/>
      <c r="BM47" s="180"/>
      <c r="BN47" s="175"/>
      <c r="BO47" s="174"/>
      <c r="BP47" s="174"/>
      <c r="BQ47" s="174"/>
      <c r="BR47" s="174"/>
      <c r="BS47" s="174"/>
      <c r="BT47" s="173"/>
      <c r="BV47" s="180"/>
      <c r="BW47" s="175"/>
      <c r="BX47" s="174"/>
      <c r="BY47" s="174"/>
      <c r="BZ47" s="174"/>
      <c r="CA47" s="174"/>
      <c r="CB47" s="174"/>
      <c r="CC47" s="173"/>
    </row>
    <row r="48" spans="2:81" ht="22.5" x14ac:dyDescent="0.25">
      <c r="B48" s="180"/>
      <c r="C48" s="183" t="s">
        <v>352</v>
      </c>
      <c r="D48" s="182"/>
      <c r="E48" s="182"/>
      <c r="F48" s="182"/>
      <c r="G48" s="182"/>
      <c r="H48" s="182"/>
      <c r="I48" s="181"/>
      <c r="J48" s="1"/>
      <c r="K48" s="180"/>
      <c r="L48" s="175"/>
      <c r="M48" s="174"/>
      <c r="N48" s="174"/>
      <c r="O48" s="174"/>
      <c r="P48" s="174"/>
      <c r="Q48" s="174"/>
      <c r="R48" s="173"/>
      <c r="T48" s="180"/>
      <c r="U48" s="175"/>
      <c r="V48" s="174"/>
      <c r="W48" s="174"/>
      <c r="X48" s="174"/>
      <c r="Y48" s="174"/>
      <c r="Z48" s="174"/>
      <c r="AA48" s="177"/>
      <c r="AC48" s="180"/>
      <c r="AE48" s="174"/>
      <c r="AG48" s="174"/>
      <c r="AH48" s="174"/>
      <c r="AI48" s="174"/>
      <c r="AJ48" s="173"/>
      <c r="AL48" s="180"/>
      <c r="AM48" s="175"/>
      <c r="AN48" s="174"/>
      <c r="AO48" s="174"/>
      <c r="AP48" s="174"/>
      <c r="AQ48" s="174"/>
      <c r="AR48" s="174"/>
      <c r="AS48" s="173"/>
      <c r="AU48" s="180"/>
      <c r="AV48" s="175"/>
      <c r="AW48" s="174"/>
      <c r="AX48" s="174"/>
      <c r="AY48" s="174"/>
      <c r="AZ48" s="174"/>
      <c r="BA48" s="174"/>
      <c r="BB48" s="173"/>
      <c r="BD48" s="180"/>
      <c r="BE48" s="175"/>
      <c r="BF48" s="174"/>
      <c r="BG48" s="174"/>
      <c r="BH48" s="174"/>
      <c r="BI48" s="174"/>
      <c r="BJ48" s="174"/>
      <c r="BK48" s="173"/>
      <c r="BM48" s="180"/>
      <c r="BN48" s="175"/>
      <c r="BO48" s="174"/>
      <c r="BP48" s="174"/>
      <c r="BQ48" s="174"/>
      <c r="BR48" s="174"/>
      <c r="BS48" s="174"/>
      <c r="BT48" s="173"/>
      <c r="BV48" s="180"/>
      <c r="BW48" s="175"/>
      <c r="BX48" s="174"/>
      <c r="BY48" s="174"/>
      <c r="BZ48" s="174"/>
      <c r="CA48" s="174"/>
      <c r="CB48" s="174"/>
      <c r="CC48" s="173"/>
    </row>
    <row r="49" spans="2:81" ht="22.5" x14ac:dyDescent="0.25">
      <c r="B49" s="180"/>
      <c r="C49" s="175"/>
      <c r="D49" s="174"/>
      <c r="E49" s="174"/>
      <c r="F49" s="174"/>
      <c r="G49" s="174"/>
      <c r="H49" s="174"/>
      <c r="I49" s="177"/>
      <c r="K49" s="180"/>
      <c r="L49" s="175"/>
      <c r="M49" s="174"/>
      <c r="N49" s="174"/>
      <c r="O49" s="174"/>
      <c r="P49" s="174"/>
      <c r="Q49" s="174"/>
      <c r="R49" s="173"/>
      <c r="T49" s="180"/>
      <c r="U49" s="175"/>
      <c r="V49" s="174"/>
      <c r="W49" s="174"/>
      <c r="X49" s="174"/>
      <c r="Y49" s="174"/>
      <c r="Z49" s="174"/>
      <c r="AA49" s="177"/>
      <c r="AC49" s="180"/>
      <c r="AE49" s="174"/>
      <c r="AG49" s="174"/>
      <c r="AH49" s="174"/>
      <c r="AI49" s="174"/>
      <c r="AJ49" s="173"/>
      <c r="AL49" s="180"/>
      <c r="AM49" s="175"/>
      <c r="AN49" s="174"/>
      <c r="AO49" s="174"/>
      <c r="AP49" s="174"/>
      <c r="AQ49" s="174"/>
      <c r="AR49" s="174"/>
      <c r="AS49" s="173"/>
      <c r="AU49" s="180"/>
      <c r="AV49" s="175"/>
      <c r="AW49" s="174"/>
      <c r="AX49" s="174"/>
      <c r="AY49" s="174"/>
      <c r="AZ49" s="174"/>
      <c r="BA49" s="174"/>
      <c r="BB49" s="173"/>
      <c r="BD49" s="180"/>
      <c r="BE49" s="175"/>
      <c r="BF49" s="174"/>
      <c r="BG49" s="174"/>
      <c r="BH49" s="174"/>
      <c r="BI49" s="174"/>
      <c r="BJ49" s="174"/>
      <c r="BK49" s="173"/>
      <c r="BM49" s="180"/>
      <c r="BN49" s="175"/>
      <c r="BO49" s="174"/>
      <c r="BP49" s="174"/>
      <c r="BQ49" s="174"/>
      <c r="BR49" s="174"/>
      <c r="BS49" s="174"/>
      <c r="BT49" s="173"/>
      <c r="BV49" s="180"/>
      <c r="BW49" s="175"/>
      <c r="BX49" s="174"/>
      <c r="BY49" s="174"/>
      <c r="BZ49" s="174"/>
      <c r="CA49" s="174"/>
      <c r="CB49" s="174"/>
      <c r="CC49" s="173"/>
    </row>
    <row r="50" spans="2:81" ht="22.5" x14ac:dyDescent="0.25">
      <c r="B50" s="180"/>
      <c r="C50" s="175"/>
      <c r="D50" s="174"/>
      <c r="E50" s="174"/>
      <c r="F50" s="174"/>
      <c r="G50" s="174"/>
      <c r="H50" s="174"/>
      <c r="I50" s="177"/>
      <c r="K50" s="180"/>
      <c r="L50" s="175"/>
      <c r="M50" s="174"/>
      <c r="N50" s="174"/>
      <c r="O50" s="174"/>
      <c r="P50" s="174"/>
      <c r="Q50" s="174"/>
      <c r="R50" s="173"/>
      <c r="T50" s="180"/>
      <c r="U50" s="175"/>
      <c r="V50" s="174"/>
      <c r="W50" s="174"/>
      <c r="X50" s="174"/>
      <c r="Y50" s="174"/>
      <c r="Z50" s="174"/>
      <c r="AA50" s="177"/>
      <c r="AC50" s="180"/>
      <c r="AE50" s="174"/>
      <c r="AG50" s="174"/>
      <c r="AH50" s="174"/>
      <c r="AI50" s="174"/>
      <c r="AJ50" s="173"/>
      <c r="AL50" s="180"/>
      <c r="AM50" s="175"/>
      <c r="AN50" s="174"/>
      <c r="AO50" s="174"/>
      <c r="AP50" s="174"/>
      <c r="AQ50" s="174"/>
      <c r="AR50" s="174"/>
      <c r="AS50" s="173"/>
      <c r="AU50" s="180"/>
      <c r="AV50" s="175"/>
      <c r="AW50" s="174"/>
      <c r="AX50" s="174"/>
      <c r="AY50" s="174"/>
      <c r="AZ50" s="174"/>
      <c r="BA50" s="174"/>
      <c r="BB50" s="173"/>
      <c r="BD50" s="180"/>
      <c r="BE50" s="175"/>
      <c r="BF50" s="174"/>
      <c r="BG50" s="174"/>
      <c r="BH50" s="174"/>
      <c r="BI50" s="174"/>
      <c r="BJ50" s="174"/>
      <c r="BK50" s="173"/>
      <c r="BM50" s="180"/>
      <c r="BN50" s="175"/>
      <c r="BO50" s="174"/>
      <c r="BP50" s="174"/>
      <c r="BQ50" s="174"/>
      <c r="BR50" s="174"/>
      <c r="BS50" s="174"/>
      <c r="BT50" s="173"/>
      <c r="BV50" s="180"/>
      <c r="BW50" s="175"/>
      <c r="BX50" s="174"/>
      <c r="BY50" s="174"/>
      <c r="BZ50" s="174"/>
      <c r="CA50" s="174"/>
      <c r="CB50" s="174"/>
      <c r="CC50" s="173"/>
    </row>
    <row r="51" spans="2:81" ht="22.5" x14ac:dyDescent="0.25">
      <c r="B51" s="180"/>
      <c r="C51" s="175"/>
      <c r="D51" s="174"/>
      <c r="E51" s="174"/>
      <c r="F51" s="174"/>
      <c r="G51" s="174"/>
      <c r="H51" s="174"/>
      <c r="K51" s="180"/>
      <c r="L51" s="175"/>
      <c r="M51" s="174"/>
      <c r="N51" s="174"/>
      <c r="O51" s="174"/>
      <c r="P51" s="174"/>
      <c r="Q51" s="174"/>
      <c r="R51" s="179"/>
      <c r="T51" s="180"/>
      <c r="U51" s="175"/>
      <c r="V51" s="174"/>
      <c r="W51" s="174"/>
      <c r="X51" s="174"/>
      <c r="Y51" s="174"/>
      <c r="Z51" s="174"/>
      <c r="AA51" s="177"/>
      <c r="AC51" s="180"/>
      <c r="AE51" s="174"/>
      <c r="AG51" s="174"/>
      <c r="AH51" s="174"/>
      <c r="AI51" s="174"/>
      <c r="AJ51" s="173"/>
      <c r="AL51" s="180"/>
      <c r="AM51" s="175"/>
      <c r="AN51" s="174"/>
      <c r="AO51" s="174"/>
      <c r="AP51" s="174"/>
      <c r="AQ51" s="174"/>
      <c r="AR51" s="174"/>
      <c r="AS51" s="173"/>
      <c r="AU51" s="180"/>
      <c r="AV51" s="175"/>
      <c r="AW51" s="174"/>
      <c r="AX51" s="174"/>
      <c r="AY51" s="174"/>
      <c r="AZ51" s="174"/>
      <c r="BA51" s="174"/>
      <c r="BB51" s="173"/>
      <c r="BD51" s="180"/>
      <c r="BE51" s="175"/>
      <c r="BF51" s="174"/>
      <c r="BG51" s="174"/>
      <c r="BH51" s="174"/>
      <c r="BI51" s="174"/>
      <c r="BJ51" s="174"/>
      <c r="BK51" s="173"/>
      <c r="BM51" s="180"/>
      <c r="BN51" s="175"/>
      <c r="BO51" s="174"/>
      <c r="BP51" s="174"/>
      <c r="BQ51" s="174"/>
      <c r="BR51" s="174"/>
      <c r="BS51" s="174"/>
      <c r="BT51" s="173"/>
      <c r="BV51" s="180"/>
      <c r="BW51" s="175"/>
      <c r="BX51" s="174"/>
      <c r="BY51" s="174"/>
      <c r="BZ51" s="174"/>
      <c r="CA51" s="174"/>
      <c r="CB51" s="174"/>
      <c r="CC51" s="173"/>
    </row>
    <row r="52" spans="2:81" ht="22.5" x14ac:dyDescent="0.25">
      <c r="B52" s="176"/>
      <c r="C52" s="175"/>
      <c r="D52" s="174"/>
      <c r="E52" s="174"/>
      <c r="F52" s="174"/>
      <c r="G52" s="174"/>
      <c r="H52" s="174"/>
      <c r="K52" s="176"/>
      <c r="L52" s="175"/>
      <c r="M52" s="174"/>
      <c r="N52" s="174"/>
      <c r="O52" s="174"/>
      <c r="P52" s="174"/>
      <c r="Q52" s="174"/>
      <c r="R52" s="179"/>
      <c r="T52" s="176"/>
      <c r="U52" s="175"/>
      <c r="V52" s="174"/>
      <c r="W52" s="174"/>
      <c r="X52" s="174"/>
      <c r="Y52" s="174"/>
      <c r="Z52" s="174"/>
      <c r="AA52" s="177"/>
      <c r="AC52" s="176"/>
      <c r="AE52" s="174"/>
      <c r="AG52" s="174"/>
      <c r="AH52" s="174"/>
      <c r="AI52" s="174"/>
      <c r="AJ52" s="173"/>
      <c r="AL52" s="176"/>
      <c r="AM52" s="175"/>
      <c r="AN52" s="174"/>
      <c r="AO52" s="174"/>
      <c r="AP52" s="174"/>
      <c r="AQ52" s="174"/>
      <c r="AR52" s="174"/>
      <c r="AS52" s="173"/>
      <c r="AU52" s="176"/>
      <c r="AV52" s="175"/>
      <c r="AW52" s="174"/>
      <c r="AX52" s="174"/>
      <c r="AY52" s="174"/>
      <c r="AZ52" s="174"/>
      <c r="BA52" s="174"/>
      <c r="BB52" s="173"/>
      <c r="BD52" s="176"/>
      <c r="BE52" s="175"/>
      <c r="BF52" s="174"/>
      <c r="BG52" s="174"/>
      <c r="BH52" s="174"/>
      <c r="BI52" s="174"/>
      <c r="BJ52" s="174"/>
      <c r="BK52" s="173"/>
      <c r="BM52" s="176"/>
      <c r="BN52" s="175"/>
      <c r="BO52" s="174"/>
      <c r="BP52" s="174"/>
      <c r="BQ52" s="174"/>
      <c r="BR52" s="174"/>
      <c r="BS52" s="174"/>
      <c r="BT52" s="173"/>
      <c r="BV52" s="176"/>
      <c r="BW52" s="175"/>
      <c r="BX52" s="174"/>
      <c r="BY52" s="174"/>
      <c r="BZ52" s="174"/>
      <c r="CA52" s="174"/>
      <c r="CB52" s="174"/>
      <c r="CC52" s="173"/>
    </row>
    <row r="53" spans="2:81" ht="22.5" x14ac:dyDescent="0.25">
      <c r="B53" s="176"/>
      <c r="C53" s="175"/>
      <c r="D53" s="174"/>
      <c r="E53" s="174"/>
      <c r="F53" s="174"/>
      <c r="G53" s="174"/>
      <c r="H53" s="174"/>
      <c r="I53" s="177"/>
      <c r="K53" s="176"/>
      <c r="L53" s="175"/>
      <c r="M53" s="174"/>
      <c r="N53" s="174"/>
      <c r="O53" s="174"/>
      <c r="P53" s="174"/>
      <c r="Q53" s="174"/>
      <c r="R53" s="173"/>
      <c r="T53" s="176"/>
      <c r="U53" s="175"/>
      <c r="V53" s="174"/>
      <c r="W53" s="174"/>
      <c r="X53" s="174"/>
      <c r="Y53" s="174"/>
      <c r="Z53" s="174"/>
      <c r="AA53" s="177"/>
      <c r="AC53" s="176"/>
      <c r="AE53" s="174"/>
      <c r="AG53" s="174"/>
      <c r="AH53" s="174"/>
      <c r="AI53" s="174"/>
      <c r="AJ53" s="173"/>
      <c r="AL53" s="176"/>
      <c r="AM53" s="175"/>
      <c r="AN53" s="174"/>
      <c r="AO53" s="174"/>
      <c r="AP53" s="174"/>
      <c r="AQ53" s="174"/>
      <c r="AR53" s="174"/>
      <c r="AS53" s="173"/>
      <c r="AU53" s="176"/>
      <c r="AV53" s="175"/>
      <c r="AW53" s="174"/>
      <c r="AX53" s="174"/>
      <c r="AY53" s="174"/>
      <c r="AZ53" s="174"/>
      <c r="BA53" s="174"/>
      <c r="BB53" s="173"/>
      <c r="BD53" s="176"/>
      <c r="BE53" s="175"/>
      <c r="BF53" s="174"/>
      <c r="BG53" s="174"/>
      <c r="BH53" s="174"/>
      <c r="BI53" s="174"/>
      <c r="BJ53" s="174"/>
      <c r="BK53" s="173"/>
      <c r="BM53" s="176"/>
      <c r="BN53" s="175"/>
      <c r="BO53" s="174"/>
      <c r="BP53" s="174"/>
      <c r="BQ53" s="174"/>
      <c r="BR53" s="174"/>
      <c r="BS53" s="174"/>
      <c r="BT53" s="173"/>
      <c r="BV53" s="176"/>
      <c r="BW53" s="175"/>
      <c r="BX53" s="174"/>
      <c r="BY53" s="174"/>
      <c r="BZ53" s="174"/>
      <c r="CA53" s="174"/>
      <c r="CB53" s="174"/>
      <c r="CC53" s="173"/>
    </row>
    <row r="54" spans="2:81" ht="22.5" x14ac:dyDescent="0.25">
      <c r="B54" s="176"/>
      <c r="C54" s="175"/>
      <c r="D54" s="174"/>
      <c r="E54" s="174"/>
      <c r="F54" s="174"/>
      <c r="G54" s="174"/>
      <c r="H54" s="174"/>
      <c r="I54" s="177"/>
      <c r="K54" s="176"/>
      <c r="L54" s="175"/>
      <c r="M54" s="174"/>
      <c r="N54" s="174"/>
      <c r="O54" s="174"/>
      <c r="P54" s="174"/>
      <c r="Q54" s="174"/>
      <c r="R54" s="173"/>
      <c r="T54" s="176"/>
      <c r="U54" s="175"/>
      <c r="V54" s="174"/>
      <c r="W54" s="174"/>
      <c r="X54" s="174"/>
      <c r="Y54" s="174"/>
      <c r="Z54" s="174"/>
      <c r="AA54" s="177"/>
      <c r="AC54" s="176"/>
      <c r="AE54" s="174"/>
      <c r="AG54" s="174"/>
      <c r="AH54" s="174"/>
      <c r="AI54" s="174"/>
      <c r="AJ54" s="173"/>
      <c r="AL54" s="176"/>
      <c r="AM54" s="175"/>
      <c r="AN54" s="174"/>
      <c r="AO54" s="174"/>
      <c r="AP54" s="174"/>
      <c r="AQ54" s="174"/>
      <c r="AR54" s="174"/>
      <c r="AS54" s="173"/>
      <c r="AU54" s="176"/>
      <c r="AV54" s="175"/>
      <c r="AW54" s="174"/>
      <c r="AX54" s="174"/>
      <c r="AY54" s="174"/>
      <c r="AZ54" s="174"/>
      <c r="BA54" s="174"/>
      <c r="BB54" s="178"/>
      <c r="BD54" s="176"/>
      <c r="BE54" s="175"/>
      <c r="BF54" s="174"/>
      <c r="BG54" s="174"/>
      <c r="BH54" s="174"/>
      <c r="BI54" s="174"/>
      <c r="BJ54" s="174"/>
      <c r="BK54" s="173"/>
      <c r="BM54" s="176"/>
      <c r="BN54" s="175"/>
      <c r="BO54" s="174"/>
      <c r="BP54" s="174"/>
      <c r="BQ54" s="174"/>
      <c r="BR54" s="174"/>
      <c r="BS54" s="174"/>
      <c r="BT54" s="173"/>
      <c r="BV54" s="176"/>
      <c r="BW54" s="175"/>
      <c r="BX54" s="174"/>
      <c r="BY54" s="174"/>
      <c r="BZ54" s="174"/>
      <c r="CA54" s="174"/>
      <c r="CB54" s="174"/>
      <c r="CC54" s="173"/>
    </row>
    <row r="55" spans="2:81" ht="22.5" x14ac:dyDescent="0.25">
      <c r="B55" s="176"/>
      <c r="C55" s="175"/>
      <c r="D55" s="174"/>
      <c r="E55" s="174"/>
      <c r="F55" s="174"/>
      <c r="G55" s="174"/>
      <c r="H55" s="174"/>
      <c r="I55" s="177"/>
      <c r="K55" s="176"/>
      <c r="L55" s="175"/>
      <c r="M55" s="174"/>
      <c r="N55" s="174"/>
      <c r="O55" s="174"/>
      <c r="P55" s="174"/>
      <c r="Q55" s="174"/>
      <c r="R55" s="173"/>
      <c r="T55" s="176"/>
      <c r="U55" s="175"/>
      <c r="V55" s="174"/>
      <c r="W55" s="174"/>
      <c r="X55" s="174"/>
      <c r="Y55" s="174"/>
      <c r="Z55" s="174"/>
      <c r="AA55" s="177"/>
      <c r="AC55" s="176"/>
      <c r="AE55" s="174"/>
      <c r="AG55" s="174"/>
      <c r="AH55" s="174"/>
      <c r="AI55" s="174"/>
      <c r="AJ55" s="173"/>
      <c r="AL55" s="176"/>
      <c r="AM55" s="175"/>
      <c r="AN55" s="174"/>
      <c r="AO55" s="174"/>
      <c r="AP55" s="174"/>
      <c r="AQ55" s="174"/>
      <c r="AR55" s="174"/>
      <c r="AS55" s="173"/>
      <c r="AU55" s="176"/>
      <c r="AV55" s="175"/>
      <c r="AW55" s="174"/>
      <c r="AX55" s="174"/>
      <c r="AY55" s="174"/>
      <c r="AZ55" s="174"/>
      <c r="BA55" s="174"/>
      <c r="BB55" s="173"/>
      <c r="BD55" s="176"/>
      <c r="BE55" s="175"/>
      <c r="BF55" s="174"/>
      <c r="BG55" s="174"/>
      <c r="BH55" s="174"/>
      <c r="BI55" s="174"/>
      <c r="BJ55" s="174"/>
      <c r="BK55" s="173"/>
      <c r="BM55" s="176"/>
      <c r="BN55" s="175"/>
      <c r="BO55" s="174"/>
      <c r="BP55" s="174"/>
      <c r="BQ55" s="174"/>
      <c r="BR55" s="174"/>
      <c r="BS55" s="174"/>
      <c r="BT55" s="173"/>
      <c r="BV55" s="176"/>
      <c r="BW55" s="175"/>
      <c r="BX55" s="174"/>
      <c r="BY55" s="174"/>
      <c r="BZ55" s="174"/>
      <c r="CA55" s="174"/>
      <c r="CB55" s="174"/>
      <c r="CC55" s="173"/>
    </row>
    <row r="56" spans="2:81" ht="22.5" x14ac:dyDescent="0.25">
      <c r="B56" s="176"/>
      <c r="C56" s="175"/>
      <c r="D56" s="174"/>
      <c r="E56" s="174"/>
      <c r="F56" s="174"/>
      <c r="G56" s="174"/>
      <c r="H56" s="174"/>
      <c r="I56" s="177"/>
      <c r="K56" s="176"/>
      <c r="L56" s="175"/>
      <c r="M56" s="174"/>
      <c r="N56" s="174"/>
      <c r="O56" s="174"/>
      <c r="P56" s="174"/>
      <c r="Q56" s="174"/>
      <c r="R56" s="173"/>
      <c r="T56" s="176"/>
      <c r="U56" s="175"/>
      <c r="V56" s="174"/>
      <c r="W56" s="174"/>
      <c r="X56" s="174"/>
      <c r="Y56" s="174"/>
      <c r="Z56" s="174"/>
      <c r="AA56" s="177"/>
      <c r="AC56" s="176"/>
      <c r="AE56" s="174"/>
      <c r="AG56" s="174"/>
      <c r="AH56" s="174"/>
      <c r="AI56" s="174"/>
      <c r="AJ56" s="173"/>
      <c r="AL56" s="176"/>
      <c r="AM56" s="175"/>
      <c r="AN56" s="174"/>
      <c r="AO56" s="174"/>
      <c r="AP56" s="174"/>
      <c r="AQ56" s="174"/>
      <c r="AR56" s="174"/>
      <c r="AS56" s="173"/>
      <c r="AU56" s="176"/>
      <c r="AV56" s="175"/>
      <c r="AW56" s="174"/>
      <c r="AX56" s="174"/>
      <c r="AY56" s="174"/>
      <c r="AZ56" s="174"/>
      <c r="BA56" s="174"/>
      <c r="BB56" s="173"/>
      <c r="BD56" s="176"/>
      <c r="BE56" s="175"/>
      <c r="BF56" s="174"/>
      <c r="BG56" s="174"/>
      <c r="BH56" s="174"/>
      <c r="BI56" s="174"/>
      <c r="BJ56" s="174"/>
      <c r="BK56" s="173"/>
      <c r="BM56" s="176"/>
      <c r="BN56" s="175"/>
      <c r="BO56" s="174"/>
      <c r="BP56" s="174"/>
      <c r="BQ56" s="174"/>
      <c r="BR56" s="174"/>
      <c r="BS56" s="174"/>
      <c r="BT56" s="173"/>
      <c r="BV56" s="176"/>
      <c r="BW56" s="175"/>
      <c r="BX56" s="174"/>
      <c r="BY56" s="174"/>
      <c r="BZ56" s="174"/>
      <c r="CA56" s="174"/>
      <c r="CB56" s="174"/>
      <c r="CC56" s="173"/>
    </row>
    <row r="57" spans="2:81" ht="22.5" x14ac:dyDescent="0.25">
      <c r="B57" s="176"/>
      <c r="C57" s="175"/>
      <c r="D57" s="174"/>
      <c r="E57" s="174"/>
      <c r="F57" s="174"/>
      <c r="G57" s="174"/>
      <c r="H57" s="174"/>
      <c r="I57" s="177"/>
      <c r="K57" s="176"/>
      <c r="L57" s="175"/>
      <c r="M57" s="174"/>
      <c r="N57" s="174"/>
      <c r="O57" s="174"/>
      <c r="P57" s="174"/>
      <c r="Q57" s="174"/>
      <c r="R57" s="173"/>
      <c r="T57" s="176"/>
      <c r="U57" s="175"/>
      <c r="V57" s="174"/>
      <c r="W57" s="174"/>
      <c r="X57" s="174"/>
      <c r="Y57" s="174"/>
      <c r="Z57" s="174"/>
      <c r="AA57" s="177"/>
      <c r="AC57" s="176"/>
      <c r="AE57" s="174"/>
      <c r="AG57" s="174"/>
      <c r="AH57" s="174"/>
      <c r="AI57" s="174"/>
      <c r="AJ57" s="173"/>
      <c r="AL57" s="176"/>
      <c r="AM57" s="175"/>
      <c r="AN57" s="174"/>
      <c r="AO57" s="174"/>
      <c r="AP57" s="174"/>
      <c r="AQ57" s="174"/>
      <c r="AR57" s="174"/>
      <c r="AS57" s="173"/>
      <c r="AU57" s="176"/>
      <c r="AV57" s="175"/>
      <c r="AW57" s="174"/>
      <c r="AX57" s="174"/>
      <c r="AY57" s="174"/>
      <c r="AZ57" s="174"/>
      <c r="BA57" s="174"/>
      <c r="BB57" s="173"/>
      <c r="BD57" s="176"/>
      <c r="BE57" s="175"/>
      <c r="BF57" s="174"/>
      <c r="BG57" s="174"/>
      <c r="BH57" s="174"/>
      <c r="BI57" s="174"/>
      <c r="BJ57" s="174"/>
      <c r="BK57" s="173"/>
      <c r="BM57" s="176"/>
      <c r="BN57" s="175"/>
      <c r="BO57" s="174"/>
      <c r="BP57" s="174"/>
      <c r="BQ57" s="174"/>
      <c r="BR57" s="174"/>
      <c r="BS57" s="174"/>
      <c r="BT57" s="173"/>
      <c r="BV57" s="176"/>
      <c r="BW57" s="175"/>
      <c r="BX57" s="174"/>
      <c r="BY57" s="174"/>
      <c r="BZ57" s="174"/>
      <c r="CA57" s="174"/>
      <c r="CB57" s="174"/>
      <c r="CC57" s="173"/>
    </row>
    <row r="58" spans="2:81" ht="22.5" x14ac:dyDescent="0.25">
      <c r="B58" s="176"/>
      <c r="C58" s="175"/>
      <c r="D58" s="174"/>
      <c r="E58" s="174"/>
      <c r="F58" s="174"/>
      <c r="G58" s="174"/>
      <c r="H58" s="174"/>
      <c r="I58" s="177"/>
      <c r="K58" s="176"/>
      <c r="L58" s="175"/>
      <c r="M58" s="174"/>
      <c r="N58" s="174"/>
      <c r="O58" s="174"/>
      <c r="P58" s="174"/>
      <c r="Q58" s="174"/>
      <c r="R58" s="173"/>
      <c r="T58" s="176"/>
      <c r="U58" s="175"/>
      <c r="V58" s="174"/>
      <c r="W58" s="174"/>
      <c r="X58" s="174"/>
      <c r="Y58" s="174"/>
      <c r="Z58" s="174"/>
      <c r="AA58" s="177"/>
      <c r="AC58" s="176"/>
      <c r="AE58" s="174"/>
      <c r="AG58" s="174"/>
      <c r="AH58" s="174"/>
      <c r="AI58" s="174"/>
      <c r="AJ58" s="173"/>
      <c r="AL58" s="176"/>
      <c r="AM58" s="175"/>
      <c r="AN58" s="174"/>
      <c r="AO58" s="174"/>
      <c r="AP58" s="174"/>
      <c r="AQ58" s="174"/>
      <c r="AR58" s="174"/>
      <c r="AS58" s="173"/>
      <c r="AU58" s="176"/>
      <c r="AV58" s="175"/>
      <c r="AW58" s="174"/>
      <c r="AX58" s="174"/>
      <c r="AY58" s="174"/>
      <c r="AZ58" s="174"/>
      <c r="BA58" s="174"/>
      <c r="BB58" s="173"/>
      <c r="BD58" s="176"/>
      <c r="BE58" s="175"/>
      <c r="BF58" s="174"/>
      <c r="BG58" s="174"/>
      <c r="BH58" s="174"/>
      <c r="BI58" s="174"/>
      <c r="BJ58" s="174"/>
      <c r="BK58" s="173"/>
      <c r="BM58" s="176"/>
      <c r="BN58" s="175"/>
      <c r="BO58" s="174"/>
      <c r="BP58" s="174"/>
      <c r="BQ58" s="174"/>
      <c r="BR58" s="174"/>
      <c r="BS58" s="174"/>
      <c r="BT58" s="173"/>
      <c r="BV58" s="176"/>
      <c r="BW58" s="175"/>
      <c r="BX58" s="174"/>
      <c r="BY58" s="174"/>
      <c r="BZ58" s="174"/>
      <c r="CA58" s="174"/>
      <c r="CB58" s="174"/>
      <c r="CC58" s="173"/>
    </row>
    <row r="59" spans="2:81" ht="22.5" x14ac:dyDescent="0.25">
      <c r="B59" s="176"/>
      <c r="C59" s="175"/>
      <c r="D59" s="174"/>
      <c r="E59" s="174"/>
      <c r="F59" s="174"/>
      <c r="G59" s="174"/>
      <c r="H59" s="174"/>
      <c r="I59" s="177"/>
      <c r="K59" s="176"/>
      <c r="L59" s="175"/>
      <c r="M59" s="174"/>
      <c r="N59" s="174"/>
      <c r="O59" s="174"/>
      <c r="P59" s="174"/>
      <c r="Q59" s="174"/>
      <c r="R59" s="173"/>
      <c r="T59" s="176"/>
      <c r="U59" s="175"/>
      <c r="V59" s="174"/>
      <c r="W59" s="174"/>
      <c r="X59" s="174"/>
      <c r="Y59" s="174"/>
      <c r="Z59" s="174"/>
      <c r="AA59" s="177"/>
      <c r="AC59" s="176"/>
      <c r="AD59" s="167"/>
      <c r="AE59" s="174"/>
      <c r="AG59" s="174"/>
      <c r="AH59" s="174"/>
      <c r="AI59" s="174"/>
      <c r="AJ59" s="173"/>
      <c r="AL59" s="176"/>
      <c r="AM59" s="175"/>
      <c r="AN59" s="174"/>
      <c r="AO59" s="174"/>
      <c r="AP59" s="174"/>
      <c r="AQ59" s="174"/>
      <c r="AR59" s="174"/>
      <c r="AS59" s="173"/>
      <c r="AU59" s="176"/>
      <c r="AV59" s="175"/>
      <c r="AW59" s="174"/>
      <c r="AX59" s="174"/>
      <c r="AY59" s="174"/>
      <c r="AZ59" s="174"/>
      <c r="BA59" s="174"/>
      <c r="BB59" s="173"/>
      <c r="BD59" s="176"/>
      <c r="BE59" s="175"/>
      <c r="BF59" s="174"/>
      <c r="BG59" s="174"/>
      <c r="BH59" s="174"/>
      <c r="BI59" s="174"/>
      <c r="BJ59" s="174"/>
      <c r="BK59" s="173"/>
      <c r="BM59" s="176"/>
      <c r="BN59" s="175"/>
      <c r="BO59" s="174"/>
      <c r="BP59" s="174"/>
      <c r="BQ59" s="174"/>
      <c r="BR59" s="174"/>
      <c r="BS59" s="174"/>
      <c r="BT59" s="173"/>
      <c r="BV59" s="176"/>
      <c r="BW59" s="175"/>
      <c r="BX59" s="174"/>
      <c r="BY59" s="174"/>
      <c r="BZ59" s="174"/>
      <c r="CA59" s="174"/>
      <c r="CB59" s="174"/>
      <c r="CC59" s="173"/>
    </row>
    <row r="60" spans="2:81" ht="22.5" x14ac:dyDescent="0.25">
      <c r="B60" s="176"/>
      <c r="C60" s="175"/>
      <c r="D60" s="174"/>
      <c r="E60" s="174"/>
      <c r="F60" s="174"/>
      <c r="G60" s="174"/>
      <c r="H60" s="174"/>
      <c r="I60" s="177"/>
      <c r="K60" s="176"/>
      <c r="L60" s="175"/>
      <c r="M60" s="174"/>
      <c r="N60" s="174"/>
      <c r="O60" s="174"/>
      <c r="P60" s="174"/>
      <c r="Q60" s="174"/>
      <c r="R60" s="173"/>
      <c r="T60" s="176"/>
      <c r="U60" s="175"/>
      <c r="V60" s="174"/>
      <c r="W60" s="174"/>
      <c r="X60" s="174"/>
      <c r="Y60" s="174"/>
      <c r="Z60" s="174"/>
      <c r="AA60" s="177"/>
      <c r="AC60" s="176"/>
      <c r="AE60" s="174"/>
      <c r="AG60" s="174"/>
      <c r="AH60" s="174"/>
      <c r="AI60" s="174"/>
      <c r="AJ60" s="173"/>
      <c r="AL60" s="176"/>
      <c r="AM60" s="175"/>
      <c r="AN60" s="174"/>
      <c r="AO60" s="174"/>
      <c r="AP60" s="174"/>
      <c r="AQ60" s="174"/>
      <c r="AR60" s="174"/>
      <c r="AS60" s="173"/>
      <c r="AU60" s="176"/>
      <c r="AV60" s="175"/>
      <c r="AW60" s="174"/>
      <c r="AX60" s="174"/>
      <c r="AY60" s="174"/>
      <c r="AZ60" s="174"/>
      <c r="BA60" s="174"/>
      <c r="BB60" s="173"/>
      <c r="BD60" s="176"/>
      <c r="BE60" s="175"/>
      <c r="BF60" s="174"/>
      <c r="BG60" s="174"/>
      <c r="BH60" s="174"/>
      <c r="BI60" s="174"/>
      <c r="BJ60" s="174"/>
      <c r="BK60" s="173"/>
      <c r="BM60" s="176"/>
      <c r="BN60" s="175"/>
      <c r="BO60" s="174"/>
      <c r="BP60" s="174"/>
      <c r="BQ60" s="174"/>
      <c r="BR60" s="174"/>
      <c r="BS60" s="174"/>
      <c r="BT60" s="173"/>
      <c r="BV60" s="176"/>
      <c r="BW60" s="175"/>
      <c r="BX60" s="174"/>
      <c r="BY60" s="174"/>
      <c r="BZ60" s="174"/>
      <c r="CA60" s="174"/>
      <c r="CB60" s="174"/>
      <c r="CC60" s="173"/>
    </row>
    <row r="61" spans="2:81" ht="22.5" x14ac:dyDescent="0.25">
      <c r="B61" s="176"/>
      <c r="C61" s="175"/>
      <c r="D61" s="174"/>
      <c r="E61" s="174"/>
      <c r="F61" s="174"/>
      <c r="G61" s="174"/>
      <c r="H61" s="174"/>
      <c r="I61" s="177"/>
      <c r="K61" s="176"/>
      <c r="L61" s="175"/>
      <c r="M61" s="174"/>
      <c r="N61" s="174"/>
      <c r="O61" s="174"/>
      <c r="P61" s="174"/>
      <c r="Q61" s="174"/>
      <c r="R61" s="173"/>
      <c r="T61" s="176"/>
      <c r="U61" s="175"/>
      <c r="V61" s="174"/>
      <c r="W61" s="174"/>
      <c r="X61" s="174"/>
      <c r="Y61" s="174"/>
      <c r="Z61" s="174"/>
      <c r="AA61" s="177"/>
      <c r="AC61" s="176"/>
      <c r="AE61" s="174"/>
      <c r="AG61" s="174"/>
      <c r="AH61" s="174"/>
      <c r="AI61" s="174"/>
      <c r="AJ61" s="173"/>
      <c r="AL61" s="176"/>
      <c r="AM61" s="175"/>
      <c r="AN61" s="174"/>
      <c r="AO61" s="174"/>
      <c r="AP61" s="174"/>
      <c r="AQ61" s="174"/>
      <c r="AR61" s="174"/>
      <c r="AS61" s="173"/>
      <c r="AU61" s="176"/>
      <c r="AV61" s="175"/>
      <c r="AW61" s="174"/>
      <c r="AX61" s="174"/>
      <c r="AY61" s="174"/>
      <c r="AZ61" s="174"/>
      <c r="BA61" s="174"/>
      <c r="BB61" s="173"/>
      <c r="BD61" s="176"/>
      <c r="BE61" s="175"/>
      <c r="BF61" s="174"/>
      <c r="BG61" s="174"/>
      <c r="BH61" s="174"/>
      <c r="BI61" s="174"/>
      <c r="BJ61" s="174"/>
      <c r="BK61" s="173"/>
      <c r="BM61" s="176"/>
      <c r="BN61" s="175"/>
      <c r="BO61" s="174"/>
      <c r="BP61" s="174"/>
      <c r="BQ61" s="174"/>
      <c r="BR61" s="174"/>
      <c r="BS61" s="174"/>
      <c r="BT61" s="173"/>
      <c r="BV61" s="176"/>
      <c r="BW61" s="175"/>
      <c r="BX61" s="174"/>
      <c r="BY61" s="174"/>
      <c r="BZ61" s="174"/>
      <c r="CA61" s="174"/>
      <c r="CB61" s="174"/>
      <c r="CC61" s="173"/>
    </row>
    <row r="62" spans="2:81" ht="22.5" x14ac:dyDescent="0.25">
      <c r="B62" s="176"/>
      <c r="C62" s="175"/>
      <c r="D62" s="174"/>
      <c r="E62" s="174"/>
      <c r="F62" s="174"/>
      <c r="G62" s="174"/>
      <c r="H62" s="174"/>
      <c r="I62" s="177"/>
      <c r="K62" s="176"/>
      <c r="L62" s="175"/>
      <c r="M62" s="174"/>
      <c r="N62" s="174"/>
      <c r="O62" s="174"/>
      <c r="P62" s="174"/>
      <c r="Q62" s="174"/>
      <c r="R62" s="173"/>
      <c r="T62" s="176"/>
      <c r="U62" s="175"/>
      <c r="V62" s="174"/>
      <c r="W62" s="174"/>
      <c r="X62" s="174"/>
      <c r="Y62" s="174"/>
      <c r="Z62" s="174"/>
      <c r="AA62" s="177"/>
      <c r="AC62" s="176"/>
      <c r="AE62" s="174"/>
      <c r="AG62" s="174"/>
      <c r="AH62" s="174"/>
      <c r="AI62" s="174"/>
      <c r="AJ62" s="173"/>
      <c r="AL62" s="176"/>
      <c r="AM62" s="175"/>
      <c r="AN62" s="174"/>
      <c r="AO62" s="174"/>
      <c r="AP62" s="174"/>
      <c r="AQ62" s="174"/>
      <c r="AR62" s="174"/>
      <c r="AS62" s="173"/>
      <c r="AU62" s="176"/>
      <c r="AV62" s="175"/>
      <c r="AW62" s="174"/>
      <c r="AX62" s="174"/>
      <c r="AY62" s="174"/>
      <c r="AZ62" s="174"/>
      <c r="BA62" s="174"/>
      <c r="BB62" s="173"/>
      <c r="BD62" s="176"/>
      <c r="BE62" s="175"/>
      <c r="BF62" s="174"/>
      <c r="BG62" s="174"/>
      <c r="BH62" s="174"/>
      <c r="BI62" s="174"/>
      <c r="BJ62" s="174"/>
      <c r="BK62" s="173"/>
      <c r="BM62" s="176"/>
      <c r="BN62" s="175"/>
      <c r="BO62" s="174"/>
      <c r="BP62" s="174"/>
      <c r="BQ62" s="174"/>
      <c r="BR62" s="174"/>
      <c r="BS62" s="174"/>
      <c r="BT62" s="173"/>
      <c r="BV62" s="176"/>
      <c r="BW62" s="175"/>
      <c r="BX62" s="174"/>
      <c r="BY62" s="174"/>
      <c r="BZ62" s="174"/>
      <c r="CA62" s="174"/>
      <c r="CB62" s="174"/>
      <c r="CC62" s="173"/>
    </row>
    <row r="63" spans="2:81" ht="35.450000000000003" customHeight="1" x14ac:dyDescent="0.25">
      <c r="D63" s="172"/>
      <c r="E63" s="171"/>
      <c r="F63" s="169"/>
      <c r="G63" s="169"/>
      <c r="H63" s="169"/>
      <c r="I63" s="169"/>
      <c r="N63" s="170"/>
      <c r="O63" s="169"/>
      <c r="P63" s="170"/>
      <c r="Q63" s="170"/>
      <c r="R63" s="169"/>
      <c r="S63" s="169"/>
      <c r="W63" s="170"/>
      <c r="X63" s="169"/>
      <c r="Y63" s="170"/>
      <c r="Z63" s="170"/>
      <c r="AA63" s="169"/>
      <c r="AB63" s="169"/>
      <c r="AG63" s="169"/>
      <c r="AH63" s="170"/>
      <c r="AI63" s="170"/>
      <c r="AJ63" s="169"/>
      <c r="AK63" s="169"/>
      <c r="AO63" s="170"/>
      <c r="AP63" s="169"/>
      <c r="AQ63" s="170"/>
      <c r="AR63" s="170"/>
      <c r="AS63" s="169"/>
      <c r="AT63" s="169"/>
      <c r="AX63" s="170"/>
      <c r="AY63" s="169"/>
      <c r="AZ63" s="170"/>
      <c r="BA63" s="170"/>
      <c r="BB63" s="169"/>
      <c r="BC63" s="169"/>
      <c r="BG63" s="170"/>
      <c r="BH63" s="169"/>
      <c r="BI63" s="170"/>
      <c r="BJ63" s="170"/>
      <c r="BK63" s="169"/>
      <c r="BL63" s="169"/>
      <c r="BP63" s="170"/>
      <c r="BQ63" s="169"/>
      <c r="BR63" s="170"/>
      <c r="BS63" s="170"/>
      <c r="BT63" s="169"/>
      <c r="BU63" s="168"/>
    </row>
    <row r="64" spans="2:81" x14ac:dyDescent="0.25">
      <c r="M64" s="7"/>
      <c r="N64" s="7"/>
      <c r="O64" s="7"/>
      <c r="P64" s="7"/>
      <c r="Q64" s="7"/>
      <c r="V64" s="7"/>
      <c r="W64" s="7"/>
      <c r="X64" s="7"/>
      <c r="Y64" s="7"/>
      <c r="Z64" s="7"/>
      <c r="AE64" s="7"/>
      <c r="AG64" s="7"/>
      <c r="AH64" s="7"/>
      <c r="AI64" s="7"/>
      <c r="AN64" s="7"/>
      <c r="AO64" s="7"/>
      <c r="AP64" s="7"/>
      <c r="AQ64" s="7"/>
      <c r="AR64" s="7"/>
    </row>
    <row r="65" spans="13:44" x14ac:dyDescent="0.25">
      <c r="M65" s="7"/>
      <c r="N65" s="7"/>
      <c r="O65" s="7"/>
      <c r="P65" s="7"/>
      <c r="Q65" s="7"/>
      <c r="AE65" s="7"/>
      <c r="AG65" s="7"/>
      <c r="AH65" s="7"/>
      <c r="AI65" s="7"/>
      <c r="AN65" s="7"/>
      <c r="AO65" s="7"/>
      <c r="AP65" s="7"/>
      <c r="AQ65" s="7"/>
      <c r="AR65" s="7"/>
    </row>
    <row r="66" spans="13:44" x14ac:dyDescent="0.25">
      <c r="AE66" s="7"/>
      <c r="AG66" s="7"/>
      <c r="AH66" s="7"/>
      <c r="AI66" s="7"/>
      <c r="AN66" s="7"/>
      <c r="AO66" s="7"/>
      <c r="AP66" s="7"/>
      <c r="AQ66" s="7"/>
      <c r="AR66" s="7"/>
    </row>
    <row r="67" spans="13:44" x14ac:dyDescent="0.25">
      <c r="AE67" s="7"/>
      <c r="AG67" s="7"/>
      <c r="AH67" s="7"/>
      <c r="AI67" s="7"/>
      <c r="AN67" s="7"/>
      <c r="AO67" s="7"/>
      <c r="AP67" s="7"/>
      <c r="AQ67" s="7"/>
      <c r="AR67" s="7"/>
    </row>
    <row r="68" spans="13:44" x14ac:dyDescent="0.25">
      <c r="AE68" s="7"/>
      <c r="AG68" s="7"/>
      <c r="AH68" s="7"/>
      <c r="AI68" s="7"/>
      <c r="AN68" s="7"/>
      <c r="AO68" s="7"/>
      <c r="AP68" s="7"/>
      <c r="AQ68" s="7"/>
      <c r="AR68" s="7"/>
    </row>
    <row r="71" spans="13:44" x14ac:dyDescent="0.25">
      <c r="AD71" s="167"/>
    </row>
    <row r="83" spans="30:30" x14ac:dyDescent="0.25">
      <c r="AD83" s="167"/>
    </row>
  </sheetData>
  <mergeCells count="4">
    <mergeCell ref="BO14:BU14"/>
    <mergeCell ref="M14:S14"/>
    <mergeCell ref="AE14:AK14"/>
    <mergeCell ref="AN14:AT14"/>
  </mergeCells>
  <printOptions horizontalCentered="1"/>
  <pageMargins left="0.25" right="0.25" top="0.75" bottom="0.75" header="0.3" footer="0.3"/>
  <pageSetup scale="80" fitToWidth="0" orientation="landscape" r:id="rId1"/>
  <rowBreaks count="1" manualBreakCount="1">
    <brk id="3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AE20F-A86D-4E37-8F80-49C1792AB99C}">
  <dimension ref="A1:CF38"/>
  <sheetViews>
    <sheetView topLeftCell="A10" zoomScale="70" zoomScaleNormal="70" workbookViewId="0">
      <selection activeCell="E48" sqref="E48"/>
    </sheetView>
  </sheetViews>
  <sheetFormatPr defaultColWidth="10" defaultRowHeight="15" x14ac:dyDescent="0.25"/>
  <cols>
    <col min="1" max="1" width="10" style="12" customWidth="1"/>
    <col min="2" max="3" width="6.85546875" style="12" customWidth="1"/>
    <col min="4" max="4" width="12.42578125" style="12" customWidth="1"/>
    <col min="5" max="9" width="13.42578125" style="12" customWidth="1"/>
    <col min="10" max="10" width="8.28515625" style="12" customWidth="1"/>
    <col min="11" max="11" width="13.42578125" style="12" customWidth="1"/>
    <col min="12" max="12" width="8.28515625" style="12" customWidth="1"/>
    <col min="13" max="13" width="14" style="12" customWidth="1"/>
    <col min="14" max="14" width="8.28515625" style="12" customWidth="1"/>
    <col min="15" max="15" width="10" style="12"/>
    <col min="16" max="17" width="6.85546875" style="12" customWidth="1"/>
    <col min="18" max="18" width="12.42578125" style="12" customWidth="1"/>
    <col min="19" max="26" width="13.42578125" style="12" customWidth="1"/>
    <col min="27" max="28" width="14" style="12" customWidth="1"/>
    <col min="29" max="29" width="10" style="12"/>
    <col min="30" max="31" width="6.85546875" style="12" customWidth="1"/>
    <col min="32" max="32" width="12.42578125" style="12" customWidth="1"/>
    <col min="33" max="40" width="13.42578125" style="12" customWidth="1"/>
    <col min="41" max="42" width="14" style="12" customWidth="1"/>
    <col min="43" max="43" width="10" style="12"/>
    <col min="44" max="45" width="6.85546875" style="12" customWidth="1"/>
    <col min="46" max="46" width="12.42578125" style="12" customWidth="1"/>
    <col min="47" max="54" width="13.42578125" style="12" customWidth="1"/>
    <col min="55" max="56" width="14" style="12" customWidth="1"/>
    <col min="57" max="57" width="10" style="12"/>
    <col min="58" max="59" width="6.85546875" style="12" customWidth="1"/>
    <col min="60" max="60" width="12.42578125" style="12" customWidth="1"/>
    <col min="61" max="68" width="13.42578125" style="12" customWidth="1"/>
    <col min="69" max="70" width="14" style="12" customWidth="1"/>
    <col min="71" max="71" width="10" style="12"/>
    <col min="72" max="73" width="6.85546875" style="12" customWidth="1"/>
    <col min="74" max="74" width="12.42578125" style="12" customWidth="1"/>
    <col min="75" max="82" width="13.42578125" style="12" customWidth="1"/>
    <col min="83" max="84" width="14" style="12" customWidth="1"/>
    <col min="85" max="16384" width="10" style="12"/>
  </cols>
  <sheetData>
    <row r="1" spans="1:84" ht="18.75" x14ac:dyDescent="0.3">
      <c r="A1" s="46">
        <v>2014</v>
      </c>
      <c r="B1" s="43" t="s">
        <v>245</v>
      </c>
    </row>
    <row r="2" spans="1:84" ht="18.75" x14ac:dyDescent="0.3">
      <c r="A2" s="46"/>
      <c r="B2" s="43" t="s">
        <v>244</v>
      </c>
    </row>
    <row r="3" spans="1:84" ht="18.75" x14ac:dyDescent="0.3">
      <c r="A3" s="44"/>
      <c r="B3" s="45"/>
    </row>
    <row r="4" spans="1:84" ht="18.75" x14ac:dyDescent="0.3">
      <c r="A4" s="44"/>
      <c r="B4" s="43" t="s">
        <v>243</v>
      </c>
    </row>
    <row r="5" spans="1:84" x14ac:dyDescent="0.25">
      <c r="A5" s="26"/>
      <c r="C5" s="42"/>
    </row>
    <row r="6" spans="1:84" ht="15.75" x14ac:dyDescent="0.25">
      <c r="A6" s="26"/>
      <c r="C6" s="41" t="s">
        <v>242</v>
      </c>
    </row>
    <row r="7" spans="1:84" ht="15.75" x14ac:dyDescent="0.25">
      <c r="A7" s="26"/>
      <c r="C7" s="41" t="s">
        <v>241</v>
      </c>
    </row>
    <row r="8" spans="1:84" ht="15.75" x14ac:dyDescent="0.25">
      <c r="A8" s="26"/>
      <c r="C8" s="41" t="s">
        <v>240</v>
      </c>
    </row>
    <row r="9" spans="1:84" x14ac:dyDescent="0.25">
      <c r="A9" s="26"/>
      <c r="C9" s="40"/>
    </row>
    <row r="10" spans="1:84" s="30" customFormat="1" ht="30" customHeight="1" x14ac:dyDescent="0.25">
      <c r="C10" s="33" t="s">
        <v>238</v>
      </c>
      <c r="D10" s="32">
        <v>41950</v>
      </c>
      <c r="E10" s="30" t="s">
        <v>237</v>
      </c>
      <c r="F10" s="31" t="s">
        <v>236</v>
      </c>
      <c r="G10" s="30" t="s">
        <v>235</v>
      </c>
      <c r="I10" s="29" t="s">
        <v>234</v>
      </c>
      <c r="J10" s="29"/>
      <c r="K10" s="28"/>
      <c r="L10" s="28"/>
      <c r="M10" s="28"/>
      <c r="N10" s="27"/>
      <c r="Q10" s="33" t="s">
        <v>238</v>
      </c>
      <c r="R10" s="32">
        <v>41950</v>
      </c>
      <c r="S10" s="30" t="s">
        <v>237</v>
      </c>
      <c r="T10" s="31" t="s">
        <v>236</v>
      </c>
      <c r="U10" s="30" t="s">
        <v>235</v>
      </c>
      <c r="W10" s="29" t="s">
        <v>234</v>
      </c>
      <c r="X10" s="29"/>
      <c r="Y10" s="28"/>
      <c r="Z10" s="28"/>
      <c r="AA10" s="28"/>
      <c r="AB10" s="27"/>
      <c r="AE10" s="33" t="s">
        <v>238</v>
      </c>
      <c r="AF10" s="32">
        <v>41950</v>
      </c>
      <c r="AG10" s="30" t="s">
        <v>237</v>
      </c>
      <c r="AH10" s="31" t="s">
        <v>236</v>
      </c>
      <c r="AI10" s="30" t="s">
        <v>235</v>
      </c>
      <c r="AK10" s="29" t="s">
        <v>234</v>
      </c>
      <c r="AL10" s="29"/>
      <c r="AM10" s="28"/>
      <c r="AN10" s="28"/>
      <c r="AO10" s="28"/>
      <c r="AP10" s="27"/>
      <c r="AS10" s="33" t="s">
        <v>238</v>
      </c>
      <c r="AT10" s="32">
        <v>41950</v>
      </c>
      <c r="AU10" s="30" t="s">
        <v>237</v>
      </c>
      <c r="AV10" s="31" t="s">
        <v>236</v>
      </c>
      <c r="AW10" s="30" t="s">
        <v>235</v>
      </c>
      <c r="AY10" s="29" t="s">
        <v>234</v>
      </c>
      <c r="AZ10" s="29"/>
      <c r="BA10" s="28"/>
      <c r="BB10" s="28"/>
      <c r="BC10" s="28"/>
      <c r="BD10" s="27"/>
      <c r="BG10" s="33" t="s">
        <v>238</v>
      </c>
      <c r="BH10" s="32">
        <v>41950</v>
      </c>
      <c r="BI10" s="30" t="s">
        <v>237</v>
      </c>
      <c r="BJ10" s="31" t="s">
        <v>236</v>
      </c>
      <c r="BK10" s="30" t="s">
        <v>235</v>
      </c>
      <c r="BM10" s="29" t="s">
        <v>234</v>
      </c>
      <c r="BN10" s="29"/>
      <c r="BO10" s="28"/>
      <c r="BP10" s="28"/>
      <c r="BQ10" s="28"/>
      <c r="BR10" s="27"/>
      <c r="BU10" s="33" t="s">
        <v>238</v>
      </c>
      <c r="BV10" s="32">
        <v>41950</v>
      </c>
      <c r="BW10" s="30" t="s">
        <v>237</v>
      </c>
      <c r="BX10" s="31" t="s">
        <v>236</v>
      </c>
      <c r="BY10" s="30" t="s">
        <v>235</v>
      </c>
      <c r="CA10" s="29" t="s">
        <v>234</v>
      </c>
      <c r="CB10" s="29"/>
      <c r="CC10" s="28"/>
      <c r="CD10" s="28"/>
      <c r="CE10" s="28"/>
      <c r="CF10" s="27"/>
    </row>
    <row r="11" spans="1:84" ht="25.15" customHeight="1" x14ac:dyDescent="0.3">
      <c r="B11" s="26"/>
      <c r="D11" s="25"/>
      <c r="E11" s="22" t="s">
        <v>233</v>
      </c>
      <c r="F11" s="22" t="s">
        <v>233</v>
      </c>
      <c r="G11" s="25" t="s">
        <v>232</v>
      </c>
      <c r="H11" s="21" t="s">
        <v>231</v>
      </c>
      <c r="I11" s="24" t="s">
        <v>230</v>
      </c>
      <c r="J11" s="24"/>
      <c r="K11" s="24"/>
      <c r="L11" s="24"/>
      <c r="M11" s="24"/>
      <c r="N11" s="24"/>
      <c r="O11" s="22"/>
      <c r="P11" s="26"/>
      <c r="R11" s="25"/>
      <c r="S11" s="22" t="s">
        <v>233</v>
      </c>
      <c r="T11" s="22" t="s">
        <v>233</v>
      </c>
      <c r="U11" s="25" t="s">
        <v>232</v>
      </c>
      <c r="V11" s="21" t="s">
        <v>231</v>
      </c>
      <c r="W11" s="24" t="s">
        <v>230</v>
      </c>
      <c r="X11" s="24"/>
      <c r="Y11" s="24"/>
      <c r="Z11" s="24"/>
      <c r="AA11" s="24"/>
      <c r="AB11" s="24"/>
      <c r="AC11" s="22"/>
      <c r="AD11" s="26"/>
      <c r="AF11" s="25"/>
      <c r="AG11" s="22" t="s">
        <v>233</v>
      </c>
      <c r="AH11" s="22" t="s">
        <v>233</v>
      </c>
      <c r="AI11" s="25" t="s">
        <v>232</v>
      </c>
      <c r="AJ11" s="21" t="s">
        <v>231</v>
      </c>
      <c r="AK11" s="24" t="s">
        <v>230</v>
      </c>
      <c r="AL11" s="24"/>
      <c r="AM11" s="24"/>
      <c r="AN11" s="24"/>
      <c r="AO11" s="24"/>
      <c r="AP11" s="24"/>
      <c r="AR11" s="26"/>
      <c r="AT11" s="25"/>
      <c r="AU11" s="22" t="s">
        <v>233</v>
      </c>
      <c r="AV11" s="22" t="s">
        <v>233</v>
      </c>
      <c r="AW11" s="25" t="s">
        <v>232</v>
      </c>
      <c r="AX11" s="21" t="s">
        <v>231</v>
      </c>
      <c r="AY11" s="24" t="s">
        <v>230</v>
      </c>
      <c r="AZ11" s="24"/>
      <c r="BA11" s="24"/>
      <c r="BB11" s="24"/>
      <c r="BC11" s="24"/>
      <c r="BD11" s="24"/>
      <c r="BF11" s="26"/>
      <c r="BH11" s="25"/>
      <c r="BI11" s="22" t="s">
        <v>233</v>
      </c>
      <c r="BJ11" s="22" t="s">
        <v>233</v>
      </c>
      <c r="BK11" s="25" t="s">
        <v>232</v>
      </c>
      <c r="BL11" s="21" t="s">
        <v>231</v>
      </c>
      <c r="BM11" s="24" t="s">
        <v>230</v>
      </c>
      <c r="BN11" s="24"/>
      <c r="BO11" s="24"/>
      <c r="BP11" s="24"/>
      <c r="BQ11" s="24"/>
      <c r="BR11" s="24"/>
      <c r="BT11" s="26"/>
      <c r="BV11" s="25"/>
      <c r="BW11" s="22" t="s">
        <v>233</v>
      </c>
      <c r="BX11" s="22" t="s">
        <v>233</v>
      </c>
      <c r="BY11" s="25" t="s">
        <v>232</v>
      </c>
      <c r="BZ11" s="21" t="s">
        <v>231</v>
      </c>
      <c r="CA11" s="24" t="s">
        <v>230</v>
      </c>
      <c r="CB11" s="24"/>
      <c r="CC11" s="24"/>
      <c r="CD11" s="24"/>
      <c r="CE11" s="24"/>
      <c r="CF11" s="24"/>
    </row>
    <row r="12" spans="1:84" ht="30.6" customHeight="1" thickBot="1" x14ac:dyDescent="0.3">
      <c r="B12" s="23" t="s">
        <v>229</v>
      </c>
      <c r="C12" s="23" t="s">
        <v>228</v>
      </c>
      <c r="D12" s="22" t="s">
        <v>227</v>
      </c>
      <c r="E12" s="22" t="s">
        <v>226</v>
      </c>
      <c r="F12" s="22" t="s">
        <v>225</v>
      </c>
      <c r="G12" s="22" t="s">
        <v>224</v>
      </c>
      <c r="H12" s="21" t="s">
        <v>223</v>
      </c>
      <c r="I12" s="20" t="s">
        <v>222</v>
      </c>
      <c r="J12" s="20" t="s">
        <v>221</v>
      </c>
      <c r="K12" s="20" t="s">
        <v>220</v>
      </c>
      <c r="L12" s="20" t="s">
        <v>219</v>
      </c>
      <c r="M12" s="20" t="s">
        <v>218</v>
      </c>
      <c r="N12" s="20" t="s">
        <v>217</v>
      </c>
      <c r="O12" s="22"/>
      <c r="P12" s="23" t="s">
        <v>229</v>
      </c>
      <c r="Q12" s="23" t="s">
        <v>228</v>
      </c>
      <c r="R12" s="22" t="s">
        <v>227</v>
      </c>
      <c r="S12" s="22" t="s">
        <v>226</v>
      </c>
      <c r="T12" s="22" t="s">
        <v>225</v>
      </c>
      <c r="U12" s="22" t="s">
        <v>224</v>
      </c>
      <c r="V12" s="21" t="s">
        <v>223</v>
      </c>
      <c r="W12" s="20" t="s">
        <v>222</v>
      </c>
      <c r="X12" s="20" t="s">
        <v>221</v>
      </c>
      <c r="Y12" s="20" t="s">
        <v>220</v>
      </c>
      <c r="Z12" s="20" t="s">
        <v>219</v>
      </c>
      <c r="AA12" s="20" t="s">
        <v>218</v>
      </c>
      <c r="AB12" s="20" t="s">
        <v>217</v>
      </c>
      <c r="AC12" s="22"/>
      <c r="AD12" s="23" t="s">
        <v>229</v>
      </c>
      <c r="AE12" s="23" t="s">
        <v>228</v>
      </c>
      <c r="AF12" s="22" t="s">
        <v>227</v>
      </c>
      <c r="AG12" s="22" t="s">
        <v>226</v>
      </c>
      <c r="AH12" s="22" t="s">
        <v>225</v>
      </c>
      <c r="AI12" s="22" t="s">
        <v>224</v>
      </c>
      <c r="AJ12" s="21" t="s">
        <v>223</v>
      </c>
      <c r="AK12" s="20" t="s">
        <v>222</v>
      </c>
      <c r="AL12" s="20" t="s">
        <v>221</v>
      </c>
      <c r="AM12" s="20" t="s">
        <v>220</v>
      </c>
      <c r="AN12" s="20" t="s">
        <v>219</v>
      </c>
      <c r="AO12" s="20" t="s">
        <v>218</v>
      </c>
      <c r="AP12" s="20" t="s">
        <v>217</v>
      </c>
      <c r="AR12" s="23" t="s">
        <v>229</v>
      </c>
      <c r="AS12" s="23" t="s">
        <v>228</v>
      </c>
      <c r="AT12" s="22" t="s">
        <v>227</v>
      </c>
      <c r="AU12" s="22" t="s">
        <v>226</v>
      </c>
      <c r="AV12" s="22" t="s">
        <v>225</v>
      </c>
      <c r="AW12" s="22" t="s">
        <v>224</v>
      </c>
      <c r="AX12" s="21" t="s">
        <v>223</v>
      </c>
      <c r="AY12" s="20" t="s">
        <v>222</v>
      </c>
      <c r="AZ12" s="20" t="s">
        <v>221</v>
      </c>
      <c r="BA12" s="20" t="s">
        <v>220</v>
      </c>
      <c r="BB12" s="20" t="s">
        <v>219</v>
      </c>
      <c r="BC12" s="20" t="s">
        <v>218</v>
      </c>
      <c r="BD12" s="20" t="s">
        <v>217</v>
      </c>
      <c r="BF12" s="23" t="s">
        <v>229</v>
      </c>
      <c r="BG12" s="23" t="s">
        <v>228</v>
      </c>
      <c r="BH12" s="22" t="s">
        <v>227</v>
      </c>
      <c r="BI12" s="22" t="s">
        <v>226</v>
      </c>
      <c r="BJ12" s="22" t="s">
        <v>225</v>
      </c>
      <c r="BK12" s="22" t="s">
        <v>224</v>
      </c>
      <c r="BL12" s="21" t="s">
        <v>223</v>
      </c>
      <c r="BM12" s="20" t="s">
        <v>222</v>
      </c>
      <c r="BN12" s="20" t="s">
        <v>221</v>
      </c>
      <c r="BO12" s="20" t="s">
        <v>220</v>
      </c>
      <c r="BP12" s="20" t="s">
        <v>219</v>
      </c>
      <c r="BQ12" s="20" t="s">
        <v>218</v>
      </c>
      <c r="BR12" s="20" t="s">
        <v>217</v>
      </c>
      <c r="BT12" s="23" t="s">
        <v>229</v>
      </c>
      <c r="BU12" s="23" t="s">
        <v>228</v>
      </c>
      <c r="BV12" s="22" t="s">
        <v>227</v>
      </c>
      <c r="BW12" s="22" t="s">
        <v>226</v>
      </c>
      <c r="BX12" s="22" t="s">
        <v>225</v>
      </c>
      <c r="BY12" s="22" t="s">
        <v>224</v>
      </c>
      <c r="BZ12" s="21" t="s">
        <v>223</v>
      </c>
      <c r="CA12" s="20" t="s">
        <v>222</v>
      </c>
      <c r="CB12" s="20" t="s">
        <v>221</v>
      </c>
      <c r="CC12" s="20" t="s">
        <v>220</v>
      </c>
      <c r="CD12" s="20" t="s">
        <v>219</v>
      </c>
      <c r="CE12" s="20" t="s">
        <v>218</v>
      </c>
      <c r="CF12" s="20" t="s">
        <v>217</v>
      </c>
    </row>
    <row r="13" spans="1:84" ht="25.15" customHeight="1" thickTop="1" thickBot="1" x14ac:dyDescent="0.3">
      <c r="B13" s="18">
        <v>1</v>
      </c>
      <c r="C13" s="17">
        <v>-1</v>
      </c>
      <c r="D13" s="16">
        <v>11.91</v>
      </c>
      <c r="E13" s="16">
        <v>240.43</v>
      </c>
      <c r="F13" s="16">
        <f>E13-D13</f>
        <v>228.52</v>
      </c>
      <c r="G13" s="38">
        <v>214.2</v>
      </c>
      <c r="H13" s="15">
        <f>((F13-G13)/F13)</f>
        <v>6.2664099422370126E-2</v>
      </c>
      <c r="I13" s="14">
        <v>69.94</v>
      </c>
      <c r="J13" s="14">
        <f>(I13/G13)</f>
        <v>0.32651727357609711</v>
      </c>
      <c r="K13" s="13">
        <v>94.99</v>
      </c>
      <c r="L13" s="13">
        <f>(K13/G13)</f>
        <v>0.44346405228758168</v>
      </c>
      <c r="M13" s="13">
        <f>G13-I13-K13</f>
        <v>49.269999999999996</v>
      </c>
      <c r="N13" s="13">
        <f>(M13/G13)*100</f>
        <v>23.00186741363212</v>
      </c>
      <c r="O13" s="39"/>
      <c r="P13" s="18">
        <v>3</v>
      </c>
      <c r="Q13" s="17">
        <v>-1</v>
      </c>
      <c r="R13" s="16">
        <v>11.96</v>
      </c>
      <c r="S13" s="16">
        <v>216.29</v>
      </c>
      <c r="T13" s="16">
        <f>S13-R13</f>
        <v>204.32999999999998</v>
      </c>
      <c r="U13" s="16">
        <v>193.75</v>
      </c>
      <c r="V13" s="15">
        <f>((T13-U13)/T13)</f>
        <v>5.1778984975285006E-2</v>
      </c>
      <c r="W13" s="14">
        <v>76.39</v>
      </c>
      <c r="X13" s="14">
        <f>(W13/U13)</f>
        <v>0.39427096774193549</v>
      </c>
      <c r="Y13" s="13">
        <v>104.19</v>
      </c>
      <c r="Z13" s="13">
        <f>(Y13/U13)</f>
        <v>0.53775483870967744</v>
      </c>
      <c r="AA13" s="13">
        <f>U13-W13-Y13</f>
        <v>13.170000000000002</v>
      </c>
      <c r="AB13" s="13">
        <f>(AA13/U13)*100</f>
        <v>6.7974193548387101</v>
      </c>
      <c r="AD13" s="18">
        <v>5</v>
      </c>
      <c r="AE13" s="17">
        <v>-1</v>
      </c>
      <c r="AF13" s="16">
        <v>11.93</v>
      </c>
      <c r="AG13" s="16">
        <v>223.71</v>
      </c>
      <c r="AH13" s="16">
        <f>AG13-AF13</f>
        <v>211.78</v>
      </c>
      <c r="AI13" s="16">
        <v>200.58</v>
      </c>
      <c r="AJ13" s="15">
        <f>((AH13-AI13)/AH13)</f>
        <v>5.2885069411653551E-2</v>
      </c>
      <c r="AK13" s="14">
        <v>82.33</v>
      </c>
      <c r="AL13" s="14">
        <f>(AK13/AI13)</f>
        <v>0.41045966696579916</v>
      </c>
      <c r="AM13" s="13">
        <v>108.64</v>
      </c>
      <c r="AN13" s="13">
        <f>(AM13/AI13)</f>
        <v>0.5416292751022036</v>
      </c>
      <c r="AO13" s="13">
        <f>AI13-AK13-AM13</f>
        <v>9.6100000000000136</v>
      </c>
      <c r="AP13" s="13">
        <f>(AO13/AI13)*100</f>
        <v>4.7911057931997272</v>
      </c>
      <c r="AR13" s="18">
        <v>7</v>
      </c>
      <c r="AS13" s="17">
        <v>-1</v>
      </c>
      <c r="AT13" s="16">
        <v>12.04</v>
      </c>
      <c r="AU13" s="16">
        <v>244.92</v>
      </c>
      <c r="AV13" s="16">
        <f>AU13-AT13</f>
        <v>232.88</v>
      </c>
      <c r="AW13" s="16">
        <v>222.22</v>
      </c>
      <c r="AX13" s="15">
        <f>((AV13-AW13)/AV13)</f>
        <v>4.5774647887323931E-2</v>
      </c>
      <c r="AY13" s="14">
        <v>86.93</v>
      </c>
      <c r="AZ13" s="14">
        <f>(AY13/AW13)</f>
        <v>0.39118891188911892</v>
      </c>
      <c r="BA13" s="13">
        <v>122.35</v>
      </c>
      <c r="BB13" s="13">
        <f>(BA13/AW13)</f>
        <v>0.55058050580505802</v>
      </c>
      <c r="BC13" s="13">
        <f>AW13-AY13-BA13</f>
        <v>12.939999999999998</v>
      </c>
      <c r="BD13" s="13">
        <f>(BC13/AW13)*100</f>
        <v>5.8230582305823049</v>
      </c>
      <c r="BF13" s="18">
        <v>9</v>
      </c>
      <c r="BG13" s="17">
        <v>-1</v>
      </c>
      <c r="BH13" s="16">
        <v>11.88</v>
      </c>
      <c r="BI13" s="16">
        <v>234.63</v>
      </c>
      <c r="BJ13" s="16">
        <f>BI13-BH13</f>
        <v>222.75</v>
      </c>
      <c r="BK13" s="16">
        <v>208.91</v>
      </c>
      <c r="BL13" s="15">
        <f>((BJ13-BK13)/BJ13)</f>
        <v>6.2132435465768812E-2</v>
      </c>
      <c r="BM13" s="14">
        <v>82.56</v>
      </c>
      <c r="BN13" s="14">
        <f>(BM13/BK13)</f>
        <v>0.3951941027236609</v>
      </c>
      <c r="BO13" s="13">
        <v>112.45</v>
      </c>
      <c r="BP13" s="13">
        <f>(BO13/BK13)</f>
        <v>0.53827006845052894</v>
      </c>
      <c r="BQ13" s="13">
        <f>BK13-BM13-BO13</f>
        <v>13.899999999999991</v>
      </c>
      <c r="BR13" s="13">
        <f>(BQ13/BK13)*100</f>
        <v>6.6535828825810119</v>
      </c>
      <c r="BT13" s="18">
        <v>11</v>
      </c>
      <c r="BU13" s="17">
        <v>-1</v>
      </c>
      <c r="BV13" s="16">
        <v>11.81</v>
      </c>
      <c r="BW13" s="16">
        <v>255.96</v>
      </c>
      <c r="BX13" s="16">
        <f>BW13-BV13</f>
        <v>244.15</v>
      </c>
      <c r="BY13" s="16">
        <v>232.62</v>
      </c>
      <c r="BZ13" s="15">
        <f>((BX13-BY13)/BX13)</f>
        <v>4.7225066557444198E-2</v>
      </c>
      <c r="CA13" s="14">
        <v>91.78</v>
      </c>
      <c r="CB13" s="14">
        <f>(CA13/BY13)</f>
        <v>0.39454904995271256</v>
      </c>
      <c r="CC13" s="13">
        <v>129.52000000000001</v>
      </c>
      <c r="CD13" s="13">
        <f>(CC13/BY13)</f>
        <v>0.55678789442008425</v>
      </c>
      <c r="CE13" s="13">
        <f>BY13-CA13-CC13</f>
        <v>11.319999999999993</v>
      </c>
      <c r="CF13" s="13">
        <f>(CE13/BY13)*100</f>
        <v>4.8663055627203136</v>
      </c>
    </row>
    <row r="14" spans="1:84" ht="25.15" customHeight="1" thickTop="1" thickBot="1" x14ac:dyDescent="0.3">
      <c r="B14" s="18">
        <v>1</v>
      </c>
      <c r="C14" s="17">
        <v>-2</v>
      </c>
      <c r="D14" s="16">
        <v>12.03</v>
      </c>
      <c r="E14" s="16">
        <v>276.02999999999997</v>
      </c>
      <c r="F14" s="16">
        <f>E14-D14</f>
        <v>264</v>
      </c>
      <c r="G14" s="38">
        <v>243.33</v>
      </c>
      <c r="H14" s="15">
        <f>((F14-G14)/F14)</f>
        <v>7.8295454545454501E-2</v>
      </c>
      <c r="I14" s="14">
        <v>82.78</v>
      </c>
      <c r="J14" s="14">
        <f>(I14/G14)</f>
        <v>0.34019644104713764</v>
      </c>
      <c r="K14" s="13">
        <v>106.66</v>
      </c>
      <c r="L14" s="13">
        <f>(K14/G14)</f>
        <v>0.43833477170920143</v>
      </c>
      <c r="M14" s="13">
        <f>G14-I14-K14</f>
        <v>53.890000000000015</v>
      </c>
      <c r="N14" s="13">
        <f>(M14/G14)*100</f>
        <v>22.146878724366093</v>
      </c>
      <c r="P14" s="18">
        <v>3</v>
      </c>
      <c r="Q14" s="17">
        <v>-2</v>
      </c>
      <c r="R14" s="16">
        <v>11.87</v>
      </c>
      <c r="S14" s="16">
        <v>237.45</v>
      </c>
      <c r="T14" s="16">
        <f>S14-R14</f>
        <v>225.57999999999998</v>
      </c>
      <c r="U14" s="16">
        <v>212.24</v>
      </c>
      <c r="V14" s="15">
        <f>((T14-U14)/T14)</f>
        <v>5.9136448266690206E-2</v>
      </c>
      <c r="W14" s="14">
        <v>82.51</v>
      </c>
      <c r="X14" s="14">
        <f>(W14/U14)</f>
        <v>0.38875800980022618</v>
      </c>
      <c r="Y14" s="13">
        <v>116.08</v>
      </c>
      <c r="Z14" s="13">
        <f>(Y14/U14)</f>
        <v>0.54692800603090841</v>
      </c>
      <c r="AA14" s="13">
        <f>U14-W14-Y14</f>
        <v>13.65000000000002</v>
      </c>
      <c r="AB14" s="13">
        <f>(AA14/U14)*100</f>
        <v>6.4313984168865526</v>
      </c>
      <c r="AD14" s="18">
        <v>5</v>
      </c>
      <c r="AE14" s="17">
        <v>-2</v>
      </c>
      <c r="AF14" s="16">
        <v>11.9</v>
      </c>
      <c r="AG14" s="16">
        <v>212.01</v>
      </c>
      <c r="AH14" s="16">
        <f>AG14-AF14</f>
        <v>200.10999999999999</v>
      </c>
      <c r="AI14" s="16">
        <v>189.69</v>
      </c>
      <c r="AJ14" s="15">
        <f>((AH14-AI14)/AH14)</f>
        <v>5.2071360751586568E-2</v>
      </c>
      <c r="AK14" s="14">
        <v>75.59</v>
      </c>
      <c r="AL14" s="14">
        <f>(AK14/AI14)</f>
        <v>0.39849227687279248</v>
      </c>
      <c r="AM14" s="13">
        <v>104.35</v>
      </c>
      <c r="AN14" s="13">
        <f>(AM14/AI14)</f>
        <v>0.55010807106331383</v>
      </c>
      <c r="AO14" s="13">
        <f>AI14-AK14-AM14</f>
        <v>9.75</v>
      </c>
      <c r="AP14" s="13">
        <f>(AO14/AI14)*100</f>
        <v>5.1399652063893724</v>
      </c>
      <c r="AR14" s="18">
        <v>7</v>
      </c>
      <c r="AS14" s="17">
        <v>-2</v>
      </c>
      <c r="AT14" s="16">
        <v>12.01</v>
      </c>
      <c r="AU14" s="16">
        <v>238.36</v>
      </c>
      <c r="AV14" s="16">
        <f>AU14-AT14</f>
        <v>226.35000000000002</v>
      </c>
      <c r="AW14" s="16">
        <v>217.06</v>
      </c>
      <c r="AX14" s="15">
        <f>((AV14-AW14)/AV14)</f>
        <v>4.1042633090346892E-2</v>
      </c>
      <c r="AY14" s="14">
        <v>86.4</v>
      </c>
      <c r="AZ14" s="14">
        <f>(AY14/AW14)</f>
        <v>0.39804662305353361</v>
      </c>
      <c r="BA14" s="13">
        <v>119.64</v>
      </c>
      <c r="BB14" s="13">
        <f>(BA14/AW14)</f>
        <v>0.55118400442274029</v>
      </c>
      <c r="BC14" s="13">
        <f>AW14-AY14-BA14</f>
        <v>11.019999999999996</v>
      </c>
      <c r="BD14" s="13">
        <f>(BC14/AW14)*100</f>
        <v>5.0769372523726135</v>
      </c>
      <c r="BF14" s="18">
        <v>9</v>
      </c>
      <c r="BG14" s="17">
        <v>-2</v>
      </c>
      <c r="BH14" s="16">
        <v>12.03</v>
      </c>
      <c r="BI14" s="16">
        <v>186.92</v>
      </c>
      <c r="BJ14" s="16">
        <f>BI14-BH14</f>
        <v>174.89</v>
      </c>
      <c r="BK14" s="16">
        <v>166.52</v>
      </c>
      <c r="BL14" s="15">
        <f>((BJ14-BK14)/BJ14)</f>
        <v>4.7858654011092551E-2</v>
      </c>
      <c r="BM14" s="14">
        <v>65.86</v>
      </c>
      <c r="BN14" s="14">
        <f>(BM14/BK14)</f>
        <v>0.39550804708143161</v>
      </c>
      <c r="BO14" s="13">
        <v>91.91</v>
      </c>
      <c r="BP14" s="13">
        <f>(BO14/BK14)</f>
        <v>0.55194571222675948</v>
      </c>
      <c r="BQ14" s="13">
        <f>BK14-BM14-BO14</f>
        <v>8.7500000000000142</v>
      </c>
      <c r="BR14" s="13">
        <f>(BQ14/BK14)*100</f>
        <v>5.2546240691808874</v>
      </c>
      <c r="BT14" s="18">
        <v>11</v>
      </c>
      <c r="BU14" s="17">
        <v>-2</v>
      </c>
      <c r="BV14" s="16">
        <v>12</v>
      </c>
      <c r="BW14" s="16">
        <v>179.94</v>
      </c>
      <c r="BX14" s="16">
        <f>BW14-BV14</f>
        <v>167.94</v>
      </c>
      <c r="BY14" s="16">
        <v>159.78</v>
      </c>
      <c r="BZ14" s="15">
        <f>((BX14-BY14)/BX14)</f>
        <v>4.858878170775275E-2</v>
      </c>
      <c r="CA14" s="14">
        <v>63.36</v>
      </c>
      <c r="CB14" s="14">
        <f>(CA14/BY14)</f>
        <v>0.39654524971836275</v>
      </c>
      <c r="CC14" s="13">
        <v>89.02</v>
      </c>
      <c r="CD14" s="13">
        <f>(CC14/BY14)</f>
        <v>0.55714106896983351</v>
      </c>
      <c r="CE14" s="13">
        <f>BY14-CA14-CC14</f>
        <v>7.4000000000000057</v>
      </c>
      <c r="CF14" s="13">
        <f>(CE14/BY14)*100</f>
        <v>4.6313681311803769</v>
      </c>
    </row>
    <row r="15" spans="1:84" ht="25.15" customHeight="1" thickTop="1" thickBot="1" x14ac:dyDescent="0.3">
      <c r="B15" s="18">
        <v>1</v>
      </c>
      <c r="C15" s="17">
        <v>-3</v>
      </c>
      <c r="D15" s="16">
        <v>11.88</v>
      </c>
      <c r="E15" s="16">
        <v>259.13</v>
      </c>
      <c r="F15" s="16">
        <f>E15-D15</f>
        <v>247.25</v>
      </c>
      <c r="G15" s="38">
        <v>231.07</v>
      </c>
      <c r="H15" s="15">
        <f>((F15-G15)/F15)</f>
        <v>6.5439838220424693E-2</v>
      </c>
      <c r="I15" s="14">
        <v>80.66</v>
      </c>
      <c r="J15" s="14">
        <f>(I15/G15)</f>
        <v>0.34907170987146752</v>
      </c>
      <c r="K15" s="13">
        <v>110.75</v>
      </c>
      <c r="L15" s="13">
        <f>(K15/G15)</f>
        <v>0.47929198944042933</v>
      </c>
      <c r="M15" s="13">
        <f>G15-I15-K15</f>
        <v>39.659999999999997</v>
      </c>
      <c r="N15" s="13">
        <f>(M15/G15)*100</f>
        <v>17.163630068810313</v>
      </c>
      <c r="P15" s="18">
        <v>3</v>
      </c>
      <c r="Q15" s="17">
        <v>-3</v>
      </c>
      <c r="R15" s="16">
        <v>11.9</v>
      </c>
      <c r="S15" s="16">
        <v>333.74</v>
      </c>
      <c r="T15" s="16">
        <f>S15-R15</f>
        <v>321.84000000000003</v>
      </c>
      <c r="U15" s="16">
        <v>306.32</v>
      </c>
      <c r="V15" s="15">
        <f>((T15-U15)/T15)</f>
        <v>4.8222719363659079E-2</v>
      </c>
      <c r="W15" s="14">
        <v>118.79</v>
      </c>
      <c r="X15" s="14">
        <f>(W15/U15)</f>
        <v>0.38779707495429622</v>
      </c>
      <c r="Y15" s="13">
        <v>165.46</v>
      </c>
      <c r="Z15" s="13">
        <f>(Y15/U15)</f>
        <v>0.54015408722904157</v>
      </c>
      <c r="AA15" s="13">
        <f>U15-W15-Y15</f>
        <v>22.069999999999965</v>
      </c>
      <c r="AB15" s="13">
        <f>(AA15/U15)*100</f>
        <v>7.2048837816662203</v>
      </c>
      <c r="AD15" s="18">
        <v>5</v>
      </c>
      <c r="AE15" s="17">
        <v>-3</v>
      </c>
      <c r="AF15" s="16">
        <v>11.93</v>
      </c>
      <c r="AG15" s="16">
        <v>229.04</v>
      </c>
      <c r="AH15" s="16">
        <f>AG15-AF15</f>
        <v>217.10999999999999</v>
      </c>
      <c r="AI15" s="16">
        <v>203.84</v>
      </c>
      <c r="AJ15" s="15">
        <f>((AH15-AI15)/AH15)</f>
        <v>6.1121090691354532E-2</v>
      </c>
      <c r="AK15" s="14">
        <v>78.17</v>
      </c>
      <c r="AL15" s="14">
        <f>(AK15/AI15)</f>
        <v>0.38348704866562011</v>
      </c>
      <c r="AM15" s="13">
        <v>109.42</v>
      </c>
      <c r="AN15" s="13">
        <f>(AM15/AI15)</f>
        <v>0.53679356357927788</v>
      </c>
      <c r="AO15" s="13">
        <f>AI15-AK15-AM15</f>
        <v>16.25</v>
      </c>
      <c r="AP15" s="13">
        <f>(AO15/AI15)*100</f>
        <v>7.9719387755102042</v>
      </c>
      <c r="AR15" s="18">
        <v>7</v>
      </c>
      <c r="AS15" s="17">
        <v>-3</v>
      </c>
      <c r="AT15" s="16">
        <v>11.94</v>
      </c>
      <c r="AU15" s="16">
        <v>233.14</v>
      </c>
      <c r="AV15" s="16">
        <f>AU15-AT15</f>
        <v>221.2</v>
      </c>
      <c r="AW15" s="16">
        <v>210.48</v>
      </c>
      <c r="AX15" s="15">
        <f>((AV15-AW15)/AV15)</f>
        <v>4.8462929475587703E-2</v>
      </c>
      <c r="AY15" s="14">
        <v>82.95</v>
      </c>
      <c r="AZ15" s="14">
        <f>(AY15/AW15)</f>
        <v>0.39409920182440139</v>
      </c>
      <c r="BA15" s="13">
        <v>115.35</v>
      </c>
      <c r="BB15" s="13">
        <f>(BA15/AW15)</f>
        <v>0.5480330672748005</v>
      </c>
      <c r="BC15" s="13">
        <f>AW15-AY15-BA15</f>
        <v>12.179999999999993</v>
      </c>
      <c r="BD15" s="13">
        <f>(BC15/AW15)*100</f>
        <v>5.786773090079814</v>
      </c>
      <c r="BF15" s="18">
        <v>9</v>
      </c>
      <c r="BG15" s="17">
        <v>-3</v>
      </c>
      <c r="BH15" s="16">
        <v>12.05</v>
      </c>
      <c r="BI15" s="16">
        <v>250.14</v>
      </c>
      <c r="BJ15" s="16">
        <f>BI15-BH15</f>
        <v>238.08999999999997</v>
      </c>
      <c r="BK15" s="16">
        <v>226.19</v>
      </c>
      <c r="BL15" s="15">
        <f>((BJ15-BK15)/BJ15)</f>
        <v>4.9981099584190759E-2</v>
      </c>
      <c r="BM15" s="14">
        <v>91.4</v>
      </c>
      <c r="BN15" s="14">
        <f>(BM15/BK15)</f>
        <v>0.4040850612317079</v>
      </c>
      <c r="BO15" s="13">
        <v>123.86</v>
      </c>
      <c r="BP15" s="13">
        <f>(BO15/BK15)</f>
        <v>0.54759273177417211</v>
      </c>
      <c r="BQ15" s="13">
        <f>BK15-BM15-BO15</f>
        <v>10.929999999999993</v>
      </c>
      <c r="BR15" s="13">
        <f>(BQ15/BK15)*100</f>
        <v>4.8322206994119954</v>
      </c>
      <c r="BT15" s="18">
        <v>11</v>
      </c>
      <c r="BU15" s="17">
        <v>-3</v>
      </c>
      <c r="BV15" s="16">
        <v>12.13</v>
      </c>
      <c r="BW15" s="16">
        <v>251.69</v>
      </c>
      <c r="BX15" s="16">
        <f>BW15-BV15</f>
        <v>239.56</v>
      </c>
      <c r="BY15" s="16">
        <v>228.24</v>
      </c>
      <c r="BZ15" s="15">
        <f>((BX15-BY15)/BX15)</f>
        <v>4.7253297712472837E-2</v>
      </c>
      <c r="CA15" s="14">
        <v>89.79</v>
      </c>
      <c r="CB15" s="14">
        <f>(CA15/BY15)</f>
        <v>0.39340168243953733</v>
      </c>
      <c r="CC15" s="13">
        <v>128.15</v>
      </c>
      <c r="CD15" s="13">
        <f>(CC15/BY15)</f>
        <v>0.56147038205397826</v>
      </c>
      <c r="CE15" s="13">
        <f>BY15-CA15-CC15</f>
        <v>10.299999999999983</v>
      </c>
      <c r="CF15" s="13">
        <f>(CE15/BY15)*100</f>
        <v>4.5127935506484329</v>
      </c>
    </row>
    <row r="16" spans="1:84" ht="25.15" customHeight="1" thickTop="1" thickBot="1" x14ac:dyDescent="0.3">
      <c r="B16" s="18">
        <v>1</v>
      </c>
      <c r="C16" s="17">
        <v>-4</v>
      </c>
      <c r="D16" s="16">
        <v>12.02</v>
      </c>
      <c r="E16" s="16">
        <v>268.06</v>
      </c>
      <c r="F16" s="16">
        <f>E16-D16</f>
        <v>256.04000000000002</v>
      </c>
      <c r="G16" s="38">
        <v>239.34</v>
      </c>
      <c r="H16" s="15">
        <f>((F16-G16)/F16)</f>
        <v>6.5224183721293613E-2</v>
      </c>
      <c r="I16" s="14">
        <v>82.74</v>
      </c>
      <c r="J16" s="14">
        <f>(I16/G16)</f>
        <v>0.34570067686136874</v>
      </c>
      <c r="K16" s="13">
        <v>109.43</v>
      </c>
      <c r="L16" s="13">
        <f>(K16/G16)</f>
        <v>0.45721567644355315</v>
      </c>
      <c r="M16" s="13">
        <f>G16-I16-K16</f>
        <v>47.170000000000016</v>
      </c>
      <c r="N16" s="13">
        <f>(M16/G16)*100</f>
        <v>19.708364669507819</v>
      </c>
      <c r="P16" s="18">
        <v>3</v>
      </c>
      <c r="Q16" s="17">
        <v>-4</v>
      </c>
      <c r="R16" s="16">
        <v>11.89</v>
      </c>
      <c r="S16" s="16">
        <v>216.17</v>
      </c>
      <c r="T16" s="16">
        <f>S16-R16</f>
        <v>204.27999999999997</v>
      </c>
      <c r="U16" s="16">
        <v>193.41</v>
      </c>
      <c r="V16" s="15">
        <f>((T16-U16)/T16)</f>
        <v>5.3211278637164565E-2</v>
      </c>
      <c r="W16" s="14">
        <v>74</v>
      </c>
      <c r="X16" s="14">
        <f>(W16/U16)</f>
        <v>0.38260689726487773</v>
      </c>
      <c r="Y16" s="13">
        <v>104.32</v>
      </c>
      <c r="Z16" s="13">
        <f>(Y16/U16)</f>
        <v>0.53937231787394646</v>
      </c>
      <c r="AA16" s="13">
        <f>U16-W16-Y16</f>
        <v>15.090000000000003</v>
      </c>
      <c r="AB16" s="13">
        <f>(AA16/U16)*100</f>
        <v>7.8020784861175763</v>
      </c>
      <c r="AD16" s="18">
        <v>5</v>
      </c>
      <c r="AE16" s="17">
        <v>-4</v>
      </c>
      <c r="AF16" s="16">
        <v>11.91</v>
      </c>
      <c r="AG16" s="16">
        <v>206.46</v>
      </c>
      <c r="AH16" s="16">
        <f>AG16-AF16</f>
        <v>194.55</v>
      </c>
      <c r="AI16" s="16">
        <v>184.13</v>
      </c>
      <c r="AJ16" s="15">
        <f>((AH16-AI16)/AH16)</f>
        <v>5.3559496273451634E-2</v>
      </c>
      <c r="AK16" s="14">
        <v>76.959999999999994</v>
      </c>
      <c r="AL16" s="14">
        <f>(AK16/AI16)</f>
        <v>0.41796556780535488</v>
      </c>
      <c r="AM16" s="13">
        <v>100.84</v>
      </c>
      <c r="AN16" s="13">
        <f>(AM16/AI16)</f>
        <v>0.54765654700483357</v>
      </c>
      <c r="AO16" s="13">
        <f>AI16-AK16-AM16</f>
        <v>6.3299999999999983</v>
      </c>
      <c r="AP16" s="13">
        <f>(AO16/AI16)*100</f>
        <v>3.4377885189811539</v>
      </c>
      <c r="AR16" s="18">
        <v>7</v>
      </c>
      <c r="AS16" s="17">
        <v>-4</v>
      </c>
      <c r="AT16" s="16">
        <v>11.97</v>
      </c>
      <c r="AU16" s="16">
        <v>241.28</v>
      </c>
      <c r="AV16" s="16">
        <f>AU16-AT16</f>
        <v>229.31</v>
      </c>
      <c r="AW16" s="16">
        <v>218.13</v>
      </c>
      <c r="AX16" s="15">
        <f>((AV16-AW16)/AV16)</f>
        <v>4.8754960533775267E-2</v>
      </c>
      <c r="AY16" s="14">
        <v>84.31</v>
      </c>
      <c r="AZ16" s="14">
        <f>(AY16/AW16)</f>
        <v>0.38651263008297804</v>
      </c>
      <c r="BA16" s="13">
        <v>119.86</v>
      </c>
      <c r="BB16" s="13">
        <f>(BA16/AW16)</f>
        <v>0.54948883693210471</v>
      </c>
      <c r="BC16" s="13">
        <f>AW16-AY16-BA16</f>
        <v>13.959999999999994</v>
      </c>
      <c r="BD16" s="13">
        <f>(BC16/AW16)*100</f>
        <v>6.3998532984917231</v>
      </c>
      <c r="BF16" s="18">
        <v>9</v>
      </c>
      <c r="BG16" s="17">
        <v>-4</v>
      </c>
      <c r="BH16" s="16">
        <v>12.03</v>
      </c>
      <c r="BI16" s="16">
        <v>225.73</v>
      </c>
      <c r="BJ16" s="16">
        <f>BI16-BH16</f>
        <v>213.7</v>
      </c>
      <c r="BK16" s="16">
        <v>203.97</v>
      </c>
      <c r="BL16" s="15">
        <f>((BJ16-BK16)/BJ16)</f>
        <v>4.5531118390266682E-2</v>
      </c>
      <c r="BM16" s="14">
        <v>78.58</v>
      </c>
      <c r="BN16" s="14">
        <f>(BM16/BK16)</f>
        <v>0.38525273324508508</v>
      </c>
      <c r="BO16" s="13">
        <v>111.85</v>
      </c>
      <c r="BP16" s="13">
        <f>(BO16/BK16)</f>
        <v>0.54836495563072996</v>
      </c>
      <c r="BQ16" s="13">
        <f>BK16-BM16-BO16</f>
        <v>13.540000000000006</v>
      </c>
      <c r="BR16" s="13">
        <f>(BQ16/BK16)*100</f>
        <v>6.6382311124184952</v>
      </c>
      <c r="BT16" s="18">
        <v>11</v>
      </c>
      <c r="BU16" s="17">
        <v>-4</v>
      </c>
      <c r="BV16" s="16">
        <v>11.95</v>
      </c>
      <c r="BW16" s="16">
        <v>223.65</v>
      </c>
      <c r="BX16" s="16">
        <f>BW16-BV16</f>
        <v>211.70000000000002</v>
      </c>
      <c r="BY16" s="16">
        <v>202.16</v>
      </c>
      <c r="BZ16" s="15">
        <f>((BX16-BY16)/BX16)</f>
        <v>4.5063769485120544E-2</v>
      </c>
      <c r="CA16" s="14">
        <v>78.510000000000005</v>
      </c>
      <c r="CB16" s="14">
        <f>(CA16/BY16)</f>
        <v>0.38835575781559162</v>
      </c>
      <c r="CC16" s="13">
        <v>113.2</v>
      </c>
      <c r="CD16" s="13">
        <f>(CC16/BY16)</f>
        <v>0.55995251286110015</v>
      </c>
      <c r="CE16" s="13">
        <f>BY16-CA16-CC16</f>
        <v>10.449999999999989</v>
      </c>
      <c r="CF16" s="13">
        <f>(CE16/BY16)*100</f>
        <v>5.1691729323308211</v>
      </c>
    </row>
    <row r="17" spans="2:84" ht="25.15" customHeight="1" thickTop="1" thickBot="1" x14ac:dyDescent="0.3">
      <c r="B17" s="18">
        <v>1</v>
      </c>
      <c r="C17" s="17">
        <v>-5</v>
      </c>
      <c r="D17" s="16">
        <v>11.9</v>
      </c>
      <c r="E17" s="16">
        <v>182.86</v>
      </c>
      <c r="F17" s="16">
        <f>E17-D17</f>
        <v>170.96</v>
      </c>
      <c r="G17" s="38">
        <v>159.96</v>
      </c>
      <c r="H17" s="15">
        <f>((F17-G17)/F17)</f>
        <v>6.4342536265793171E-2</v>
      </c>
      <c r="I17" s="14">
        <v>58.59</v>
      </c>
      <c r="J17" s="14">
        <f>(I17/G17)</f>
        <v>0.36627906976744184</v>
      </c>
      <c r="K17" s="13">
        <v>75.56</v>
      </c>
      <c r="L17" s="13">
        <f>(K17/G17)</f>
        <v>0.47236809202300573</v>
      </c>
      <c r="M17" s="13">
        <f>G17-I17-K17</f>
        <v>25.810000000000002</v>
      </c>
      <c r="N17" s="13">
        <f>(M17/G17)*100</f>
        <v>16.135283820955241</v>
      </c>
      <c r="P17" s="18">
        <v>3</v>
      </c>
      <c r="Q17" s="17">
        <v>-5</v>
      </c>
      <c r="R17" s="16">
        <v>11.9</v>
      </c>
      <c r="S17" s="16">
        <v>206.74</v>
      </c>
      <c r="T17" s="16">
        <f>S17-R17</f>
        <v>194.84</v>
      </c>
      <c r="U17" s="16">
        <v>184.83</v>
      </c>
      <c r="V17" s="15">
        <f>((T17-U17)/T17)</f>
        <v>5.1375487579552404E-2</v>
      </c>
      <c r="W17" s="14">
        <v>70.819999999999993</v>
      </c>
      <c r="X17" s="14">
        <f>(W17/U17)</f>
        <v>0.38316290645457984</v>
      </c>
      <c r="Y17" s="13">
        <v>99.68</v>
      </c>
      <c r="Z17" s="13">
        <f>(Y17/U17)</f>
        <v>0.53930638965535893</v>
      </c>
      <c r="AA17" s="13">
        <f>U17-W17-Y17</f>
        <v>14.330000000000013</v>
      </c>
      <c r="AB17" s="13">
        <f>(AA17/U17)*100</f>
        <v>7.7530703890061199</v>
      </c>
      <c r="AD17" s="18">
        <v>5</v>
      </c>
      <c r="AE17" s="17">
        <v>-5</v>
      </c>
      <c r="AF17" s="16">
        <v>11.91</v>
      </c>
      <c r="AG17" s="16">
        <v>200.42</v>
      </c>
      <c r="AH17" s="16">
        <f>AG17-AF17</f>
        <v>188.51</v>
      </c>
      <c r="AI17" s="16">
        <v>177.86</v>
      </c>
      <c r="AJ17" s="15">
        <f>((AH17-AI17)/AH17)</f>
        <v>5.6495676621929752E-2</v>
      </c>
      <c r="AK17" s="14">
        <v>70.78</v>
      </c>
      <c r="AL17" s="14">
        <f>(AK17/AI17)</f>
        <v>0.39795344653097942</v>
      </c>
      <c r="AM17" s="13">
        <v>95.76</v>
      </c>
      <c r="AN17" s="13">
        <f>(AM17/AI17)</f>
        <v>0.53840098954233662</v>
      </c>
      <c r="AO17" s="13">
        <f>AI17-AK17-AM17</f>
        <v>11.320000000000007</v>
      </c>
      <c r="AP17" s="13">
        <f>(AO17/AI17)*100</f>
        <v>6.3645563926683941</v>
      </c>
      <c r="AR17" s="18">
        <v>7</v>
      </c>
      <c r="AS17" s="17">
        <v>-5</v>
      </c>
      <c r="AT17" s="16">
        <v>11.88</v>
      </c>
      <c r="AU17" s="16">
        <v>214.13</v>
      </c>
      <c r="AV17" s="16">
        <f>AU17-AT17</f>
        <v>202.25</v>
      </c>
      <c r="AW17" s="16">
        <v>192.22</v>
      </c>
      <c r="AX17" s="15">
        <f>((AV17-AW17)/AV17)</f>
        <v>4.9592088998763911E-2</v>
      </c>
      <c r="AY17" s="14">
        <v>76.319999999999993</v>
      </c>
      <c r="AZ17" s="14">
        <f>(AY17/AW17)</f>
        <v>0.39704505254396</v>
      </c>
      <c r="BA17" s="13">
        <v>107.44</v>
      </c>
      <c r="BB17" s="13">
        <f>(BA17/AW17)</f>
        <v>0.55894287795234621</v>
      </c>
      <c r="BC17" s="13">
        <f>AW17-AY17-BA17</f>
        <v>8.460000000000008</v>
      </c>
      <c r="BD17" s="13">
        <f>(BC17/AW17)*100</f>
        <v>4.4012069503693727</v>
      </c>
      <c r="BF17" s="18">
        <v>9</v>
      </c>
      <c r="BG17" s="17">
        <v>-5</v>
      </c>
      <c r="BH17" s="16">
        <v>11.88</v>
      </c>
      <c r="BI17" s="16">
        <v>214.83</v>
      </c>
      <c r="BJ17" s="16">
        <f>BI17-BH17</f>
        <v>202.95000000000002</v>
      </c>
      <c r="BK17" s="16">
        <v>194.45</v>
      </c>
      <c r="BL17" s="15">
        <f>((BJ17-BK17)/BJ17)</f>
        <v>4.1882237004188361E-2</v>
      </c>
      <c r="BM17" s="14">
        <v>76.19</v>
      </c>
      <c r="BN17" s="14">
        <f>(BM17/BK17)</f>
        <v>0.3918230907688352</v>
      </c>
      <c r="BO17" s="13">
        <v>105.77</v>
      </c>
      <c r="BP17" s="13">
        <f>(BO17/BK17)</f>
        <v>0.54394445872975061</v>
      </c>
      <c r="BQ17" s="13">
        <f>BK17-BM17-BO17</f>
        <v>12.489999999999995</v>
      </c>
      <c r="BR17" s="13">
        <f>(BQ17/BK17)*100</f>
        <v>6.4232450501414222</v>
      </c>
      <c r="BT17" s="18">
        <v>11</v>
      </c>
      <c r="BU17" s="17">
        <v>-5</v>
      </c>
      <c r="BV17" s="16">
        <v>12</v>
      </c>
      <c r="BW17" s="16">
        <v>229.05</v>
      </c>
      <c r="BX17" s="16">
        <f>BW17-BV17</f>
        <v>217.05</v>
      </c>
      <c r="BY17" s="16">
        <v>206.95</v>
      </c>
      <c r="BZ17" s="15">
        <f>((BX17-BY17)/BX17)</f>
        <v>4.6533056899332056E-2</v>
      </c>
      <c r="CA17" s="14">
        <v>79.22</v>
      </c>
      <c r="CB17" s="14">
        <f>(CA17/BY17)</f>
        <v>0.38279777724087943</v>
      </c>
      <c r="CC17" s="13">
        <v>115.25</v>
      </c>
      <c r="CD17" s="13">
        <f>(CC17/BY17)</f>
        <v>0.55689780140130474</v>
      </c>
      <c r="CE17" s="13">
        <f>BY17-CA17-CC17</f>
        <v>12.47999999999999</v>
      </c>
      <c r="CF17" s="13">
        <f>(CE17/BY17)*100</f>
        <v>6.0304421357815849</v>
      </c>
    </row>
    <row r="18" spans="2:84" ht="25.15" customHeight="1" thickTop="1" thickBot="1" x14ac:dyDescent="0.3">
      <c r="B18" s="18">
        <v>1</v>
      </c>
      <c r="C18" s="17">
        <v>-6</v>
      </c>
      <c r="D18" s="16">
        <v>11.96</v>
      </c>
      <c r="E18" s="16">
        <v>237.39</v>
      </c>
      <c r="F18" s="16">
        <f>E18-D18</f>
        <v>225.42999999999998</v>
      </c>
      <c r="G18" s="38">
        <v>211.29</v>
      </c>
      <c r="H18" s="15">
        <f>((F18-G18)/F18)</f>
        <v>6.2724570820210213E-2</v>
      </c>
      <c r="I18" s="14">
        <v>73.239999999999995</v>
      </c>
      <c r="J18" s="14">
        <f>(I18/G18)</f>
        <v>0.34663259027876375</v>
      </c>
      <c r="K18" s="13">
        <v>99.77</v>
      </c>
      <c r="L18" s="13">
        <f>(K18/G18)</f>
        <v>0.47219461403757867</v>
      </c>
      <c r="M18" s="13">
        <f>G18-I18-K18</f>
        <v>38.280000000000015</v>
      </c>
      <c r="N18" s="13">
        <f>(M18/G18)*100</f>
        <v>18.11727956836576</v>
      </c>
      <c r="P18" s="18">
        <v>3</v>
      </c>
      <c r="Q18" s="17">
        <v>-6</v>
      </c>
      <c r="R18" s="16">
        <v>11.88</v>
      </c>
      <c r="S18" s="16">
        <v>251.58</v>
      </c>
      <c r="T18" s="16">
        <f>S18-R18</f>
        <v>239.70000000000002</v>
      </c>
      <c r="U18" s="16">
        <v>225.72</v>
      </c>
      <c r="V18" s="15">
        <f>((T18-U18)/T18)</f>
        <v>5.8322903629536994E-2</v>
      </c>
      <c r="W18" s="14">
        <v>90.46</v>
      </c>
      <c r="X18" s="14">
        <f>(W18/U18)</f>
        <v>0.40076200602516387</v>
      </c>
      <c r="Y18" s="13">
        <v>123.45</v>
      </c>
      <c r="Z18" s="13">
        <f>(Y18/U18)</f>
        <v>0.54691653375863902</v>
      </c>
      <c r="AA18" s="13">
        <f>U18-W18-Y18</f>
        <v>11.809999999999988</v>
      </c>
      <c r="AB18" s="13">
        <f>(AA18/U18)*100</f>
        <v>5.2321460216197009</v>
      </c>
      <c r="AD18" s="18">
        <v>5</v>
      </c>
      <c r="AE18" s="17">
        <v>-6</v>
      </c>
      <c r="AF18" s="16">
        <v>11.9</v>
      </c>
      <c r="AG18" s="16">
        <v>222.65</v>
      </c>
      <c r="AH18" s="16">
        <f>AG18-AF18</f>
        <v>210.75</v>
      </c>
      <c r="AI18" s="16">
        <v>199.2</v>
      </c>
      <c r="AJ18" s="15">
        <f>((AH18-AI18)/AH18)</f>
        <v>5.4804270462633503E-2</v>
      </c>
      <c r="AK18" s="14">
        <v>79.47</v>
      </c>
      <c r="AL18" s="14">
        <f>(AK18/AI18)</f>
        <v>0.39894578313253015</v>
      </c>
      <c r="AM18" s="13">
        <v>108.36</v>
      </c>
      <c r="AN18" s="13">
        <f>(AM18/AI18)</f>
        <v>0.54397590361445791</v>
      </c>
      <c r="AO18" s="13">
        <f>AI18-AK18-AM18</f>
        <v>11.36999999999999</v>
      </c>
      <c r="AP18" s="13">
        <f>(AO18/AI18)*100</f>
        <v>5.7078313253012007</v>
      </c>
      <c r="AR18" s="18">
        <v>7</v>
      </c>
      <c r="AS18" s="17">
        <v>-6</v>
      </c>
      <c r="AT18" s="16">
        <v>12.1</v>
      </c>
      <c r="AU18" s="16">
        <v>237.46</v>
      </c>
      <c r="AV18" s="16">
        <f>AU18-AT18</f>
        <v>225.36</v>
      </c>
      <c r="AW18" s="16">
        <v>214.58</v>
      </c>
      <c r="AX18" s="15">
        <f>((AV18-AW18)/AV18)</f>
        <v>4.7834575789847358E-2</v>
      </c>
      <c r="AY18" s="14">
        <v>86.5</v>
      </c>
      <c r="AZ18" s="14">
        <f>(AY18/AW18)</f>
        <v>0.40311305806692138</v>
      </c>
      <c r="BA18" s="13">
        <v>114.91</v>
      </c>
      <c r="BB18" s="13">
        <f>(BA18/AW18)</f>
        <v>0.53551123124242705</v>
      </c>
      <c r="BC18" s="13">
        <f>AW18-AY18-BA18</f>
        <v>13.170000000000016</v>
      </c>
      <c r="BD18" s="13">
        <f>(BC18/AW18)*100</f>
        <v>6.1375710690651575</v>
      </c>
      <c r="BF18" s="18">
        <v>9</v>
      </c>
      <c r="BG18" s="17">
        <v>-6</v>
      </c>
      <c r="BH18" s="16">
        <v>12.09</v>
      </c>
      <c r="BI18" s="16">
        <v>214.2</v>
      </c>
      <c r="BJ18" s="16">
        <f>BI18-BH18</f>
        <v>202.10999999999999</v>
      </c>
      <c r="BK18" s="16">
        <v>192.38</v>
      </c>
      <c r="BL18" s="15">
        <f>((BJ18-BK18)/BJ18)</f>
        <v>4.8142100836178273E-2</v>
      </c>
      <c r="BM18" s="14">
        <v>78.739999999999995</v>
      </c>
      <c r="BN18" s="14">
        <f>(BM18/BK18)</f>
        <v>0.40929410541636341</v>
      </c>
      <c r="BO18" s="13">
        <v>105.32</v>
      </c>
      <c r="BP18" s="13">
        <f>(BO18/BK18)</f>
        <v>0.54745815573344425</v>
      </c>
      <c r="BQ18" s="13">
        <f>BK18-BM18-BO18</f>
        <v>8.3200000000000074</v>
      </c>
      <c r="BR18" s="13">
        <f>(BQ18/BK18)*100</f>
        <v>4.324773885019237</v>
      </c>
      <c r="BT18" s="18">
        <v>11</v>
      </c>
      <c r="BU18" s="17">
        <v>-6</v>
      </c>
      <c r="BV18" s="16">
        <v>11.96</v>
      </c>
      <c r="BW18" s="16">
        <v>231.31</v>
      </c>
      <c r="BX18" s="16">
        <f>BW18-BV18</f>
        <v>219.35</v>
      </c>
      <c r="BY18" s="16">
        <v>209.63</v>
      </c>
      <c r="BZ18" s="15">
        <f>((BX18-BY18)/BX18)</f>
        <v>4.4312742192842487E-2</v>
      </c>
      <c r="CA18" s="14">
        <v>81.12</v>
      </c>
      <c r="CB18" s="14">
        <f>(CA18/BY18)</f>
        <v>0.38696751419167108</v>
      </c>
      <c r="CC18" s="13">
        <v>116.58</v>
      </c>
      <c r="CD18" s="13">
        <f>(CC18/BY18)</f>
        <v>0.55612269236273437</v>
      </c>
      <c r="CE18" s="13">
        <f>BY18-CA18-CC18</f>
        <v>11.929999999999993</v>
      </c>
      <c r="CF18" s="13">
        <f>(CE18/BY18)*100</f>
        <v>5.6909793445594579</v>
      </c>
    </row>
    <row r="19" spans="2:84" ht="25.15" customHeight="1" thickTop="1" thickBot="1" x14ac:dyDescent="0.3">
      <c r="B19" s="18">
        <v>1</v>
      </c>
      <c r="C19" s="17">
        <v>-7</v>
      </c>
      <c r="D19" s="16">
        <v>11.9</v>
      </c>
      <c r="E19" s="16">
        <v>169.22</v>
      </c>
      <c r="F19" s="16">
        <f>E19-D19</f>
        <v>157.32</v>
      </c>
      <c r="G19" s="38">
        <v>147.38999999999999</v>
      </c>
      <c r="H19" s="15">
        <f>((F19-G19)/F19)</f>
        <v>6.3119755911517972E-2</v>
      </c>
      <c r="I19" s="14">
        <v>54.35</v>
      </c>
      <c r="J19" s="14">
        <f>(I19/G19)</f>
        <v>0.3687495759549495</v>
      </c>
      <c r="K19" s="13">
        <v>72.66</v>
      </c>
      <c r="L19" s="13">
        <f>(K19/G19)</f>
        <v>0.49297781396295542</v>
      </c>
      <c r="M19" s="13">
        <f>G19-I19-K19</f>
        <v>20.379999999999995</v>
      </c>
      <c r="N19" s="13">
        <f>(M19/G19)*100</f>
        <v>13.82726100820951</v>
      </c>
      <c r="P19" s="18">
        <v>3</v>
      </c>
      <c r="Q19" s="17">
        <v>-7</v>
      </c>
      <c r="R19" s="16">
        <v>11.93</v>
      </c>
      <c r="S19" s="16">
        <v>204.74</v>
      </c>
      <c r="T19" s="16">
        <f>S19-R19</f>
        <v>192.81</v>
      </c>
      <c r="U19" s="16">
        <v>181.89</v>
      </c>
      <c r="V19" s="15">
        <f>((T19-U19)/T19)</f>
        <v>5.6636066594056407E-2</v>
      </c>
      <c r="W19" s="14">
        <v>71.28</v>
      </c>
      <c r="X19" s="14">
        <f>(W19/U19)</f>
        <v>0.39188520534388921</v>
      </c>
      <c r="Y19" s="13">
        <v>98.89</v>
      </c>
      <c r="Z19" s="13">
        <f>(Y19/U19)</f>
        <v>0.5436802463027105</v>
      </c>
      <c r="AA19" s="13">
        <f>U19-W19-Y19</f>
        <v>11.719999999999985</v>
      </c>
      <c r="AB19" s="13">
        <f>(AA19/U19)*100</f>
        <v>6.4434548353400327</v>
      </c>
      <c r="AD19" s="18">
        <v>5</v>
      </c>
      <c r="AE19" s="17">
        <v>-7</v>
      </c>
      <c r="AF19" s="16">
        <v>11.92</v>
      </c>
      <c r="AG19" s="16">
        <v>256.89999999999998</v>
      </c>
      <c r="AH19" s="16">
        <f>AG19-AF19</f>
        <v>244.98</v>
      </c>
      <c r="AI19" s="16">
        <v>230.2</v>
      </c>
      <c r="AJ19" s="15">
        <f>((AH19-AI19)/AH19)</f>
        <v>6.0331455629030951E-2</v>
      </c>
      <c r="AK19" s="14">
        <v>91.55</v>
      </c>
      <c r="AL19" s="14">
        <f>(AK19/AI19)</f>
        <v>0.39769765421372721</v>
      </c>
      <c r="AM19" s="13">
        <v>121.28</v>
      </c>
      <c r="AN19" s="13">
        <f>(AM19/AI19)</f>
        <v>0.52684622067767162</v>
      </c>
      <c r="AO19" s="13">
        <f>AI19-AK19-AM19</f>
        <v>17.369999999999976</v>
      </c>
      <c r="AP19" s="13">
        <f>(AO19/AI19)*100</f>
        <v>7.5456125108601118</v>
      </c>
      <c r="AR19" s="18">
        <v>7</v>
      </c>
      <c r="AS19" s="17">
        <v>-7</v>
      </c>
      <c r="AT19" s="16">
        <v>11.92</v>
      </c>
      <c r="AU19" s="16">
        <v>200.14</v>
      </c>
      <c r="AV19" s="16">
        <f>AU19-AT19</f>
        <v>188.22</v>
      </c>
      <c r="AW19" s="16">
        <v>180.13</v>
      </c>
      <c r="AX19" s="15">
        <f>((AV19-AW19)/AV19)</f>
        <v>4.2981617256402101E-2</v>
      </c>
      <c r="AY19" s="14">
        <v>71.87</v>
      </c>
      <c r="AZ19" s="14">
        <f>(AY19/AW19)</f>
        <v>0.39898961860878257</v>
      </c>
      <c r="BA19" s="13">
        <v>96.65</v>
      </c>
      <c r="BB19" s="13">
        <f>(BA19/AW19)</f>
        <v>0.53655693110531288</v>
      </c>
      <c r="BC19" s="13">
        <f>AW19-AY19-BA19</f>
        <v>11.609999999999985</v>
      </c>
      <c r="BD19" s="13">
        <f>(BC19/AW19)*100</f>
        <v>6.4453450285904541</v>
      </c>
      <c r="BF19" s="18">
        <v>9</v>
      </c>
      <c r="BG19" s="17">
        <v>-7</v>
      </c>
      <c r="BH19" s="16">
        <v>11.84</v>
      </c>
      <c r="BI19" s="16">
        <v>235.71</v>
      </c>
      <c r="BJ19" s="16">
        <f>BI19-BH19</f>
        <v>223.87</v>
      </c>
      <c r="BK19" s="16">
        <v>212.99</v>
      </c>
      <c r="BL19" s="15">
        <f>((BJ19-BK19)/BJ19)</f>
        <v>4.859963371599587E-2</v>
      </c>
      <c r="BM19" s="14">
        <v>85.03</v>
      </c>
      <c r="BN19" s="14">
        <f>(BM19/BK19)</f>
        <v>0.39922062068641717</v>
      </c>
      <c r="BO19" s="13">
        <v>118.24</v>
      </c>
      <c r="BP19" s="13">
        <f>(BO19/BK19)</f>
        <v>0.55514343396403587</v>
      </c>
      <c r="BQ19" s="13">
        <f>BK19-BM19-BO19</f>
        <v>9.7200000000000131</v>
      </c>
      <c r="BR19" s="13">
        <f>(BQ19/BK19)*100</f>
        <v>4.5635945349546985</v>
      </c>
      <c r="BT19" s="18">
        <v>11</v>
      </c>
      <c r="BU19" s="17">
        <v>-7</v>
      </c>
      <c r="BV19" s="16">
        <v>12.14</v>
      </c>
      <c r="BW19" s="16">
        <v>224.64</v>
      </c>
      <c r="BX19" s="16">
        <f>BW19-BV19</f>
        <v>212.5</v>
      </c>
      <c r="BY19" s="16">
        <v>200.97</v>
      </c>
      <c r="BZ19" s="15">
        <f>((BX19-BY19)/BX19)</f>
        <v>5.4258823529411769E-2</v>
      </c>
      <c r="CA19" s="14">
        <v>75.66</v>
      </c>
      <c r="CB19" s="14">
        <f>(CA19/BY19)</f>
        <v>0.37647410061203163</v>
      </c>
      <c r="CC19" s="13">
        <v>108.39</v>
      </c>
      <c r="CD19" s="13">
        <f>(CC19/BY19)</f>
        <v>0.53933422898940142</v>
      </c>
      <c r="CE19" s="13">
        <f>BY19-CA19-CC19</f>
        <v>16.920000000000002</v>
      </c>
      <c r="CF19" s="13">
        <f>(CE19/BY19)*100</f>
        <v>8.4191670398566956</v>
      </c>
    </row>
    <row r="20" spans="2:84" ht="25.15" customHeight="1" thickTop="1" thickBot="1" x14ac:dyDescent="0.3">
      <c r="B20" s="18">
        <v>1</v>
      </c>
      <c r="C20" s="17">
        <v>-8</v>
      </c>
      <c r="D20" s="16">
        <v>11.93</v>
      </c>
      <c r="E20" s="16">
        <v>210.86</v>
      </c>
      <c r="F20" s="16">
        <f>E20-D20</f>
        <v>198.93</v>
      </c>
      <c r="G20" s="38">
        <v>184.73</v>
      </c>
      <c r="H20" s="15">
        <f>((F20-G20)/F20)</f>
        <v>7.1381893128236146E-2</v>
      </c>
      <c r="I20" s="14">
        <v>67.09</v>
      </c>
      <c r="J20" s="14">
        <f>(I20/G20)</f>
        <v>0.36317869322795437</v>
      </c>
      <c r="K20" s="13">
        <v>87.52</v>
      </c>
      <c r="L20" s="13">
        <f>(K20/G20)</f>
        <v>0.47377253288583338</v>
      </c>
      <c r="M20" s="13">
        <f>G20-I20-K20</f>
        <v>30.11999999999999</v>
      </c>
      <c r="N20" s="13">
        <f>(M20/G20)*100</f>
        <v>16.304877388621229</v>
      </c>
      <c r="P20" s="18">
        <v>3</v>
      </c>
      <c r="Q20" s="17">
        <v>-8</v>
      </c>
      <c r="R20" s="16">
        <v>11.93</v>
      </c>
      <c r="S20" s="16">
        <v>194.53</v>
      </c>
      <c r="T20" s="16">
        <f>S20-R20</f>
        <v>182.6</v>
      </c>
      <c r="U20" s="16">
        <v>173.25</v>
      </c>
      <c r="V20" s="15">
        <f>((T20-U20)/T20)</f>
        <v>5.1204819277108404E-2</v>
      </c>
      <c r="W20" s="14">
        <v>69.63</v>
      </c>
      <c r="X20" s="14">
        <f>(W20/U20)</f>
        <v>0.40190476190476188</v>
      </c>
      <c r="Y20" s="13">
        <v>93.97</v>
      </c>
      <c r="Z20" s="13">
        <f>(Y20/U20)</f>
        <v>0.54239538239538243</v>
      </c>
      <c r="AA20" s="13">
        <f>U20-W20-Y20</f>
        <v>9.6500000000000057</v>
      </c>
      <c r="AB20" s="13">
        <f>(AA20/U20)*100</f>
        <v>5.5699855699855734</v>
      </c>
      <c r="AD20" s="18">
        <v>5</v>
      </c>
      <c r="AE20" s="17">
        <v>-8</v>
      </c>
      <c r="AF20" s="16">
        <v>11.86</v>
      </c>
      <c r="AG20" s="16">
        <v>230.88</v>
      </c>
      <c r="AH20" s="16">
        <f>AG20-AF20</f>
        <v>219.01999999999998</v>
      </c>
      <c r="AI20" s="16">
        <v>206.04</v>
      </c>
      <c r="AJ20" s="15">
        <f>((AH20-AI20)/AH20)</f>
        <v>5.9263994155784816E-2</v>
      </c>
      <c r="AK20" s="14">
        <v>84.3</v>
      </c>
      <c r="AL20" s="14">
        <f>(AK20/AI20)</f>
        <v>0.40914385556202681</v>
      </c>
      <c r="AM20" s="13">
        <v>110.07</v>
      </c>
      <c r="AN20" s="13">
        <f>(AM20/AI20)</f>
        <v>0.53421665695981357</v>
      </c>
      <c r="AO20" s="13">
        <f>AI20-AK20-AM20</f>
        <v>11.670000000000002</v>
      </c>
      <c r="AP20" s="13">
        <f>(AO20/AI20)*100</f>
        <v>5.6639487478159589</v>
      </c>
      <c r="AR20" s="18">
        <v>7</v>
      </c>
      <c r="AS20" s="17">
        <v>-8</v>
      </c>
      <c r="AT20" s="16">
        <v>11.89</v>
      </c>
      <c r="AU20" s="16">
        <v>246.95</v>
      </c>
      <c r="AV20" s="16">
        <f>AU20-AT20</f>
        <v>235.06</v>
      </c>
      <c r="AW20" s="16">
        <v>224.27</v>
      </c>
      <c r="AX20" s="15">
        <f>((AV20-AW20)/AV20)</f>
        <v>4.5903173657789467E-2</v>
      </c>
      <c r="AY20" s="14">
        <v>88.11</v>
      </c>
      <c r="AZ20" s="14">
        <f>(AY20/AW20)</f>
        <v>0.39287466000802601</v>
      </c>
      <c r="BA20" s="13">
        <v>121.26</v>
      </c>
      <c r="BB20" s="13">
        <f>(BA20/AW20)</f>
        <v>0.54068756409684759</v>
      </c>
      <c r="BC20" s="13">
        <f>AW20-AY20-BA20</f>
        <v>14.90000000000002</v>
      </c>
      <c r="BD20" s="13">
        <f>(BC20/AW20)*100</f>
        <v>6.6437775895126494</v>
      </c>
      <c r="BF20" s="18">
        <v>9</v>
      </c>
      <c r="BG20" s="17">
        <v>-8</v>
      </c>
      <c r="BH20" s="16">
        <v>12.11</v>
      </c>
      <c r="BI20" s="16">
        <v>231.21</v>
      </c>
      <c r="BJ20" s="16">
        <f>BI20-BH20</f>
        <v>219.10000000000002</v>
      </c>
      <c r="BK20" s="16">
        <v>207.59</v>
      </c>
      <c r="BL20" s="15">
        <f>((BJ20-BK20)/BJ20)</f>
        <v>5.2533089913281691E-2</v>
      </c>
      <c r="BM20" s="14">
        <v>81.41</v>
      </c>
      <c r="BN20" s="14">
        <f>(BM20/BK20)</f>
        <v>0.39216725275783992</v>
      </c>
      <c r="BO20" s="13">
        <v>108.34</v>
      </c>
      <c r="BP20" s="13">
        <f>(BO20/BK20)</f>
        <v>0.52189411821378684</v>
      </c>
      <c r="BQ20" s="13">
        <f>BK20-BM20-BO20</f>
        <v>17.840000000000003</v>
      </c>
      <c r="BR20" s="13">
        <f>(BQ20/BK20)*100</f>
        <v>8.5938629028373246</v>
      </c>
      <c r="BT20" s="18">
        <v>11</v>
      </c>
      <c r="BU20" s="17">
        <v>-8</v>
      </c>
      <c r="BV20" s="16">
        <v>12.15</v>
      </c>
      <c r="BW20" s="16">
        <v>247.06</v>
      </c>
      <c r="BX20" s="16">
        <f>BW20-BV20</f>
        <v>234.91</v>
      </c>
      <c r="BY20" s="16">
        <v>227.23</v>
      </c>
      <c r="BZ20" s="15">
        <f>((BX20-BY20)/BX20)</f>
        <v>3.2693371929675225E-2</v>
      </c>
      <c r="CA20" s="14">
        <v>88.55</v>
      </c>
      <c r="CB20" s="14">
        <f>(CA20/BY20)</f>
        <v>0.38969326233331869</v>
      </c>
      <c r="CC20" s="13">
        <v>123.65</v>
      </c>
      <c r="CD20" s="13">
        <f>(CC20/BY20)</f>
        <v>0.54416230251287245</v>
      </c>
      <c r="CE20" s="13">
        <f>BY20-CA20-CC20</f>
        <v>15.030000000000001</v>
      </c>
      <c r="CF20" s="13">
        <f>(CE20/BY20)*100</f>
        <v>6.6144435153808923</v>
      </c>
    </row>
    <row r="21" spans="2:84" ht="25.15" customHeight="1" thickTop="1" thickBot="1" x14ac:dyDescent="0.3">
      <c r="B21" s="18">
        <v>1</v>
      </c>
      <c r="C21" s="17">
        <v>-9</v>
      </c>
      <c r="D21" s="16">
        <v>11.98</v>
      </c>
      <c r="E21" s="16">
        <v>296.16000000000003</v>
      </c>
      <c r="F21" s="16">
        <f>E21-D21</f>
        <v>284.18</v>
      </c>
      <c r="G21" s="38">
        <v>265.99</v>
      </c>
      <c r="H21" s="15">
        <f>((F21-G21)/F21)</f>
        <v>6.4008726863255677E-2</v>
      </c>
      <c r="I21" s="14">
        <v>100.82</v>
      </c>
      <c r="J21" s="14">
        <f>(I21/G21)</f>
        <v>0.37903680589495842</v>
      </c>
      <c r="K21" s="13">
        <v>138.21</v>
      </c>
      <c r="L21" s="13">
        <f>(K21/G21)</f>
        <v>0.51960600022557235</v>
      </c>
      <c r="M21" s="13">
        <f>G21-I21-K21</f>
        <v>26.960000000000008</v>
      </c>
      <c r="N21" s="13">
        <f>(M21/G21)*100</f>
        <v>10.135719387946917</v>
      </c>
      <c r="P21" s="18">
        <v>3</v>
      </c>
      <c r="Q21" s="17">
        <v>-9</v>
      </c>
      <c r="R21" s="16">
        <v>11.94</v>
      </c>
      <c r="S21" s="16">
        <v>212.67</v>
      </c>
      <c r="T21" s="16">
        <f>S21-R21</f>
        <v>200.73</v>
      </c>
      <c r="U21" s="16">
        <v>190</v>
      </c>
      <c r="V21" s="15">
        <f>((T21-U21)/T21)</f>
        <v>5.3454889652767353E-2</v>
      </c>
      <c r="W21" s="14">
        <v>75.709999999999994</v>
      </c>
      <c r="X21" s="14">
        <f>(W21/U21)</f>
        <v>0.39847368421052626</v>
      </c>
      <c r="Y21" s="13">
        <v>103.77</v>
      </c>
      <c r="Z21" s="13">
        <f>(Y21/U21)</f>
        <v>0.54615789473684206</v>
      </c>
      <c r="AA21" s="13">
        <f>U21-W21-Y21</f>
        <v>10.52000000000001</v>
      </c>
      <c r="AB21" s="13">
        <f>(AA21/U21)*100</f>
        <v>5.5368421052631636</v>
      </c>
      <c r="AD21" s="18">
        <v>5</v>
      </c>
      <c r="AE21" s="17">
        <v>-9</v>
      </c>
      <c r="AF21" s="16">
        <v>12.06</v>
      </c>
      <c r="AG21" s="16">
        <v>224.99</v>
      </c>
      <c r="AH21" s="16">
        <f>AG21-AF21</f>
        <v>212.93</v>
      </c>
      <c r="AI21" s="16">
        <v>201.87</v>
      </c>
      <c r="AJ21" s="15">
        <f>((AH21-AI21)/AH21)</f>
        <v>5.1941952754426347E-2</v>
      </c>
      <c r="AK21" s="14">
        <v>79.209999999999994</v>
      </c>
      <c r="AL21" s="14">
        <f>(AK21/AI21)</f>
        <v>0.39238123544855597</v>
      </c>
      <c r="AM21" s="13">
        <v>109.16</v>
      </c>
      <c r="AN21" s="13">
        <f>(AM21/AI21)</f>
        <v>0.54074404319611624</v>
      </c>
      <c r="AO21" s="13">
        <f>AI21-AK21-AM21</f>
        <v>13.500000000000014</v>
      </c>
      <c r="AP21" s="13">
        <f>(AO21/AI21)*100</f>
        <v>6.6874721355327749</v>
      </c>
      <c r="AR21" s="18">
        <v>7</v>
      </c>
      <c r="AS21" s="17">
        <v>-9</v>
      </c>
      <c r="AT21" s="16">
        <v>11.78</v>
      </c>
      <c r="AU21" s="16">
        <v>247.03</v>
      </c>
      <c r="AV21" s="16">
        <f>AU21-AT21</f>
        <v>235.25</v>
      </c>
      <c r="AW21" s="16">
        <v>222.82</v>
      </c>
      <c r="AX21" s="15">
        <f>((AV21-AW21)/AV21)</f>
        <v>5.2837407013815119E-2</v>
      </c>
      <c r="AY21" s="14">
        <v>89.28</v>
      </c>
      <c r="AZ21" s="14">
        <f>(AY21/AW21)</f>
        <v>0.40068216497621401</v>
      </c>
      <c r="BA21" s="13">
        <v>120.89</v>
      </c>
      <c r="BB21" s="13">
        <f>(BA21/AW21)</f>
        <v>0.54254555246387215</v>
      </c>
      <c r="BC21" s="13">
        <f>AW21-AY21-BA21</f>
        <v>12.649999999999991</v>
      </c>
      <c r="BD21" s="13">
        <f>(BC21/AW21)*100</f>
        <v>5.6772282559913796</v>
      </c>
      <c r="BF21" s="18">
        <v>9</v>
      </c>
      <c r="BG21" s="17">
        <v>-9</v>
      </c>
      <c r="BH21" s="16">
        <v>11.96</v>
      </c>
      <c r="BI21" s="16">
        <v>207.9</v>
      </c>
      <c r="BJ21" s="16">
        <f>BI21-BH21</f>
        <v>195.94</v>
      </c>
      <c r="BK21" s="16">
        <v>185.76</v>
      </c>
      <c r="BL21" s="15">
        <f>((BJ21-BK21)/BJ21)</f>
        <v>5.1954680004082918E-2</v>
      </c>
      <c r="BM21" s="14">
        <v>75.069999999999993</v>
      </c>
      <c r="BN21" s="14">
        <f>(BM21/BK21)</f>
        <v>0.40412360034453054</v>
      </c>
      <c r="BO21" s="13">
        <v>101.07</v>
      </c>
      <c r="BP21" s="13">
        <f>(BO21/BK21)</f>
        <v>0.54408914728682167</v>
      </c>
      <c r="BQ21" s="13">
        <f>BK21-BM21-BO21</f>
        <v>9.6200000000000045</v>
      </c>
      <c r="BR21" s="13">
        <f>(BQ21/BK21)*100</f>
        <v>5.178725236864774</v>
      </c>
      <c r="BT21" s="18">
        <v>11</v>
      </c>
      <c r="BU21" s="17">
        <v>-9</v>
      </c>
      <c r="BV21" s="16">
        <v>12.06</v>
      </c>
      <c r="BW21" s="16">
        <v>268.10000000000002</v>
      </c>
      <c r="BX21" s="16">
        <f>BW21-BV21</f>
        <v>256.04000000000002</v>
      </c>
      <c r="BY21" s="16">
        <v>244.98</v>
      </c>
      <c r="BZ21" s="15">
        <f>((BX21-BY21)/BX21)</f>
        <v>4.3196375566317877E-2</v>
      </c>
      <c r="CA21" s="14">
        <v>96.1</v>
      </c>
      <c r="CB21" s="14">
        <f>(CA21/BY21)</f>
        <v>0.39227692056494406</v>
      </c>
      <c r="CC21" s="13">
        <v>135.34</v>
      </c>
      <c r="CD21" s="13">
        <f>(CC21/BY21)</f>
        <v>0.55245326149073393</v>
      </c>
      <c r="CE21" s="13">
        <f>BY21-CA21-CC21</f>
        <v>13.539999999999992</v>
      </c>
      <c r="CF21" s="13">
        <f>(CE21/BY21)*100</f>
        <v>5.5269817944321957</v>
      </c>
    </row>
    <row r="22" spans="2:84" ht="25.15" customHeight="1" thickTop="1" thickBot="1" x14ac:dyDescent="0.3">
      <c r="B22" s="18">
        <v>1</v>
      </c>
      <c r="C22" s="17">
        <v>-10</v>
      </c>
      <c r="D22" s="16">
        <v>11.82</v>
      </c>
      <c r="E22" s="16">
        <v>223.51</v>
      </c>
      <c r="F22" s="16">
        <f>E22-D22</f>
        <v>211.69</v>
      </c>
      <c r="G22" s="38">
        <v>194.29</v>
      </c>
      <c r="H22" s="15">
        <f>((F22-G22)/F22)</f>
        <v>8.219566347016867E-2</v>
      </c>
      <c r="I22" s="14">
        <v>74.81</v>
      </c>
      <c r="J22" s="14">
        <f>(I22/G22)</f>
        <v>0.3850429769931546</v>
      </c>
      <c r="K22" s="13">
        <v>102.04</v>
      </c>
      <c r="L22" s="13">
        <f>(K22/G22)</f>
        <v>0.52519429718462096</v>
      </c>
      <c r="M22" s="13">
        <f>G22-I22-K22</f>
        <v>17.439999999999984</v>
      </c>
      <c r="N22" s="13">
        <f>(M22/G22)*100</f>
        <v>8.9762725822224425</v>
      </c>
      <c r="P22" s="18">
        <v>3</v>
      </c>
      <c r="Q22" s="17">
        <v>-10</v>
      </c>
      <c r="R22" s="16">
        <v>11.94</v>
      </c>
      <c r="S22" s="16">
        <v>205.52</v>
      </c>
      <c r="T22" s="16">
        <f>S22-R22</f>
        <v>193.58</v>
      </c>
      <c r="U22" s="16">
        <v>184.23</v>
      </c>
      <c r="V22" s="15">
        <f>((T22-U22)/T22)</f>
        <v>4.8300444260770854E-2</v>
      </c>
      <c r="W22" s="14">
        <v>74.739999999999995</v>
      </c>
      <c r="X22" s="14">
        <f>(W22/U22)</f>
        <v>0.40568854149704175</v>
      </c>
      <c r="Y22" s="13">
        <v>99.56</v>
      </c>
      <c r="Z22" s="13">
        <f>(Y22/U22)</f>
        <v>0.54041144221896542</v>
      </c>
      <c r="AA22" s="13">
        <f>U22-W22-Y22</f>
        <v>9.9299999999999926</v>
      </c>
      <c r="AB22" s="13">
        <f>(AA22/U22)*100</f>
        <v>5.39000162839928</v>
      </c>
      <c r="AD22" s="18">
        <v>5</v>
      </c>
      <c r="AE22" s="17">
        <v>-10</v>
      </c>
      <c r="AF22" s="16">
        <v>11.88</v>
      </c>
      <c r="AG22" s="16">
        <v>223</v>
      </c>
      <c r="AH22" s="16">
        <f>AG22-AF22</f>
        <v>211.12</v>
      </c>
      <c r="AI22" s="16">
        <v>201.67</v>
      </c>
      <c r="AJ22" s="15">
        <f>((AH22-AI22)/AH22)</f>
        <v>4.4761273209549153E-2</v>
      </c>
      <c r="AK22" s="14">
        <v>82.25</v>
      </c>
      <c r="AL22" s="14">
        <f>(AK22/AI22)</f>
        <v>0.40784449843804238</v>
      </c>
      <c r="AM22" s="13">
        <v>111.05</v>
      </c>
      <c r="AN22" s="13">
        <f>(AM22/AI22)</f>
        <v>0.55065205533792827</v>
      </c>
      <c r="AO22" s="13">
        <f>AI22-AK22-AM22</f>
        <v>8.3699999999999903</v>
      </c>
      <c r="AP22" s="13">
        <f>(AO22/AI22)*100</f>
        <v>4.1503446224029306</v>
      </c>
      <c r="AR22" s="18">
        <v>7</v>
      </c>
      <c r="AS22" s="17">
        <v>-10</v>
      </c>
      <c r="AT22" s="16">
        <v>11.99</v>
      </c>
      <c r="AU22" s="16">
        <v>221.21</v>
      </c>
      <c r="AV22" s="16">
        <f>AU22-AT22</f>
        <v>209.22</v>
      </c>
      <c r="AW22" s="16">
        <v>197.58</v>
      </c>
      <c r="AX22" s="15">
        <f>((AV22-AW22)/AV22)</f>
        <v>5.5635216518497212E-2</v>
      </c>
      <c r="AY22" s="14">
        <v>80.27</v>
      </c>
      <c r="AZ22" s="14">
        <f>(AY22/AW22)</f>
        <v>0.40626581637817588</v>
      </c>
      <c r="BA22" s="13">
        <v>106.88</v>
      </c>
      <c r="BB22" s="13">
        <f>(BA22/AW22)</f>
        <v>0.54094543982184429</v>
      </c>
      <c r="BC22" s="13">
        <f>AW22-AY22-BA22</f>
        <v>10.430000000000021</v>
      </c>
      <c r="BD22" s="13">
        <f>(BC22/AW22)*100</f>
        <v>5.278874379997986</v>
      </c>
      <c r="BF22" s="18">
        <v>9</v>
      </c>
      <c r="BG22" s="17">
        <v>-10</v>
      </c>
      <c r="BH22" s="16">
        <v>12.02</v>
      </c>
      <c r="BI22" s="16">
        <v>209.84</v>
      </c>
      <c r="BJ22" s="16">
        <f>BI22-BH22</f>
        <v>197.82</v>
      </c>
      <c r="BK22" s="16">
        <v>188.71</v>
      </c>
      <c r="BL22" s="15">
        <f>((BJ22-BK22)/BJ22)</f>
        <v>4.6051966434131966E-2</v>
      </c>
      <c r="BM22" s="14">
        <v>76.31</v>
      </c>
      <c r="BN22" s="14">
        <f>(BM22/BK22)</f>
        <v>0.40437708653489479</v>
      </c>
      <c r="BO22" s="13">
        <v>104.32</v>
      </c>
      <c r="BP22" s="13">
        <f>(BO22/BK22)</f>
        <v>0.55280589263949975</v>
      </c>
      <c r="BQ22" s="13">
        <f>BK22-BM22-BO22</f>
        <v>8.0800000000000125</v>
      </c>
      <c r="BR22" s="13">
        <f>(BQ22/BK22)*100</f>
        <v>4.2817020825605487</v>
      </c>
      <c r="BT22" s="18">
        <v>11</v>
      </c>
      <c r="BU22" s="17">
        <v>-10</v>
      </c>
      <c r="BV22" s="16">
        <v>12.12</v>
      </c>
      <c r="BW22" s="16">
        <v>238.82</v>
      </c>
      <c r="BX22" s="16">
        <f>BW22-BV22</f>
        <v>226.7</v>
      </c>
      <c r="BY22" s="16">
        <v>216.26</v>
      </c>
      <c r="BZ22" s="15">
        <f>((BX22-BY22)/BX22)</f>
        <v>4.6052051168945736E-2</v>
      </c>
      <c r="CA22" s="14">
        <v>86.65</v>
      </c>
      <c r="CB22" s="14">
        <f>(CA22/BY22)</f>
        <v>0.4006751132895589</v>
      </c>
      <c r="CC22" s="13">
        <v>120.49</v>
      </c>
      <c r="CD22" s="13">
        <f>(CC22/BY22)</f>
        <v>0.55715342643114774</v>
      </c>
      <c r="CE22" s="13">
        <f>BY22-CA22-CC22</f>
        <v>9.1199999999999903</v>
      </c>
      <c r="CF22" s="13">
        <f>(CE22/BY22)*100</f>
        <v>4.2171460279293402</v>
      </c>
    </row>
    <row r="23" spans="2:84" ht="25.15" customHeight="1" thickTop="1" thickBot="1" x14ac:dyDescent="0.3">
      <c r="B23" s="18">
        <v>1</v>
      </c>
      <c r="C23" s="17">
        <v>-11</v>
      </c>
      <c r="D23" s="16">
        <v>11.85</v>
      </c>
      <c r="E23" s="16">
        <v>200.02</v>
      </c>
      <c r="F23" s="16">
        <f>E23-D23</f>
        <v>188.17000000000002</v>
      </c>
      <c r="G23" s="38">
        <v>176.49</v>
      </c>
      <c r="H23" s="15">
        <f>((F23-G23)/F23)</f>
        <v>6.207153106233728E-2</v>
      </c>
      <c r="I23" s="14">
        <v>69.84</v>
      </c>
      <c r="J23" s="14">
        <f>(I23/G23)</f>
        <v>0.39571647118816933</v>
      </c>
      <c r="K23" s="13">
        <v>89.41</v>
      </c>
      <c r="L23" s="13">
        <f>(K23/G23)</f>
        <v>0.5066009405632047</v>
      </c>
      <c r="M23" s="13">
        <f>G23-I23-K23</f>
        <v>17.240000000000009</v>
      </c>
      <c r="N23" s="13">
        <f>(M23/G23)*100</f>
        <v>9.7682588248626043</v>
      </c>
      <c r="P23" s="18">
        <v>3</v>
      </c>
      <c r="Q23" s="17">
        <v>-11</v>
      </c>
      <c r="R23" s="16">
        <v>11.95</v>
      </c>
      <c r="S23" s="16">
        <v>226.25</v>
      </c>
      <c r="T23" s="16">
        <f>S23-R23</f>
        <v>214.3</v>
      </c>
      <c r="U23" s="16">
        <v>201.64</v>
      </c>
      <c r="V23" s="15">
        <f>((T23-U23)/T23)</f>
        <v>5.9076061595893722E-2</v>
      </c>
      <c r="W23" s="14">
        <v>79.87</v>
      </c>
      <c r="X23" s="14">
        <f>(W23/U23)</f>
        <v>0.3961019638960524</v>
      </c>
      <c r="Y23" s="13">
        <v>107.79</v>
      </c>
      <c r="Z23" s="13">
        <f>(Y23/U23)</f>
        <v>0.53456655425510813</v>
      </c>
      <c r="AA23" s="13">
        <f>U23-W23-Y23</f>
        <v>13.979999999999976</v>
      </c>
      <c r="AB23" s="13">
        <f>(AA23/U23)*100</f>
        <v>6.9331481848839402</v>
      </c>
      <c r="AD23" s="18">
        <v>5</v>
      </c>
      <c r="AE23" s="17">
        <v>-11</v>
      </c>
      <c r="AF23" s="16">
        <v>11.94</v>
      </c>
      <c r="AG23" s="16">
        <v>190.2</v>
      </c>
      <c r="AH23" s="16">
        <f>AG23-AF23</f>
        <v>178.26</v>
      </c>
      <c r="AI23" s="16">
        <v>168.73</v>
      </c>
      <c r="AJ23" s="15">
        <f>((AH23-AI23)/AH23)</f>
        <v>5.3461236396275112E-2</v>
      </c>
      <c r="AK23" s="19" t="s">
        <v>216</v>
      </c>
      <c r="AL23" s="19"/>
      <c r="AM23" s="13">
        <v>91.81</v>
      </c>
      <c r="AN23" s="13">
        <f>(AM23/AI23)</f>
        <v>0.54412374799976293</v>
      </c>
      <c r="AO23" s="19"/>
      <c r="AP23" s="19"/>
      <c r="AR23" s="18">
        <v>7</v>
      </c>
      <c r="AS23" s="17">
        <v>-11</v>
      </c>
      <c r="AT23" s="16">
        <v>11.95</v>
      </c>
      <c r="AU23" s="16">
        <v>204.67</v>
      </c>
      <c r="AV23" s="16">
        <f>AU23-AT23</f>
        <v>192.72</v>
      </c>
      <c r="AW23" s="16">
        <v>184.02</v>
      </c>
      <c r="AX23" s="15">
        <f>((AV23-AW23)/AV23)</f>
        <v>4.5143212951432074E-2</v>
      </c>
      <c r="AY23" s="14">
        <v>71.81</v>
      </c>
      <c r="AZ23" s="14">
        <f>(AY23/AW23)</f>
        <v>0.39022932289968482</v>
      </c>
      <c r="BA23" s="13">
        <v>98.23</v>
      </c>
      <c r="BB23" s="13">
        <f>(BA23/AW23)</f>
        <v>0.53380067383980001</v>
      </c>
      <c r="BC23" s="13">
        <f>AW23-AY23-BA23</f>
        <v>13.980000000000004</v>
      </c>
      <c r="BD23" s="13">
        <f>(BC23/AW23)*100</f>
        <v>7.5970003260515178</v>
      </c>
      <c r="BF23" s="18">
        <v>9</v>
      </c>
      <c r="BG23" s="17">
        <v>-11</v>
      </c>
      <c r="BH23" s="16">
        <v>11.96</v>
      </c>
      <c r="BI23" s="16">
        <v>191.68</v>
      </c>
      <c r="BJ23" s="16">
        <f>BI23-BH23</f>
        <v>179.72</v>
      </c>
      <c r="BK23" s="16">
        <v>171.21</v>
      </c>
      <c r="BL23" s="15">
        <f>((BJ23-BK23)/BJ23)</f>
        <v>4.7351435566436631E-2</v>
      </c>
      <c r="BM23" s="14">
        <v>67.12</v>
      </c>
      <c r="BN23" s="14">
        <f>(BM23/BK23)</f>
        <v>0.39203317563226447</v>
      </c>
      <c r="BO23" s="13">
        <v>92.48</v>
      </c>
      <c r="BP23" s="13">
        <f>(BO23/BK23)</f>
        <v>0.54015536475673154</v>
      </c>
      <c r="BQ23" s="13">
        <f>BK23-BM23-BO23</f>
        <v>11.61</v>
      </c>
      <c r="BR23" s="13">
        <f>(BQ23/BK23)*100</f>
        <v>6.7811459611004032</v>
      </c>
      <c r="BT23" s="18">
        <v>11</v>
      </c>
      <c r="BU23" s="17">
        <v>-11</v>
      </c>
      <c r="BV23" s="16">
        <v>12.08</v>
      </c>
      <c r="BW23" s="16">
        <v>216.36</v>
      </c>
      <c r="BX23" s="16">
        <f>BW23-BV23</f>
        <v>204.28</v>
      </c>
      <c r="BY23" s="16">
        <v>194.69</v>
      </c>
      <c r="BZ23" s="15">
        <f>((BX23-BY23)/BX23)</f>
        <v>4.6945369101233619E-2</v>
      </c>
      <c r="CA23" s="14">
        <v>75.959999999999994</v>
      </c>
      <c r="CB23" s="14">
        <f>(CA23/BY23)</f>
        <v>0.39015871385279161</v>
      </c>
      <c r="CC23" s="13">
        <v>107.26</v>
      </c>
      <c r="CD23" s="13">
        <f>(CC23/BY23)</f>
        <v>0.5509271149006113</v>
      </c>
      <c r="CE23" s="13">
        <f>BY23-CA23-CC23</f>
        <v>11.469999999999999</v>
      </c>
      <c r="CF23" s="13">
        <f>(CE23/BY23)*100</f>
        <v>5.8914171246597142</v>
      </c>
    </row>
    <row r="24" spans="2:84" ht="25.15" customHeight="1" x14ac:dyDescent="0.25">
      <c r="B24" s="36"/>
      <c r="C24" s="35"/>
      <c r="D24" s="34"/>
      <c r="E24" s="34"/>
      <c r="F24" s="34"/>
      <c r="G24" s="34"/>
      <c r="H24" s="34"/>
      <c r="I24" s="34"/>
      <c r="J24" s="34"/>
      <c r="K24" s="34"/>
      <c r="L24" s="34"/>
      <c r="M24" s="34"/>
      <c r="N24" s="34"/>
      <c r="P24" s="36"/>
      <c r="Q24" s="35"/>
      <c r="R24" s="34"/>
      <c r="S24" s="34"/>
      <c r="T24" s="34"/>
      <c r="U24" s="34"/>
      <c r="V24" s="34"/>
      <c r="W24" s="34"/>
      <c r="X24" s="34"/>
      <c r="Y24" s="34"/>
      <c r="Z24" s="34"/>
      <c r="AA24" s="34"/>
      <c r="AB24" s="34"/>
      <c r="AD24" s="36"/>
      <c r="AE24" s="35"/>
      <c r="AF24" s="34"/>
      <c r="AG24" s="34"/>
      <c r="AH24" s="34"/>
      <c r="AI24" s="34"/>
      <c r="AJ24" s="34"/>
      <c r="AK24" s="37" t="s">
        <v>239</v>
      </c>
      <c r="AL24" s="37"/>
      <c r="AM24" s="34"/>
      <c r="AN24" s="34"/>
      <c r="AO24" s="34"/>
      <c r="AP24" s="34"/>
      <c r="AR24" s="36"/>
      <c r="AS24" s="35"/>
      <c r="AT24" s="34"/>
      <c r="AU24" s="34"/>
      <c r="AV24" s="34"/>
      <c r="AW24" s="34"/>
      <c r="AX24" s="34"/>
      <c r="AY24" s="34"/>
      <c r="AZ24" s="34"/>
      <c r="BA24" s="34"/>
      <c r="BB24" s="34"/>
      <c r="BC24" s="34"/>
      <c r="BD24" s="34"/>
      <c r="BF24" s="36"/>
      <c r="BG24" s="35"/>
      <c r="BH24" s="34"/>
      <c r="BI24" s="34"/>
      <c r="BJ24" s="34"/>
      <c r="BK24" s="34"/>
      <c r="BL24" s="34"/>
      <c r="BM24" s="34"/>
      <c r="BN24" s="34"/>
      <c r="BO24" s="34"/>
      <c r="BP24" s="34"/>
      <c r="BQ24" s="34"/>
      <c r="BR24" s="34"/>
      <c r="BT24" s="36"/>
      <c r="BU24" s="35"/>
      <c r="BV24" s="34"/>
      <c r="BW24" s="34"/>
      <c r="BX24" s="34"/>
      <c r="BY24" s="34"/>
      <c r="BZ24" s="34"/>
      <c r="CA24" s="34"/>
      <c r="CB24" s="34"/>
      <c r="CC24" s="34"/>
      <c r="CD24" s="34"/>
      <c r="CE24" s="34"/>
      <c r="CF24" s="34"/>
    </row>
    <row r="25" spans="2:84" ht="29.45" customHeight="1" x14ac:dyDescent="0.25">
      <c r="B25" s="30"/>
      <c r="C25" s="33" t="s">
        <v>238</v>
      </c>
      <c r="D25" s="32">
        <v>41950</v>
      </c>
      <c r="E25" s="30" t="s">
        <v>237</v>
      </c>
      <c r="F25" s="31" t="s">
        <v>236</v>
      </c>
      <c r="G25" s="30" t="s">
        <v>235</v>
      </c>
      <c r="H25" s="30"/>
      <c r="I25" s="29" t="s">
        <v>234</v>
      </c>
      <c r="J25" s="29"/>
      <c r="K25" s="28"/>
      <c r="L25" s="28"/>
      <c r="M25" s="28"/>
      <c r="N25" s="27"/>
      <c r="P25" s="30"/>
      <c r="Q25" s="33" t="s">
        <v>238</v>
      </c>
      <c r="R25" s="32">
        <v>41950</v>
      </c>
      <c r="S25" s="30" t="s">
        <v>237</v>
      </c>
      <c r="T25" s="31" t="s">
        <v>236</v>
      </c>
      <c r="U25" s="30" t="s">
        <v>235</v>
      </c>
      <c r="V25" s="30"/>
      <c r="W25" s="29" t="s">
        <v>234</v>
      </c>
      <c r="X25" s="29"/>
      <c r="Y25" s="28"/>
      <c r="Z25" s="28"/>
      <c r="AA25" s="28"/>
      <c r="AB25" s="27"/>
      <c r="AD25" s="30"/>
      <c r="AE25" s="33" t="s">
        <v>238</v>
      </c>
      <c r="AF25" s="32">
        <v>41950</v>
      </c>
      <c r="AG25" s="30" t="s">
        <v>237</v>
      </c>
      <c r="AH25" s="31" t="s">
        <v>236</v>
      </c>
      <c r="AI25" s="30" t="s">
        <v>235</v>
      </c>
      <c r="AJ25" s="30"/>
      <c r="AK25" s="29" t="s">
        <v>234</v>
      </c>
      <c r="AL25" s="29"/>
      <c r="AM25" s="28"/>
      <c r="AN25" s="28"/>
      <c r="AO25" s="28"/>
      <c r="AP25" s="27"/>
      <c r="AR25" s="30"/>
      <c r="AS25" s="33" t="s">
        <v>238</v>
      </c>
      <c r="AT25" s="32">
        <v>41950</v>
      </c>
      <c r="AU25" s="30" t="s">
        <v>237</v>
      </c>
      <c r="AV25" s="31" t="s">
        <v>236</v>
      </c>
      <c r="AW25" s="30" t="s">
        <v>235</v>
      </c>
      <c r="AX25" s="30"/>
      <c r="AY25" s="29" t="s">
        <v>234</v>
      </c>
      <c r="AZ25" s="29"/>
      <c r="BA25" s="28"/>
      <c r="BB25" s="28"/>
      <c r="BC25" s="28"/>
      <c r="BD25" s="27"/>
      <c r="BF25" s="30"/>
      <c r="BG25" s="33" t="s">
        <v>238</v>
      </c>
      <c r="BH25" s="32">
        <v>41950</v>
      </c>
      <c r="BI25" s="30" t="s">
        <v>237</v>
      </c>
      <c r="BJ25" s="31" t="s">
        <v>236</v>
      </c>
      <c r="BK25" s="30" t="s">
        <v>235</v>
      </c>
      <c r="BL25" s="30"/>
      <c r="BM25" s="29" t="s">
        <v>234</v>
      </c>
      <c r="BN25" s="29"/>
      <c r="BO25" s="28"/>
      <c r="BP25" s="28"/>
      <c r="BQ25" s="28"/>
      <c r="BR25" s="27"/>
    </row>
    <row r="26" spans="2:84" ht="25.15" customHeight="1" thickBot="1" x14ac:dyDescent="0.35">
      <c r="B26" s="26"/>
      <c r="D26" s="25"/>
      <c r="E26" s="22" t="s">
        <v>233</v>
      </c>
      <c r="F26" s="22" t="s">
        <v>233</v>
      </c>
      <c r="G26" s="25" t="s">
        <v>232</v>
      </c>
      <c r="H26" s="21" t="s">
        <v>231</v>
      </c>
      <c r="I26" s="24" t="s">
        <v>230</v>
      </c>
      <c r="J26" s="24"/>
      <c r="K26" s="24"/>
      <c r="L26" s="24"/>
      <c r="M26" s="24"/>
      <c r="N26" s="24"/>
      <c r="P26" s="26"/>
      <c r="R26" s="25"/>
      <c r="S26" s="22" t="s">
        <v>233</v>
      </c>
      <c r="T26" s="22" t="s">
        <v>233</v>
      </c>
      <c r="U26" s="25" t="s">
        <v>232</v>
      </c>
      <c r="V26" s="21" t="s">
        <v>231</v>
      </c>
      <c r="W26" s="24" t="s">
        <v>230</v>
      </c>
      <c r="X26" s="24"/>
      <c r="Y26" s="24"/>
      <c r="Z26" s="24"/>
      <c r="AA26" s="24"/>
      <c r="AB26" s="24"/>
      <c r="AD26" s="26"/>
      <c r="AF26" s="25"/>
      <c r="AG26" s="22" t="s">
        <v>233</v>
      </c>
      <c r="AH26" s="22" t="s">
        <v>233</v>
      </c>
      <c r="AI26" s="25" t="s">
        <v>232</v>
      </c>
      <c r="AJ26" s="21" t="s">
        <v>231</v>
      </c>
      <c r="AK26" s="24" t="s">
        <v>230</v>
      </c>
      <c r="AL26" s="24"/>
      <c r="AM26" s="24"/>
      <c r="AN26" s="24"/>
      <c r="AO26" s="24"/>
      <c r="AP26" s="24"/>
      <c r="AR26" s="26"/>
      <c r="AT26" s="25"/>
      <c r="AU26" s="22" t="s">
        <v>233</v>
      </c>
      <c r="AV26" s="22" t="s">
        <v>233</v>
      </c>
      <c r="AW26" s="25" t="s">
        <v>232</v>
      </c>
      <c r="AX26" s="21" t="s">
        <v>231</v>
      </c>
      <c r="AY26" s="24" t="s">
        <v>230</v>
      </c>
      <c r="AZ26" s="24"/>
      <c r="BA26" s="24"/>
      <c r="BB26" s="24"/>
      <c r="BC26" s="24"/>
      <c r="BD26" s="24"/>
      <c r="BF26" s="26"/>
      <c r="BH26" s="25"/>
      <c r="BI26" s="22" t="s">
        <v>233</v>
      </c>
      <c r="BJ26" s="22" t="s">
        <v>233</v>
      </c>
      <c r="BK26" s="25" t="s">
        <v>232</v>
      </c>
      <c r="BL26" s="21" t="s">
        <v>231</v>
      </c>
      <c r="BM26" s="24" t="s">
        <v>230</v>
      </c>
      <c r="BN26" s="24"/>
      <c r="BO26" s="24"/>
      <c r="BP26" s="24"/>
      <c r="BQ26" s="24"/>
      <c r="BR26" s="24"/>
    </row>
    <row r="27" spans="2:84" ht="30.6" customHeight="1" thickBot="1" x14ac:dyDescent="0.3">
      <c r="B27" s="23" t="s">
        <v>229</v>
      </c>
      <c r="C27" s="23" t="s">
        <v>228</v>
      </c>
      <c r="D27" s="22" t="s">
        <v>227</v>
      </c>
      <c r="E27" s="22" t="s">
        <v>226</v>
      </c>
      <c r="F27" s="22" t="s">
        <v>225</v>
      </c>
      <c r="G27" s="22" t="s">
        <v>224</v>
      </c>
      <c r="H27" s="21" t="s">
        <v>223</v>
      </c>
      <c r="I27" s="20" t="s">
        <v>222</v>
      </c>
      <c r="J27" s="20" t="s">
        <v>221</v>
      </c>
      <c r="K27" s="20" t="s">
        <v>220</v>
      </c>
      <c r="L27" s="20" t="s">
        <v>219</v>
      </c>
      <c r="M27" s="20" t="s">
        <v>218</v>
      </c>
      <c r="N27" s="20" t="s">
        <v>217</v>
      </c>
      <c r="P27" s="23" t="s">
        <v>229</v>
      </c>
      <c r="Q27" s="23" t="s">
        <v>228</v>
      </c>
      <c r="R27" s="22" t="s">
        <v>227</v>
      </c>
      <c r="S27" s="22" t="s">
        <v>226</v>
      </c>
      <c r="T27" s="22" t="s">
        <v>225</v>
      </c>
      <c r="U27" s="22" t="s">
        <v>224</v>
      </c>
      <c r="V27" s="21" t="s">
        <v>223</v>
      </c>
      <c r="W27" s="20" t="s">
        <v>222</v>
      </c>
      <c r="X27" s="20" t="s">
        <v>221</v>
      </c>
      <c r="Y27" s="20" t="s">
        <v>220</v>
      </c>
      <c r="Z27" s="20" t="s">
        <v>219</v>
      </c>
      <c r="AA27" s="20" t="s">
        <v>218</v>
      </c>
      <c r="AB27" s="20" t="s">
        <v>217</v>
      </c>
      <c r="AD27" s="23" t="s">
        <v>229</v>
      </c>
      <c r="AE27" s="23" t="s">
        <v>228</v>
      </c>
      <c r="AF27" s="22" t="s">
        <v>227</v>
      </c>
      <c r="AG27" s="22" t="s">
        <v>226</v>
      </c>
      <c r="AH27" s="22" t="s">
        <v>225</v>
      </c>
      <c r="AI27" s="22" t="s">
        <v>224</v>
      </c>
      <c r="AJ27" s="21" t="s">
        <v>223</v>
      </c>
      <c r="AK27" s="20" t="s">
        <v>222</v>
      </c>
      <c r="AL27" s="20" t="s">
        <v>221</v>
      </c>
      <c r="AM27" s="20" t="s">
        <v>220</v>
      </c>
      <c r="AN27" s="20" t="s">
        <v>219</v>
      </c>
      <c r="AO27" s="20" t="s">
        <v>218</v>
      </c>
      <c r="AP27" s="20" t="s">
        <v>217</v>
      </c>
      <c r="AR27" s="23" t="s">
        <v>229</v>
      </c>
      <c r="AS27" s="23" t="s">
        <v>228</v>
      </c>
      <c r="AT27" s="22" t="s">
        <v>227</v>
      </c>
      <c r="AU27" s="22" t="s">
        <v>226</v>
      </c>
      <c r="AV27" s="22" t="s">
        <v>225</v>
      </c>
      <c r="AW27" s="22" t="s">
        <v>224</v>
      </c>
      <c r="AX27" s="21" t="s">
        <v>223</v>
      </c>
      <c r="AY27" s="20" t="s">
        <v>222</v>
      </c>
      <c r="AZ27" s="14" t="e">
        <f>(AY27/AW27)*100</f>
        <v>#VALUE!</v>
      </c>
      <c r="BA27" s="20" t="s">
        <v>220</v>
      </c>
      <c r="BB27" s="20" t="s">
        <v>219</v>
      </c>
      <c r="BC27" s="20" t="s">
        <v>218</v>
      </c>
      <c r="BD27" s="20" t="s">
        <v>217</v>
      </c>
      <c r="BF27" s="23" t="s">
        <v>229</v>
      </c>
      <c r="BG27" s="23" t="s">
        <v>228</v>
      </c>
      <c r="BH27" s="22" t="s">
        <v>227</v>
      </c>
      <c r="BI27" s="22" t="s">
        <v>226</v>
      </c>
      <c r="BJ27" s="22" t="s">
        <v>225</v>
      </c>
      <c r="BK27" s="22" t="s">
        <v>224</v>
      </c>
      <c r="BL27" s="21" t="s">
        <v>223</v>
      </c>
      <c r="BM27" s="20" t="s">
        <v>222</v>
      </c>
      <c r="BN27" s="20" t="s">
        <v>221</v>
      </c>
      <c r="BO27" s="20" t="s">
        <v>220</v>
      </c>
      <c r="BP27" s="20" t="s">
        <v>219</v>
      </c>
      <c r="BQ27" s="20" t="s">
        <v>218</v>
      </c>
      <c r="BR27" s="20" t="s">
        <v>217</v>
      </c>
    </row>
    <row r="28" spans="2:84" ht="25.15" customHeight="1" thickTop="1" thickBot="1" x14ac:dyDescent="0.3">
      <c r="B28" s="18">
        <v>2</v>
      </c>
      <c r="C28" s="17">
        <v>-1</v>
      </c>
      <c r="D28" s="16">
        <v>11.91</v>
      </c>
      <c r="E28" s="16">
        <v>208.86</v>
      </c>
      <c r="F28" s="16">
        <f>E28-D28</f>
        <v>196.95000000000002</v>
      </c>
      <c r="G28" s="16">
        <v>185.65</v>
      </c>
      <c r="H28" s="15">
        <f>((F28-G28)/F28)</f>
        <v>5.7374968266057425E-2</v>
      </c>
      <c r="I28" s="14">
        <v>73.959999999999994</v>
      </c>
      <c r="J28" s="14">
        <f>(I28/G28)</f>
        <v>0.39838405601939131</v>
      </c>
      <c r="K28" s="13">
        <v>99.81</v>
      </c>
      <c r="L28" s="13">
        <f>(K28/G28)</f>
        <v>0.5376245623485052</v>
      </c>
      <c r="M28" s="13">
        <f>G28-I28-K28</f>
        <v>11.88000000000001</v>
      </c>
      <c r="N28" s="13">
        <f>(M28/G28)*100</f>
        <v>6.3991381632103463</v>
      </c>
      <c r="P28" s="18">
        <v>4</v>
      </c>
      <c r="Q28" s="17">
        <v>-1</v>
      </c>
      <c r="R28" s="16">
        <v>11.9</v>
      </c>
      <c r="S28" s="16">
        <v>192.31</v>
      </c>
      <c r="T28" s="16">
        <f>S28-R28</f>
        <v>180.41</v>
      </c>
      <c r="U28" s="16">
        <v>173.32</v>
      </c>
      <c r="V28" s="15">
        <f>((T28-U28)/T28)</f>
        <v>3.9299373648910833E-2</v>
      </c>
      <c r="W28" s="14">
        <v>71.78</v>
      </c>
      <c r="X28" s="14">
        <f>(W28/U28)</f>
        <v>0.41414724209554582</v>
      </c>
      <c r="Y28" s="13">
        <v>92.94</v>
      </c>
      <c r="Z28" s="13">
        <f>(Y28/U28)</f>
        <v>0.53623355642741755</v>
      </c>
      <c r="AA28" s="13">
        <f>U28-W28-Y28</f>
        <v>8.5999999999999943</v>
      </c>
      <c r="AB28" s="13">
        <f>(AA28/U28)*100</f>
        <v>4.9619201477036663</v>
      </c>
      <c r="AD28" s="18">
        <v>6</v>
      </c>
      <c r="AE28" s="17">
        <v>-1</v>
      </c>
      <c r="AF28" s="16">
        <v>11.95</v>
      </c>
      <c r="AG28" s="16">
        <v>198.12</v>
      </c>
      <c r="AH28" s="16">
        <f>AG28-AF28</f>
        <v>186.17000000000002</v>
      </c>
      <c r="AI28" s="16">
        <v>178.61</v>
      </c>
      <c r="AJ28" s="15">
        <f>((AH28-AI28)/AH28)</f>
        <v>4.0608046409195908E-2</v>
      </c>
      <c r="AK28" s="19" t="s">
        <v>216</v>
      </c>
      <c r="AL28" s="19"/>
      <c r="AM28" s="13">
        <v>97.84</v>
      </c>
      <c r="AN28" s="13">
        <f>(AM28/AI28)</f>
        <v>0.54778567829348856</v>
      </c>
      <c r="AO28" s="19"/>
      <c r="AP28" s="19"/>
      <c r="AR28" s="18">
        <v>8</v>
      </c>
      <c r="AS28" s="17">
        <v>-1</v>
      </c>
      <c r="AT28" s="16">
        <v>12.02</v>
      </c>
      <c r="AU28" s="16">
        <v>223.2</v>
      </c>
      <c r="AV28" s="16">
        <f>AU28-AT28</f>
        <v>211.17999999999998</v>
      </c>
      <c r="AW28" s="16">
        <v>200.86</v>
      </c>
      <c r="AX28" s="15">
        <f>((AV28-AW28)/AV28)</f>
        <v>4.8868264040155159E-2</v>
      </c>
      <c r="AY28" s="14">
        <v>80.680000000000007</v>
      </c>
      <c r="AZ28" s="14">
        <f>(AY28/AW28)</f>
        <v>0.40167280693020013</v>
      </c>
      <c r="BA28" s="13">
        <v>109.88</v>
      </c>
      <c r="BB28" s="13">
        <f>(BA28/AW28)</f>
        <v>0.54704769491187888</v>
      </c>
      <c r="BC28" s="13">
        <f>AW28-AY28-BA28</f>
        <v>10.300000000000011</v>
      </c>
      <c r="BD28" s="13">
        <f>(BC28/AW28)*100</f>
        <v>5.1279498157920997</v>
      </c>
      <c r="BF28" s="18">
        <v>10</v>
      </c>
      <c r="BG28" s="17">
        <v>-1</v>
      </c>
      <c r="BH28" s="16">
        <v>12</v>
      </c>
      <c r="BI28" s="16">
        <v>182.56</v>
      </c>
      <c r="BJ28" s="16">
        <f>BI28-BH28</f>
        <v>170.56</v>
      </c>
      <c r="BK28" s="16">
        <v>162.96</v>
      </c>
      <c r="BL28" s="15">
        <f>((BJ28-BK28)/BJ28)</f>
        <v>4.4559099437148184E-2</v>
      </c>
      <c r="BM28" s="14">
        <v>67.37</v>
      </c>
      <c r="BN28" s="14">
        <f>(BM28/BK28)</f>
        <v>0.41341433480608741</v>
      </c>
      <c r="BO28" s="13">
        <v>89.44</v>
      </c>
      <c r="BP28" s="13">
        <f>(BO28/BK28)</f>
        <v>0.54884634266077559</v>
      </c>
      <c r="BQ28" s="13">
        <f>BK28-BM28-BO28</f>
        <v>6.1500000000000057</v>
      </c>
      <c r="BR28" s="13">
        <f>(BQ28/BK28)*100</f>
        <v>3.7739322533137001</v>
      </c>
    </row>
    <row r="29" spans="2:84" ht="25.15" customHeight="1" thickTop="1" thickBot="1" x14ac:dyDescent="0.3">
      <c r="B29" s="18">
        <v>2</v>
      </c>
      <c r="C29" s="17">
        <v>-2</v>
      </c>
      <c r="D29" s="16">
        <v>11.93</v>
      </c>
      <c r="E29" s="16">
        <v>212.84</v>
      </c>
      <c r="F29" s="16">
        <f>E29-D29</f>
        <v>200.91</v>
      </c>
      <c r="G29" s="16">
        <v>187.76</v>
      </c>
      <c r="H29" s="15">
        <f>((F29-G29)/F29)</f>
        <v>6.5452192524015754E-2</v>
      </c>
      <c r="I29" s="14">
        <v>74.25</v>
      </c>
      <c r="J29" s="14">
        <f>(I29/G29)</f>
        <v>0.39545164039198977</v>
      </c>
      <c r="K29" s="13">
        <v>99.44</v>
      </c>
      <c r="L29" s="13">
        <f>(K29/G29)</f>
        <v>0.52961227098423524</v>
      </c>
      <c r="M29" s="13">
        <f>G29-I29-K29</f>
        <v>14.069999999999993</v>
      </c>
      <c r="N29" s="13">
        <f>(M29/G29)*100</f>
        <v>7.4936088623775001</v>
      </c>
      <c r="P29" s="18">
        <v>4</v>
      </c>
      <c r="Q29" s="17">
        <v>-2</v>
      </c>
      <c r="R29" s="16">
        <v>11.89</v>
      </c>
      <c r="S29" s="16">
        <v>224.83</v>
      </c>
      <c r="T29" s="16">
        <f>S29-R29</f>
        <v>212.94</v>
      </c>
      <c r="U29" s="16">
        <v>202.83</v>
      </c>
      <c r="V29" s="15">
        <f>((T29-U29)/T29)</f>
        <v>4.747816286277818E-2</v>
      </c>
      <c r="W29" s="14">
        <v>80.48</v>
      </c>
      <c r="X29" s="14">
        <f>(W29/U29)</f>
        <v>0.39678548538184688</v>
      </c>
      <c r="Y29" s="13">
        <v>110.88</v>
      </c>
      <c r="Z29" s="13">
        <f>(Y29/U29)</f>
        <v>0.54666469457180888</v>
      </c>
      <c r="AA29" s="13">
        <f>U29-W29-Y29</f>
        <v>11.470000000000013</v>
      </c>
      <c r="AB29" s="13">
        <f>(AA29/U29)*100</f>
        <v>5.6549820046344292</v>
      </c>
      <c r="AD29" s="18">
        <v>6</v>
      </c>
      <c r="AE29" s="17">
        <v>-2</v>
      </c>
      <c r="AF29" s="16">
        <v>11.88</v>
      </c>
      <c r="AG29" s="16">
        <v>214.25</v>
      </c>
      <c r="AH29" s="16">
        <f>AG29-AF29</f>
        <v>202.37</v>
      </c>
      <c r="AI29" s="16">
        <v>191.99</v>
      </c>
      <c r="AJ29" s="15">
        <f>((AH29-AI29)/AH29)</f>
        <v>5.129218757721004E-2</v>
      </c>
      <c r="AK29" s="14">
        <v>78.16</v>
      </c>
      <c r="AL29" s="14">
        <f>(AK29/AI29)</f>
        <v>0.40710453669461949</v>
      </c>
      <c r="AM29" s="13">
        <v>102.03</v>
      </c>
      <c r="AN29" s="13">
        <f>(AM29/AI29)</f>
        <v>0.53143392885046092</v>
      </c>
      <c r="AO29" s="13">
        <f>AI29-AK29-AM29</f>
        <v>11.800000000000011</v>
      </c>
      <c r="AP29" s="13">
        <f>(AO29/AI29)*100</f>
        <v>6.1461534454919589</v>
      </c>
      <c r="AR29" s="18">
        <v>8</v>
      </c>
      <c r="AS29" s="17">
        <v>-2</v>
      </c>
      <c r="AT29" s="16">
        <v>11.94</v>
      </c>
      <c r="AU29" s="16">
        <v>217.17</v>
      </c>
      <c r="AV29" s="16">
        <f>AU29-AT29</f>
        <v>205.23</v>
      </c>
      <c r="AW29" s="16">
        <v>195.25</v>
      </c>
      <c r="AX29" s="15">
        <f>((AV29-AW29)/AV29)</f>
        <v>4.8628368172294455E-2</v>
      </c>
      <c r="AY29" s="14">
        <v>76.760000000000005</v>
      </c>
      <c r="AZ29" s="14">
        <f>(AY29/AW29)</f>
        <v>0.39313700384122924</v>
      </c>
      <c r="BA29" s="13">
        <v>104.33</v>
      </c>
      <c r="BB29" s="13">
        <f>(BA29/AW29)</f>
        <v>0.53434058898847625</v>
      </c>
      <c r="BC29" s="13">
        <f>AW29-AY29-BA29</f>
        <v>14.159999999999997</v>
      </c>
      <c r="BD29" s="13">
        <f>(BC29/AW29)*100</f>
        <v>7.2522407170294469</v>
      </c>
      <c r="BF29" s="18">
        <v>10</v>
      </c>
      <c r="BG29" s="17">
        <v>-2</v>
      </c>
      <c r="BH29" s="16">
        <v>11.93</v>
      </c>
      <c r="BI29" s="16">
        <v>206.96</v>
      </c>
      <c r="BJ29" s="16">
        <f>BI29-BH29</f>
        <v>195.03</v>
      </c>
      <c r="BK29" s="16">
        <v>186.93</v>
      </c>
      <c r="BL29" s="15">
        <f>((BJ29-BK29)/BJ29)</f>
        <v>4.1532071988924751E-2</v>
      </c>
      <c r="BM29" s="14">
        <v>71.23</v>
      </c>
      <c r="BN29" s="14">
        <f>(BM29/BK29)</f>
        <v>0.38105173059434011</v>
      </c>
      <c r="BO29" s="13">
        <v>100.83</v>
      </c>
      <c r="BP29" s="13">
        <f>(BO29/BK29)</f>
        <v>0.53939977531696359</v>
      </c>
      <c r="BQ29" s="13">
        <f>BK29-BM29-BO29</f>
        <v>14.870000000000005</v>
      </c>
      <c r="BR29" s="13">
        <f>(BQ29/BK29)*100</f>
        <v>7.9548494088696327</v>
      </c>
    </row>
    <row r="30" spans="2:84" ht="25.15" customHeight="1" thickTop="1" thickBot="1" x14ac:dyDescent="0.3">
      <c r="B30" s="18">
        <v>2</v>
      </c>
      <c r="C30" s="17">
        <v>-3</v>
      </c>
      <c r="D30" s="16">
        <v>11.88</v>
      </c>
      <c r="E30" s="16">
        <v>233.28</v>
      </c>
      <c r="F30" s="16">
        <f>E30-D30</f>
        <v>221.4</v>
      </c>
      <c r="G30" s="16">
        <v>209.33</v>
      </c>
      <c r="H30" s="15">
        <f>((F30-G30)/F30)</f>
        <v>5.4516711833784974E-2</v>
      </c>
      <c r="I30" s="14">
        <v>82.43</v>
      </c>
      <c r="J30" s="14">
        <f>(I30/G30)</f>
        <v>0.39378015573496394</v>
      </c>
      <c r="K30" s="13">
        <v>111.18</v>
      </c>
      <c r="L30" s="13">
        <f>(K30/G30)</f>
        <v>0.53112310705584487</v>
      </c>
      <c r="M30" s="13">
        <f>G30-I30-K30</f>
        <v>15.719999999999999</v>
      </c>
      <c r="N30" s="13">
        <f>(M30/G30)*100</f>
        <v>7.509673720919122</v>
      </c>
      <c r="P30" s="18">
        <v>4</v>
      </c>
      <c r="Q30" s="17">
        <v>-3</v>
      </c>
      <c r="R30" s="16">
        <v>11.99</v>
      </c>
      <c r="S30" s="16">
        <v>194.57</v>
      </c>
      <c r="T30" s="16">
        <f>S30-R30</f>
        <v>182.57999999999998</v>
      </c>
      <c r="U30" s="16">
        <v>173.2</v>
      </c>
      <c r="V30" s="15">
        <f>((T30-U30)/T30)</f>
        <v>5.1374739840070086E-2</v>
      </c>
      <c r="W30" s="14">
        <v>69.58</v>
      </c>
      <c r="X30" s="14">
        <f>(W30/U30)</f>
        <v>0.4017321016166282</v>
      </c>
      <c r="Y30" s="13">
        <v>95.89</v>
      </c>
      <c r="Z30" s="13">
        <f>(Y30/U30)</f>
        <v>0.55363741339491923</v>
      </c>
      <c r="AA30" s="13">
        <f>U30-W30-Y30</f>
        <v>7.7299999999999898</v>
      </c>
      <c r="AB30" s="13">
        <f>(AA30/U30)*100</f>
        <v>4.4630484988452599</v>
      </c>
      <c r="AD30" s="18">
        <v>6</v>
      </c>
      <c r="AE30" s="17">
        <v>-3</v>
      </c>
      <c r="AF30" s="16">
        <v>11.96</v>
      </c>
      <c r="AG30" s="16">
        <v>236.89</v>
      </c>
      <c r="AH30" s="16">
        <f>AG30-AF30</f>
        <v>224.92999999999998</v>
      </c>
      <c r="AI30" s="16">
        <v>212.87</v>
      </c>
      <c r="AJ30" s="15">
        <f>((AH30-AI30)/AH30)</f>
        <v>5.361668074512059E-2</v>
      </c>
      <c r="AK30" s="14">
        <v>84.87</v>
      </c>
      <c r="AL30" s="14">
        <f>(AK30/AI30)</f>
        <v>0.39869403861511721</v>
      </c>
      <c r="AM30" s="13">
        <v>114.68</v>
      </c>
      <c r="AN30" s="13">
        <f>(AM30/AI30)</f>
        <v>0.53873255977826839</v>
      </c>
      <c r="AO30" s="13">
        <f>AI30-AK30-AM30</f>
        <v>13.319999999999993</v>
      </c>
      <c r="AP30" s="13">
        <f>(AO30/AI30)*100</f>
        <v>6.2573401606614327</v>
      </c>
      <c r="AR30" s="18">
        <v>8</v>
      </c>
      <c r="AS30" s="17">
        <v>-3</v>
      </c>
      <c r="AT30" s="16">
        <v>11.96</v>
      </c>
      <c r="AU30" s="16">
        <v>220.67</v>
      </c>
      <c r="AV30" s="16">
        <f>AU30-AT30</f>
        <v>208.70999999999998</v>
      </c>
      <c r="AW30" s="16">
        <v>197.26</v>
      </c>
      <c r="AX30" s="15">
        <f>((AV30-AW30)/AV30)</f>
        <v>5.486081165253217E-2</v>
      </c>
      <c r="AY30" s="14">
        <v>76.88</v>
      </c>
      <c r="AZ30" s="14">
        <f>(AY30/AW30)</f>
        <v>0.38973943019365304</v>
      </c>
      <c r="BA30" s="13">
        <v>104.57</v>
      </c>
      <c r="BB30" s="13">
        <f>(BA30/AW30)</f>
        <v>0.53011254182297474</v>
      </c>
      <c r="BC30" s="13">
        <f>AW30-AY30-BA30</f>
        <v>15.810000000000002</v>
      </c>
      <c r="BD30" s="13">
        <f>(BC30/AW30)*100</f>
        <v>8.0148027983372216</v>
      </c>
      <c r="BF30" s="18">
        <v>10</v>
      </c>
      <c r="BG30" s="17">
        <v>-3</v>
      </c>
      <c r="BH30" s="16">
        <v>12</v>
      </c>
      <c r="BI30" s="16">
        <v>235.54</v>
      </c>
      <c r="BJ30" s="16">
        <f>BI30-BH30</f>
        <v>223.54</v>
      </c>
      <c r="BK30" s="16">
        <v>212.75</v>
      </c>
      <c r="BL30" s="15">
        <f>((BJ30-BK30)/BJ30)</f>
        <v>4.8268766216337085E-2</v>
      </c>
      <c r="BM30" s="14">
        <v>84.5</v>
      </c>
      <c r="BN30" s="14">
        <f>(BM30/BK30)</f>
        <v>0.39717978848413632</v>
      </c>
      <c r="BO30" s="13">
        <v>115.83</v>
      </c>
      <c r="BP30" s="13">
        <f>(BO30/BK30)</f>
        <v>0.54444183313748529</v>
      </c>
      <c r="BQ30" s="13">
        <f>BK30-BM30-BO30</f>
        <v>12.420000000000002</v>
      </c>
      <c r="BR30" s="13">
        <f>(BQ30/BK30)*100</f>
        <v>5.8378378378378386</v>
      </c>
    </row>
    <row r="31" spans="2:84" ht="25.15" customHeight="1" thickTop="1" thickBot="1" x14ac:dyDescent="0.3">
      <c r="B31" s="18">
        <v>2</v>
      </c>
      <c r="C31" s="17">
        <v>-4</v>
      </c>
      <c r="D31" s="16">
        <v>11.88</v>
      </c>
      <c r="E31" s="16">
        <v>199.85</v>
      </c>
      <c r="F31" s="16">
        <f>E31-D31</f>
        <v>187.97</v>
      </c>
      <c r="G31" s="16">
        <v>177.53</v>
      </c>
      <c r="H31" s="15">
        <f>((F31-G31)/F31)</f>
        <v>5.5540777783688877E-2</v>
      </c>
      <c r="I31" s="14">
        <v>70.66</v>
      </c>
      <c r="J31" s="14">
        <f>(I31/G31)</f>
        <v>0.39801723652340448</v>
      </c>
      <c r="K31" s="13">
        <v>95.69</v>
      </c>
      <c r="L31" s="13">
        <f>(K31/G31)</f>
        <v>0.53900749169154505</v>
      </c>
      <c r="M31" s="13">
        <f>G31-I31-K31</f>
        <v>11.180000000000007</v>
      </c>
      <c r="N31" s="13">
        <f>(M31/G31)*100</f>
        <v>6.2975271785050451</v>
      </c>
      <c r="P31" s="18">
        <v>4</v>
      </c>
      <c r="Q31" s="17">
        <v>-4</v>
      </c>
      <c r="R31" s="16">
        <v>11.9</v>
      </c>
      <c r="S31" s="16">
        <v>212.44</v>
      </c>
      <c r="T31" s="16">
        <f>S31-R31</f>
        <v>200.54</v>
      </c>
      <c r="U31" s="16">
        <v>189.58</v>
      </c>
      <c r="V31" s="15">
        <f>((T31-U31)/T31)</f>
        <v>5.4652438416275956E-2</v>
      </c>
      <c r="W31" s="14">
        <v>77.349999999999994</v>
      </c>
      <c r="X31" s="14">
        <f>(W31/U31)</f>
        <v>0.4080071737525055</v>
      </c>
      <c r="Y31" s="13">
        <v>104.39</v>
      </c>
      <c r="Z31" s="13">
        <f>(Y31/U31)</f>
        <v>0.55063825298027214</v>
      </c>
      <c r="AA31" s="13">
        <f>U31-W31-Y31</f>
        <v>7.8400000000000176</v>
      </c>
      <c r="AB31" s="13">
        <f>(AA31/U31)*100</f>
        <v>4.1354573267222365</v>
      </c>
      <c r="AD31" s="18">
        <v>6</v>
      </c>
      <c r="AE31" s="17">
        <v>-4</v>
      </c>
      <c r="AF31" s="16">
        <v>11.84</v>
      </c>
      <c r="AG31" s="16">
        <v>220.85</v>
      </c>
      <c r="AH31" s="16">
        <f>AG31-AF31</f>
        <v>209.01</v>
      </c>
      <c r="AI31" s="16">
        <v>198.07</v>
      </c>
      <c r="AJ31" s="15">
        <f>((AH31-AI31)/AH31)</f>
        <v>5.2341993206066688E-2</v>
      </c>
      <c r="AK31" s="14">
        <v>83.41</v>
      </c>
      <c r="AL31" s="14">
        <f>(AK31/AI31)</f>
        <v>0.42111374766496695</v>
      </c>
      <c r="AM31" s="13">
        <v>107.37</v>
      </c>
      <c r="AN31" s="13">
        <f>(AM31/AI31)</f>
        <v>0.54208108244560005</v>
      </c>
      <c r="AO31" s="13">
        <f>AI31-AK31-AM31</f>
        <v>7.289999999999992</v>
      </c>
      <c r="AP31" s="13">
        <f>(AO31/AI31)*100</f>
        <v>3.6805169889432992</v>
      </c>
      <c r="AR31" s="18">
        <v>8</v>
      </c>
      <c r="AS31" s="17">
        <v>-4</v>
      </c>
      <c r="AT31" s="16">
        <v>11.89</v>
      </c>
      <c r="AU31" s="16">
        <v>221.41</v>
      </c>
      <c r="AV31" s="16">
        <f>AU31-AT31</f>
        <v>209.51999999999998</v>
      </c>
      <c r="AW31" s="16">
        <v>198.26</v>
      </c>
      <c r="AX31" s="15">
        <f>((AV31-AW31)/AV31)</f>
        <v>5.3741886216112984E-2</v>
      </c>
      <c r="AY31" s="14">
        <v>78.709999999999994</v>
      </c>
      <c r="AZ31" s="14">
        <f>(AY31/AW31)</f>
        <v>0.39700393422778169</v>
      </c>
      <c r="BA31" s="13">
        <v>108.56</v>
      </c>
      <c r="BB31" s="13">
        <f>(BA31/AW31)</f>
        <v>0.54756380510440839</v>
      </c>
      <c r="BC31" s="13">
        <f>AW31-AY31-BA31</f>
        <v>10.989999999999995</v>
      </c>
      <c r="BD31" s="13">
        <f>(BC31/AW31)*100</f>
        <v>5.5432260667809921</v>
      </c>
      <c r="BF31" s="18">
        <v>10</v>
      </c>
      <c r="BG31" s="17">
        <v>-4</v>
      </c>
      <c r="BH31" s="16">
        <v>11.96</v>
      </c>
      <c r="BI31" s="16">
        <v>202.26</v>
      </c>
      <c r="BJ31" s="16">
        <f>BI31-BH31</f>
        <v>190.29999999999998</v>
      </c>
      <c r="BK31" s="16">
        <v>181.56</v>
      </c>
      <c r="BL31" s="15">
        <f>((BJ31-BK31)/BJ31)</f>
        <v>4.5927482921702477E-2</v>
      </c>
      <c r="BM31" s="14">
        <v>73.09</v>
      </c>
      <c r="BN31" s="14">
        <f>(BM31/BK31)</f>
        <v>0.40256664463538228</v>
      </c>
      <c r="BO31" s="13">
        <v>99.48</v>
      </c>
      <c r="BP31" s="13">
        <f>(BO31/BK31)</f>
        <v>0.54791804362194318</v>
      </c>
      <c r="BQ31" s="13">
        <f>BK31-BM31-BO31</f>
        <v>8.9899999999999949</v>
      </c>
      <c r="BR31" s="13">
        <f>(BQ31/BK31)*100</f>
        <v>4.9515311742674566</v>
      </c>
    </row>
    <row r="32" spans="2:84" ht="25.15" customHeight="1" thickTop="1" thickBot="1" x14ac:dyDescent="0.3">
      <c r="B32" s="18">
        <v>2</v>
      </c>
      <c r="C32" s="17">
        <v>-5</v>
      </c>
      <c r="D32" s="16">
        <v>11.94</v>
      </c>
      <c r="E32" s="16">
        <v>241.44</v>
      </c>
      <c r="F32" s="16">
        <f>E32-D32</f>
        <v>229.5</v>
      </c>
      <c r="G32" s="16">
        <v>218.1</v>
      </c>
      <c r="H32" s="15">
        <f>((F32-G32)/F32)</f>
        <v>4.967320261437911E-2</v>
      </c>
      <c r="I32" s="14">
        <v>84.42</v>
      </c>
      <c r="J32" s="14">
        <f>(I32/G32)</f>
        <v>0.38707015130674005</v>
      </c>
      <c r="K32" s="13">
        <v>116.1</v>
      </c>
      <c r="L32" s="13">
        <f>(K32/G32)</f>
        <v>0.53232462173314987</v>
      </c>
      <c r="M32" s="13">
        <f>G32-I32-K32</f>
        <v>17.580000000000013</v>
      </c>
      <c r="N32" s="13">
        <f>(M32/G32)*100</f>
        <v>8.0605226960110112</v>
      </c>
      <c r="P32" s="18">
        <v>4</v>
      </c>
      <c r="Q32" s="17">
        <v>-5</v>
      </c>
      <c r="R32" s="16">
        <v>11.81</v>
      </c>
      <c r="S32" s="16">
        <v>220.18</v>
      </c>
      <c r="T32" s="16">
        <f>S32-R32</f>
        <v>208.37</v>
      </c>
      <c r="U32" s="16">
        <v>198.3</v>
      </c>
      <c r="V32" s="15">
        <f>((T32-U32)/T32)</f>
        <v>4.8327494360992429E-2</v>
      </c>
      <c r="W32" s="14">
        <v>77.67</v>
      </c>
      <c r="X32" s="14">
        <f>(W32/U32)</f>
        <v>0.39167927382753404</v>
      </c>
      <c r="Y32" s="13">
        <v>107.12</v>
      </c>
      <c r="Z32" s="13">
        <f>(Y32/U32)</f>
        <v>0.54019162884518401</v>
      </c>
      <c r="AA32" s="13">
        <f>U32-W32-Y32</f>
        <v>13.510000000000005</v>
      </c>
      <c r="AB32" s="13">
        <f>(AA32/U32)*100</f>
        <v>6.8129097327281922</v>
      </c>
      <c r="AD32" s="18">
        <v>6</v>
      </c>
      <c r="AE32" s="17">
        <v>-5</v>
      </c>
      <c r="AF32" s="16">
        <v>11.98</v>
      </c>
      <c r="AG32" s="16">
        <v>222.61</v>
      </c>
      <c r="AH32" s="16">
        <f>AG32-AF32</f>
        <v>210.63000000000002</v>
      </c>
      <c r="AI32" s="16">
        <v>200.74</v>
      </c>
      <c r="AJ32" s="15">
        <f>((AH32-AI32)/AH32)</f>
        <v>4.695437497032718E-2</v>
      </c>
      <c r="AK32" s="14">
        <v>80.400000000000006</v>
      </c>
      <c r="AL32" s="14">
        <f>(AK32/AI32)</f>
        <v>0.40051808309255754</v>
      </c>
      <c r="AM32" s="13">
        <v>108.25</v>
      </c>
      <c r="AN32" s="13">
        <f>(AM32/AI32)</f>
        <v>0.53925475739762874</v>
      </c>
      <c r="AO32" s="13">
        <f>AI32-AK32-AM32</f>
        <v>12.090000000000003</v>
      </c>
      <c r="AP32" s="13">
        <f>(AO32/AI32)*100</f>
        <v>6.0227159509813699</v>
      </c>
      <c r="AR32" s="18">
        <v>8</v>
      </c>
      <c r="AS32" s="17">
        <v>-5</v>
      </c>
      <c r="AT32" s="16">
        <v>12.03</v>
      </c>
      <c r="AU32" s="16">
        <v>269.33</v>
      </c>
      <c r="AV32" s="16">
        <f>AU32-AT32</f>
        <v>257.3</v>
      </c>
      <c r="AW32" s="16">
        <v>244.57</v>
      </c>
      <c r="AX32" s="15">
        <f>((AV32-AW32)/AV32)</f>
        <v>4.9475320637388333E-2</v>
      </c>
      <c r="AY32" s="14">
        <v>98.45</v>
      </c>
      <c r="AZ32" s="14">
        <f>(AY32/AW32)</f>
        <v>0.40254323915443435</v>
      </c>
      <c r="BA32" s="13">
        <v>133.59</v>
      </c>
      <c r="BB32" s="13">
        <f>(BA32/AW32)</f>
        <v>0.54622398495318314</v>
      </c>
      <c r="BC32" s="13">
        <f>AW32-AY32-BA32</f>
        <v>12.530000000000001</v>
      </c>
      <c r="BD32" s="13">
        <f>(BC32/AW32)*100</f>
        <v>5.1232775892382554</v>
      </c>
      <c r="BF32" s="18">
        <v>10</v>
      </c>
      <c r="BG32" s="17">
        <v>-5</v>
      </c>
      <c r="BH32" s="16">
        <v>11.91</v>
      </c>
      <c r="BI32" s="16">
        <v>256</v>
      </c>
      <c r="BJ32" s="16">
        <f>BI32-BH32</f>
        <v>244.09</v>
      </c>
      <c r="BK32" s="16">
        <v>232.66</v>
      </c>
      <c r="BL32" s="15">
        <f>((BJ32-BK32)/BJ32)</f>
        <v>4.6826990044655688E-2</v>
      </c>
      <c r="BM32" s="14">
        <v>93.73</v>
      </c>
      <c r="BN32" s="14">
        <f>(BM32/BK32)</f>
        <v>0.40286254620476236</v>
      </c>
      <c r="BO32" s="13">
        <v>127.58</v>
      </c>
      <c r="BP32" s="13">
        <f>(BO32/BK32)</f>
        <v>0.54835382102639041</v>
      </c>
      <c r="BQ32" s="13">
        <f>BK32-BM32-BO32</f>
        <v>11.350000000000009</v>
      </c>
      <c r="BR32" s="13">
        <f>(BQ32/BK32)*100</f>
        <v>4.8783632768847287</v>
      </c>
    </row>
    <row r="33" spans="2:70" ht="25.15" customHeight="1" thickTop="1" thickBot="1" x14ac:dyDescent="0.3">
      <c r="B33" s="18">
        <v>2</v>
      </c>
      <c r="C33" s="17">
        <v>-6</v>
      </c>
      <c r="D33" s="16">
        <v>11.88</v>
      </c>
      <c r="E33" s="16">
        <v>208.98</v>
      </c>
      <c r="F33" s="16">
        <f>E33-D33</f>
        <v>197.1</v>
      </c>
      <c r="G33" s="16">
        <v>185.85</v>
      </c>
      <c r="H33" s="15">
        <f>((F33-G33)/F33)</f>
        <v>5.7077625570776259E-2</v>
      </c>
      <c r="I33" s="14">
        <v>76.3</v>
      </c>
      <c r="J33" s="14">
        <f>(I33/G33)</f>
        <v>0.41054613935969869</v>
      </c>
      <c r="K33" s="13">
        <v>97.78</v>
      </c>
      <c r="L33" s="13">
        <f>(K33/G33)</f>
        <v>0.52612321764864145</v>
      </c>
      <c r="M33" s="13">
        <f>G33-I33-K33</f>
        <v>11.769999999999996</v>
      </c>
      <c r="N33" s="13">
        <f>(M33/G33)*100</f>
        <v>6.3330642991659927</v>
      </c>
      <c r="P33" s="18">
        <v>4</v>
      </c>
      <c r="Q33" s="17">
        <v>-6</v>
      </c>
      <c r="R33" s="16">
        <v>12.03</v>
      </c>
      <c r="S33" s="16">
        <v>242.48</v>
      </c>
      <c r="T33" s="16">
        <f>S33-R33</f>
        <v>230.45</v>
      </c>
      <c r="U33" s="16">
        <v>217.72</v>
      </c>
      <c r="V33" s="15">
        <f>((T33-U33)/T33)</f>
        <v>5.5239748318507226E-2</v>
      </c>
      <c r="W33" s="14">
        <v>91.29</v>
      </c>
      <c r="X33" s="14">
        <f>(W33/U33)</f>
        <v>0.41930001837222125</v>
      </c>
      <c r="Y33" s="13">
        <v>117.45</v>
      </c>
      <c r="Z33" s="13">
        <f>(Y33/U33)</f>
        <v>0.5394543450303142</v>
      </c>
      <c r="AA33" s="13">
        <f>U33-W33-Y33</f>
        <v>8.9799999999999898</v>
      </c>
      <c r="AB33" s="13">
        <f>(AA33/U33)*100</f>
        <v>4.1245636597464586</v>
      </c>
      <c r="AD33" s="18">
        <v>6</v>
      </c>
      <c r="AE33" s="17">
        <v>-6</v>
      </c>
      <c r="AF33" s="16">
        <v>11.93</v>
      </c>
      <c r="AG33" s="16">
        <v>203.66</v>
      </c>
      <c r="AH33" s="16">
        <f>AG33-AF33</f>
        <v>191.73</v>
      </c>
      <c r="AI33" s="16">
        <v>181.88</v>
      </c>
      <c r="AJ33" s="15">
        <f>((AH33-AI33)/AH33)</f>
        <v>5.1374328482762188E-2</v>
      </c>
      <c r="AK33" s="14">
        <v>75.56</v>
      </c>
      <c r="AL33" s="14">
        <f>(AK33/AI33)</f>
        <v>0.41543875082471959</v>
      </c>
      <c r="AM33" s="13">
        <v>100.06</v>
      </c>
      <c r="AN33" s="13">
        <f>(AM33/AI33)</f>
        <v>0.55014295139652525</v>
      </c>
      <c r="AO33" s="13">
        <f>AI33-AK33-AM33</f>
        <v>6.2599999999999909</v>
      </c>
      <c r="AP33" s="13">
        <f>(AO33/AI33)*100</f>
        <v>3.4418297778755171</v>
      </c>
      <c r="AR33" s="18">
        <v>8</v>
      </c>
      <c r="AS33" s="17">
        <v>-6</v>
      </c>
      <c r="AT33" s="16">
        <v>11.98</v>
      </c>
      <c r="AU33" s="16">
        <v>224.07</v>
      </c>
      <c r="AV33" s="16">
        <f>AU33-AT33</f>
        <v>212.09</v>
      </c>
      <c r="AW33" s="16">
        <v>199.75</v>
      </c>
      <c r="AX33" s="15">
        <f>((AV33-AW33)/AV33)</f>
        <v>5.8182846904615983E-2</v>
      </c>
      <c r="AY33" s="14">
        <v>80.06</v>
      </c>
      <c r="AZ33" s="14">
        <f>(AY33/AW33)</f>
        <v>0.40080100125156448</v>
      </c>
      <c r="BA33" s="13">
        <v>108.23</v>
      </c>
      <c r="BB33" s="13">
        <f>(BA33/AW33)</f>
        <v>0.54182728410513148</v>
      </c>
      <c r="BC33" s="13">
        <f>AW33-AY33-BA33</f>
        <v>11.459999999999994</v>
      </c>
      <c r="BD33" s="13">
        <f>(BC33/AW33)*100</f>
        <v>5.7371714643304106</v>
      </c>
      <c r="BF33" s="18">
        <v>10</v>
      </c>
      <c r="BG33" s="17">
        <v>-6</v>
      </c>
      <c r="BH33" s="16">
        <v>11.84</v>
      </c>
      <c r="BI33" s="16">
        <v>226.39</v>
      </c>
      <c r="BJ33" s="16">
        <f>BI33-BH33</f>
        <v>214.54999999999998</v>
      </c>
      <c r="BK33" s="16">
        <v>203.68</v>
      </c>
      <c r="BL33" s="15">
        <f>((BJ33-BK33)/BJ33)</f>
        <v>5.0664180843626089E-2</v>
      </c>
      <c r="BM33" s="14">
        <v>79.62</v>
      </c>
      <c r="BN33" s="14">
        <f>(BM33/BK33)</f>
        <v>0.3909073055773763</v>
      </c>
      <c r="BO33" s="13">
        <v>108.85</v>
      </c>
      <c r="BP33" s="13">
        <f>(BO33/BK33)</f>
        <v>0.53441673212882945</v>
      </c>
      <c r="BQ33" s="13">
        <f>BK33-BM33-BO33</f>
        <v>15.210000000000008</v>
      </c>
      <c r="BR33" s="13">
        <f>(BQ33/BK33)*100</f>
        <v>7.4675962293794225</v>
      </c>
    </row>
    <row r="34" spans="2:70" ht="25.15" customHeight="1" thickTop="1" thickBot="1" x14ac:dyDescent="0.3">
      <c r="B34" s="18">
        <v>2</v>
      </c>
      <c r="C34" s="17">
        <v>-7</v>
      </c>
      <c r="D34" s="16">
        <v>11.85</v>
      </c>
      <c r="E34" s="16">
        <v>241.51</v>
      </c>
      <c r="F34" s="16">
        <f>E34-D34</f>
        <v>229.66</v>
      </c>
      <c r="G34" s="16">
        <v>215.83</v>
      </c>
      <c r="H34" s="15">
        <f>((F34-G34)/F34)</f>
        <v>6.0219454846294457E-2</v>
      </c>
      <c r="I34" s="14">
        <v>86.83</v>
      </c>
      <c r="J34" s="14">
        <f>(I34/G34)</f>
        <v>0.40230737154241764</v>
      </c>
      <c r="K34" s="13">
        <v>115.69</v>
      </c>
      <c r="L34" s="13">
        <f>(K34/G34)</f>
        <v>0.53602372237409068</v>
      </c>
      <c r="M34" s="13">
        <f>G34-I34-K34</f>
        <v>13.310000000000002</v>
      </c>
      <c r="N34" s="13">
        <f>(M34/G34)*100</f>
        <v>6.1668906083491644</v>
      </c>
      <c r="P34" s="18">
        <v>4</v>
      </c>
      <c r="Q34" s="17">
        <v>-7</v>
      </c>
      <c r="R34" s="16">
        <v>11.85</v>
      </c>
      <c r="S34" s="16">
        <v>183.47</v>
      </c>
      <c r="T34" s="16">
        <f>S34-R34</f>
        <v>171.62</v>
      </c>
      <c r="U34" s="16">
        <v>162.32</v>
      </c>
      <c r="V34" s="15">
        <f>((T34-U34)/T34)</f>
        <v>5.4189488404614912E-2</v>
      </c>
      <c r="W34" s="14">
        <v>66.47</v>
      </c>
      <c r="X34" s="14">
        <f>(W34/U34)</f>
        <v>0.4094997535731888</v>
      </c>
      <c r="Y34" s="13">
        <v>87.88</v>
      </c>
      <c r="Z34" s="13">
        <f>(Y34/U34)</f>
        <v>0.54139970428782647</v>
      </c>
      <c r="AA34" s="13">
        <f>U34-W34-Y34</f>
        <v>7.9699999999999989</v>
      </c>
      <c r="AB34" s="13">
        <f>(AA34/U34)*100</f>
        <v>4.910054213898472</v>
      </c>
      <c r="AD34" s="18">
        <v>6</v>
      </c>
      <c r="AE34" s="17">
        <v>-7</v>
      </c>
      <c r="AF34" s="16">
        <v>11.91</v>
      </c>
      <c r="AG34" s="16">
        <v>193.67</v>
      </c>
      <c r="AH34" s="16">
        <f>AG34-AF34</f>
        <v>181.76</v>
      </c>
      <c r="AI34" s="16">
        <v>168.77</v>
      </c>
      <c r="AJ34" s="15">
        <f>((AH34-AI34)/AH34)</f>
        <v>7.1467869718309762E-2</v>
      </c>
      <c r="AK34" s="14">
        <v>66.48</v>
      </c>
      <c r="AL34" s="14">
        <f>(AK34/AI34)</f>
        <v>0.39390887005984476</v>
      </c>
      <c r="AM34" s="13">
        <v>88.62</v>
      </c>
      <c r="AN34" s="13">
        <f>(AM34/AI34)</f>
        <v>0.52509332227291583</v>
      </c>
      <c r="AO34" s="13">
        <f>AI34-AK34-AM34</f>
        <v>13.670000000000002</v>
      </c>
      <c r="AP34" s="13">
        <f>(AO34/AI34)*100</f>
        <v>8.0997807667239456</v>
      </c>
      <c r="AR34" s="18">
        <v>8</v>
      </c>
      <c r="AS34" s="17">
        <v>-7</v>
      </c>
      <c r="AT34" s="16">
        <v>12.03</v>
      </c>
      <c r="AU34" s="16">
        <v>205.94</v>
      </c>
      <c r="AV34" s="16">
        <f>AU34-AT34</f>
        <v>193.91</v>
      </c>
      <c r="AW34" s="16">
        <v>185.11</v>
      </c>
      <c r="AX34" s="15">
        <f>((AV34-AW34)/AV34)</f>
        <v>4.5381878190913223E-2</v>
      </c>
      <c r="AY34" s="14">
        <v>74.22</v>
      </c>
      <c r="AZ34" s="14">
        <f>(AY34/AW34)</f>
        <v>0.40095078601912371</v>
      </c>
      <c r="BA34" s="13">
        <v>102.28</v>
      </c>
      <c r="BB34" s="13">
        <f>(BA34/AW34)</f>
        <v>0.55253632974987843</v>
      </c>
      <c r="BC34" s="13">
        <f>AW34-AY34-BA34</f>
        <v>8.6100000000000136</v>
      </c>
      <c r="BD34" s="13">
        <f>(BC34/AW34)*100</f>
        <v>4.6512884230997855</v>
      </c>
      <c r="BF34" s="18">
        <v>10</v>
      </c>
      <c r="BG34" s="17">
        <v>-7</v>
      </c>
      <c r="BH34" s="16">
        <v>11.91</v>
      </c>
      <c r="BI34" s="16">
        <v>214.98</v>
      </c>
      <c r="BJ34" s="16">
        <f>BI34-BH34</f>
        <v>203.07</v>
      </c>
      <c r="BK34" s="16">
        <v>195.74</v>
      </c>
      <c r="BL34" s="15">
        <f>((BJ34-BK34)/BJ34)</f>
        <v>3.609592751268028E-2</v>
      </c>
      <c r="BM34" s="14">
        <v>78.91</v>
      </c>
      <c r="BN34" s="14">
        <f>(BM34/BK34)</f>
        <v>0.40313681414120767</v>
      </c>
      <c r="BO34" s="13">
        <v>106.14</v>
      </c>
      <c r="BP34" s="13">
        <f>(BO34/BK34)</f>
        <v>0.5422499233677327</v>
      </c>
      <c r="BQ34" s="13">
        <f>BK34-BM34-BO34</f>
        <v>10.690000000000012</v>
      </c>
      <c r="BR34" s="13">
        <f>(BQ34/BK34)*100</f>
        <v>5.4613262491059622</v>
      </c>
    </row>
    <row r="35" spans="2:70" ht="25.15" customHeight="1" thickTop="1" thickBot="1" x14ac:dyDescent="0.3">
      <c r="B35" s="18">
        <v>2</v>
      </c>
      <c r="C35" s="17">
        <v>-8</v>
      </c>
      <c r="D35" s="16">
        <v>11.93</v>
      </c>
      <c r="E35" s="16">
        <v>214.74</v>
      </c>
      <c r="F35" s="16">
        <f>E35-D35</f>
        <v>202.81</v>
      </c>
      <c r="G35" s="16">
        <v>191.26</v>
      </c>
      <c r="H35" s="15">
        <f>((F35-G35)/F35)</f>
        <v>5.694985454366161E-2</v>
      </c>
      <c r="I35" s="14">
        <v>76.39</v>
      </c>
      <c r="J35" s="14">
        <f>(I35/G35)</f>
        <v>0.39940395273449758</v>
      </c>
      <c r="K35" s="13">
        <v>102.41</v>
      </c>
      <c r="L35" s="13">
        <f>(K35/G35)</f>
        <v>0.53544912684304091</v>
      </c>
      <c r="M35" s="13">
        <f>G35-I35-K35</f>
        <v>12.459999999999994</v>
      </c>
      <c r="N35" s="13">
        <f>(M35/G35)*100</f>
        <v>6.5146920422461534</v>
      </c>
      <c r="P35" s="18">
        <v>4</v>
      </c>
      <c r="Q35" s="17">
        <v>-8</v>
      </c>
      <c r="R35" s="16">
        <v>11.92</v>
      </c>
      <c r="S35" s="16">
        <v>242.66</v>
      </c>
      <c r="T35" s="16">
        <f>S35-R35</f>
        <v>230.74</v>
      </c>
      <c r="U35" s="16">
        <v>218.36</v>
      </c>
      <c r="V35" s="15">
        <f>((T35-U35)/T35)</f>
        <v>5.3653462771951092E-2</v>
      </c>
      <c r="W35" s="14">
        <v>86.91</v>
      </c>
      <c r="X35" s="14">
        <f>(W35/U35)</f>
        <v>0.3980124564938633</v>
      </c>
      <c r="Y35" s="13">
        <v>120.02</v>
      </c>
      <c r="Z35" s="13">
        <f>(Y35/U35)</f>
        <v>0.54964279172009523</v>
      </c>
      <c r="AA35" s="13">
        <f>U35-W35-Y35</f>
        <v>11.430000000000021</v>
      </c>
      <c r="AB35" s="13">
        <f>(AA35/U35)*100</f>
        <v>5.234475178604149</v>
      </c>
      <c r="AD35" s="18">
        <v>6</v>
      </c>
      <c r="AE35" s="17">
        <v>-8</v>
      </c>
      <c r="AF35" s="16">
        <v>11.96</v>
      </c>
      <c r="AG35" s="16">
        <v>223.82</v>
      </c>
      <c r="AH35" s="16">
        <f>AG35-AF35</f>
        <v>211.85999999999999</v>
      </c>
      <c r="AI35" s="16">
        <v>200.18</v>
      </c>
      <c r="AJ35" s="15">
        <f>((AH35-AI35)/AH35)</f>
        <v>5.5130746719531665E-2</v>
      </c>
      <c r="AK35" s="14">
        <v>80.75</v>
      </c>
      <c r="AL35" s="14">
        <f>(AK35/AI35)</f>
        <v>0.40338695174343092</v>
      </c>
      <c r="AM35" s="13">
        <v>109.51</v>
      </c>
      <c r="AN35" s="13">
        <f>(AM35/AI35)</f>
        <v>0.54705764811669499</v>
      </c>
      <c r="AO35" s="13">
        <f>AI35-AK35-AM35</f>
        <v>9.9200000000000017</v>
      </c>
      <c r="AP35" s="13">
        <f>(AO35/AI35)*100</f>
        <v>4.9555400139874122</v>
      </c>
      <c r="AR35" s="18">
        <v>8</v>
      </c>
      <c r="AS35" s="17">
        <v>-8</v>
      </c>
      <c r="AT35" s="16">
        <v>12.07</v>
      </c>
      <c r="AU35" s="16">
        <v>218.11</v>
      </c>
      <c r="AV35" s="16">
        <f>AU35-AT35</f>
        <v>206.04000000000002</v>
      </c>
      <c r="AW35" s="16">
        <v>196</v>
      </c>
      <c r="AX35" s="15">
        <f>((AV35-AW35)/AV35)</f>
        <v>4.8728402251990002E-2</v>
      </c>
      <c r="AY35" s="14">
        <v>75.11</v>
      </c>
      <c r="AZ35" s="14">
        <f>(AY35/AW35)</f>
        <v>0.38321428571428573</v>
      </c>
      <c r="BA35" s="13">
        <v>108.81</v>
      </c>
      <c r="BB35" s="13">
        <f>(BA35/AW35)</f>
        <v>0.55515306122448982</v>
      </c>
      <c r="BC35" s="13">
        <f>AW35-AY35-BA35</f>
        <v>12.079999999999998</v>
      </c>
      <c r="BD35" s="13">
        <f>(BC35/AW35)*100</f>
        <v>6.1632653061224483</v>
      </c>
      <c r="BF35" s="18">
        <v>10</v>
      </c>
      <c r="BG35" s="17">
        <v>-8</v>
      </c>
      <c r="BH35" s="16">
        <v>11.9</v>
      </c>
      <c r="BI35" s="16">
        <v>227.94</v>
      </c>
      <c r="BJ35" s="16">
        <f>BI35-BH35</f>
        <v>216.04</v>
      </c>
      <c r="BK35" s="16">
        <v>205.35</v>
      </c>
      <c r="BL35" s="15">
        <f>((BJ35-BK35)/BJ35)</f>
        <v>4.9481577485650796E-2</v>
      </c>
      <c r="BM35" s="14">
        <v>81.489999999999995</v>
      </c>
      <c r="BN35" s="14">
        <f>(BM35/BK35)</f>
        <v>0.39683467251034815</v>
      </c>
      <c r="BO35" s="13">
        <v>111.1</v>
      </c>
      <c r="BP35" s="13">
        <f>(BO35/BK35)</f>
        <v>0.54102751400048699</v>
      </c>
      <c r="BQ35" s="13">
        <f>BK35-BM35-BO35</f>
        <v>12.760000000000005</v>
      </c>
      <c r="BR35" s="13">
        <f>(BQ35/BK35)*100</f>
        <v>6.2137813489164868</v>
      </c>
    </row>
    <row r="36" spans="2:70" ht="25.15" customHeight="1" thickTop="1" thickBot="1" x14ac:dyDescent="0.3">
      <c r="B36" s="18">
        <v>2</v>
      </c>
      <c r="C36" s="17">
        <v>-9</v>
      </c>
      <c r="D36" s="16">
        <v>11.93</v>
      </c>
      <c r="E36" s="16">
        <v>190.91</v>
      </c>
      <c r="F36" s="16">
        <f>E36-D36</f>
        <v>178.98</v>
      </c>
      <c r="G36" s="16">
        <v>168.25</v>
      </c>
      <c r="H36" s="15">
        <f>((F36-G36)/F36)</f>
        <v>5.9950832495250815E-2</v>
      </c>
      <c r="I36" s="14">
        <v>70.260000000000005</v>
      </c>
      <c r="J36" s="14">
        <f>(I36/G36)</f>
        <v>0.41759286775631504</v>
      </c>
      <c r="K36" s="13">
        <v>89.81</v>
      </c>
      <c r="L36" s="13">
        <f>(K36/G36)</f>
        <v>0.53378900445765232</v>
      </c>
      <c r="M36" s="13">
        <f>G36-I36-K36</f>
        <v>8.1799999999999926</v>
      </c>
      <c r="N36" s="13">
        <f>(M36/G36)*100</f>
        <v>4.861812778603265</v>
      </c>
      <c r="P36" s="18">
        <v>4</v>
      </c>
      <c r="Q36" s="17">
        <v>-9</v>
      </c>
      <c r="R36" s="16">
        <v>11.89</v>
      </c>
      <c r="S36" s="16">
        <v>267.75</v>
      </c>
      <c r="T36" s="16">
        <f>S36-R36</f>
        <v>255.86</v>
      </c>
      <c r="U36" s="16">
        <v>242.31</v>
      </c>
      <c r="V36" s="15">
        <f>((T36-U36)/T36)</f>
        <v>5.295864926131482E-2</v>
      </c>
      <c r="W36" s="14">
        <v>97.84</v>
      </c>
      <c r="X36" s="14">
        <f>(W36/U36)</f>
        <v>0.40378028145763695</v>
      </c>
      <c r="Y36" s="13">
        <v>132.38999999999999</v>
      </c>
      <c r="Z36" s="13">
        <f>(Y36/U36)</f>
        <v>0.54636622508357058</v>
      </c>
      <c r="AA36" s="13">
        <f>U36-W36-Y36</f>
        <v>12.080000000000013</v>
      </c>
      <c r="AB36" s="13">
        <f>(AA36/U36)*100</f>
        <v>4.9853493458792508</v>
      </c>
      <c r="AD36" s="18">
        <v>6</v>
      </c>
      <c r="AE36" s="17">
        <v>-9</v>
      </c>
      <c r="AF36" s="16">
        <v>12.04</v>
      </c>
      <c r="AG36" s="16">
        <v>233.74</v>
      </c>
      <c r="AH36" s="16">
        <f>AG36-AF36</f>
        <v>221.70000000000002</v>
      </c>
      <c r="AI36" s="16">
        <v>209.11</v>
      </c>
      <c r="AJ36" s="15">
        <f>((AH36-AI36)/AH36)</f>
        <v>5.6788452864230954E-2</v>
      </c>
      <c r="AK36" s="14">
        <v>87.05</v>
      </c>
      <c r="AL36" s="14">
        <f>(AK36/AI36)</f>
        <v>0.41628807804504803</v>
      </c>
      <c r="AM36" s="13">
        <v>112.83</v>
      </c>
      <c r="AN36" s="13">
        <f>(AM36/AI36)</f>
        <v>0.53957247381760787</v>
      </c>
      <c r="AO36" s="13">
        <f>AI36-AK36-AM36</f>
        <v>9.2300000000000182</v>
      </c>
      <c r="AP36" s="13">
        <f>(AO36/AI36)*100</f>
        <v>4.4139448137344068</v>
      </c>
      <c r="AR36" s="18">
        <v>8</v>
      </c>
      <c r="AS36" s="17">
        <v>-9</v>
      </c>
      <c r="AT36" s="16">
        <v>12.03</v>
      </c>
      <c r="AU36" s="16">
        <v>254.16</v>
      </c>
      <c r="AV36" s="16">
        <f>AU36-AT36</f>
        <v>242.13</v>
      </c>
      <c r="AW36" s="16">
        <v>230.9</v>
      </c>
      <c r="AX36" s="15">
        <f>((AV36-AW36)/AV36)</f>
        <v>4.638004377813567E-2</v>
      </c>
      <c r="AY36" s="14">
        <v>89.34</v>
      </c>
      <c r="AZ36" s="14">
        <f>(AY36/AW36)</f>
        <v>0.38692074491121697</v>
      </c>
      <c r="BA36" s="13">
        <v>128.16999999999999</v>
      </c>
      <c r="BB36" s="13">
        <f>(BA36/AW36)</f>
        <v>0.55508878302295361</v>
      </c>
      <c r="BC36" s="13">
        <f>AW36-AY36-BA36</f>
        <v>13.390000000000015</v>
      </c>
      <c r="BD36" s="13">
        <f>(BC36/AW36)*100</f>
        <v>5.7990472065829426</v>
      </c>
      <c r="BF36" s="18">
        <v>10</v>
      </c>
      <c r="BG36" s="17">
        <v>-9</v>
      </c>
      <c r="BH36" s="16">
        <v>11.81</v>
      </c>
      <c r="BI36" s="16">
        <v>215.57</v>
      </c>
      <c r="BJ36" s="16">
        <f>BI36-BH36</f>
        <v>203.76</v>
      </c>
      <c r="BK36" s="16">
        <v>196.82</v>
      </c>
      <c r="BL36" s="15">
        <f>((BJ36-BK36)/BJ36)</f>
        <v>3.4059678052610905E-2</v>
      </c>
      <c r="BM36" s="14">
        <v>78.010000000000005</v>
      </c>
      <c r="BN36" s="14">
        <f>(BM36/BK36)</f>
        <v>0.39635199674829796</v>
      </c>
      <c r="BO36" s="13">
        <v>105.65</v>
      </c>
      <c r="BP36" s="13">
        <f>(BO36/BK36)</f>
        <v>0.53678487958540799</v>
      </c>
      <c r="BQ36" s="13">
        <f>BK36-BM36-BO36</f>
        <v>13.159999999999982</v>
      </c>
      <c r="BR36" s="13">
        <f>(BQ36/BK36)*100</f>
        <v>6.6863123666293989</v>
      </c>
    </row>
    <row r="37" spans="2:70" ht="25.15" customHeight="1" thickTop="1" thickBot="1" x14ac:dyDescent="0.3">
      <c r="B37" s="18">
        <v>2</v>
      </c>
      <c r="C37" s="17">
        <v>-10</v>
      </c>
      <c r="D37" s="16">
        <v>11.95</v>
      </c>
      <c r="E37" s="16">
        <v>221.25</v>
      </c>
      <c r="F37" s="16">
        <f>E37-D37</f>
        <v>209.3</v>
      </c>
      <c r="G37" s="16">
        <v>192.65</v>
      </c>
      <c r="H37" s="15">
        <f>((F37-G37)/F37)</f>
        <v>7.9550883898710012E-2</v>
      </c>
      <c r="I37" s="14">
        <v>77.569999999999993</v>
      </c>
      <c r="J37" s="14">
        <f>(I37/G37)</f>
        <v>0.40264728782766673</v>
      </c>
      <c r="K37" s="13">
        <v>103.73</v>
      </c>
      <c r="L37" s="13">
        <f>(K37/G37)</f>
        <v>0.538437581105632</v>
      </c>
      <c r="M37" s="13">
        <f>G37-I37-K37</f>
        <v>11.350000000000009</v>
      </c>
      <c r="N37" s="13">
        <f>(M37/G37)*100</f>
        <v>5.8915131066701312</v>
      </c>
      <c r="P37" s="18">
        <v>4</v>
      </c>
      <c r="Q37" s="17">
        <v>-10</v>
      </c>
      <c r="R37" s="16">
        <v>11.93</v>
      </c>
      <c r="S37" s="16">
        <v>282.49</v>
      </c>
      <c r="T37" s="16">
        <f>S37-R37</f>
        <v>270.56</v>
      </c>
      <c r="U37" s="16">
        <v>254.84</v>
      </c>
      <c r="V37" s="15">
        <f>((T37-U37)/T37)</f>
        <v>5.8101714961561204E-2</v>
      </c>
      <c r="W37" s="14">
        <v>103.87</v>
      </c>
      <c r="X37" s="14">
        <f>(W37/U37)</f>
        <v>0.40758907549835194</v>
      </c>
      <c r="Y37" s="13">
        <v>138.80000000000001</v>
      </c>
      <c r="Z37" s="13">
        <f>(Y37/U37)</f>
        <v>0.5446554700988856</v>
      </c>
      <c r="AA37" s="13">
        <f>U37-W37-Y37</f>
        <v>12.169999999999987</v>
      </c>
      <c r="AB37" s="13">
        <f>(AA37/U37)*100</f>
        <v>4.7755454402762467</v>
      </c>
      <c r="AD37" s="18">
        <v>6</v>
      </c>
      <c r="AE37" s="17">
        <v>-10</v>
      </c>
      <c r="AF37" s="16">
        <v>11.86</v>
      </c>
      <c r="AG37" s="16">
        <v>207.35</v>
      </c>
      <c r="AH37" s="16">
        <f>AG37-AF37</f>
        <v>195.49</v>
      </c>
      <c r="AI37" s="16">
        <v>184.48</v>
      </c>
      <c r="AJ37" s="15">
        <f>((AH37-AI37)/AH37)</f>
        <v>5.6320016369123836E-2</v>
      </c>
      <c r="AK37" s="14">
        <v>75.31</v>
      </c>
      <c r="AL37" s="14">
        <f>(AK37/AI37)</f>
        <v>0.40822853425845623</v>
      </c>
      <c r="AM37" s="13">
        <v>101.09</v>
      </c>
      <c r="AN37" s="13">
        <f>(AM37/AI37)</f>
        <v>0.54797267996530796</v>
      </c>
      <c r="AO37" s="13">
        <f>AI37-AK37-AM37</f>
        <v>8.0799999999999841</v>
      </c>
      <c r="AP37" s="13">
        <f>(AO37/AI37)*100</f>
        <v>4.3798785776235825</v>
      </c>
      <c r="AR37" s="18">
        <v>8</v>
      </c>
      <c r="AS37" s="17">
        <v>-10</v>
      </c>
      <c r="AT37" s="16">
        <v>11.92</v>
      </c>
      <c r="AU37" s="16">
        <v>237.7</v>
      </c>
      <c r="AV37" s="16">
        <f>AU37-AT37</f>
        <v>225.78</v>
      </c>
      <c r="AW37" s="16">
        <v>214.68</v>
      </c>
      <c r="AX37" s="15">
        <f>((AV37-AW37)/AV37)</f>
        <v>4.9162901939941508E-2</v>
      </c>
      <c r="AY37" s="14">
        <v>83.98</v>
      </c>
      <c r="AZ37" s="14">
        <f>(AY37/AW37)</f>
        <v>0.3911868828023104</v>
      </c>
      <c r="BA37" s="13">
        <v>118.92</v>
      </c>
      <c r="BB37" s="13">
        <f>(BA37/AW37)</f>
        <v>0.55394074902179991</v>
      </c>
      <c r="BC37" s="13">
        <f>AW37-AY37-BA37</f>
        <v>11.779999999999987</v>
      </c>
      <c r="BD37" s="13">
        <f>(BC37/AW37)*100</f>
        <v>5.487236817588963</v>
      </c>
      <c r="BF37" s="18">
        <v>10</v>
      </c>
      <c r="BG37" s="17">
        <v>-10</v>
      </c>
      <c r="BH37" s="16">
        <v>11.94</v>
      </c>
      <c r="BI37" s="16">
        <v>259.17</v>
      </c>
      <c r="BJ37" s="16">
        <f>BI37-BH37</f>
        <v>247.23000000000002</v>
      </c>
      <c r="BK37" s="16">
        <v>235.76</v>
      </c>
      <c r="BL37" s="15">
        <f>((BJ37-BK37)/BJ37)</f>
        <v>4.6394046030012646E-2</v>
      </c>
      <c r="BM37" s="14">
        <v>93.04</v>
      </c>
      <c r="BN37" s="14">
        <f>(BM37/BK37)</f>
        <v>0.39463861554122842</v>
      </c>
      <c r="BO37" s="13">
        <v>129.29</v>
      </c>
      <c r="BP37" s="13">
        <f>(BO37/BK37)</f>
        <v>0.54839667458432306</v>
      </c>
      <c r="BQ37" s="13">
        <f>BK37-BM37-BO37</f>
        <v>13.429999999999978</v>
      </c>
      <c r="BR37" s="13">
        <f>(BQ37/BK37)*100</f>
        <v>5.69647098744485</v>
      </c>
    </row>
    <row r="38" spans="2:70" ht="25.15" customHeight="1" thickTop="1" thickBot="1" x14ac:dyDescent="0.3">
      <c r="B38" s="18">
        <v>2</v>
      </c>
      <c r="C38" s="17">
        <v>-11</v>
      </c>
      <c r="D38" s="16">
        <v>11.89</v>
      </c>
      <c r="E38" s="16">
        <v>229.55</v>
      </c>
      <c r="F38" s="16">
        <f>E38-D38</f>
        <v>217.66000000000003</v>
      </c>
      <c r="G38" s="16">
        <v>204.39</v>
      </c>
      <c r="H38" s="15">
        <f>((F38-G38)/F38)</f>
        <v>6.0966645226500214E-2</v>
      </c>
      <c r="I38" s="14">
        <v>81.28</v>
      </c>
      <c r="J38" s="14">
        <f>(I38/G38)</f>
        <v>0.39767111893928275</v>
      </c>
      <c r="K38" s="13">
        <v>108.43</v>
      </c>
      <c r="L38" s="13">
        <f>(K38/G38)</f>
        <v>0.53050540633103382</v>
      </c>
      <c r="M38" s="13">
        <f>G38-I38-K38</f>
        <v>14.679999999999978</v>
      </c>
      <c r="N38" s="13">
        <f>(M38/G38)*100</f>
        <v>7.1823474729683356</v>
      </c>
      <c r="P38" s="18">
        <v>4</v>
      </c>
      <c r="Q38" s="17">
        <v>-11</v>
      </c>
      <c r="R38" s="16">
        <v>11.93</v>
      </c>
      <c r="S38" s="16">
        <v>231.52</v>
      </c>
      <c r="T38" s="16">
        <f>S38-R38</f>
        <v>219.59</v>
      </c>
      <c r="U38" s="16">
        <v>207.7</v>
      </c>
      <c r="V38" s="15">
        <f>((T38-U38)/T38)</f>
        <v>5.4146363677763168E-2</v>
      </c>
      <c r="W38" s="14">
        <v>83.89</v>
      </c>
      <c r="X38" s="14">
        <f>(W38/U38)</f>
        <v>0.40389985556090519</v>
      </c>
      <c r="Y38" s="13">
        <v>113.79</v>
      </c>
      <c r="Z38" s="13">
        <f>(Y38/U38)</f>
        <v>0.54785748675974966</v>
      </c>
      <c r="AA38" s="13">
        <f>U38-W38-Y38</f>
        <v>10.019999999999982</v>
      </c>
      <c r="AB38" s="13">
        <f>(AA38/U38)*100</f>
        <v>4.824265767934512</v>
      </c>
      <c r="AD38" s="18">
        <v>6</v>
      </c>
      <c r="AE38" s="17">
        <v>-11</v>
      </c>
      <c r="AF38" s="16">
        <v>12.01</v>
      </c>
      <c r="AG38" s="16">
        <v>200.6</v>
      </c>
      <c r="AH38" s="16">
        <f>AG38-AF38</f>
        <v>188.59</v>
      </c>
      <c r="AI38" s="16">
        <v>178.81</v>
      </c>
      <c r="AJ38" s="15">
        <f>((AH38-AI38)/AH38)</f>
        <v>5.1858529084256859E-2</v>
      </c>
      <c r="AK38" s="14">
        <v>71.680000000000007</v>
      </c>
      <c r="AL38" s="14">
        <f>(AK38/AI38)</f>
        <v>0.40087243442760473</v>
      </c>
      <c r="AM38" s="13">
        <v>97.02</v>
      </c>
      <c r="AN38" s="13">
        <f>(AM38/AI38)</f>
        <v>0.54258710362955087</v>
      </c>
      <c r="AO38" s="13">
        <f>AI38-AK38-AM38</f>
        <v>10.11</v>
      </c>
      <c r="AP38" s="13">
        <f>(AO38/AI38)*100</f>
        <v>5.6540461942844358</v>
      </c>
      <c r="AR38" s="18">
        <v>8</v>
      </c>
      <c r="AS38" s="17">
        <v>-11</v>
      </c>
      <c r="AT38" s="16">
        <v>12.06</v>
      </c>
      <c r="AU38" s="16">
        <v>200.03</v>
      </c>
      <c r="AV38" s="16">
        <f>AU38-AT38</f>
        <v>187.97</v>
      </c>
      <c r="AW38" s="16">
        <v>179.24</v>
      </c>
      <c r="AX38" s="15">
        <f>((AV38-AW38)/AV38)</f>
        <v>4.6443581422567375E-2</v>
      </c>
      <c r="AY38" s="14">
        <v>72.16</v>
      </c>
      <c r="AZ38" s="14">
        <f>(AY38/AW38)</f>
        <v>0.40258870787770584</v>
      </c>
      <c r="BA38" s="13">
        <v>97.63</v>
      </c>
      <c r="BB38" s="13">
        <f>(BA38/AW38)</f>
        <v>0.5446886855612586</v>
      </c>
      <c r="BC38" s="13">
        <f>AW38-AY38-BA38</f>
        <v>9.4500000000000171</v>
      </c>
      <c r="BD38" s="13">
        <f>(BC38/AW38)*100</f>
        <v>5.2722606561035574</v>
      </c>
      <c r="BF38" s="18">
        <v>10</v>
      </c>
      <c r="BG38" s="17">
        <v>-11</v>
      </c>
      <c r="BH38" s="16">
        <v>11.95</v>
      </c>
      <c r="BI38" s="16">
        <v>263.52999999999997</v>
      </c>
      <c r="BJ38" s="16">
        <f>BI38-BH38</f>
        <v>251.57999999999998</v>
      </c>
      <c r="BK38" s="16">
        <v>240.51</v>
      </c>
      <c r="BL38" s="15">
        <f>((BJ38-BK38)/BJ38)</f>
        <v>4.400190794180775E-2</v>
      </c>
      <c r="BM38" s="14">
        <v>92.86</v>
      </c>
      <c r="BN38" s="14">
        <f>(BM38/BK38)</f>
        <v>0.38609621221570828</v>
      </c>
      <c r="BO38" s="13">
        <v>131.54</v>
      </c>
      <c r="BP38" s="13">
        <f>(BO38/BK38)</f>
        <v>0.5469211259407093</v>
      </c>
      <c r="BQ38" s="13">
        <f>BK38-BM38-BO38</f>
        <v>16.109999999999985</v>
      </c>
      <c r="BR38" s="13">
        <f>(BQ38/BK38)*100</f>
        <v>6.698266184358233</v>
      </c>
    </row>
  </sheetData>
  <mergeCells count="11">
    <mergeCell ref="AK25:AO25"/>
    <mergeCell ref="AY10:BC10"/>
    <mergeCell ref="AY25:BC25"/>
    <mergeCell ref="BM25:BQ25"/>
    <mergeCell ref="BM10:BQ10"/>
    <mergeCell ref="CA10:CE10"/>
    <mergeCell ref="I10:M10"/>
    <mergeCell ref="I25:M25"/>
    <mergeCell ref="W10:AA10"/>
    <mergeCell ref="W25:AA25"/>
    <mergeCell ref="AK10:AO10"/>
  </mergeCells>
  <pageMargins left="0.7" right="0.7" top="0.75" bottom="0.75" header="0.3" footer="0.3"/>
  <pageSetup orientation="portrait" r:id="rId1"/>
  <headerFooter>
    <oddHeader>&amp;L&amp;10 2014 F013 - lateral move irrigation
Cotton&amp;11
&amp;10Harvest-Seed Cotton Moistue Content</oddHeader>
  </headerFooter>
  <colBreaks count="5" manualBreakCount="5">
    <brk id="15" min="10" max="36" man="1"/>
    <brk id="29" min="10" max="36" man="1"/>
    <brk id="43" min="10" max="36" man="1"/>
    <brk id="57" min="10" max="36" man="1"/>
    <brk id="71" min="10" max="36"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BDD2F-5151-4401-B721-E34D03D63BC6}">
  <dimension ref="A1:X144"/>
  <sheetViews>
    <sheetView workbookViewId="0">
      <selection activeCell="K133" sqref="K133:M133"/>
    </sheetView>
  </sheetViews>
  <sheetFormatPr defaultRowHeight="14.25" x14ac:dyDescent="0.2"/>
  <cols>
    <col min="1" max="2" width="9.140625" style="47"/>
    <col min="3" max="3" width="9.140625" style="136"/>
    <col min="4" max="6" width="9.140625" style="134"/>
    <col min="7" max="9" width="9.140625" style="135"/>
    <col min="10" max="10" width="9.140625" style="47"/>
    <col min="11" max="12" width="9.140625" style="134"/>
    <col min="13" max="16384" width="9.140625" style="47"/>
  </cols>
  <sheetData>
    <row r="1" spans="1:24" x14ac:dyDescent="0.2">
      <c r="C1" s="136" t="s">
        <v>339</v>
      </c>
      <c r="D1" s="134" t="s">
        <v>174</v>
      </c>
      <c r="E1" s="134" t="s">
        <v>332</v>
      </c>
      <c r="F1" s="134" t="s">
        <v>11</v>
      </c>
      <c r="G1" s="135" t="s">
        <v>200</v>
      </c>
      <c r="H1" s="135" t="s">
        <v>201</v>
      </c>
      <c r="I1" s="135" t="s">
        <v>338</v>
      </c>
      <c r="K1" s="134" t="s">
        <v>332</v>
      </c>
      <c r="L1" s="134" t="s">
        <v>11</v>
      </c>
      <c r="M1" s="135" t="s">
        <v>200</v>
      </c>
      <c r="N1" s="135" t="s">
        <v>201</v>
      </c>
      <c r="O1" s="135" t="s">
        <v>338</v>
      </c>
    </row>
    <row r="2" spans="1:24" x14ac:dyDescent="0.2">
      <c r="A2" s="47" t="s">
        <v>337</v>
      </c>
      <c r="B2" s="47" t="s">
        <v>336</v>
      </c>
      <c r="C2" s="136" t="s">
        <v>311</v>
      </c>
      <c r="D2" s="134" t="s">
        <v>335</v>
      </c>
      <c r="E2" s="134" t="s">
        <v>335</v>
      </c>
      <c r="F2" s="134" t="s">
        <v>335</v>
      </c>
      <c r="G2" s="135" t="s">
        <v>202</v>
      </c>
      <c r="H2" s="135" t="s">
        <v>202</v>
      </c>
      <c r="I2" s="135" t="s">
        <v>202</v>
      </c>
      <c r="K2" s="134" t="s">
        <v>335</v>
      </c>
      <c r="L2" s="134" t="s">
        <v>335</v>
      </c>
      <c r="M2" s="135" t="s">
        <v>202</v>
      </c>
      <c r="N2" s="135" t="s">
        <v>202</v>
      </c>
      <c r="O2" s="135" t="s">
        <v>202</v>
      </c>
    </row>
    <row r="3" spans="1:24" ht="14.25" customHeight="1" x14ac:dyDescent="0.2">
      <c r="A3" s="47">
        <v>1</v>
      </c>
      <c r="B3" s="47">
        <v>1</v>
      </c>
      <c r="C3" s="136">
        <v>12</v>
      </c>
      <c r="D3" s="134">
        <v>6.2664099422370126E-2</v>
      </c>
      <c r="E3" s="134">
        <v>0.29363592991359599</v>
      </c>
      <c r="F3" s="134">
        <v>0.44907181170350391</v>
      </c>
      <c r="G3" s="135">
        <f>C3*(1-D3)*E3*0.453592/(47.9*12*80*2.54^2/100/100/10000)</f>
        <v>504.98316440630566</v>
      </c>
      <c r="H3" s="135">
        <f>C3*(1-D3)*F3*0.453592/(47.9*12*80*2.54^2/100/100/10000)</f>
        <v>772.29549049544937</v>
      </c>
      <c r="I3" s="135">
        <f>G3+H3</f>
        <v>1277.2786549017551</v>
      </c>
      <c r="K3" s="134">
        <v>0.32651727357609711</v>
      </c>
      <c r="L3" s="134">
        <v>0.44346405228758168</v>
      </c>
      <c r="M3" s="135">
        <f>C3*(1-D3)*K3*0.453592/(47.9*12*80*2.54^2/100/100/10000)</f>
        <v>561.53116579532855</v>
      </c>
      <c r="N3" s="135">
        <f>C3*(1-D3)*L3*0.453592/(47.9*12*80*2.54^2/100/100/10000)</f>
        <v>762.65149326420146</v>
      </c>
      <c r="O3" s="135">
        <f>M3+N3</f>
        <v>1324.1826590595301</v>
      </c>
    </row>
    <row r="4" spans="1:24" x14ac:dyDescent="0.2">
      <c r="A4" s="47">
        <v>1</v>
      </c>
      <c r="B4" s="47">
        <v>2</v>
      </c>
      <c r="C4" s="136">
        <v>35.4</v>
      </c>
      <c r="D4" s="134">
        <v>7.8295454545454501E-2</v>
      </c>
      <c r="E4" s="134">
        <v>0.29627828479290313</v>
      </c>
      <c r="F4" s="134">
        <v>0.47339647110340494</v>
      </c>
      <c r="G4" s="135">
        <f>C4*(1-D4)*E4*0.453592/(47.9*12*80*2.54^2/100/100/10000)</f>
        <v>1478.0394289010023</v>
      </c>
      <c r="H4" s="135">
        <f>C4*(1-D4)*F4*0.453592/(47.9*12*80*2.54^2/100/100/10000)</f>
        <v>2361.6265035505789</v>
      </c>
      <c r="I4" s="135">
        <f>G4+H4</f>
        <v>3839.6659324515813</v>
      </c>
      <c r="K4" s="134">
        <v>0.34019644104713764</v>
      </c>
      <c r="L4" s="134">
        <v>0.43833477170920143</v>
      </c>
      <c r="M4" s="135">
        <f>C4*(1-D4)*K4*0.453592/(47.9*12*80*2.54^2/100/100/10000)</f>
        <v>1697.1333345976936</v>
      </c>
      <c r="N4" s="135">
        <f>C4*(1-D4)*L4*0.453592/(47.9*12*80*2.54^2/100/100/10000)</f>
        <v>2186.7146831141572</v>
      </c>
      <c r="O4" s="135">
        <f>M4+N4</f>
        <v>3883.8480177118508</v>
      </c>
    </row>
    <row r="5" spans="1:24" ht="14.25" customHeight="1" x14ac:dyDescent="0.2">
      <c r="A5" s="47">
        <v>1</v>
      </c>
      <c r="B5" s="47">
        <v>3</v>
      </c>
      <c r="C5" s="136">
        <v>34.599999999999994</v>
      </c>
      <c r="D5" s="134">
        <v>6.5439838220424693E-2</v>
      </c>
      <c r="E5" s="134">
        <v>0.27825653583708326</v>
      </c>
      <c r="F5" s="134">
        <v>0.48167780269770455</v>
      </c>
      <c r="G5" s="135">
        <f>C5*(1-D5)*E5*0.453592/(47.9*12*80*2.54^2/100/100/10000)</f>
        <v>1375.6879827604139</v>
      </c>
      <c r="H5" s="135">
        <f>C5*(1-D5)*F5*0.453592/(47.9*12*80*2.54^2/100/100/10000)</f>
        <v>2381.3937118862236</v>
      </c>
      <c r="I5" s="135">
        <f>G5+H5</f>
        <v>3757.0816946466375</v>
      </c>
      <c r="K5" s="134">
        <v>0.34907170987146752</v>
      </c>
      <c r="L5" s="134">
        <v>0.47929198944042933</v>
      </c>
      <c r="M5" s="135">
        <f>C5*(1-D5)*K5*0.453592/(47.9*12*80*2.54^2/100/100/10000)</f>
        <v>1725.7950651443766</v>
      </c>
      <c r="N5" s="135">
        <f>C5*(1-D5)*L5*0.453592/(47.9*12*80*2.54^2/100/100/10000)</f>
        <v>2369.5983568651091</v>
      </c>
      <c r="O5" s="135">
        <f>M5+N5</f>
        <v>4095.3934220094857</v>
      </c>
    </row>
    <row r="6" spans="1:24" x14ac:dyDescent="0.2">
      <c r="A6" s="47">
        <v>1</v>
      </c>
      <c r="B6" s="47">
        <v>4</v>
      </c>
      <c r="C6" s="136">
        <v>35.599999999999994</v>
      </c>
      <c r="D6" s="134">
        <v>6.5224183721293613E-2</v>
      </c>
      <c r="E6" s="134">
        <v>0.24604020224572606</v>
      </c>
      <c r="F6" s="134">
        <v>0.47553768011420472</v>
      </c>
      <c r="G6" s="135">
        <f>C6*(1-D6)*E6*0.453592/(47.9*12*80*2.54^2/100/100/10000)</f>
        <v>1251.8570748743462</v>
      </c>
      <c r="H6" s="135">
        <f>C6*(1-D6)*F6*0.453592/(47.9*12*80*2.54^2/100/100/10000)</f>
        <v>2419.5444638179724</v>
      </c>
      <c r="I6" s="135">
        <f>G6+H6</f>
        <v>3671.4015386923184</v>
      </c>
      <c r="K6" s="134">
        <v>0.34570067686136874</v>
      </c>
      <c r="L6" s="134">
        <v>0.45721567644355315</v>
      </c>
      <c r="M6" s="135">
        <f>C6*(1-D6)*K6*0.453592/(47.9*12*80*2.54^2/100/100/10000)</f>
        <v>1758.9314029482844</v>
      </c>
      <c r="N6" s="135">
        <f>C6*(1-D6)*L6*0.453592/(47.9*12*80*2.54^2/100/100/10000)</f>
        <v>2326.3217721130145</v>
      </c>
      <c r="O6" s="135">
        <f>M6+N6</f>
        <v>4085.2531750612989</v>
      </c>
    </row>
    <row r="7" spans="1:24" ht="14.25" customHeight="1" x14ac:dyDescent="0.2">
      <c r="A7" s="47">
        <v>1</v>
      </c>
      <c r="B7" s="47">
        <v>5</v>
      </c>
      <c r="C7" s="136">
        <v>31.7</v>
      </c>
      <c r="D7" s="134">
        <v>6.4342536265793171E-2</v>
      </c>
      <c r="E7" s="134">
        <v>0.30317491117017403</v>
      </c>
      <c r="F7" s="134">
        <v>0.47562725607914003</v>
      </c>
      <c r="G7" s="135">
        <f>C7*(1-D7)*E7*0.453592/(47.9*12*80*2.54^2/100/100/10000)</f>
        <v>1374.8667660909473</v>
      </c>
      <c r="H7" s="135">
        <f>C7*(1-D7)*F7*0.453592/(47.9*12*80*2.54^2/100/100/10000)</f>
        <v>2156.9202573730981</v>
      </c>
      <c r="I7" s="135">
        <f>G7+H7</f>
        <v>3531.7870234640454</v>
      </c>
      <c r="K7" s="134">
        <v>0.36627906976744184</v>
      </c>
      <c r="L7" s="134">
        <v>0.47236809202300573</v>
      </c>
      <c r="M7" s="135">
        <f>C7*(1-D7)*K7*0.453592/(47.9*12*80*2.54^2/100/100/10000)</f>
        <v>1661.0375779257595</v>
      </c>
      <c r="N7" s="135">
        <f>C7*(1-D7)*L7*0.453592/(47.9*12*80*2.54^2/100/100/10000)</f>
        <v>2142.1402865347391</v>
      </c>
      <c r="O7" s="135">
        <f>M7+N7</f>
        <v>3803.1778644604983</v>
      </c>
    </row>
    <row r="8" spans="1:24" x14ac:dyDescent="0.2">
      <c r="A8" s="47">
        <v>1</v>
      </c>
      <c r="B8" s="47">
        <v>6</v>
      </c>
      <c r="C8" s="136">
        <v>30.2</v>
      </c>
      <c r="D8" s="134">
        <v>6.2724570820210213E-2</v>
      </c>
      <c r="E8" s="134">
        <v>0.28719045416556777</v>
      </c>
      <c r="F8" s="134">
        <v>0.47322197040220948</v>
      </c>
      <c r="G8" s="135">
        <f>C8*(1-D8)*E8*0.453592/(47.9*12*80*2.54^2/100/100/10000)</f>
        <v>1242.8976934873872</v>
      </c>
      <c r="H8" s="135">
        <f>C8*(1-D8)*F8*0.453592/(47.9*12*80*2.54^2/100/100/10000)</f>
        <v>2048.0015508502233</v>
      </c>
      <c r="I8" s="135">
        <f>G8+H8</f>
        <v>3290.8992443376105</v>
      </c>
      <c r="K8" s="134">
        <v>0.34663259027876375</v>
      </c>
      <c r="L8" s="134">
        <v>0.47219461403757867</v>
      </c>
      <c r="M8" s="135">
        <f>C8*(1-D8)*K8*0.453592/(47.9*12*80*2.54^2/100/100/10000)</f>
        <v>1500.1503033824984</v>
      </c>
      <c r="N8" s="135">
        <f>C8*(1-D8)*L8*0.453592/(47.9*12*80*2.54^2/100/100/10000)</f>
        <v>2043.5553764127785</v>
      </c>
      <c r="O8" s="135">
        <f>M8+N8</f>
        <v>3543.7056797952769</v>
      </c>
      <c r="X8" s="47">
        <v>0</v>
      </c>
    </row>
    <row r="9" spans="1:24" ht="14.25" customHeight="1" x14ac:dyDescent="0.2">
      <c r="A9" s="47">
        <v>1</v>
      </c>
      <c r="B9" s="47">
        <v>7</v>
      </c>
      <c r="C9" s="136">
        <v>21.6</v>
      </c>
      <c r="D9" s="134">
        <v>6.3119755911517972E-2</v>
      </c>
      <c r="E9" s="134">
        <v>0.29772996657861961</v>
      </c>
      <c r="F9" s="134">
        <v>0.46062535564120288</v>
      </c>
      <c r="G9" s="135">
        <f>C9*(1-D9)*E9*0.453592/(47.9*12*80*2.54^2/100/100/10000)</f>
        <v>921.19503283959568</v>
      </c>
      <c r="H9" s="135">
        <f>C9*(1-D9)*F9*0.453592/(47.9*12*80*2.54^2/100/100/10000)</f>
        <v>1425.203497292569</v>
      </c>
      <c r="I9" s="135">
        <f>G9+H9</f>
        <v>2346.3985301321645</v>
      </c>
      <c r="K9" s="134">
        <v>0.3687495759549495</v>
      </c>
      <c r="L9" s="134">
        <v>0.49297781396295542</v>
      </c>
      <c r="M9" s="135">
        <f>C9*(1-D9)*K9*0.453592/(47.9*12*80*2.54^2/100/100/10000)</f>
        <v>1140.9341210593489</v>
      </c>
      <c r="N9" s="135">
        <f>C9*(1-D9)*L9*0.453592/(47.9*12*80*2.54^2/100/100/10000)</f>
        <v>1525.3040153849547</v>
      </c>
      <c r="O9" s="135">
        <f>M9+N9</f>
        <v>2666.2381364443036</v>
      </c>
      <c r="X9" s="47">
        <v>7000</v>
      </c>
    </row>
    <row r="10" spans="1:24" x14ac:dyDescent="0.2">
      <c r="A10" s="47">
        <v>1</v>
      </c>
      <c r="B10" s="47">
        <v>8</v>
      </c>
      <c r="C10" s="136">
        <v>18.400000000000002</v>
      </c>
      <c r="D10" s="134">
        <v>7.1381893128236146E-2</v>
      </c>
      <c r="E10" s="134">
        <v>0.27533411791506546</v>
      </c>
      <c r="F10" s="134">
        <v>0.48128403811553444</v>
      </c>
      <c r="G10" s="135">
        <f>C10*(1-D10)*E10*0.453592/(47.9*12*80*2.54^2/100/100/10000)</f>
        <v>719.29361861788743</v>
      </c>
      <c r="H10" s="135">
        <f>C10*(1-D10)*F10*0.453592/(47.9*12*80*2.54^2/100/100/10000)</f>
        <v>1257.3252453440673</v>
      </c>
      <c r="I10" s="135">
        <f>G10+H10</f>
        <v>1976.6188639619547</v>
      </c>
      <c r="K10" s="134">
        <v>0.36317869322795437</v>
      </c>
      <c r="L10" s="134">
        <v>0.47377253288583338</v>
      </c>
      <c r="M10" s="135">
        <f>C10*(1-D10)*K10*0.453592/(47.9*12*80*2.54^2/100/100/10000)</f>
        <v>948.78222297694083</v>
      </c>
      <c r="N10" s="135">
        <f>C10*(1-D10)*L10*0.453592/(47.9*12*80*2.54^2/100/100/10000)</f>
        <v>1237.7018952890423</v>
      </c>
      <c r="O10" s="135">
        <f>M10+N10</f>
        <v>2186.4841182659829</v>
      </c>
    </row>
    <row r="11" spans="1:24" ht="14.25" customHeight="1" x14ac:dyDescent="0.2">
      <c r="A11" s="47">
        <v>1</v>
      </c>
      <c r="B11" s="47">
        <v>9</v>
      </c>
      <c r="C11" s="136">
        <v>22.3</v>
      </c>
      <c r="D11" s="134">
        <v>6.4008726863255677E-2</v>
      </c>
      <c r="E11" s="134">
        <v>0.35005071929056125</v>
      </c>
      <c r="F11" s="134">
        <v>0.51338576799057833</v>
      </c>
      <c r="G11" s="135">
        <f>C11*(1-D11)*E11*0.453592/(47.9*12*80*2.54^2/100/100/10000)</f>
        <v>1117.1174700557681</v>
      </c>
      <c r="H11" s="135">
        <f>C11*(1-D11)*F11*0.453592/(47.9*12*80*2.54^2/100/100/10000)</f>
        <v>1638.3688954063418</v>
      </c>
      <c r="I11" s="135">
        <f>G11+H11</f>
        <v>2755.4863654621099</v>
      </c>
      <c r="K11" s="134">
        <v>0.37903680589495842</v>
      </c>
      <c r="L11" s="134">
        <v>0.51960600022557235</v>
      </c>
      <c r="M11" s="135">
        <f>C11*(1-D11)*K11*0.453592/(47.9*12*80*2.54^2/100/100/10000)</f>
        <v>1209.6208187132054</v>
      </c>
      <c r="N11" s="135">
        <f>C11*(1-D11)*L11*0.453592/(47.9*12*80*2.54^2/100/100/10000)</f>
        <v>1658.219533369888</v>
      </c>
      <c r="O11" s="135">
        <f>M11+N11</f>
        <v>2867.8403520830934</v>
      </c>
    </row>
    <row r="12" spans="1:24" x14ac:dyDescent="0.2">
      <c r="A12" s="47">
        <v>1</v>
      </c>
      <c r="B12" s="47">
        <v>10</v>
      </c>
      <c r="C12" s="136">
        <v>32.899999999999991</v>
      </c>
      <c r="D12" s="134">
        <v>8.219566347016867E-2</v>
      </c>
      <c r="E12" s="134">
        <v>0.31159417775336812</v>
      </c>
      <c r="F12" s="134">
        <v>0.49391927517819872</v>
      </c>
      <c r="G12" s="135">
        <f>C12*(1-D12)*E12*0.453592/(47.9*12*80*2.54^2/100/100/10000)</f>
        <v>1438.5552424922234</v>
      </c>
      <c r="H12" s="135">
        <f>C12*(1-D12)*F12*0.453592/(47.9*12*80*2.54^2/100/100/10000)</f>
        <v>2280.3062874876732</v>
      </c>
      <c r="I12" s="135">
        <f>G12+H12</f>
        <v>3718.8615299798967</v>
      </c>
      <c r="K12" s="134">
        <v>0.3850429769931546</v>
      </c>
      <c r="L12" s="134">
        <v>0.52519429718462096</v>
      </c>
      <c r="M12" s="135">
        <f>C12*(1-D12)*K12*0.453592/(47.9*12*80*2.54^2/100/100/10000)</f>
        <v>1777.6506516650659</v>
      </c>
      <c r="N12" s="135">
        <f>C12*(1-D12)*L12*0.453592/(47.9*12*80*2.54^2/100/100/10000)</f>
        <v>2424.6955286178759</v>
      </c>
      <c r="O12" s="135">
        <f>M12+N12</f>
        <v>4202.3461802829415</v>
      </c>
    </row>
    <row r="13" spans="1:24" ht="14.25" customHeight="1" x14ac:dyDescent="0.2">
      <c r="A13" s="47">
        <v>1</v>
      </c>
      <c r="B13" s="47">
        <v>11</v>
      </c>
      <c r="C13" s="136">
        <v>17.3</v>
      </c>
      <c r="D13" s="134">
        <v>6.207153106233728E-2</v>
      </c>
      <c r="E13" s="134">
        <v>0.34682356178839197</v>
      </c>
      <c r="F13" s="134">
        <v>0.51912728018486143</v>
      </c>
      <c r="G13" s="135">
        <f>C13*(1-D13)*E13*0.453592/(47.9*12*80*2.54^2/100/100/10000)</f>
        <v>860.43015400789648</v>
      </c>
      <c r="H13" s="135">
        <f>C13*(1-D13)*F13*0.453592/(47.9*12*80*2.54^2/100/100/10000)</f>
        <v>1287.8962528840241</v>
      </c>
      <c r="I13" s="135">
        <f>G13+H13</f>
        <v>2148.3264068919207</v>
      </c>
      <c r="K13" s="134">
        <v>0.39571647118816933</v>
      </c>
      <c r="L13" s="134">
        <v>0.5066009405632047</v>
      </c>
      <c r="M13" s="135">
        <f>C13*(1-D13)*K13*0.453592/(47.9*12*80*2.54^2/100/100/10000)</f>
        <v>981.72794977418346</v>
      </c>
      <c r="N13" s="135">
        <f>C13*(1-D13)*L13*0.453592/(47.9*12*80*2.54^2/100/100/10000)</f>
        <v>1256.8198165708725</v>
      </c>
      <c r="O13" s="135">
        <f>M13+N13</f>
        <v>2238.5477663450561</v>
      </c>
    </row>
    <row r="14" spans="1:24" x14ac:dyDescent="0.2">
      <c r="A14" s="47">
        <v>2</v>
      </c>
      <c r="B14" s="47">
        <v>1</v>
      </c>
      <c r="C14" s="136">
        <v>25.299999999999997</v>
      </c>
      <c r="D14" s="134">
        <v>5.7374968266057425E-2</v>
      </c>
      <c r="E14" s="134">
        <v>0.3200114992620145</v>
      </c>
      <c r="F14" s="134">
        <v>0.51905865180298771</v>
      </c>
      <c r="G14" s="135">
        <f>C14*(1-D14)*E14*0.453592/(47.9*12*80*2.54^2/100/100/10000)</f>
        <v>1166.8533588792097</v>
      </c>
      <c r="H14" s="135">
        <f>C14*(1-D14)*F14*0.453592/(47.9*12*80*2.54^2/100/100/10000)</f>
        <v>1892.636148102079</v>
      </c>
      <c r="I14" s="135">
        <f>G14+H14</f>
        <v>3059.4895069812887</v>
      </c>
      <c r="K14" s="134">
        <v>0.39838405601939131</v>
      </c>
      <c r="L14" s="134">
        <v>0.5376245623485052</v>
      </c>
      <c r="M14" s="135">
        <f>C14*(1-D14)*K14*0.453592/(47.9*12*80*2.54^2/100/100/10000)</f>
        <v>1452.6220931502901</v>
      </c>
      <c r="N14" s="135">
        <f>C14*(1-D14)*L14*0.453592/(47.9*12*80*2.54^2/100/100/10000)</f>
        <v>1960.3327625382699</v>
      </c>
      <c r="O14" s="135">
        <f>M14+N14</f>
        <v>3412.9548556885602</v>
      </c>
    </row>
    <row r="15" spans="1:24" ht="14.25" customHeight="1" x14ac:dyDescent="0.2">
      <c r="A15" s="47">
        <v>2</v>
      </c>
      <c r="B15" s="47">
        <v>2</v>
      </c>
      <c r="C15" s="136">
        <v>29.8</v>
      </c>
      <c r="D15" s="134">
        <v>6.5452192524015754E-2</v>
      </c>
      <c r="E15" s="134">
        <v>0.37452170543185631</v>
      </c>
      <c r="F15" s="134">
        <v>0.54927501295227066</v>
      </c>
      <c r="G15" s="135">
        <f>C15*(1-D15)*E15*0.453592/(47.9*12*80*2.54^2/100/100/10000)</f>
        <v>1594.7256733450504</v>
      </c>
      <c r="H15" s="135">
        <f>C15*(1-D15)*F15*0.453592/(47.9*12*80*2.54^2/100/100/10000)</f>
        <v>2338.8309734195036</v>
      </c>
      <c r="I15" s="135">
        <f>G15+H15</f>
        <v>3933.556646764554</v>
      </c>
      <c r="K15" s="134">
        <v>0.39545164039198977</v>
      </c>
      <c r="L15" s="134">
        <v>0.52961227098423524</v>
      </c>
      <c r="M15" s="135">
        <f>C15*(1-D15)*K15*0.453592/(47.9*12*80*2.54^2/100/100/10000)</f>
        <v>1683.8460210799831</v>
      </c>
      <c r="N15" s="135">
        <f>C15*(1-D15)*L15*0.453592/(47.9*12*80*2.54^2/100/100/10000)</f>
        <v>2255.1063748982292</v>
      </c>
      <c r="O15" s="135">
        <f>M15+N15</f>
        <v>3938.9523959782123</v>
      </c>
    </row>
    <row r="16" spans="1:24" x14ac:dyDescent="0.2">
      <c r="A16" s="47">
        <v>2</v>
      </c>
      <c r="B16" s="47">
        <v>3</v>
      </c>
      <c r="C16" s="136">
        <v>27.4</v>
      </c>
      <c r="D16" s="134">
        <v>5.4516711833784974E-2</v>
      </c>
      <c r="E16" s="134">
        <v>0.37040849633205136</v>
      </c>
      <c r="F16" s="134">
        <v>0.54157912483981885</v>
      </c>
      <c r="G16" s="135">
        <f>C16*(1-D16)*E16*0.453592/(47.9*12*80*2.54^2/100/100/10000)</f>
        <v>1467.1569194095248</v>
      </c>
      <c r="H16" s="135">
        <f>C16*(1-D16)*F16*0.453592/(47.9*12*80*2.54^2/100/100/10000)</f>
        <v>2145.1493912391124</v>
      </c>
      <c r="I16" s="135">
        <f>G16+H16</f>
        <v>3612.306310648637</v>
      </c>
      <c r="K16" s="134">
        <v>0.39378015573496394</v>
      </c>
      <c r="L16" s="134">
        <v>0.53112310705584487</v>
      </c>
      <c r="M16" s="135">
        <f>C16*(1-D16)*K16*0.453592/(47.9*12*80*2.54^2/100/100/10000)</f>
        <v>1559.7300978074816</v>
      </c>
      <c r="N16" s="135">
        <f>C16*(1-D16)*L16*0.453592/(47.9*12*80*2.54^2/100/100/10000)</f>
        <v>2103.7339836738543</v>
      </c>
      <c r="O16" s="135">
        <f>M16+N16</f>
        <v>3663.4640814813356</v>
      </c>
    </row>
    <row r="17" spans="1:15" ht="14.25" customHeight="1" x14ac:dyDescent="0.2">
      <c r="A17" s="47">
        <v>2</v>
      </c>
      <c r="B17" s="47">
        <v>4</v>
      </c>
      <c r="C17" s="136">
        <v>26.900000000000002</v>
      </c>
      <c r="D17" s="134">
        <v>5.5540777783688877E-2</v>
      </c>
      <c r="E17" s="134">
        <v>0.36362289493321426</v>
      </c>
      <c r="F17" s="134">
        <v>0.52107160843929623</v>
      </c>
      <c r="G17" s="135">
        <f>C17*(1-D17)*E17*0.453592/(47.9*12*80*2.54^2/100/100/10000)</f>
        <v>1412.4657260801625</v>
      </c>
      <c r="H17" s="135">
        <f>C17*(1-D17)*F17*0.453592/(47.9*12*80*2.54^2/100/100/10000)</f>
        <v>2024.0633854728735</v>
      </c>
      <c r="I17" s="135">
        <f>G17+H17</f>
        <v>3436.5291115530363</v>
      </c>
      <c r="K17" s="134">
        <v>0.39801723652340448</v>
      </c>
      <c r="L17" s="134">
        <v>0.53900749169154505</v>
      </c>
      <c r="M17" s="135">
        <f>C17*(1-D17)*K17*0.453592/(47.9*12*80*2.54^2/100/100/10000)</f>
        <v>1546.0679533990992</v>
      </c>
      <c r="N17" s="135">
        <f>C17*(1-D17)*L17*0.453592/(47.9*12*80*2.54^2/100/100/10000)</f>
        <v>2093.7339719892416</v>
      </c>
      <c r="O17" s="135">
        <f>M17+N17</f>
        <v>3639.8019253883408</v>
      </c>
    </row>
    <row r="18" spans="1:15" x14ac:dyDescent="0.2">
      <c r="A18" s="47">
        <v>2</v>
      </c>
      <c r="B18" s="47">
        <v>5</v>
      </c>
      <c r="C18" s="136">
        <v>32.200000000000003</v>
      </c>
      <c r="D18" s="134">
        <v>4.967320261437911E-2</v>
      </c>
      <c r="E18" s="134">
        <v>0.49420159276321718</v>
      </c>
      <c r="F18" s="134">
        <v>0.78964035515232278</v>
      </c>
      <c r="G18" s="135">
        <f>C18*(1-D18)*E18*0.453592/(47.9*12*80*2.54^2/100/100/10000)</f>
        <v>2312.1936000700548</v>
      </c>
      <c r="H18" s="135">
        <f>C18*(1-D18)*F18*0.453592/(47.9*12*80*2.54^2/100/100/10000)</f>
        <v>3694.4465624477007</v>
      </c>
      <c r="I18" s="135">
        <f>G18+H18</f>
        <v>6006.640162517755</v>
      </c>
      <c r="K18" s="134">
        <v>0.38707015130674005</v>
      </c>
      <c r="L18" s="134">
        <v>0.53232462173314987</v>
      </c>
      <c r="M18" s="135">
        <f>C18*(1-D18)*K18*0.453592/(47.9*12*80*2.54^2/100/100/10000)</f>
        <v>1810.9636628759254</v>
      </c>
      <c r="N18" s="135">
        <f>C18*(1-D18)*L18*0.453592/(47.9*12*80*2.54^2/100/100/10000)</f>
        <v>2490.5577026758456</v>
      </c>
      <c r="O18" s="135">
        <f>M18+N18</f>
        <v>4301.5213655517709</v>
      </c>
    </row>
    <row r="19" spans="1:15" ht="14.25" customHeight="1" x14ac:dyDescent="0.2">
      <c r="A19" s="47">
        <v>2</v>
      </c>
      <c r="B19" s="47">
        <v>6</v>
      </c>
      <c r="C19" s="136">
        <v>25.7</v>
      </c>
      <c r="D19" s="134">
        <v>5.7077625570776259E-2</v>
      </c>
      <c r="E19" s="134">
        <v>0.38043166681317481</v>
      </c>
      <c r="F19" s="134">
        <v>0.53539583589135409</v>
      </c>
      <c r="G19" s="135">
        <f>C19*(1-D19)*E19*0.453592/(47.9*12*80*2.54^2/100/100/10000)</f>
        <v>1409.5384627516698</v>
      </c>
      <c r="H19" s="135">
        <f>C19*(1-D19)*F19*0.453592/(47.9*12*80*2.54^2/100/100/10000)</f>
        <v>1983.6966512478812</v>
      </c>
      <c r="I19" s="135">
        <f>G19+H19</f>
        <v>3393.2351139995508</v>
      </c>
      <c r="K19" s="134">
        <v>0.41054613935969869</v>
      </c>
      <c r="L19" s="134">
        <v>0.52612321764864145</v>
      </c>
      <c r="M19" s="135">
        <f>C19*(1-D19)*K19*0.453592/(47.9*12*80*2.54^2/100/100/10000)</f>
        <v>1521.1156815867414</v>
      </c>
      <c r="N19" s="135">
        <f>C19*(1-D19)*L19*0.453592/(47.9*12*80*2.54^2/100/100/10000)</f>
        <v>1949.3406467306893</v>
      </c>
      <c r="O19" s="135">
        <f>M19+N19</f>
        <v>3470.4563283174307</v>
      </c>
    </row>
    <row r="20" spans="1:15" x14ac:dyDescent="0.2">
      <c r="A20" s="47">
        <v>2</v>
      </c>
      <c r="B20" s="47">
        <v>7</v>
      </c>
      <c r="C20" s="136">
        <v>27.8</v>
      </c>
      <c r="D20" s="134">
        <v>6.0219454846294457E-2</v>
      </c>
      <c r="E20" s="134">
        <v>0.36879255626946383</v>
      </c>
      <c r="F20" s="134">
        <v>0.56272956375265315</v>
      </c>
      <c r="G20" s="135">
        <f>C20*(1-D20)*E20*0.453592/(47.9*12*80*2.54^2/100/100/10000)</f>
        <v>1473.1419585340836</v>
      </c>
      <c r="H20" s="135">
        <f>C20*(1-D20)*F20*0.453592/(47.9*12*80*2.54^2/100/100/10000)</f>
        <v>2247.8233835769365</v>
      </c>
      <c r="I20" s="135">
        <f>G20+H20</f>
        <v>3720.9653421110202</v>
      </c>
      <c r="K20" s="134">
        <v>0.40230737154241764</v>
      </c>
      <c r="L20" s="134">
        <v>0.53602372237409068</v>
      </c>
      <c r="M20" s="135">
        <f>C20*(1-D20)*K20*0.453592/(47.9*12*80*2.54^2/100/100/10000)</f>
        <v>1607.0168965494615</v>
      </c>
      <c r="N20" s="135">
        <f>C20*(1-D20)*L20*0.453592/(47.9*12*80*2.54^2/100/100/10000)</f>
        <v>2141.1468934908121</v>
      </c>
      <c r="O20" s="135">
        <f>M20+N20</f>
        <v>3748.1637900402739</v>
      </c>
    </row>
    <row r="21" spans="1:15" ht="14.25" customHeight="1" x14ac:dyDescent="0.2">
      <c r="A21" s="47">
        <v>2</v>
      </c>
      <c r="B21" s="47">
        <v>8</v>
      </c>
      <c r="C21" s="136">
        <v>23.900000000000002</v>
      </c>
      <c r="D21" s="134">
        <v>5.694985454366161E-2</v>
      </c>
      <c r="E21" s="134">
        <v>0.34430217581879768</v>
      </c>
      <c r="F21" s="134">
        <v>0.51507605502492138</v>
      </c>
      <c r="G21" s="135">
        <f>C21*(1-D21)*E21*0.453592/(47.9*12*80*2.54^2/100/100/10000)</f>
        <v>1186.4888496897527</v>
      </c>
      <c r="H21" s="135">
        <f>C21*(1-D21)*F21*0.453592/(47.9*12*80*2.54^2/100/100/10000)</f>
        <v>1774.9873191358702</v>
      </c>
      <c r="I21" s="135">
        <f>G21+H21</f>
        <v>2961.4761688256231</v>
      </c>
      <c r="K21" s="134">
        <v>0.39940395273449758</v>
      </c>
      <c r="L21" s="134">
        <v>0.53544912684304091</v>
      </c>
      <c r="M21" s="135">
        <f>C21*(1-D21)*K21*0.453592/(47.9*12*80*2.54^2/100/100/10000)</f>
        <v>1376.3733421507523</v>
      </c>
      <c r="N21" s="135">
        <f>C21*(1-D21)*L21*0.453592/(47.9*12*80*2.54^2/100/100/10000)</f>
        <v>1845.1943182309008</v>
      </c>
      <c r="O21" s="135">
        <f>M21+N21</f>
        <v>3221.5676603816528</v>
      </c>
    </row>
    <row r="22" spans="1:15" x14ac:dyDescent="0.2">
      <c r="A22" s="47">
        <v>2</v>
      </c>
      <c r="B22" s="47">
        <v>9</v>
      </c>
      <c r="C22" s="136">
        <v>27.9</v>
      </c>
      <c r="D22" s="134">
        <v>5.9950832495250815E-2</v>
      </c>
      <c r="E22" s="134">
        <v>0.38524091550528133</v>
      </c>
      <c r="F22" s="134">
        <v>0.52778005424223529</v>
      </c>
      <c r="G22" s="135">
        <f>C22*(1-D22)*E22*0.453592/(47.9*12*80*2.54^2/100/100/10000)</f>
        <v>1544.8217853086537</v>
      </c>
      <c r="H22" s="135">
        <f>C22*(1-D22)*F22*0.453592/(47.9*12*80*2.54^2/100/100/10000)</f>
        <v>2116.405845872855</v>
      </c>
      <c r="I22" s="135">
        <f>G22+H22</f>
        <v>3661.2276311815085</v>
      </c>
      <c r="K22" s="134">
        <v>0.41759286775631504</v>
      </c>
      <c r="L22" s="134">
        <v>0.53378900445765232</v>
      </c>
      <c r="M22" s="135">
        <f>C22*(1-D22)*K22*0.453592/(47.9*12*80*2.54^2/100/100/10000)</f>
        <v>1674.5535936995434</v>
      </c>
      <c r="N22" s="135">
        <f>C22*(1-D22)*L22*0.453592/(47.9*12*80*2.54^2/100/100/10000)</f>
        <v>2140.5018253651579</v>
      </c>
      <c r="O22" s="135">
        <f>M22+N22</f>
        <v>3815.0554190647013</v>
      </c>
    </row>
    <row r="23" spans="1:15" ht="14.25" customHeight="1" x14ac:dyDescent="0.2">
      <c r="A23" s="47">
        <v>2</v>
      </c>
      <c r="B23" s="47">
        <v>10</v>
      </c>
      <c r="C23" s="136">
        <v>19</v>
      </c>
      <c r="D23" s="134">
        <v>7.9550883898710012E-2</v>
      </c>
      <c r="E23" s="134">
        <v>0.40297841658667427</v>
      </c>
      <c r="F23" s="134">
        <v>0.58048933543835335</v>
      </c>
      <c r="G23" s="135">
        <f>C23*(1-D23)*E23*0.453592/(47.9*12*80*2.54^2/100/100/10000)</f>
        <v>1077.522577187219</v>
      </c>
      <c r="H23" s="135">
        <f>C23*(1-D23)*F23*0.453592/(47.9*12*80*2.54^2/100/100/10000)</f>
        <v>1552.1684015965095</v>
      </c>
      <c r="I23" s="135">
        <f>G23+H23</f>
        <v>2629.6909787837285</v>
      </c>
      <c r="K23" s="134">
        <v>0.40264728782766673</v>
      </c>
      <c r="L23" s="134">
        <v>0.538437581105632</v>
      </c>
      <c r="M23" s="135">
        <f>C23*(1-D23)*K23*0.453592/(47.9*12*80*2.54^2/100/100/10000)</f>
        <v>1076.6371731578699</v>
      </c>
      <c r="N23" s="135">
        <f>C23*(1-D23)*L23*0.453592/(47.9*12*80*2.54^2/100/100/10000)</f>
        <v>1439.7263629195027</v>
      </c>
      <c r="O23" s="135">
        <f>M23+N23</f>
        <v>2516.3635360773724</v>
      </c>
    </row>
    <row r="24" spans="1:15" x14ac:dyDescent="0.2">
      <c r="A24" s="47">
        <v>2</v>
      </c>
      <c r="B24" s="47">
        <v>11</v>
      </c>
      <c r="C24" s="136">
        <v>11.3</v>
      </c>
      <c r="D24" s="134">
        <v>6.0966645226500214E-2</v>
      </c>
      <c r="E24" s="134">
        <v>0.3549416224973504</v>
      </c>
      <c r="F24" s="134">
        <v>0.54282961050021694</v>
      </c>
      <c r="G24" s="135">
        <f>C24*(1-D24)*E24*0.453592/(47.9*12*80*2.54^2/100/100/10000)</f>
        <v>575.84765036112901</v>
      </c>
      <c r="H24" s="135">
        <f>C24*(1-D24)*F24*0.453592/(47.9*12*80*2.54^2/100/100/10000)</f>
        <v>880.67202024279413</v>
      </c>
      <c r="I24" s="135">
        <f>G24+H24</f>
        <v>1456.5196706039233</v>
      </c>
      <c r="K24" s="134">
        <v>0.39767111893928275</v>
      </c>
      <c r="L24" s="134">
        <v>0.53050540633103382</v>
      </c>
      <c r="M24" s="135">
        <f>C24*(1-D24)*K24*0.453592/(47.9*12*80*2.54^2/100/100/10000)</f>
        <v>645.17082512456386</v>
      </c>
      <c r="N24" s="135">
        <f>C24*(1-D24)*L24*0.453592/(47.9*12*80*2.54^2/100/100/10000)</f>
        <v>860.6775660464624</v>
      </c>
      <c r="O24" s="135">
        <f>M24+N24</f>
        <v>1505.8483911710264</v>
      </c>
    </row>
    <row r="25" spans="1:15" x14ac:dyDescent="0.2">
      <c r="A25" s="47">
        <v>3</v>
      </c>
      <c r="B25" s="47">
        <v>1</v>
      </c>
      <c r="C25" s="136">
        <v>43.199999999999996</v>
      </c>
      <c r="D25" s="134">
        <v>5.1778984975285006E-2</v>
      </c>
      <c r="E25" s="134">
        <v>0.36651390117746174</v>
      </c>
      <c r="F25" s="134">
        <v>0.53987637002337896</v>
      </c>
      <c r="G25" s="135">
        <f>C25*(1-D25)*E25*0.453592/(47.9*12*80*2.54^2/100/100/10000)</f>
        <v>2295.4877573170179</v>
      </c>
      <c r="H25" s="135">
        <f>C25*(1-D25)*F25*0.453592/(47.9*12*80*2.54^2/100/100/10000)</f>
        <v>3381.2621946182994</v>
      </c>
      <c r="I25" s="135">
        <f>G25+H25</f>
        <v>5676.7499519353169</v>
      </c>
      <c r="K25" s="134">
        <v>0.39427096774193549</v>
      </c>
      <c r="L25" s="134">
        <v>0.53775483870967744</v>
      </c>
      <c r="M25" s="135">
        <f>C25*(1-D25)*K25*0.453592/(47.9*12*80*2.54^2/100/100/10000)</f>
        <v>2469.3311129798976</v>
      </c>
      <c r="N25" s="135">
        <f>C25*(1-D25)*L25*0.453592/(47.9*12*80*2.54^2/100/100/10000)</f>
        <v>3367.9749792037637</v>
      </c>
      <c r="O25" s="135">
        <f>M25+N25</f>
        <v>5837.3060921836613</v>
      </c>
    </row>
    <row r="26" spans="1:15" x14ac:dyDescent="0.2">
      <c r="A26" s="47">
        <v>3</v>
      </c>
      <c r="B26" s="47">
        <v>2</v>
      </c>
      <c r="C26" s="136">
        <v>39.099999999999994</v>
      </c>
      <c r="D26" s="134">
        <v>5.9136448266690206E-2</v>
      </c>
      <c r="E26" s="134">
        <v>0.3343829875694298</v>
      </c>
      <c r="F26" s="134">
        <v>0.53780425443005087</v>
      </c>
      <c r="G26" s="135">
        <f>C26*(1-D26)*E26*0.453592/(47.9*12*80*2.54^2/100/100/10000)</f>
        <v>1880.7833971766117</v>
      </c>
      <c r="H26" s="135">
        <f>C26*(1-D26)*F26*0.453592/(47.9*12*80*2.54^2/100/100/10000)</f>
        <v>3024.954469171264</v>
      </c>
      <c r="I26" s="135">
        <f>G26+H26</f>
        <v>4905.7378663478758</v>
      </c>
      <c r="K26" s="134">
        <v>0.38875800980022618</v>
      </c>
      <c r="L26" s="134">
        <v>0.54692800603090841</v>
      </c>
      <c r="M26" s="135">
        <f>C26*(1-D26)*K26*0.453592/(47.9*12*80*2.54^2/100/100/10000)</f>
        <v>2186.6232360277336</v>
      </c>
      <c r="N26" s="135">
        <f>C26*(1-D26)*L26*0.453592/(47.9*12*80*2.54^2/100/100/10000)</f>
        <v>3076.2722729135776</v>
      </c>
      <c r="O26" s="135">
        <f>M26+N26</f>
        <v>5262.8955089413112</v>
      </c>
    </row>
    <row r="27" spans="1:15" x14ac:dyDescent="0.2">
      <c r="A27" s="47">
        <v>3</v>
      </c>
      <c r="B27" s="47">
        <v>3</v>
      </c>
      <c r="C27" s="136">
        <v>43.599999999999994</v>
      </c>
      <c r="D27" s="134">
        <v>4.8222719363659079E-2</v>
      </c>
      <c r="E27" s="134">
        <v>0.35139926003272215</v>
      </c>
      <c r="F27" s="134">
        <v>0.53444754377600323</v>
      </c>
      <c r="G27" s="135">
        <f>C27*(1-D27)*E27*0.453592/(47.9*12*80*2.54^2/100/100/10000)</f>
        <v>2229.5328327923744</v>
      </c>
      <c r="H27" s="135">
        <f>C27*(1-D27)*F27*0.453592/(47.9*12*80*2.54^2/100/100/10000)</f>
        <v>3390.9244605207214</v>
      </c>
      <c r="I27" s="135">
        <f>G27+H27</f>
        <v>5620.4572933130958</v>
      </c>
      <c r="K27" s="134">
        <v>0.38779707495429622</v>
      </c>
      <c r="L27" s="134">
        <v>0.54015408722904157</v>
      </c>
      <c r="M27" s="135">
        <f>C27*(1-D27)*K27*0.453592/(47.9*12*80*2.54^2/100/100/10000)</f>
        <v>2460.4670795007846</v>
      </c>
      <c r="N27" s="135">
        <f>C27*(1-D27)*L27*0.453592/(47.9*12*80*2.54^2/100/100/10000)</f>
        <v>3427.1309283121454</v>
      </c>
      <c r="O27" s="135">
        <f>M27+N27</f>
        <v>5887.5980078129305</v>
      </c>
    </row>
    <row r="28" spans="1:15" x14ac:dyDescent="0.2">
      <c r="A28" s="47">
        <v>3</v>
      </c>
      <c r="B28" s="47">
        <v>4</v>
      </c>
      <c r="C28" s="136">
        <v>42.8</v>
      </c>
      <c r="D28" s="134">
        <v>5.3211278637164565E-2</v>
      </c>
      <c r="E28" s="134">
        <v>0.34504078081113165</v>
      </c>
      <c r="F28" s="134">
        <v>0.56738596882206771</v>
      </c>
      <c r="G28" s="135">
        <f>C28*(1-D28)*E28*0.453592/(47.9*12*80*2.54^2/100/100/10000)</f>
        <v>2137.757699506074</v>
      </c>
      <c r="H28" s="135">
        <f>C28*(1-D28)*F28*0.453592/(47.9*12*80*2.54^2/100/100/10000)</f>
        <v>3515.334392038209</v>
      </c>
      <c r="I28" s="135">
        <f>G28+H28</f>
        <v>5653.092091544283</v>
      </c>
      <c r="K28" s="134">
        <v>0.38260689726487773</v>
      </c>
      <c r="L28" s="134">
        <v>0.53937231787394646</v>
      </c>
      <c r="M28" s="135">
        <f>C28*(1-D28)*K28*0.453592/(47.9*12*80*2.54^2/100/100/10000)</f>
        <v>2370.5048388463829</v>
      </c>
      <c r="N28" s="135">
        <f>C28*(1-D28)*L28*0.453592/(47.9*12*80*2.54^2/100/100/10000)</f>
        <v>3341.7711457899272</v>
      </c>
      <c r="O28" s="135">
        <f>M28+N28</f>
        <v>5712.2759846363097</v>
      </c>
    </row>
    <row r="29" spans="1:15" x14ac:dyDescent="0.2">
      <c r="A29" s="47">
        <v>3</v>
      </c>
      <c r="B29" s="47">
        <v>5</v>
      </c>
      <c r="C29" s="136">
        <v>43.9</v>
      </c>
      <c r="D29" s="134">
        <v>5.1375487579552404E-2</v>
      </c>
      <c r="E29" s="134">
        <v>0.36463878949404011</v>
      </c>
      <c r="F29" s="134">
        <v>0.54579320408293219</v>
      </c>
      <c r="G29" s="135">
        <f>C29*(1-D29)*E29*0.453592/(47.9*12*80*2.54^2/100/100/10000)</f>
        <v>2321.7365352039474</v>
      </c>
      <c r="H29" s="135">
        <f>C29*(1-D29)*F29*0.453592/(47.9*12*80*2.54^2/100/100/10000)</f>
        <v>3475.1871141950451</v>
      </c>
      <c r="I29" s="135">
        <f>G29+H29</f>
        <v>5796.923649398992</v>
      </c>
      <c r="K29" s="134">
        <v>0.38316290645457984</v>
      </c>
      <c r="L29" s="134">
        <v>0.53930638965535893</v>
      </c>
      <c r="M29" s="135">
        <f>C29*(1-D29)*K29*0.453592/(47.9*12*80*2.54^2/100/100/10000)</f>
        <v>2439.6837212105502</v>
      </c>
      <c r="N29" s="135">
        <f>C29*(1-D29)*L29*0.453592/(47.9*12*80*2.54^2/100/100/10000)</f>
        <v>3433.8841193203571</v>
      </c>
      <c r="O29" s="135">
        <f>M29+N29</f>
        <v>5873.5678405309072</v>
      </c>
    </row>
    <row r="30" spans="1:15" x14ac:dyDescent="0.2">
      <c r="A30" s="47">
        <v>3</v>
      </c>
      <c r="B30" s="47">
        <v>6</v>
      </c>
      <c r="C30" s="136">
        <v>41.4</v>
      </c>
      <c r="D30" s="134">
        <v>5.8322903629536994E-2</v>
      </c>
      <c r="E30" s="134">
        <v>0.35261064515682372</v>
      </c>
      <c r="F30" s="134">
        <v>0.53803806815086364</v>
      </c>
      <c r="G30" s="135">
        <f>C30*(1-D30)*E30*0.453592/(47.9*12*80*2.54^2/100/100/10000)</f>
        <v>2101.7883217009762</v>
      </c>
      <c r="H30" s="135">
        <f>C30*(1-D30)*F30*0.453592/(47.9*12*80*2.54^2/100/100/10000)</f>
        <v>3207.0561221062871</v>
      </c>
      <c r="I30" s="135">
        <f>G30+H30</f>
        <v>5308.8444438072638</v>
      </c>
      <c r="K30" s="134">
        <v>0.40076200602516387</v>
      </c>
      <c r="L30" s="134">
        <v>0.54691653375863902</v>
      </c>
      <c r="M30" s="135">
        <f>C30*(1-D30)*K30*0.453592/(47.9*12*80*2.54^2/100/100/10000)</f>
        <v>2388.80168711448</v>
      </c>
      <c r="N30" s="135">
        <f>C30*(1-D30)*L30*0.453592/(47.9*12*80*2.54^2/100/100/10000)</f>
        <v>3259.9775400650296</v>
      </c>
      <c r="O30" s="135">
        <f>M30+N30</f>
        <v>5648.7792271795097</v>
      </c>
    </row>
    <row r="31" spans="1:15" x14ac:dyDescent="0.2">
      <c r="A31" s="47">
        <v>3</v>
      </c>
      <c r="B31" s="47">
        <v>7</v>
      </c>
      <c r="C31" s="136">
        <v>39.199999999999996</v>
      </c>
      <c r="D31" s="134">
        <v>5.6636066594056407E-2</v>
      </c>
      <c r="E31" s="134">
        <v>0.36812435074915284</v>
      </c>
      <c r="F31" s="134">
        <v>0.55087880196476247</v>
      </c>
      <c r="G31" s="135">
        <f>C31*(1-D31)*E31*0.453592/(47.9*12*80*2.54^2/100/100/10000)</f>
        <v>2081.3786150778192</v>
      </c>
      <c r="H31" s="135">
        <f>C31*(1-D31)*F31*0.453592/(47.9*12*80*2.54^2/100/100/10000)</f>
        <v>3114.6740376608573</v>
      </c>
      <c r="I31" s="135">
        <f>G31+H31</f>
        <v>5196.0526527386764</v>
      </c>
      <c r="K31" s="134">
        <v>0.39188520534388921</v>
      </c>
      <c r="L31" s="134">
        <v>0.5436802463027105</v>
      </c>
      <c r="M31" s="135">
        <f>C31*(1-D31)*K31*0.453592/(47.9*12*80*2.54^2/100/100/10000)</f>
        <v>2215.7227151864195</v>
      </c>
      <c r="N31" s="135">
        <f>C31*(1-D31)*L31*0.453592/(47.9*12*80*2.54^2/100/100/10000)</f>
        <v>3073.9733348033815</v>
      </c>
      <c r="O31" s="135">
        <f>M31+N31</f>
        <v>5289.6960499898014</v>
      </c>
    </row>
    <row r="32" spans="1:15" x14ac:dyDescent="0.2">
      <c r="A32" s="47">
        <v>3</v>
      </c>
      <c r="B32" s="47">
        <v>8</v>
      </c>
      <c r="C32" s="136">
        <v>40.599999999999994</v>
      </c>
      <c r="D32" s="134">
        <v>5.1204819277108404E-2</v>
      </c>
      <c r="E32" s="134">
        <v>0.35375473181270278</v>
      </c>
      <c r="F32" s="134">
        <v>0.55593555899665503</v>
      </c>
      <c r="G32" s="135">
        <f>C32*(1-D32)*E32*0.453592/(47.9*12*80*2.54^2/100/100/10000)</f>
        <v>2083.492627117957</v>
      </c>
      <c r="H32" s="135">
        <f>C32*(1-D32)*F32*0.453592/(47.9*12*80*2.54^2/100/100/10000)</f>
        <v>3274.2675479899781</v>
      </c>
      <c r="I32" s="135">
        <f>G32+H32</f>
        <v>5357.7601751079346</v>
      </c>
      <c r="K32" s="134">
        <v>0.40190476190476188</v>
      </c>
      <c r="L32" s="134">
        <v>0.54239538239538243</v>
      </c>
      <c r="M32" s="135">
        <f>C32*(1-D32)*K32*0.453592/(47.9*12*80*2.54^2/100/100/10000)</f>
        <v>2367.0795976109139</v>
      </c>
      <c r="N32" s="135">
        <f>C32*(1-D32)*L32*0.453592/(47.9*12*80*2.54^2/100/100/10000)</f>
        <v>3194.5206058810513</v>
      </c>
      <c r="O32" s="135">
        <f>M32+N32</f>
        <v>5561.6002034919657</v>
      </c>
    </row>
    <row r="33" spans="1:15" x14ac:dyDescent="0.2">
      <c r="A33" s="47">
        <v>3</v>
      </c>
      <c r="B33" s="47">
        <v>9</v>
      </c>
      <c r="C33" s="136">
        <v>37.199999999999996</v>
      </c>
      <c r="D33" s="134">
        <v>5.3454889652767353E-2</v>
      </c>
      <c r="E33" s="134">
        <v>0.37519957221137418</v>
      </c>
      <c r="F33" s="134">
        <v>0.55159701616945489</v>
      </c>
      <c r="G33" s="135">
        <f>C33*(1-D33)*E33*0.453592/(47.9*12*80*2.54^2/100/100/10000)</f>
        <v>2019.936874316837</v>
      </c>
      <c r="H33" s="135">
        <f>C33*(1-D33)*F33*0.453592/(47.9*12*80*2.54^2/100/100/10000)</f>
        <v>2969.5960103497309</v>
      </c>
      <c r="I33" s="135">
        <f>G33+H33</f>
        <v>4989.532884666568</v>
      </c>
      <c r="K33" s="134">
        <v>0.39847368421052626</v>
      </c>
      <c r="L33" s="134">
        <v>0.54615789473684206</v>
      </c>
      <c r="M33" s="135">
        <f>C33*(1-D33)*K33*0.453592/(47.9*12*80*2.54^2/100/100/10000)</f>
        <v>2145.2361564215144</v>
      </c>
      <c r="N33" s="135">
        <f>C33*(1-D33)*L33*0.453592/(47.9*12*80*2.54^2/100/100/10000)</f>
        <v>2940.3137756156461</v>
      </c>
      <c r="O33" s="135">
        <f>M33+N33</f>
        <v>5085.54993203716</v>
      </c>
    </row>
    <row r="34" spans="1:15" x14ac:dyDescent="0.2">
      <c r="A34" s="47">
        <v>3</v>
      </c>
      <c r="B34" s="47">
        <v>10</v>
      </c>
      <c r="C34" s="136">
        <v>37.299999999999997</v>
      </c>
      <c r="D34" s="134">
        <v>4.8300444260770854E-2</v>
      </c>
      <c r="E34" s="134">
        <v>0.336636395844432</v>
      </c>
      <c r="F34" s="134">
        <v>0.54602423405966882</v>
      </c>
      <c r="G34" s="135">
        <f>C34*(1-D34)*E34*0.453592/(47.9*12*80*2.54^2/100/100/10000)</f>
        <v>1827.094345013963</v>
      </c>
      <c r="H34" s="135">
        <f>C34*(1-D34)*F34*0.453592/(47.9*12*80*2.54^2/100/100/10000)</f>
        <v>2963.5470276126489</v>
      </c>
      <c r="I34" s="135">
        <f>G34+H34</f>
        <v>4790.6413726266119</v>
      </c>
      <c r="K34" s="134">
        <v>0.40568854149704175</v>
      </c>
      <c r="L34" s="134">
        <v>0.54041144221896542</v>
      </c>
      <c r="M34" s="135">
        <f>C34*(1-D34)*K34*0.453592/(47.9*12*80*2.54^2/100/100/10000)</f>
        <v>2201.8749284279675</v>
      </c>
      <c r="N34" s="135">
        <f>C34*(1-D34)*L34*0.453592/(47.9*12*80*2.54^2/100/100/10000)</f>
        <v>2933.083594785769</v>
      </c>
      <c r="O34" s="135">
        <f>M34+N34</f>
        <v>5134.958523213736</v>
      </c>
    </row>
    <row r="35" spans="1:15" x14ac:dyDescent="0.2">
      <c r="A35" s="47">
        <v>3</v>
      </c>
      <c r="B35" s="47">
        <v>11</v>
      </c>
      <c r="C35" s="136">
        <v>31.099999999999998</v>
      </c>
      <c r="D35" s="134">
        <v>5.9076061595893722E-2</v>
      </c>
      <c r="E35" s="134">
        <v>0.37782807818663705</v>
      </c>
      <c r="F35" s="134">
        <v>0.55546129576975733</v>
      </c>
      <c r="G35" s="135">
        <f>C35*(1-D35)*E35*0.453592/(47.9*12*80*2.54^2/100/100/10000)</f>
        <v>1690.442265238004</v>
      </c>
      <c r="H35" s="135">
        <f>C35*(1-D35)*F35*0.453592/(47.9*12*80*2.54^2/100/100/10000)</f>
        <v>2485.1918247569643</v>
      </c>
      <c r="I35" s="135">
        <f>G35+H35</f>
        <v>4175.6340899949682</v>
      </c>
      <c r="K35" s="134">
        <v>0.3961019638960524</v>
      </c>
      <c r="L35" s="134">
        <v>0.53456655425510813</v>
      </c>
      <c r="M35" s="135">
        <f>C35*(1-D35)*K35*0.453592/(47.9*12*80*2.54^2/100/100/10000)</f>
        <v>1772.2015376075526</v>
      </c>
      <c r="N35" s="135">
        <f>C35*(1-D35)*L35*0.453592/(47.9*12*80*2.54^2/100/100/10000)</f>
        <v>2391.7065699100804</v>
      </c>
      <c r="O35" s="135">
        <f>M35+N35</f>
        <v>4163.9081075176327</v>
      </c>
    </row>
    <row r="36" spans="1:15" x14ac:dyDescent="0.2">
      <c r="A36" s="47">
        <v>4</v>
      </c>
      <c r="B36" s="47">
        <v>1</v>
      </c>
      <c r="C36" s="136">
        <v>29.900000000000002</v>
      </c>
      <c r="D36" s="134">
        <v>3.9299373648910833E-2</v>
      </c>
      <c r="E36" s="134">
        <v>0.35531935938604481</v>
      </c>
      <c r="F36" s="134">
        <v>0.55159701616945489</v>
      </c>
      <c r="G36" s="135">
        <f>C36*(1-D36)*E36*0.453592/(47.9*12*80*2.54^2/100/100/10000)</f>
        <v>1560.5200005786185</v>
      </c>
      <c r="H36" s="135">
        <f>C36*(1-D36)*F36*0.453592/(47.9*12*80*2.54^2/100/100/10000)</f>
        <v>2422.5479227454925</v>
      </c>
      <c r="I36" s="135">
        <f>G36+H36</f>
        <v>3983.0679233241108</v>
      </c>
      <c r="K36" s="134">
        <v>0.41414724209554582</v>
      </c>
      <c r="L36" s="134">
        <v>0.53623355642741755</v>
      </c>
      <c r="M36" s="135">
        <f>C36*(1-D36)*K36*0.453592/(47.9*12*80*2.54^2/100/100/10000)</f>
        <v>1818.8850041587609</v>
      </c>
      <c r="N36" s="135">
        <f>C36*(1-D36)*L36*0.453592/(47.9*12*80*2.54^2/100/100/10000)</f>
        <v>2355.0734506340941</v>
      </c>
      <c r="O36" s="135">
        <f>M36+N36</f>
        <v>4173.9584547928553</v>
      </c>
    </row>
    <row r="37" spans="1:15" x14ac:dyDescent="0.2">
      <c r="A37" s="47">
        <v>4</v>
      </c>
      <c r="B37" s="47">
        <v>2</v>
      </c>
      <c r="C37" s="136">
        <v>30.400000000000002</v>
      </c>
      <c r="D37" s="134">
        <v>4.747816286277818E-2</v>
      </c>
      <c r="E37" s="134">
        <v>0.36289317618571981</v>
      </c>
      <c r="F37" s="134">
        <v>0.54305062333298215</v>
      </c>
      <c r="G37" s="135">
        <f>C37*(1-D37)*E37*0.453592/(47.9*12*80*2.54^2/100/100/10000)</f>
        <v>1606.6398436191373</v>
      </c>
      <c r="H37" s="135">
        <f>C37*(1-D37)*F37*0.453592/(47.9*12*80*2.54^2/100/100/10000)</f>
        <v>2404.2523414726879</v>
      </c>
      <c r="I37" s="135">
        <f>G37+H37</f>
        <v>4010.892185091825</v>
      </c>
      <c r="K37" s="134">
        <v>0.39678548538184688</v>
      </c>
      <c r="L37" s="134">
        <v>0.54666469457180888</v>
      </c>
      <c r="M37" s="135">
        <f>C37*(1-D37)*K37*0.453592/(47.9*12*80*2.54^2/100/100/10000)</f>
        <v>1756.6915335381825</v>
      </c>
      <c r="N37" s="135">
        <f>C37*(1-D37)*L37*0.453592/(47.9*12*80*2.54^2/100/100/10000)</f>
        <v>2420.2529477971379</v>
      </c>
      <c r="O37" s="135">
        <f>M37+N37</f>
        <v>4176.9444813353202</v>
      </c>
    </row>
    <row r="38" spans="1:15" x14ac:dyDescent="0.2">
      <c r="A38" s="47">
        <v>4</v>
      </c>
      <c r="B38" s="47">
        <v>3</v>
      </c>
      <c r="C38" s="136">
        <v>36</v>
      </c>
      <c r="D38" s="134">
        <v>5.1374739840070086E-2</v>
      </c>
      <c r="E38" s="134">
        <v>0.36549004627783083</v>
      </c>
      <c r="F38" s="134">
        <v>0.56738596882206771</v>
      </c>
      <c r="G38" s="135">
        <f>C38*(1-D38)*E38*0.453592/(47.9*12*80*2.54^2/100/100/10000)</f>
        <v>1908.3760002665799</v>
      </c>
      <c r="H38" s="135">
        <f>C38*(1-D38)*F38*0.453592/(47.9*12*80*2.54^2/100/100/10000)</f>
        <v>2962.5588352273367</v>
      </c>
      <c r="I38" s="135">
        <f>G38+H38</f>
        <v>4870.9348354939166</v>
      </c>
      <c r="K38" s="134">
        <v>0.4017321016166282</v>
      </c>
      <c r="L38" s="134">
        <v>0.55363741339491923</v>
      </c>
      <c r="M38" s="135">
        <f>C38*(1-D38)*K38*0.453592/(47.9*12*80*2.54^2/100/100/10000)</f>
        <v>2097.6108900077875</v>
      </c>
      <c r="N38" s="135">
        <f>C38*(1-D38)*L38*0.453592/(47.9*12*80*2.54^2/100/100/10000)</f>
        <v>2890.7718919638792</v>
      </c>
      <c r="O38" s="135">
        <f>M38+N38</f>
        <v>4988.3827819716662</v>
      </c>
    </row>
    <row r="39" spans="1:15" x14ac:dyDescent="0.2">
      <c r="A39" s="47">
        <v>4</v>
      </c>
      <c r="B39" s="47">
        <v>4</v>
      </c>
      <c r="C39" s="136">
        <v>30.3</v>
      </c>
      <c r="D39" s="134">
        <v>5.4652438416275956E-2</v>
      </c>
      <c r="E39" s="134">
        <v>0.34752769524542587</v>
      </c>
      <c r="F39" s="134">
        <v>0.50968549095730831</v>
      </c>
      <c r="G39" s="135">
        <f>C39*(1-D39)*E39*0.453592/(47.9*12*80*2.54^2/100/100/10000)</f>
        <v>1522.0003896655999</v>
      </c>
      <c r="H39" s="135">
        <f>C39*(1-D39)*F39*0.453592/(47.9*12*80*2.54^2/100/100/10000)</f>
        <v>2232.1717850316741</v>
      </c>
      <c r="I39" s="135">
        <f>G39+H39</f>
        <v>3754.1721746972739</v>
      </c>
      <c r="K39" s="134">
        <v>0.4080071737525055</v>
      </c>
      <c r="L39" s="134">
        <v>0.55063825298027214</v>
      </c>
      <c r="M39" s="135">
        <f>C39*(1-D39)*K39*0.453592/(47.9*12*80*2.54^2/100/100/10000)</f>
        <v>1786.8707614773814</v>
      </c>
      <c r="N39" s="135">
        <f>C39*(1-D39)*L39*0.453592/(47.9*12*80*2.54^2/100/100/10000)</f>
        <v>2411.524741960231</v>
      </c>
      <c r="O39" s="135">
        <f>M39+N39</f>
        <v>4198.3955034376122</v>
      </c>
    </row>
    <row r="40" spans="1:15" x14ac:dyDescent="0.2">
      <c r="A40" s="47">
        <v>4</v>
      </c>
      <c r="B40" s="47">
        <v>5</v>
      </c>
      <c r="C40" s="136">
        <v>34.900000000000006</v>
      </c>
      <c r="D40" s="134">
        <v>4.8327494360992429E-2</v>
      </c>
      <c r="E40" s="134">
        <v>0.36651390117746174</v>
      </c>
      <c r="F40" s="134">
        <v>0.55743559114442842</v>
      </c>
      <c r="G40" s="135">
        <f>C40*(1-D40)*E40*0.453592/(47.9*12*80*2.54^2/100/100/10000)</f>
        <v>1861.2067002463687</v>
      </c>
      <c r="H40" s="135">
        <f>C40*(1-D40)*F40*0.453592/(47.9*12*80*2.54^2/100/100/10000)</f>
        <v>2830.7326239488498</v>
      </c>
      <c r="I40" s="135">
        <f>G40+H40</f>
        <v>4691.9393241952184</v>
      </c>
      <c r="K40" s="134">
        <v>0.39167927382753404</v>
      </c>
      <c r="L40" s="134">
        <v>0.54019162884518401</v>
      </c>
      <c r="M40" s="135">
        <f>C40*(1-D40)*K40*0.453592/(47.9*12*80*2.54^2/100/100/10000)</f>
        <v>1988.9998345314252</v>
      </c>
      <c r="N40" s="135">
        <f>C40*(1-D40)*L40*0.453592/(47.9*12*80*2.54^2/100/100/10000)</f>
        <v>2743.1654728338644</v>
      </c>
      <c r="O40" s="135">
        <f>M40+N40</f>
        <v>4732.1653073652897</v>
      </c>
    </row>
    <row r="41" spans="1:15" x14ac:dyDescent="0.2">
      <c r="A41" s="47">
        <v>4</v>
      </c>
      <c r="B41" s="47">
        <v>6</v>
      </c>
      <c r="C41" s="136">
        <v>31.999999999999996</v>
      </c>
      <c r="D41" s="134">
        <v>5.5239748318507226E-2</v>
      </c>
      <c r="E41" s="134">
        <v>0.36549004627783083</v>
      </c>
      <c r="F41" s="134">
        <v>0.54693670335536859</v>
      </c>
      <c r="G41" s="135">
        <f>C41*(1-D41)*E41*0.453592/(47.9*12*80*2.54^2/100/100/10000)</f>
        <v>1689.422803980865</v>
      </c>
      <c r="H41" s="135">
        <f>C41*(1-D41)*F41*0.453592/(47.9*12*80*2.54^2/100/100/10000)</f>
        <v>2528.1327040033375</v>
      </c>
      <c r="I41" s="135">
        <f>G41+H41</f>
        <v>4217.5555079842024</v>
      </c>
      <c r="K41" s="134">
        <v>0.41930001837222125</v>
      </c>
      <c r="L41" s="134">
        <v>0.5394543450303142</v>
      </c>
      <c r="M41" s="135">
        <f>C41*(1-D41)*K41*0.453592/(47.9*12*80*2.54^2/100/100/10000)</f>
        <v>1938.1513120856596</v>
      </c>
      <c r="N41" s="135">
        <f>C41*(1-D41)*L41*0.453592/(47.9*12*80*2.54^2/100/100/10000)</f>
        <v>2493.5466272807612</v>
      </c>
      <c r="O41" s="135">
        <f>M41+N41</f>
        <v>4431.6979393664205</v>
      </c>
    </row>
    <row r="42" spans="1:15" x14ac:dyDescent="0.2">
      <c r="A42" s="47">
        <v>4</v>
      </c>
      <c r="B42" s="47">
        <v>7</v>
      </c>
      <c r="C42" s="136">
        <v>30.7</v>
      </c>
      <c r="D42" s="134">
        <v>5.4189488404614912E-2</v>
      </c>
      <c r="E42" s="134">
        <v>0.3601657835319933</v>
      </c>
      <c r="F42" s="134">
        <v>0.54857883429473475</v>
      </c>
      <c r="G42" s="135">
        <f>C42*(1-D42)*E42*0.453592/(47.9*12*80*2.54^2/100/100/10000)</f>
        <v>1598.9547373943958</v>
      </c>
      <c r="H42" s="135">
        <f>C42*(1-D42)*F42*0.453592/(47.9*12*80*2.54^2/100/100/10000)</f>
        <v>2435.4138178479816</v>
      </c>
      <c r="I42" s="135">
        <f>G42+H42</f>
        <v>4034.3685552423776</v>
      </c>
      <c r="K42" s="134">
        <v>0.4094997535731888</v>
      </c>
      <c r="L42" s="134">
        <v>0.54139970428782647</v>
      </c>
      <c r="M42" s="135">
        <f>C42*(1-D42)*K42*0.453592/(47.9*12*80*2.54^2/100/100/10000)</f>
        <v>1817.9727249951966</v>
      </c>
      <c r="N42" s="135">
        <f>C42*(1-D42)*L42*0.453592/(47.9*12*80*2.54^2/100/100/10000)</f>
        <v>2403.5420952697132</v>
      </c>
      <c r="O42" s="135">
        <f>M42+N42</f>
        <v>4221.5148202649098</v>
      </c>
    </row>
    <row r="43" spans="1:15" x14ac:dyDescent="0.2">
      <c r="A43" s="47">
        <v>4</v>
      </c>
      <c r="B43" s="47">
        <v>8</v>
      </c>
      <c r="C43" s="136">
        <v>29</v>
      </c>
      <c r="D43" s="134">
        <v>5.3653462771951092E-2</v>
      </c>
      <c r="E43" s="134">
        <v>0.36033294816902833</v>
      </c>
      <c r="F43" s="134">
        <v>0.53921937625649452</v>
      </c>
      <c r="G43" s="135">
        <f>C43*(1-D43)*E43*0.453592/(47.9*12*80*2.54^2/100/100/10000)</f>
        <v>1511.9707058023721</v>
      </c>
      <c r="H43" s="135">
        <f>C43*(1-D43)*F43*0.453592/(47.9*12*80*2.54^2/100/100/10000)</f>
        <v>2262.5849371909389</v>
      </c>
      <c r="I43" s="135">
        <f>G43+H43</f>
        <v>3774.5556429933113</v>
      </c>
      <c r="K43" s="134">
        <v>0.3980124564938633</v>
      </c>
      <c r="L43" s="134">
        <v>0.54964279172009523</v>
      </c>
      <c r="M43" s="135">
        <f>C43*(1-D43)*K43*0.453592/(47.9*12*80*2.54^2/100/100/10000)</f>
        <v>1670.0753506472918</v>
      </c>
      <c r="N43" s="135">
        <f>C43*(1-D43)*L43*0.453592/(47.9*12*80*2.54^2/100/100/10000)</f>
        <v>2306.3219834850761</v>
      </c>
      <c r="O43" s="135">
        <f>M43+N43</f>
        <v>3976.3973341323681</v>
      </c>
    </row>
    <row r="44" spans="1:15" x14ac:dyDescent="0.2">
      <c r="A44" s="47">
        <v>4</v>
      </c>
      <c r="B44" s="47">
        <v>9</v>
      </c>
      <c r="C44" s="136">
        <v>28.1</v>
      </c>
      <c r="D44" s="134">
        <v>5.295864926131482E-2</v>
      </c>
      <c r="E44" s="134">
        <v>0.35987986611069916</v>
      </c>
      <c r="F44" s="134">
        <v>0.54734580397064503</v>
      </c>
      <c r="G44" s="135">
        <f>C44*(1-D44)*E44*0.453592/(47.9*12*80*2.54^2/100/100/10000)</f>
        <v>1464.2796231541126</v>
      </c>
      <c r="H44" s="135">
        <f>C44*(1-D44)*F44*0.453592/(47.9*12*80*2.54^2/100/100/10000)</f>
        <v>2227.041251945418</v>
      </c>
      <c r="I44" s="135">
        <f>G44+H44</f>
        <v>3691.3208750995309</v>
      </c>
      <c r="K44" s="134">
        <v>0.40378028145763695</v>
      </c>
      <c r="L44" s="134">
        <v>0.54636622508357058</v>
      </c>
      <c r="M44" s="135">
        <f>C44*(1-D44)*K44*0.453592/(47.9*12*80*2.54^2/100/100/10000)</f>
        <v>1642.9016848305216</v>
      </c>
      <c r="N44" s="135">
        <f>C44*(1-D44)*L44*0.453592/(47.9*12*80*2.54^2/100/100/10000)</f>
        <v>2223.0555402157879</v>
      </c>
      <c r="O44" s="135">
        <f>M44+N44</f>
        <v>3865.9572250463098</v>
      </c>
    </row>
    <row r="45" spans="1:15" x14ac:dyDescent="0.2">
      <c r="A45" s="47">
        <v>4</v>
      </c>
      <c r="B45" s="47">
        <v>10</v>
      </c>
      <c r="C45" s="136">
        <v>24</v>
      </c>
      <c r="D45" s="134">
        <v>5.8101714961561204E-2</v>
      </c>
      <c r="E45" s="134">
        <v>0.34408105775836323</v>
      </c>
      <c r="F45" s="134">
        <v>0.52407972716601825</v>
      </c>
      <c r="G45" s="135">
        <f>C45*(1-D45)*E45*0.453592/(47.9*12*80*2.54^2/100/100/10000)</f>
        <v>1189.2337316357093</v>
      </c>
      <c r="H45" s="135">
        <f>C45*(1-D45)*F45*0.453592/(47.9*12*80*2.54^2/100/100/10000)</f>
        <v>1811.3560033576694</v>
      </c>
      <c r="I45" s="135">
        <f>G45+H45</f>
        <v>3000.5897349933784</v>
      </c>
      <c r="K45" s="134">
        <v>0.40758907549835194</v>
      </c>
      <c r="L45" s="134">
        <v>0.5446554700988856</v>
      </c>
      <c r="M45" s="135">
        <f>C45*(1-D45)*K45*0.453592/(47.9*12*80*2.54^2/100/100/10000)</f>
        <v>1408.733977937419</v>
      </c>
      <c r="N45" s="135">
        <f>C45*(1-D45)*L45*0.453592/(47.9*12*80*2.54^2/100/100/10000)</f>
        <v>1882.4711286965799</v>
      </c>
      <c r="O45" s="135">
        <f>M45+N45</f>
        <v>3291.2051066339991</v>
      </c>
    </row>
    <row r="46" spans="1:15" x14ac:dyDescent="0.2">
      <c r="A46" s="47">
        <v>4</v>
      </c>
      <c r="B46" s="47">
        <v>11</v>
      </c>
      <c r="C46" s="136">
        <v>22.2</v>
      </c>
      <c r="D46" s="134">
        <v>5.4146363677763168E-2</v>
      </c>
      <c r="E46" s="134">
        <v>0.37180062205766096</v>
      </c>
      <c r="F46" s="134">
        <v>0.55651307167416653</v>
      </c>
      <c r="G46" s="135">
        <f>C46*(1-D46)*E46*0.453592/(47.9*12*80*2.54^2/100/100/10000)</f>
        <v>1193.6533766681105</v>
      </c>
      <c r="H46" s="135">
        <f>C46*(1-D46)*F46*0.453592/(47.9*12*80*2.54^2/100/100/10000)</f>
        <v>1786.6664759393282</v>
      </c>
      <c r="I46" s="135">
        <f>G46+H46</f>
        <v>2980.3198526074384</v>
      </c>
      <c r="K46" s="134">
        <v>0.40389985556090519</v>
      </c>
      <c r="L46" s="134">
        <v>0.54785748675974966</v>
      </c>
      <c r="M46" s="135">
        <f>C46*(1-D46)*K46*0.453592/(47.9*12*80*2.54^2/100/100/10000)</f>
        <v>1296.7068848832298</v>
      </c>
      <c r="N46" s="135">
        <f>C46*(1-D46)*L46*0.453592/(47.9*12*80*2.54^2/100/100/10000)</f>
        <v>1758.8780120498595</v>
      </c>
      <c r="O46" s="135">
        <f>M46+N46</f>
        <v>3055.5848969330891</v>
      </c>
    </row>
    <row r="47" spans="1:15" x14ac:dyDescent="0.2">
      <c r="A47" s="47">
        <v>5</v>
      </c>
      <c r="B47" s="47">
        <v>1</v>
      </c>
      <c r="C47" s="136">
        <v>28.7</v>
      </c>
      <c r="D47" s="134">
        <v>5.2885069411653551E-2</v>
      </c>
      <c r="E47" s="134">
        <v>0.35261064515682372</v>
      </c>
      <c r="F47" s="134">
        <v>0.53803806815086364</v>
      </c>
      <c r="G47" s="135">
        <f>C47*(1-D47)*E47*0.453592/(47.9*12*80*2.54^2/100/100/10000)</f>
        <v>1465.450676297786</v>
      </c>
      <c r="H47" s="135">
        <f>C47*(1-D47)*F47*0.453592/(47.9*12*80*2.54^2/100/100/10000)</f>
        <v>2236.0874853763012</v>
      </c>
      <c r="I47" s="135">
        <f>G47+H47</f>
        <v>3701.538161674087</v>
      </c>
      <c r="K47" s="134">
        <v>0.41045966696579916</v>
      </c>
      <c r="L47" s="134">
        <v>0.5416292751022036</v>
      </c>
      <c r="M47" s="135">
        <f>C47*(1-D47)*K47*0.453592/(47.9*12*80*2.54^2/100/100/10000)</f>
        <v>1705.871347929593</v>
      </c>
      <c r="N47" s="135">
        <f>C47*(1-D47)*L47*0.453592/(47.9*12*80*2.54^2/100/100/10000)</f>
        <v>2251.0125499704968</v>
      </c>
      <c r="O47" s="135">
        <f>M47+N47</f>
        <v>3956.8838979000898</v>
      </c>
    </row>
    <row r="48" spans="1:15" x14ac:dyDescent="0.2">
      <c r="A48" s="47">
        <v>5</v>
      </c>
      <c r="B48" s="47">
        <v>2</v>
      </c>
      <c r="C48" s="136">
        <v>30.3</v>
      </c>
      <c r="D48" s="134">
        <v>5.2071360751586568E-2</v>
      </c>
      <c r="E48" s="134">
        <v>0.34629035200352526</v>
      </c>
      <c r="F48" s="134">
        <v>0.54579320408293219</v>
      </c>
      <c r="G48" s="135">
        <f>C48*(1-D48)*E48*0.453592/(47.9*12*80*2.54^2/100/100/10000)</f>
        <v>1520.7221494151618</v>
      </c>
      <c r="H48" s="135">
        <f>C48*(1-D48)*F48*0.453592/(47.9*12*80*2.54^2/100/100/10000)</f>
        <v>2396.8320504659491</v>
      </c>
      <c r="I48" s="135">
        <f>G48+H48</f>
        <v>3917.5541998811109</v>
      </c>
      <c r="K48" s="134">
        <v>0.39849227687279248</v>
      </c>
      <c r="L48" s="134">
        <v>0.55010807106331383</v>
      </c>
      <c r="M48" s="135">
        <f>C48*(1-D48)*K48*0.453592/(47.9*12*80*2.54^2/100/100/10000)</f>
        <v>1749.9651038651107</v>
      </c>
      <c r="N48" s="135">
        <f>C48*(1-D48)*L48*0.453592/(47.9*12*80*2.54^2/100/100/10000)</f>
        <v>2415.7806401418743</v>
      </c>
      <c r="O48" s="135">
        <f>M48+N48</f>
        <v>4165.7457440069848</v>
      </c>
    </row>
    <row r="49" spans="1:15" x14ac:dyDescent="0.2">
      <c r="A49" s="47">
        <v>5</v>
      </c>
      <c r="B49" s="47">
        <v>3</v>
      </c>
      <c r="C49" s="136">
        <v>36.599999999999994</v>
      </c>
      <c r="D49" s="134">
        <v>6.1121090691354532E-2</v>
      </c>
      <c r="E49" s="134">
        <v>0.33761913916690556</v>
      </c>
      <c r="F49" s="134">
        <v>0.53212638082319685</v>
      </c>
      <c r="G49" s="135">
        <f>C49*(1-D49)*E49*0.453592/(47.9*12*80*2.54^2/100/100/10000)</f>
        <v>1773.8174930974462</v>
      </c>
      <c r="H49" s="135">
        <f>C49*(1-D49)*F49*0.453592/(47.9*12*80*2.54^2/100/100/10000)</f>
        <v>2795.739261618683</v>
      </c>
      <c r="I49" s="135">
        <f>G49+H49</f>
        <v>4569.556754716129</v>
      </c>
      <c r="K49" s="134">
        <v>0.38348704866562011</v>
      </c>
      <c r="L49" s="134">
        <v>0.53679356357927788</v>
      </c>
      <c r="M49" s="135">
        <f>C49*(1-D49)*K49*0.453592/(47.9*12*80*2.54^2/100/100/10000)</f>
        <v>2014.8029432748087</v>
      </c>
      <c r="N49" s="135">
        <f>C49*(1-D49)*L49*0.453592/(47.9*12*80*2.54^2/100/100/10000)</f>
        <v>2820.260177217981</v>
      </c>
      <c r="O49" s="135">
        <f>M49+N49</f>
        <v>4835.0631204927895</v>
      </c>
    </row>
    <row r="50" spans="1:15" x14ac:dyDescent="0.2">
      <c r="A50" s="47">
        <v>5</v>
      </c>
      <c r="B50" s="47">
        <v>4</v>
      </c>
      <c r="C50" s="136">
        <v>41</v>
      </c>
      <c r="D50" s="134">
        <v>5.3559496273451634E-2</v>
      </c>
      <c r="E50" s="134">
        <v>0.33344436638823066</v>
      </c>
      <c r="F50" s="134">
        <v>0.54321424532716789</v>
      </c>
      <c r="G50" s="135">
        <f>C50*(1-D50)*E50*0.453592/(47.9*12*80*2.54^2/100/100/10000)</f>
        <v>1978.2982447630002</v>
      </c>
      <c r="H50" s="135">
        <f>C50*(1-D50)*F50*0.453592/(47.9*12*80*2.54^2/100/100/10000)</f>
        <v>3222.8458369267705</v>
      </c>
      <c r="I50" s="135">
        <f>G50+H50</f>
        <v>5201.1440816897702</v>
      </c>
      <c r="K50" s="134">
        <v>0.41796556780535488</v>
      </c>
      <c r="L50" s="134">
        <v>0.54765654700483357</v>
      </c>
      <c r="M50" s="135">
        <f>C50*(1-D50)*K50*0.453592/(47.9*12*80*2.54^2/100/100/10000)</f>
        <v>2479.7556429488063</v>
      </c>
      <c r="N50" s="135">
        <f>C50*(1-D50)*L50*0.453592/(47.9*12*80*2.54^2/100/100/10000)</f>
        <v>3249.2016506621321</v>
      </c>
      <c r="O50" s="135">
        <f>M50+N50</f>
        <v>5728.957293610938</v>
      </c>
    </row>
    <row r="51" spans="1:15" x14ac:dyDescent="0.2">
      <c r="A51" s="47">
        <v>5</v>
      </c>
      <c r="B51" s="47">
        <v>5</v>
      </c>
      <c r="C51" s="136">
        <v>35.699999999999996</v>
      </c>
      <c r="D51" s="134">
        <v>5.6495676621929752E-2</v>
      </c>
      <c r="E51" s="134">
        <v>0.33855318269815782</v>
      </c>
      <c r="F51" s="134">
        <v>0.54081978066798353</v>
      </c>
      <c r="G51" s="135">
        <f>C51*(1-D51)*E51*0.453592/(47.9*12*80*2.54^2/100/100/10000)</f>
        <v>1743.5331865158778</v>
      </c>
      <c r="H51" s="135">
        <f>C51*(1-D51)*F51*0.453592/(47.9*12*80*2.54^2/100/100/10000)</f>
        <v>2785.1967835716887</v>
      </c>
      <c r="I51" s="135">
        <f>G51+H51</f>
        <v>4528.7299700875665</v>
      </c>
      <c r="K51" s="134">
        <v>0.39795344653097942</v>
      </c>
      <c r="L51" s="134">
        <v>0.53840098954233662</v>
      </c>
      <c r="M51" s="135">
        <f>C51*(1-D51)*K51*0.453592/(47.9*12*80*2.54^2/100/100/10000)</f>
        <v>2049.4417898701086</v>
      </c>
      <c r="N51" s="135">
        <f>C51*(1-D51)*L51*0.453592/(47.9*12*80*2.54^2/100/100/10000)</f>
        <v>2772.74012147445</v>
      </c>
      <c r="O51" s="135">
        <f>M51+N51</f>
        <v>4822.1819113445581</v>
      </c>
    </row>
    <row r="52" spans="1:15" x14ac:dyDescent="0.2">
      <c r="A52" s="47">
        <v>5</v>
      </c>
      <c r="B52" s="47">
        <v>6</v>
      </c>
      <c r="C52" s="136">
        <v>34.199999999999996</v>
      </c>
      <c r="D52" s="134">
        <v>5.4804270462633503E-2</v>
      </c>
      <c r="E52" s="134">
        <v>0.32228523639939594</v>
      </c>
      <c r="F52" s="134">
        <v>0.5227466534398203</v>
      </c>
      <c r="G52" s="135">
        <f>C52*(1-D52)*E52*0.453592/(47.9*12*80*2.54^2/100/100/10000)</f>
        <v>1592.866852759978</v>
      </c>
      <c r="H52" s="135">
        <f>C52*(1-D52)*F52*0.453592/(47.9*12*80*2.54^2/100/100/10000)</f>
        <v>2583.6300351766845</v>
      </c>
      <c r="I52" s="135">
        <f>G52+H52</f>
        <v>4176.4968879366625</v>
      </c>
      <c r="K52" s="134">
        <v>0.39894578313253015</v>
      </c>
      <c r="L52" s="134">
        <v>0.54397590361445791</v>
      </c>
      <c r="M52" s="135">
        <f>C52*(1-D52)*K52*0.453592/(47.9*12*80*2.54^2/100/100/10000)</f>
        <v>1971.7549618458695</v>
      </c>
      <c r="N52" s="135">
        <f>C52*(1-D52)*L52*0.453592/(47.9*12*80*2.54^2/100/100/10000)</f>
        <v>2688.5537645101099</v>
      </c>
      <c r="O52" s="135">
        <f>M52+N52</f>
        <v>4660.3087263559792</v>
      </c>
    </row>
    <row r="53" spans="1:15" x14ac:dyDescent="0.2">
      <c r="A53" s="47">
        <v>5</v>
      </c>
      <c r="B53" s="47">
        <v>7</v>
      </c>
      <c r="C53" s="136">
        <v>34.599999999999994</v>
      </c>
      <c r="D53" s="134">
        <v>6.0331455629030951E-2</v>
      </c>
      <c r="E53" s="134">
        <v>0.31774106938909863</v>
      </c>
      <c r="F53" s="134">
        <v>0.47548286138599583</v>
      </c>
      <c r="G53" s="135">
        <f>C53*(1-D53)*E53*0.453592/(47.9*12*80*2.54^2/100/100/10000)</f>
        <v>1579.4844231563418</v>
      </c>
      <c r="H53" s="135">
        <f>C53*(1-D53)*F53*0.453592/(47.9*12*80*2.54^2/100/100/10000)</f>
        <v>2363.6156776362668</v>
      </c>
      <c r="I53" s="135">
        <f>G53+H53</f>
        <v>3943.1001007926088</v>
      </c>
      <c r="K53" s="134">
        <v>0.39769765421372721</v>
      </c>
      <c r="L53" s="134">
        <v>0.52684622067767162</v>
      </c>
      <c r="M53" s="135">
        <f>C53*(1-D53)*K53*0.453592/(47.9*12*80*2.54^2/100/100/10000)</f>
        <v>1976.9469875711027</v>
      </c>
      <c r="N53" s="135">
        <f>C53*(1-D53)*L53*0.453592/(47.9*12*80*2.54^2/100/100/10000)</f>
        <v>2618.9418968063715</v>
      </c>
      <c r="O53" s="135">
        <f>M53+N53</f>
        <v>4595.8888843774739</v>
      </c>
    </row>
    <row r="54" spans="1:15" x14ac:dyDescent="0.2">
      <c r="A54" s="47">
        <v>5</v>
      </c>
      <c r="B54" s="47">
        <v>8</v>
      </c>
      <c r="C54" s="136">
        <v>35.700000000000003</v>
      </c>
      <c r="D54" s="134">
        <v>5.9263994155784816E-2</v>
      </c>
      <c r="E54" s="134">
        <v>0.36651390117746174</v>
      </c>
      <c r="F54" s="134">
        <v>0.53987637002337896</v>
      </c>
      <c r="G54" s="135">
        <f>C54*(1-D54)*E54*0.453592/(47.9*12*80*2.54^2/100/100/10000)</f>
        <v>1881.9914261214974</v>
      </c>
      <c r="H54" s="135">
        <f>C54*(1-D54)*F54*0.453592/(47.9*12*80*2.54^2/100/100/10000)</f>
        <v>2772.1805265379007</v>
      </c>
      <c r="I54" s="135">
        <f>G54+H54</f>
        <v>4654.1719526593979</v>
      </c>
      <c r="K54" s="134">
        <v>0.40914385556202681</v>
      </c>
      <c r="L54" s="134">
        <v>0.53421665695981357</v>
      </c>
      <c r="M54" s="135">
        <f>C54*(1-D54)*K54*0.453592/(47.9*12*80*2.54^2/100/100/10000)</f>
        <v>2100.8895590162056</v>
      </c>
      <c r="N54" s="135">
        <f>C54*(1-D54)*L54*0.453592/(47.9*12*80*2.54^2/100/100/10000)</f>
        <v>2743.1187871994507</v>
      </c>
      <c r="O54" s="135">
        <f>M54+N54</f>
        <v>4844.0083462156563</v>
      </c>
    </row>
    <row r="55" spans="1:15" x14ac:dyDescent="0.2">
      <c r="A55" s="47">
        <v>5</v>
      </c>
      <c r="B55" s="47">
        <v>9</v>
      </c>
      <c r="C55" s="136">
        <v>33.599999999999994</v>
      </c>
      <c r="D55" s="134">
        <v>5.1941952754426347E-2</v>
      </c>
      <c r="E55" s="134">
        <v>0.36752900269492228</v>
      </c>
      <c r="F55" s="134">
        <v>0.55979396457569719</v>
      </c>
      <c r="G55" s="135">
        <f>C55*(1-D55)*E55*0.453592/(47.9*12*80*2.54^2/100/100/10000)</f>
        <v>1790.016478571074</v>
      </c>
      <c r="H55" s="135">
        <f>C55*(1-D55)*F55*0.453592/(47.9*12*80*2.54^2/100/100/10000)</f>
        <v>2726.4254354013565</v>
      </c>
      <c r="I55" s="135">
        <f>G55+H55</f>
        <v>4516.4419139724305</v>
      </c>
      <c r="K55" s="134">
        <v>0.39238123544855597</v>
      </c>
      <c r="L55" s="134">
        <v>0.54074404319611624</v>
      </c>
      <c r="M55" s="135">
        <f>C55*(1-D55)*K55*0.453592/(47.9*12*80*2.54^2/100/100/10000)</f>
        <v>1911.0570109701316</v>
      </c>
      <c r="N55" s="135">
        <f>C55*(1-D55)*L55*0.453592/(47.9*12*80*2.54^2/100/100/10000)</f>
        <v>2633.6445312144879</v>
      </c>
      <c r="O55" s="135">
        <f>M55+N55</f>
        <v>4544.701542184619</v>
      </c>
    </row>
    <row r="56" spans="1:15" x14ac:dyDescent="0.2">
      <c r="A56" s="47">
        <v>5</v>
      </c>
      <c r="B56" s="47">
        <v>10</v>
      </c>
      <c r="C56" s="136">
        <v>24.5</v>
      </c>
      <c r="D56" s="134">
        <v>4.4761273209549153E-2</v>
      </c>
      <c r="E56" s="134">
        <v>0.35550812635573242</v>
      </c>
      <c r="F56" s="134">
        <v>0.55001536801202355</v>
      </c>
      <c r="G56" s="135">
        <f>C56*(1-D56)*E56*0.453592/(47.9*12*80*2.54^2/100/100/10000)</f>
        <v>1272.0926535121782</v>
      </c>
      <c r="H56" s="135">
        <f>C56*(1-D56)*F56*0.453592/(47.9*12*80*2.54^2/100/100/10000)</f>
        <v>1968.0858385408053</v>
      </c>
      <c r="I56" s="135">
        <f>G56+H56</f>
        <v>3240.1784920529835</v>
      </c>
      <c r="K56" s="134">
        <v>0.40784449843804238</v>
      </c>
      <c r="L56" s="134">
        <v>0.55065205533792827</v>
      </c>
      <c r="M56" s="135">
        <f>C56*(1-D56)*K56*0.453592/(47.9*12*80*2.54^2/100/100/10000)</f>
        <v>1459.3646439441707</v>
      </c>
      <c r="N56" s="135">
        <f>C56*(1-D56)*L56*0.453592/(47.9*12*80*2.54^2/100/100/10000)</f>
        <v>1970.3640572644392</v>
      </c>
      <c r="O56" s="135">
        <f>M56+N56</f>
        <v>3429.7287012086099</v>
      </c>
    </row>
    <row r="57" spans="1:15" x14ac:dyDescent="0.2">
      <c r="A57" s="47">
        <v>5</v>
      </c>
      <c r="B57" s="47">
        <v>11</v>
      </c>
      <c r="C57" s="136">
        <v>23.000000000000004</v>
      </c>
      <c r="D57" s="134">
        <v>5.3461236396275112E-2</v>
      </c>
      <c r="E57" s="134">
        <v>0.3614387289581894</v>
      </c>
      <c r="F57" s="134">
        <v>0.52886990487264474</v>
      </c>
      <c r="G57" s="135">
        <f>C57*(1-D57)*E57*0.453592/(47.9*12*80*2.54^2/100/100/10000)</f>
        <v>1203.073423968217</v>
      </c>
      <c r="H57" s="135">
        <f>C57*(1-D57)*F57*0.453592/(47.9*12*80*2.54^2/100/100/10000)</f>
        <v>1760.3794953652584</v>
      </c>
      <c r="I57" s="135">
        <f>G57+H57</f>
        <v>2963.4529193334756</v>
      </c>
      <c r="L57" s="134">
        <v>0.54412374799976293</v>
      </c>
      <c r="M57" s="135"/>
      <c r="N57" s="135">
        <f>C57*(1-D57)*L57*0.453592/(47.9*12*80*2.54^2/100/100/10000)</f>
        <v>1811.1529510281655</v>
      </c>
      <c r="O57" s="135">
        <f>M57+N57</f>
        <v>1811.1529510281655</v>
      </c>
    </row>
    <row r="58" spans="1:15" x14ac:dyDescent="0.2">
      <c r="A58" s="47">
        <v>6</v>
      </c>
      <c r="B58" s="47">
        <v>1</v>
      </c>
      <c r="C58" s="136">
        <v>11</v>
      </c>
      <c r="D58" s="134">
        <v>4.0608046409195908E-2</v>
      </c>
      <c r="E58" s="134">
        <v>0.32199850958327075</v>
      </c>
      <c r="F58" s="134">
        <v>0.51041156034601243</v>
      </c>
      <c r="G58" s="135">
        <f>C58*(1-D58)*E58*0.453592/(47.9*12*80*2.54^2/100/100/10000)</f>
        <v>519.55774715341829</v>
      </c>
      <c r="H58" s="135">
        <f>C58*(1-D58)*F58*0.453592/(47.9*12*80*2.54^2/100/100/10000)</f>
        <v>823.56990023848539</v>
      </c>
      <c r="I58" s="135">
        <f>G58+H58</f>
        <v>1343.1276473919038</v>
      </c>
      <c r="L58" s="134">
        <v>0.54778567829348856</v>
      </c>
      <c r="M58" s="135"/>
      <c r="N58" s="135">
        <f>C58*(1-D58)*L58*0.453592/(47.9*12*80*2.54^2/100/100/10000)</f>
        <v>883.87456608233526</v>
      </c>
      <c r="O58" s="135">
        <f>M58+N58</f>
        <v>883.87456608233526</v>
      </c>
    </row>
    <row r="59" spans="1:15" x14ac:dyDescent="0.2">
      <c r="A59" s="47">
        <v>6</v>
      </c>
      <c r="B59" s="47">
        <v>2</v>
      </c>
      <c r="C59" s="136">
        <v>12.2</v>
      </c>
      <c r="D59" s="134">
        <v>5.129218757721004E-2</v>
      </c>
      <c r="E59" s="134">
        <v>0.32459151534443237</v>
      </c>
      <c r="F59" s="134">
        <v>0.54693670335536859</v>
      </c>
      <c r="G59" s="135">
        <f>C59*(1-D59)*E59*0.453592/(47.9*12*80*2.54^2/100/100/10000)</f>
        <v>574.40826154970864</v>
      </c>
      <c r="H59" s="135">
        <f>C59*(1-D59)*F59*0.453592/(47.9*12*80*2.54^2/100/100/10000)</f>
        <v>967.87792071125921</v>
      </c>
      <c r="I59" s="135">
        <f>G59+H59</f>
        <v>1542.286182260968</v>
      </c>
      <c r="K59" s="134">
        <v>0.40710453669461949</v>
      </c>
      <c r="L59" s="134">
        <v>0.53143392885046092</v>
      </c>
      <c r="M59" s="135">
        <f>C59*(1-D59)*K59*0.453592/(47.9*12*80*2.54^2/100/100/10000)</f>
        <v>720.42612988086864</v>
      </c>
      <c r="N59" s="135">
        <f>C59*(1-D59)*L59*0.453592/(47.9*12*80*2.54^2/100/100/10000)</f>
        <v>940.4436800376792</v>
      </c>
      <c r="O59" s="135">
        <f>M59+N59</f>
        <v>1660.8698099185478</v>
      </c>
    </row>
    <row r="60" spans="1:15" x14ac:dyDescent="0.2">
      <c r="A60" s="47">
        <v>6</v>
      </c>
      <c r="B60" s="47">
        <v>3</v>
      </c>
      <c r="C60" s="136">
        <v>13.7</v>
      </c>
      <c r="D60" s="134">
        <v>5.361668074512059E-2</v>
      </c>
      <c r="E60" s="134">
        <v>0.33171274238647563</v>
      </c>
      <c r="F60" s="134">
        <v>0.53803806815086364</v>
      </c>
      <c r="G60" s="135">
        <f>C60*(1-D60)*E60*0.453592/(47.9*12*80*2.54^2/100/100/10000)</f>
        <v>657.5685072252511</v>
      </c>
      <c r="H60" s="135">
        <f>C60*(1-D60)*F60*0.453592/(47.9*12*80*2.54^2/100/100/10000)</f>
        <v>1066.5761187193575</v>
      </c>
      <c r="I60" s="135">
        <f>G60+H60</f>
        <v>1724.1446259446086</v>
      </c>
      <c r="K60" s="134">
        <v>0.39869403861511721</v>
      </c>
      <c r="L60" s="134">
        <v>0.53873255977826839</v>
      </c>
      <c r="M60" s="135">
        <f>C60*(1-D60)*K60*0.453592/(47.9*12*80*2.54^2/100/100/10000)</f>
        <v>790.34842594710699</v>
      </c>
      <c r="N60" s="135">
        <f>C60*(1-D60)*L60*0.453592/(47.9*12*80*2.54^2/100/100/10000)</f>
        <v>1067.9528394911538</v>
      </c>
      <c r="O60" s="135">
        <f>M60+N60</f>
        <v>1858.3012654382608</v>
      </c>
    </row>
    <row r="61" spans="1:15" x14ac:dyDescent="0.2">
      <c r="A61" s="47">
        <v>6</v>
      </c>
      <c r="B61" s="47">
        <v>4</v>
      </c>
      <c r="C61" s="136">
        <v>16.3</v>
      </c>
      <c r="D61" s="134">
        <v>5.2341993206066688E-2</v>
      </c>
      <c r="E61" s="134">
        <v>0.36877993423088584</v>
      </c>
      <c r="F61" s="134">
        <v>0.54321424532716789</v>
      </c>
      <c r="G61" s="135">
        <f>C61*(1-D61)*E61*0.453592/(47.9*12*80*2.54^2/100/100/10000)</f>
        <v>870.959037289756</v>
      </c>
      <c r="H61" s="135">
        <f>C61*(1-D61)*F61*0.453592/(47.9*12*80*2.54^2/100/100/10000)</f>
        <v>1282.9259735591311</v>
      </c>
      <c r="I61" s="135">
        <f>G61+H61</f>
        <v>2153.8850108488868</v>
      </c>
      <c r="K61" s="134">
        <v>0.42111374766496695</v>
      </c>
      <c r="L61" s="134">
        <v>0.54208108244560005</v>
      </c>
      <c r="M61" s="135">
        <f>C61*(1-D61)*K61*0.453592/(47.9*12*80*2.54^2/100/100/10000)</f>
        <v>994.5574317124632</v>
      </c>
      <c r="N61" s="135">
        <f>C61*(1-D61)*L61*0.453592/(47.9*12*80*2.54^2/100/100/10000)</f>
        <v>1280.2497475478617</v>
      </c>
      <c r="O61" s="135">
        <f>M61+N61</f>
        <v>2274.807179260325</v>
      </c>
    </row>
    <row r="62" spans="1:15" x14ac:dyDescent="0.2">
      <c r="A62" s="47">
        <v>6</v>
      </c>
      <c r="B62" s="47">
        <v>5</v>
      </c>
      <c r="C62" s="136">
        <v>14.2</v>
      </c>
      <c r="D62" s="134">
        <v>4.695437497032718E-2</v>
      </c>
      <c r="E62" s="134">
        <v>0.33171274238647563</v>
      </c>
      <c r="F62" s="134">
        <v>0.53803806815086364</v>
      </c>
      <c r="G62" s="135">
        <f>C62*(1-D62)*E62*0.453592/(47.9*12*80*2.54^2/100/100/10000)</f>
        <v>686.36542440026028</v>
      </c>
      <c r="H62" s="135">
        <f>C62*(1-D62)*F62*0.453592/(47.9*12*80*2.54^2/100/100/10000)</f>
        <v>1113.2847183772224</v>
      </c>
      <c r="I62" s="135">
        <f>G62+H62</f>
        <v>1799.6501427774826</v>
      </c>
      <c r="K62" s="134">
        <v>0.40051808309255754</v>
      </c>
      <c r="L62" s="134">
        <v>0.53925475739762874</v>
      </c>
      <c r="M62" s="135">
        <f>C62*(1-D62)*K62*0.453592/(47.9*12*80*2.54^2/100/100/10000)</f>
        <v>828.73441069537284</v>
      </c>
      <c r="N62" s="135">
        <f>C62*(1-D62)*L62*0.453592/(47.9*12*80*2.54^2/100/100/10000)</f>
        <v>1115.8022382807724</v>
      </c>
      <c r="O62" s="135">
        <f>M62+N62</f>
        <v>1944.5366489761452</v>
      </c>
    </row>
    <row r="63" spans="1:15" x14ac:dyDescent="0.2">
      <c r="A63" s="47">
        <v>6</v>
      </c>
      <c r="B63" s="47">
        <v>6</v>
      </c>
      <c r="C63" s="136">
        <v>14.099999999999998</v>
      </c>
      <c r="D63" s="134">
        <v>5.1374328482762188E-2</v>
      </c>
      <c r="E63" s="134">
        <v>0.36504137085054428</v>
      </c>
      <c r="F63" s="134">
        <v>0.53666300777691445</v>
      </c>
      <c r="G63" s="135">
        <f>C63*(1-D63)*E63*0.453592/(47.9*12*80*2.54^2/100/100/10000)</f>
        <v>746.53002454191312</v>
      </c>
      <c r="H63" s="135">
        <f>C63*(1-D63)*F63*0.453592/(47.9*12*80*2.54^2/100/100/10000)</f>
        <v>1097.5058729177995</v>
      </c>
      <c r="I63" s="135">
        <f>G63+H63</f>
        <v>1844.0358974597125</v>
      </c>
      <c r="K63" s="134">
        <v>0.41543875082471959</v>
      </c>
      <c r="L63" s="134">
        <v>0.55014295139652525</v>
      </c>
      <c r="M63" s="135">
        <f>C63*(1-D63)*K63*0.453592/(47.9*12*80*2.54^2/100/100/10000)</f>
        <v>849.59548592046167</v>
      </c>
      <c r="N63" s="135">
        <f>C63*(1-D63)*L63*0.453592/(47.9*12*80*2.54^2/100/100/10000)</f>
        <v>1125.0731117152118</v>
      </c>
      <c r="O63" s="135">
        <f>M63+N63</f>
        <v>1974.6685976356734</v>
      </c>
    </row>
    <row r="64" spans="1:15" x14ac:dyDescent="0.2">
      <c r="A64" s="47">
        <v>6</v>
      </c>
      <c r="B64" s="47">
        <v>7</v>
      </c>
      <c r="C64" s="136">
        <v>16.2</v>
      </c>
      <c r="D64" s="134">
        <v>7.1467869718309762E-2</v>
      </c>
      <c r="E64" s="134">
        <v>0.34805522038223918</v>
      </c>
      <c r="F64" s="134">
        <v>0.54032018226301426</v>
      </c>
      <c r="G64" s="135">
        <f>C64*(1-D64)*E64*0.453592/(47.9*12*80*2.54^2/100/100/10000)</f>
        <v>800.48151873755239</v>
      </c>
      <c r="H64" s="135">
        <f>C64*(1-D64)*F64*0.453592/(47.9*12*80*2.54^2/100/100/10000)</f>
        <v>1242.6658035108717</v>
      </c>
      <c r="I64" s="135">
        <f>G64+H64</f>
        <v>2043.1473222484242</v>
      </c>
      <c r="K64" s="134">
        <v>0.39390887005984476</v>
      </c>
      <c r="L64" s="134">
        <v>0.52509332227291583</v>
      </c>
      <c r="M64" s="135">
        <f>C64*(1-D64)*K64*0.453592/(47.9*12*80*2.54^2/100/100/10000)</f>
        <v>905.93892027653658</v>
      </c>
      <c r="N64" s="135">
        <f>C64*(1-D64)*L64*0.453592/(47.9*12*80*2.54^2/100/100/10000)</f>
        <v>1207.646015567188</v>
      </c>
      <c r="O64" s="135">
        <f>M64+N64</f>
        <v>2113.5849358437245</v>
      </c>
    </row>
    <row r="65" spans="1:15" x14ac:dyDescent="0.2">
      <c r="A65" s="47">
        <v>6</v>
      </c>
      <c r="B65" s="47">
        <v>8</v>
      </c>
      <c r="C65" s="136">
        <v>16.899999999999999</v>
      </c>
      <c r="D65" s="134">
        <v>5.5130746719531665E-2</v>
      </c>
      <c r="E65" s="134">
        <v>0.38179912462057136</v>
      </c>
      <c r="F65" s="134">
        <v>0.5714788814208871</v>
      </c>
      <c r="G65" s="135">
        <f>C65*(1-D65)*E65*0.453592/(47.9*12*80*2.54^2/100/100/10000)</f>
        <v>932.14732263756548</v>
      </c>
      <c r="H65" s="135">
        <f>C65*(1-D65)*F65*0.453592/(47.9*12*80*2.54^2/100/100/10000)</f>
        <v>1395.2428774942471</v>
      </c>
      <c r="I65" s="135">
        <f>G65+H65</f>
        <v>2327.3902001318124</v>
      </c>
      <c r="K65" s="134">
        <v>0.40338695174343092</v>
      </c>
      <c r="L65" s="134">
        <v>0.54705764811669499</v>
      </c>
      <c r="M65" s="135">
        <f>C65*(1-D65)*K65*0.453592/(47.9*12*80*2.54^2/100/100/10000)</f>
        <v>984.85314084533184</v>
      </c>
      <c r="N65" s="135">
        <f>C65*(1-D65)*L65*0.453592/(47.9*12*80*2.54^2/100/100/10000)</f>
        <v>1335.6194111947032</v>
      </c>
      <c r="O65" s="135">
        <f>M65+N65</f>
        <v>2320.4725520400352</v>
      </c>
    </row>
    <row r="66" spans="1:15" x14ac:dyDescent="0.2">
      <c r="A66" s="47">
        <v>6</v>
      </c>
      <c r="B66" s="47">
        <v>9</v>
      </c>
      <c r="C66" s="136">
        <v>14.399999999999999</v>
      </c>
      <c r="D66" s="134">
        <v>5.6788452864230954E-2</v>
      </c>
      <c r="E66" s="134">
        <v>0.34108214655763197</v>
      </c>
      <c r="F66" s="134">
        <v>0.52949519732037353</v>
      </c>
      <c r="G66" s="135">
        <f>C66*(1-D66)*E66*0.453592/(47.9*12*80*2.54^2/100/100/10000)</f>
        <v>708.307426131645</v>
      </c>
      <c r="H66" s="135">
        <f>C66*(1-D66)*F66*0.453592/(47.9*12*80*2.54^2/100/100/10000)</f>
        <v>1099.5749386128909</v>
      </c>
      <c r="I66" s="135">
        <f>G66+H66</f>
        <v>1807.8823647445361</v>
      </c>
      <c r="K66" s="134">
        <v>0.41628807804504803</v>
      </c>
      <c r="L66" s="134">
        <v>0.53957247381760787</v>
      </c>
      <c r="M66" s="135">
        <f>C66*(1-D66)*K66*0.453592/(47.9*12*80*2.54^2/100/100/10000)</f>
        <v>864.48364438082785</v>
      </c>
      <c r="N66" s="135">
        <f>C66*(1-D66)*L66*0.453592/(47.9*12*80*2.54^2/100/100/10000)</f>
        <v>1120.5018908154946</v>
      </c>
      <c r="O66" s="135">
        <f>M66+N66</f>
        <v>1984.9855351963224</v>
      </c>
    </row>
    <row r="67" spans="1:15" x14ac:dyDescent="0.2">
      <c r="A67" s="47">
        <v>6</v>
      </c>
      <c r="B67" s="47">
        <v>10</v>
      </c>
      <c r="C67" s="136">
        <v>13.5</v>
      </c>
      <c r="D67" s="134">
        <v>5.6320016369123836E-2</v>
      </c>
      <c r="E67" s="134">
        <v>0.36289317618571981</v>
      </c>
      <c r="F67" s="134">
        <v>0.56335459322614401</v>
      </c>
      <c r="G67" s="135">
        <f>C67*(1-D67)*E67*0.453592/(47.9*12*80*2.54^2/100/100/10000)</f>
        <v>706.85204741375787</v>
      </c>
      <c r="H67" s="135">
        <f>C67*(1-D67)*F67*0.453592/(47.9*12*80*2.54^2/100/100/10000)</f>
        <v>1097.3156117932936</v>
      </c>
      <c r="I67" s="135">
        <f>G67+H67</f>
        <v>1804.1676592070514</v>
      </c>
      <c r="K67" s="134">
        <v>0.40822853425845623</v>
      </c>
      <c r="L67" s="134">
        <v>0.54797267996530796</v>
      </c>
      <c r="M67" s="135">
        <f>C67*(1-D67)*K67*0.453592/(47.9*12*80*2.54^2/100/100/10000)</f>
        <v>795.1573470911195</v>
      </c>
      <c r="N67" s="135">
        <f>C67*(1-D67)*L67*0.453592/(47.9*12*80*2.54^2/100/100/10000)</f>
        <v>1067.3543515793556</v>
      </c>
      <c r="O67" s="135">
        <f>M67+N67</f>
        <v>1862.5116986704752</v>
      </c>
    </row>
    <row r="68" spans="1:15" x14ac:dyDescent="0.2">
      <c r="A68" s="47">
        <v>6</v>
      </c>
      <c r="B68" s="47">
        <v>11</v>
      </c>
      <c r="C68" s="136">
        <v>15.499999999999996</v>
      </c>
      <c r="D68" s="134">
        <v>5.1858529084256859E-2</v>
      </c>
      <c r="E68" s="134">
        <v>0.37079690491173273</v>
      </c>
      <c r="F68" s="134">
        <v>0.53413195361175014</v>
      </c>
      <c r="G68" s="135">
        <f>C68*(1-D68)*E68*0.453592/(47.9*12*80*2.54^2/100/100/10000)</f>
        <v>833.16716825465471</v>
      </c>
      <c r="H68" s="135">
        <f>C68*(1-D68)*F68*0.453592/(47.9*12*80*2.54^2/100/100/10000)</f>
        <v>1200.175086064876</v>
      </c>
      <c r="I68" s="135">
        <f>G68+H68</f>
        <v>2033.3422543195306</v>
      </c>
      <c r="K68" s="134">
        <v>0.40087243442760473</v>
      </c>
      <c r="L68" s="134">
        <v>0.54258710362955087</v>
      </c>
      <c r="M68" s="135">
        <f>C68*(1-D68)*K68*0.453592/(47.9*12*80*2.54^2/100/100/10000)</f>
        <v>900.7457899436987</v>
      </c>
      <c r="N68" s="135">
        <f>C68*(1-D68)*L68*0.453592/(47.9*12*80*2.54^2/100/100/10000)</f>
        <v>1219.1735008417641</v>
      </c>
      <c r="O68" s="135">
        <f>M68+N68</f>
        <v>2119.9192907854626</v>
      </c>
    </row>
    <row r="69" spans="1:15" x14ac:dyDescent="0.2">
      <c r="A69" s="47">
        <v>7</v>
      </c>
      <c r="B69" s="47">
        <v>1</v>
      </c>
      <c r="C69" s="136">
        <v>27.099999999999998</v>
      </c>
      <c r="D69" s="134">
        <v>4.5774647887323931E-2</v>
      </c>
      <c r="E69" s="134">
        <v>0.36289317618571981</v>
      </c>
      <c r="F69" s="134">
        <v>0.56335459322614401</v>
      </c>
      <c r="G69" s="135">
        <f>C69*(1-D69)*E69*0.453592/(47.9*12*80*2.54^2/100/100/10000)</f>
        <v>1434.7963068925774</v>
      </c>
      <c r="H69" s="135">
        <f>C69*(1-D69)*F69*0.453592/(47.9*12*80*2.54^2/100/100/10000)</f>
        <v>2227.374728639631</v>
      </c>
      <c r="I69" s="135">
        <f>G69+H69</f>
        <v>3662.1710355322084</v>
      </c>
      <c r="K69" s="134">
        <v>0.39118891188911892</v>
      </c>
      <c r="L69" s="134">
        <v>0.55058050580505802</v>
      </c>
      <c r="M69" s="135">
        <f>C69*(1-D69)*K69*0.453592/(47.9*12*80*2.54^2/100/100/10000)</f>
        <v>1546.671149827811</v>
      </c>
      <c r="N69" s="135">
        <f>C69*(1-D69)*L69*0.453592/(47.9*12*80*2.54^2/100/100/10000)</f>
        <v>2176.8689196069558</v>
      </c>
      <c r="O69" s="135">
        <f>M69+N69</f>
        <v>3723.5400694347668</v>
      </c>
    </row>
    <row r="70" spans="1:15" x14ac:dyDescent="0.2">
      <c r="A70" s="47">
        <v>7</v>
      </c>
      <c r="B70" s="47">
        <v>2</v>
      </c>
      <c r="C70" s="136">
        <v>32.099999999999994</v>
      </c>
      <c r="D70" s="134">
        <v>4.1042633090346892E-2</v>
      </c>
      <c r="E70" s="134">
        <v>0.33220803308679531</v>
      </c>
      <c r="F70" s="134">
        <v>0.55289329840555468</v>
      </c>
      <c r="G70" s="135">
        <f>C70*(1-D70)*E70*0.453592/(47.9*12*80*2.54^2/100/100/10000)</f>
        <v>1563.5280202980218</v>
      </c>
      <c r="H70" s="135">
        <f>C70*(1-D70)*F70*0.453592/(47.9*12*80*2.54^2/100/100/10000)</f>
        <v>2602.1771847588757</v>
      </c>
      <c r="I70" s="135">
        <f>G70+H70</f>
        <v>4165.7052050568973</v>
      </c>
      <c r="K70" s="134">
        <v>0.39804662305353361</v>
      </c>
      <c r="L70" s="134">
        <v>0.55118400442274029</v>
      </c>
      <c r="M70" s="135">
        <f>C70*(1-D70)*K70*0.453592/(47.9*12*80*2.54^2/100/100/10000)</f>
        <v>1873.3955429867717</v>
      </c>
      <c r="N70" s="135">
        <f>C70*(1-D70)*L70*0.453592/(47.9*12*80*2.54^2/100/100/10000)</f>
        <v>2594.132439385849</v>
      </c>
      <c r="O70" s="135">
        <f>M70+N70</f>
        <v>4467.5279823726205</v>
      </c>
    </row>
    <row r="71" spans="1:15" x14ac:dyDescent="0.2">
      <c r="A71" s="47">
        <v>7</v>
      </c>
      <c r="B71" s="47">
        <v>3</v>
      </c>
      <c r="C71" s="136">
        <v>37</v>
      </c>
      <c r="D71" s="134">
        <v>4.8462929475587703E-2</v>
      </c>
      <c r="E71" s="134">
        <v>0.36001557459058986</v>
      </c>
      <c r="F71" s="134">
        <v>0.55698895206227828</v>
      </c>
      <c r="G71" s="135">
        <f>C71*(1-D71)*E71*0.453592/(47.9*12*80*2.54^2/100/100/10000)</f>
        <v>1937.9382391829035</v>
      </c>
      <c r="H71" s="135">
        <f>C71*(1-D71)*F71*0.453592/(47.9*12*80*2.54^2/100/100/10000)</f>
        <v>2998.2319243588527</v>
      </c>
      <c r="I71" s="135">
        <f>G71+H71</f>
        <v>4936.1701635417558</v>
      </c>
      <c r="K71" s="134">
        <v>0.39409920182440139</v>
      </c>
      <c r="L71" s="134">
        <v>0.5480330672748005</v>
      </c>
      <c r="M71" s="135">
        <f>C71*(1-D71)*K71*0.453592/(47.9*12*80*2.54^2/100/100/10000)</f>
        <v>2121.4079810727471</v>
      </c>
      <c r="N71" s="135">
        <f>C71*(1-D71)*L71*0.453592/(47.9*12*80*2.54^2/100/100/10000)</f>
        <v>2950.0230333543268</v>
      </c>
      <c r="O71" s="135">
        <f>M71+N71</f>
        <v>5071.4310144270739</v>
      </c>
    </row>
    <row r="72" spans="1:15" x14ac:dyDescent="0.2">
      <c r="A72" s="47">
        <v>7</v>
      </c>
      <c r="B72" s="47">
        <v>4</v>
      </c>
      <c r="C72" s="136">
        <v>40.200000000000003</v>
      </c>
      <c r="D72" s="134">
        <v>4.8754960533775267E-2</v>
      </c>
      <c r="E72" s="134">
        <v>0.35111215030955834</v>
      </c>
      <c r="F72" s="134">
        <v>0.54321424532716789</v>
      </c>
      <c r="G72" s="135">
        <f>C72*(1-D72)*E72*0.453592/(47.9*12*80*2.54^2/100/100/10000)</f>
        <v>2052.8419941397724</v>
      </c>
      <c r="H72" s="135">
        <f>C72*(1-D72)*F72*0.453592/(47.9*12*80*2.54^2/100/100/10000)</f>
        <v>3176.0023503584162</v>
      </c>
      <c r="I72" s="135">
        <f>G72+H72</f>
        <v>5228.8443444981885</v>
      </c>
      <c r="K72" s="134">
        <v>0.38651263008297804</v>
      </c>
      <c r="L72" s="134">
        <v>0.54948883693210471</v>
      </c>
      <c r="M72" s="135">
        <f>C72*(1-D72)*K72*0.453592/(47.9*12*80*2.54^2/100/100/10000)</f>
        <v>2259.817433262288</v>
      </c>
      <c r="N72" s="135">
        <f>C72*(1-D72)*L72*0.453592/(47.9*12*80*2.54^2/100/100/10000)</f>
        <v>3212.6879083242538</v>
      </c>
      <c r="O72" s="135">
        <f>M72+N72</f>
        <v>5472.5053415865423</v>
      </c>
    </row>
    <row r="73" spans="1:15" x14ac:dyDescent="0.2">
      <c r="A73" s="47">
        <v>7</v>
      </c>
      <c r="B73" s="47">
        <v>5</v>
      </c>
      <c r="C73" s="136">
        <v>39.200000000000003</v>
      </c>
      <c r="D73" s="134">
        <v>4.9592088998763911E-2</v>
      </c>
      <c r="E73" s="134">
        <v>0.35044337186620478</v>
      </c>
      <c r="F73" s="134">
        <v>0.56363494356100952</v>
      </c>
      <c r="G73" s="135">
        <f>C73*(1-D73)*E73*0.453592/(47.9*12*80*2.54^2/100/100/10000)</f>
        <v>1996.2051266114074</v>
      </c>
      <c r="H73" s="135">
        <f>C73*(1-D73)*F73*0.453592/(47.9*12*80*2.54^2/100/100/10000)</f>
        <v>3210.5927924451671</v>
      </c>
      <c r="I73" s="135">
        <f>G73+H73</f>
        <v>5206.7979190565748</v>
      </c>
      <c r="K73" s="134">
        <v>0.39704505254396</v>
      </c>
      <c r="L73" s="134">
        <v>0.55894287795234621</v>
      </c>
      <c r="M73" s="135">
        <f>C73*(1-D73)*K73*0.453592/(47.9*12*80*2.54^2/100/100/10000)</f>
        <v>2261.6588955962557</v>
      </c>
      <c r="N73" s="135">
        <f>C73*(1-D73)*L73*0.453592/(47.9*12*80*2.54^2/100/100/10000)</f>
        <v>3183.8657199012277</v>
      </c>
      <c r="O73" s="135">
        <f>M73+N73</f>
        <v>5445.524615497483</v>
      </c>
    </row>
    <row r="74" spans="1:15" x14ac:dyDescent="0.2">
      <c r="A74" s="47">
        <v>7</v>
      </c>
      <c r="B74" s="47">
        <v>6</v>
      </c>
      <c r="C74" s="136">
        <v>35.700000000000003</v>
      </c>
      <c r="D74" s="134">
        <v>4.7834575789847358E-2</v>
      </c>
      <c r="E74" s="134">
        <v>0.33344436638823066</v>
      </c>
      <c r="F74" s="134">
        <v>0.54321424532716789</v>
      </c>
      <c r="G74" s="135">
        <f>C74*(1-D74)*E74*0.453592/(47.9*12*80*2.54^2/100/100/10000)</f>
        <v>1732.9866374883773</v>
      </c>
      <c r="H74" s="135">
        <f>C74*(1-D74)*F74*0.453592/(47.9*12*80*2.54^2/100/100/10000)</f>
        <v>2823.208676883924</v>
      </c>
      <c r="I74" s="135">
        <f>G74+H74</f>
        <v>4556.1953143723013</v>
      </c>
      <c r="K74" s="134">
        <v>0.40311305806692138</v>
      </c>
      <c r="L74" s="134">
        <v>0.53551123124242705</v>
      </c>
      <c r="M74" s="135">
        <f>C74*(1-D74)*K74*0.453592/(47.9*12*80*2.54^2/100/100/10000)</f>
        <v>2095.0707627601068</v>
      </c>
      <c r="N74" s="135">
        <f>C74*(1-D74)*L74*0.453592/(47.9*12*80*2.54^2/100/100/10000)</f>
        <v>2783.174350852762</v>
      </c>
      <c r="O74" s="135">
        <f>M74+N74</f>
        <v>4878.2451136128693</v>
      </c>
    </row>
    <row r="75" spans="1:15" x14ac:dyDescent="0.2">
      <c r="A75" s="47">
        <v>7</v>
      </c>
      <c r="B75" s="47">
        <v>7</v>
      </c>
      <c r="C75" s="136">
        <v>41.3</v>
      </c>
      <c r="D75" s="134">
        <v>4.2981617256402101E-2</v>
      </c>
      <c r="E75" s="134">
        <v>0.36289317618571981</v>
      </c>
      <c r="F75" s="134">
        <v>0.54305062333298215</v>
      </c>
      <c r="G75" s="135">
        <f>C75*(1-D75)*E75*0.453592/(47.9*12*80*2.54^2/100/100/10000)</f>
        <v>2193.0086265154237</v>
      </c>
      <c r="H75" s="135">
        <f>C75*(1-D75)*F75*0.453592/(47.9*12*80*2.54^2/100/100/10000)</f>
        <v>3281.7225006025656</v>
      </c>
      <c r="I75" s="135">
        <f>G75+H75</f>
        <v>5474.7311271179897</v>
      </c>
      <c r="K75" s="134">
        <v>0.39898961860878257</v>
      </c>
      <c r="L75" s="134">
        <v>0.53655693110531288</v>
      </c>
      <c r="M75" s="135">
        <f>C75*(1-D75)*K75*0.453592/(47.9*12*80*2.54^2/100/100/10000)</f>
        <v>2411.1439203567766</v>
      </c>
      <c r="N75" s="135">
        <f>C75*(1-D75)*L75*0.453592/(47.9*12*80*2.54^2/100/100/10000)</f>
        <v>3242.4803103169957</v>
      </c>
      <c r="O75" s="135">
        <f>M75+N75</f>
        <v>5653.6242306737722</v>
      </c>
    </row>
    <row r="76" spans="1:15" x14ac:dyDescent="0.2">
      <c r="A76" s="47">
        <v>7</v>
      </c>
      <c r="B76" s="47">
        <v>8</v>
      </c>
      <c r="C76" s="136">
        <v>40.200000000000003</v>
      </c>
      <c r="D76" s="134">
        <v>4.5903173657789467E-2</v>
      </c>
      <c r="E76" s="134">
        <v>0.37673354499045286</v>
      </c>
      <c r="F76" s="134">
        <v>0.56389669593618896</v>
      </c>
      <c r="G76" s="135">
        <f>C76*(1-D76)*E76*0.453592/(47.9*12*80*2.54^2/100/100/10000)</f>
        <v>2209.2456226673162</v>
      </c>
      <c r="H76" s="135">
        <f>C76*(1-D76)*F76*0.453592/(47.9*12*80*2.54^2/100/100/10000)</f>
        <v>3306.8101412767969</v>
      </c>
      <c r="I76" s="135">
        <f>G76+H76</f>
        <v>5516.0557639441131</v>
      </c>
      <c r="K76" s="134">
        <v>0.39287466000802601</v>
      </c>
      <c r="L76" s="134">
        <v>0.54068756409684759</v>
      </c>
      <c r="M76" s="135">
        <f>C76*(1-D76)*K76*0.453592/(47.9*12*80*2.54^2/100/100/10000)</f>
        <v>2303.9005536436562</v>
      </c>
      <c r="N76" s="135">
        <f>C76*(1-D76)*L76*0.453592/(47.9*12*80*2.54^2/100/100/10000)</f>
        <v>3170.7068565977734</v>
      </c>
      <c r="O76" s="135">
        <f>M76+N76</f>
        <v>5474.6074102414295</v>
      </c>
    </row>
    <row r="77" spans="1:15" x14ac:dyDescent="0.2">
      <c r="A77" s="47">
        <v>7</v>
      </c>
      <c r="B77" s="47">
        <v>9</v>
      </c>
      <c r="C77" s="136">
        <v>37.4</v>
      </c>
      <c r="D77" s="134">
        <v>5.2837407013815119E-2</v>
      </c>
      <c r="E77" s="134">
        <v>0.34408105775836323</v>
      </c>
      <c r="F77" s="134">
        <v>0.52407972716601825</v>
      </c>
      <c r="G77" s="135">
        <f>C77*(1-D77)*E77*0.453592/(47.9*12*80*2.54^2/100/100/10000)</f>
        <v>1863.5803016666466</v>
      </c>
      <c r="H77" s="135">
        <f>C77*(1-D77)*F77*0.453592/(47.9*12*80*2.54^2/100/100/10000)</f>
        <v>2838.4726041364984</v>
      </c>
      <c r="I77" s="135">
        <f>G77+H77</f>
        <v>4702.0529058031452</v>
      </c>
      <c r="K77" s="134">
        <v>0.40068216497621401</v>
      </c>
      <c r="L77" s="134">
        <v>0.54254555246387215</v>
      </c>
      <c r="M77" s="135">
        <f>C77*(1-D77)*K77*0.453592/(47.9*12*80*2.54^2/100/100/10000)</f>
        <v>2170.1380330073362</v>
      </c>
      <c r="N77" s="135">
        <f>C77*(1-D77)*L77*0.453592/(47.9*12*80*2.54^2/100/100/10000)</f>
        <v>2938.4855153478588</v>
      </c>
      <c r="O77" s="135">
        <f>M77+N77</f>
        <v>5108.6235483551955</v>
      </c>
    </row>
    <row r="78" spans="1:15" x14ac:dyDescent="0.2">
      <c r="A78" s="47">
        <v>7</v>
      </c>
      <c r="B78" s="47">
        <v>10</v>
      </c>
      <c r="C78" s="136">
        <v>32.4</v>
      </c>
      <c r="D78" s="134">
        <v>5.5635216518497212E-2</v>
      </c>
      <c r="E78" s="134">
        <v>0.34852820070437879</v>
      </c>
      <c r="F78" s="134">
        <v>0.53085329812920923</v>
      </c>
      <c r="G78" s="135">
        <f>C78*(1-D78)*E78*0.453592/(47.9*12*80*2.54^2/100/100/10000)</f>
        <v>1630.4741748138561</v>
      </c>
      <c r="H78" s="135">
        <f>C78*(1-D78)*F78*0.453592/(47.9*12*80*2.54^2/100/100/10000)</f>
        <v>2483.4219769452411</v>
      </c>
      <c r="I78" s="135">
        <f>G78+H78</f>
        <v>4113.8961517590969</v>
      </c>
      <c r="K78" s="134">
        <v>0.40626581637817588</v>
      </c>
      <c r="L78" s="134">
        <v>0.54094543982184429</v>
      </c>
      <c r="M78" s="135">
        <f>C78*(1-D78)*K78*0.453592/(47.9*12*80*2.54^2/100/100/10000)</f>
        <v>1900.5805566825156</v>
      </c>
      <c r="N78" s="135">
        <f>C78*(1-D78)*L78*0.453592/(47.9*12*80*2.54^2/100/100/10000)</f>
        <v>2530.6347315089984</v>
      </c>
      <c r="O78" s="135">
        <f>M78+N78</f>
        <v>4431.2152881915135</v>
      </c>
    </row>
    <row r="79" spans="1:15" x14ac:dyDescent="0.2">
      <c r="A79" s="47">
        <v>7</v>
      </c>
      <c r="B79" s="47">
        <v>11</v>
      </c>
      <c r="C79" s="136">
        <v>35.5</v>
      </c>
      <c r="D79" s="134">
        <v>4.5143212951432074E-2</v>
      </c>
      <c r="E79" s="134">
        <v>0.31973015197807875</v>
      </c>
      <c r="F79" s="134">
        <v>0.53212638082319685</v>
      </c>
      <c r="G79" s="135">
        <f>C79*(1-D79)*E79*0.453592/(47.9*12*80*2.54^2/100/100/10000)</f>
        <v>1657.0720540465406</v>
      </c>
      <c r="H79" s="135">
        <f>C79*(1-D79)*F79*0.453592/(47.9*12*80*2.54^2/100/100/10000)</f>
        <v>2757.8623705890031</v>
      </c>
      <c r="I79" s="135">
        <f>G79+H79</f>
        <v>4414.934424635544</v>
      </c>
      <c r="K79" s="134">
        <v>0.39022932289968482</v>
      </c>
      <c r="L79" s="134">
        <v>0.53380067383980001</v>
      </c>
      <c r="M79" s="135">
        <f>C79*(1-D79)*K79*0.453592/(47.9*12*80*2.54^2/100/100/10000)</f>
        <v>2022.4495614380035</v>
      </c>
      <c r="N79" s="135">
        <f>C79*(1-D79)*L79*0.453592/(47.9*12*80*2.54^2/100/100/10000)</f>
        <v>2766.5397635434488</v>
      </c>
      <c r="O79" s="135">
        <f>M79+N79</f>
        <v>4788.9893249814522</v>
      </c>
    </row>
    <row r="80" spans="1:15" x14ac:dyDescent="0.2">
      <c r="A80" s="47">
        <v>8</v>
      </c>
      <c r="B80" s="47">
        <v>1</v>
      </c>
      <c r="C80" s="136">
        <v>25.5</v>
      </c>
      <c r="D80" s="134">
        <v>4.8868264040155159E-2</v>
      </c>
      <c r="E80" s="134">
        <v>0.34895468005641234</v>
      </c>
      <c r="F80" s="134">
        <v>0.53987637002337896</v>
      </c>
      <c r="G80" s="135">
        <f>C80*(1-D80)*E80*0.453592/(47.9*12*80*2.54^2/100/100/10000)</f>
        <v>1294.0202933283172</v>
      </c>
      <c r="H80" s="135">
        <f>C80*(1-D80)*F80*0.453592/(47.9*12*80*2.54^2/100/100/10000)</f>
        <v>2002.0106295343048</v>
      </c>
      <c r="I80" s="135">
        <f>G80+H80</f>
        <v>3296.030922862622</v>
      </c>
      <c r="K80" s="134">
        <v>0.40167280693020013</v>
      </c>
      <c r="L80" s="134">
        <v>0.54704769491187888</v>
      </c>
      <c r="M80" s="135">
        <f>C80*(1-D80)*K80*0.453592/(47.9*12*80*2.54^2/100/100/10000)</f>
        <v>1489.5136622377415</v>
      </c>
      <c r="N80" s="135">
        <f>C80*(1-D80)*L80*0.453592/(47.9*12*80*2.54^2/100/100/10000)</f>
        <v>2028.603882085808</v>
      </c>
      <c r="O80" s="135">
        <f>M80+N80</f>
        <v>3518.1175443235497</v>
      </c>
    </row>
    <row r="81" spans="1:15" x14ac:dyDescent="0.2">
      <c r="A81" s="47">
        <v>8</v>
      </c>
      <c r="B81" s="47">
        <v>2</v>
      </c>
      <c r="C81" s="136">
        <v>31.7</v>
      </c>
      <c r="D81" s="134">
        <v>4.8628368172294455E-2</v>
      </c>
      <c r="E81" s="134">
        <v>0.35261064515682372</v>
      </c>
      <c r="F81" s="134">
        <v>0.53803806815086364</v>
      </c>
      <c r="G81" s="135">
        <f>C81*(1-D81)*E81*0.453592/(47.9*12*80*2.54^2/100/100/10000)</f>
        <v>1625.9084403167446</v>
      </c>
      <c r="H81" s="135">
        <f>C81*(1-D81)*F81*0.453592/(47.9*12*80*2.54^2/100/100/10000)</f>
        <v>2480.9252024400375</v>
      </c>
      <c r="I81" s="135">
        <f>G81+H81</f>
        <v>4106.833642756782</v>
      </c>
      <c r="K81" s="134">
        <v>0.39313700384122924</v>
      </c>
      <c r="L81" s="134">
        <v>0.53434058898847625</v>
      </c>
      <c r="M81" s="135">
        <f>C81*(1-D81)*K81*0.453592/(47.9*12*80*2.54^2/100/100/10000)</f>
        <v>1812.7778656881005</v>
      </c>
      <c r="N81" s="135">
        <f>C81*(1-D81)*L81*0.453592/(47.9*12*80*2.54^2/100/100/10000)</f>
        <v>2463.8759083798786</v>
      </c>
      <c r="O81" s="135">
        <f>M81+N81</f>
        <v>4276.6537740679796</v>
      </c>
    </row>
    <row r="82" spans="1:15" x14ac:dyDescent="0.2">
      <c r="A82" s="47">
        <v>8</v>
      </c>
      <c r="B82" s="47">
        <v>3</v>
      </c>
      <c r="C82" s="136">
        <v>33.400000000000006</v>
      </c>
      <c r="D82" s="134">
        <v>5.486081165253217E-2</v>
      </c>
      <c r="E82" s="134">
        <v>0.35005071929056125</v>
      </c>
      <c r="F82" s="134">
        <v>0.55487813923292162</v>
      </c>
      <c r="G82" s="135">
        <f>C82*(1-D82)*E82*0.453592/(47.9*12*80*2.54^2/100/100/10000)</f>
        <v>1689.5242066808075</v>
      </c>
      <c r="H82" s="135">
        <f>C82*(1-D82)*F82*0.453592/(47.9*12*80*2.54^2/100/100/10000)</f>
        <v>2678.1263294987398</v>
      </c>
      <c r="I82" s="135">
        <f>G82+H82</f>
        <v>4367.6505361795471</v>
      </c>
      <c r="K82" s="134">
        <v>0.38973943019365304</v>
      </c>
      <c r="L82" s="134">
        <v>0.53011254182297474</v>
      </c>
      <c r="M82" s="135">
        <f>C82*(1-D82)*K82*0.453592/(47.9*12*80*2.54^2/100/100/10000)</f>
        <v>1881.0822698627053</v>
      </c>
      <c r="N82" s="135">
        <f>C82*(1-D82)*L82*0.453592/(47.9*12*80*2.54^2/100/100/10000)</f>
        <v>2558.594861596554</v>
      </c>
      <c r="O82" s="135">
        <f>M82+N82</f>
        <v>4439.6771314592588</v>
      </c>
    </row>
    <row r="83" spans="1:15" x14ac:dyDescent="0.2">
      <c r="A83" s="47">
        <v>8</v>
      </c>
      <c r="B83" s="47">
        <v>4</v>
      </c>
      <c r="C83" s="136">
        <v>31.999999999999996</v>
      </c>
      <c r="D83" s="134">
        <v>5.3741886216112984E-2</v>
      </c>
      <c r="E83" s="134">
        <v>0.3601657835319933</v>
      </c>
      <c r="F83" s="134">
        <v>0.51041156034601243</v>
      </c>
      <c r="G83" s="135">
        <f>C83*(1-D83)*E83*0.453592/(47.9*12*80*2.54^2/100/100/10000)</f>
        <v>1667.4516620376282</v>
      </c>
      <c r="H83" s="135">
        <f>C83*(1-D83)*F83*0.453592/(47.9*12*80*2.54^2/100/100/10000)</f>
        <v>2363.0412536025265</v>
      </c>
      <c r="I83" s="135">
        <f>G83+H83</f>
        <v>4030.4929156401549</v>
      </c>
      <c r="K83" s="134">
        <v>0.39700393422778169</v>
      </c>
      <c r="L83" s="134">
        <v>0.54756380510440839</v>
      </c>
      <c r="M83" s="135">
        <f>C83*(1-D83)*K83*0.453592/(47.9*12*80*2.54^2/100/100/10000)</f>
        <v>1838.0004437728276</v>
      </c>
      <c r="N83" s="135">
        <f>C83*(1-D83)*L83*0.453592/(47.9*12*80*2.54^2/100/100/10000)</f>
        <v>2535.0441897596011</v>
      </c>
      <c r="O83" s="135">
        <f>M83+N83</f>
        <v>4373.0446335324286</v>
      </c>
    </row>
    <row r="84" spans="1:15" x14ac:dyDescent="0.2">
      <c r="A84" s="47">
        <v>8</v>
      </c>
      <c r="B84" s="47">
        <v>5</v>
      </c>
      <c r="C84" s="136">
        <v>35.6</v>
      </c>
      <c r="D84" s="134">
        <v>4.9475320637388333E-2</v>
      </c>
      <c r="E84" s="134">
        <v>0.33415643311288623</v>
      </c>
      <c r="F84" s="134">
        <v>0.54200173450910161</v>
      </c>
      <c r="G84" s="135">
        <f>C84*(1-D84)*E84*0.453592/(47.9*12*80*2.54^2/100/100/10000)</f>
        <v>1728.8385119560387</v>
      </c>
      <c r="H84" s="135">
        <f>C84*(1-D84)*F84*0.453592/(47.9*12*80*2.54^2/100/100/10000)</f>
        <v>2804.1760663926962</v>
      </c>
      <c r="I84" s="135">
        <f>G84+H84</f>
        <v>4533.0145783487351</v>
      </c>
      <c r="K84" s="134">
        <v>0.40254323915443435</v>
      </c>
      <c r="L84" s="134">
        <v>0.54622398495318314</v>
      </c>
      <c r="M84" s="135">
        <f>C84*(1-D84)*K84*0.453592/(47.9*12*80*2.54^2/100/100/10000)</f>
        <v>2082.654067421809</v>
      </c>
      <c r="N84" s="135">
        <f>C84*(1-D84)*L84*0.453592/(47.9*12*80*2.54^2/100/100/10000)</f>
        <v>2826.0208925025845</v>
      </c>
      <c r="O84" s="135">
        <f>M84+N84</f>
        <v>4908.674959924394</v>
      </c>
    </row>
    <row r="85" spans="1:15" x14ac:dyDescent="0.2">
      <c r="A85" s="47">
        <v>8</v>
      </c>
      <c r="B85" s="47">
        <v>6</v>
      </c>
      <c r="C85" s="136">
        <v>29.999999999999996</v>
      </c>
      <c r="D85" s="134">
        <v>5.8182846904615983E-2</v>
      </c>
      <c r="E85" s="134">
        <v>0.38319714607888178</v>
      </c>
      <c r="F85" s="134">
        <v>0.54305062333298215</v>
      </c>
      <c r="G85" s="135">
        <f>C85*(1-D85)*E85*0.453592/(47.9*12*80*2.54^2/100/100/10000)</f>
        <v>1655.3937956701584</v>
      </c>
      <c r="H85" s="135">
        <f>C85*(1-D85)*F85*0.453592/(47.9*12*80*2.54^2/100/100/10000)</f>
        <v>2345.9533605586348</v>
      </c>
      <c r="I85" s="135">
        <f>G85+H85</f>
        <v>4001.3471562287932</v>
      </c>
      <c r="K85" s="134">
        <v>0.40080100125156448</v>
      </c>
      <c r="L85" s="134">
        <v>0.54182728410513148</v>
      </c>
      <c r="M85" s="135">
        <f>C85*(1-D85)*K85*0.453592/(47.9*12*80*2.54^2/100/100/10000)</f>
        <v>1731.441628831046</v>
      </c>
      <c r="N85" s="135">
        <f>C85*(1-D85)*L85*0.453592/(47.9*12*80*2.54^2/100/100/10000)</f>
        <v>2340.6685921606809</v>
      </c>
      <c r="O85" s="135">
        <f>M85+N85</f>
        <v>4072.1102209917271</v>
      </c>
    </row>
    <row r="86" spans="1:15" x14ac:dyDescent="0.2">
      <c r="A86" s="47">
        <v>8</v>
      </c>
      <c r="B86" s="47">
        <v>7</v>
      </c>
      <c r="C86" s="136">
        <v>26.2</v>
      </c>
      <c r="D86" s="134">
        <v>4.5381878190913223E-2</v>
      </c>
      <c r="E86" s="134">
        <v>0.34960964433874059</v>
      </c>
      <c r="F86" s="134">
        <v>0.54504143552409656</v>
      </c>
      <c r="G86" s="135">
        <f>C86*(1-D86)*E86*0.453592/(47.9*12*80*2.54^2/100/100/10000)</f>
        <v>1336.9204823464111</v>
      </c>
      <c r="H86" s="135">
        <f>C86*(1-D86)*F86*0.453592/(47.9*12*80*2.54^2/100/100/10000)</f>
        <v>2084.2590319780547</v>
      </c>
      <c r="I86" s="135">
        <f>G86+H86</f>
        <v>3421.1795143244658</v>
      </c>
      <c r="K86" s="134">
        <v>0.40095078601912371</v>
      </c>
      <c r="L86" s="134">
        <v>0.55253632974987843</v>
      </c>
      <c r="M86" s="135">
        <f>C86*(1-D86)*K86*0.453592/(47.9*12*80*2.54^2/100/100/10000)</f>
        <v>1533.2509469403683</v>
      </c>
      <c r="N86" s="135">
        <f>C86*(1-D86)*L86*0.453592/(47.9*12*80*2.54^2/100/100/10000)</f>
        <v>2112.9197905289802</v>
      </c>
      <c r="O86" s="135">
        <f>M86+N86</f>
        <v>3646.1707374693488</v>
      </c>
    </row>
    <row r="87" spans="1:15" x14ac:dyDescent="0.2">
      <c r="A87" s="47">
        <v>8</v>
      </c>
      <c r="B87" s="47">
        <v>8</v>
      </c>
      <c r="C87" s="136">
        <v>38.800000000000004</v>
      </c>
      <c r="D87" s="134">
        <v>4.8728402251990002E-2</v>
      </c>
      <c r="E87" s="134">
        <v>0.33415643311288623</v>
      </c>
      <c r="F87" s="134">
        <v>0.54200173450910161</v>
      </c>
      <c r="G87" s="135">
        <f>C87*(1-D87)*E87*0.453592/(47.9*12*80*2.54^2/100/100/10000)</f>
        <v>1885.7203543447947</v>
      </c>
      <c r="H87" s="135">
        <f>C87*(1-D87)*F87*0.453592/(47.9*12*80*2.54^2/100/100/10000)</f>
        <v>3058.6384147472581</v>
      </c>
      <c r="I87" s="135">
        <f>G87+H87</f>
        <v>4944.3587690920531</v>
      </c>
      <c r="K87" s="134">
        <v>0.38321428571428573</v>
      </c>
      <c r="L87" s="134">
        <v>0.55515306122448982</v>
      </c>
      <c r="M87" s="135">
        <f>C87*(1-D87)*K87*0.453592/(47.9*12*80*2.54^2/100/100/10000)</f>
        <v>2162.5649158249385</v>
      </c>
      <c r="N87" s="135">
        <f>C87*(1-D87)*L87*0.453592/(47.9*12*80*2.54^2/100/100/10000)</f>
        <v>3132.8543268660833</v>
      </c>
      <c r="O87" s="135">
        <f>M87+N87</f>
        <v>5295.4192426910213</v>
      </c>
    </row>
    <row r="88" spans="1:15" x14ac:dyDescent="0.2">
      <c r="A88" s="47">
        <v>8</v>
      </c>
      <c r="B88" s="47">
        <v>9</v>
      </c>
      <c r="C88" s="136">
        <v>35</v>
      </c>
      <c r="D88" s="134">
        <v>4.638004377813567E-2</v>
      </c>
      <c r="E88" s="134">
        <v>0.33543914656071555</v>
      </c>
      <c r="F88" s="134">
        <v>0.55159701616945489</v>
      </c>
      <c r="G88" s="135">
        <f>C88*(1-D88)*E88*0.453592/(47.9*12*80*2.54^2/100/100/10000)</f>
        <v>1711.7814915041415</v>
      </c>
      <c r="H88" s="135">
        <f>C88*(1-D88)*F88*0.453592/(47.9*12*80*2.54^2/100/100/10000)</f>
        <v>2814.8579935552566</v>
      </c>
      <c r="I88" s="135">
        <f>G88+H88</f>
        <v>4526.6394850593979</v>
      </c>
      <c r="K88" s="134">
        <v>0.38692074491121697</v>
      </c>
      <c r="L88" s="134">
        <v>0.55508878302295361</v>
      </c>
      <c r="M88" s="135">
        <f>C88*(1-D88)*K88*0.453592/(47.9*12*80*2.54^2/100/100/10000)</f>
        <v>1974.4975403404017</v>
      </c>
      <c r="N88" s="135">
        <f>C88*(1-D88)*L88*0.453592/(47.9*12*80*2.54^2/100/100/10000)</f>
        <v>2832.6768496242366</v>
      </c>
      <c r="O88" s="135">
        <f>M88+N88</f>
        <v>4807.1743899646381</v>
      </c>
    </row>
    <row r="89" spans="1:15" x14ac:dyDescent="0.2">
      <c r="A89" s="47">
        <v>8</v>
      </c>
      <c r="B89" s="47">
        <v>10</v>
      </c>
      <c r="C89" s="136">
        <v>24.900000000000002</v>
      </c>
      <c r="D89" s="134">
        <v>4.9162901939941508E-2</v>
      </c>
      <c r="E89" s="134">
        <v>0.4002606746590297</v>
      </c>
      <c r="F89" s="134">
        <v>0.63085660581246561</v>
      </c>
      <c r="G89" s="135">
        <f>C89*(1-D89)*E89*0.453592/(47.9*12*80*2.54^2/100/100/10000)</f>
        <v>1448.9039442609285</v>
      </c>
      <c r="H89" s="135">
        <f>C89*(1-D89)*F89*0.453592/(47.9*12*80*2.54^2/100/100/10000)</f>
        <v>2283.6383444448948</v>
      </c>
      <c r="I89" s="135">
        <f>G89+H89</f>
        <v>3732.542288705823</v>
      </c>
      <c r="K89" s="134">
        <v>0.3911868828023104</v>
      </c>
      <c r="L89" s="134">
        <v>0.55394074902179991</v>
      </c>
      <c r="M89" s="135">
        <f>C89*(1-D89)*K89*0.453592/(47.9*12*80*2.54^2/100/100/10000)</f>
        <v>1416.0577176817051</v>
      </c>
      <c r="N89" s="135">
        <f>C89*(1-D89)*L89*0.453592/(47.9*12*80*2.54^2/100/100/10000)</f>
        <v>2005.2105714063871</v>
      </c>
      <c r="O89" s="135">
        <f>M89+N89</f>
        <v>3421.2682890880924</v>
      </c>
    </row>
    <row r="90" spans="1:15" x14ac:dyDescent="0.2">
      <c r="A90" s="47">
        <v>8</v>
      </c>
      <c r="B90" s="47">
        <v>11</v>
      </c>
      <c r="C90" s="136">
        <v>28.900000000000002</v>
      </c>
      <c r="D90" s="134">
        <v>4.6443581422567375E-2</v>
      </c>
      <c r="E90" s="134">
        <v>0.34504078081113165</v>
      </c>
      <c r="F90" s="134">
        <v>0.56738596882206771</v>
      </c>
      <c r="G90" s="135">
        <f>C90*(1-D90)*E90*0.453592/(47.9*12*80*2.54^2/100/100/10000)</f>
        <v>1453.8040390614815</v>
      </c>
      <c r="H90" s="135">
        <f>C90*(1-D90)*F90*0.453592/(47.9*12*80*2.54^2/100/100/10000)</f>
        <v>2390.6391912318613</v>
      </c>
      <c r="I90" s="135">
        <f>G90+H90</f>
        <v>3844.4432302933428</v>
      </c>
      <c r="K90" s="134">
        <v>0.40258870787770584</v>
      </c>
      <c r="L90" s="134">
        <v>0.5446886855612586</v>
      </c>
      <c r="M90" s="135">
        <f>C90*(1-D90)*K90*0.453592/(47.9*12*80*2.54^2/100/100/10000)</f>
        <v>1696.2780115940116</v>
      </c>
      <c r="N90" s="135">
        <f>C90*(1-D90)*L90*0.453592/(47.9*12*80*2.54^2/100/100/10000)</f>
        <v>2295.0058518836381</v>
      </c>
      <c r="O90" s="135">
        <f>M90+N90</f>
        <v>3991.2838634776499</v>
      </c>
    </row>
    <row r="91" spans="1:15" x14ac:dyDescent="0.2">
      <c r="A91" s="47">
        <v>9</v>
      </c>
      <c r="B91" s="47">
        <v>1</v>
      </c>
      <c r="C91" s="136">
        <v>24.9</v>
      </c>
      <c r="D91" s="134">
        <v>6.2132435465768812E-2</v>
      </c>
      <c r="E91" s="134">
        <v>0.33915344420428772</v>
      </c>
      <c r="F91" s="134">
        <v>0.55010688649935491</v>
      </c>
      <c r="G91" s="135">
        <f>C91*(1-D91)*E91*0.453592/(47.9*12*80*2.54^2/100/100/10000)</f>
        <v>1210.9558285408432</v>
      </c>
      <c r="H91" s="135">
        <f>C91*(1-D91)*F91*0.453592/(47.9*12*80*2.54^2/100/100/10000)</f>
        <v>1964.1703538932484</v>
      </c>
      <c r="I91" s="135">
        <f>G91+H91</f>
        <v>3175.1261824340918</v>
      </c>
      <c r="K91" s="134">
        <v>0.3951941027236609</v>
      </c>
      <c r="L91" s="134">
        <v>0.53827006845052894</v>
      </c>
      <c r="M91" s="135">
        <f>C91*(1-D91)*K91*0.453592/(47.9*12*80*2.54^2/100/100/10000)</f>
        <v>1411.0503970289199</v>
      </c>
      <c r="N91" s="135">
        <f>C91*(1-D91)*L91*0.453592/(47.9*12*80*2.54^2/100/100/10000)</f>
        <v>1921.9066999261393</v>
      </c>
      <c r="O91" s="135">
        <f>M91+N91</f>
        <v>3332.9570969550591</v>
      </c>
    </row>
    <row r="92" spans="1:15" x14ac:dyDescent="0.2">
      <c r="A92" s="47">
        <v>9</v>
      </c>
      <c r="B92" s="47">
        <v>2</v>
      </c>
      <c r="C92" s="136">
        <v>25.6</v>
      </c>
      <c r="D92" s="134">
        <v>4.7858654011092551E-2</v>
      </c>
      <c r="E92" s="134">
        <v>0.36033294816902833</v>
      </c>
      <c r="F92" s="134">
        <v>0.53921937625649452</v>
      </c>
      <c r="G92" s="135">
        <f>C92*(1-D92)*E92*0.453592/(47.9*12*80*2.54^2/100/100/10000)</f>
        <v>1342.8780384542631</v>
      </c>
      <c r="H92" s="135">
        <f>C92*(1-D92)*F92*0.453592/(47.9*12*80*2.54^2/100/100/10000)</f>
        <v>2009.5466205998521</v>
      </c>
      <c r="I92" s="135">
        <f>G92+H92</f>
        <v>3352.4246590541152</v>
      </c>
      <c r="K92" s="134">
        <v>0.39550804708143161</v>
      </c>
      <c r="L92" s="134">
        <v>0.55194571222675948</v>
      </c>
      <c r="M92" s="135">
        <f>C92*(1-D92)*K92*0.453592/(47.9*12*80*2.54^2/100/100/10000)</f>
        <v>1473.9675435076974</v>
      </c>
      <c r="N92" s="135">
        <f>C92*(1-D92)*L92*0.453592/(47.9*12*80*2.54^2/100/100/10000)</f>
        <v>2056.9747483114556</v>
      </c>
      <c r="O92" s="135">
        <f>M92+N92</f>
        <v>3530.9422918191531</v>
      </c>
    </row>
    <row r="93" spans="1:15" x14ac:dyDescent="0.2">
      <c r="A93" s="47">
        <v>9</v>
      </c>
      <c r="B93" s="47">
        <v>3</v>
      </c>
      <c r="C93" s="136">
        <v>34.799999999999997</v>
      </c>
      <c r="D93" s="134">
        <v>4.9981099584190759E-2</v>
      </c>
      <c r="E93" s="134">
        <v>0.35286452196660523</v>
      </c>
      <c r="F93" s="134">
        <v>0.56752899580952221</v>
      </c>
      <c r="G93" s="135">
        <f>C93*(1-D93)*E93*0.453592/(47.9*12*80*2.54^2/100/100/10000)</f>
        <v>1783.6543257916776</v>
      </c>
      <c r="H93" s="135">
        <f>C93*(1-D93)*F93*0.453592/(47.9*12*80*2.54^2/100/100/10000)</f>
        <v>2868.7371083558864</v>
      </c>
      <c r="I93" s="135">
        <f>G93+H93</f>
        <v>4652.3914341475638</v>
      </c>
      <c r="K93" s="134">
        <v>0.4040850612317079</v>
      </c>
      <c r="L93" s="134">
        <v>0.54759273177417211</v>
      </c>
      <c r="M93" s="135">
        <f>C93*(1-D93)*K93*0.453592/(47.9*12*80*2.54^2/100/100/10000)</f>
        <v>2042.5631441688029</v>
      </c>
      <c r="N93" s="135">
        <f>C93*(1-D93)*L93*0.453592/(47.9*12*80*2.54^2/100/100/10000)</f>
        <v>2767.9635780825806</v>
      </c>
      <c r="O93" s="135">
        <f>M93+N93</f>
        <v>4810.526722251383</v>
      </c>
    </row>
    <row r="94" spans="1:15" x14ac:dyDescent="0.2">
      <c r="A94" s="47">
        <v>9</v>
      </c>
      <c r="B94" s="47">
        <v>4</v>
      </c>
      <c r="C94" s="136">
        <v>39.5</v>
      </c>
      <c r="D94" s="134">
        <v>4.5531118390266682E-2</v>
      </c>
      <c r="E94" s="134">
        <v>0.33220803308679531</v>
      </c>
      <c r="F94" s="134">
        <v>0.53430617044421513</v>
      </c>
      <c r="G94" s="135">
        <f>C94*(1-D94)*E94*0.453592/(47.9*12*80*2.54^2/100/100/10000)</f>
        <v>1914.9622004946571</v>
      </c>
      <c r="H94" s="135">
        <f>C94*(1-D94)*F94*0.453592/(47.9*12*80*2.54^2/100/100/10000)</f>
        <v>3079.9258837440702</v>
      </c>
      <c r="I94" s="135">
        <f>G94+H94</f>
        <v>4994.8880842387271</v>
      </c>
      <c r="K94" s="134">
        <v>0.38525273324508508</v>
      </c>
      <c r="L94" s="134">
        <v>0.54836495563072996</v>
      </c>
      <c r="M94" s="135">
        <f>C94*(1-D94)*K94*0.453592/(47.9*12*80*2.54^2/100/100/10000)</f>
        <v>2220.7302302314897</v>
      </c>
      <c r="N94" s="135">
        <f>C94*(1-D94)*L94*0.453592/(47.9*12*80*2.54^2/100/100/10000)</f>
        <v>3160.9655924076369</v>
      </c>
      <c r="O94" s="135">
        <f>M94+N94</f>
        <v>5381.6958226391271</v>
      </c>
    </row>
    <row r="95" spans="1:15" x14ac:dyDescent="0.2">
      <c r="A95" s="47">
        <v>9</v>
      </c>
      <c r="B95" s="47">
        <v>5</v>
      </c>
      <c r="C95" s="136">
        <v>31.2</v>
      </c>
      <c r="D95" s="134">
        <v>4.1882237004188361E-2</v>
      </c>
      <c r="E95" s="134">
        <v>0.34752769524542587</v>
      </c>
      <c r="F95" s="134">
        <v>0.55087880196476247</v>
      </c>
      <c r="G95" s="135">
        <f>C95*(1-D95)*E95*0.453592/(47.9*12*80*2.54^2/100/100/10000)</f>
        <v>1588.3789123421172</v>
      </c>
      <c r="H95" s="135">
        <f>C95*(1-D95)*F95*0.453592/(47.9*12*80*2.54^2/100/100/10000)</f>
        <v>2517.7972411067421</v>
      </c>
      <c r="I95" s="135">
        <f>G95+H95</f>
        <v>4106.1761534488596</v>
      </c>
      <c r="K95" s="134">
        <v>0.3918230907688352</v>
      </c>
      <c r="L95" s="134">
        <v>0.54394445872975061</v>
      </c>
      <c r="M95" s="135">
        <f>C95*(1-D95)*K95*0.453592/(47.9*12*80*2.54^2/100/100/10000)</f>
        <v>1790.8314740395372</v>
      </c>
      <c r="N95" s="135">
        <f>C95*(1-D95)*L95*0.453592/(47.9*12*80*2.54^2/100/100/10000)</f>
        <v>2486.1037538937112</v>
      </c>
      <c r="O95" s="135">
        <f>M95+N95</f>
        <v>4276.9352279332488</v>
      </c>
    </row>
    <row r="96" spans="1:15" x14ac:dyDescent="0.2">
      <c r="A96" s="47">
        <v>9</v>
      </c>
      <c r="B96" s="47">
        <v>6</v>
      </c>
      <c r="C96" s="136">
        <v>22.7</v>
      </c>
      <c r="D96" s="134">
        <v>4.8142100836178273E-2</v>
      </c>
      <c r="E96" s="134">
        <v>0.381886778174028</v>
      </c>
      <c r="F96" s="134">
        <v>0.57147355348422491</v>
      </c>
      <c r="G96" s="135">
        <f>C96*(1-D96)*E96*0.453592/(47.9*12*80*2.54^2/100/100/10000)</f>
        <v>1261.6061705052509</v>
      </c>
      <c r="H96" s="135">
        <f>C96*(1-D96)*F96*0.453592/(47.9*12*80*2.54^2/100/100/10000)</f>
        <v>1887.9275286868099</v>
      </c>
      <c r="I96" s="135">
        <f>G96+H96</f>
        <v>3149.5336991920608</v>
      </c>
      <c r="K96" s="134">
        <v>0.40929410541636341</v>
      </c>
      <c r="L96" s="134">
        <v>0.54745815573344425</v>
      </c>
      <c r="M96" s="135">
        <f>C96*(1-D96)*K96*0.453592/(47.9*12*80*2.54^2/100/100/10000)</f>
        <v>1352.1493763510159</v>
      </c>
      <c r="N96" s="135">
        <f>C96*(1-D96)*L96*0.453592/(47.9*12*80*2.54^2/100/100/10000)</f>
        <v>1808.5899456094619</v>
      </c>
      <c r="O96" s="135">
        <f>M96+N96</f>
        <v>3160.7393219604778</v>
      </c>
    </row>
    <row r="97" spans="1:15" x14ac:dyDescent="0.2">
      <c r="A97" s="47">
        <v>9</v>
      </c>
      <c r="B97" s="47">
        <v>7</v>
      </c>
      <c r="C97" s="136">
        <v>32.299999999999997</v>
      </c>
      <c r="D97" s="134">
        <v>4.859963371599587E-2</v>
      </c>
      <c r="E97" s="134">
        <v>0.35550812635573242</v>
      </c>
      <c r="F97" s="134">
        <v>0.55001536801202355</v>
      </c>
      <c r="G97" s="135">
        <f>C97*(1-D97)*E97*0.453592/(47.9*12*80*2.54^2/100/100/10000)</f>
        <v>1670.3465164897154</v>
      </c>
      <c r="H97" s="135">
        <f>C97*(1-D97)*F97*0.453592/(47.9*12*80*2.54^2/100/100/10000)</f>
        <v>2584.2341872528573</v>
      </c>
      <c r="I97" s="135">
        <f>G97+H97</f>
        <v>4254.580703742573</v>
      </c>
      <c r="K97" s="134">
        <v>0.39922062068641717</v>
      </c>
      <c r="L97" s="134">
        <v>0.55514343396403587</v>
      </c>
      <c r="M97" s="135">
        <f>C97*(1-D97)*K97*0.453592/(47.9*12*80*2.54^2/100/100/10000)</f>
        <v>1875.728636388923</v>
      </c>
      <c r="N97" s="135">
        <f>C97*(1-D97)*L97*0.453592/(47.9*12*80*2.54^2/100/100/10000)</f>
        <v>2608.3282837425172</v>
      </c>
      <c r="O97" s="135">
        <f>M97+N97</f>
        <v>4484.0569201314402</v>
      </c>
    </row>
    <row r="98" spans="1:15" x14ac:dyDescent="0.2">
      <c r="A98" s="47">
        <v>9</v>
      </c>
      <c r="B98" s="47">
        <v>8</v>
      </c>
      <c r="C98" s="136">
        <v>36.4</v>
      </c>
      <c r="D98" s="134">
        <v>5.2533089913281691E-2</v>
      </c>
      <c r="E98" s="134">
        <v>0.34251865628604938</v>
      </c>
      <c r="F98" s="134">
        <v>0.53689995321726269</v>
      </c>
      <c r="G98" s="135">
        <f>C98*(1-D98)*E98*0.453592/(47.9*12*80*2.54^2/100/100/10000)</f>
        <v>1806.0961763738305</v>
      </c>
      <c r="H98" s="135">
        <f>C98*(1-D98)*F98*0.453592/(47.9*12*80*2.54^2/100/100/10000)</f>
        <v>2831.0660888239672</v>
      </c>
      <c r="I98" s="135">
        <f>G98+H98</f>
        <v>4637.1622651977978</v>
      </c>
      <c r="K98" s="134">
        <v>0.39216725275783992</v>
      </c>
      <c r="L98" s="134">
        <v>0.52189411821378684</v>
      </c>
      <c r="M98" s="135">
        <f>C98*(1-D98)*K98*0.453592/(47.9*12*80*2.54^2/100/100/10000)</f>
        <v>2067.8925445551349</v>
      </c>
      <c r="N98" s="135">
        <f>C98*(1-D98)*L98*0.453592/(47.9*12*80*2.54^2/100/100/10000)</f>
        <v>2751.9405266810386</v>
      </c>
      <c r="O98" s="135">
        <f>M98+N98</f>
        <v>4819.8330712361731</v>
      </c>
    </row>
    <row r="99" spans="1:15" x14ac:dyDescent="0.2">
      <c r="A99" s="47">
        <v>9</v>
      </c>
      <c r="B99" s="47">
        <v>9</v>
      </c>
      <c r="C99" s="136">
        <v>27.8</v>
      </c>
      <c r="D99" s="134">
        <v>5.1954680004082918E-2</v>
      </c>
      <c r="E99" s="134">
        <v>0.34629035200352526</v>
      </c>
      <c r="F99" s="134">
        <v>0.52744476659241712</v>
      </c>
      <c r="G99" s="135">
        <f>C99*(1-D99)*E99*0.453592/(47.9*12*80*2.54^2/100/100/10000)</f>
        <v>1395.4217665125284</v>
      </c>
      <c r="H99" s="135">
        <f>C99*(1-D99)*F99*0.453592/(47.9*12*80*2.54^2/100/100/10000)</f>
        <v>2125.4069126612176</v>
      </c>
      <c r="I99" s="135">
        <f>G99+H99</f>
        <v>3520.828679173746</v>
      </c>
      <c r="K99" s="134">
        <v>0.40412360034453054</v>
      </c>
      <c r="L99" s="134">
        <v>0.54408914728682167</v>
      </c>
      <c r="M99" s="135">
        <f>C99*(1-D99)*K99*0.453592/(47.9*12*80*2.54^2/100/100/10000)</f>
        <v>1628.4683215096532</v>
      </c>
      <c r="N99" s="135">
        <f>C99*(1-D99)*L99*0.453592/(47.9*12*80*2.54^2/100/100/10000)</f>
        <v>2192.4775976419428</v>
      </c>
      <c r="O99" s="135">
        <f>M99+N99</f>
        <v>3820.9459191515962</v>
      </c>
    </row>
    <row r="100" spans="1:15" x14ac:dyDescent="0.2">
      <c r="A100" s="47">
        <v>9</v>
      </c>
      <c r="B100" s="47">
        <v>10</v>
      </c>
      <c r="C100" s="136">
        <v>24.900000000000002</v>
      </c>
      <c r="D100" s="134">
        <v>4.6051966434131966E-2</v>
      </c>
      <c r="E100" s="134">
        <v>0.34752769524542587</v>
      </c>
      <c r="F100" s="134">
        <v>0.53028214646103555</v>
      </c>
      <c r="G100" s="135">
        <f>C100*(1-D100)*E100*0.453592/(47.9*12*80*2.54^2/100/100/10000)</f>
        <v>1262.1317473063805</v>
      </c>
      <c r="H100" s="135">
        <f>C100*(1-D100)*F100*0.453592/(47.9*12*80*2.54^2/100/100/10000)</f>
        <v>1925.8491948550793</v>
      </c>
      <c r="I100" s="135">
        <f>G100+H100</f>
        <v>3187.98094216146</v>
      </c>
      <c r="K100" s="134">
        <v>0.40437708653489479</v>
      </c>
      <c r="L100" s="134">
        <v>0.55280589263949975</v>
      </c>
      <c r="M100" s="135">
        <f>C100*(1-D100)*K100*0.453592/(47.9*12*80*2.54^2/100/100/10000)</f>
        <v>1468.5942035166988</v>
      </c>
      <c r="N100" s="135">
        <f>C100*(1-D100)*L100*0.453592/(47.9*12*80*2.54^2/100/100/10000)</f>
        <v>2007.6496830148344</v>
      </c>
      <c r="O100" s="135">
        <f>M100+N100</f>
        <v>3476.2438865315335</v>
      </c>
    </row>
    <row r="101" spans="1:15" x14ac:dyDescent="0.2">
      <c r="A101" s="47">
        <v>9</v>
      </c>
      <c r="B101" s="47">
        <v>11</v>
      </c>
      <c r="C101" s="136">
        <v>23.7</v>
      </c>
      <c r="D101" s="134">
        <v>4.7351435566436631E-2</v>
      </c>
      <c r="E101" s="134">
        <v>0.36101083032490972</v>
      </c>
      <c r="F101" s="134">
        <v>0.540072202166065</v>
      </c>
      <c r="G101" s="135">
        <f>C101*(1-D101)*E101*0.453592/(47.9*12*80*2.54^2/100/100/10000)</f>
        <v>1246.2136415416267</v>
      </c>
      <c r="H101" s="135">
        <f>C101*(1-D101)*F101*0.453592/(47.9*12*80*2.54^2/100/100/10000)</f>
        <v>1864.3356077462738</v>
      </c>
      <c r="I101" s="135">
        <f>G101+H101</f>
        <v>3110.5492492879002</v>
      </c>
      <c r="K101" s="134">
        <v>0.39203317563226447</v>
      </c>
      <c r="L101" s="134">
        <v>0.54015536475673154</v>
      </c>
      <c r="M101" s="135">
        <f>C101*(1-D101)*K101*0.453592/(47.9*12*80*2.54^2/100/100/10000)</f>
        <v>1353.3031432051805</v>
      </c>
      <c r="N101" s="135">
        <f>C101*(1-D101)*L101*0.453592/(47.9*12*80*2.54^2/100/100/10000)</f>
        <v>1864.622685989498</v>
      </c>
      <c r="O101" s="135">
        <f>M101+N101</f>
        <v>3217.9258291946785</v>
      </c>
    </row>
    <row r="102" spans="1:15" x14ac:dyDescent="0.2">
      <c r="A102" s="47">
        <v>10</v>
      </c>
      <c r="B102" s="47">
        <v>1</v>
      </c>
      <c r="C102" s="136">
        <v>24.4</v>
      </c>
      <c r="D102" s="134">
        <v>4.4559099437148184E-2</v>
      </c>
      <c r="E102" s="134">
        <v>0.34693561267117939</v>
      </c>
      <c r="F102" s="134">
        <v>0.54087262015436866</v>
      </c>
      <c r="G102" s="135">
        <f>C102*(1-D102)*E102*0.453592/(47.9*12*80*2.54^2/100/100/10000)</f>
        <v>1236.6128176798286</v>
      </c>
      <c r="H102" s="135">
        <f>C102*(1-D102)*F102*0.453592/(47.9*12*80*2.54^2/100/100/10000)</f>
        <v>1927.8793827628526</v>
      </c>
      <c r="I102" s="135">
        <f>G102+H102</f>
        <v>3164.4922004426812</v>
      </c>
      <c r="K102" s="134">
        <v>0.41341433480608741</v>
      </c>
      <c r="L102" s="134">
        <v>0.54884634266077559</v>
      </c>
      <c r="M102" s="135">
        <f>C102*(1-D102)*K102*0.453592/(47.9*12*80*2.54^2/100/100/10000)</f>
        <v>1473.5687163898262</v>
      </c>
      <c r="N102" s="135">
        <f>C102*(1-D102)*L102*0.453592/(47.9*12*80*2.54^2/100/100/10000)</f>
        <v>1956.3008162966612</v>
      </c>
      <c r="O102" s="135">
        <f>M102+N102</f>
        <v>3429.8695326864872</v>
      </c>
    </row>
    <row r="103" spans="1:15" x14ac:dyDescent="0.2">
      <c r="A103" s="47">
        <v>10</v>
      </c>
      <c r="B103" s="47">
        <v>2</v>
      </c>
      <c r="C103" s="136">
        <v>21.3</v>
      </c>
      <c r="D103" s="134">
        <v>4.1532071988924751E-2</v>
      </c>
      <c r="E103" s="134">
        <v>0.36656143933024965</v>
      </c>
      <c r="F103" s="134">
        <v>0.54837591323805346</v>
      </c>
      <c r="G103" s="135">
        <f>C103*(1-D103)*E103*0.453592/(47.9*12*80*2.54^2/100/100/10000)</f>
        <v>1144.1821610641859</v>
      </c>
      <c r="H103" s="135">
        <f>C103*(1-D103)*F103*0.453592/(47.9*12*80*2.54^2/100/100/10000)</f>
        <v>1711.6965129520224</v>
      </c>
      <c r="I103" s="135">
        <f>G103+H103</f>
        <v>2855.8786740162086</v>
      </c>
      <c r="K103" s="134">
        <v>0.38105173059434011</v>
      </c>
      <c r="L103" s="134">
        <v>0.53939977531696359</v>
      </c>
      <c r="M103" s="135">
        <f>C103*(1-D103)*K103*0.453592/(47.9*12*80*2.54^2/100/100/10000)</f>
        <v>1189.4120488649578</v>
      </c>
      <c r="N103" s="135">
        <f>C103*(1-D103)*L103*0.453592/(47.9*12*80*2.54^2/100/100/10000)</f>
        <v>1683.6784625446257</v>
      </c>
      <c r="O103" s="135">
        <f>M103+N103</f>
        <v>2873.0905114095835</v>
      </c>
    </row>
    <row r="104" spans="1:15" x14ac:dyDescent="0.2">
      <c r="A104" s="47">
        <v>10</v>
      </c>
      <c r="B104" s="47">
        <v>3</v>
      </c>
      <c r="C104" s="136">
        <v>28.299999999999997</v>
      </c>
      <c r="D104" s="134">
        <v>4.8268766216337085E-2</v>
      </c>
      <c r="E104" s="134">
        <v>0.34752769524542587</v>
      </c>
      <c r="F104" s="134">
        <v>0.55087880196476247</v>
      </c>
      <c r="G104" s="135">
        <f>C104*(1-D104)*E104*0.453592/(47.9*12*80*2.54^2/100/100/10000)</f>
        <v>1431.1375752081813</v>
      </c>
      <c r="H104" s="135">
        <f>C104*(1-D104)*F104*0.453592/(47.9*12*80*2.54^2/100/100/10000)</f>
        <v>2268.5482730251974</v>
      </c>
      <c r="I104" s="135">
        <f>G104+H104</f>
        <v>3699.6858482333787</v>
      </c>
      <c r="K104" s="134">
        <v>0.39717978848413632</v>
      </c>
      <c r="L104" s="134">
        <v>0.54444183313748529</v>
      </c>
      <c r="M104" s="135">
        <f>C104*(1-D104)*K104*0.453592/(47.9*12*80*2.54^2/100/100/10000)</f>
        <v>1635.6075420448567</v>
      </c>
      <c r="N104" s="135">
        <f>C104*(1-D104)*L104*0.453592/(47.9*12*80*2.54^2/100/100/10000)</f>
        <v>2242.0404922491803</v>
      </c>
      <c r="O104" s="135">
        <f>M104+N104</f>
        <v>3877.6480342940367</v>
      </c>
    </row>
    <row r="105" spans="1:15" x14ac:dyDescent="0.2">
      <c r="A105" s="47">
        <v>10</v>
      </c>
      <c r="B105" s="47">
        <v>4</v>
      </c>
      <c r="C105" s="136">
        <v>30.2</v>
      </c>
      <c r="D105" s="134">
        <v>4.5927482921702477E-2</v>
      </c>
      <c r="E105" s="134">
        <v>0.36569632218757603</v>
      </c>
      <c r="F105" s="134">
        <v>0.54254736983306795</v>
      </c>
      <c r="G105" s="135">
        <f>C105*(1-D105)*E105*0.453592/(47.9*12*80*2.54^2/100/100/10000)</f>
        <v>1611.017017575429</v>
      </c>
      <c r="H105" s="135">
        <f>C105*(1-D105)*F105*0.453592/(47.9*12*80*2.54^2/100/100/10000)</f>
        <v>2390.1061963470765</v>
      </c>
      <c r="I105" s="135">
        <f>G105+H105</f>
        <v>4001.1232139225058</v>
      </c>
      <c r="K105" s="134">
        <v>0.40256664463538228</v>
      </c>
      <c r="L105" s="134">
        <v>0.54791804362194318</v>
      </c>
      <c r="M105" s="135">
        <f>C105*(1-D105)*K105*0.453592/(47.9*12*80*2.54^2/100/100/10000)</f>
        <v>1773.443362340367</v>
      </c>
      <c r="N105" s="135">
        <f>C105*(1-D105)*L105*0.453592/(47.9*12*80*2.54^2/100/100/10000)</f>
        <v>2413.7658460202451</v>
      </c>
      <c r="O105" s="135">
        <f>M105+N105</f>
        <v>4187.2092083606121</v>
      </c>
    </row>
    <row r="106" spans="1:15" x14ac:dyDescent="0.2">
      <c r="A106" s="47">
        <v>10</v>
      </c>
      <c r="B106" s="47">
        <v>5</v>
      </c>
      <c r="C106" s="136">
        <v>27.2</v>
      </c>
      <c r="D106" s="134">
        <v>4.6826990044655688E-2</v>
      </c>
      <c r="E106" s="134">
        <v>0.35531935938604481</v>
      </c>
      <c r="F106" s="134">
        <v>0.55159701616945489</v>
      </c>
      <c r="G106" s="135">
        <f>C106*(1-D106)*E106*0.453592/(47.9*12*80*2.54^2/100/100/10000)</f>
        <v>1408.4801068134282</v>
      </c>
      <c r="H106" s="135">
        <f>C106*(1-D106)*F106*0.453592/(47.9*12*80*2.54^2/100/100/10000)</f>
        <v>2186.5215157281282</v>
      </c>
      <c r="I106" s="135">
        <f>G106+H106</f>
        <v>3595.0016225415566</v>
      </c>
      <c r="K106" s="134">
        <v>0.40286254620476236</v>
      </c>
      <c r="L106" s="134">
        <v>0.54835382102639041</v>
      </c>
      <c r="M106" s="135">
        <f>C106*(1-D106)*K106*0.453592/(47.9*12*80*2.54^2/100/100/10000)</f>
        <v>1596.9405187774269</v>
      </c>
      <c r="N106" s="135">
        <f>C106*(1-D106)*L106*0.453592/(47.9*12*80*2.54^2/100/100/10000)</f>
        <v>2173.6655434292552</v>
      </c>
      <c r="O106" s="135">
        <f>M106+N106</f>
        <v>3770.6060622066821</v>
      </c>
    </row>
    <row r="107" spans="1:15" x14ac:dyDescent="0.2">
      <c r="A107" s="47">
        <v>10</v>
      </c>
      <c r="B107" s="47">
        <v>6</v>
      </c>
      <c r="C107" s="136">
        <v>25.400000000000002</v>
      </c>
      <c r="D107" s="134">
        <v>5.0664180843626089E-2</v>
      </c>
      <c r="E107" s="134">
        <v>0.36033294816902833</v>
      </c>
      <c r="F107" s="134">
        <v>0.53921937625649452</v>
      </c>
      <c r="G107" s="135">
        <f>C107*(1-D107)*E107*0.453592/(47.9*12*80*2.54^2/100/100/10000)</f>
        <v>1328.4608667894806</v>
      </c>
      <c r="H107" s="135">
        <f>C107*(1-D107)*F107*0.453592/(47.9*12*80*2.54^2/100/100/10000)</f>
        <v>1987.9720786325718</v>
      </c>
      <c r="I107" s="135">
        <f>G107+H107</f>
        <v>3316.4329454220524</v>
      </c>
      <c r="K107" s="134">
        <v>0.3909073055773763</v>
      </c>
      <c r="L107" s="134">
        <v>0.53441673212882945</v>
      </c>
      <c r="M107" s="135">
        <f>C107*(1-D107)*K107*0.453592/(47.9*12*80*2.54^2/100/100/10000)</f>
        <v>1441.1811649210088</v>
      </c>
      <c r="N107" s="135">
        <f>C107*(1-D107)*L107*0.453592/(47.9*12*80*2.54^2/100/100/10000)</f>
        <v>1970.2658854766614</v>
      </c>
      <c r="O107" s="135">
        <f>M107+N107</f>
        <v>3411.44705039767</v>
      </c>
    </row>
    <row r="108" spans="1:15" x14ac:dyDescent="0.2">
      <c r="A108" s="47">
        <v>10</v>
      </c>
      <c r="B108" s="47">
        <v>7</v>
      </c>
      <c r="C108" s="136">
        <v>33.800000000000004</v>
      </c>
      <c r="D108" s="134">
        <v>3.609592751268028E-2</v>
      </c>
      <c r="E108" s="134">
        <v>0.31782909639357676</v>
      </c>
      <c r="F108" s="134">
        <v>0.56158951310973559</v>
      </c>
      <c r="G108" s="135">
        <f>C108*(1-D108)*E108*0.453592/(47.9*12*80*2.54^2/100/100/10000)</f>
        <v>1583.1985200548902</v>
      </c>
      <c r="H108" s="135">
        <f>C108*(1-D108)*F108*0.453592/(47.9*12*80*2.54^2/100/100/10000)</f>
        <v>2797.4395551648063</v>
      </c>
      <c r="I108" s="135">
        <f>G108+H108</f>
        <v>4380.6380752196965</v>
      </c>
      <c r="K108" s="134">
        <v>0.40313681414120767</v>
      </c>
      <c r="L108" s="134">
        <v>0.5422499233677327</v>
      </c>
      <c r="M108" s="135">
        <f>C108*(1-D108)*K108*0.453592/(47.9*12*80*2.54^2/100/100/10000)</f>
        <v>2008.1408995281088</v>
      </c>
      <c r="N108" s="135">
        <f>C108*(1-D108)*L108*0.453592/(47.9*12*80*2.54^2/100/100/10000)</f>
        <v>2701.1034732722533</v>
      </c>
      <c r="O108" s="135">
        <f>M108+N108</f>
        <v>4709.2443728003618</v>
      </c>
    </row>
    <row r="109" spans="1:15" x14ac:dyDescent="0.2">
      <c r="A109" s="47">
        <v>10</v>
      </c>
      <c r="B109" s="47">
        <v>8</v>
      </c>
      <c r="C109" s="136">
        <v>31.400000000000002</v>
      </c>
      <c r="D109" s="134">
        <v>4.9481577485650796E-2</v>
      </c>
      <c r="E109" s="134">
        <v>0.34626634966241521</v>
      </c>
      <c r="F109" s="134">
        <v>0.5295620907857429</v>
      </c>
      <c r="G109" s="135">
        <f>C109*(1-D109)*E109*0.453592/(47.9*12*80*2.54^2/100/100/10000)</f>
        <v>1580.1258643711344</v>
      </c>
      <c r="H109" s="135">
        <f>C109*(1-D109)*F109*0.453592/(47.9*12*80*2.54^2/100/100/10000)</f>
        <v>2416.5638886273596</v>
      </c>
      <c r="I109" s="135">
        <f>G109+H109</f>
        <v>3996.689752998494</v>
      </c>
      <c r="K109" s="134">
        <v>0.39683467251034815</v>
      </c>
      <c r="L109" s="134">
        <v>0.54102751400048699</v>
      </c>
      <c r="M109" s="135">
        <f>C109*(1-D109)*K109*0.453592/(47.9*12*80*2.54^2/100/100/10000)</f>
        <v>1810.8855524776729</v>
      </c>
      <c r="N109" s="135">
        <f>C109*(1-D109)*L109*0.453592/(47.9*12*80*2.54^2/100/100/10000)</f>
        <v>2468.8843401677441</v>
      </c>
      <c r="O109" s="135">
        <f>M109+N109</f>
        <v>4279.7698926454168</v>
      </c>
    </row>
    <row r="110" spans="1:15" x14ac:dyDescent="0.2">
      <c r="A110" s="47">
        <v>10</v>
      </c>
      <c r="B110" s="47">
        <v>9</v>
      </c>
      <c r="C110" s="136">
        <v>27</v>
      </c>
      <c r="D110" s="134">
        <v>3.4059678052610905E-2</v>
      </c>
      <c r="E110" s="134">
        <v>0.34752769524542587</v>
      </c>
      <c r="F110" s="134">
        <v>0.53028214646103555</v>
      </c>
      <c r="G110" s="135">
        <f>C110*(1-D110)*E110*0.453592/(47.9*12*80*2.54^2/100/100/10000)</f>
        <v>1385.7812677274342</v>
      </c>
      <c r="H110" s="135">
        <f>C110*(1-D110)*F110*0.453592/(47.9*12*80*2.54^2/100/100/10000)</f>
        <v>2114.5223106809958</v>
      </c>
      <c r="I110" s="135">
        <f>G110+H110</f>
        <v>3500.30357840843</v>
      </c>
      <c r="K110" s="134">
        <v>0.39635199674829796</v>
      </c>
      <c r="L110" s="134">
        <v>0.53678487958540799</v>
      </c>
      <c r="M110" s="135">
        <f>C110*(1-D110)*K110*0.453592/(47.9*12*80*2.54^2/100/100/10000)</f>
        <v>1580.4702187325472</v>
      </c>
      <c r="N110" s="135">
        <f>C110*(1-D110)*L110*0.453592/(47.9*12*80*2.54^2/100/100/10000)</f>
        <v>2140.452231881728</v>
      </c>
      <c r="O110" s="135">
        <f>M110+N110</f>
        <v>3720.9224506142755</v>
      </c>
    </row>
    <row r="111" spans="1:15" x14ac:dyDescent="0.2">
      <c r="A111" s="47">
        <v>10</v>
      </c>
      <c r="B111" s="47">
        <v>10</v>
      </c>
      <c r="C111" s="136">
        <v>20.7</v>
      </c>
      <c r="D111" s="134">
        <v>4.6394046030012646E-2</v>
      </c>
      <c r="E111" s="134">
        <v>0.33543914656071555</v>
      </c>
      <c r="F111" s="134">
        <v>0.53171680334412574</v>
      </c>
      <c r="G111" s="135">
        <f>C111*(1-D111)*E111*0.453592/(47.9*12*80*2.54^2/100/100/10000)</f>
        <v>1012.3816168351444</v>
      </c>
      <c r="H111" s="135">
        <f>C111*(1-D111)*F111*0.453592/(47.9*12*80*2.54^2/100/100/10000)</f>
        <v>1604.7629580124346</v>
      </c>
      <c r="I111" s="135">
        <f>G111+H111</f>
        <v>2617.144574847579</v>
      </c>
      <c r="K111" s="134">
        <v>0.39463861554122842</v>
      </c>
      <c r="L111" s="134">
        <v>0.54839667458432306</v>
      </c>
      <c r="M111" s="135">
        <f>C111*(1-D111)*K111*0.453592/(47.9*12*80*2.54^2/100/100/10000)</f>
        <v>1191.0502508832744</v>
      </c>
      <c r="N111" s="135">
        <f>C111*(1-D111)*L111*0.453592/(47.9*12*80*2.54^2/100/100/10000)</f>
        <v>1655.1041158286603</v>
      </c>
      <c r="O111" s="135">
        <f>M111+N111</f>
        <v>2846.1543667119349</v>
      </c>
    </row>
    <row r="112" spans="1:15" x14ac:dyDescent="0.2">
      <c r="A112" s="47">
        <v>10</v>
      </c>
      <c r="B112" s="47">
        <v>11</v>
      </c>
      <c r="C112" s="136">
        <v>18.399999999999999</v>
      </c>
      <c r="D112" s="134">
        <v>4.400190794180775E-2</v>
      </c>
      <c r="E112" s="134">
        <v>0.35349462365591394</v>
      </c>
      <c r="F112" s="134">
        <v>0.53763440860215039</v>
      </c>
      <c r="G112" s="135">
        <f>C112*(1-D112)*E112*0.453592/(47.9*12*80*2.54^2/100/100/10000)</f>
        <v>950.71176452055829</v>
      </c>
      <c r="H112" s="135">
        <f>C112*(1-D112)*F112*0.453592/(47.9*12*80*2.54^2/100/100/10000)</f>
        <v>1445.9494517422934</v>
      </c>
      <c r="I112" s="135">
        <f>G112+H112</f>
        <v>2396.6612162628517</v>
      </c>
      <c r="K112" s="134">
        <v>0.38609621221570828</v>
      </c>
      <c r="L112" s="134">
        <v>0.5469211259407093</v>
      </c>
      <c r="M112" s="135">
        <f>C112*(1-D112)*K112*0.453592/(47.9*12*80*2.54^2/100/100/10000)</f>
        <v>1038.3926278539284</v>
      </c>
      <c r="N112" s="135">
        <f>C112*(1-D112)*L112*0.453592/(47.9*12*80*2.54^2/100/100/10000)</f>
        <v>1470.9257620924591</v>
      </c>
      <c r="O112" s="135">
        <f>M112+N112</f>
        <v>2509.3183899463875</v>
      </c>
    </row>
    <row r="113" spans="1:15" x14ac:dyDescent="0.2">
      <c r="A113" s="47">
        <v>11</v>
      </c>
      <c r="B113" s="47">
        <v>1</v>
      </c>
      <c r="C113" s="136">
        <v>29.7</v>
      </c>
      <c r="D113" s="134">
        <v>4.7225066557444198E-2</v>
      </c>
      <c r="E113" s="134">
        <v>0.34251865628604938</v>
      </c>
      <c r="F113" s="134">
        <v>0.56158951310973559</v>
      </c>
      <c r="G113" s="135">
        <f>C113*(1-D113)*E113*0.453592/(47.9*12*80*2.54^2/100/100/10000)</f>
        <v>1481.9113021459634</v>
      </c>
      <c r="H113" s="135">
        <f>C113*(1-D113)*F113*0.453592/(47.9*12*80*2.54^2/100/100/10000)</f>
        <v>2429.7241372713574</v>
      </c>
      <c r="I113" s="135">
        <f>G113+H113</f>
        <v>3911.6354394173209</v>
      </c>
      <c r="K113" s="134">
        <v>0.39454904995271256</v>
      </c>
      <c r="L113" s="134">
        <v>0.55678789442008425</v>
      </c>
      <c r="M113" s="135">
        <f>C113*(1-D113)*K113*0.453592/(47.9*12*80*2.54^2/100/100/10000)</f>
        <v>1707.0214589642226</v>
      </c>
      <c r="N113" s="135">
        <f>C113*(1-D113)*L113*0.453592/(47.9*12*80*2.54^2/100/100/10000)</f>
        <v>2408.9498732299639</v>
      </c>
      <c r="O113" s="135">
        <f>M113+N113</f>
        <v>4115.9713321941863</v>
      </c>
    </row>
    <row r="114" spans="1:15" x14ac:dyDescent="0.2">
      <c r="A114" s="47">
        <v>11</v>
      </c>
      <c r="B114" s="47">
        <v>2</v>
      </c>
      <c r="C114" s="136">
        <v>17.400000000000002</v>
      </c>
      <c r="D114" s="134">
        <v>4.858878170775275E-2</v>
      </c>
      <c r="E114" s="134">
        <v>0.34346806865244395</v>
      </c>
      <c r="F114" s="134">
        <v>0.54837591323805346</v>
      </c>
      <c r="G114" s="135">
        <f>C114*(1-D114)*E114*0.453592/(47.9*12*80*2.54^2/100/100/10000)</f>
        <v>869.35086562048571</v>
      </c>
      <c r="H114" s="135">
        <f>C114*(1-D114)*F114*0.453592/(47.9*12*80*2.54^2/100/100/10000)</f>
        <v>1387.9924172553322</v>
      </c>
      <c r="I114" s="135">
        <f>G114+H114</f>
        <v>2257.3432828758177</v>
      </c>
      <c r="K114" s="134">
        <v>0.39654524971836275</v>
      </c>
      <c r="L114" s="134">
        <v>0.55714106896983351</v>
      </c>
      <c r="M114" s="135">
        <f>C114*(1-D114)*K114*0.453592/(47.9*12*80*2.54^2/100/100/10000)</f>
        <v>1003.6943389028409</v>
      </c>
      <c r="N114" s="135">
        <f>C114*(1-D114)*L114*0.453592/(47.9*12*80*2.54^2/100/100/10000)</f>
        <v>1410.1778732501721</v>
      </c>
      <c r="O114" s="135">
        <f>M114+N114</f>
        <v>2413.8722121530127</v>
      </c>
    </row>
    <row r="115" spans="1:15" x14ac:dyDescent="0.2">
      <c r="A115" s="47">
        <v>11</v>
      </c>
      <c r="B115" s="47">
        <v>3</v>
      </c>
      <c r="C115" s="136">
        <v>28</v>
      </c>
      <c r="D115" s="134">
        <v>4.7253297712472837E-2</v>
      </c>
      <c r="E115" s="134">
        <v>0.3154283029062328</v>
      </c>
      <c r="F115" s="134">
        <v>0.54602423405966882</v>
      </c>
      <c r="G115" s="135">
        <f>C115*(1-D115)*E115*0.453592/(47.9*12*80*2.54^2/100/100/10000)</f>
        <v>1286.5520214925953</v>
      </c>
      <c r="H115" s="135">
        <f>C115*(1-D115)*F115*0.453592/(47.9*12*80*2.54^2/100/100/10000)</f>
        <v>2227.0943210896371</v>
      </c>
      <c r="I115" s="135">
        <f>G115+H115</f>
        <v>3513.6463425822321</v>
      </c>
      <c r="K115" s="134">
        <v>0.39340168243953733</v>
      </c>
      <c r="L115" s="134">
        <v>0.56147038205397826</v>
      </c>
      <c r="M115" s="135">
        <f>C115*(1-D115)*K115*0.453592/(47.9*12*80*2.54^2/100/100/10000)</f>
        <v>1604.5856542925137</v>
      </c>
      <c r="N115" s="135">
        <f>C115*(1-D115)*L115*0.453592/(47.9*12*80*2.54^2/100/100/10000)</f>
        <v>2290.0952399775661</v>
      </c>
      <c r="O115" s="135">
        <f>M115+N115</f>
        <v>3894.68089427008</v>
      </c>
    </row>
    <row r="116" spans="1:15" x14ac:dyDescent="0.2">
      <c r="A116" s="47">
        <v>11</v>
      </c>
      <c r="B116" s="47">
        <v>4</v>
      </c>
      <c r="C116" s="136">
        <v>34.699999999999996</v>
      </c>
      <c r="D116" s="134">
        <v>4.5063769485120544E-2</v>
      </c>
      <c r="E116" s="134">
        <v>0.3601657835319933</v>
      </c>
      <c r="F116" s="134">
        <v>0.5676624712690963</v>
      </c>
      <c r="G116" s="135">
        <f>C116*(1-D116)*E116*0.453592/(47.9*12*80*2.54^2/100/100/10000)</f>
        <v>1824.7253431254633</v>
      </c>
      <c r="H116" s="135">
        <f>C116*(1-D116)*F116*0.453592/(47.9*12*80*2.54^2/100/100/10000)</f>
        <v>2875.975856196063</v>
      </c>
      <c r="I116" s="135">
        <f>G116+H116</f>
        <v>4700.7011993215265</v>
      </c>
      <c r="K116" s="134">
        <v>0.38835575781559162</v>
      </c>
      <c r="L116" s="134">
        <v>0.55995251286110015</v>
      </c>
      <c r="M116" s="135">
        <f>C116*(1-D116)*K116*0.453592/(47.9*12*80*2.54^2/100/100/10000)</f>
        <v>1967.5455743892353</v>
      </c>
      <c r="N116" s="135">
        <f>C116*(1-D116)*L116*0.453592/(47.9*12*80*2.54^2/100/100/10000)</f>
        <v>2836.9145207089728</v>
      </c>
      <c r="O116" s="135">
        <f>M116+N116</f>
        <v>4804.4600950982076</v>
      </c>
    </row>
    <row r="117" spans="1:15" x14ac:dyDescent="0.2">
      <c r="A117" s="47">
        <v>11</v>
      </c>
      <c r="B117" s="47">
        <v>5</v>
      </c>
      <c r="C117" s="136">
        <v>30.8</v>
      </c>
      <c r="D117" s="134">
        <v>4.6533056899332056E-2</v>
      </c>
      <c r="E117" s="134">
        <v>0.34337525105652017</v>
      </c>
      <c r="F117" s="134">
        <v>0.55226694463886139</v>
      </c>
      <c r="G117" s="135">
        <f>C117*(1-D117)*E117*0.453592/(47.9*12*80*2.54^2/100/100/10000)</f>
        <v>1541.7592177472495</v>
      </c>
      <c r="H117" s="135">
        <f>C117*(1-D117)*F117*0.453592/(47.9*12*80*2.54^2/100/100/10000)</f>
        <v>2479.6855624691548</v>
      </c>
      <c r="I117" s="135">
        <f>G117+H117</f>
        <v>4021.4447802164041</v>
      </c>
      <c r="K117" s="134">
        <v>0.38279777724087943</v>
      </c>
      <c r="L117" s="134">
        <v>0.55689780140130474</v>
      </c>
      <c r="M117" s="135">
        <f>C117*(1-D117)*K117*0.453592/(47.9*12*80*2.54^2/100/100/10000)</f>
        <v>1718.7668586433419</v>
      </c>
      <c r="N117" s="135">
        <f>C117*(1-D117)*L117*0.453592/(47.9*12*80*2.54^2/100/100/10000)</f>
        <v>2500.4781678697959</v>
      </c>
      <c r="O117" s="135">
        <f>M117+N117</f>
        <v>4219.2450265131374</v>
      </c>
    </row>
    <row r="118" spans="1:15" x14ac:dyDescent="0.2">
      <c r="A118" s="47">
        <v>11</v>
      </c>
      <c r="B118" s="47">
        <v>6</v>
      </c>
      <c r="C118" s="136">
        <v>24.2</v>
      </c>
      <c r="D118" s="134">
        <v>4.4312742192842487E-2</v>
      </c>
      <c r="E118" s="134">
        <v>0.35232521677502932</v>
      </c>
      <c r="F118" s="134">
        <v>0.54927501295227066</v>
      </c>
      <c r="G118" s="135">
        <f>C118*(1-D118)*E118*0.453592/(47.9*12*80*2.54^2/100/100/10000)</f>
        <v>1245.8509737916991</v>
      </c>
      <c r="H118" s="135">
        <f>C118*(1-D118)*F118*0.453592/(47.9*12*80*2.54^2/100/100/10000)</f>
        <v>1942.2816681412587</v>
      </c>
      <c r="I118" s="135">
        <f>G118+H118</f>
        <v>3188.132641932958</v>
      </c>
      <c r="K118" s="134">
        <v>0.38696751419167108</v>
      </c>
      <c r="L118" s="134">
        <v>0.55612269236273437</v>
      </c>
      <c r="M118" s="135">
        <f>C118*(1-D118)*K118*0.453592/(47.9*12*80*2.54^2/100/100/10000)</f>
        <v>1368.3489895907308</v>
      </c>
      <c r="N118" s="135">
        <f>C118*(1-D118)*L118*0.453592/(47.9*12*80*2.54^2/100/100/10000)</f>
        <v>1966.4956263127142</v>
      </c>
      <c r="O118" s="135">
        <f>M118+N118</f>
        <v>3334.8446159034447</v>
      </c>
    </row>
    <row r="119" spans="1:15" x14ac:dyDescent="0.2">
      <c r="A119" s="47">
        <v>11</v>
      </c>
      <c r="B119" s="47">
        <v>7</v>
      </c>
      <c r="C119" s="136">
        <v>29.599999999999998</v>
      </c>
      <c r="D119" s="134">
        <v>5.4258823529411769E-2</v>
      </c>
      <c r="E119" s="134">
        <v>0.34911060115110115</v>
      </c>
      <c r="F119" s="134">
        <v>0.55738469511424471</v>
      </c>
      <c r="G119" s="135">
        <f>C119*(1-D119)*E119*0.453592/(47.9*12*80*2.54^2/100/100/10000)</f>
        <v>1494.2327561728239</v>
      </c>
      <c r="H119" s="135">
        <f>C119*(1-D119)*F119*0.453592/(47.9*12*80*2.54^2/100/100/10000)</f>
        <v>2385.669373782865</v>
      </c>
      <c r="I119" s="135">
        <f>G119+H119</f>
        <v>3879.9021299556889</v>
      </c>
      <c r="K119" s="134">
        <v>0.37647410061203163</v>
      </c>
      <c r="L119" s="134">
        <v>0.53933422898940142</v>
      </c>
      <c r="M119" s="135">
        <f>C119*(1-D119)*K119*0.453592/(47.9*12*80*2.54^2/100/100/10000)</f>
        <v>1611.3516207481878</v>
      </c>
      <c r="N119" s="135">
        <f>C119*(1-D119)*L119*0.453592/(47.9*12*80*2.54^2/100/100/10000)</f>
        <v>2308.4113424913571</v>
      </c>
      <c r="O119" s="135">
        <f>M119+N119</f>
        <v>3919.7629632395447</v>
      </c>
    </row>
    <row r="120" spans="1:15" x14ac:dyDescent="0.2">
      <c r="A120" s="47">
        <v>11</v>
      </c>
      <c r="B120" s="47">
        <v>8</v>
      </c>
      <c r="C120" s="136">
        <v>30.400000000000002</v>
      </c>
      <c r="D120" s="134">
        <v>3.2693371929675225E-2</v>
      </c>
      <c r="E120" s="134">
        <v>0.35286452196660523</v>
      </c>
      <c r="F120" s="134">
        <v>0.54778613179185254</v>
      </c>
      <c r="G120" s="135">
        <f>C120*(1-D120)*E120*0.453592/(47.9*12*80*2.54^2/100/100/10000)</f>
        <v>1586.4885758658459</v>
      </c>
      <c r="H120" s="135">
        <f>C120*(1-D120)*F120*0.453592/(47.9*12*80*2.54^2/100/100/10000)</f>
        <v>2462.861483670958</v>
      </c>
      <c r="I120" s="135">
        <f>G120+H120</f>
        <v>4049.3500595368041</v>
      </c>
      <c r="K120" s="134">
        <v>0.38969326233331869</v>
      </c>
      <c r="L120" s="134">
        <v>0.54416230251287245</v>
      </c>
      <c r="M120" s="135">
        <f>C120*(1-D120)*K120*0.453592/(47.9*12*80*2.54^2/100/100/10000)</f>
        <v>1752.0716033963092</v>
      </c>
      <c r="N120" s="135">
        <f>C120*(1-D120)*L120*0.453592/(47.9*12*80*2.54^2/100/100/10000)</f>
        <v>2446.5686477690983</v>
      </c>
      <c r="O120" s="135">
        <f>M120+N120</f>
        <v>4198.6402511654078</v>
      </c>
    </row>
    <row r="121" spans="1:15" x14ac:dyDescent="0.2">
      <c r="A121" s="47">
        <v>11</v>
      </c>
      <c r="B121" s="47">
        <v>9</v>
      </c>
      <c r="C121" s="136">
        <v>23.599999999999998</v>
      </c>
      <c r="D121" s="134">
        <v>4.3196375566317877E-2</v>
      </c>
      <c r="E121" s="134">
        <v>0.32298483415683127</v>
      </c>
      <c r="F121" s="134">
        <v>0.55284360629132678</v>
      </c>
      <c r="G121" s="135">
        <f>C121*(1-D121)*E121*0.453592/(47.9*12*80*2.54^2/100/100/10000)</f>
        <v>1115.0854569758517</v>
      </c>
      <c r="H121" s="135">
        <f>C121*(1-D121)*F121*0.453592/(47.9*12*80*2.54^2/100/100/10000)</f>
        <v>1908.6588599952793</v>
      </c>
      <c r="I121" s="135">
        <f>G121+H121</f>
        <v>3023.744316971131</v>
      </c>
      <c r="K121" s="134">
        <v>0.39227692056494406</v>
      </c>
      <c r="L121" s="134">
        <v>0.55245326149073393</v>
      </c>
      <c r="M121" s="135">
        <f>C121*(1-D121)*K121*0.453592/(47.9*12*80*2.54^2/100/100/10000)</f>
        <v>1354.312162585448</v>
      </c>
      <c r="N121" s="135">
        <f>C121*(1-D121)*L121*0.453592/(47.9*12*80*2.54^2/100/100/10000)</f>
        <v>1907.3112183591525</v>
      </c>
      <c r="O121" s="135">
        <f>M121+N121</f>
        <v>3261.6233809446003</v>
      </c>
    </row>
    <row r="122" spans="1:15" x14ac:dyDescent="0.2">
      <c r="A122" s="47">
        <v>11</v>
      </c>
      <c r="B122" s="47">
        <v>10</v>
      </c>
      <c r="C122" s="136">
        <v>21.2</v>
      </c>
      <c r="D122" s="134">
        <v>4.6052051168945736E-2</v>
      </c>
      <c r="E122" s="134">
        <v>0.34108214655763197</v>
      </c>
      <c r="F122" s="134">
        <v>0.54857883429473475</v>
      </c>
      <c r="G122" s="135">
        <f>C122*(1-D122)*E122*0.453592/(47.9*12*80*2.54^2/100/100/10000)</f>
        <v>1054.6557713334878</v>
      </c>
      <c r="H122" s="135">
        <f>C122*(1-D122)*F122*0.453592/(47.9*12*80*2.54^2/100/100/10000)</f>
        <v>1696.2536428818348</v>
      </c>
      <c r="I122" s="135">
        <f>G122+H122</f>
        <v>2750.9094142153226</v>
      </c>
      <c r="K122" s="134">
        <v>0.4006751132895589</v>
      </c>
      <c r="L122" s="134">
        <v>0.55715342643114774</v>
      </c>
      <c r="M122" s="135">
        <f>C122*(1-D122)*K122*0.453592/(47.9*12*80*2.54^2/100/100/10000)</f>
        <v>1238.9224265337818</v>
      </c>
      <c r="N122" s="135">
        <f>C122*(1-D122)*L122*0.453592/(47.9*12*80*2.54^2/100/100/10000)</f>
        <v>1722.767030271845</v>
      </c>
      <c r="O122" s="135">
        <f>M122+N122</f>
        <v>2961.6894568056268</v>
      </c>
    </row>
    <row r="123" spans="1:15" x14ac:dyDescent="0.2">
      <c r="A123" s="47">
        <v>11</v>
      </c>
      <c r="B123" s="47">
        <v>11</v>
      </c>
      <c r="C123" s="136">
        <v>24.400000000000002</v>
      </c>
      <c r="D123" s="134">
        <v>4.6945369101233619E-2</v>
      </c>
      <c r="E123" s="134">
        <v>0.35942941940251055</v>
      </c>
      <c r="F123" s="134">
        <v>0.56093122348063384</v>
      </c>
      <c r="G123" s="135">
        <f>C123*(1-D123)*E123*0.453592/(47.9*12*80*2.54^2/100/100/10000)</f>
        <v>1277.945844856406</v>
      </c>
      <c r="H123" s="135">
        <f>C123*(1-D123)*F123*0.453592/(47.9*12*80*2.54^2/100/100/10000)</f>
        <v>1994.3824506322233</v>
      </c>
      <c r="I123" s="135">
        <f>G123+H123</f>
        <v>3272.328295488629</v>
      </c>
      <c r="K123" s="134">
        <v>0.39015871385279161</v>
      </c>
      <c r="L123" s="134">
        <v>0.5509271149006113</v>
      </c>
      <c r="M123" s="135">
        <f>C123*(1-D123)*K123*0.453592/(47.9*12*80*2.54^2/100/100/10000)</f>
        <v>1387.2033848301398</v>
      </c>
      <c r="N123" s="135">
        <f>C123*(1-D123)*L123*0.453592/(47.9*12*80*2.54^2/100/100/10000)</f>
        <v>1958.8129944297107</v>
      </c>
      <c r="O123" s="135">
        <f>M123+N123</f>
        <v>3346.0163792598505</v>
      </c>
    </row>
    <row r="126" spans="1:15" x14ac:dyDescent="0.2">
      <c r="B126" s="47" t="s">
        <v>334</v>
      </c>
      <c r="C126" s="136">
        <f>AVERAGE(C25:C35,C69:C79)</f>
        <v>38.06818181818182</v>
      </c>
      <c r="D126" s="134">
        <f>AVERAGE(D25:D35,D69:D79)</f>
        <v>5.0667389409366638E-2</v>
      </c>
      <c r="E126" s="134">
        <f>AVERAGE(E25:E35,E69:E79)</f>
        <v>0.35310055895863635</v>
      </c>
      <c r="F126" s="134">
        <f>AVERAGE(F25:F35,F69:F79)</f>
        <v>0.54729769634284142</v>
      </c>
      <c r="G126" s="135">
        <f>AVERAGE(G25:G35,G69:G79)</f>
        <v>1951.8685624902012</v>
      </c>
      <c r="H126" s="135">
        <f>AVERAGE(H25:H35,H69:H79)</f>
        <v>3023.0851114552252</v>
      </c>
      <c r="I126" s="135">
        <f>AVERAGE(I25:I35,I69:I79)</f>
        <v>4974.953673945427</v>
      </c>
      <c r="J126" s="135"/>
      <c r="K126" s="134">
        <f>AVERAGE(K25:K35,K69:K79)</f>
        <v>0.39502086724659763</v>
      </c>
      <c r="L126" s="134">
        <f>AVERAGE(L25:L35,L69:L79)</f>
        <v>0.54299638082380597</v>
      </c>
      <c r="M126" s="135">
        <f>AVERAGE(M25:M35,M69:M79)</f>
        <v>2181.08004552584</v>
      </c>
      <c r="N126" s="135">
        <f>AVERAGE(N25:N35,N69:N79)</f>
        <v>2999.554927970054</v>
      </c>
      <c r="O126" s="135">
        <f>AVERAGE(O25:O35,O69:O79)</f>
        <v>5180.6349734958931</v>
      </c>
    </row>
    <row r="127" spans="1:15" x14ac:dyDescent="0.2">
      <c r="B127" s="47" t="s">
        <v>286</v>
      </c>
      <c r="C127" s="136">
        <f>AVERAGE(C14:C24,C102:C112)</f>
        <v>25.695454545454549</v>
      </c>
      <c r="D127" s="134">
        <f>AVERAGE(D14:D24,D102:D112)</f>
        <v>5.2049312639921658E-2</v>
      </c>
      <c r="E127" s="134">
        <f>AVERAGE(E14:E24,E102:E112)</f>
        <v>0.36374471957821125</v>
      </c>
      <c r="F127" s="134">
        <f>AVERAGE(F14:F24,F102:F112)</f>
        <v>0.55223642127070094</v>
      </c>
      <c r="G127" s="135">
        <f>AVERAGE(G14:G24,G102:G112)</f>
        <v>1358.7657336480092</v>
      </c>
      <c r="H127" s="135">
        <f>AVERAGE(H14:H24,H102:H112)</f>
        <v>2068.311009364993</v>
      </c>
      <c r="I127" s="135">
        <f>AVERAGE(I14:I24,I102:I112)</f>
        <v>3427.0767430130031</v>
      </c>
      <c r="J127" s="135"/>
      <c r="K127" s="134">
        <f>AVERAGE(K14:K24,K102:K112)</f>
        <v>0.3985414836179656</v>
      </c>
      <c r="L127" s="134">
        <f>AVERAGE(L14:L24,L102:L112)</f>
        <v>0.53858076263383714</v>
      </c>
      <c r="M127" s="135">
        <f>AVERAGE(M14:M24,M102:M112)</f>
        <v>1486.0541019725315</v>
      </c>
      <c r="N127" s="135">
        <f>AVERAGE(N14:N24,N102:N112)</f>
        <v>2007.1017899008382</v>
      </c>
      <c r="O127" s="135">
        <f>AVERAGE(O14:O24,O102:O112)</f>
        <v>3493.155891873369</v>
      </c>
    </row>
    <row r="128" spans="1:15" x14ac:dyDescent="0.2">
      <c r="B128" s="47" t="s">
        <v>333</v>
      </c>
      <c r="C128" s="136">
        <f>AVERAGE(C3:C13,C58:C68)</f>
        <v>20.454545454545453</v>
      </c>
      <c r="D128" s="134">
        <f>AVERAGE(D3:D13,D58:D68)</f>
        <v>6.0419158162599899E-2</v>
      </c>
      <c r="E128" s="134">
        <f>AVERAGE(E3:E13,E58:E68)</f>
        <v>0.3242987385859562</v>
      </c>
      <c r="F128" s="134">
        <f>AVERAGE(F3:F13,F58:F68)</f>
        <v>0.51131623500726842</v>
      </c>
      <c r="G128" s="135">
        <f>AVERAGE(G3:G13,G58:G68)</f>
        <v>923.69400517587519</v>
      </c>
      <c r="H128" s="135">
        <f>AVERAGE(H3:H13,H58:H68)</f>
        <v>1473.4362262903478</v>
      </c>
      <c r="I128" s="135">
        <f>AVERAGE(I3:I13,I58:I68)</f>
        <v>2397.1302314662239</v>
      </c>
      <c r="J128" s="135"/>
      <c r="K128" s="134">
        <f>AVERAGE(K3:K13,K58:K68)</f>
        <v>0.38246077667084916</v>
      </c>
      <c r="L128" s="134">
        <f>AVERAGE(L3:L13,L58:L68)</f>
        <v>0.51057886212398118</v>
      </c>
      <c r="M128" s="135">
        <f>AVERAGE(M3:M13,M58:M68)</f>
        <v>1123.7207305084034</v>
      </c>
      <c r="N128" s="135">
        <f>AVERAGE(N3:N13,N58:N68)</f>
        <v>1468.0642777586434</v>
      </c>
      <c r="O128" s="135">
        <f>AVERAGE(O3:O13,O58:O68)</f>
        <v>2540.7067932439368</v>
      </c>
    </row>
    <row r="129" spans="2:15" x14ac:dyDescent="0.2">
      <c r="B129" s="47" t="s">
        <v>291</v>
      </c>
      <c r="C129" s="136">
        <f>AVERAGE(C47:C57,C91:C101)</f>
        <v>30.986363636363635</v>
      </c>
      <c r="D129" s="134">
        <f>AVERAGE(D47:D57,D91:D101)</f>
        <v>5.1941605785604111E-2</v>
      </c>
      <c r="E129" s="134">
        <f>AVERAGE(E47:E57,E91:E101)</f>
        <v>0.34847103779319355</v>
      </c>
      <c r="F129" s="134">
        <f>AVERAGE(F47:F57,F91:F101)</f>
        <v>0.53977295555768556</v>
      </c>
      <c r="G129" s="135">
        <f>AVERAGE(G47:G57,G91:G101)</f>
        <v>1558.3632878423387</v>
      </c>
      <c r="H129" s="135">
        <f>AVERAGE(H47:H57,H91:H101)</f>
        <v>2421.3643251974395</v>
      </c>
      <c r="I129" s="135">
        <f>AVERAGE(I47:I57,I91:I101)</f>
        <v>3979.7276130397777</v>
      </c>
      <c r="J129" s="135"/>
      <c r="K129" s="134">
        <f>AVERAGE(K47:K57,K91:K101)</f>
        <v>0.39940237666945061</v>
      </c>
      <c r="L129" s="134">
        <f>AVERAGE(L47:L57,L91:L101)</f>
        <v>0.54303686879472624</v>
      </c>
      <c r="M129" s="135">
        <f>AVERAGE(M47:M57,M91:M101)</f>
        <v>1814.5299526542356</v>
      </c>
      <c r="N129" s="135">
        <f>AVERAGE(N47:N57,N91:N101)</f>
        <v>2436.4679192177618</v>
      </c>
      <c r="O129" s="135">
        <f>AVERAGE(O47:O57,O91:O101)</f>
        <v>4168.5192376604427</v>
      </c>
    </row>
    <row r="130" spans="2:15" x14ac:dyDescent="0.2">
      <c r="B130" s="47" t="s">
        <v>290</v>
      </c>
      <c r="C130" s="136">
        <f>AVERAGE(C36:C46,C80:C90)</f>
        <v>30.431818181818183</v>
      </c>
      <c r="D130" s="134">
        <f>AVERAGE(D36:D46,D80:D90)</f>
        <v>5.0876179169608494E-2</v>
      </c>
      <c r="E130" s="134">
        <f>AVERAGE(E36:E46,E80:E90)</f>
        <v>0.35696075404036903</v>
      </c>
      <c r="F130" s="134">
        <f>AVERAGE(F36:F46,F80:F90)</f>
        <v>0.54804397561709617</v>
      </c>
      <c r="G130" s="135">
        <f>AVERAGE(G36:G46,G80:G90)</f>
        <v>1572.932960659969</v>
      </c>
      <c r="H130" s="135">
        <f>AVERAGE(H36:H46,H80:H90)</f>
        <v>2418.6238416679535</v>
      </c>
      <c r="I130" s="135">
        <f>AVERAGE(I36:I46,I80:I90)</f>
        <v>3991.5568023279234</v>
      </c>
      <c r="J130" s="135"/>
      <c r="K130" s="134">
        <f>AVERAGE(K36:K46,K80:K90)</f>
        <v>0.40019052457062421</v>
      </c>
      <c r="L130" s="134">
        <f>AVERAGE(L36:L46,L80:L90)</f>
        <v>0.54569386716665802</v>
      </c>
      <c r="M130" s="135">
        <f>AVERAGE(M36:M46,M80:M90)</f>
        <v>1765.5326831494776</v>
      </c>
      <c r="N130" s="135">
        <f>AVERAGE(N36:N46,N80:N90)</f>
        <v>2410.0036185900649</v>
      </c>
      <c r="O130" s="135">
        <f>AVERAGE(O36:O46,O80:O90)</f>
        <v>4175.536301739543</v>
      </c>
    </row>
    <row r="132" spans="2:15" ht="15" x14ac:dyDescent="0.25">
      <c r="B132" s="137" t="s">
        <v>328</v>
      </c>
      <c r="C132" s="136">
        <f>AVERAGE(C3:C13)</f>
        <v>26.545454545454547</v>
      </c>
      <c r="D132" s="134">
        <f>AVERAGE(D3:D13)</f>
        <v>6.7406204857369284E-2</v>
      </c>
      <c r="E132" s="134">
        <f>AVERAGE(E3:E13)</f>
        <v>0.29873716922282334</v>
      </c>
      <c r="F132" s="134">
        <f>AVERAGE(F3:F13)</f>
        <v>0.48153406447368569</v>
      </c>
      <c r="G132" s="135">
        <f>AVERAGE(G3:G13)</f>
        <v>1116.8112389576156</v>
      </c>
      <c r="H132" s="135">
        <f>AVERAGE(H3:H13)</f>
        <v>1820.8074687625658</v>
      </c>
      <c r="I132" s="135">
        <f>AVERAGE(I3:I13)</f>
        <v>2937.6187077201812</v>
      </c>
      <c r="K132" s="134" t="s">
        <v>332</v>
      </c>
      <c r="L132" s="134" t="s">
        <v>11</v>
      </c>
      <c r="M132" s="47" t="s">
        <v>331</v>
      </c>
    </row>
    <row r="133" spans="2:15" ht="15" x14ac:dyDescent="0.25">
      <c r="B133" s="137" t="s">
        <v>327</v>
      </c>
      <c r="C133" s="136">
        <f>AVERAGE(C25:C35)</f>
        <v>39.945454545454545</v>
      </c>
      <c r="D133" s="134">
        <f>AVERAGE(D25:D35)</f>
        <v>5.3701827621135005E-2</v>
      </c>
      <c r="E133" s="134">
        <f>AVERAGE(E25:E35)</f>
        <v>0.35692086300417347</v>
      </c>
      <c r="F133" s="134">
        <f>AVERAGE(F25:F35)</f>
        <v>0.54756748329505411</v>
      </c>
      <c r="G133" s="135">
        <f>AVERAGE(G25:G35)</f>
        <v>2060.8573882237802</v>
      </c>
      <c r="H133" s="135">
        <f>AVERAGE(H25:H35)</f>
        <v>3163.8177455472728</v>
      </c>
      <c r="I133" s="135">
        <f>AVERAGE(I25:I35)</f>
        <v>5224.675133771053</v>
      </c>
      <c r="K133" s="134">
        <f>AVERAGE(K3:K123)*100</f>
        <v>39.47360052246372</v>
      </c>
      <c r="L133" s="134">
        <f>AVERAGE(L3:L123)*100</f>
        <v>53.778438843256168</v>
      </c>
      <c r="M133" s="134">
        <f>100-K133-L133</f>
        <v>6.7479606342801119</v>
      </c>
    </row>
    <row r="134" spans="2:15" ht="15" x14ac:dyDescent="0.25">
      <c r="B134" s="137" t="s">
        <v>330</v>
      </c>
      <c r="C134" s="136">
        <f>AVERAGE(C14:C24)</f>
        <v>25.200000000000003</v>
      </c>
      <c r="D134" s="134">
        <f>AVERAGE(D14:D24)</f>
        <v>5.9752104509374508E-2</v>
      </c>
      <c r="E134" s="134">
        <f>AVERAGE(E14:E24)</f>
        <v>0.37813214020119051</v>
      </c>
      <c r="F134" s="134">
        <f>AVERAGE(F14:F24)</f>
        <v>0.56226592800331188</v>
      </c>
      <c r="G134" s="135">
        <f>AVERAGE(G14:G24)</f>
        <v>1383.7051419651373</v>
      </c>
      <c r="H134" s="135">
        <f>AVERAGE(H14:H24)</f>
        <v>2059.1709165776469</v>
      </c>
      <c r="I134" s="135">
        <f>AVERAGE(I14:I24)</f>
        <v>3442.876058542784</v>
      </c>
    </row>
    <row r="135" spans="2:15" ht="15" x14ac:dyDescent="0.25">
      <c r="B135" s="137" t="s">
        <v>325</v>
      </c>
      <c r="C135" s="136">
        <f>AVERAGE(C58:C68)</f>
        <v>14.363636363636363</v>
      </c>
      <c r="D135" s="134">
        <f>AVERAGE(D58:D68)</f>
        <v>5.3432111467830515E-2</v>
      </c>
      <c r="E135" s="134">
        <f>AVERAGE(E58:E68)</f>
        <v>0.34986030794908901</v>
      </c>
      <c r="F135" s="134">
        <f>AVERAGE(F58:F68)</f>
        <v>0.54109840554085087</v>
      </c>
      <c r="G135" s="135">
        <f>AVERAGE(G58:G68)</f>
        <v>730.57677139413488</v>
      </c>
      <c r="H135" s="135">
        <f>AVERAGE(H58:H68)</f>
        <v>1126.0649838181305</v>
      </c>
      <c r="I135" s="135">
        <f>AVERAGE(I58:I68)</f>
        <v>1856.641755212265</v>
      </c>
    </row>
    <row r="136" spans="2:15" ht="15" x14ac:dyDescent="0.25">
      <c r="B136" s="137" t="s">
        <v>324</v>
      </c>
      <c r="C136" s="136">
        <f>AVERAGE(C69:C79)</f>
        <v>36.190909090909081</v>
      </c>
      <c r="D136" s="134">
        <f>AVERAGE(D69:D79)</f>
        <v>4.7632951197598271E-2</v>
      </c>
      <c r="E136" s="134">
        <f>AVERAGE(E69:E79)</f>
        <v>0.34928025491309928</v>
      </c>
      <c r="F136" s="134">
        <f>AVERAGE(F69:F79)</f>
        <v>0.54702790939062895</v>
      </c>
      <c r="G136" s="135">
        <f>AVERAGE(G69:G79)</f>
        <v>1842.8797367566222</v>
      </c>
      <c r="H136" s="135">
        <f>AVERAGE(H69:H79)</f>
        <v>2882.3524773631793</v>
      </c>
      <c r="I136" s="135">
        <f>AVERAGE(I69:I79)</f>
        <v>4725.232214119801</v>
      </c>
    </row>
    <row r="137" spans="2:15" ht="15" x14ac:dyDescent="0.25">
      <c r="B137" s="137" t="s">
        <v>329</v>
      </c>
      <c r="C137" s="136">
        <f>AVERAGE(C102:C112)</f>
        <v>26.190909090909091</v>
      </c>
      <c r="D137" s="134">
        <f>AVERAGE(D102:D112)</f>
        <v>4.4346520770468779E-2</v>
      </c>
      <c r="E137" s="134">
        <f>AVERAGE(E102:E112)</f>
        <v>0.34935729895523199</v>
      </c>
      <c r="F137" s="134">
        <f>AVERAGE(F102:F112)</f>
        <v>0.54220691453809022</v>
      </c>
      <c r="G137" s="135">
        <f>AVERAGE(G102:G112)</f>
        <v>1333.8263253308812</v>
      </c>
      <c r="H137" s="135">
        <f>AVERAGE(H102:H112)</f>
        <v>2077.4511021523399</v>
      </c>
      <c r="I137" s="135">
        <f>AVERAGE(I102:I112)</f>
        <v>3411.2774274832218</v>
      </c>
    </row>
    <row r="139" spans="2:15" x14ac:dyDescent="0.2">
      <c r="B139" s="47" t="s">
        <v>328</v>
      </c>
      <c r="C139" s="136">
        <f>AVERAGE(C3:C13)</f>
        <v>26.545454545454547</v>
      </c>
      <c r="D139" s="134">
        <f>AVERAGE(D3:D13)</f>
        <v>6.7406204857369284E-2</v>
      </c>
      <c r="E139" s="134">
        <f>AVERAGE(E3:E13)</f>
        <v>0.29873716922282334</v>
      </c>
      <c r="F139" s="134">
        <f>AVERAGE(F3:F13)</f>
        <v>0.48153406447368569</v>
      </c>
      <c r="G139" s="135">
        <f>AVERAGE(G3:G13)</f>
        <v>1116.8112389576156</v>
      </c>
      <c r="H139" s="135">
        <f>AVERAGE(H3:H13)</f>
        <v>1820.8074687625658</v>
      </c>
      <c r="I139" s="135">
        <f>AVERAGE(I3:I13)</f>
        <v>2937.6187077201812</v>
      </c>
    </row>
    <row r="140" spans="2:15" x14ac:dyDescent="0.2">
      <c r="B140" s="47" t="s">
        <v>327</v>
      </c>
      <c r="C140" s="136">
        <f>AVERAGE(C25:C35)</f>
        <v>39.945454545454545</v>
      </c>
      <c r="D140" s="134">
        <f>AVERAGE(D25:D35)</f>
        <v>5.3701827621135005E-2</v>
      </c>
      <c r="E140" s="134">
        <f>AVERAGE(E25:E35)</f>
        <v>0.35692086300417347</v>
      </c>
      <c r="F140" s="134">
        <f>AVERAGE(F25:F35)</f>
        <v>0.54756748329505411</v>
      </c>
      <c r="G140" s="135">
        <f>AVERAGE(G25:G35)</f>
        <v>2060.8573882237802</v>
      </c>
      <c r="H140" s="135">
        <f>AVERAGE(H25:H35)</f>
        <v>3163.8177455472728</v>
      </c>
      <c r="I140" s="135">
        <f>AVERAGE(I25:I35)</f>
        <v>5224.675133771053</v>
      </c>
    </row>
    <row r="141" spans="2:15" x14ac:dyDescent="0.2">
      <c r="B141" s="47" t="s">
        <v>326</v>
      </c>
      <c r="C141" s="136">
        <f>AVERAGE(C14:C24)</f>
        <v>25.200000000000003</v>
      </c>
      <c r="D141" s="134">
        <f>AVERAGE(D14:D24)</f>
        <v>5.9752104509374508E-2</v>
      </c>
      <c r="E141" s="134">
        <f>AVERAGE(E14:E24)</f>
        <v>0.37813214020119051</v>
      </c>
      <c r="F141" s="134">
        <f>AVERAGE(F14:F24)</f>
        <v>0.56226592800331188</v>
      </c>
      <c r="G141" s="135">
        <f>AVERAGE(G36:G46)</f>
        <v>1555.1143557283517</v>
      </c>
      <c r="H141" s="135">
        <f>AVERAGE(H36:H46)</f>
        <v>2354.8598817009738</v>
      </c>
      <c r="I141" s="135">
        <f>AVERAGE(I36:I46)</f>
        <v>3909.9742374293269</v>
      </c>
      <c r="J141" s="47" t="s">
        <v>290</v>
      </c>
    </row>
    <row r="142" spans="2:15" x14ac:dyDescent="0.2">
      <c r="B142" s="47" t="s">
        <v>325</v>
      </c>
      <c r="C142" s="136">
        <f>AVERAGE(C58:C68)</f>
        <v>14.363636363636363</v>
      </c>
      <c r="D142" s="134">
        <f>AVERAGE(D58:D68)</f>
        <v>5.3432111467830515E-2</v>
      </c>
      <c r="E142" s="134">
        <f>AVERAGE(E58:E68)</f>
        <v>0.34986030794908901</v>
      </c>
      <c r="F142" s="134">
        <f>AVERAGE(F58:F68)</f>
        <v>0.54109840554085087</v>
      </c>
      <c r="G142" s="135">
        <f>AVERAGE(G58:G68)</f>
        <v>730.57677139413488</v>
      </c>
      <c r="H142" s="135">
        <f>AVERAGE(H58:H68)</f>
        <v>1126.0649838181305</v>
      </c>
      <c r="I142" s="135">
        <f>AVERAGE(I58:I68)</f>
        <v>1856.641755212265</v>
      </c>
    </row>
    <row r="143" spans="2:15" x14ac:dyDescent="0.2">
      <c r="B143" s="47" t="s">
        <v>324</v>
      </c>
      <c r="C143" s="136">
        <f>AVERAGE(C69:C79)</f>
        <v>36.190909090909081</v>
      </c>
      <c r="D143" s="134">
        <f>AVERAGE(D69:D79)</f>
        <v>4.7632951197598271E-2</v>
      </c>
      <c r="E143" s="134">
        <f>AVERAGE(E69:E79)</f>
        <v>0.34928025491309928</v>
      </c>
      <c r="F143" s="134">
        <f>AVERAGE(F69:F79)</f>
        <v>0.54702790939062895</v>
      </c>
      <c r="G143" s="135">
        <f>AVERAGE(G69:G79)</f>
        <v>1842.8797367566222</v>
      </c>
      <c r="H143" s="135">
        <f>AVERAGE(H69:H79)</f>
        <v>2882.3524773631793</v>
      </c>
      <c r="I143" s="135">
        <f>AVERAGE(I69:I79)</f>
        <v>4725.232214119801</v>
      </c>
    </row>
    <row r="144" spans="2:15" x14ac:dyDescent="0.2">
      <c r="B144" s="47" t="s">
        <v>323</v>
      </c>
      <c r="C144" s="136">
        <f>AVERAGE(C102:C112)</f>
        <v>26.190909090909091</v>
      </c>
      <c r="D144" s="134">
        <f>AVERAGE(D102:D112)</f>
        <v>4.4346520770468779E-2</v>
      </c>
      <c r="E144" s="134">
        <f>AVERAGE(E102:E112)</f>
        <v>0.34935729895523199</v>
      </c>
      <c r="F144" s="134">
        <f>AVERAGE(F102:F112)</f>
        <v>0.54220691453809022</v>
      </c>
      <c r="G144" s="135">
        <f>AVERAGE(G80:G90)</f>
        <v>1590.7515655915865</v>
      </c>
      <c r="H144" s="135">
        <f>AVERAGE(H80:H90)</f>
        <v>2482.3878016349331</v>
      </c>
      <c r="I144" s="135">
        <f>AVERAGE(I80:I90)</f>
        <v>4073.1393672265199</v>
      </c>
      <c r="J144" s="47" t="s">
        <v>290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Raw Scale</vt:lpstr>
      <vt:lpstr>Plot Scale</vt:lpstr>
      <vt:lpstr>Compare</vt:lpstr>
      <vt:lpstr>Harvest image</vt:lpstr>
      <vt:lpstr>Field weights</vt:lpstr>
      <vt:lpstr>Subsample weights</vt:lpstr>
      <vt:lpstr>Ginning</vt:lpstr>
      <vt:lpstr>Moisture</vt:lpstr>
      <vt:lpstr>Yield Reduced</vt:lpstr>
      <vt:lpstr>'Field weights'!Print_Area</vt:lpstr>
      <vt:lpstr>Ginning!Print_Area</vt:lpstr>
      <vt:lpstr>'Harvest image'!Print_Area</vt:lpstr>
      <vt:lpstr>Moisture!Print_Area</vt:lpstr>
      <vt:lpstr>'Subsample weights'!Print_Area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2023-09-06T13:49:24Z</dcterms:created>
  <dcterms:modified xsi:type="dcterms:W3CDTF">2025-05-27T22:32:57Z</dcterms:modified>
</cp:coreProperties>
</file>