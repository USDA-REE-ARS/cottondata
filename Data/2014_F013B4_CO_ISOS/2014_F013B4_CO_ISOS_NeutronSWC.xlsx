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4_F013B4_CO_ISOS\"/>
    </mc:Choice>
  </mc:AlternateContent>
  <xr:revisionPtr revIDLastSave="0" documentId="13_ncr:1_{D6A3EAAB-8B53-4020-AF43-8D218D6C68C1}" xr6:coauthVersionLast="47" xr6:coauthVersionMax="47" xr10:uidLastSave="{00000000-0000-0000-0000-000000000000}"/>
  <bookViews>
    <workbookView xWindow="16350" yWindow="-27375" windowWidth="18000" windowHeight="24555" xr2:uid="{00000000-000D-0000-FFFF-FFFF00000000}"/>
  </bookViews>
  <sheets>
    <sheet name="Summary" sheetId="22" r:id="rId1"/>
    <sheet name="Standards" sheetId="21" r:id="rId2"/>
    <sheet name="2014-0527" sheetId="1" r:id="rId3"/>
    <sheet name="2014-0610" sheetId="3" r:id="rId4"/>
    <sheet name="2014-0616" sheetId="4" r:id="rId5"/>
    <sheet name="2014-0623" sheetId="5" r:id="rId6"/>
    <sheet name="2014-0630" sheetId="6" r:id="rId7"/>
    <sheet name="2014-0707" sheetId="7" r:id="rId8"/>
    <sheet name="2014-0715" sheetId="8" r:id="rId9"/>
    <sheet name="2014-0721" sheetId="9" r:id="rId10"/>
    <sheet name="2014-0728" sheetId="10" r:id="rId11"/>
    <sheet name="2014-0805" sheetId="11" r:id="rId12"/>
    <sheet name="2014-0811" sheetId="12" r:id="rId13"/>
    <sheet name="2014-0818" sheetId="13" r:id="rId14"/>
    <sheet name="2014-0825" sheetId="14" r:id="rId15"/>
    <sheet name="2014-0902" sheetId="15" r:id="rId16"/>
    <sheet name="2014-0916" sheetId="17" r:id="rId17"/>
    <sheet name="2014-0922" sheetId="18" r:id="rId18"/>
    <sheet name="2014-1001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8" i="17" l="1"/>
  <c r="AD48" i="17"/>
  <c r="AC48" i="17"/>
  <c r="AB48" i="17"/>
  <c r="AA48" i="17"/>
  <c r="Z48" i="17"/>
  <c r="Y48" i="17"/>
  <c r="X48" i="17"/>
  <c r="W48" i="17"/>
  <c r="V48" i="17"/>
  <c r="AE47" i="17"/>
  <c r="AD47" i="17"/>
  <c r="AC47" i="17"/>
  <c r="AB47" i="17"/>
  <c r="AA47" i="17"/>
  <c r="Z47" i="17"/>
  <c r="Y47" i="17"/>
  <c r="X47" i="17"/>
  <c r="W47" i="17"/>
  <c r="V47" i="17"/>
  <c r="AE46" i="17"/>
  <c r="AD46" i="17"/>
  <c r="AC46" i="17"/>
  <c r="AB46" i="17"/>
  <c r="AA46" i="17"/>
  <c r="Z46" i="17"/>
  <c r="Y46" i="17"/>
  <c r="X46" i="17"/>
  <c r="W46" i="17"/>
  <c r="V46" i="17"/>
  <c r="AE45" i="17"/>
  <c r="AD45" i="17"/>
  <c r="AC45" i="17"/>
  <c r="AB45" i="17"/>
  <c r="AA45" i="17"/>
  <c r="Z45" i="17"/>
  <c r="Y45" i="17"/>
  <c r="X45" i="17"/>
  <c r="W45" i="17"/>
  <c r="V45" i="17"/>
  <c r="AE44" i="17"/>
  <c r="AD44" i="17"/>
  <c r="AC44" i="17"/>
  <c r="AB44" i="17"/>
  <c r="AA44" i="17"/>
  <c r="Z44" i="17"/>
  <c r="Y44" i="17"/>
  <c r="X44" i="17"/>
  <c r="W44" i="17"/>
  <c r="V44" i="17"/>
  <c r="AE43" i="17"/>
  <c r="AD43" i="17"/>
  <c r="AC43" i="17"/>
  <c r="AB43" i="17"/>
  <c r="AA43" i="17"/>
  <c r="Z43" i="17"/>
  <c r="Y43" i="17"/>
  <c r="X43" i="17"/>
  <c r="W43" i="17"/>
  <c r="V43" i="17"/>
  <c r="AE42" i="17"/>
  <c r="AD42" i="17"/>
  <c r="AC42" i="17"/>
  <c r="AB42" i="17"/>
  <c r="AA42" i="17"/>
  <c r="Z42" i="17"/>
  <c r="Y42" i="17"/>
  <c r="X42" i="17"/>
  <c r="W42" i="17"/>
  <c r="V42" i="17"/>
  <c r="AE41" i="17"/>
  <c r="AD41" i="17"/>
  <c r="AC41" i="17"/>
  <c r="AB41" i="17"/>
  <c r="AA41" i="17"/>
  <c r="Z41" i="17"/>
  <c r="Y41" i="17"/>
  <c r="X41" i="17"/>
  <c r="W41" i="17"/>
  <c r="V41" i="17"/>
  <c r="AE40" i="17"/>
  <c r="AD40" i="17"/>
  <c r="AC40" i="17"/>
  <c r="AB40" i="17"/>
  <c r="AA40" i="17"/>
  <c r="Z40" i="17"/>
  <c r="Y40" i="17"/>
  <c r="X40" i="17"/>
  <c r="W40" i="17"/>
  <c r="V40" i="17"/>
  <c r="AE39" i="17"/>
  <c r="AD39" i="17"/>
  <c r="AC39" i="17"/>
  <c r="AB39" i="17"/>
  <c r="AA39" i="17"/>
  <c r="Z39" i="17"/>
  <c r="Y39" i="17"/>
  <c r="X39" i="17"/>
  <c r="W39" i="17"/>
  <c r="V39" i="17"/>
  <c r="AE38" i="17"/>
  <c r="AD38" i="17"/>
  <c r="AC38" i="17"/>
  <c r="AB38" i="17"/>
  <c r="AA38" i="17"/>
  <c r="Z38" i="17"/>
  <c r="Y38" i="17"/>
  <c r="X38" i="17"/>
  <c r="W38" i="17"/>
  <c r="V38" i="17"/>
  <c r="AE37" i="17"/>
  <c r="AD37" i="17"/>
  <c r="AC37" i="17"/>
  <c r="AB37" i="17"/>
  <c r="AA37" i="17"/>
  <c r="Z37" i="17"/>
  <c r="Y37" i="17"/>
  <c r="X37" i="17"/>
  <c r="W37" i="17"/>
  <c r="V37" i="17"/>
  <c r="AE36" i="17"/>
  <c r="AD36" i="17"/>
  <c r="AC36" i="17"/>
  <c r="AB36" i="17"/>
  <c r="AA36" i="17"/>
  <c r="Z36" i="17"/>
  <c r="Y36" i="17"/>
  <c r="X36" i="17"/>
  <c r="W36" i="17"/>
  <c r="V36" i="17"/>
  <c r="AE35" i="17"/>
  <c r="AD35" i="17"/>
  <c r="AC35" i="17"/>
  <c r="AB35" i="17"/>
  <c r="AA35" i="17"/>
  <c r="Z35" i="17"/>
  <c r="Y35" i="17"/>
  <c r="X35" i="17"/>
  <c r="W35" i="17"/>
  <c r="V35" i="17"/>
  <c r="AE34" i="17"/>
  <c r="AD34" i="17"/>
  <c r="AC34" i="17"/>
  <c r="AB34" i="17"/>
  <c r="AA34" i="17"/>
  <c r="Z34" i="17"/>
  <c r="Y34" i="17"/>
  <c r="X34" i="17"/>
  <c r="W34" i="17"/>
  <c r="V34" i="17"/>
  <c r="AE33" i="17"/>
  <c r="AD33" i="17"/>
  <c r="AC33" i="17"/>
  <c r="AB33" i="17"/>
  <c r="AA33" i="17"/>
  <c r="Z33" i="17"/>
  <c r="Y33" i="17"/>
  <c r="X33" i="17"/>
  <c r="W33" i="17"/>
  <c r="V33" i="17"/>
  <c r="AE32" i="17"/>
  <c r="AD32" i="17"/>
  <c r="AC32" i="17"/>
  <c r="AB32" i="17"/>
  <c r="AA32" i="17"/>
  <c r="Z32" i="17"/>
  <c r="Y32" i="17"/>
  <c r="X32" i="17"/>
  <c r="W32" i="17"/>
  <c r="V32" i="17"/>
  <c r="AE31" i="17"/>
  <c r="AD31" i="17"/>
  <c r="AC31" i="17"/>
  <c r="AB31" i="17"/>
  <c r="AA31" i="17"/>
  <c r="Z31" i="17"/>
  <c r="Y31" i="17"/>
  <c r="X31" i="17"/>
  <c r="W31" i="17"/>
  <c r="V31" i="17"/>
  <c r="AE30" i="17"/>
  <c r="AD30" i="17"/>
  <c r="AC30" i="17"/>
  <c r="AB30" i="17"/>
  <c r="AA30" i="17"/>
  <c r="Z30" i="17"/>
  <c r="Y30" i="17"/>
  <c r="X30" i="17"/>
  <c r="W30" i="17"/>
  <c r="V30" i="17"/>
  <c r="AE29" i="17"/>
  <c r="AD29" i="17"/>
  <c r="AC29" i="17"/>
  <c r="AB29" i="17"/>
  <c r="AA29" i="17"/>
  <c r="Z29" i="17"/>
  <c r="Y29" i="17"/>
  <c r="X29" i="17"/>
  <c r="W29" i="17"/>
  <c r="V29" i="17"/>
  <c r="AE28" i="17"/>
  <c r="AD28" i="17"/>
  <c r="AC28" i="17"/>
  <c r="AB28" i="17"/>
  <c r="AA28" i="17"/>
  <c r="Z28" i="17"/>
  <c r="Y28" i="17"/>
  <c r="X28" i="17"/>
  <c r="W28" i="17"/>
  <c r="V28" i="17"/>
  <c r="AE27" i="17"/>
  <c r="AD27" i="17"/>
  <c r="AC27" i="17"/>
  <c r="AB27" i="17"/>
  <c r="AA27" i="17"/>
  <c r="Z27" i="17"/>
  <c r="Y27" i="17"/>
  <c r="X27" i="17"/>
  <c r="W27" i="17"/>
  <c r="V27" i="17"/>
  <c r="AE26" i="17"/>
  <c r="AD26" i="17"/>
  <c r="AC26" i="17"/>
  <c r="AB26" i="17"/>
  <c r="AA26" i="17"/>
  <c r="Z26" i="17"/>
  <c r="Y26" i="17"/>
  <c r="X26" i="17"/>
  <c r="W26" i="17"/>
  <c r="V26" i="17"/>
  <c r="AE25" i="17"/>
  <c r="AD25" i="17"/>
  <c r="AC25" i="17"/>
  <c r="AB25" i="17"/>
  <c r="AA25" i="17"/>
  <c r="Z25" i="17"/>
  <c r="Y25" i="17"/>
  <c r="X25" i="17"/>
  <c r="W25" i="17"/>
  <c r="V25" i="17"/>
  <c r="AE24" i="17"/>
  <c r="AD24" i="17"/>
  <c r="AC24" i="17"/>
  <c r="AB24" i="17"/>
  <c r="AA24" i="17"/>
  <c r="Z24" i="17"/>
  <c r="Y24" i="17"/>
  <c r="X24" i="17"/>
  <c r="W24" i="17"/>
  <c r="V24" i="17"/>
  <c r="AE23" i="17"/>
  <c r="AD23" i="17"/>
  <c r="AC23" i="17"/>
  <c r="AB23" i="17"/>
  <c r="AA23" i="17"/>
  <c r="Z23" i="17"/>
  <c r="Y23" i="17"/>
  <c r="X23" i="17"/>
  <c r="W23" i="17"/>
  <c r="V23" i="17"/>
  <c r="AE22" i="17"/>
  <c r="AD22" i="17"/>
  <c r="AC22" i="17"/>
  <c r="AB22" i="17"/>
  <c r="AA22" i="17"/>
  <c r="Z22" i="17"/>
  <c r="Y22" i="17"/>
  <c r="X22" i="17"/>
  <c r="W22" i="17"/>
  <c r="V22" i="17"/>
  <c r="AE21" i="17"/>
  <c r="AD21" i="17"/>
  <c r="AC21" i="17"/>
  <c r="AB21" i="17"/>
  <c r="AA21" i="17"/>
  <c r="Z21" i="17"/>
  <c r="Y21" i="17"/>
  <c r="X21" i="17"/>
  <c r="W21" i="17"/>
  <c r="V21" i="17"/>
  <c r="AE20" i="17"/>
  <c r="AD20" i="17"/>
  <c r="AC20" i="17"/>
  <c r="AB20" i="17"/>
  <c r="AA20" i="17"/>
  <c r="Z20" i="17"/>
  <c r="Y20" i="17"/>
  <c r="X20" i="17"/>
  <c r="W20" i="17"/>
  <c r="V20" i="17"/>
  <c r="AE19" i="17"/>
  <c r="AD19" i="17"/>
  <c r="AC19" i="17"/>
  <c r="AB19" i="17"/>
  <c r="AA19" i="17"/>
  <c r="Z19" i="17"/>
  <c r="Y19" i="17"/>
  <c r="X19" i="17"/>
  <c r="W19" i="17"/>
  <c r="V19" i="17"/>
  <c r="U49" i="19" l="1"/>
  <c r="V49" i="19"/>
  <c r="W49" i="19"/>
  <c r="X49" i="19"/>
  <c r="Y49" i="19"/>
  <c r="Z49" i="19"/>
  <c r="AA49" i="19"/>
  <c r="AB49" i="19"/>
  <c r="AC49" i="19"/>
  <c r="AD49" i="19"/>
  <c r="U50" i="19"/>
  <c r="V50" i="19"/>
  <c r="W50" i="19"/>
  <c r="X50" i="19"/>
  <c r="Y50" i="19"/>
  <c r="Z50" i="19"/>
  <c r="AA50" i="19"/>
  <c r="AB50" i="19"/>
  <c r="AC50" i="19"/>
  <c r="AD50" i="19"/>
  <c r="U51" i="19"/>
  <c r="V51" i="19"/>
  <c r="W51" i="19"/>
  <c r="X51" i="19"/>
  <c r="Y51" i="19"/>
  <c r="Z51" i="19"/>
  <c r="AA51" i="19"/>
  <c r="AB51" i="19"/>
  <c r="AC51" i="19"/>
  <c r="AD51" i="19"/>
  <c r="U52" i="19"/>
  <c r="V52" i="19"/>
  <c r="W52" i="19"/>
  <c r="X52" i="19"/>
  <c r="Y52" i="19"/>
  <c r="Z52" i="19"/>
  <c r="AA52" i="19"/>
  <c r="AB52" i="19"/>
  <c r="AC52" i="19"/>
  <c r="AD52" i="19"/>
  <c r="U53" i="19"/>
  <c r="V53" i="19"/>
  <c r="W53" i="19"/>
  <c r="X53" i="19"/>
  <c r="Y53" i="19"/>
  <c r="Z53" i="19"/>
  <c r="AA53" i="19"/>
  <c r="AB53" i="19"/>
  <c r="AC53" i="19"/>
  <c r="AD53" i="19"/>
  <c r="U54" i="19"/>
  <c r="V54" i="19"/>
  <c r="W54" i="19"/>
  <c r="X54" i="19"/>
  <c r="Y54" i="19"/>
  <c r="Z54" i="19"/>
  <c r="AA54" i="19"/>
  <c r="AB54" i="19"/>
  <c r="AC54" i="19"/>
  <c r="AD54" i="19"/>
  <c r="AD104" i="19"/>
  <c r="AC104" i="19"/>
  <c r="AB104" i="19"/>
  <c r="AA104" i="19"/>
  <c r="Z104" i="19"/>
  <c r="Y104" i="19"/>
  <c r="X104" i="19"/>
  <c r="W104" i="19"/>
  <c r="V104" i="19"/>
  <c r="U104" i="19"/>
  <c r="AD103" i="19"/>
  <c r="AC103" i="19"/>
  <c r="AB103" i="19"/>
  <c r="AA103" i="19"/>
  <c r="Z103" i="19"/>
  <c r="Y103" i="19"/>
  <c r="X103" i="19"/>
  <c r="W103" i="19"/>
  <c r="V103" i="19"/>
  <c r="U103" i="19"/>
  <c r="AD102" i="19"/>
  <c r="AC102" i="19"/>
  <c r="AB102" i="19"/>
  <c r="AA102" i="19"/>
  <c r="Z102" i="19"/>
  <c r="Y102" i="19"/>
  <c r="X102" i="19"/>
  <c r="W102" i="19"/>
  <c r="V102" i="19"/>
  <c r="U102" i="19"/>
  <c r="AD101" i="19"/>
  <c r="AC101" i="19"/>
  <c r="AB101" i="19"/>
  <c r="AA101" i="19"/>
  <c r="Z101" i="19"/>
  <c r="Y101" i="19"/>
  <c r="X101" i="19"/>
  <c r="W101" i="19"/>
  <c r="V101" i="19"/>
  <c r="U101" i="19"/>
  <c r="AD100" i="19"/>
  <c r="AC100" i="19"/>
  <c r="AB100" i="19"/>
  <c r="AA100" i="19"/>
  <c r="Z100" i="19"/>
  <c r="Y100" i="19"/>
  <c r="X100" i="19"/>
  <c r="W100" i="19"/>
  <c r="V100" i="19"/>
  <c r="U100" i="19"/>
  <c r="AD99" i="19"/>
  <c r="AC99" i="19"/>
  <c r="AB99" i="19"/>
  <c r="AA99" i="19"/>
  <c r="Z99" i="19"/>
  <c r="Y99" i="19"/>
  <c r="X99" i="19"/>
  <c r="W99" i="19"/>
  <c r="V99" i="19"/>
  <c r="U99" i="19"/>
  <c r="AD98" i="19"/>
  <c r="AC98" i="19"/>
  <c r="AB98" i="19"/>
  <c r="AA98" i="19"/>
  <c r="Z98" i="19"/>
  <c r="Y98" i="19"/>
  <c r="X98" i="19"/>
  <c r="W98" i="19"/>
  <c r="V98" i="19"/>
  <c r="U98" i="19"/>
  <c r="AD97" i="19"/>
  <c r="AC97" i="19"/>
  <c r="AB97" i="19"/>
  <c r="AA97" i="19"/>
  <c r="Z97" i="19"/>
  <c r="Y97" i="19"/>
  <c r="X97" i="19"/>
  <c r="W97" i="19"/>
  <c r="V97" i="19"/>
  <c r="U97" i="19"/>
  <c r="AD96" i="19"/>
  <c r="AC96" i="19"/>
  <c r="AB96" i="19"/>
  <c r="AA96" i="19"/>
  <c r="Z96" i="19"/>
  <c r="Y96" i="19"/>
  <c r="X96" i="19"/>
  <c r="W96" i="19"/>
  <c r="V96" i="19"/>
  <c r="U96" i="19"/>
  <c r="AD95" i="19"/>
  <c r="AC95" i="19"/>
  <c r="AB95" i="19"/>
  <c r="AA95" i="19"/>
  <c r="Z95" i="19"/>
  <c r="Y95" i="19"/>
  <c r="X95" i="19"/>
  <c r="W95" i="19"/>
  <c r="V95" i="19"/>
  <c r="U95" i="19"/>
  <c r="AD94" i="19"/>
  <c r="AC94" i="19"/>
  <c r="AB94" i="19"/>
  <c r="AA94" i="19"/>
  <c r="Z94" i="19"/>
  <c r="Y94" i="19"/>
  <c r="X94" i="19"/>
  <c r="W94" i="19"/>
  <c r="V94" i="19"/>
  <c r="U94" i="19"/>
  <c r="AD93" i="19"/>
  <c r="AC93" i="19"/>
  <c r="AB93" i="19"/>
  <c r="AA93" i="19"/>
  <c r="Z93" i="19"/>
  <c r="Y93" i="19"/>
  <c r="X93" i="19"/>
  <c r="W93" i="19"/>
  <c r="V93" i="19"/>
  <c r="U93" i="19"/>
  <c r="AD92" i="19"/>
  <c r="AC92" i="19"/>
  <c r="AB92" i="19"/>
  <c r="AA92" i="19"/>
  <c r="Z92" i="19"/>
  <c r="Y92" i="19"/>
  <c r="X92" i="19"/>
  <c r="W92" i="19"/>
  <c r="V92" i="19"/>
  <c r="U92" i="19"/>
  <c r="AD91" i="19"/>
  <c r="AC91" i="19"/>
  <c r="AB91" i="19"/>
  <c r="AA91" i="19"/>
  <c r="Z91" i="19"/>
  <c r="Y91" i="19"/>
  <c r="X91" i="19"/>
  <c r="W91" i="19"/>
  <c r="V91" i="19"/>
  <c r="U91" i="19"/>
  <c r="AD90" i="19"/>
  <c r="AC90" i="19"/>
  <c r="AB90" i="19"/>
  <c r="AA90" i="19"/>
  <c r="Z90" i="19"/>
  <c r="Y90" i="19"/>
  <c r="X90" i="19"/>
  <c r="W90" i="19"/>
  <c r="V90" i="19"/>
  <c r="U90" i="19"/>
  <c r="AD89" i="19"/>
  <c r="AC89" i="19"/>
  <c r="AB89" i="19"/>
  <c r="AA89" i="19"/>
  <c r="Z89" i="19"/>
  <c r="Y89" i="19"/>
  <c r="X89" i="19"/>
  <c r="W89" i="19"/>
  <c r="V89" i="19"/>
  <c r="U89" i="19"/>
  <c r="AD88" i="19"/>
  <c r="AC88" i="19"/>
  <c r="AB88" i="19"/>
  <c r="AA88" i="19"/>
  <c r="Z88" i="19"/>
  <c r="Y88" i="19"/>
  <c r="X88" i="19"/>
  <c r="W88" i="19"/>
  <c r="V88" i="19"/>
  <c r="U88" i="19"/>
  <c r="AD87" i="19"/>
  <c r="AC87" i="19"/>
  <c r="AB87" i="19"/>
  <c r="AA87" i="19"/>
  <c r="Z87" i="19"/>
  <c r="Y87" i="19"/>
  <c r="X87" i="19"/>
  <c r="W87" i="19"/>
  <c r="V87" i="19"/>
  <c r="U87" i="19"/>
  <c r="AD86" i="19"/>
  <c r="AC86" i="19"/>
  <c r="AB86" i="19"/>
  <c r="AA86" i="19"/>
  <c r="Z86" i="19"/>
  <c r="Y86" i="19"/>
  <c r="X86" i="19"/>
  <c r="W86" i="19"/>
  <c r="V86" i="19"/>
  <c r="U86" i="19"/>
  <c r="AD85" i="19"/>
  <c r="AC85" i="19"/>
  <c r="AB85" i="19"/>
  <c r="AA85" i="19"/>
  <c r="Z85" i="19"/>
  <c r="Y85" i="19"/>
  <c r="X85" i="19"/>
  <c r="W85" i="19"/>
  <c r="V85" i="19"/>
  <c r="U85" i="19"/>
  <c r="AD84" i="19"/>
  <c r="AC84" i="19"/>
  <c r="AB84" i="19"/>
  <c r="AA84" i="19"/>
  <c r="Z84" i="19"/>
  <c r="Y84" i="19"/>
  <c r="X84" i="19"/>
  <c r="W84" i="19"/>
  <c r="V84" i="19"/>
  <c r="U84" i="19"/>
  <c r="AD83" i="19"/>
  <c r="AC83" i="19"/>
  <c r="AB83" i="19"/>
  <c r="AA83" i="19"/>
  <c r="Z83" i="19"/>
  <c r="Y83" i="19"/>
  <c r="X83" i="19"/>
  <c r="W83" i="19"/>
  <c r="V83" i="19"/>
  <c r="U83" i="19"/>
  <c r="AD82" i="19"/>
  <c r="AC82" i="19"/>
  <c r="AB82" i="19"/>
  <c r="AA82" i="19"/>
  <c r="Z82" i="19"/>
  <c r="Y82" i="19"/>
  <c r="X82" i="19"/>
  <c r="W82" i="19"/>
  <c r="V82" i="19"/>
  <c r="U82" i="19"/>
  <c r="AD81" i="19"/>
  <c r="AC81" i="19"/>
  <c r="AB81" i="19"/>
  <c r="AA81" i="19"/>
  <c r="Z81" i="19"/>
  <c r="Y81" i="19"/>
  <c r="X81" i="19"/>
  <c r="W81" i="19"/>
  <c r="V81" i="19"/>
  <c r="U81" i="19"/>
  <c r="AD80" i="19"/>
  <c r="AC80" i="19"/>
  <c r="AB80" i="19"/>
  <c r="AA80" i="19"/>
  <c r="Z80" i="19"/>
  <c r="Y80" i="19"/>
  <c r="X80" i="19"/>
  <c r="W80" i="19"/>
  <c r="V80" i="19"/>
  <c r="U80" i="19"/>
  <c r="AD79" i="19"/>
  <c r="AC79" i="19"/>
  <c r="AB79" i="19"/>
  <c r="AA79" i="19"/>
  <c r="Z79" i="19"/>
  <c r="Y79" i="19"/>
  <c r="X79" i="19"/>
  <c r="W79" i="19"/>
  <c r="V79" i="19"/>
  <c r="U79" i="19"/>
  <c r="AD78" i="19"/>
  <c r="AC78" i="19"/>
  <c r="AB78" i="19"/>
  <c r="AA78" i="19"/>
  <c r="Z78" i="19"/>
  <c r="Y78" i="19"/>
  <c r="X78" i="19"/>
  <c r="W78" i="19"/>
  <c r="V78" i="19"/>
  <c r="U78" i="19"/>
  <c r="AD77" i="19"/>
  <c r="AC77" i="19"/>
  <c r="AB77" i="19"/>
  <c r="AA77" i="19"/>
  <c r="Z77" i="19"/>
  <c r="Y77" i="19"/>
  <c r="X77" i="19"/>
  <c r="W77" i="19"/>
  <c r="V77" i="19"/>
  <c r="U77" i="19"/>
  <c r="AD76" i="19"/>
  <c r="AC76" i="19"/>
  <c r="AB76" i="19"/>
  <c r="AA76" i="19"/>
  <c r="Z76" i="19"/>
  <c r="Y76" i="19"/>
  <c r="X76" i="19"/>
  <c r="W76" i="19"/>
  <c r="V76" i="19"/>
  <c r="U76" i="19"/>
  <c r="AD75" i="19"/>
  <c r="AC75" i="19"/>
  <c r="AB75" i="19"/>
  <c r="AA75" i="19"/>
  <c r="Z75" i="19"/>
  <c r="Y75" i="19"/>
  <c r="X75" i="19"/>
  <c r="W75" i="19"/>
  <c r="V75" i="19"/>
  <c r="U75" i="19"/>
  <c r="AD48" i="19"/>
  <c r="AC48" i="19"/>
  <c r="AB48" i="19"/>
  <c r="AA48" i="19"/>
  <c r="Z48" i="19"/>
  <c r="Y48" i="19"/>
  <c r="X48" i="19"/>
  <c r="W48" i="19"/>
  <c r="V48" i="19"/>
  <c r="U48" i="19"/>
  <c r="AD47" i="19"/>
  <c r="AC47" i="19"/>
  <c r="AB47" i="19"/>
  <c r="AA47" i="19"/>
  <c r="Z47" i="19"/>
  <c r="Y47" i="19"/>
  <c r="X47" i="19"/>
  <c r="W47" i="19"/>
  <c r="V47" i="19"/>
  <c r="U47" i="19"/>
  <c r="AD46" i="19"/>
  <c r="AC46" i="19"/>
  <c r="AB46" i="19"/>
  <c r="AA46" i="19"/>
  <c r="Z46" i="19"/>
  <c r="Y46" i="19"/>
  <c r="X46" i="19"/>
  <c r="W46" i="19"/>
  <c r="V46" i="19"/>
  <c r="U46" i="19"/>
  <c r="AD45" i="19"/>
  <c r="AC45" i="19"/>
  <c r="AB45" i="19"/>
  <c r="AA45" i="19"/>
  <c r="Z45" i="19"/>
  <c r="Y45" i="19"/>
  <c r="X45" i="19"/>
  <c r="W45" i="19"/>
  <c r="V45" i="19"/>
  <c r="U45" i="19"/>
  <c r="AD44" i="19"/>
  <c r="AC44" i="19"/>
  <c r="AB44" i="19"/>
  <c r="AA44" i="19"/>
  <c r="Z44" i="19"/>
  <c r="Y44" i="19"/>
  <c r="X44" i="19"/>
  <c r="W44" i="19"/>
  <c r="V44" i="19"/>
  <c r="U44" i="19"/>
  <c r="AD43" i="19"/>
  <c r="AC43" i="19"/>
  <c r="AB43" i="19"/>
  <c r="AA43" i="19"/>
  <c r="Z43" i="19"/>
  <c r="Y43" i="19"/>
  <c r="X43" i="19"/>
  <c r="W43" i="19"/>
  <c r="V43" i="19"/>
  <c r="U43" i="19"/>
  <c r="AD42" i="19"/>
  <c r="AC42" i="19"/>
  <c r="AB42" i="19"/>
  <c r="AA42" i="19"/>
  <c r="Z42" i="19"/>
  <c r="Y42" i="19"/>
  <c r="X42" i="19"/>
  <c r="W42" i="19"/>
  <c r="V42" i="19"/>
  <c r="U42" i="19"/>
  <c r="AD41" i="19"/>
  <c r="AC41" i="19"/>
  <c r="AB41" i="19"/>
  <c r="AA41" i="19"/>
  <c r="Z41" i="19"/>
  <c r="Y41" i="19"/>
  <c r="X41" i="19"/>
  <c r="W41" i="19"/>
  <c r="V41" i="19"/>
  <c r="U41" i="19"/>
  <c r="AD40" i="19"/>
  <c r="AC40" i="19"/>
  <c r="AB40" i="19"/>
  <c r="AA40" i="19"/>
  <c r="Z40" i="19"/>
  <c r="Y40" i="19"/>
  <c r="X40" i="19"/>
  <c r="W40" i="19"/>
  <c r="V40" i="19"/>
  <c r="U40" i="19"/>
  <c r="AD39" i="19"/>
  <c r="AC39" i="19"/>
  <c r="AB39" i="19"/>
  <c r="AA39" i="19"/>
  <c r="Z39" i="19"/>
  <c r="Y39" i="19"/>
  <c r="X39" i="19"/>
  <c r="W39" i="19"/>
  <c r="V39" i="19"/>
  <c r="U39" i="19"/>
  <c r="AD38" i="19"/>
  <c r="AC38" i="19"/>
  <c r="AB38" i="19"/>
  <c r="AA38" i="19"/>
  <c r="Z38" i="19"/>
  <c r="Y38" i="19"/>
  <c r="X38" i="19"/>
  <c r="W38" i="19"/>
  <c r="V38" i="19"/>
  <c r="U38" i="19"/>
  <c r="AD37" i="19"/>
  <c r="AC37" i="19"/>
  <c r="AB37" i="19"/>
  <c r="AA37" i="19"/>
  <c r="Z37" i="19"/>
  <c r="Y37" i="19"/>
  <c r="X37" i="19"/>
  <c r="W37" i="19"/>
  <c r="V37" i="19"/>
  <c r="U37" i="19"/>
  <c r="AD36" i="19"/>
  <c r="AC36" i="19"/>
  <c r="AB36" i="19"/>
  <c r="AA36" i="19"/>
  <c r="Z36" i="19"/>
  <c r="Y36" i="19"/>
  <c r="X36" i="19"/>
  <c r="W36" i="19"/>
  <c r="V36" i="19"/>
  <c r="U36" i="19"/>
  <c r="AD35" i="19"/>
  <c r="AC35" i="19"/>
  <c r="AB35" i="19"/>
  <c r="AA35" i="19"/>
  <c r="Z35" i="19"/>
  <c r="Y35" i="19"/>
  <c r="X35" i="19"/>
  <c r="W35" i="19"/>
  <c r="V35" i="19"/>
  <c r="U35" i="19"/>
  <c r="AD34" i="19"/>
  <c r="AC34" i="19"/>
  <c r="AB34" i="19"/>
  <c r="AA34" i="19"/>
  <c r="Z34" i="19"/>
  <c r="Y34" i="19"/>
  <c r="X34" i="19"/>
  <c r="W34" i="19"/>
  <c r="V34" i="19"/>
  <c r="U34" i="19"/>
  <c r="AD33" i="19"/>
  <c r="AC33" i="19"/>
  <c r="AB33" i="19"/>
  <c r="AA33" i="19"/>
  <c r="Z33" i="19"/>
  <c r="Y33" i="19"/>
  <c r="X33" i="19"/>
  <c r="W33" i="19"/>
  <c r="V33" i="19"/>
  <c r="U33" i="19"/>
  <c r="AD32" i="19"/>
  <c r="AC32" i="19"/>
  <c r="AB32" i="19"/>
  <c r="AA32" i="19"/>
  <c r="Z32" i="19"/>
  <c r="Y32" i="19"/>
  <c r="X32" i="19"/>
  <c r="W32" i="19"/>
  <c r="V32" i="19"/>
  <c r="U32" i="19"/>
  <c r="AD31" i="19"/>
  <c r="AC31" i="19"/>
  <c r="AB31" i="19"/>
  <c r="AA31" i="19"/>
  <c r="Z31" i="19"/>
  <c r="Y31" i="19"/>
  <c r="X31" i="19"/>
  <c r="W31" i="19"/>
  <c r="V31" i="19"/>
  <c r="U31" i="19"/>
  <c r="AD30" i="19"/>
  <c r="AC30" i="19"/>
  <c r="AB30" i="19"/>
  <c r="AA30" i="19"/>
  <c r="Z30" i="19"/>
  <c r="Y30" i="19"/>
  <c r="X30" i="19"/>
  <c r="W30" i="19"/>
  <c r="V30" i="19"/>
  <c r="U30" i="19"/>
  <c r="AD29" i="19"/>
  <c r="AC29" i="19"/>
  <c r="AB29" i="19"/>
  <c r="AA29" i="19"/>
  <c r="Z29" i="19"/>
  <c r="Y29" i="19"/>
  <c r="X29" i="19"/>
  <c r="W29" i="19"/>
  <c r="V29" i="19"/>
  <c r="U29" i="19"/>
  <c r="AD28" i="19"/>
  <c r="AC28" i="19"/>
  <c r="AB28" i="19"/>
  <c r="AA28" i="19"/>
  <c r="Z28" i="19"/>
  <c r="Y28" i="19"/>
  <c r="X28" i="19"/>
  <c r="W28" i="19"/>
  <c r="V28" i="19"/>
  <c r="U28" i="19"/>
  <c r="AD27" i="19"/>
  <c r="AC27" i="19"/>
  <c r="AB27" i="19"/>
  <c r="AA27" i="19"/>
  <c r="Z27" i="19"/>
  <c r="Y27" i="19"/>
  <c r="X27" i="19"/>
  <c r="W27" i="19"/>
  <c r="V27" i="19"/>
  <c r="U27" i="19"/>
  <c r="AD26" i="19"/>
  <c r="AC26" i="19"/>
  <c r="AB26" i="19"/>
  <c r="AA26" i="19"/>
  <c r="Z26" i="19"/>
  <c r="Y26" i="19"/>
  <c r="X26" i="19"/>
  <c r="W26" i="19"/>
  <c r="V26" i="19"/>
  <c r="U26" i="19"/>
  <c r="AD25" i="19"/>
  <c r="AC25" i="19"/>
  <c r="AB25" i="19"/>
  <c r="AA25" i="19"/>
  <c r="Z25" i="19"/>
  <c r="Y25" i="19"/>
  <c r="X25" i="19"/>
  <c r="W25" i="19"/>
  <c r="V25" i="19"/>
  <c r="U25" i="19"/>
  <c r="AD24" i="19"/>
  <c r="AC24" i="19"/>
  <c r="AB24" i="19"/>
  <c r="AA24" i="19"/>
  <c r="Z24" i="19"/>
  <c r="Y24" i="19"/>
  <c r="X24" i="19"/>
  <c r="W24" i="19"/>
  <c r="V24" i="19"/>
  <c r="U24" i="19"/>
  <c r="AD23" i="19"/>
  <c r="AC23" i="19"/>
  <c r="AB23" i="19"/>
  <c r="AA23" i="19"/>
  <c r="Z23" i="19"/>
  <c r="Y23" i="19"/>
  <c r="X23" i="19"/>
  <c r="W23" i="19"/>
  <c r="V23" i="19"/>
  <c r="U23" i="19"/>
  <c r="AD22" i="19"/>
  <c r="AC22" i="19"/>
  <c r="AB22" i="19"/>
  <c r="AA22" i="19"/>
  <c r="Z22" i="19"/>
  <c r="Y22" i="19"/>
  <c r="X22" i="19"/>
  <c r="W22" i="19"/>
  <c r="V22" i="19"/>
  <c r="U22" i="19"/>
  <c r="AD21" i="19"/>
  <c r="AC21" i="19"/>
  <c r="AB21" i="19"/>
  <c r="AA21" i="19"/>
  <c r="Z21" i="19"/>
  <c r="Y21" i="19"/>
  <c r="X21" i="19"/>
  <c r="W21" i="19"/>
  <c r="V21" i="19"/>
  <c r="U21" i="19"/>
  <c r="AD20" i="19"/>
  <c r="AC20" i="19"/>
  <c r="AB20" i="19"/>
  <c r="AA20" i="19"/>
  <c r="Z20" i="19"/>
  <c r="Y20" i="19"/>
  <c r="X20" i="19"/>
  <c r="W20" i="19"/>
  <c r="V20" i="19"/>
  <c r="U20" i="19"/>
  <c r="AD19" i="19"/>
  <c r="AC19" i="19"/>
  <c r="AB19" i="19"/>
  <c r="AA19" i="19"/>
  <c r="Z19" i="19"/>
  <c r="Y19" i="19"/>
  <c r="X19" i="19"/>
  <c r="W19" i="19"/>
  <c r="V19" i="19"/>
  <c r="U19" i="19"/>
  <c r="AD104" i="18"/>
  <c r="AC104" i="18"/>
  <c r="AB104" i="18"/>
  <c r="AA104" i="18"/>
  <c r="Z104" i="18"/>
  <c r="Y104" i="18"/>
  <c r="X104" i="18"/>
  <c r="W104" i="18"/>
  <c r="V104" i="18"/>
  <c r="U104" i="18"/>
  <c r="AD103" i="18"/>
  <c r="AC103" i="18"/>
  <c r="AB103" i="18"/>
  <c r="AA103" i="18"/>
  <c r="Z103" i="18"/>
  <c r="Y103" i="18"/>
  <c r="X103" i="18"/>
  <c r="W103" i="18"/>
  <c r="V103" i="18"/>
  <c r="U103" i="18"/>
  <c r="AD102" i="18"/>
  <c r="AC102" i="18"/>
  <c r="AB102" i="18"/>
  <c r="AA102" i="18"/>
  <c r="Z102" i="18"/>
  <c r="Y102" i="18"/>
  <c r="X102" i="18"/>
  <c r="W102" i="18"/>
  <c r="V102" i="18"/>
  <c r="U102" i="18"/>
  <c r="AD101" i="18"/>
  <c r="AC101" i="18"/>
  <c r="AB101" i="18"/>
  <c r="AA101" i="18"/>
  <c r="Z101" i="18"/>
  <c r="Y101" i="18"/>
  <c r="X101" i="18"/>
  <c r="W101" i="18"/>
  <c r="V101" i="18"/>
  <c r="U101" i="18"/>
  <c r="AD100" i="18"/>
  <c r="AC100" i="18"/>
  <c r="AB100" i="18"/>
  <c r="AA100" i="18"/>
  <c r="Z100" i="18"/>
  <c r="Y100" i="18"/>
  <c r="X100" i="18"/>
  <c r="W100" i="18"/>
  <c r="V100" i="18"/>
  <c r="U100" i="18"/>
  <c r="AD99" i="18"/>
  <c r="AC99" i="18"/>
  <c r="AB99" i="18"/>
  <c r="AA99" i="18"/>
  <c r="Z99" i="18"/>
  <c r="Y99" i="18"/>
  <c r="X99" i="18"/>
  <c r="W99" i="18"/>
  <c r="V99" i="18"/>
  <c r="U99" i="18"/>
  <c r="AD98" i="18"/>
  <c r="AC98" i="18"/>
  <c r="AB98" i="18"/>
  <c r="AA98" i="18"/>
  <c r="Z98" i="18"/>
  <c r="Y98" i="18"/>
  <c r="X98" i="18"/>
  <c r="W98" i="18"/>
  <c r="V98" i="18"/>
  <c r="U98" i="18"/>
  <c r="AD97" i="18"/>
  <c r="AC97" i="18"/>
  <c r="AB97" i="18"/>
  <c r="AA97" i="18"/>
  <c r="Z97" i="18"/>
  <c r="Y97" i="18"/>
  <c r="X97" i="18"/>
  <c r="W97" i="18"/>
  <c r="V97" i="18"/>
  <c r="U97" i="18"/>
  <c r="AD96" i="18"/>
  <c r="AC96" i="18"/>
  <c r="AB96" i="18"/>
  <c r="AA96" i="18"/>
  <c r="Z96" i="18"/>
  <c r="Y96" i="18"/>
  <c r="X96" i="18"/>
  <c r="W96" i="18"/>
  <c r="V96" i="18"/>
  <c r="U96" i="18"/>
  <c r="AD95" i="18"/>
  <c r="AC95" i="18"/>
  <c r="AB95" i="18"/>
  <c r="AA95" i="18"/>
  <c r="Z95" i="18"/>
  <c r="Y95" i="18"/>
  <c r="X95" i="18"/>
  <c r="W95" i="18"/>
  <c r="V95" i="18"/>
  <c r="U95" i="18"/>
  <c r="AD94" i="18"/>
  <c r="AC94" i="18"/>
  <c r="AB94" i="18"/>
  <c r="AA94" i="18"/>
  <c r="Z94" i="18"/>
  <c r="Y94" i="18"/>
  <c r="X94" i="18"/>
  <c r="W94" i="18"/>
  <c r="V94" i="18"/>
  <c r="U94" i="18"/>
  <c r="AD93" i="18"/>
  <c r="AC93" i="18"/>
  <c r="AB93" i="18"/>
  <c r="AA93" i="18"/>
  <c r="Z93" i="18"/>
  <c r="Y93" i="18"/>
  <c r="X93" i="18"/>
  <c r="W93" i="18"/>
  <c r="V93" i="18"/>
  <c r="U93" i="18"/>
  <c r="AD92" i="18"/>
  <c r="AC92" i="18"/>
  <c r="AB92" i="18"/>
  <c r="AA92" i="18"/>
  <c r="Z92" i="18"/>
  <c r="Y92" i="18"/>
  <c r="X92" i="18"/>
  <c r="W92" i="18"/>
  <c r="V92" i="18"/>
  <c r="U92" i="18"/>
  <c r="AD91" i="18"/>
  <c r="AC91" i="18"/>
  <c r="AB91" i="18"/>
  <c r="AA91" i="18"/>
  <c r="Z91" i="18"/>
  <c r="Y91" i="18"/>
  <c r="X91" i="18"/>
  <c r="W91" i="18"/>
  <c r="V91" i="18"/>
  <c r="U91" i="18"/>
  <c r="AD90" i="18"/>
  <c r="AC90" i="18"/>
  <c r="AB90" i="18"/>
  <c r="AA90" i="18"/>
  <c r="Z90" i="18"/>
  <c r="Y90" i="18"/>
  <c r="X90" i="18"/>
  <c r="W90" i="18"/>
  <c r="V90" i="18"/>
  <c r="U90" i="18"/>
  <c r="AD89" i="18"/>
  <c r="AC89" i="18"/>
  <c r="AB89" i="18"/>
  <c r="AA89" i="18"/>
  <c r="Z89" i="18"/>
  <c r="Y89" i="18"/>
  <c r="X89" i="18"/>
  <c r="W89" i="18"/>
  <c r="V89" i="18"/>
  <c r="U89" i="18"/>
  <c r="AD88" i="18"/>
  <c r="AC88" i="18"/>
  <c r="AB88" i="18"/>
  <c r="AA88" i="18"/>
  <c r="Z88" i="18"/>
  <c r="Y88" i="18"/>
  <c r="X88" i="18"/>
  <c r="W88" i="18"/>
  <c r="V88" i="18"/>
  <c r="U88" i="18"/>
  <c r="AD87" i="18"/>
  <c r="AC87" i="18"/>
  <c r="AB87" i="18"/>
  <c r="AA87" i="18"/>
  <c r="Z87" i="18"/>
  <c r="Y87" i="18"/>
  <c r="X87" i="18"/>
  <c r="W87" i="18"/>
  <c r="V87" i="18"/>
  <c r="U87" i="18"/>
  <c r="AD86" i="18"/>
  <c r="AC86" i="18"/>
  <c r="AB86" i="18"/>
  <c r="AA86" i="18"/>
  <c r="Z86" i="18"/>
  <c r="Y86" i="18"/>
  <c r="X86" i="18"/>
  <c r="W86" i="18"/>
  <c r="V86" i="18"/>
  <c r="U86" i="18"/>
  <c r="AD85" i="18"/>
  <c r="AC85" i="18"/>
  <c r="AB85" i="18"/>
  <c r="AA85" i="18"/>
  <c r="Z85" i="18"/>
  <c r="Y85" i="18"/>
  <c r="X85" i="18"/>
  <c r="W85" i="18"/>
  <c r="V85" i="18"/>
  <c r="U85" i="18"/>
  <c r="AD84" i="18"/>
  <c r="AC84" i="18"/>
  <c r="AB84" i="18"/>
  <c r="AA84" i="18"/>
  <c r="Z84" i="18"/>
  <c r="Y84" i="18"/>
  <c r="X84" i="18"/>
  <c r="W84" i="18"/>
  <c r="V84" i="18"/>
  <c r="U84" i="18"/>
  <c r="AD83" i="18"/>
  <c r="AC83" i="18"/>
  <c r="AB83" i="18"/>
  <c r="AA83" i="18"/>
  <c r="Z83" i="18"/>
  <c r="Y83" i="18"/>
  <c r="X83" i="18"/>
  <c r="W83" i="18"/>
  <c r="V83" i="18"/>
  <c r="U83" i="18"/>
  <c r="AD82" i="18"/>
  <c r="AC82" i="18"/>
  <c r="AB82" i="18"/>
  <c r="AA82" i="18"/>
  <c r="Z82" i="18"/>
  <c r="Y82" i="18"/>
  <c r="X82" i="18"/>
  <c r="W82" i="18"/>
  <c r="V82" i="18"/>
  <c r="U82" i="18"/>
  <c r="AD81" i="18"/>
  <c r="AC81" i="18"/>
  <c r="AB81" i="18"/>
  <c r="AA81" i="18"/>
  <c r="Z81" i="18"/>
  <c r="Y81" i="18"/>
  <c r="X81" i="18"/>
  <c r="W81" i="18"/>
  <c r="V81" i="18"/>
  <c r="U81" i="18"/>
  <c r="AD80" i="18"/>
  <c r="AC80" i="18"/>
  <c r="AB80" i="18"/>
  <c r="AA80" i="18"/>
  <c r="Z80" i="18"/>
  <c r="Y80" i="18"/>
  <c r="X80" i="18"/>
  <c r="W80" i="18"/>
  <c r="V80" i="18"/>
  <c r="U80" i="18"/>
  <c r="AD79" i="18"/>
  <c r="AC79" i="18"/>
  <c r="AB79" i="18"/>
  <c r="AA79" i="18"/>
  <c r="Z79" i="18"/>
  <c r="Y79" i="18"/>
  <c r="X79" i="18"/>
  <c r="W79" i="18"/>
  <c r="V79" i="18"/>
  <c r="U79" i="18"/>
  <c r="AD78" i="18"/>
  <c r="AC78" i="18"/>
  <c r="AB78" i="18"/>
  <c r="AA78" i="18"/>
  <c r="Z78" i="18"/>
  <c r="Y78" i="18"/>
  <c r="X78" i="18"/>
  <c r="W78" i="18"/>
  <c r="V78" i="18"/>
  <c r="U78" i="18"/>
  <c r="AD77" i="18"/>
  <c r="AC77" i="18"/>
  <c r="AB77" i="18"/>
  <c r="AA77" i="18"/>
  <c r="Z77" i="18"/>
  <c r="Y77" i="18"/>
  <c r="X77" i="18"/>
  <c r="W77" i="18"/>
  <c r="V77" i="18"/>
  <c r="U77" i="18"/>
  <c r="AD76" i="18"/>
  <c r="AC76" i="18"/>
  <c r="AB76" i="18"/>
  <c r="AA76" i="18"/>
  <c r="Z76" i="18"/>
  <c r="Y76" i="18"/>
  <c r="X76" i="18"/>
  <c r="W76" i="18"/>
  <c r="V76" i="18"/>
  <c r="U76" i="18"/>
  <c r="AD75" i="18"/>
  <c r="AC75" i="18"/>
  <c r="AB75" i="18"/>
  <c r="AA75" i="18"/>
  <c r="Z75" i="18"/>
  <c r="Y75" i="18"/>
  <c r="X75" i="18"/>
  <c r="W75" i="18"/>
  <c r="V75" i="18"/>
  <c r="U75" i="18"/>
  <c r="AD54" i="18"/>
  <c r="AC54" i="18"/>
  <c r="AB54" i="18"/>
  <c r="AA54" i="18"/>
  <c r="Z54" i="18"/>
  <c r="Y54" i="18"/>
  <c r="X54" i="18"/>
  <c r="W54" i="18"/>
  <c r="V54" i="18"/>
  <c r="U54" i="18"/>
  <c r="AD53" i="18"/>
  <c r="AC53" i="18"/>
  <c r="AB53" i="18"/>
  <c r="AA53" i="18"/>
  <c r="Z53" i="18"/>
  <c r="Y53" i="18"/>
  <c r="X53" i="18"/>
  <c r="W53" i="18"/>
  <c r="V53" i="18"/>
  <c r="U53" i="18"/>
  <c r="AD52" i="18"/>
  <c r="AC52" i="18"/>
  <c r="AB52" i="18"/>
  <c r="AA52" i="18"/>
  <c r="Z52" i="18"/>
  <c r="Y52" i="18"/>
  <c r="X52" i="18"/>
  <c r="W52" i="18"/>
  <c r="V52" i="18"/>
  <c r="U52" i="18"/>
  <c r="AD51" i="18"/>
  <c r="AC51" i="18"/>
  <c r="AB51" i="18"/>
  <c r="AA51" i="18"/>
  <c r="Z51" i="18"/>
  <c r="Y51" i="18"/>
  <c r="X51" i="18"/>
  <c r="W51" i="18"/>
  <c r="V51" i="18"/>
  <c r="U51" i="18"/>
  <c r="AD50" i="18"/>
  <c r="AC50" i="18"/>
  <c r="AB50" i="18"/>
  <c r="AA50" i="18"/>
  <c r="Z50" i="18"/>
  <c r="Y50" i="18"/>
  <c r="X50" i="18"/>
  <c r="W50" i="18"/>
  <c r="V50" i="18"/>
  <c r="U50" i="18"/>
  <c r="AD49" i="18"/>
  <c r="AC49" i="18"/>
  <c r="AB49" i="18"/>
  <c r="AA49" i="18"/>
  <c r="Z49" i="18"/>
  <c r="Y49" i="18"/>
  <c r="X49" i="18"/>
  <c r="W49" i="18"/>
  <c r="V49" i="18"/>
  <c r="U49" i="18"/>
  <c r="AD48" i="18"/>
  <c r="AC48" i="18"/>
  <c r="AB48" i="18"/>
  <c r="AA48" i="18"/>
  <c r="Z48" i="18"/>
  <c r="Y48" i="18"/>
  <c r="X48" i="18"/>
  <c r="W48" i="18"/>
  <c r="V48" i="18"/>
  <c r="U48" i="18"/>
  <c r="AD47" i="18"/>
  <c r="AC47" i="18"/>
  <c r="AB47" i="18"/>
  <c r="AA47" i="18"/>
  <c r="Z47" i="18"/>
  <c r="Y47" i="18"/>
  <c r="X47" i="18"/>
  <c r="W47" i="18"/>
  <c r="V47" i="18"/>
  <c r="U47" i="18"/>
  <c r="AD46" i="18"/>
  <c r="AC46" i="18"/>
  <c r="AB46" i="18"/>
  <c r="AA46" i="18"/>
  <c r="Z46" i="18"/>
  <c r="Y46" i="18"/>
  <c r="X46" i="18"/>
  <c r="W46" i="18"/>
  <c r="V46" i="18"/>
  <c r="U46" i="18"/>
  <c r="AD45" i="18"/>
  <c r="AC45" i="18"/>
  <c r="AB45" i="18"/>
  <c r="AA45" i="18"/>
  <c r="Z45" i="18"/>
  <c r="Y45" i="18"/>
  <c r="X45" i="18"/>
  <c r="W45" i="18"/>
  <c r="V45" i="18"/>
  <c r="U45" i="18"/>
  <c r="AD44" i="18"/>
  <c r="AC44" i="18"/>
  <c r="AB44" i="18"/>
  <c r="AA44" i="18"/>
  <c r="Z44" i="18"/>
  <c r="Y44" i="18"/>
  <c r="X44" i="18"/>
  <c r="W44" i="18"/>
  <c r="V44" i="18"/>
  <c r="U44" i="18"/>
  <c r="AD43" i="18"/>
  <c r="AC43" i="18"/>
  <c r="AB43" i="18"/>
  <c r="AA43" i="18"/>
  <c r="Z43" i="18"/>
  <c r="Y43" i="18"/>
  <c r="X43" i="18"/>
  <c r="W43" i="18"/>
  <c r="V43" i="18"/>
  <c r="U43" i="18"/>
  <c r="AD42" i="18"/>
  <c r="AC42" i="18"/>
  <c r="AB42" i="18"/>
  <c r="AA42" i="18"/>
  <c r="Z42" i="18"/>
  <c r="Y42" i="18"/>
  <c r="X42" i="18"/>
  <c r="W42" i="18"/>
  <c r="V42" i="18"/>
  <c r="U42" i="18"/>
  <c r="AD41" i="18"/>
  <c r="AC41" i="18"/>
  <c r="AB41" i="18"/>
  <c r="AA41" i="18"/>
  <c r="Z41" i="18"/>
  <c r="Y41" i="18"/>
  <c r="X41" i="18"/>
  <c r="W41" i="18"/>
  <c r="V41" i="18"/>
  <c r="U41" i="18"/>
  <c r="AD40" i="18"/>
  <c r="AC40" i="18"/>
  <c r="AB40" i="18"/>
  <c r="AA40" i="18"/>
  <c r="Z40" i="18"/>
  <c r="Y40" i="18"/>
  <c r="X40" i="18"/>
  <c r="W40" i="18"/>
  <c r="V40" i="18"/>
  <c r="U40" i="18"/>
  <c r="AD39" i="18"/>
  <c r="AC39" i="18"/>
  <c r="AB39" i="18"/>
  <c r="AA39" i="18"/>
  <c r="Z39" i="18"/>
  <c r="Y39" i="18"/>
  <c r="X39" i="18"/>
  <c r="W39" i="18"/>
  <c r="V39" i="18"/>
  <c r="U39" i="18"/>
  <c r="AD38" i="18"/>
  <c r="AC38" i="18"/>
  <c r="AB38" i="18"/>
  <c r="AA38" i="18"/>
  <c r="Z38" i="18"/>
  <c r="Y38" i="18"/>
  <c r="X38" i="18"/>
  <c r="W38" i="18"/>
  <c r="V38" i="18"/>
  <c r="U38" i="18"/>
  <c r="AD37" i="18"/>
  <c r="AC37" i="18"/>
  <c r="AB37" i="18"/>
  <c r="AA37" i="18"/>
  <c r="Z37" i="18"/>
  <c r="Y37" i="18"/>
  <c r="X37" i="18"/>
  <c r="W37" i="18"/>
  <c r="V37" i="18"/>
  <c r="U37" i="18"/>
  <c r="AD36" i="18"/>
  <c r="AC36" i="18"/>
  <c r="AB36" i="18"/>
  <c r="AA36" i="18"/>
  <c r="Z36" i="18"/>
  <c r="Y36" i="18"/>
  <c r="X36" i="18"/>
  <c r="W36" i="18"/>
  <c r="V36" i="18"/>
  <c r="U36" i="18"/>
  <c r="AD35" i="18"/>
  <c r="AC35" i="18"/>
  <c r="AB35" i="18"/>
  <c r="AA35" i="18"/>
  <c r="Z35" i="18"/>
  <c r="Y35" i="18"/>
  <c r="X35" i="18"/>
  <c r="W35" i="18"/>
  <c r="V35" i="18"/>
  <c r="U35" i="18"/>
  <c r="AD34" i="18"/>
  <c r="AC34" i="18"/>
  <c r="AB34" i="18"/>
  <c r="AA34" i="18"/>
  <c r="Z34" i="18"/>
  <c r="Y34" i="18"/>
  <c r="X34" i="18"/>
  <c r="W34" i="18"/>
  <c r="V34" i="18"/>
  <c r="U34" i="18"/>
  <c r="AD33" i="18"/>
  <c r="AC33" i="18"/>
  <c r="AB33" i="18"/>
  <c r="AA33" i="18"/>
  <c r="Z33" i="18"/>
  <c r="Y33" i="18"/>
  <c r="X33" i="18"/>
  <c r="W33" i="18"/>
  <c r="V33" i="18"/>
  <c r="U33" i="18"/>
  <c r="AD32" i="18"/>
  <c r="AC32" i="18"/>
  <c r="AB32" i="18"/>
  <c r="AA32" i="18"/>
  <c r="Z32" i="18"/>
  <c r="Y32" i="18"/>
  <c r="X32" i="18"/>
  <c r="W32" i="18"/>
  <c r="V32" i="18"/>
  <c r="U32" i="18"/>
  <c r="AD31" i="18"/>
  <c r="AC31" i="18"/>
  <c r="AB31" i="18"/>
  <c r="AA31" i="18"/>
  <c r="Z31" i="18"/>
  <c r="Y31" i="18"/>
  <c r="X31" i="18"/>
  <c r="W31" i="18"/>
  <c r="V31" i="18"/>
  <c r="U31" i="18"/>
  <c r="AD30" i="18"/>
  <c r="AC30" i="18"/>
  <c r="AB30" i="18"/>
  <c r="AA30" i="18"/>
  <c r="Z30" i="18"/>
  <c r="Y30" i="18"/>
  <c r="X30" i="18"/>
  <c r="W30" i="18"/>
  <c r="V30" i="18"/>
  <c r="U30" i="18"/>
  <c r="AD29" i="18"/>
  <c r="AC29" i="18"/>
  <c r="AB29" i="18"/>
  <c r="AA29" i="18"/>
  <c r="Z29" i="18"/>
  <c r="Y29" i="18"/>
  <c r="X29" i="18"/>
  <c r="W29" i="18"/>
  <c r="V29" i="18"/>
  <c r="U29" i="18"/>
  <c r="AD28" i="18"/>
  <c r="AC28" i="18"/>
  <c r="AB28" i="18"/>
  <c r="AA28" i="18"/>
  <c r="Z28" i="18"/>
  <c r="Y28" i="18"/>
  <c r="X28" i="18"/>
  <c r="W28" i="18"/>
  <c r="V28" i="18"/>
  <c r="U28" i="18"/>
  <c r="AD27" i="18"/>
  <c r="AC27" i="18"/>
  <c r="AB27" i="18"/>
  <c r="AA27" i="18"/>
  <c r="Z27" i="18"/>
  <c r="Y27" i="18"/>
  <c r="X27" i="18"/>
  <c r="W27" i="18"/>
  <c r="V27" i="18"/>
  <c r="U27" i="18"/>
  <c r="AD26" i="18"/>
  <c r="AC26" i="18"/>
  <c r="AB26" i="18"/>
  <c r="AA26" i="18"/>
  <c r="Z26" i="18"/>
  <c r="Y26" i="18"/>
  <c r="X26" i="18"/>
  <c r="W26" i="18"/>
  <c r="V26" i="18"/>
  <c r="U26" i="18"/>
  <c r="AD25" i="18"/>
  <c r="AC25" i="18"/>
  <c r="AB25" i="18"/>
  <c r="AA25" i="18"/>
  <c r="Z25" i="18"/>
  <c r="Y25" i="18"/>
  <c r="X25" i="18"/>
  <c r="W25" i="18"/>
  <c r="V25" i="18"/>
  <c r="U25" i="18"/>
  <c r="AD24" i="18"/>
  <c r="AC24" i="18"/>
  <c r="AB24" i="18"/>
  <c r="AA24" i="18"/>
  <c r="Z24" i="18"/>
  <c r="Y24" i="18"/>
  <c r="X24" i="18"/>
  <c r="W24" i="18"/>
  <c r="V24" i="18"/>
  <c r="U24" i="18"/>
  <c r="AD23" i="18"/>
  <c r="AC23" i="18"/>
  <c r="AB23" i="18"/>
  <c r="AA23" i="18"/>
  <c r="Z23" i="18"/>
  <c r="Y23" i="18"/>
  <c r="X23" i="18"/>
  <c r="W23" i="18"/>
  <c r="V23" i="18"/>
  <c r="U23" i="18"/>
  <c r="AD22" i="18"/>
  <c r="AC22" i="18"/>
  <c r="AB22" i="18"/>
  <c r="AA22" i="18"/>
  <c r="Z22" i="18"/>
  <c r="Y22" i="18"/>
  <c r="X22" i="18"/>
  <c r="W22" i="18"/>
  <c r="V22" i="18"/>
  <c r="U22" i="18"/>
  <c r="AD21" i="18"/>
  <c r="AC21" i="18"/>
  <c r="AB21" i="18"/>
  <c r="AA21" i="18"/>
  <c r="Z21" i="18"/>
  <c r="Y21" i="18"/>
  <c r="X21" i="18"/>
  <c r="W21" i="18"/>
  <c r="V21" i="18"/>
  <c r="U21" i="18"/>
  <c r="AD20" i="18"/>
  <c r="AC20" i="18"/>
  <c r="AB20" i="18"/>
  <c r="AA20" i="18"/>
  <c r="Z20" i="18"/>
  <c r="Y20" i="18"/>
  <c r="X20" i="18"/>
  <c r="W20" i="18"/>
  <c r="V20" i="18"/>
  <c r="U20" i="18"/>
  <c r="AD19" i="18"/>
  <c r="AC19" i="18"/>
  <c r="AB19" i="18"/>
  <c r="AA19" i="18"/>
  <c r="Z19" i="18"/>
  <c r="Y19" i="18"/>
  <c r="X19" i="18"/>
  <c r="W19" i="18"/>
  <c r="V19" i="18"/>
  <c r="U19" i="18"/>
  <c r="AG98" i="17"/>
  <c r="AH98" i="17"/>
  <c r="AI98" i="17"/>
  <c r="AJ98" i="17"/>
  <c r="AK98" i="17"/>
  <c r="AL98" i="17"/>
  <c r="AM98" i="17"/>
  <c r="AN98" i="17"/>
  <c r="AO98" i="17"/>
  <c r="AP98" i="17"/>
  <c r="AG99" i="17"/>
  <c r="AH99" i="17"/>
  <c r="AI99" i="17"/>
  <c r="AJ99" i="17"/>
  <c r="AK99" i="17"/>
  <c r="AL99" i="17"/>
  <c r="AM99" i="17"/>
  <c r="AN99" i="17"/>
  <c r="AO99" i="17"/>
  <c r="AP99" i="17"/>
  <c r="AG100" i="17"/>
  <c r="AH100" i="17"/>
  <c r="AI100" i="17"/>
  <c r="AJ100" i="17"/>
  <c r="AK100" i="17"/>
  <c r="AL100" i="17"/>
  <c r="AM100" i="17"/>
  <c r="AN100" i="17"/>
  <c r="AO100" i="17"/>
  <c r="AP100" i="17"/>
  <c r="AG101" i="17"/>
  <c r="AH101" i="17"/>
  <c r="AI101" i="17"/>
  <c r="AJ101" i="17"/>
  <c r="AK101" i="17"/>
  <c r="AL101" i="17"/>
  <c r="AM101" i="17"/>
  <c r="AN101" i="17"/>
  <c r="AO101" i="17"/>
  <c r="AP101" i="17"/>
  <c r="AG102" i="17"/>
  <c r="AH102" i="17"/>
  <c r="AI102" i="17"/>
  <c r="AJ102" i="17"/>
  <c r="AK102" i="17"/>
  <c r="AL102" i="17"/>
  <c r="AM102" i="17"/>
  <c r="AN102" i="17"/>
  <c r="AO102" i="17"/>
  <c r="AP102" i="17"/>
  <c r="AG103" i="17"/>
  <c r="AH103" i="17"/>
  <c r="AI103" i="17"/>
  <c r="AJ103" i="17"/>
  <c r="AK103" i="17"/>
  <c r="AL103" i="17"/>
  <c r="AM103" i="17"/>
  <c r="AN103" i="17"/>
  <c r="AO103" i="17"/>
  <c r="AP103" i="17"/>
  <c r="U69" i="17"/>
  <c r="V69" i="17"/>
  <c r="W69" i="17"/>
  <c r="X69" i="17"/>
  <c r="Y69" i="17"/>
  <c r="Z69" i="17"/>
  <c r="AL69" i="17" s="1"/>
  <c r="AA69" i="17"/>
  <c r="AM69" i="17" s="1"/>
  <c r="AB69" i="17"/>
  <c r="AN69" i="17" s="1"/>
  <c r="AC69" i="17"/>
  <c r="AO69" i="17" s="1"/>
  <c r="AD69" i="17"/>
  <c r="AP69" i="17" s="1"/>
  <c r="U70" i="17"/>
  <c r="V70" i="17"/>
  <c r="W70" i="17"/>
  <c r="X70" i="17"/>
  <c r="Y70" i="17"/>
  <c r="Z70" i="17"/>
  <c r="AA70" i="17"/>
  <c r="AB70" i="17"/>
  <c r="AC70" i="17"/>
  <c r="AD70" i="17"/>
  <c r="U71" i="17"/>
  <c r="V71" i="17"/>
  <c r="AH71" i="17" s="1"/>
  <c r="W71" i="17"/>
  <c r="AI71" i="17" s="1"/>
  <c r="X71" i="17"/>
  <c r="AJ71" i="17" s="1"/>
  <c r="Y71" i="17"/>
  <c r="AK71" i="17" s="1"/>
  <c r="Z71" i="17"/>
  <c r="AL71" i="17" s="1"/>
  <c r="AA71" i="17"/>
  <c r="AM71" i="17" s="1"/>
  <c r="AB71" i="17"/>
  <c r="AN71" i="17" s="1"/>
  <c r="AC71" i="17"/>
  <c r="AO71" i="17" s="1"/>
  <c r="AD71" i="17"/>
  <c r="AP71" i="17" s="1"/>
  <c r="U72" i="17"/>
  <c r="AG72" i="17" s="1"/>
  <c r="V72" i="17"/>
  <c r="AH72" i="17" s="1"/>
  <c r="W72" i="17"/>
  <c r="X72" i="17"/>
  <c r="Y72" i="17"/>
  <c r="Z72" i="17"/>
  <c r="AA72" i="17"/>
  <c r="AB72" i="17"/>
  <c r="AN72" i="17" s="1"/>
  <c r="AC72" i="17"/>
  <c r="AO72" i="17" s="1"/>
  <c r="AD72" i="17"/>
  <c r="AP72" i="17" s="1"/>
  <c r="U73" i="17"/>
  <c r="AG73" i="17" s="1"/>
  <c r="V73" i="17"/>
  <c r="AH73" i="17" s="1"/>
  <c r="W73" i="17"/>
  <c r="X73" i="17"/>
  <c r="Y73" i="17"/>
  <c r="Z73" i="17"/>
  <c r="AA73" i="17"/>
  <c r="AB73" i="17"/>
  <c r="AC73" i="17"/>
  <c r="AD73" i="17"/>
  <c r="U74" i="17"/>
  <c r="V74" i="17"/>
  <c r="W74" i="17"/>
  <c r="X74" i="17"/>
  <c r="AJ74" i="17" s="1"/>
  <c r="Y74" i="17"/>
  <c r="AK74" i="17" s="1"/>
  <c r="Z74" i="17"/>
  <c r="AL74" i="17" s="1"/>
  <c r="AA74" i="17"/>
  <c r="AM74" i="17" s="1"/>
  <c r="AB74" i="17"/>
  <c r="AN74" i="17" s="1"/>
  <c r="AC74" i="17"/>
  <c r="AO74" i="17" s="1"/>
  <c r="AD74" i="17"/>
  <c r="AP74" i="17" s="1"/>
  <c r="U75" i="17"/>
  <c r="AG75" i="17" s="1"/>
  <c r="V75" i="17"/>
  <c r="AH75" i="17" s="1"/>
  <c r="W75" i="17"/>
  <c r="AI75" i="17" s="1"/>
  <c r="X75" i="17"/>
  <c r="AJ75" i="17" s="1"/>
  <c r="Y75" i="17"/>
  <c r="Z75" i="17"/>
  <c r="AA75" i="17"/>
  <c r="AB75" i="17"/>
  <c r="AC75" i="17"/>
  <c r="AD75" i="17"/>
  <c r="AP75" i="17" s="1"/>
  <c r="U76" i="17"/>
  <c r="AG76" i="17" s="1"/>
  <c r="V76" i="17"/>
  <c r="AH76" i="17" s="1"/>
  <c r="W76" i="17"/>
  <c r="AI76" i="17" s="1"/>
  <c r="X76" i="17"/>
  <c r="AJ76" i="17" s="1"/>
  <c r="Y76" i="17"/>
  <c r="Z76" i="17"/>
  <c r="AA76" i="17"/>
  <c r="AB76" i="17"/>
  <c r="AC76" i="17"/>
  <c r="AD76" i="17"/>
  <c r="U77" i="17"/>
  <c r="V77" i="17"/>
  <c r="W77" i="17"/>
  <c r="X77" i="17"/>
  <c r="Y77" i="17"/>
  <c r="Z77" i="17"/>
  <c r="AL77" i="17" s="1"/>
  <c r="AA77" i="17"/>
  <c r="AM77" i="17" s="1"/>
  <c r="AB77" i="17"/>
  <c r="AN77" i="17" s="1"/>
  <c r="AC77" i="17"/>
  <c r="AO77" i="17" s="1"/>
  <c r="AD77" i="17"/>
  <c r="AP77" i="17" s="1"/>
  <c r="U78" i="17"/>
  <c r="AG78" i="17" s="1"/>
  <c r="V78" i="17"/>
  <c r="AH78" i="17" s="1"/>
  <c r="W78" i="17"/>
  <c r="AI78" i="17" s="1"/>
  <c r="X78" i="17"/>
  <c r="AJ78" i="17" s="1"/>
  <c r="Y78" i="17"/>
  <c r="AK78" i="17" s="1"/>
  <c r="Z78" i="17"/>
  <c r="AL78" i="17" s="1"/>
  <c r="AA78" i="17"/>
  <c r="AB78" i="17"/>
  <c r="AC78" i="17"/>
  <c r="AD78" i="17"/>
  <c r="U79" i="17"/>
  <c r="V79" i="17"/>
  <c r="AH79" i="17" s="1"/>
  <c r="W79" i="17"/>
  <c r="AI79" i="17" s="1"/>
  <c r="X79" i="17"/>
  <c r="AJ79" i="17" s="1"/>
  <c r="Y79" i="17"/>
  <c r="AK79" i="17" s="1"/>
  <c r="Z79" i="17"/>
  <c r="AL79" i="17" s="1"/>
  <c r="AA79" i="17"/>
  <c r="AB79" i="17"/>
  <c r="AC79" i="17"/>
  <c r="AD79" i="17"/>
  <c r="U80" i="17"/>
  <c r="V80" i="17"/>
  <c r="W80" i="17"/>
  <c r="X80" i="17"/>
  <c r="Y80" i="17"/>
  <c r="Z80" i="17"/>
  <c r="AA80" i="17"/>
  <c r="AB80" i="17"/>
  <c r="AN80" i="17" s="1"/>
  <c r="AC80" i="17"/>
  <c r="AO80" i="17" s="1"/>
  <c r="AD80" i="17"/>
  <c r="AP80" i="17" s="1"/>
  <c r="U81" i="17"/>
  <c r="AG81" i="17" s="1"/>
  <c r="V81" i="17"/>
  <c r="AH81" i="17" s="1"/>
  <c r="W81" i="17"/>
  <c r="AI81" i="17" s="1"/>
  <c r="X81" i="17"/>
  <c r="AJ81" i="17" s="1"/>
  <c r="Y81" i="17"/>
  <c r="AK81" i="17" s="1"/>
  <c r="Z81" i="17"/>
  <c r="AL81" i="17" s="1"/>
  <c r="AA81" i="17"/>
  <c r="AM81" i="17" s="1"/>
  <c r="AB81" i="17"/>
  <c r="AN81" i="17" s="1"/>
  <c r="AC81" i="17"/>
  <c r="AD81" i="17"/>
  <c r="U82" i="17"/>
  <c r="V82" i="17"/>
  <c r="W82" i="17"/>
  <c r="X82" i="17"/>
  <c r="AJ82" i="17" s="1"/>
  <c r="Y82" i="17"/>
  <c r="AK82" i="17" s="1"/>
  <c r="Z82" i="17"/>
  <c r="AL82" i="17" s="1"/>
  <c r="AA82" i="17"/>
  <c r="AM82" i="17" s="1"/>
  <c r="AB82" i="17"/>
  <c r="AN82" i="17" s="1"/>
  <c r="AC82" i="17"/>
  <c r="AD82" i="17"/>
  <c r="U83" i="17"/>
  <c r="V83" i="17"/>
  <c r="W83" i="17"/>
  <c r="X83" i="17"/>
  <c r="Y83" i="17"/>
  <c r="Z83" i="17"/>
  <c r="AA83" i="17"/>
  <c r="AB83" i="17"/>
  <c r="AC83" i="17"/>
  <c r="AD83" i="17"/>
  <c r="AP83" i="17" s="1"/>
  <c r="U84" i="17"/>
  <c r="AG84" i="17" s="1"/>
  <c r="V84" i="17"/>
  <c r="AH84" i="17" s="1"/>
  <c r="W84" i="17"/>
  <c r="AI84" i="17" s="1"/>
  <c r="X84" i="17"/>
  <c r="AJ84" i="17" s="1"/>
  <c r="Y84" i="17"/>
  <c r="AK84" i="17" s="1"/>
  <c r="Z84" i="17"/>
  <c r="AL84" i="17" s="1"/>
  <c r="AA84" i="17"/>
  <c r="AM84" i="17" s="1"/>
  <c r="AB84" i="17"/>
  <c r="AN84" i="17" s="1"/>
  <c r="AC84" i="17"/>
  <c r="AO84" i="17" s="1"/>
  <c r="AD84" i="17"/>
  <c r="AP84" i="17" s="1"/>
  <c r="U85" i="17"/>
  <c r="V85" i="17"/>
  <c r="W85" i="17"/>
  <c r="X85" i="17"/>
  <c r="Y85" i="17"/>
  <c r="Z85" i="17"/>
  <c r="AL85" i="17" s="1"/>
  <c r="AA85" i="17"/>
  <c r="AM85" i="17" s="1"/>
  <c r="AB85" i="17"/>
  <c r="AN85" i="17" s="1"/>
  <c r="AC85" i="17"/>
  <c r="AO85" i="17" s="1"/>
  <c r="AD85" i="17"/>
  <c r="AP85" i="17" s="1"/>
  <c r="U86" i="17"/>
  <c r="V86" i="17"/>
  <c r="W86" i="17"/>
  <c r="X86" i="17"/>
  <c r="Y86" i="17"/>
  <c r="Z86" i="17"/>
  <c r="AA86" i="17"/>
  <c r="AB86" i="17"/>
  <c r="AC86" i="17"/>
  <c r="AD86" i="17"/>
  <c r="U87" i="17"/>
  <c r="V87" i="17"/>
  <c r="AH87" i="17" s="1"/>
  <c r="W87" i="17"/>
  <c r="AI87" i="17" s="1"/>
  <c r="X87" i="17"/>
  <c r="AJ87" i="17" s="1"/>
  <c r="Y87" i="17"/>
  <c r="AK87" i="17" s="1"/>
  <c r="Z87" i="17"/>
  <c r="AL87" i="17" s="1"/>
  <c r="AA87" i="17"/>
  <c r="AM87" i="17" s="1"/>
  <c r="AB87" i="17"/>
  <c r="AN87" i="17" s="1"/>
  <c r="AC87" i="17"/>
  <c r="AO87" i="17" s="1"/>
  <c r="AD87" i="17"/>
  <c r="AP87" i="17" s="1"/>
  <c r="U88" i="17"/>
  <c r="AG88" i="17" s="1"/>
  <c r="V88" i="17"/>
  <c r="AH88" i="17" s="1"/>
  <c r="W88" i="17"/>
  <c r="X88" i="17"/>
  <c r="Y88" i="17"/>
  <c r="Z88" i="17"/>
  <c r="AA88" i="17"/>
  <c r="AB88" i="17"/>
  <c r="AN88" i="17" s="1"/>
  <c r="AC88" i="17"/>
  <c r="AO88" i="17" s="1"/>
  <c r="AD88" i="17"/>
  <c r="AP88" i="17" s="1"/>
  <c r="U89" i="17"/>
  <c r="AG89" i="17" s="1"/>
  <c r="V89" i="17"/>
  <c r="AH89" i="17" s="1"/>
  <c r="W89" i="17"/>
  <c r="X89" i="17"/>
  <c r="Y89" i="17"/>
  <c r="Z89" i="17"/>
  <c r="AA89" i="17"/>
  <c r="AB89" i="17"/>
  <c r="AC89" i="17"/>
  <c r="AD89" i="17"/>
  <c r="U90" i="17"/>
  <c r="V90" i="17"/>
  <c r="W90" i="17"/>
  <c r="X90" i="17"/>
  <c r="AJ90" i="17" s="1"/>
  <c r="Y90" i="17"/>
  <c r="AK90" i="17" s="1"/>
  <c r="Z90" i="17"/>
  <c r="AL90" i="17" s="1"/>
  <c r="AA90" i="17"/>
  <c r="AM90" i="17" s="1"/>
  <c r="AB90" i="17"/>
  <c r="AN90" i="17" s="1"/>
  <c r="AC90" i="17"/>
  <c r="AO90" i="17" s="1"/>
  <c r="AD90" i="17"/>
  <c r="AP90" i="17" s="1"/>
  <c r="U91" i="17"/>
  <c r="AG91" i="17" s="1"/>
  <c r="V91" i="17"/>
  <c r="AH91" i="17" s="1"/>
  <c r="W91" i="17"/>
  <c r="AI91" i="17" s="1"/>
  <c r="X91" i="17"/>
  <c r="AJ91" i="17" s="1"/>
  <c r="Y91" i="17"/>
  <c r="Z91" i="17"/>
  <c r="AA91" i="17"/>
  <c r="AB91" i="17"/>
  <c r="AC91" i="17"/>
  <c r="AD91" i="17"/>
  <c r="AP91" i="17" s="1"/>
  <c r="U92" i="17"/>
  <c r="AG92" i="17" s="1"/>
  <c r="V92" i="17"/>
  <c r="AH92" i="17" s="1"/>
  <c r="W92" i="17"/>
  <c r="AI92" i="17" s="1"/>
  <c r="X92" i="17"/>
  <c r="AJ92" i="17" s="1"/>
  <c r="Y92" i="17"/>
  <c r="Z92" i="17"/>
  <c r="AA92" i="17"/>
  <c r="AB92" i="17"/>
  <c r="AC92" i="17"/>
  <c r="AD92" i="17"/>
  <c r="U93" i="17"/>
  <c r="V93" i="17"/>
  <c r="W93" i="17"/>
  <c r="X93" i="17"/>
  <c r="Y93" i="17"/>
  <c r="Z93" i="17"/>
  <c r="AL93" i="17" s="1"/>
  <c r="AA93" i="17"/>
  <c r="AM93" i="17" s="1"/>
  <c r="AB93" i="17"/>
  <c r="AN93" i="17" s="1"/>
  <c r="AC93" i="17"/>
  <c r="AO93" i="17" s="1"/>
  <c r="AD93" i="17"/>
  <c r="AP93" i="17" s="1"/>
  <c r="U94" i="17"/>
  <c r="AG94" i="17" s="1"/>
  <c r="V94" i="17"/>
  <c r="AH94" i="17" s="1"/>
  <c r="W94" i="17"/>
  <c r="AI94" i="17" s="1"/>
  <c r="X94" i="17"/>
  <c r="AJ94" i="17" s="1"/>
  <c r="Y94" i="17"/>
  <c r="AK94" i="17" s="1"/>
  <c r="Z94" i="17"/>
  <c r="AL94" i="17" s="1"/>
  <c r="AA94" i="17"/>
  <c r="AB94" i="17"/>
  <c r="AC94" i="17"/>
  <c r="AD94" i="17"/>
  <c r="U95" i="17"/>
  <c r="V95" i="17"/>
  <c r="AH95" i="17" s="1"/>
  <c r="W95" i="17"/>
  <c r="AI95" i="17" s="1"/>
  <c r="X95" i="17"/>
  <c r="AJ95" i="17" s="1"/>
  <c r="Y95" i="17"/>
  <c r="AK95" i="17" s="1"/>
  <c r="Z95" i="17"/>
  <c r="AL95" i="17" s="1"/>
  <c r="AA95" i="17"/>
  <c r="AB95" i="17"/>
  <c r="AC95" i="17"/>
  <c r="AD95" i="17"/>
  <c r="U96" i="17"/>
  <c r="V96" i="17"/>
  <c r="W96" i="17"/>
  <c r="X96" i="17"/>
  <c r="Y96" i="17"/>
  <c r="Z96" i="17"/>
  <c r="AA96" i="17"/>
  <c r="AB96" i="17"/>
  <c r="AN96" i="17" s="1"/>
  <c r="AC96" i="17"/>
  <c r="AO96" i="17" s="1"/>
  <c r="AD96" i="17"/>
  <c r="AP96" i="17" s="1"/>
  <c r="U97" i="17"/>
  <c r="AG97" i="17" s="1"/>
  <c r="V97" i="17"/>
  <c r="AH97" i="17" s="1"/>
  <c r="W97" i="17"/>
  <c r="AI97" i="17" s="1"/>
  <c r="X97" i="17"/>
  <c r="AJ97" i="17" s="1"/>
  <c r="Y97" i="17"/>
  <c r="AK97" i="17" s="1"/>
  <c r="Z97" i="17"/>
  <c r="AL97" i="17" s="1"/>
  <c r="AA97" i="17"/>
  <c r="AM97" i="17" s="1"/>
  <c r="AB97" i="17"/>
  <c r="AN97" i="17" s="1"/>
  <c r="AC97" i="17"/>
  <c r="AD97" i="17"/>
  <c r="U98" i="17"/>
  <c r="V98" i="17"/>
  <c r="W98" i="17"/>
  <c r="X98" i="17"/>
  <c r="Y98" i="17"/>
  <c r="Z98" i="17"/>
  <c r="AA98" i="17"/>
  <c r="AB98" i="17"/>
  <c r="AC98" i="17"/>
  <c r="AD98" i="17"/>
  <c r="U99" i="17"/>
  <c r="V99" i="17"/>
  <c r="W99" i="17"/>
  <c r="X99" i="17"/>
  <c r="Y99" i="17"/>
  <c r="Z99" i="17"/>
  <c r="AA99" i="17"/>
  <c r="AB99" i="17"/>
  <c r="AC99" i="17"/>
  <c r="AD99" i="17"/>
  <c r="U100" i="17"/>
  <c r="V100" i="17"/>
  <c r="W100" i="17"/>
  <c r="X100" i="17"/>
  <c r="Y100" i="17"/>
  <c r="Z100" i="17"/>
  <c r="AA100" i="17"/>
  <c r="AB100" i="17"/>
  <c r="AC100" i="17"/>
  <c r="AD100" i="17"/>
  <c r="U101" i="17"/>
  <c r="V101" i="17"/>
  <c r="W101" i="17"/>
  <c r="X101" i="17"/>
  <c r="Y101" i="17"/>
  <c r="Z101" i="17"/>
  <c r="AA101" i="17"/>
  <c r="AB101" i="17"/>
  <c r="AC101" i="17"/>
  <c r="AD101" i="17"/>
  <c r="U102" i="17"/>
  <c r="V102" i="17"/>
  <c r="W102" i="17"/>
  <c r="X102" i="17"/>
  <c r="Y102" i="17"/>
  <c r="Z102" i="17"/>
  <c r="AA102" i="17"/>
  <c r="AB102" i="17"/>
  <c r="AC102" i="17"/>
  <c r="AD102" i="17"/>
  <c r="U103" i="17"/>
  <c r="V103" i="17"/>
  <c r="W103" i="17"/>
  <c r="X103" i="17"/>
  <c r="Y103" i="17"/>
  <c r="Z103" i="17"/>
  <c r="AA103" i="17"/>
  <c r="AB103" i="17"/>
  <c r="AC103" i="17"/>
  <c r="AD103" i="17"/>
  <c r="V68" i="17"/>
  <c r="W68" i="17"/>
  <c r="X68" i="17"/>
  <c r="Y68" i="17"/>
  <c r="Z68" i="17"/>
  <c r="AA68" i="17"/>
  <c r="AB68" i="17"/>
  <c r="AC68" i="17"/>
  <c r="AD68" i="17"/>
  <c r="U68" i="17"/>
  <c r="AP97" i="17"/>
  <c r="AO97" i="17"/>
  <c r="AM96" i="17"/>
  <c r="AL96" i="17"/>
  <c r="AK96" i="17"/>
  <c r="AJ96" i="17"/>
  <c r="AI96" i="17"/>
  <c r="AH96" i="17"/>
  <c r="AG96" i="17"/>
  <c r="AP95" i="17"/>
  <c r="AO95" i="17"/>
  <c r="AN95" i="17"/>
  <c r="AM95" i="17"/>
  <c r="AG95" i="17"/>
  <c r="AP94" i="17"/>
  <c r="AO94" i="17"/>
  <c r="AN94" i="17"/>
  <c r="AM94" i="17"/>
  <c r="AK93" i="17"/>
  <c r="AJ93" i="17"/>
  <c r="AI93" i="17"/>
  <c r="AH93" i="17"/>
  <c r="AG93" i="17"/>
  <c r="AP92" i="17"/>
  <c r="AO92" i="17"/>
  <c r="AN92" i="17"/>
  <c r="AM92" i="17"/>
  <c r="AL92" i="17"/>
  <c r="AK92" i="17"/>
  <c r="AO91" i="17"/>
  <c r="AN91" i="17"/>
  <c r="AM91" i="17"/>
  <c r="AL91" i="17"/>
  <c r="AK91" i="17"/>
  <c r="AI90" i="17"/>
  <c r="AH90" i="17"/>
  <c r="AG90" i="17"/>
  <c r="AP89" i="17"/>
  <c r="AO89" i="17"/>
  <c r="AN89" i="17"/>
  <c r="AM89" i="17"/>
  <c r="AL89" i="17"/>
  <c r="AK89" i="17"/>
  <c r="AJ89" i="17"/>
  <c r="AI89" i="17"/>
  <c r="AM88" i="17"/>
  <c r="AL88" i="17"/>
  <c r="AK88" i="17"/>
  <c r="AJ88" i="17"/>
  <c r="AI88" i="17"/>
  <c r="AG87" i="17"/>
  <c r="AP86" i="17"/>
  <c r="AO86" i="17"/>
  <c r="AN86" i="17"/>
  <c r="AM86" i="17"/>
  <c r="AL86" i="17"/>
  <c r="AK86" i="17"/>
  <c r="AJ86" i="17"/>
  <c r="AI86" i="17"/>
  <c r="AH86" i="17"/>
  <c r="AG86" i="17"/>
  <c r="AK85" i="17"/>
  <c r="AJ85" i="17"/>
  <c r="AI85" i="17"/>
  <c r="AH85" i="17"/>
  <c r="AG85" i="17"/>
  <c r="AO83" i="17"/>
  <c r="AN83" i="17"/>
  <c r="AM83" i="17"/>
  <c r="AL83" i="17"/>
  <c r="AK83" i="17"/>
  <c r="AJ83" i="17"/>
  <c r="AI83" i="17"/>
  <c r="AH83" i="17"/>
  <c r="AG83" i="17"/>
  <c r="AP82" i="17"/>
  <c r="AO82" i="17"/>
  <c r="AI82" i="17"/>
  <c r="AH82" i="17"/>
  <c r="AG82" i="17"/>
  <c r="AP81" i="17"/>
  <c r="AO81" i="17"/>
  <c r="AM80" i="17"/>
  <c r="AL80" i="17"/>
  <c r="AK80" i="17"/>
  <c r="AJ80" i="17"/>
  <c r="AI80" i="17"/>
  <c r="AH80" i="17"/>
  <c r="AG80" i="17"/>
  <c r="AP79" i="17"/>
  <c r="AO79" i="17"/>
  <c r="AN79" i="17"/>
  <c r="AM79" i="17"/>
  <c r="AG79" i="17"/>
  <c r="AP78" i="17"/>
  <c r="AO78" i="17"/>
  <c r="AN78" i="17"/>
  <c r="AM78" i="17"/>
  <c r="AK77" i="17"/>
  <c r="AJ77" i="17"/>
  <c r="AI77" i="17"/>
  <c r="AH77" i="17"/>
  <c r="AG77" i="17"/>
  <c r="AP76" i="17"/>
  <c r="AO76" i="17"/>
  <c r="AN76" i="17"/>
  <c r="AM76" i="17"/>
  <c r="AL76" i="17"/>
  <c r="AK76" i="17"/>
  <c r="AO75" i="17"/>
  <c r="AN75" i="17"/>
  <c r="AM75" i="17"/>
  <c r="AL75" i="17"/>
  <c r="AK75" i="17"/>
  <c r="AI74" i="17"/>
  <c r="AH74" i="17"/>
  <c r="AG74" i="17"/>
  <c r="AP73" i="17"/>
  <c r="AO73" i="17"/>
  <c r="AN73" i="17"/>
  <c r="AM73" i="17"/>
  <c r="AL73" i="17"/>
  <c r="AK73" i="17"/>
  <c r="AJ73" i="17"/>
  <c r="AI73" i="17"/>
  <c r="AM72" i="17"/>
  <c r="AL72" i="17"/>
  <c r="AK72" i="17"/>
  <c r="AJ72" i="17"/>
  <c r="AI72" i="17"/>
  <c r="AG71" i="17"/>
  <c r="AP70" i="17"/>
  <c r="AO70" i="17"/>
  <c r="AN70" i="17"/>
  <c r="AM70" i="17"/>
  <c r="AL70" i="17"/>
  <c r="AK70" i="17"/>
  <c r="AJ70" i="17"/>
  <c r="AI70" i="17"/>
  <c r="AH70" i="17"/>
  <c r="AG70" i="17"/>
  <c r="AK69" i="17"/>
  <c r="AJ69" i="17"/>
  <c r="AI69" i="17"/>
  <c r="AH69" i="17"/>
  <c r="AG69" i="17"/>
  <c r="AP68" i="17"/>
  <c r="AO68" i="17"/>
  <c r="AN68" i="17"/>
  <c r="AM68" i="17"/>
  <c r="AL68" i="17"/>
  <c r="AK68" i="17"/>
  <c r="AJ68" i="17"/>
  <c r="AI68" i="17"/>
  <c r="AH68" i="17"/>
  <c r="AG68" i="17"/>
  <c r="AD49" i="15"/>
  <c r="AC49" i="15"/>
  <c r="AB49" i="15"/>
  <c r="AA49" i="15"/>
  <c r="Z49" i="15"/>
  <c r="Y49" i="15"/>
  <c r="X49" i="15"/>
  <c r="W49" i="15"/>
  <c r="V49" i="15"/>
  <c r="U49" i="15"/>
  <c r="AD48" i="15"/>
  <c r="AC48" i="15"/>
  <c r="AB48" i="15"/>
  <c r="AA48" i="15"/>
  <c r="Z48" i="15"/>
  <c r="Y48" i="15"/>
  <c r="X48" i="15"/>
  <c r="W48" i="15"/>
  <c r="V48" i="15"/>
  <c r="U48" i="15"/>
  <c r="AD47" i="15"/>
  <c r="AC47" i="15"/>
  <c r="AB47" i="15"/>
  <c r="AA47" i="15"/>
  <c r="Z47" i="15"/>
  <c r="Y47" i="15"/>
  <c r="X47" i="15"/>
  <c r="W47" i="15"/>
  <c r="V47" i="15"/>
  <c r="U47" i="15"/>
  <c r="AD46" i="15"/>
  <c r="AC46" i="15"/>
  <c r="AB46" i="15"/>
  <c r="AA46" i="15"/>
  <c r="Z46" i="15"/>
  <c r="Y46" i="15"/>
  <c r="X46" i="15"/>
  <c r="W46" i="15"/>
  <c r="V46" i="15"/>
  <c r="U46" i="15"/>
  <c r="AD45" i="15"/>
  <c r="AC45" i="15"/>
  <c r="AB45" i="15"/>
  <c r="AA45" i="15"/>
  <c r="Z45" i="15"/>
  <c r="Y45" i="15"/>
  <c r="X45" i="15"/>
  <c r="W45" i="15"/>
  <c r="V45" i="15"/>
  <c r="U45" i="15"/>
  <c r="AD44" i="15"/>
  <c r="AC44" i="15"/>
  <c r="AB44" i="15"/>
  <c r="AA44" i="15"/>
  <c r="Z44" i="15"/>
  <c r="Y44" i="15"/>
  <c r="X44" i="15"/>
  <c r="W44" i="15"/>
  <c r="V44" i="15"/>
  <c r="U44" i="15"/>
  <c r="AD43" i="15"/>
  <c r="AC43" i="15"/>
  <c r="AB43" i="15"/>
  <c r="AA43" i="15"/>
  <c r="Z43" i="15"/>
  <c r="Y43" i="15"/>
  <c r="X43" i="15"/>
  <c r="W43" i="15"/>
  <c r="V43" i="15"/>
  <c r="U43" i="15"/>
  <c r="AD42" i="15"/>
  <c r="AC42" i="15"/>
  <c r="AB42" i="15"/>
  <c r="AA42" i="15"/>
  <c r="Z42" i="15"/>
  <c r="Y42" i="15"/>
  <c r="X42" i="15"/>
  <c r="W42" i="15"/>
  <c r="V42" i="15"/>
  <c r="U42" i="15"/>
  <c r="AD41" i="15"/>
  <c r="AC41" i="15"/>
  <c r="AB41" i="15"/>
  <c r="AA41" i="15"/>
  <c r="Z41" i="15"/>
  <c r="Y41" i="15"/>
  <c r="X41" i="15"/>
  <c r="W41" i="15"/>
  <c r="V41" i="15"/>
  <c r="U41" i="15"/>
  <c r="AD40" i="15"/>
  <c r="AC40" i="15"/>
  <c r="AB40" i="15"/>
  <c r="AA40" i="15"/>
  <c r="Z40" i="15"/>
  <c r="Y40" i="15"/>
  <c r="X40" i="15"/>
  <c r="W40" i="15"/>
  <c r="V40" i="15"/>
  <c r="U40" i="15"/>
  <c r="AD39" i="15"/>
  <c r="AC39" i="15"/>
  <c r="AB39" i="15"/>
  <c r="AA39" i="15"/>
  <c r="Z39" i="15"/>
  <c r="Y39" i="15"/>
  <c r="X39" i="15"/>
  <c r="W39" i="15"/>
  <c r="V39" i="15"/>
  <c r="U39" i="15"/>
  <c r="AD38" i="15"/>
  <c r="AC38" i="15"/>
  <c r="AB38" i="15"/>
  <c r="AA38" i="15"/>
  <c r="Z38" i="15"/>
  <c r="Y38" i="15"/>
  <c r="X38" i="15"/>
  <c r="W38" i="15"/>
  <c r="V38" i="15"/>
  <c r="U38" i="15"/>
  <c r="AD37" i="15"/>
  <c r="AC37" i="15"/>
  <c r="AB37" i="15"/>
  <c r="AA37" i="15"/>
  <c r="Z37" i="15"/>
  <c r="Y37" i="15"/>
  <c r="X37" i="15"/>
  <c r="W37" i="15"/>
  <c r="V37" i="15"/>
  <c r="U37" i="15"/>
  <c r="AD36" i="15"/>
  <c r="AC36" i="15"/>
  <c r="AB36" i="15"/>
  <c r="AA36" i="15"/>
  <c r="Z36" i="15"/>
  <c r="Y36" i="15"/>
  <c r="X36" i="15"/>
  <c r="W36" i="15"/>
  <c r="V36" i="15"/>
  <c r="U36" i="15"/>
  <c r="AD35" i="15"/>
  <c r="AC35" i="15"/>
  <c r="AB35" i="15"/>
  <c r="AA35" i="15"/>
  <c r="Z35" i="15"/>
  <c r="Y35" i="15"/>
  <c r="X35" i="15"/>
  <c r="W35" i="15"/>
  <c r="V35" i="15"/>
  <c r="U35" i="15"/>
  <c r="AD34" i="15"/>
  <c r="AC34" i="15"/>
  <c r="AB34" i="15"/>
  <c r="AA34" i="15"/>
  <c r="Z34" i="15"/>
  <c r="Y34" i="15"/>
  <c r="X34" i="15"/>
  <c r="W34" i="15"/>
  <c r="V34" i="15"/>
  <c r="U34" i="15"/>
  <c r="AD33" i="15"/>
  <c r="AC33" i="15"/>
  <c r="AB33" i="15"/>
  <c r="AA33" i="15"/>
  <c r="Z33" i="15"/>
  <c r="Y33" i="15"/>
  <c r="X33" i="15"/>
  <c r="W33" i="15"/>
  <c r="V33" i="15"/>
  <c r="U33" i="15"/>
  <c r="AD32" i="15"/>
  <c r="AC32" i="15"/>
  <c r="AB32" i="15"/>
  <c r="AA32" i="15"/>
  <c r="Z32" i="15"/>
  <c r="Y32" i="15"/>
  <c r="X32" i="15"/>
  <c r="W32" i="15"/>
  <c r="V32" i="15"/>
  <c r="U32" i="15"/>
  <c r="AD31" i="15"/>
  <c r="AC31" i="15"/>
  <c r="AB31" i="15"/>
  <c r="AA31" i="15"/>
  <c r="Z31" i="15"/>
  <c r="Y31" i="15"/>
  <c r="X31" i="15"/>
  <c r="W31" i="15"/>
  <c r="V31" i="15"/>
  <c r="U31" i="15"/>
  <c r="AD30" i="15"/>
  <c r="AC30" i="15"/>
  <c r="AB30" i="15"/>
  <c r="AA30" i="15"/>
  <c r="Z30" i="15"/>
  <c r="Y30" i="15"/>
  <c r="X30" i="15"/>
  <c r="W30" i="15"/>
  <c r="V30" i="15"/>
  <c r="U30" i="15"/>
  <c r="AD29" i="15"/>
  <c r="AC29" i="15"/>
  <c r="AB29" i="15"/>
  <c r="AA29" i="15"/>
  <c r="Z29" i="15"/>
  <c r="Y29" i="15"/>
  <c r="X29" i="15"/>
  <c r="W29" i="15"/>
  <c r="V29" i="15"/>
  <c r="U29" i="15"/>
  <c r="AD28" i="15"/>
  <c r="AC28" i="15"/>
  <c r="AB28" i="15"/>
  <c r="AA28" i="15"/>
  <c r="Z28" i="15"/>
  <c r="Y28" i="15"/>
  <c r="X28" i="15"/>
  <c r="W28" i="15"/>
  <c r="V28" i="15"/>
  <c r="U28" i="15"/>
  <c r="AD27" i="15"/>
  <c r="AC27" i="15"/>
  <c r="AB27" i="15"/>
  <c r="AA27" i="15"/>
  <c r="Z27" i="15"/>
  <c r="Y27" i="15"/>
  <c r="X27" i="15"/>
  <c r="W27" i="15"/>
  <c r="V27" i="15"/>
  <c r="U27" i="15"/>
  <c r="AD26" i="15"/>
  <c r="AC26" i="15"/>
  <c r="AB26" i="15"/>
  <c r="AA26" i="15"/>
  <c r="Z26" i="15"/>
  <c r="Y26" i="15"/>
  <c r="X26" i="15"/>
  <c r="W26" i="15"/>
  <c r="V26" i="15"/>
  <c r="U26" i="15"/>
  <c r="AD25" i="15"/>
  <c r="AC25" i="15"/>
  <c r="AB25" i="15"/>
  <c r="AA25" i="15"/>
  <c r="Z25" i="15"/>
  <c r="Y25" i="15"/>
  <c r="X25" i="15"/>
  <c r="W25" i="15"/>
  <c r="V25" i="15"/>
  <c r="U25" i="15"/>
  <c r="AD24" i="15"/>
  <c r="AC24" i="15"/>
  <c r="AB24" i="15"/>
  <c r="AA24" i="15"/>
  <c r="Z24" i="15"/>
  <c r="Y24" i="15"/>
  <c r="X24" i="15"/>
  <c r="W24" i="15"/>
  <c r="V24" i="15"/>
  <c r="U24" i="15"/>
  <c r="AD23" i="15"/>
  <c r="AC23" i="15"/>
  <c r="AB23" i="15"/>
  <c r="AA23" i="15"/>
  <c r="Z23" i="15"/>
  <c r="Y23" i="15"/>
  <c r="X23" i="15"/>
  <c r="W23" i="15"/>
  <c r="V23" i="15"/>
  <c r="U23" i="15"/>
  <c r="AD22" i="15"/>
  <c r="AC22" i="15"/>
  <c r="AB22" i="15"/>
  <c r="AA22" i="15"/>
  <c r="Z22" i="15"/>
  <c r="Y22" i="15"/>
  <c r="X22" i="15"/>
  <c r="W22" i="15"/>
  <c r="V22" i="15"/>
  <c r="U22" i="15"/>
  <c r="AD21" i="15"/>
  <c r="AC21" i="15"/>
  <c r="AB21" i="15"/>
  <c r="AA21" i="15"/>
  <c r="Z21" i="15"/>
  <c r="Y21" i="15"/>
  <c r="X21" i="15"/>
  <c r="W21" i="15"/>
  <c r="V21" i="15"/>
  <c r="U21" i="15"/>
  <c r="AD20" i="15"/>
  <c r="AC20" i="15"/>
  <c r="AB20" i="15"/>
  <c r="AA20" i="15"/>
  <c r="Z20" i="15"/>
  <c r="Y20" i="15"/>
  <c r="X20" i="15"/>
  <c r="W20" i="15"/>
  <c r="V20" i="15"/>
  <c r="U20" i="15"/>
  <c r="AD104" i="14"/>
  <c r="AC104" i="14"/>
  <c r="AB104" i="14"/>
  <c r="AA104" i="14"/>
  <c r="Z104" i="14"/>
  <c r="Y104" i="14"/>
  <c r="X104" i="14"/>
  <c r="W104" i="14"/>
  <c r="V104" i="14"/>
  <c r="U104" i="14"/>
  <c r="AD103" i="14"/>
  <c r="AC103" i="14"/>
  <c r="AB103" i="14"/>
  <c r="AA103" i="14"/>
  <c r="Z103" i="14"/>
  <c r="Y103" i="14"/>
  <c r="X103" i="14"/>
  <c r="W103" i="14"/>
  <c r="V103" i="14"/>
  <c r="U103" i="14"/>
  <c r="AD102" i="14"/>
  <c r="AC102" i="14"/>
  <c r="AB102" i="14"/>
  <c r="AA102" i="14"/>
  <c r="Z102" i="14"/>
  <c r="Y102" i="14"/>
  <c r="X102" i="14"/>
  <c r="W102" i="14"/>
  <c r="V102" i="14"/>
  <c r="U102" i="14"/>
  <c r="AD101" i="14"/>
  <c r="AC101" i="14"/>
  <c r="AB101" i="14"/>
  <c r="AA101" i="14"/>
  <c r="Z101" i="14"/>
  <c r="Y101" i="14"/>
  <c r="X101" i="14"/>
  <c r="W101" i="14"/>
  <c r="V101" i="14"/>
  <c r="U101" i="14"/>
  <c r="AD100" i="14"/>
  <c r="AC100" i="14"/>
  <c r="AB100" i="14"/>
  <c r="AA100" i="14"/>
  <c r="Z100" i="14"/>
  <c r="Y100" i="14"/>
  <c r="X100" i="14"/>
  <c r="W100" i="14"/>
  <c r="V100" i="14"/>
  <c r="U100" i="14"/>
  <c r="AD99" i="14"/>
  <c r="AC99" i="14"/>
  <c r="AB99" i="14"/>
  <c r="AA99" i="14"/>
  <c r="Z99" i="14"/>
  <c r="Y99" i="14"/>
  <c r="X99" i="14"/>
  <c r="W99" i="14"/>
  <c r="V99" i="14"/>
  <c r="U99" i="14"/>
  <c r="AD98" i="14"/>
  <c r="AC98" i="14"/>
  <c r="AB98" i="14"/>
  <c r="AA98" i="14"/>
  <c r="Z98" i="14"/>
  <c r="Y98" i="14"/>
  <c r="X98" i="14"/>
  <c r="W98" i="14"/>
  <c r="V98" i="14"/>
  <c r="U98" i="14"/>
  <c r="AD97" i="14"/>
  <c r="AC97" i="14"/>
  <c r="AB97" i="14"/>
  <c r="AA97" i="14"/>
  <c r="Z97" i="14"/>
  <c r="Y97" i="14"/>
  <c r="X97" i="14"/>
  <c r="W97" i="14"/>
  <c r="V97" i="14"/>
  <c r="U97" i="14"/>
  <c r="AD96" i="14"/>
  <c r="AC96" i="14"/>
  <c r="AB96" i="14"/>
  <c r="AA96" i="14"/>
  <c r="Z96" i="14"/>
  <c r="Y96" i="14"/>
  <c r="X96" i="14"/>
  <c r="W96" i="14"/>
  <c r="V96" i="14"/>
  <c r="U96" i="14"/>
  <c r="AD95" i="14"/>
  <c r="AC95" i="14"/>
  <c r="AB95" i="14"/>
  <c r="AA95" i="14"/>
  <c r="Z95" i="14"/>
  <c r="Y95" i="14"/>
  <c r="X95" i="14"/>
  <c r="W95" i="14"/>
  <c r="V95" i="14"/>
  <c r="U95" i="14"/>
  <c r="AD94" i="14"/>
  <c r="AC94" i="14"/>
  <c r="AB94" i="14"/>
  <c r="AA94" i="14"/>
  <c r="Z94" i="14"/>
  <c r="Y94" i="14"/>
  <c r="X94" i="14"/>
  <c r="W94" i="14"/>
  <c r="V94" i="14"/>
  <c r="U94" i="14"/>
  <c r="AD93" i="14"/>
  <c r="AC93" i="14"/>
  <c r="AB93" i="14"/>
  <c r="AA93" i="14"/>
  <c r="Z93" i="14"/>
  <c r="Y93" i="14"/>
  <c r="X93" i="14"/>
  <c r="W93" i="14"/>
  <c r="V93" i="14"/>
  <c r="U93" i="14"/>
  <c r="AD92" i="14"/>
  <c r="AC92" i="14"/>
  <c r="AB92" i="14"/>
  <c r="AA92" i="14"/>
  <c r="Z92" i="14"/>
  <c r="Y92" i="14"/>
  <c r="X92" i="14"/>
  <c r="W92" i="14"/>
  <c r="V92" i="14"/>
  <c r="U92" i="14"/>
  <c r="AD91" i="14"/>
  <c r="AC91" i="14"/>
  <c r="AB91" i="14"/>
  <c r="AA91" i="14"/>
  <c r="Z91" i="14"/>
  <c r="Y91" i="14"/>
  <c r="X91" i="14"/>
  <c r="W91" i="14"/>
  <c r="V91" i="14"/>
  <c r="U91" i="14"/>
  <c r="AD90" i="14"/>
  <c r="AC90" i="14"/>
  <c r="AB90" i="14"/>
  <c r="AA90" i="14"/>
  <c r="Z90" i="14"/>
  <c r="Y90" i="14"/>
  <c r="X90" i="14"/>
  <c r="W90" i="14"/>
  <c r="V90" i="14"/>
  <c r="U90" i="14"/>
  <c r="AD89" i="14"/>
  <c r="AC89" i="14"/>
  <c r="AB89" i="14"/>
  <c r="AA89" i="14"/>
  <c r="Z89" i="14"/>
  <c r="Y89" i="14"/>
  <c r="X89" i="14"/>
  <c r="W89" i="14"/>
  <c r="V89" i="14"/>
  <c r="U89" i="14"/>
  <c r="AD88" i="14"/>
  <c r="AC88" i="14"/>
  <c r="AB88" i="14"/>
  <c r="AA88" i="14"/>
  <c r="Z88" i="14"/>
  <c r="Y88" i="14"/>
  <c r="X88" i="14"/>
  <c r="W88" i="14"/>
  <c r="V88" i="14"/>
  <c r="U88" i="14"/>
  <c r="AD87" i="14"/>
  <c r="AC87" i="14"/>
  <c r="AB87" i="14"/>
  <c r="AA87" i="14"/>
  <c r="Z87" i="14"/>
  <c r="Y87" i="14"/>
  <c r="X87" i="14"/>
  <c r="W87" i="14"/>
  <c r="V87" i="14"/>
  <c r="U87" i="14"/>
  <c r="AD86" i="14"/>
  <c r="AC86" i="14"/>
  <c r="AB86" i="14"/>
  <c r="AA86" i="14"/>
  <c r="Z86" i="14"/>
  <c r="Y86" i="14"/>
  <c r="X86" i="14"/>
  <c r="W86" i="14"/>
  <c r="V86" i="14"/>
  <c r="U86" i="14"/>
  <c r="AD85" i="14"/>
  <c r="AC85" i="14"/>
  <c r="AB85" i="14"/>
  <c r="AA85" i="14"/>
  <c r="Z85" i="14"/>
  <c r="Y85" i="14"/>
  <c r="X85" i="14"/>
  <c r="W85" i="14"/>
  <c r="V85" i="14"/>
  <c r="U85" i="14"/>
  <c r="AD84" i="14"/>
  <c r="AC84" i="14"/>
  <c r="AB84" i="14"/>
  <c r="AA84" i="14"/>
  <c r="Z84" i="14"/>
  <c r="Y84" i="14"/>
  <c r="X84" i="14"/>
  <c r="W84" i="14"/>
  <c r="V84" i="14"/>
  <c r="U84" i="14"/>
  <c r="AD83" i="14"/>
  <c r="AC83" i="14"/>
  <c r="AB83" i="14"/>
  <c r="AA83" i="14"/>
  <c r="Z83" i="14"/>
  <c r="Y83" i="14"/>
  <c r="X83" i="14"/>
  <c r="W83" i="14"/>
  <c r="V83" i="14"/>
  <c r="U83" i="14"/>
  <c r="AD82" i="14"/>
  <c r="AC82" i="14"/>
  <c r="AB82" i="14"/>
  <c r="AA82" i="14"/>
  <c r="Z82" i="14"/>
  <c r="Y82" i="14"/>
  <c r="X82" i="14"/>
  <c r="W82" i="14"/>
  <c r="V82" i="14"/>
  <c r="U82" i="14"/>
  <c r="AD81" i="14"/>
  <c r="AC81" i="14"/>
  <c r="AB81" i="14"/>
  <c r="AA81" i="14"/>
  <c r="Z81" i="14"/>
  <c r="Y81" i="14"/>
  <c r="X81" i="14"/>
  <c r="W81" i="14"/>
  <c r="V81" i="14"/>
  <c r="U81" i="14"/>
  <c r="AD80" i="14"/>
  <c r="AC80" i="14"/>
  <c r="AB80" i="14"/>
  <c r="AA80" i="14"/>
  <c r="Z80" i="14"/>
  <c r="Y80" i="14"/>
  <c r="X80" i="14"/>
  <c r="W80" i="14"/>
  <c r="V80" i="14"/>
  <c r="U80" i="14"/>
  <c r="AD79" i="14"/>
  <c r="AC79" i="14"/>
  <c r="AB79" i="14"/>
  <c r="AA79" i="14"/>
  <c r="Z79" i="14"/>
  <c r="Y79" i="14"/>
  <c r="X79" i="14"/>
  <c r="W79" i="14"/>
  <c r="V79" i="14"/>
  <c r="U79" i="14"/>
  <c r="AD78" i="14"/>
  <c r="AC78" i="14"/>
  <c r="AB78" i="14"/>
  <c r="AA78" i="14"/>
  <c r="Z78" i="14"/>
  <c r="Y78" i="14"/>
  <c r="X78" i="14"/>
  <c r="W78" i="14"/>
  <c r="V78" i="14"/>
  <c r="U78" i="14"/>
  <c r="AD77" i="14"/>
  <c r="AC77" i="14"/>
  <c r="AB77" i="14"/>
  <c r="AA77" i="14"/>
  <c r="Z77" i="14"/>
  <c r="Y77" i="14"/>
  <c r="X77" i="14"/>
  <c r="W77" i="14"/>
  <c r="V77" i="14"/>
  <c r="U77" i="14"/>
  <c r="AD76" i="14"/>
  <c r="AC76" i="14"/>
  <c r="AB76" i="14"/>
  <c r="AA76" i="14"/>
  <c r="Z76" i="14"/>
  <c r="Y76" i="14"/>
  <c r="X76" i="14"/>
  <c r="W76" i="14"/>
  <c r="V76" i="14"/>
  <c r="U76" i="14"/>
  <c r="AD75" i="14"/>
  <c r="AC75" i="14"/>
  <c r="AB75" i="14"/>
  <c r="AA75" i="14"/>
  <c r="Z75" i="14"/>
  <c r="Y75" i="14"/>
  <c r="X75" i="14"/>
  <c r="W75" i="14"/>
  <c r="V75" i="14"/>
  <c r="U75" i="14"/>
  <c r="AD54" i="14"/>
  <c r="AC54" i="14"/>
  <c r="AB54" i="14"/>
  <c r="AA54" i="14"/>
  <c r="Z54" i="14"/>
  <c r="Y54" i="14"/>
  <c r="X54" i="14"/>
  <c r="W54" i="14"/>
  <c r="V54" i="14"/>
  <c r="U54" i="14"/>
  <c r="AD53" i="14"/>
  <c r="AC53" i="14"/>
  <c r="AB53" i="14"/>
  <c r="AA53" i="14"/>
  <c r="Z53" i="14"/>
  <c r="Y53" i="14"/>
  <c r="X53" i="14"/>
  <c r="W53" i="14"/>
  <c r="V53" i="14"/>
  <c r="U53" i="14"/>
  <c r="AD52" i="14"/>
  <c r="AC52" i="14"/>
  <c r="AB52" i="14"/>
  <c r="AA52" i="14"/>
  <c r="Z52" i="14"/>
  <c r="Y52" i="14"/>
  <c r="X52" i="14"/>
  <c r="W52" i="14"/>
  <c r="V52" i="14"/>
  <c r="U52" i="14"/>
  <c r="AD51" i="14"/>
  <c r="AC51" i="14"/>
  <c r="AB51" i="14"/>
  <c r="AA51" i="14"/>
  <c r="Z51" i="14"/>
  <c r="Y51" i="14"/>
  <c r="X51" i="14"/>
  <c r="W51" i="14"/>
  <c r="V51" i="14"/>
  <c r="U51" i="14"/>
  <c r="AD50" i="14"/>
  <c r="AC50" i="14"/>
  <c r="AB50" i="14"/>
  <c r="AA50" i="14"/>
  <c r="Z50" i="14"/>
  <c r="Y50" i="14"/>
  <c r="X50" i="14"/>
  <c r="W50" i="14"/>
  <c r="V50" i="14"/>
  <c r="U50" i="14"/>
  <c r="AD49" i="14"/>
  <c r="AC49" i="14"/>
  <c r="AB49" i="14"/>
  <c r="AA49" i="14"/>
  <c r="Z49" i="14"/>
  <c r="Y49" i="14"/>
  <c r="X49" i="14"/>
  <c r="W49" i="14"/>
  <c r="V49" i="14"/>
  <c r="U49" i="14"/>
  <c r="AD48" i="14"/>
  <c r="AC48" i="14"/>
  <c r="AB48" i="14"/>
  <c r="AA48" i="14"/>
  <c r="Z48" i="14"/>
  <c r="Y48" i="14"/>
  <c r="X48" i="14"/>
  <c r="W48" i="14"/>
  <c r="V48" i="14"/>
  <c r="U48" i="14"/>
  <c r="AD47" i="14"/>
  <c r="AC47" i="14"/>
  <c r="AB47" i="14"/>
  <c r="AA47" i="14"/>
  <c r="Z47" i="14"/>
  <c r="Y47" i="14"/>
  <c r="X47" i="14"/>
  <c r="W47" i="14"/>
  <c r="V47" i="14"/>
  <c r="U47" i="14"/>
  <c r="AD46" i="14"/>
  <c r="AC46" i="14"/>
  <c r="AB46" i="14"/>
  <c r="AA46" i="14"/>
  <c r="Z46" i="14"/>
  <c r="Y46" i="14"/>
  <c r="X46" i="14"/>
  <c r="W46" i="14"/>
  <c r="V46" i="14"/>
  <c r="U46" i="14"/>
  <c r="AD45" i="14"/>
  <c r="AC45" i="14"/>
  <c r="AB45" i="14"/>
  <c r="AA45" i="14"/>
  <c r="Z45" i="14"/>
  <c r="Y45" i="14"/>
  <c r="X45" i="14"/>
  <c r="W45" i="14"/>
  <c r="V45" i="14"/>
  <c r="U45" i="14"/>
  <c r="AD44" i="14"/>
  <c r="AC44" i="14"/>
  <c r="AB44" i="14"/>
  <c r="AA44" i="14"/>
  <c r="Z44" i="14"/>
  <c r="Y44" i="14"/>
  <c r="X44" i="14"/>
  <c r="W44" i="14"/>
  <c r="V44" i="14"/>
  <c r="U44" i="14"/>
  <c r="AD43" i="14"/>
  <c r="AC43" i="14"/>
  <c r="AB43" i="14"/>
  <c r="AA43" i="14"/>
  <c r="Z43" i="14"/>
  <c r="Y43" i="14"/>
  <c r="X43" i="14"/>
  <c r="W43" i="14"/>
  <c r="V43" i="14"/>
  <c r="U43" i="14"/>
  <c r="AD42" i="14"/>
  <c r="AC42" i="14"/>
  <c r="AB42" i="14"/>
  <c r="AA42" i="14"/>
  <c r="Z42" i="14"/>
  <c r="Y42" i="14"/>
  <c r="X42" i="14"/>
  <c r="W42" i="14"/>
  <c r="V42" i="14"/>
  <c r="U42" i="14"/>
  <c r="AD41" i="14"/>
  <c r="AC41" i="14"/>
  <c r="AB41" i="14"/>
  <c r="AA41" i="14"/>
  <c r="Z41" i="14"/>
  <c r="Y41" i="14"/>
  <c r="X41" i="14"/>
  <c r="W41" i="14"/>
  <c r="V41" i="14"/>
  <c r="U41" i="14"/>
  <c r="AD40" i="14"/>
  <c r="AC40" i="14"/>
  <c r="AB40" i="14"/>
  <c r="AA40" i="14"/>
  <c r="Z40" i="14"/>
  <c r="Y40" i="14"/>
  <c r="X40" i="14"/>
  <c r="W40" i="14"/>
  <c r="V40" i="14"/>
  <c r="U40" i="14"/>
  <c r="AD39" i="14"/>
  <c r="AC39" i="14"/>
  <c r="AB39" i="14"/>
  <c r="AA39" i="14"/>
  <c r="Z39" i="14"/>
  <c r="Y39" i="14"/>
  <c r="X39" i="14"/>
  <c r="W39" i="14"/>
  <c r="V39" i="14"/>
  <c r="U39" i="14"/>
  <c r="AD38" i="14"/>
  <c r="AC38" i="14"/>
  <c r="AB38" i="14"/>
  <c r="AA38" i="14"/>
  <c r="Z38" i="14"/>
  <c r="Y38" i="14"/>
  <c r="X38" i="14"/>
  <c r="W38" i="14"/>
  <c r="V38" i="14"/>
  <c r="U38" i="14"/>
  <c r="AD37" i="14"/>
  <c r="AC37" i="14"/>
  <c r="AB37" i="14"/>
  <c r="AA37" i="14"/>
  <c r="Z37" i="14"/>
  <c r="Y37" i="14"/>
  <c r="X37" i="14"/>
  <c r="W37" i="14"/>
  <c r="V37" i="14"/>
  <c r="U37" i="14"/>
  <c r="AD36" i="14"/>
  <c r="AC36" i="14"/>
  <c r="AB36" i="14"/>
  <c r="AA36" i="14"/>
  <c r="Z36" i="14"/>
  <c r="Y36" i="14"/>
  <c r="X36" i="14"/>
  <c r="W36" i="14"/>
  <c r="V36" i="14"/>
  <c r="U36" i="14"/>
  <c r="AD35" i="14"/>
  <c r="AC35" i="14"/>
  <c r="AB35" i="14"/>
  <c r="AA35" i="14"/>
  <c r="Z35" i="14"/>
  <c r="Y35" i="14"/>
  <c r="X35" i="14"/>
  <c r="W35" i="14"/>
  <c r="V35" i="14"/>
  <c r="U35" i="14"/>
  <c r="AD34" i="14"/>
  <c r="AC34" i="14"/>
  <c r="AB34" i="14"/>
  <c r="AA34" i="14"/>
  <c r="Z34" i="14"/>
  <c r="Y34" i="14"/>
  <c r="X34" i="14"/>
  <c r="W34" i="14"/>
  <c r="V34" i="14"/>
  <c r="U34" i="14"/>
  <c r="AD33" i="14"/>
  <c r="AC33" i="14"/>
  <c r="AB33" i="14"/>
  <c r="AA33" i="14"/>
  <c r="Z33" i="14"/>
  <c r="Y33" i="14"/>
  <c r="X33" i="14"/>
  <c r="W33" i="14"/>
  <c r="V33" i="14"/>
  <c r="U33" i="14"/>
  <c r="AD32" i="14"/>
  <c r="AC32" i="14"/>
  <c r="AB32" i="14"/>
  <c r="AA32" i="14"/>
  <c r="Z32" i="14"/>
  <c r="Y32" i="14"/>
  <c r="X32" i="14"/>
  <c r="W32" i="14"/>
  <c r="V32" i="14"/>
  <c r="U32" i="14"/>
  <c r="AD31" i="14"/>
  <c r="AC31" i="14"/>
  <c r="AB31" i="14"/>
  <c r="AA31" i="14"/>
  <c r="Z31" i="14"/>
  <c r="Y31" i="14"/>
  <c r="X31" i="14"/>
  <c r="W31" i="14"/>
  <c r="V31" i="14"/>
  <c r="U31" i="14"/>
  <c r="AD30" i="14"/>
  <c r="AC30" i="14"/>
  <c r="AB30" i="14"/>
  <c r="AA30" i="14"/>
  <c r="Z30" i="14"/>
  <c r="Y30" i="14"/>
  <c r="X30" i="14"/>
  <c r="W30" i="14"/>
  <c r="V30" i="14"/>
  <c r="U30" i="14"/>
  <c r="AD29" i="14"/>
  <c r="AC29" i="14"/>
  <c r="AB29" i="14"/>
  <c r="AA29" i="14"/>
  <c r="Z29" i="14"/>
  <c r="Y29" i="14"/>
  <c r="X29" i="14"/>
  <c r="W29" i="14"/>
  <c r="V29" i="14"/>
  <c r="U29" i="14"/>
  <c r="AD28" i="14"/>
  <c r="AC28" i="14"/>
  <c r="AB28" i="14"/>
  <c r="AA28" i="14"/>
  <c r="Z28" i="14"/>
  <c r="Y28" i="14"/>
  <c r="X28" i="14"/>
  <c r="W28" i="14"/>
  <c r="V28" i="14"/>
  <c r="U28" i="14"/>
  <c r="AD27" i="14"/>
  <c r="AC27" i="14"/>
  <c r="AB27" i="14"/>
  <c r="AA27" i="14"/>
  <c r="Z27" i="14"/>
  <c r="Y27" i="14"/>
  <c r="X27" i="14"/>
  <c r="W27" i="14"/>
  <c r="V27" i="14"/>
  <c r="U27" i="14"/>
  <c r="AD26" i="14"/>
  <c r="AC26" i="14"/>
  <c r="AB26" i="14"/>
  <c r="AA26" i="14"/>
  <c r="Z26" i="14"/>
  <c r="Y26" i="14"/>
  <c r="X26" i="14"/>
  <c r="W26" i="14"/>
  <c r="V26" i="14"/>
  <c r="U26" i="14"/>
  <c r="AD25" i="14"/>
  <c r="AC25" i="14"/>
  <c r="AB25" i="14"/>
  <c r="AA25" i="14"/>
  <c r="Z25" i="14"/>
  <c r="Y25" i="14"/>
  <c r="X25" i="14"/>
  <c r="W25" i="14"/>
  <c r="V25" i="14"/>
  <c r="U25" i="14"/>
  <c r="AD24" i="14"/>
  <c r="AC24" i="14"/>
  <c r="AB24" i="14"/>
  <c r="AA24" i="14"/>
  <c r="Z24" i="14"/>
  <c r="Y24" i="14"/>
  <c r="X24" i="14"/>
  <c r="W24" i="14"/>
  <c r="V24" i="14"/>
  <c r="U24" i="14"/>
  <c r="AD23" i="14"/>
  <c r="AC23" i="14"/>
  <c r="AB23" i="14"/>
  <c r="AA23" i="14"/>
  <c r="Z23" i="14"/>
  <c r="Y23" i="14"/>
  <c r="X23" i="14"/>
  <c r="W23" i="14"/>
  <c r="V23" i="14"/>
  <c r="U23" i="14"/>
  <c r="AD22" i="14"/>
  <c r="AC22" i="14"/>
  <c r="AB22" i="14"/>
  <c r="AA22" i="14"/>
  <c r="Z22" i="14"/>
  <c r="Y22" i="14"/>
  <c r="X22" i="14"/>
  <c r="W22" i="14"/>
  <c r="V22" i="14"/>
  <c r="U22" i="14"/>
  <c r="AD21" i="14"/>
  <c r="AC21" i="14"/>
  <c r="AB21" i="14"/>
  <c r="AA21" i="14"/>
  <c r="Z21" i="14"/>
  <c r="Y21" i="14"/>
  <c r="X21" i="14"/>
  <c r="W21" i="14"/>
  <c r="V21" i="14"/>
  <c r="U21" i="14"/>
  <c r="AD20" i="14"/>
  <c r="AC20" i="14"/>
  <c r="AB20" i="14"/>
  <c r="AA20" i="14"/>
  <c r="Z20" i="14"/>
  <c r="Y20" i="14"/>
  <c r="X20" i="14"/>
  <c r="W20" i="14"/>
  <c r="V20" i="14"/>
  <c r="U20" i="14"/>
  <c r="AD19" i="14"/>
  <c r="AC19" i="14"/>
  <c r="AB19" i="14"/>
  <c r="AA19" i="14"/>
  <c r="Z19" i="14"/>
  <c r="Y19" i="14"/>
  <c r="X19" i="14"/>
  <c r="W19" i="14"/>
  <c r="V19" i="14"/>
  <c r="U19" i="14"/>
  <c r="AD104" i="13"/>
  <c r="AC104" i="13"/>
  <c r="AB104" i="13"/>
  <c r="AA104" i="13"/>
  <c r="Z104" i="13"/>
  <c r="Y104" i="13"/>
  <c r="X104" i="13"/>
  <c r="W104" i="13"/>
  <c r="V104" i="13"/>
  <c r="U104" i="13"/>
  <c r="AD103" i="13"/>
  <c r="AC103" i="13"/>
  <c r="AB103" i="13"/>
  <c r="AA103" i="13"/>
  <c r="Z103" i="13"/>
  <c r="Y103" i="13"/>
  <c r="X103" i="13"/>
  <c r="W103" i="13"/>
  <c r="V103" i="13"/>
  <c r="U103" i="13"/>
  <c r="AD102" i="13"/>
  <c r="AC102" i="13"/>
  <c r="AB102" i="13"/>
  <c r="AA102" i="13"/>
  <c r="Z102" i="13"/>
  <c r="Y102" i="13"/>
  <c r="X102" i="13"/>
  <c r="W102" i="13"/>
  <c r="V102" i="13"/>
  <c r="U102" i="13"/>
  <c r="AD101" i="13"/>
  <c r="AC101" i="13"/>
  <c r="AB101" i="13"/>
  <c r="AA101" i="13"/>
  <c r="Z101" i="13"/>
  <c r="Y101" i="13"/>
  <c r="X101" i="13"/>
  <c r="W101" i="13"/>
  <c r="V101" i="13"/>
  <c r="U101" i="13"/>
  <c r="AD100" i="13"/>
  <c r="AC100" i="13"/>
  <c r="AB100" i="13"/>
  <c r="AA100" i="13"/>
  <c r="Z100" i="13"/>
  <c r="Y100" i="13"/>
  <c r="X100" i="13"/>
  <c r="W100" i="13"/>
  <c r="V100" i="13"/>
  <c r="U100" i="13"/>
  <c r="AD99" i="13"/>
  <c r="AC99" i="13"/>
  <c r="AB99" i="13"/>
  <c r="AA99" i="13"/>
  <c r="Z99" i="13"/>
  <c r="Y99" i="13"/>
  <c r="X99" i="13"/>
  <c r="W99" i="13"/>
  <c r="V99" i="13"/>
  <c r="U99" i="13"/>
  <c r="AD98" i="13"/>
  <c r="AC98" i="13"/>
  <c r="AB98" i="13"/>
  <c r="AA98" i="13"/>
  <c r="Z98" i="13"/>
  <c r="Y98" i="13"/>
  <c r="X98" i="13"/>
  <c r="W98" i="13"/>
  <c r="V98" i="13"/>
  <c r="U98" i="13"/>
  <c r="AD97" i="13"/>
  <c r="AC97" i="13"/>
  <c r="AB97" i="13"/>
  <c r="AA97" i="13"/>
  <c r="Z97" i="13"/>
  <c r="Y97" i="13"/>
  <c r="X97" i="13"/>
  <c r="W97" i="13"/>
  <c r="V97" i="13"/>
  <c r="U97" i="13"/>
  <c r="AD96" i="13"/>
  <c r="AC96" i="13"/>
  <c r="AB96" i="13"/>
  <c r="AA96" i="13"/>
  <c r="Z96" i="13"/>
  <c r="Y96" i="13"/>
  <c r="X96" i="13"/>
  <c r="W96" i="13"/>
  <c r="V96" i="13"/>
  <c r="U96" i="13"/>
  <c r="AD95" i="13"/>
  <c r="AC95" i="13"/>
  <c r="AB95" i="13"/>
  <c r="AA95" i="13"/>
  <c r="Z95" i="13"/>
  <c r="Y95" i="13"/>
  <c r="X95" i="13"/>
  <c r="W95" i="13"/>
  <c r="V95" i="13"/>
  <c r="U95" i="13"/>
  <c r="AD94" i="13"/>
  <c r="AC94" i="13"/>
  <c r="AB94" i="13"/>
  <c r="AA94" i="13"/>
  <c r="Z94" i="13"/>
  <c r="Y94" i="13"/>
  <c r="X94" i="13"/>
  <c r="W94" i="13"/>
  <c r="V94" i="13"/>
  <c r="U94" i="13"/>
  <c r="AD93" i="13"/>
  <c r="AC93" i="13"/>
  <c r="AB93" i="13"/>
  <c r="AA93" i="13"/>
  <c r="Z93" i="13"/>
  <c r="Y93" i="13"/>
  <c r="X93" i="13"/>
  <c r="W93" i="13"/>
  <c r="V93" i="13"/>
  <c r="U93" i="13"/>
  <c r="AD92" i="13"/>
  <c r="AC92" i="13"/>
  <c r="AB92" i="13"/>
  <c r="AA92" i="13"/>
  <c r="Z92" i="13"/>
  <c r="Y92" i="13"/>
  <c r="X92" i="13"/>
  <c r="W92" i="13"/>
  <c r="V92" i="13"/>
  <c r="U92" i="13"/>
  <c r="AD91" i="13"/>
  <c r="AC91" i="13"/>
  <c r="AB91" i="13"/>
  <c r="AA91" i="13"/>
  <c r="Z91" i="13"/>
  <c r="Y91" i="13"/>
  <c r="X91" i="13"/>
  <c r="W91" i="13"/>
  <c r="V91" i="13"/>
  <c r="U91" i="13"/>
  <c r="AD90" i="13"/>
  <c r="AC90" i="13"/>
  <c r="AB90" i="13"/>
  <c r="AA90" i="13"/>
  <c r="Z90" i="13"/>
  <c r="Y90" i="13"/>
  <c r="X90" i="13"/>
  <c r="W90" i="13"/>
  <c r="V90" i="13"/>
  <c r="U90" i="13"/>
  <c r="AD89" i="13"/>
  <c r="AC89" i="13"/>
  <c r="AB89" i="13"/>
  <c r="AA89" i="13"/>
  <c r="Z89" i="13"/>
  <c r="Y89" i="13"/>
  <c r="X89" i="13"/>
  <c r="W89" i="13"/>
  <c r="V89" i="13"/>
  <c r="U89" i="13"/>
  <c r="AD88" i="13"/>
  <c r="AC88" i="13"/>
  <c r="AB88" i="13"/>
  <c r="AA88" i="13"/>
  <c r="Z88" i="13"/>
  <c r="Y88" i="13"/>
  <c r="X88" i="13"/>
  <c r="W88" i="13"/>
  <c r="V88" i="13"/>
  <c r="U88" i="13"/>
  <c r="AD87" i="13"/>
  <c r="AC87" i="13"/>
  <c r="AB87" i="13"/>
  <c r="AA87" i="13"/>
  <c r="Z87" i="13"/>
  <c r="Y87" i="13"/>
  <c r="X87" i="13"/>
  <c r="W87" i="13"/>
  <c r="V87" i="13"/>
  <c r="U87" i="13"/>
  <c r="AD86" i="13"/>
  <c r="AC86" i="13"/>
  <c r="AB86" i="13"/>
  <c r="AA86" i="13"/>
  <c r="Z86" i="13"/>
  <c r="Y86" i="13"/>
  <c r="X86" i="13"/>
  <c r="W86" i="13"/>
  <c r="V86" i="13"/>
  <c r="U86" i="13"/>
  <c r="AD85" i="13"/>
  <c r="AC85" i="13"/>
  <c r="AB85" i="13"/>
  <c r="AA85" i="13"/>
  <c r="Z85" i="13"/>
  <c r="Y85" i="13"/>
  <c r="X85" i="13"/>
  <c r="W85" i="13"/>
  <c r="V85" i="13"/>
  <c r="U85" i="13"/>
  <c r="AD84" i="13"/>
  <c r="AC84" i="13"/>
  <c r="AB84" i="13"/>
  <c r="AA84" i="13"/>
  <c r="Z84" i="13"/>
  <c r="Y84" i="13"/>
  <c r="X84" i="13"/>
  <c r="W84" i="13"/>
  <c r="V84" i="13"/>
  <c r="U84" i="13"/>
  <c r="AD83" i="13"/>
  <c r="AC83" i="13"/>
  <c r="AB83" i="13"/>
  <c r="AA83" i="13"/>
  <c r="Z83" i="13"/>
  <c r="Y83" i="13"/>
  <c r="X83" i="13"/>
  <c r="W83" i="13"/>
  <c r="V83" i="13"/>
  <c r="U83" i="13"/>
  <c r="AD82" i="13"/>
  <c r="AC82" i="13"/>
  <c r="AB82" i="13"/>
  <c r="AA82" i="13"/>
  <c r="Z82" i="13"/>
  <c r="Y82" i="13"/>
  <c r="X82" i="13"/>
  <c r="W82" i="13"/>
  <c r="V82" i="13"/>
  <c r="U82" i="13"/>
  <c r="AD81" i="13"/>
  <c r="AC81" i="13"/>
  <c r="AB81" i="13"/>
  <c r="AA81" i="13"/>
  <c r="Z81" i="13"/>
  <c r="Y81" i="13"/>
  <c r="X81" i="13"/>
  <c r="W81" i="13"/>
  <c r="V81" i="13"/>
  <c r="U81" i="13"/>
  <c r="AD80" i="13"/>
  <c r="AC80" i="13"/>
  <c r="AB80" i="13"/>
  <c r="AA80" i="13"/>
  <c r="Z80" i="13"/>
  <c r="Y80" i="13"/>
  <c r="X80" i="13"/>
  <c r="W80" i="13"/>
  <c r="V80" i="13"/>
  <c r="U80" i="13"/>
  <c r="AD79" i="13"/>
  <c r="AC79" i="13"/>
  <c r="AB79" i="13"/>
  <c r="AA79" i="13"/>
  <c r="Z79" i="13"/>
  <c r="Y79" i="13"/>
  <c r="X79" i="13"/>
  <c r="W79" i="13"/>
  <c r="V79" i="13"/>
  <c r="U79" i="13"/>
  <c r="AD78" i="13"/>
  <c r="AC78" i="13"/>
  <c r="AB78" i="13"/>
  <c r="AA78" i="13"/>
  <c r="Z78" i="13"/>
  <c r="Y78" i="13"/>
  <c r="X78" i="13"/>
  <c r="W78" i="13"/>
  <c r="V78" i="13"/>
  <c r="U78" i="13"/>
  <c r="AD77" i="13"/>
  <c r="AC77" i="13"/>
  <c r="AB77" i="13"/>
  <c r="AA77" i="13"/>
  <c r="Z77" i="13"/>
  <c r="Y77" i="13"/>
  <c r="X77" i="13"/>
  <c r="W77" i="13"/>
  <c r="V77" i="13"/>
  <c r="U77" i="13"/>
  <c r="AD76" i="13"/>
  <c r="AC76" i="13"/>
  <c r="AB76" i="13"/>
  <c r="AA76" i="13"/>
  <c r="Z76" i="13"/>
  <c r="Y76" i="13"/>
  <c r="X76" i="13"/>
  <c r="W76" i="13"/>
  <c r="V76" i="13"/>
  <c r="U76" i="13"/>
  <c r="AD75" i="13"/>
  <c r="AC75" i="13"/>
  <c r="AB75" i="13"/>
  <c r="AA75" i="13"/>
  <c r="Z75" i="13"/>
  <c r="Y75" i="13"/>
  <c r="X75" i="13"/>
  <c r="W75" i="13"/>
  <c r="V75" i="13"/>
  <c r="U75" i="13"/>
  <c r="AD54" i="13"/>
  <c r="AC54" i="13"/>
  <c r="AB54" i="13"/>
  <c r="AA54" i="13"/>
  <c r="Z54" i="13"/>
  <c r="Y54" i="13"/>
  <c r="X54" i="13"/>
  <c r="W54" i="13"/>
  <c r="V54" i="13"/>
  <c r="U54" i="13"/>
  <c r="AD53" i="13"/>
  <c r="AC53" i="13"/>
  <c r="AB53" i="13"/>
  <c r="AA53" i="13"/>
  <c r="Z53" i="13"/>
  <c r="Y53" i="13"/>
  <c r="X53" i="13"/>
  <c r="W53" i="13"/>
  <c r="V53" i="13"/>
  <c r="U53" i="13"/>
  <c r="AD52" i="13"/>
  <c r="AC52" i="13"/>
  <c r="AB52" i="13"/>
  <c r="AA52" i="13"/>
  <c r="Z52" i="13"/>
  <c r="Y52" i="13"/>
  <c r="X52" i="13"/>
  <c r="W52" i="13"/>
  <c r="V52" i="13"/>
  <c r="U52" i="13"/>
  <c r="AD51" i="13"/>
  <c r="AC51" i="13"/>
  <c r="AB51" i="13"/>
  <c r="AA51" i="13"/>
  <c r="Z51" i="13"/>
  <c r="Y51" i="13"/>
  <c r="X51" i="13"/>
  <c r="W51" i="13"/>
  <c r="V51" i="13"/>
  <c r="U51" i="13"/>
  <c r="AD50" i="13"/>
  <c r="AC50" i="13"/>
  <c r="AB50" i="13"/>
  <c r="AA50" i="13"/>
  <c r="Z50" i="13"/>
  <c r="Y50" i="13"/>
  <c r="X50" i="13"/>
  <c r="W50" i="13"/>
  <c r="V50" i="13"/>
  <c r="U50" i="13"/>
  <c r="AD49" i="13"/>
  <c r="AC49" i="13"/>
  <c r="AB49" i="13"/>
  <c r="AA49" i="13"/>
  <c r="Z49" i="13"/>
  <c r="Y49" i="13"/>
  <c r="X49" i="13"/>
  <c r="W49" i="13"/>
  <c r="V49" i="13"/>
  <c r="U49" i="13"/>
  <c r="AD48" i="13"/>
  <c r="AC48" i="13"/>
  <c r="AB48" i="13"/>
  <c r="AA48" i="13"/>
  <c r="Z48" i="13"/>
  <c r="Y48" i="13"/>
  <c r="X48" i="13"/>
  <c r="W48" i="13"/>
  <c r="V48" i="13"/>
  <c r="U48" i="13"/>
  <c r="AD47" i="13"/>
  <c r="AC47" i="13"/>
  <c r="AB47" i="13"/>
  <c r="AA47" i="13"/>
  <c r="Z47" i="13"/>
  <c r="Y47" i="13"/>
  <c r="X47" i="13"/>
  <c r="W47" i="13"/>
  <c r="V47" i="13"/>
  <c r="U47" i="13"/>
  <c r="AD46" i="13"/>
  <c r="AC46" i="13"/>
  <c r="AB46" i="13"/>
  <c r="AA46" i="13"/>
  <c r="Z46" i="13"/>
  <c r="Y46" i="13"/>
  <c r="X46" i="13"/>
  <c r="W46" i="13"/>
  <c r="V46" i="13"/>
  <c r="U46" i="13"/>
  <c r="AD45" i="13"/>
  <c r="AC45" i="13"/>
  <c r="AB45" i="13"/>
  <c r="AA45" i="13"/>
  <c r="Z45" i="13"/>
  <c r="Y45" i="13"/>
  <c r="X45" i="13"/>
  <c r="W45" i="13"/>
  <c r="V45" i="13"/>
  <c r="U45" i="13"/>
  <c r="AD44" i="13"/>
  <c r="AC44" i="13"/>
  <c r="AB44" i="13"/>
  <c r="AA44" i="13"/>
  <c r="Z44" i="13"/>
  <c r="Y44" i="13"/>
  <c r="X44" i="13"/>
  <c r="W44" i="13"/>
  <c r="V44" i="13"/>
  <c r="U44" i="13"/>
  <c r="AD43" i="13"/>
  <c r="AC43" i="13"/>
  <c r="AB43" i="13"/>
  <c r="AA43" i="13"/>
  <c r="Z43" i="13"/>
  <c r="Y43" i="13"/>
  <c r="X43" i="13"/>
  <c r="W43" i="13"/>
  <c r="V43" i="13"/>
  <c r="U43" i="13"/>
  <c r="AD42" i="13"/>
  <c r="AC42" i="13"/>
  <c r="AB42" i="13"/>
  <c r="AA42" i="13"/>
  <c r="Z42" i="13"/>
  <c r="Y42" i="13"/>
  <c r="X42" i="13"/>
  <c r="W42" i="13"/>
  <c r="V42" i="13"/>
  <c r="U42" i="13"/>
  <c r="AD41" i="13"/>
  <c r="AC41" i="13"/>
  <c r="AB41" i="13"/>
  <c r="AA41" i="13"/>
  <c r="Z41" i="13"/>
  <c r="Y41" i="13"/>
  <c r="X41" i="13"/>
  <c r="W41" i="13"/>
  <c r="V41" i="13"/>
  <c r="U41" i="13"/>
  <c r="AD40" i="13"/>
  <c r="AC40" i="13"/>
  <c r="AB40" i="13"/>
  <c r="AA40" i="13"/>
  <c r="Z40" i="13"/>
  <c r="Y40" i="13"/>
  <c r="X40" i="13"/>
  <c r="W40" i="13"/>
  <c r="V40" i="13"/>
  <c r="U40" i="13"/>
  <c r="AD39" i="13"/>
  <c r="AC39" i="13"/>
  <c r="AB39" i="13"/>
  <c r="AA39" i="13"/>
  <c r="Z39" i="13"/>
  <c r="Y39" i="13"/>
  <c r="X39" i="13"/>
  <c r="W39" i="13"/>
  <c r="V39" i="13"/>
  <c r="U39" i="13"/>
  <c r="AD38" i="13"/>
  <c r="AC38" i="13"/>
  <c r="AB38" i="13"/>
  <c r="AA38" i="13"/>
  <c r="Z38" i="13"/>
  <c r="Y38" i="13"/>
  <c r="X38" i="13"/>
  <c r="W38" i="13"/>
  <c r="V38" i="13"/>
  <c r="U38" i="13"/>
  <c r="AD37" i="13"/>
  <c r="AC37" i="13"/>
  <c r="AB37" i="13"/>
  <c r="AA37" i="13"/>
  <c r="Z37" i="13"/>
  <c r="Y37" i="13"/>
  <c r="X37" i="13"/>
  <c r="W37" i="13"/>
  <c r="V37" i="13"/>
  <c r="U37" i="13"/>
  <c r="AD36" i="13"/>
  <c r="AC36" i="13"/>
  <c r="AB36" i="13"/>
  <c r="AA36" i="13"/>
  <c r="Z36" i="13"/>
  <c r="Y36" i="13"/>
  <c r="X36" i="13"/>
  <c r="W36" i="13"/>
  <c r="V36" i="13"/>
  <c r="U36" i="13"/>
  <c r="AD35" i="13"/>
  <c r="AC35" i="13"/>
  <c r="AB35" i="13"/>
  <c r="AA35" i="13"/>
  <c r="Z35" i="13"/>
  <c r="Y35" i="13"/>
  <c r="X35" i="13"/>
  <c r="W35" i="13"/>
  <c r="V35" i="13"/>
  <c r="U35" i="13"/>
  <c r="AD34" i="13"/>
  <c r="AC34" i="13"/>
  <c r="AB34" i="13"/>
  <c r="AA34" i="13"/>
  <c r="Z34" i="13"/>
  <c r="Y34" i="13"/>
  <c r="X34" i="13"/>
  <c r="W34" i="13"/>
  <c r="V34" i="13"/>
  <c r="U34" i="13"/>
  <c r="AD33" i="13"/>
  <c r="AC33" i="13"/>
  <c r="AB33" i="13"/>
  <c r="AA33" i="13"/>
  <c r="Z33" i="13"/>
  <c r="Y33" i="13"/>
  <c r="X33" i="13"/>
  <c r="W33" i="13"/>
  <c r="V33" i="13"/>
  <c r="U33" i="13"/>
  <c r="AD32" i="13"/>
  <c r="AC32" i="13"/>
  <c r="AB32" i="13"/>
  <c r="AA32" i="13"/>
  <c r="Z32" i="13"/>
  <c r="Y32" i="13"/>
  <c r="X32" i="13"/>
  <c r="W32" i="13"/>
  <c r="V32" i="13"/>
  <c r="U32" i="13"/>
  <c r="AD31" i="13"/>
  <c r="AC31" i="13"/>
  <c r="AB31" i="13"/>
  <c r="AA31" i="13"/>
  <c r="Z31" i="13"/>
  <c r="Y31" i="13"/>
  <c r="X31" i="13"/>
  <c r="W31" i="13"/>
  <c r="V31" i="13"/>
  <c r="U31" i="13"/>
  <c r="AD30" i="13"/>
  <c r="AC30" i="13"/>
  <c r="AB30" i="13"/>
  <c r="AA30" i="13"/>
  <c r="Z30" i="13"/>
  <c r="Y30" i="13"/>
  <c r="X30" i="13"/>
  <c r="W30" i="13"/>
  <c r="V30" i="13"/>
  <c r="U30" i="13"/>
  <c r="AD29" i="13"/>
  <c r="AC29" i="13"/>
  <c r="AB29" i="13"/>
  <c r="AA29" i="13"/>
  <c r="Z29" i="13"/>
  <c r="Y29" i="13"/>
  <c r="X29" i="13"/>
  <c r="W29" i="13"/>
  <c r="V29" i="13"/>
  <c r="U29" i="13"/>
  <c r="AD28" i="13"/>
  <c r="AC28" i="13"/>
  <c r="AB28" i="13"/>
  <c r="AA28" i="13"/>
  <c r="Z28" i="13"/>
  <c r="Y28" i="13"/>
  <c r="X28" i="13"/>
  <c r="W28" i="13"/>
  <c r="V28" i="13"/>
  <c r="U28" i="13"/>
  <c r="AD27" i="13"/>
  <c r="AC27" i="13"/>
  <c r="AB27" i="13"/>
  <c r="AA27" i="13"/>
  <c r="Z27" i="13"/>
  <c r="Y27" i="13"/>
  <c r="X27" i="13"/>
  <c r="W27" i="13"/>
  <c r="V27" i="13"/>
  <c r="U27" i="13"/>
  <c r="AD26" i="13"/>
  <c r="AC26" i="13"/>
  <c r="AB26" i="13"/>
  <c r="AA26" i="13"/>
  <c r="Z26" i="13"/>
  <c r="Y26" i="13"/>
  <c r="X26" i="13"/>
  <c r="W26" i="13"/>
  <c r="V26" i="13"/>
  <c r="U26" i="13"/>
  <c r="AD25" i="13"/>
  <c r="AC25" i="13"/>
  <c r="AB25" i="13"/>
  <c r="AA25" i="13"/>
  <c r="Z25" i="13"/>
  <c r="Y25" i="13"/>
  <c r="X25" i="13"/>
  <c r="W25" i="13"/>
  <c r="V25" i="13"/>
  <c r="U25" i="13"/>
  <c r="AD24" i="13"/>
  <c r="AC24" i="13"/>
  <c r="AB24" i="13"/>
  <c r="AA24" i="13"/>
  <c r="Z24" i="13"/>
  <c r="Y24" i="13"/>
  <c r="X24" i="13"/>
  <c r="W24" i="13"/>
  <c r="V24" i="13"/>
  <c r="U24" i="13"/>
  <c r="AD23" i="13"/>
  <c r="AC23" i="13"/>
  <c r="AB23" i="13"/>
  <c r="AA23" i="13"/>
  <c r="Z23" i="13"/>
  <c r="Y23" i="13"/>
  <c r="X23" i="13"/>
  <c r="W23" i="13"/>
  <c r="V23" i="13"/>
  <c r="U23" i="13"/>
  <c r="AD22" i="13"/>
  <c r="AC22" i="13"/>
  <c r="AB22" i="13"/>
  <c r="AA22" i="13"/>
  <c r="Z22" i="13"/>
  <c r="Y22" i="13"/>
  <c r="X22" i="13"/>
  <c r="W22" i="13"/>
  <c r="V22" i="13"/>
  <c r="U22" i="13"/>
  <c r="AD21" i="13"/>
  <c r="AC21" i="13"/>
  <c r="AB21" i="13"/>
  <c r="AA21" i="13"/>
  <c r="Z21" i="13"/>
  <c r="Y21" i="13"/>
  <c r="X21" i="13"/>
  <c r="W21" i="13"/>
  <c r="V21" i="13"/>
  <c r="U21" i="13"/>
  <c r="AD20" i="13"/>
  <c r="AC20" i="13"/>
  <c r="AB20" i="13"/>
  <c r="AA20" i="13"/>
  <c r="Z20" i="13"/>
  <c r="Y20" i="13"/>
  <c r="X20" i="13"/>
  <c r="W20" i="13"/>
  <c r="V20" i="13"/>
  <c r="U20" i="13"/>
  <c r="AD19" i="13"/>
  <c r="AC19" i="13"/>
  <c r="AB19" i="13"/>
  <c r="AA19" i="13"/>
  <c r="Z19" i="13"/>
  <c r="Y19" i="13"/>
  <c r="X19" i="13"/>
  <c r="W19" i="13"/>
  <c r="V19" i="13"/>
  <c r="U19" i="13"/>
  <c r="AD104" i="12"/>
  <c r="AC104" i="12"/>
  <c r="AB104" i="12"/>
  <c r="AA104" i="12"/>
  <c r="Z104" i="12"/>
  <c r="Y104" i="12"/>
  <c r="X104" i="12"/>
  <c r="W104" i="12"/>
  <c r="V104" i="12"/>
  <c r="U104" i="12"/>
  <c r="AD103" i="12"/>
  <c r="AC103" i="12"/>
  <c r="AB103" i="12"/>
  <c r="AA103" i="12"/>
  <c r="Z103" i="12"/>
  <c r="Y103" i="12"/>
  <c r="X103" i="12"/>
  <c r="W103" i="12"/>
  <c r="V103" i="12"/>
  <c r="U103" i="12"/>
  <c r="AD102" i="12"/>
  <c r="AC102" i="12"/>
  <c r="AB102" i="12"/>
  <c r="AA102" i="12"/>
  <c r="Z102" i="12"/>
  <c r="Y102" i="12"/>
  <c r="X102" i="12"/>
  <c r="W102" i="12"/>
  <c r="V102" i="12"/>
  <c r="U102" i="12"/>
  <c r="AD101" i="12"/>
  <c r="AC101" i="12"/>
  <c r="AB101" i="12"/>
  <c r="AA101" i="12"/>
  <c r="Z101" i="12"/>
  <c r="Y101" i="12"/>
  <c r="X101" i="12"/>
  <c r="W101" i="12"/>
  <c r="V101" i="12"/>
  <c r="U101" i="12"/>
  <c r="AD100" i="12"/>
  <c r="AC100" i="12"/>
  <c r="AB100" i="12"/>
  <c r="AA100" i="12"/>
  <c r="Z100" i="12"/>
  <c r="Y100" i="12"/>
  <c r="X100" i="12"/>
  <c r="W100" i="12"/>
  <c r="V100" i="12"/>
  <c r="U100" i="12"/>
  <c r="AD99" i="12"/>
  <c r="AC99" i="12"/>
  <c r="AB99" i="12"/>
  <c r="AA99" i="12"/>
  <c r="Z99" i="12"/>
  <c r="Y99" i="12"/>
  <c r="X99" i="12"/>
  <c r="W99" i="12"/>
  <c r="V99" i="12"/>
  <c r="U99" i="12"/>
  <c r="AD98" i="12"/>
  <c r="AC98" i="12"/>
  <c r="AB98" i="12"/>
  <c r="AA98" i="12"/>
  <c r="Z98" i="12"/>
  <c r="Y98" i="12"/>
  <c r="X98" i="12"/>
  <c r="W98" i="12"/>
  <c r="V98" i="12"/>
  <c r="U98" i="12"/>
  <c r="AD97" i="12"/>
  <c r="AC97" i="12"/>
  <c r="AB97" i="12"/>
  <c r="AA97" i="12"/>
  <c r="Z97" i="12"/>
  <c r="Y97" i="12"/>
  <c r="X97" i="12"/>
  <c r="W97" i="12"/>
  <c r="V97" i="12"/>
  <c r="U97" i="12"/>
  <c r="AD96" i="12"/>
  <c r="AC96" i="12"/>
  <c r="AB96" i="12"/>
  <c r="AA96" i="12"/>
  <c r="Z96" i="12"/>
  <c r="Y96" i="12"/>
  <c r="X96" i="12"/>
  <c r="W96" i="12"/>
  <c r="V96" i="12"/>
  <c r="U96" i="12"/>
  <c r="AD95" i="12"/>
  <c r="AC95" i="12"/>
  <c r="AB95" i="12"/>
  <c r="AA95" i="12"/>
  <c r="Z95" i="12"/>
  <c r="Y95" i="12"/>
  <c r="X95" i="12"/>
  <c r="W95" i="12"/>
  <c r="V95" i="12"/>
  <c r="U95" i="12"/>
  <c r="AD94" i="12"/>
  <c r="AC94" i="12"/>
  <c r="AB94" i="12"/>
  <c r="AA94" i="12"/>
  <c r="Z94" i="12"/>
  <c r="Y94" i="12"/>
  <c r="X94" i="12"/>
  <c r="W94" i="12"/>
  <c r="V94" i="12"/>
  <c r="U94" i="12"/>
  <c r="AD93" i="12"/>
  <c r="AC93" i="12"/>
  <c r="AB93" i="12"/>
  <c r="AA93" i="12"/>
  <c r="Z93" i="12"/>
  <c r="Y93" i="12"/>
  <c r="X93" i="12"/>
  <c r="W93" i="12"/>
  <c r="V93" i="12"/>
  <c r="U93" i="12"/>
  <c r="AD92" i="12"/>
  <c r="AC92" i="12"/>
  <c r="AB92" i="12"/>
  <c r="AA92" i="12"/>
  <c r="Z92" i="12"/>
  <c r="Y92" i="12"/>
  <c r="X92" i="12"/>
  <c r="W92" i="12"/>
  <c r="V92" i="12"/>
  <c r="U92" i="12"/>
  <c r="AD91" i="12"/>
  <c r="AC91" i="12"/>
  <c r="AB91" i="12"/>
  <c r="AA91" i="12"/>
  <c r="Z91" i="12"/>
  <c r="Y91" i="12"/>
  <c r="X91" i="12"/>
  <c r="W91" i="12"/>
  <c r="V91" i="12"/>
  <c r="U91" i="12"/>
  <c r="AD90" i="12"/>
  <c r="AC90" i="12"/>
  <c r="AB90" i="12"/>
  <c r="AA90" i="12"/>
  <c r="Z90" i="12"/>
  <c r="Y90" i="12"/>
  <c r="X90" i="12"/>
  <c r="W90" i="12"/>
  <c r="V90" i="12"/>
  <c r="U90" i="12"/>
  <c r="AD89" i="12"/>
  <c r="AC89" i="12"/>
  <c r="AB89" i="12"/>
  <c r="AA89" i="12"/>
  <c r="Z89" i="12"/>
  <c r="Y89" i="12"/>
  <c r="X89" i="12"/>
  <c r="W89" i="12"/>
  <c r="V89" i="12"/>
  <c r="U89" i="12"/>
  <c r="AD88" i="12"/>
  <c r="AC88" i="12"/>
  <c r="AB88" i="12"/>
  <c r="AA88" i="12"/>
  <c r="Z88" i="12"/>
  <c r="Y88" i="12"/>
  <c r="X88" i="12"/>
  <c r="W88" i="12"/>
  <c r="V88" i="12"/>
  <c r="U88" i="12"/>
  <c r="AD87" i="12"/>
  <c r="AC87" i="12"/>
  <c r="AB87" i="12"/>
  <c r="AA87" i="12"/>
  <c r="Z87" i="12"/>
  <c r="Y87" i="12"/>
  <c r="X87" i="12"/>
  <c r="W87" i="12"/>
  <c r="V87" i="12"/>
  <c r="U87" i="12"/>
  <c r="AD86" i="12"/>
  <c r="AC86" i="12"/>
  <c r="AB86" i="12"/>
  <c r="AA86" i="12"/>
  <c r="Z86" i="12"/>
  <c r="Y86" i="12"/>
  <c r="X86" i="12"/>
  <c r="W86" i="12"/>
  <c r="V86" i="12"/>
  <c r="U86" i="12"/>
  <c r="AD85" i="12"/>
  <c r="AC85" i="12"/>
  <c r="AB85" i="12"/>
  <c r="AA85" i="12"/>
  <c r="Z85" i="12"/>
  <c r="Y85" i="12"/>
  <c r="X85" i="12"/>
  <c r="W85" i="12"/>
  <c r="V85" i="12"/>
  <c r="U85" i="12"/>
  <c r="AD84" i="12"/>
  <c r="AC84" i="12"/>
  <c r="AB84" i="12"/>
  <c r="AA84" i="12"/>
  <c r="Z84" i="12"/>
  <c r="Y84" i="12"/>
  <c r="X84" i="12"/>
  <c r="W84" i="12"/>
  <c r="V84" i="12"/>
  <c r="U84" i="12"/>
  <c r="AD83" i="12"/>
  <c r="AC83" i="12"/>
  <c r="AB83" i="12"/>
  <c r="AA83" i="12"/>
  <c r="Z83" i="12"/>
  <c r="Y83" i="12"/>
  <c r="X83" i="12"/>
  <c r="W83" i="12"/>
  <c r="V83" i="12"/>
  <c r="U83" i="12"/>
  <c r="AD82" i="12"/>
  <c r="AC82" i="12"/>
  <c r="AB82" i="12"/>
  <c r="AA82" i="12"/>
  <c r="Z82" i="12"/>
  <c r="Y82" i="12"/>
  <c r="X82" i="12"/>
  <c r="W82" i="12"/>
  <c r="V82" i="12"/>
  <c r="U82" i="12"/>
  <c r="AD81" i="12"/>
  <c r="AC81" i="12"/>
  <c r="AB81" i="12"/>
  <c r="AA81" i="12"/>
  <c r="Z81" i="12"/>
  <c r="Y81" i="12"/>
  <c r="X81" i="12"/>
  <c r="W81" i="12"/>
  <c r="V81" i="12"/>
  <c r="U81" i="12"/>
  <c r="AD80" i="12"/>
  <c r="AC80" i="12"/>
  <c r="AB80" i="12"/>
  <c r="AA80" i="12"/>
  <c r="Z80" i="12"/>
  <c r="Y80" i="12"/>
  <c r="X80" i="12"/>
  <c r="W80" i="12"/>
  <c r="V80" i="12"/>
  <c r="U80" i="12"/>
  <c r="AD79" i="12"/>
  <c r="AC79" i="12"/>
  <c r="AB79" i="12"/>
  <c r="AA79" i="12"/>
  <c r="Z79" i="12"/>
  <c r="Y79" i="12"/>
  <c r="X79" i="12"/>
  <c r="W79" i="12"/>
  <c r="V79" i="12"/>
  <c r="U79" i="12"/>
  <c r="AD78" i="12"/>
  <c r="AC78" i="12"/>
  <c r="AB78" i="12"/>
  <c r="AA78" i="12"/>
  <c r="Z78" i="12"/>
  <c r="Y78" i="12"/>
  <c r="X78" i="12"/>
  <c r="W78" i="12"/>
  <c r="V78" i="12"/>
  <c r="U78" i="12"/>
  <c r="AD77" i="12"/>
  <c r="AC77" i="12"/>
  <c r="AB77" i="12"/>
  <c r="AA77" i="12"/>
  <c r="Z77" i="12"/>
  <c r="Y77" i="12"/>
  <c r="X77" i="12"/>
  <c r="W77" i="12"/>
  <c r="V77" i="12"/>
  <c r="U77" i="12"/>
  <c r="AD76" i="12"/>
  <c r="AC76" i="12"/>
  <c r="AB76" i="12"/>
  <c r="AA76" i="12"/>
  <c r="Z76" i="12"/>
  <c r="Y76" i="12"/>
  <c r="X76" i="12"/>
  <c r="W76" i="12"/>
  <c r="V76" i="12"/>
  <c r="U76" i="12"/>
  <c r="AD75" i="12"/>
  <c r="AC75" i="12"/>
  <c r="AB75" i="12"/>
  <c r="AA75" i="12"/>
  <c r="Z75" i="12"/>
  <c r="Y75" i="12"/>
  <c r="X75" i="12"/>
  <c r="W75" i="12"/>
  <c r="V75" i="12"/>
  <c r="U75" i="12"/>
  <c r="AD54" i="12"/>
  <c r="AC54" i="12"/>
  <c r="AB54" i="12"/>
  <c r="AA54" i="12"/>
  <c r="Z54" i="12"/>
  <c r="Y54" i="12"/>
  <c r="X54" i="12"/>
  <c r="W54" i="12"/>
  <c r="V54" i="12"/>
  <c r="U54" i="12"/>
  <c r="AD53" i="12"/>
  <c r="AC53" i="12"/>
  <c r="AB53" i="12"/>
  <c r="AA53" i="12"/>
  <c r="Z53" i="12"/>
  <c r="Y53" i="12"/>
  <c r="X53" i="12"/>
  <c r="W53" i="12"/>
  <c r="V53" i="12"/>
  <c r="U53" i="12"/>
  <c r="AD52" i="12"/>
  <c r="AC52" i="12"/>
  <c r="AB52" i="12"/>
  <c r="AA52" i="12"/>
  <c r="Z52" i="12"/>
  <c r="Y52" i="12"/>
  <c r="X52" i="12"/>
  <c r="W52" i="12"/>
  <c r="V52" i="12"/>
  <c r="U52" i="12"/>
  <c r="AD51" i="12"/>
  <c r="AC51" i="12"/>
  <c r="AB51" i="12"/>
  <c r="AA51" i="12"/>
  <c r="Z51" i="12"/>
  <c r="Y51" i="12"/>
  <c r="X51" i="12"/>
  <c r="W51" i="12"/>
  <c r="V51" i="12"/>
  <c r="U51" i="12"/>
  <c r="AD50" i="12"/>
  <c r="AC50" i="12"/>
  <c r="AB50" i="12"/>
  <c r="AA50" i="12"/>
  <c r="Z50" i="12"/>
  <c r="Y50" i="12"/>
  <c r="X50" i="12"/>
  <c r="W50" i="12"/>
  <c r="V50" i="12"/>
  <c r="U50" i="12"/>
  <c r="AD49" i="12"/>
  <c r="AC49" i="12"/>
  <c r="AB49" i="12"/>
  <c r="AA49" i="12"/>
  <c r="Z49" i="12"/>
  <c r="Y49" i="12"/>
  <c r="X49" i="12"/>
  <c r="W49" i="12"/>
  <c r="V49" i="12"/>
  <c r="U49" i="12"/>
  <c r="AD48" i="12"/>
  <c r="AC48" i="12"/>
  <c r="AB48" i="12"/>
  <c r="AA48" i="12"/>
  <c r="Z48" i="12"/>
  <c r="Y48" i="12"/>
  <c r="X48" i="12"/>
  <c r="W48" i="12"/>
  <c r="V48" i="12"/>
  <c r="U48" i="12"/>
  <c r="AD47" i="12"/>
  <c r="AC47" i="12"/>
  <c r="AB47" i="12"/>
  <c r="AA47" i="12"/>
  <c r="Z47" i="12"/>
  <c r="Y47" i="12"/>
  <c r="X47" i="12"/>
  <c r="W47" i="12"/>
  <c r="V47" i="12"/>
  <c r="U47" i="12"/>
  <c r="AD46" i="12"/>
  <c r="AC46" i="12"/>
  <c r="AB46" i="12"/>
  <c r="AA46" i="12"/>
  <c r="Z46" i="12"/>
  <c r="Y46" i="12"/>
  <c r="X46" i="12"/>
  <c r="W46" i="12"/>
  <c r="V46" i="12"/>
  <c r="U46" i="12"/>
  <c r="AD45" i="12"/>
  <c r="AC45" i="12"/>
  <c r="AB45" i="12"/>
  <c r="AA45" i="12"/>
  <c r="Z45" i="12"/>
  <c r="Y45" i="12"/>
  <c r="X45" i="12"/>
  <c r="W45" i="12"/>
  <c r="V45" i="12"/>
  <c r="U45" i="12"/>
  <c r="AD44" i="12"/>
  <c r="AC44" i="12"/>
  <c r="AB44" i="12"/>
  <c r="AA44" i="12"/>
  <c r="Z44" i="12"/>
  <c r="Y44" i="12"/>
  <c r="X44" i="12"/>
  <c r="W44" i="12"/>
  <c r="V44" i="12"/>
  <c r="U44" i="12"/>
  <c r="AD43" i="12"/>
  <c r="AC43" i="12"/>
  <c r="AB43" i="12"/>
  <c r="AA43" i="12"/>
  <c r="Z43" i="12"/>
  <c r="Y43" i="12"/>
  <c r="X43" i="12"/>
  <c r="W43" i="12"/>
  <c r="V43" i="12"/>
  <c r="U43" i="12"/>
  <c r="AD42" i="12"/>
  <c r="AC42" i="12"/>
  <c r="AB42" i="12"/>
  <c r="AA42" i="12"/>
  <c r="Z42" i="12"/>
  <c r="Y42" i="12"/>
  <c r="X42" i="12"/>
  <c r="W42" i="12"/>
  <c r="V42" i="12"/>
  <c r="U42" i="12"/>
  <c r="AD41" i="12"/>
  <c r="AC41" i="12"/>
  <c r="AB41" i="12"/>
  <c r="AA41" i="12"/>
  <c r="Z41" i="12"/>
  <c r="Y41" i="12"/>
  <c r="X41" i="12"/>
  <c r="W41" i="12"/>
  <c r="V41" i="12"/>
  <c r="U41" i="12"/>
  <c r="AD40" i="12"/>
  <c r="AC40" i="12"/>
  <c r="AB40" i="12"/>
  <c r="AA40" i="12"/>
  <c r="Z40" i="12"/>
  <c r="Y40" i="12"/>
  <c r="X40" i="12"/>
  <c r="W40" i="12"/>
  <c r="V40" i="12"/>
  <c r="U40" i="12"/>
  <c r="AD39" i="12"/>
  <c r="AC39" i="12"/>
  <c r="AB39" i="12"/>
  <c r="AA39" i="12"/>
  <c r="Z39" i="12"/>
  <c r="Y39" i="12"/>
  <c r="X39" i="12"/>
  <c r="W39" i="12"/>
  <c r="V39" i="12"/>
  <c r="U39" i="12"/>
  <c r="AD38" i="12"/>
  <c r="AC38" i="12"/>
  <c r="AB38" i="12"/>
  <c r="AA38" i="12"/>
  <c r="Z38" i="12"/>
  <c r="Y38" i="12"/>
  <c r="X38" i="12"/>
  <c r="W38" i="12"/>
  <c r="V38" i="12"/>
  <c r="U38" i="12"/>
  <c r="AD37" i="12"/>
  <c r="AC37" i="12"/>
  <c r="AB37" i="12"/>
  <c r="AA37" i="12"/>
  <c r="Z37" i="12"/>
  <c r="Y37" i="12"/>
  <c r="X37" i="12"/>
  <c r="W37" i="12"/>
  <c r="V37" i="12"/>
  <c r="U37" i="12"/>
  <c r="AD36" i="12"/>
  <c r="AC36" i="12"/>
  <c r="AB36" i="12"/>
  <c r="AA36" i="12"/>
  <c r="Z36" i="12"/>
  <c r="Y36" i="12"/>
  <c r="X36" i="12"/>
  <c r="W36" i="12"/>
  <c r="V36" i="12"/>
  <c r="U36" i="12"/>
  <c r="AD35" i="12"/>
  <c r="AC35" i="12"/>
  <c r="AB35" i="12"/>
  <c r="AA35" i="12"/>
  <c r="Z35" i="12"/>
  <c r="Y35" i="12"/>
  <c r="X35" i="12"/>
  <c r="W35" i="12"/>
  <c r="V35" i="12"/>
  <c r="U35" i="12"/>
  <c r="AD34" i="12"/>
  <c r="AC34" i="12"/>
  <c r="AB34" i="12"/>
  <c r="AA34" i="12"/>
  <c r="Z34" i="12"/>
  <c r="Y34" i="12"/>
  <c r="X34" i="12"/>
  <c r="W34" i="12"/>
  <c r="V34" i="12"/>
  <c r="U34" i="12"/>
  <c r="AD33" i="12"/>
  <c r="AC33" i="12"/>
  <c r="AB33" i="12"/>
  <c r="AA33" i="12"/>
  <c r="Z33" i="12"/>
  <c r="Y33" i="12"/>
  <c r="X33" i="12"/>
  <c r="W33" i="12"/>
  <c r="V33" i="12"/>
  <c r="U33" i="12"/>
  <c r="AD32" i="12"/>
  <c r="AC32" i="12"/>
  <c r="AB32" i="12"/>
  <c r="AA32" i="12"/>
  <c r="Z32" i="12"/>
  <c r="Y32" i="12"/>
  <c r="X32" i="12"/>
  <c r="W32" i="12"/>
  <c r="V32" i="12"/>
  <c r="U32" i="12"/>
  <c r="AD31" i="12"/>
  <c r="AC31" i="12"/>
  <c r="AB31" i="12"/>
  <c r="AA31" i="12"/>
  <c r="Z31" i="12"/>
  <c r="Y31" i="12"/>
  <c r="X31" i="12"/>
  <c r="W31" i="12"/>
  <c r="V31" i="12"/>
  <c r="U31" i="12"/>
  <c r="AD30" i="12"/>
  <c r="AC30" i="12"/>
  <c r="AB30" i="12"/>
  <c r="AA30" i="12"/>
  <c r="Z30" i="12"/>
  <c r="Y30" i="12"/>
  <c r="X30" i="12"/>
  <c r="W30" i="12"/>
  <c r="V30" i="12"/>
  <c r="U30" i="12"/>
  <c r="AD29" i="12"/>
  <c r="AC29" i="12"/>
  <c r="AB29" i="12"/>
  <c r="AA29" i="12"/>
  <c r="Z29" i="12"/>
  <c r="Y29" i="12"/>
  <c r="X29" i="12"/>
  <c r="W29" i="12"/>
  <c r="V29" i="12"/>
  <c r="U29" i="12"/>
  <c r="AD28" i="12"/>
  <c r="AC28" i="12"/>
  <c r="AB28" i="12"/>
  <c r="AA28" i="12"/>
  <c r="Z28" i="12"/>
  <c r="Y28" i="12"/>
  <c r="X28" i="12"/>
  <c r="W28" i="12"/>
  <c r="V28" i="12"/>
  <c r="U28" i="12"/>
  <c r="AD27" i="12"/>
  <c r="AC27" i="12"/>
  <c r="AB27" i="12"/>
  <c r="AA27" i="12"/>
  <c r="Z27" i="12"/>
  <c r="Y27" i="12"/>
  <c r="X27" i="12"/>
  <c r="W27" i="12"/>
  <c r="V27" i="12"/>
  <c r="U27" i="12"/>
  <c r="AD26" i="12"/>
  <c r="AC26" i="12"/>
  <c r="AB26" i="12"/>
  <c r="AA26" i="12"/>
  <c r="Z26" i="12"/>
  <c r="Y26" i="12"/>
  <c r="X26" i="12"/>
  <c r="W26" i="12"/>
  <c r="V26" i="12"/>
  <c r="U26" i="12"/>
  <c r="AD25" i="12"/>
  <c r="AC25" i="12"/>
  <c r="AB25" i="12"/>
  <c r="AA25" i="12"/>
  <c r="Z25" i="12"/>
  <c r="Y25" i="12"/>
  <c r="X25" i="12"/>
  <c r="W25" i="12"/>
  <c r="V25" i="12"/>
  <c r="U25" i="12"/>
  <c r="AD24" i="12"/>
  <c r="AC24" i="12"/>
  <c r="AB24" i="12"/>
  <c r="AA24" i="12"/>
  <c r="Z24" i="12"/>
  <c r="Y24" i="12"/>
  <c r="X24" i="12"/>
  <c r="W24" i="12"/>
  <c r="V24" i="12"/>
  <c r="U24" i="12"/>
  <c r="AD23" i="12"/>
  <c r="AC23" i="12"/>
  <c r="AB23" i="12"/>
  <c r="AA23" i="12"/>
  <c r="Z23" i="12"/>
  <c r="Y23" i="12"/>
  <c r="X23" i="12"/>
  <c r="W23" i="12"/>
  <c r="V23" i="12"/>
  <c r="U23" i="12"/>
  <c r="AD22" i="12"/>
  <c r="AC22" i="12"/>
  <c r="AB22" i="12"/>
  <c r="AA22" i="12"/>
  <c r="Z22" i="12"/>
  <c r="Y22" i="12"/>
  <c r="X22" i="12"/>
  <c r="W22" i="12"/>
  <c r="V22" i="12"/>
  <c r="U22" i="12"/>
  <c r="AD21" i="12"/>
  <c r="AC21" i="12"/>
  <c r="AB21" i="12"/>
  <c r="AA21" i="12"/>
  <c r="Z21" i="12"/>
  <c r="Y21" i="12"/>
  <c r="X21" i="12"/>
  <c r="W21" i="12"/>
  <c r="V21" i="12"/>
  <c r="U21" i="12"/>
  <c r="AD20" i="12"/>
  <c r="AC20" i="12"/>
  <c r="AB20" i="12"/>
  <c r="AA20" i="12"/>
  <c r="Z20" i="12"/>
  <c r="Y20" i="12"/>
  <c r="X20" i="12"/>
  <c r="W20" i="12"/>
  <c r="V20" i="12"/>
  <c r="U20" i="12"/>
  <c r="AD19" i="12"/>
  <c r="AC19" i="12"/>
  <c r="AB19" i="12"/>
  <c r="AA19" i="12"/>
  <c r="Z19" i="12"/>
  <c r="Y19" i="12"/>
  <c r="X19" i="12"/>
  <c r="W19" i="12"/>
  <c r="V19" i="12"/>
  <c r="U19" i="12"/>
  <c r="U99" i="11"/>
  <c r="V99" i="11"/>
  <c r="W99" i="11"/>
  <c r="X99" i="11"/>
  <c r="Y99" i="11"/>
  <c r="Z99" i="11"/>
  <c r="AA99" i="11"/>
  <c r="AB99" i="11"/>
  <c r="AC99" i="11"/>
  <c r="AD99" i="11"/>
  <c r="U100" i="11"/>
  <c r="V100" i="11"/>
  <c r="W100" i="11"/>
  <c r="X100" i="11"/>
  <c r="Y100" i="11"/>
  <c r="Z100" i="11"/>
  <c r="AA100" i="11"/>
  <c r="AB100" i="11"/>
  <c r="AC100" i="11"/>
  <c r="AD100" i="11"/>
  <c r="U101" i="11"/>
  <c r="V101" i="11"/>
  <c r="W101" i="11"/>
  <c r="X101" i="11"/>
  <c r="Y101" i="11"/>
  <c r="Z101" i="11"/>
  <c r="AA101" i="11"/>
  <c r="AB101" i="11"/>
  <c r="AC101" i="11"/>
  <c r="AD101" i="11"/>
  <c r="U102" i="11"/>
  <c r="V102" i="11"/>
  <c r="W102" i="11"/>
  <c r="X102" i="11"/>
  <c r="Y102" i="11"/>
  <c r="Z102" i="11"/>
  <c r="AA102" i="11"/>
  <c r="AB102" i="11"/>
  <c r="AC102" i="11"/>
  <c r="AD102" i="11"/>
  <c r="U103" i="11"/>
  <c r="V103" i="11"/>
  <c r="W103" i="11"/>
  <c r="X103" i="11"/>
  <c r="Y103" i="11"/>
  <c r="Z103" i="11"/>
  <c r="AA103" i="11"/>
  <c r="AB103" i="11"/>
  <c r="AC103" i="11"/>
  <c r="AD103" i="11"/>
  <c r="U104" i="11"/>
  <c r="V104" i="11"/>
  <c r="W104" i="11"/>
  <c r="X104" i="11"/>
  <c r="Y104" i="11"/>
  <c r="Z104" i="11"/>
  <c r="AA104" i="11"/>
  <c r="AB104" i="11"/>
  <c r="AC104" i="11"/>
  <c r="AD104" i="11"/>
  <c r="AD98" i="11"/>
  <c r="AC98" i="11"/>
  <c r="AB98" i="11"/>
  <c r="AA98" i="11"/>
  <c r="Z98" i="11"/>
  <c r="Y98" i="11"/>
  <c r="X98" i="11"/>
  <c r="W98" i="11"/>
  <c r="V98" i="11"/>
  <c r="U98" i="11"/>
  <c r="AD97" i="11"/>
  <c r="AC97" i="11"/>
  <c r="AB97" i="11"/>
  <c r="AA97" i="11"/>
  <c r="Z97" i="11"/>
  <c r="Y97" i="11"/>
  <c r="X97" i="11"/>
  <c r="W97" i="11"/>
  <c r="V97" i="11"/>
  <c r="U97" i="11"/>
  <c r="AD96" i="11"/>
  <c r="AC96" i="11"/>
  <c r="AB96" i="11"/>
  <c r="AA96" i="11"/>
  <c r="Z96" i="11"/>
  <c r="Y96" i="11"/>
  <c r="X96" i="11"/>
  <c r="W96" i="11"/>
  <c r="V96" i="11"/>
  <c r="U96" i="11"/>
  <c r="AD95" i="11"/>
  <c r="AC95" i="11"/>
  <c r="AB95" i="11"/>
  <c r="AA95" i="11"/>
  <c r="Z95" i="11"/>
  <c r="Y95" i="11"/>
  <c r="X95" i="11"/>
  <c r="W95" i="11"/>
  <c r="V95" i="11"/>
  <c r="U95" i="11"/>
  <c r="AD94" i="11"/>
  <c r="AC94" i="11"/>
  <c r="AB94" i="11"/>
  <c r="AA94" i="11"/>
  <c r="Z94" i="11"/>
  <c r="Y94" i="11"/>
  <c r="X94" i="11"/>
  <c r="W94" i="11"/>
  <c r="V94" i="11"/>
  <c r="U94" i="11"/>
  <c r="AD93" i="11"/>
  <c r="AC93" i="11"/>
  <c r="AB93" i="11"/>
  <c r="AA93" i="11"/>
  <c r="Z93" i="11"/>
  <c r="Y93" i="11"/>
  <c r="X93" i="11"/>
  <c r="W93" i="11"/>
  <c r="V93" i="11"/>
  <c r="U93" i="11"/>
  <c r="AD92" i="11"/>
  <c r="AC92" i="11"/>
  <c r="AB92" i="11"/>
  <c r="AA92" i="11"/>
  <c r="Z92" i="11"/>
  <c r="Y92" i="11"/>
  <c r="X92" i="11"/>
  <c r="W92" i="11"/>
  <c r="V92" i="11"/>
  <c r="U92" i="11"/>
  <c r="AD91" i="11"/>
  <c r="AC91" i="11"/>
  <c r="AB91" i="11"/>
  <c r="AA91" i="11"/>
  <c r="Z91" i="11"/>
  <c r="Y91" i="11"/>
  <c r="X91" i="11"/>
  <c r="W91" i="11"/>
  <c r="V91" i="11"/>
  <c r="U91" i="11"/>
  <c r="AD90" i="11"/>
  <c r="AC90" i="11"/>
  <c r="AB90" i="11"/>
  <c r="AA90" i="11"/>
  <c r="Z90" i="11"/>
  <c r="Y90" i="11"/>
  <c r="X90" i="11"/>
  <c r="W90" i="11"/>
  <c r="V90" i="11"/>
  <c r="U90" i="11"/>
  <c r="AD89" i="11"/>
  <c r="AC89" i="11"/>
  <c r="AB89" i="11"/>
  <c r="AA89" i="11"/>
  <c r="Z89" i="11"/>
  <c r="Y89" i="11"/>
  <c r="X89" i="11"/>
  <c r="W89" i="11"/>
  <c r="V89" i="11"/>
  <c r="U89" i="11"/>
  <c r="AD88" i="11"/>
  <c r="AC88" i="11"/>
  <c r="AB88" i="11"/>
  <c r="AA88" i="11"/>
  <c r="Z88" i="11"/>
  <c r="Y88" i="11"/>
  <c r="X88" i="11"/>
  <c r="W88" i="11"/>
  <c r="V88" i="11"/>
  <c r="U88" i="11"/>
  <c r="AD87" i="11"/>
  <c r="AC87" i="11"/>
  <c r="AB87" i="11"/>
  <c r="AA87" i="11"/>
  <c r="Z87" i="11"/>
  <c r="Y87" i="11"/>
  <c r="X87" i="11"/>
  <c r="W87" i="11"/>
  <c r="V87" i="11"/>
  <c r="U87" i="11"/>
  <c r="AD86" i="11"/>
  <c r="AC86" i="11"/>
  <c r="AB86" i="11"/>
  <c r="AA86" i="11"/>
  <c r="Z86" i="11"/>
  <c r="Y86" i="11"/>
  <c r="X86" i="11"/>
  <c r="W86" i="11"/>
  <c r="V86" i="11"/>
  <c r="U86" i="11"/>
  <c r="AD85" i="11"/>
  <c r="AC85" i="11"/>
  <c r="AB85" i="11"/>
  <c r="AA85" i="11"/>
  <c r="Z85" i="11"/>
  <c r="Y85" i="11"/>
  <c r="X85" i="11"/>
  <c r="W85" i="11"/>
  <c r="V85" i="11"/>
  <c r="U85" i="11"/>
  <c r="AD84" i="11"/>
  <c r="AC84" i="11"/>
  <c r="AB84" i="11"/>
  <c r="AA84" i="11"/>
  <c r="Z84" i="11"/>
  <c r="Y84" i="11"/>
  <c r="X84" i="11"/>
  <c r="W84" i="11"/>
  <c r="V84" i="11"/>
  <c r="U84" i="11"/>
  <c r="AD83" i="11"/>
  <c r="AC83" i="11"/>
  <c r="AB83" i="11"/>
  <c r="AA83" i="11"/>
  <c r="Z83" i="11"/>
  <c r="Y83" i="11"/>
  <c r="X83" i="11"/>
  <c r="W83" i="11"/>
  <c r="V83" i="11"/>
  <c r="U83" i="11"/>
  <c r="AD82" i="11"/>
  <c r="AC82" i="11"/>
  <c r="AB82" i="11"/>
  <c r="AA82" i="11"/>
  <c r="Z82" i="11"/>
  <c r="Y82" i="11"/>
  <c r="X82" i="11"/>
  <c r="W82" i="11"/>
  <c r="V82" i="11"/>
  <c r="U82" i="11"/>
  <c r="AD81" i="11"/>
  <c r="AC81" i="11"/>
  <c r="AB81" i="11"/>
  <c r="AA81" i="11"/>
  <c r="Z81" i="11"/>
  <c r="Y81" i="11"/>
  <c r="X81" i="11"/>
  <c r="W81" i="11"/>
  <c r="V81" i="11"/>
  <c r="U81" i="11"/>
  <c r="AD80" i="11"/>
  <c r="AC80" i="11"/>
  <c r="AB80" i="11"/>
  <c r="AA80" i="11"/>
  <c r="Z80" i="11"/>
  <c r="Y80" i="11"/>
  <c r="X80" i="11"/>
  <c r="W80" i="11"/>
  <c r="V80" i="11"/>
  <c r="U80" i="11"/>
  <c r="AD79" i="11"/>
  <c r="AC79" i="11"/>
  <c r="AB79" i="11"/>
  <c r="AA79" i="11"/>
  <c r="Z79" i="11"/>
  <c r="Y79" i="11"/>
  <c r="X79" i="11"/>
  <c r="W79" i="11"/>
  <c r="V79" i="11"/>
  <c r="U79" i="11"/>
  <c r="AD78" i="11"/>
  <c r="AC78" i="11"/>
  <c r="AB78" i="11"/>
  <c r="AA78" i="11"/>
  <c r="Z78" i="11"/>
  <c r="Y78" i="11"/>
  <c r="X78" i="11"/>
  <c r="W78" i="11"/>
  <c r="V78" i="11"/>
  <c r="U78" i="11"/>
  <c r="AD77" i="11"/>
  <c r="AC77" i="11"/>
  <c r="AB77" i="11"/>
  <c r="AA77" i="11"/>
  <c r="Z77" i="11"/>
  <c r="Y77" i="11"/>
  <c r="X77" i="11"/>
  <c r="W77" i="11"/>
  <c r="V77" i="11"/>
  <c r="U77" i="11"/>
  <c r="AD76" i="11"/>
  <c r="AC76" i="11"/>
  <c r="AB76" i="11"/>
  <c r="AA76" i="11"/>
  <c r="Z76" i="11"/>
  <c r="Y76" i="11"/>
  <c r="X76" i="11"/>
  <c r="W76" i="11"/>
  <c r="V76" i="11"/>
  <c r="U76" i="11"/>
  <c r="AD75" i="11"/>
  <c r="AC75" i="11"/>
  <c r="AB75" i="11"/>
  <c r="AA75" i="11"/>
  <c r="Z75" i="11"/>
  <c r="Y75" i="11"/>
  <c r="X75" i="11"/>
  <c r="W75" i="11"/>
  <c r="V75" i="11"/>
  <c r="U75" i="11"/>
  <c r="AD74" i="11"/>
  <c r="AC74" i="11"/>
  <c r="AB74" i="11"/>
  <c r="AA74" i="11"/>
  <c r="Z74" i="11"/>
  <c r="Y74" i="11"/>
  <c r="X74" i="11"/>
  <c r="W74" i="11"/>
  <c r="V74" i="11"/>
  <c r="U74" i="11"/>
  <c r="AD73" i="11"/>
  <c r="AC73" i="11"/>
  <c r="AB73" i="11"/>
  <c r="AA73" i="11"/>
  <c r="Z73" i="11"/>
  <c r="Y73" i="11"/>
  <c r="X73" i="11"/>
  <c r="W73" i="11"/>
  <c r="V73" i="11"/>
  <c r="U73" i="11"/>
  <c r="AD72" i="11"/>
  <c r="AC72" i="11"/>
  <c r="AB72" i="11"/>
  <c r="AA72" i="11"/>
  <c r="Z72" i="11"/>
  <c r="Y72" i="11"/>
  <c r="X72" i="11"/>
  <c r="W72" i="11"/>
  <c r="V72" i="11"/>
  <c r="U72" i="11"/>
  <c r="AD71" i="11"/>
  <c r="AC71" i="11"/>
  <c r="AB71" i="11"/>
  <c r="AA71" i="11"/>
  <c r="Z71" i="11"/>
  <c r="Y71" i="11"/>
  <c r="X71" i="11"/>
  <c r="W71" i="11"/>
  <c r="V71" i="11"/>
  <c r="U71" i="11"/>
  <c r="AD70" i="11"/>
  <c r="AC70" i="11"/>
  <c r="AB70" i="11"/>
  <c r="AA70" i="11"/>
  <c r="Z70" i="11"/>
  <c r="Y70" i="11"/>
  <c r="X70" i="11"/>
  <c r="W70" i="11"/>
  <c r="V70" i="11"/>
  <c r="U70" i="11"/>
  <c r="AD69" i="11"/>
  <c r="AC69" i="11"/>
  <c r="AB69" i="11"/>
  <c r="AA69" i="11"/>
  <c r="Z69" i="11"/>
  <c r="Y69" i="11"/>
  <c r="X69" i="11"/>
  <c r="W69" i="11"/>
  <c r="V69" i="11"/>
  <c r="U69" i="11"/>
  <c r="AD48" i="11"/>
  <c r="AC48" i="11"/>
  <c r="AB48" i="11"/>
  <c r="AA48" i="11"/>
  <c r="Z48" i="11"/>
  <c r="Y48" i="11"/>
  <c r="X48" i="11"/>
  <c r="W48" i="11"/>
  <c r="V48" i="11"/>
  <c r="U48" i="11"/>
  <c r="AD47" i="11"/>
  <c r="AC47" i="11"/>
  <c r="AB47" i="11"/>
  <c r="AA47" i="11"/>
  <c r="Z47" i="11"/>
  <c r="Y47" i="11"/>
  <c r="X47" i="11"/>
  <c r="W47" i="11"/>
  <c r="V47" i="11"/>
  <c r="U47" i="11"/>
  <c r="AD46" i="11"/>
  <c r="AC46" i="11"/>
  <c r="AB46" i="11"/>
  <c r="AA46" i="11"/>
  <c r="Z46" i="11"/>
  <c r="Y46" i="11"/>
  <c r="X46" i="11"/>
  <c r="W46" i="11"/>
  <c r="V46" i="11"/>
  <c r="U46" i="11"/>
  <c r="AD45" i="11"/>
  <c r="AC45" i="11"/>
  <c r="AB45" i="11"/>
  <c r="AA45" i="11"/>
  <c r="Z45" i="11"/>
  <c r="Y45" i="11"/>
  <c r="X45" i="11"/>
  <c r="W45" i="11"/>
  <c r="V45" i="11"/>
  <c r="U45" i="11"/>
  <c r="AD44" i="11"/>
  <c r="AC44" i="11"/>
  <c r="AB44" i="11"/>
  <c r="AA44" i="11"/>
  <c r="Z44" i="11"/>
  <c r="Y44" i="11"/>
  <c r="X44" i="11"/>
  <c r="W44" i="11"/>
  <c r="V44" i="11"/>
  <c r="U44" i="11"/>
  <c r="AD43" i="11"/>
  <c r="AC43" i="11"/>
  <c r="AB43" i="11"/>
  <c r="AA43" i="11"/>
  <c r="Z43" i="11"/>
  <c r="Y43" i="11"/>
  <c r="X43" i="11"/>
  <c r="W43" i="11"/>
  <c r="V43" i="11"/>
  <c r="U43" i="11"/>
  <c r="AD42" i="11"/>
  <c r="AC42" i="11"/>
  <c r="AB42" i="11"/>
  <c r="AA42" i="11"/>
  <c r="Z42" i="11"/>
  <c r="Y42" i="11"/>
  <c r="X42" i="11"/>
  <c r="W42" i="11"/>
  <c r="V42" i="11"/>
  <c r="U42" i="11"/>
  <c r="AD41" i="11"/>
  <c r="AC41" i="11"/>
  <c r="AB41" i="11"/>
  <c r="AA41" i="11"/>
  <c r="Z41" i="11"/>
  <c r="Y41" i="11"/>
  <c r="X41" i="11"/>
  <c r="W41" i="11"/>
  <c r="V41" i="11"/>
  <c r="U41" i="11"/>
  <c r="AD40" i="11"/>
  <c r="AC40" i="11"/>
  <c r="AB40" i="11"/>
  <c r="AA40" i="11"/>
  <c r="Z40" i="11"/>
  <c r="Y40" i="11"/>
  <c r="X40" i="11"/>
  <c r="W40" i="11"/>
  <c r="V40" i="11"/>
  <c r="U40" i="11"/>
  <c r="AD39" i="11"/>
  <c r="AC39" i="11"/>
  <c r="AB39" i="11"/>
  <c r="AA39" i="11"/>
  <c r="Z39" i="11"/>
  <c r="Y39" i="11"/>
  <c r="X39" i="11"/>
  <c r="W39" i="11"/>
  <c r="V39" i="11"/>
  <c r="U39" i="11"/>
  <c r="AD38" i="11"/>
  <c r="AC38" i="11"/>
  <c r="AB38" i="11"/>
  <c r="AA38" i="11"/>
  <c r="Z38" i="11"/>
  <c r="Y38" i="11"/>
  <c r="X38" i="11"/>
  <c r="W38" i="11"/>
  <c r="V38" i="11"/>
  <c r="U38" i="11"/>
  <c r="AD37" i="11"/>
  <c r="AC37" i="11"/>
  <c r="AB37" i="11"/>
  <c r="AA37" i="11"/>
  <c r="Z37" i="11"/>
  <c r="Y37" i="11"/>
  <c r="X37" i="11"/>
  <c r="W37" i="11"/>
  <c r="V37" i="11"/>
  <c r="U37" i="11"/>
  <c r="AD36" i="11"/>
  <c r="AC36" i="11"/>
  <c r="AB36" i="11"/>
  <c r="AA36" i="11"/>
  <c r="Z36" i="11"/>
  <c r="Y36" i="11"/>
  <c r="X36" i="11"/>
  <c r="W36" i="11"/>
  <c r="V36" i="11"/>
  <c r="U36" i="11"/>
  <c r="AD35" i="11"/>
  <c r="AC35" i="11"/>
  <c r="AB35" i="11"/>
  <c r="AA35" i="11"/>
  <c r="Z35" i="11"/>
  <c r="Y35" i="11"/>
  <c r="X35" i="11"/>
  <c r="W35" i="11"/>
  <c r="V35" i="11"/>
  <c r="U35" i="11"/>
  <c r="AD34" i="11"/>
  <c r="AC34" i="11"/>
  <c r="AB34" i="11"/>
  <c r="AA34" i="11"/>
  <c r="Z34" i="11"/>
  <c r="Y34" i="11"/>
  <c r="X34" i="11"/>
  <c r="W34" i="11"/>
  <c r="V34" i="11"/>
  <c r="U34" i="11"/>
  <c r="AD33" i="11"/>
  <c r="AC33" i="11"/>
  <c r="AB33" i="11"/>
  <c r="AA33" i="11"/>
  <c r="Z33" i="11"/>
  <c r="Y33" i="11"/>
  <c r="X33" i="11"/>
  <c r="W33" i="11"/>
  <c r="V33" i="11"/>
  <c r="U33" i="11"/>
  <c r="AD32" i="11"/>
  <c r="AC32" i="11"/>
  <c r="AB32" i="11"/>
  <c r="AA32" i="11"/>
  <c r="Z32" i="11"/>
  <c r="Y32" i="11"/>
  <c r="X32" i="11"/>
  <c r="W32" i="11"/>
  <c r="V32" i="11"/>
  <c r="U32" i="11"/>
  <c r="AD31" i="11"/>
  <c r="AC31" i="11"/>
  <c r="AB31" i="11"/>
  <c r="AA31" i="11"/>
  <c r="Z31" i="11"/>
  <c r="Y31" i="11"/>
  <c r="X31" i="11"/>
  <c r="W31" i="11"/>
  <c r="V31" i="11"/>
  <c r="U31" i="11"/>
  <c r="AD30" i="11"/>
  <c r="AC30" i="11"/>
  <c r="AB30" i="11"/>
  <c r="AA30" i="11"/>
  <c r="Z30" i="11"/>
  <c r="Y30" i="11"/>
  <c r="X30" i="11"/>
  <c r="W30" i="11"/>
  <c r="V30" i="11"/>
  <c r="U30" i="11"/>
  <c r="AD29" i="11"/>
  <c r="AC29" i="11"/>
  <c r="AB29" i="11"/>
  <c r="AA29" i="11"/>
  <c r="Z29" i="11"/>
  <c r="Y29" i="11"/>
  <c r="X29" i="11"/>
  <c r="W29" i="11"/>
  <c r="V29" i="11"/>
  <c r="U29" i="11"/>
  <c r="AD28" i="11"/>
  <c r="AC28" i="11"/>
  <c r="AB28" i="11"/>
  <c r="AA28" i="11"/>
  <c r="Z28" i="11"/>
  <c r="Y28" i="11"/>
  <c r="X28" i="11"/>
  <c r="W28" i="11"/>
  <c r="V28" i="11"/>
  <c r="U28" i="11"/>
  <c r="AD27" i="11"/>
  <c r="AC27" i="11"/>
  <c r="AB27" i="11"/>
  <c r="AA27" i="11"/>
  <c r="Z27" i="11"/>
  <c r="Y27" i="11"/>
  <c r="X27" i="11"/>
  <c r="W27" i="11"/>
  <c r="V27" i="11"/>
  <c r="U27" i="11"/>
  <c r="AD26" i="11"/>
  <c r="AC26" i="11"/>
  <c r="AB26" i="11"/>
  <c r="AA26" i="11"/>
  <c r="Z26" i="11"/>
  <c r="Y26" i="11"/>
  <c r="X26" i="11"/>
  <c r="W26" i="11"/>
  <c r="V26" i="11"/>
  <c r="U26" i="11"/>
  <c r="AD25" i="11"/>
  <c r="AC25" i="11"/>
  <c r="AB25" i="11"/>
  <c r="AA25" i="11"/>
  <c r="Z25" i="11"/>
  <c r="Y25" i="11"/>
  <c r="X25" i="11"/>
  <c r="W25" i="11"/>
  <c r="V25" i="11"/>
  <c r="U25" i="11"/>
  <c r="AD24" i="11"/>
  <c r="AC24" i="11"/>
  <c r="AB24" i="11"/>
  <c r="AA24" i="11"/>
  <c r="Z24" i="11"/>
  <c r="Y24" i="11"/>
  <c r="X24" i="11"/>
  <c r="W24" i="11"/>
  <c r="V24" i="11"/>
  <c r="U24" i="11"/>
  <c r="AD23" i="11"/>
  <c r="AC23" i="11"/>
  <c r="AB23" i="11"/>
  <c r="AA23" i="11"/>
  <c r="Z23" i="11"/>
  <c r="Y23" i="11"/>
  <c r="X23" i="11"/>
  <c r="W23" i="11"/>
  <c r="V23" i="11"/>
  <c r="U23" i="11"/>
  <c r="AD22" i="11"/>
  <c r="AC22" i="11"/>
  <c r="AB22" i="11"/>
  <c r="AA22" i="11"/>
  <c r="Z22" i="11"/>
  <c r="Y22" i="11"/>
  <c r="X22" i="11"/>
  <c r="W22" i="11"/>
  <c r="V22" i="11"/>
  <c r="U22" i="11"/>
  <c r="AD21" i="11"/>
  <c r="AC21" i="11"/>
  <c r="AB21" i="11"/>
  <c r="AA21" i="11"/>
  <c r="Z21" i="11"/>
  <c r="Y21" i="11"/>
  <c r="X21" i="11"/>
  <c r="W21" i="11"/>
  <c r="V21" i="11"/>
  <c r="U21" i="11"/>
  <c r="AD20" i="11"/>
  <c r="AC20" i="11"/>
  <c r="AB20" i="11"/>
  <c r="AA20" i="11"/>
  <c r="Z20" i="11"/>
  <c r="Y20" i="11"/>
  <c r="X20" i="11"/>
  <c r="W20" i="11"/>
  <c r="V20" i="11"/>
  <c r="U20" i="11"/>
  <c r="AD19" i="11"/>
  <c r="AC19" i="11"/>
  <c r="AB19" i="11"/>
  <c r="AA19" i="11"/>
  <c r="Z19" i="11"/>
  <c r="Y19" i="11"/>
  <c r="X19" i="11"/>
  <c r="W19" i="11"/>
  <c r="V19" i="11"/>
  <c r="U19" i="11"/>
  <c r="AD103" i="10"/>
  <c r="AC103" i="10"/>
  <c r="AB103" i="10"/>
  <c r="AA103" i="10"/>
  <c r="Z103" i="10"/>
  <c r="Y103" i="10"/>
  <c r="X103" i="10"/>
  <c r="W103" i="10"/>
  <c r="V103" i="10"/>
  <c r="U103" i="10"/>
  <c r="AD102" i="10"/>
  <c r="AC102" i="10"/>
  <c r="AB102" i="10"/>
  <c r="AA102" i="10"/>
  <c r="Z102" i="10"/>
  <c r="Y102" i="10"/>
  <c r="X102" i="10"/>
  <c r="W102" i="10"/>
  <c r="V102" i="10"/>
  <c r="U102" i="10"/>
  <c r="AD101" i="10"/>
  <c r="AC101" i="10"/>
  <c r="AB101" i="10"/>
  <c r="AA101" i="10"/>
  <c r="Z101" i="10"/>
  <c r="Y101" i="10"/>
  <c r="X101" i="10"/>
  <c r="W101" i="10"/>
  <c r="V101" i="10"/>
  <c r="U101" i="10"/>
  <c r="AD100" i="10"/>
  <c r="AC100" i="10"/>
  <c r="AB100" i="10"/>
  <c r="AA100" i="10"/>
  <c r="Z100" i="10"/>
  <c r="Y100" i="10"/>
  <c r="X100" i="10"/>
  <c r="W100" i="10"/>
  <c r="V100" i="10"/>
  <c r="U100" i="10"/>
  <c r="AD99" i="10"/>
  <c r="AC99" i="10"/>
  <c r="AB99" i="10"/>
  <c r="AA99" i="10"/>
  <c r="Z99" i="10"/>
  <c r="Y99" i="10"/>
  <c r="X99" i="10"/>
  <c r="W99" i="10"/>
  <c r="V99" i="10"/>
  <c r="U99" i="10"/>
  <c r="AD98" i="10"/>
  <c r="AC98" i="10"/>
  <c r="AB98" i="10"/>
  <c r="AA98" i="10"/>
  <c r="Z98" i="10"/>
  <c r="Y98" i="10"/>
  <c r="X98" i="10"/>
  <c r="W98" i="10"/>
  <c r="V98" i="10"/>
  <c r="U98" i="10"/>
  <c r="AD97" i="10"/>
  <c r="AC97" i="10"/>
  <c r="AB97" i="10"/>
  <c r="AA97" i="10"/>
  <c r="Z97" i="10"/>
  <c r="Y97" i="10"/>
  <c r="X97" i="10"/>
  <c r="W97" i="10"/>
  <c r="V97" i="10"/>
  <c r="U97" i="10"/>
  <c r="AD96" i="10"/>
  <c r="AC96" i="10"/>
  <c r="AB96" i="10"/>
  <c r="AA96" i="10"/>
  <c r="Z96" i="10"/>
  <c r="Y96" i="10"/>
  <c r="X96" i="10"/>
  <c r="W96" i="10"/>
  <c r="V96" i="10"/>
  <c r="U96" i="10"/>
  <c r="AD95" i="10"/>
  <c r="AC95" i="10"/>
  <c r="AB95" i="10"/>
  <c r="AA95" i="10"/>
  <c r="Z95" i="10"/>
  <c r="Y95" i="10"/>
  <c r="X95" i="10"/>
  <c r="W95" i="10"/>
  <c r="V95" i="10"/>
  <c r="U95" i="10"/>
  <c r="AD94" i="10"/>
  <c r="AC94" i="10"/>
  <c r="AB94" i="10"/>
  <c r="AA94" i="10"/>
  <c r="Z94" i="10"/>
  <c r="Y94" i="10"/>
  <c r="X94" i="10"/>
  <c r="W94" i="10"/>
  <c r="V94" i="10"/>
  <c r="U94" i="10"/>
  <c r="AD93" i="10"/>
  <c r="AC93" i="10"/>
  <c r="AB93" i="10"/>
  <c r="AA93" i="10"/>
  <c r="Z93" i="10"/>
  <c r="Y93" i="10"/>
  <c r="X93" i="10"/>
  <c r="W93" i="10"/>
  <c r="V93" i="10"/>
  <c r="U93" i="10"/>
  <c r="AD92" i="10"/>
  <c r="AC92" i="10"/>
  <c r="AB92" i="10"/>
  <c r="AA92" i="10"/>
  <c r="Z92" i="10"/>
  <c r="Y92" i="10"/>
  <c r="X92" i="10"/>
  <c r="W92" i="10"/>
  <c r="V92" i="10"/>
  <c r="U92" i="10"/>
  <c r="AD91" i="10"/>
  <c r="AC91" i="10"/>
  <c r="AB91" i="10"/>
  <c r="AA91" i="10"/>
  <c r="Z91" i="10"/>
  <c r="Y91" i="10"/>
  <c r="X91" i="10"/>
  <c r="W91" i="10"/>
  <c r="V91" i="10"/>
  <c r="U91" i="10"/>
  <c r="AD90" i="10"/>
  <c r="AC90" i="10"/>
  <c r="AB90" i="10"/>
  <c r="AA90" i="10"/>
  <c r="Z90" i="10"/>
  <c r="Y90" i="10"/>
  <c r="X90" i="10"/>
  <c r="W90" i="10"/>
  <c r="V90" i="10"/>
  <c r="U90" i="10"/>
  <c r="AD89" i="10"/>
  <c r="AC89" i="10"/>
  <c r="AB89" i="10"/>
  <c r="AA89" i="10"/>
  <c r="Z89" i="10"/>
  <c r="Y89" i="10"/>
  <c r="X89" i="10"/>
  <c r="W89" i="10"/>
  <c r="V89" i="10"/>
  <c r="U89" i="10"/>
  <c r="AD88" i="10"/>
  <c r="AC88" i="10"/>
  <c r="AB88" i="10"/>
  <c r="AA88" i="10"/>
  <c r="Z88" i="10"/>
  <c r="Y88" i="10"/>
  <c r="X88" i="10"/>
  <c r="W88" i="10"/>
  <c r="V88" i="10"/>
  <c r="U88" i="10"/>
  <c r="AD87" i="10"/>
  <c r="AC87" i="10"/>
  <c r="AB87" i="10"/>
  <c r="AA87" i="10"/>
  <c r="Z87" i="10"/>
  <c r="Y87" i="10"/>
  <c r="X87" i="10"/>
  <c r="W87" i="10"/>
  <c r="V87" i="10"/>
  <c r="U87" i="10"/>
  <c r="AD86" i="10"/>
  <c r="AC86" i="10"/>
  <c r="AB86" i="10"/>
  <c r="AA86" i="10"/>
  <c r="Z86" i="10"/>
  <c r="Y86" i="10"/>
  <c r="X86" i="10"/>
  <c r="W86" i="10"/>
  <c r="V86" i="10"/>
  <c r="U86" i="10"/>
  <c r="AD85" i="10"/>
  <c r="AC85" i="10"/>
  <c r="AB85" i="10"/>
  <c r="AA85" i="10"/>
  <c r="Z85" i="10"/>
  <c r="Y85" i="10"/>
  <c r="X85" i="10"/>
  <c r="W85" i="10"/>
  <c r="V85" i="10"/>
  <c r="U85" i="10"/>
  <c r="AD84" i="10"/>
  <c r="AC84" i="10"/>
  <c r="AB84" i="10"/>
  <c r="AA84" i="10"/>
  <c r="Z84" i="10"/>
  <c r="Y84" i="10"/>
  <c r="X84" i="10"/>
  <c r="W84" i="10"/>
  <c r="V84" i="10"/>
  <c r="U84" i="10"/>
  <c r="AD83" i="10"/>
  <c r="AC83" i="10"/>
  <c r="AB83" i="10"/>
  <c r="AA83" i="10"/>
  <c r="Z83" i="10"/>
  <c r="Y83" i="10"/>
  <c r="X83" i="10"/>
  <c r="W83" i="10"/>
  <c r="V83" i="10"/>
  <c r="U83" i="10"/>
  <c r="AD82" i="10"/>
  <c r="AC82" i="10"/>
  <c r="AB82" i="10"/>
  <c r="AA82" i="10"/>
  <c r="Z82" i="10"/>
  <c r="Y82" i="10"/>
  <c r="X82" i="10"/>
  <c r="W82" i="10"/>
  <c r="V82" i="10"/>
  <c r="U82" i="10"/>
  <c r="AD81" i="10"/>
  <c r="AC81" i="10"/>
  <c r="AB81" i="10"/>
  <c r="AA81" i="10"/>
  <c r="Z81" i="10"/>
  <c r="Y81" i="10"/>
  <c r="X81" i="10"/>
  <c r="W81" i="10"/>
  <c r="V81" i="10"/>
  <c r="U81" i="10"/>
  <c r="AD80" i="10"/>
  <c r="AC80" i="10"/>
  <c r="AB80" i="10"/>
  <c r="AA80" i="10"/>
  <c r="Z80" i="10"/>
  <c r="Y80" i="10"/>
  <c r="X80" i="10"/>
  <c r="W80" i="10"/>
  <c r="V80" i="10"/>
  <c r="U80" i="10"/>
  <c r="AD79" i="10"/>
  <c r="AC79" i="10"/>
  <c r="AB79" i="10"/>
  <c r="AA79" i="10"/>
  <c r="Z79" i="10"/>
  <c r="Y79" i="10"/>
  <c r="X79" i="10"/>
  <c r="W79" i="10"/>
  <c r="V79" i="10"/>
  <c r="U79" i="10"/>
  <c r="AD78" i="10"/>
  <c r="AC78" i="10"/>
  <c r="AB78" i="10"/>
  <c r="AA78" i="10"/>
  <c r="Z78" i="10"/>
  <c r="Y78" i="10"/>
  <c r="X78" i="10"/>
  <c r="W78" i="10"/>
  <c r="V78" i="10"/>
  <c r="U78" i="10"/>
  <c r="AD77" i="10"/>
  <c r="AC77" i="10"/>
  <c r="AB77" i="10"/>
  <c r="AA77" i="10"/>
  <c r="Z77" i="10"/>
  <c r="Y77" i="10"/>
  <c r="X77" i="10"/>
  <c r="W77" i="10"/>
  <c r="V77" i="10"/>
  <c r="U77" i="10"/>
  <c r="AD76" i="10"/>
  <c r="AC76" i="10"/>
  <c r="AB76" i="10"/>
  <c r="AA76" i="10"/>
  <c r="Z76" i="10"/>
  <c r="Y76" i="10"/>
  <c r="X76" i="10"/>
  <c r="W76" i="10"/>
  <c r="V76" i="10"/>
  <c r="U76" i="10"/>
  <c r="AD75" i="10"/>
  <c r="AC75" i="10"/>
  <c r="AB75" i="10"/>
  <c r="AA75" i="10"/>
  <c r="Z75" i="10"/>
  <c r="Y75" i="10"/>
  <c r="X75" i="10"/>
  <c r="W75" i="10"/>
  <c r="V75" i="10"/>
  <c r="U75" i="10"/>
  <c r="AD74" i="10"/>
  <c r="AC74" i="10"/>
  <c r="AB74" i="10"/>
  <c r="AA74" i="10"/>
  <c r="Z74" i="10"/>
  <c r="Y74" i="10"/>
  <c r="X74" i="10"/>
  <c r="W74" i="10"/>
  <c r="V74" i="10"/>
  <c r="U74" i="10"/>
  <c r="AD54" i="10"/>
  <c r="AC54" i="10"/>
  <c r="AB54" i="10"/>
  <c r="AA54" i="10"/>
  <c r="Z54" i="10"/>
  <c r="Y54" i="10"/>
  <c r="X54" i="10"/>
  <c r="W54" i="10"/>
  <c r="V54" i="10"/>
  <c r="U54" i="10"/>
  <c r="AD53" i="10"/>
  <c r="AC53" i="10"/>
  <c r="AB53" i="10"/>
  <c r="AA53" i="10"/>
  <c r="Z53" i="10"/>
  <c r="Y53" i="10"/>
  <c r="X53" i="10"/>
  <c r="W53" i="10"/>
  <c r="V53" i="10"/>
  <c r="U53" i="10"/>
  <c r="AD52" i="10"/>
  <c r="AC52" i="10"/>
  <c r="AB52" i="10"/>
  <c r="AA52" i="10"/>
  <c r="Z52" i="10"/>
  <c r="Y52" i="10"/>
  <c r="X52" i="10"/>
  <c r="W52" i="10"/>
  <c r="V52" i="10"/>
  <c r="U52" i="10"/>
  <c r="AD51" i="10"/>
  <c r="AC51" i="10"/>
  <c r="AB51" i="10"/>
  <c r="AA51" i="10"/>
  <c r="Z51" i="10"/>
  <c r="Y51" i="10"/>
  <c r="X51" i="10"/>
  <c r="W51" i="10"/>
  <c r="V51" i="10"/>
  <c r="U51" i="10"/>
  <c r="AD50" i="10"/>
  <c r="AC50" i="10"/>
  <c r="AB50" i="10"/>
  <c r="AA50" i="10"/>
  <c r="Z50" i="10"/>
  <c r="Y50" i="10"/>
  <c r="X50" i="10"/>
  <c r="W50" i="10"/>
  <c r="V50" i="10"/>
  <c r="U50" i="10"/>
  <c r="AD49" i="10"/>
  <c r="AC49" i="10"/>
  <c r="AB49" i="10"/>
  <c r="AA49" i="10"/>
  <c r="Z49" i="10"/>
  <c r="Y49" i="10"/>
  <c r="X49" i="10"/>
  <c r="W49" i="10"/>
  <c r="V49" i="10"/>
  <c r="U49" i="10"/>
  <c r="AD48" i="10"/>
  <c r="AC48" i="10"/>
  <c r="AB48" i="10"/>
  <c r="AA48" i="10"/>
  <c r="Z48" i="10"/>
  <c r="Y48" i="10"/>
  <c r="X48" i="10"/>
  <c r="W48" i="10"/>
  <c r="V48" i="10"/>
  <c r="U48" i="10"/>
  <c r="AD47" i="10"/>
  <c r="AC47" i="10"/>
  <c r="AB47" i="10"/>
  <c r="AA47" i="10"/>
  <c r="Z47" i="10"/>
  <c r="Y47" i="10"/>
  <c r="X47" i="10"/>
  <c r="W47" i="10"/>
  <c r="V47" i="10"/>
  <c r="U47" i="10"/>
  <c r="AD46" i="10"/>
  <c r="AC46" i="10"/>
  <c r="AB46" i="10"/>
  <c r="AA46" i="10"/>
  <c r="Z46" i="10"/>
  <c r="Y46" i="10"/>
  <c r="X46" i="10"/>
  <c r="W46" i="10"/>
  <c r="V46" i="10"/>
  <c r="U46" i="10"/>
  <c r="AD45" i="10"/>
  <c r="AC45" i="10"/>
  <c r="AB45" i="10"/>
  <c r="AA45" i="10"/>
  <c r="Z45" i="10"/>
  <c r="Y45" i="10"/>
  <c r="X45" i="10"/>
  <c r="W45" i="10"/>
  <c r="V45" i="10"/>
  <c r="U45" i="10"/>
  <c r="AD44" i="10"/>
  <c r="AC44" i="10"/>
  <c r="AB44" i="10"/>
  <c r="AA44" i="10"/>
  <c r="Z44" i="10"/>
  <c r="Y44" i="10"/>
  <c r="X44" i="10"/>
  <c r="W44" i="10"/>
  <c r="V44" i="10"/>
  <c r="U44" i="10"/>
  <c r="AD43" i="10"/>
  <c r="AC43" i="10"/>
  <c r="AB43" i="10"/>
  <c r="AA43" i="10"/>
  <c r="Z43" i="10"/>
  <c r="Y43" i="10"/>
  <c r="X43" i="10"/>
  <c r="W43" i="10"/>
  <c r="V43" i="10"/>
  <c r="U43" i="10"/>
  <c r="AD42" i="10"/>
  <c r="AC42" i="10"/>
  <c r="AB42" i="10"/>
  <c r="AA42" i="10"/>
  <c r="Z42" i="10"/>
  <c r="Y42" i="10"/>
  <c r="X42" i="10"/>
  <c r="W42" i="10"/>
  <c r="V42" i="10"/>
  <c r="U42" i="10"/>
  <c r="AD41" i="10"/>
  <c r="AC41" i="10"/>
  <c r="AB41" i="10"/>
  <c r="AA41" i="10"/>
  <c r="Z41" i="10"/>
  <c r="Y41" i="10"/>
  <c r="X41" i="10"/>
  <c r="W41" i="10"/>
  <c r="V41" i="10"/>
  <c r="U41" i="10"/>
  <c r="AD40" i="10"/>
  <c r="AC40" i="10"/>
  <c r="AB40" i="10"/>
  <c r="AA40" i="10"/>
  <c r="Z40" i="10"/>
  <c r="Y40" i="10"/>
  <c r="X40" i="10"/>
  <c r="W40" i="10"/>
  <c r="V40" i="10"/>
  <c r="U40" i="10"/>
  <c r="AD39" i="10"/>
  <c r="AC39" i="10"/>
  <c r="AB39" i="10"/>
  <c r="AA39" i="10"/>
  <c r="Z39" i="10"/>
  <c r="Y39" i="10"/>
  <c r="X39" i="10"/>
  <c r="W39" i="10"/>
  <c r="V39" i="10"/>
  <c r="U39" i="10"/>
  <c r="AD38" i="10"/>
  <c r="AC38" i="10"/>
  <c r="AB38" i="10"/>
  <c r="AA38" i="10"/>
  <c r="Z38" i="10"/>
  <c r="Y38" i="10"/>
  <c r="X38" i="10"/>
  <c r="W38" i="10"/>
  <c r="V38" i="10"/>
  <c r="U38" i="10"/>
  <c r="AD37" i="10"/>
  <c r="AC37" i="10"/>
  <c r="AB37" i="10"/>
  <c r="AA37" i="10"/>
  <c r="Z37" i="10"/>
  <c r="Y37" i="10"/>
  <c r="X37" i="10"/>
  <c r="W37" i="10"/>
  <c r="V37" i="10"/>
  <c r="U37" i="10"/>
  <c r="AD36" i="10"/>
  <c r="AC36" i="10"/>
  <c r="AB36" i="10"/>
  <c r="AA36" i="10"/>
  <c r="Z36" i="10"/>
  <c r="Y36" i="10"/>
  <c r="X36" i="10"/>
  <c r="W36" i="10"/>
  <c r="V36" i="10"/>
  <c r="U36" i="10"/>
  <c r="AD35" i="10"/>
  <c r="AC35" i="10"/>
  <c r="AB35" i="10"/>
  <c r="AA35" i="10"/>
  <c r="Z35" i="10"/>
  <c r="Y35" i="10"/>
  <c r="X35" i="10"/>
  <c r="W35" i="10"/>
  <c r="V35" i="10"/>
  <c r="U35" i="10"/>
  <c r="AD34" i="10"/>
  <c r="AC34" i="10"/>
  <c r="AB34" i="10"/>
  <c r="AA34" i="10"/>
  <c r="Z34" i="10"/>
  <c r="Y34" i="10"/>
  <c r="X34" i="10"/>
  <c r="W34" i="10"/>
  <c r="V34" i="10"/>
  <c r="U34" i="10"/>
  <c r="AD33" i="10"/>
  <c r="AC33" i="10"/>
  <c r="AB33" i="10"/>
  <c r="AA33" i="10"/>
  <c r="Z33" i="10"/>
  <c r="Y33" i="10"/>
  <c r="X33" i="10"/>
  <c r="W33" i="10"/>
  <c r="V33" i="10"/>
  <c r="U33" i="10"/>
  <c r="AD32" i="10"/>
  <c r="AC32" i="10"/>
  <c r="AB32" i="10"/>
  <c r="AA32" i="10"/>
  <c r="Z32" i="10"/>
  <c r="Y32" i="10"/>
  <c r="X32" i="10"/>
  <c r="W32" i="10"/>
  <c r="V32" i="10"/>
  <c r="U32" i="10"/>
  <c r="AD31" i="10"/>
  <c r="AC31" i="10"/>
  <c r="AB31" i="10"/>
  <c r="AA31" i="10"/>
  <c r="Z31" i="10"/>
  <c r="Y31" i="10"/>
  <c r="X31" i="10"/>
  <c r="W31" i="10"/>
  <c r="V31" i="10"/>
  <c r="U31" i="10"/>
  <c r="AD30" i="10"/>
  <c r="AC30" i="10"/>
  <c r="AB30" i="10"/>
  <c r="AA30" i="10"/>
  <c r="Z30" i="10"/>
  <c r="Y30" i="10"/>
  <c r="X30" i="10"/>
  <c r="W30" i="10"/>
  <c r="V30" i="10"/>
  <c r="U30" i="10"/>
  <c r="AD29" i="10"/>
  <c r="AC29" i="10"/>
  <c r="AB29" i="10"/>
  <c r="AA29" i="10"/>
  <c r="Z29" i="10"/>
  <c r="Y29" i="10"/>
  <c r="X29" i="10"/>
  <c r="W29" i="10"/>
  <c r="V29" i="10"/>
  <c r="U29" i="10"/>
  <c r="AD28" i="10"/>
  <c r="AC28" i="10"/>
  <c r="AB28" i="10"/>
  <c r="AA28" i="10"/>
  <c r="Z28" i="10"/>
  <c r="Y28" i="10"/>
  <c r="X28" i="10"/>
  <c r="W28" i="10"/>
  <c r="V28" i="10"/>
  <c r="U28" i="10"/>
  <c r="AD27" i="10"/>
  <c r="AC27" i="10"/>
  <c r="AB27" i="10"/>
  <c r="AA27" i="10"/>
  <c r="Z27" i="10"/>
  <c r="Y27" i="10"/>
  <c r="X27" i="10"/>
  <c r="W27" i="10"/>
  <c r="V27" i="10"/>
  <c r="U27" i="10"/>
  <c r="AD26" i="10"/>
  <c r="AC26" i="10"/>
  <c r="AB26" i="10"/>
  <c r="AA26" i="10"/>
  <c r="Z26" i="10"/>
  <c r="Y26" i="10"/>
  <c r="X26" i="10"/>
  <c r="W26" i="10"/>
  <c r="V26" i="10"/>
  <c r="U26" i="10"/>
  <c r="AD25" i="10"/>
  <c r="AC25" i="10"/>
  <c r="AB25" i="10"/>
  <c r="AA25" i="10"/>
  <c r="Z25" i="10"/>
  <c r="Y25" i="10"/>
  <c r="X25" i="10"/>
  <c r="W25" i="10"/>
  <c r="V25" i="10"/>
  <c r="U25" i="10"/>
  <c r="AD24" i="10"/>
  <c r="AC24" i="10"/>
  <c r="AB24" i="10"/>
  <c r="AA24" i="10"/>
  <c r="Z24" i="10"/>
  <c r="Y24" i="10"/>
  <c r="X24" i="10"/>
  <c r="W24" i="10"/>
  <c r="V24" i="10"/>
  <c r="U24" i="10"/>
  <c r="AD23" i="10"/>
  <c r="AC23" i="10"/>
  <c r="AB23" i="10"/>
  <c r="AA23" i="10"/>
  <c r="Z23" i="10"/>
  <c r="Y23" i="10"/>
  <c r="X23" i="10"/>
  <c r="W23" i="10"/>
  <c r="V23" i="10"/>
  <c r="U23" i="10"/>
  <c r="AD22" i="10"/>
  <c r="AC22" i="10"/>
  <c r="AB22" i="10"/>
  <c r="AA22" i="10"/>
  <c r="Z22" i="10"/>
  <c r="Y22" i="10"/>
  <c r="X22" i="10"/>
  <c r="W22" i="10"/>
  <c r="V22" i="10"/>
  <c r="U22" i="10"/>
  <c r="AD21" i="10"/>
  <c r="AC21" i="10"/>
  <c r="AB21" i="10"/>
  <c r="AA21" i="10"/>
  <c r="Z21" i="10"/>
  <c r="Y21" i="10"/>
  <c r="X21" i="10"/>
  <c r="W21" i="10"/>
  <c r="V21" i="10"/>
  <c r="U21" i="10"/>
  <c r="AD20" i="10"/>
  <c r="AC20" i="10"/>
  <c r="AB20" i="10"/>
  <c r="AA20" i="10"/>
  <c r="Z20" i="10"/>
  <c r="Y20" i="10"/>
  <c r="X20" i="10"/>
  <c r="W20" i="10"/>
  <c r="V20" i="10"/>
  <c r="U20" i="10"/>
  <c r="AD19" i="10"/>
  <c r="AC19" i="10"/>
  <c r="AB19" i="10"/>
  <c r="AA19" i="10"/>
  <c r="Z19" i="10"/>
  <c r="Y19" i="10"/>
  <c r="X19" i="10"/>
  <c r="W19" i="10"/>
  <c r="V19" i="10"/>
  <c r="U19" i="10"/>
  <c r="AD104" i="9"/>
  <c r="AC104" i="9"/>
  <c r="AB104" i="9"/>
  <c r="AA104" i="9"/>
  <c r="Z104" i="9"/>
  <c r="Y104" i="9"/>
  <c r="X104" i="9"/>
  <c r="W104" i="9"/>
  <c r="V104" i="9"/>
  <c r="U104" i="9"/>
  <c r="AD103" i="9"/>
  <c r="AC103" i="9"/>
  <c r="AB103" i="9"/>
  <c r="AA103" i="9"/>
  <c r="Z103" i="9"/>
  <c r="Y103" i="9"/>
  <c r="X103" i="9"/>
  <c r="W103" i="9"/>
  <c r="V103" i="9"/>
  <c r="U103" i="9"/>
  <c r="AD102" i="9"/>
  <c r="AC102" i="9"/>
  <c r="AB102" i="9"/>
  <c r="AA102" i="9"/>
  <c r="Z102" i="9"/>
  <c r="Y102" i="9"/>
  <c r="X102" i="9"/>
  <c r="W102" i="9"/>
  <c r="V102" i="9"/>
  <c r="U102" i="9"/>
  <c r="AD101" i="9"/>
  <c r="AC101" i="9"/>
  <c r="AB101" i="9"/>
  <c r="AA101" i="9"/>
  <c r="Z101" i="9"/>
  <c r="Y101" i="9"/>
  <c r="X101" i="9"/>
  <c r="W101" i="9"/>
  <c r="V101" i="9"/>
  <c r="U101" i="9"/>
  <c r="AD100" i="9"/>
  <c r="AC100" i="9"/>
  <c r="AB100" i="9"/>
  <c r="AA100" i="9"/>
  <c r="Z100" i="9"/>
  <c r="Y100" i="9"/>
  <c r="X100" i="9"/>
  <c r="W100" i="9"/>
  <c r="V100" i="9"/>
  <c r="U100" i="9"/>
  <c r="AD99" i="9"/>
  <c r="AC99" i="9"/>
  <c r="AB99" i="9"/>
  <c r="AA99" i="9"/>
  <c r="Z99" i="9"/>
  <c r="Y99" i="9"/>
  <c r="X99" i="9"/>
  <c r="W99" i="9"/>
  <c r="V99" i="9"/>
  <c r="U99" i="9"/>
  <c r="AD98" i="9"/>
  <c r="AC98" i="9"/>
  <c r="AB98" i="9"/>
  <c r="AA98" i="9"/>
  <c r="Z98" i="9"/>
  <c r="Y98" i="9"/>
  <c r="X98" i="9"/>
  <c r="W98" i="9"/>
  <c r="V98" i="9"/>
  <c r="U98" i="9"/>
  <c r="AD97" i="9"/>
  <c r="AC97" i="9"/>
  <c r="AB97" i="9"/>
  <c r="AA97" i="9"/>
  <c r="Z97" i="9"/>
  <c r="Y97" i="9"/>
  <c r="X97" i="9"/>
  <c r="W97" i="9"/>
  <c r="V97" i="9"/>
  <c r="U97" i="9"/>
  <c r="AD96" i="9"/>
  <c r="AC96" i="9"/>
  <c r="AB96" i="9"/>
  <c r="AA96" i="9"/>
  <c r="Z96" i="9"/>
  <c r="Y96" i="9"/>
  <c r="X96" i="9"/>
  <c r="W96" i="9"/>
  <c r="V96" i="9"/>
  <c r="U96" i="9"/>
  <c r="AD95" i="9"/>
  <c r="AC95" i="9"/>
  <c r="AB95" i="9"/>
  <c r="AA95" i="9"/>
  <c r="Z95" i="9"/>
  <c r="Y95" i="9"/>
  <c r="X95" i="9"/>
  <c r="W95" i="9"/>
  <c r="V95" i="9"/>
  <c r="U95" i="9"/>
  <c r="AD94" i="9"/>
  <c r="AC94" i="9"/>
  <c r="AB94" i="9"/>
  <c r="AA94" i="9"/>
  <c r="Z94" i="9"/>
  <c r="Y94" i="9"/>
  <c r="X94" i="9"/>
  <c r="W94" i="9"/>
  <c r="V94" i="9"/>
  <c r="U94" i="9"/>
  <c r="AD93" i="9"/>
  <c r="AC93" i="9"/>
  <c r="AB93" i="9"/>
  <c r="AA93" i="9"/>
  <c r="Z93" i="9"/>
  <c r="Y93" i="9"/>
  <c r="X93" i="9"/>
  <c r="W93" i="9"/>
  <c r="V93" i="9"/>
  <c r="U93" i="9"/>
  <c r="AD92" i="9"/>
  <c r="AC92" i="9"/>
  <c r="AB92" i="9"/>
  <c r="AA92" i="9"/>
  <c r="Z92" i="9"/>
  <c r="Y92" i="9"/>
  <c r="X92" i="9"/>
  <c r="W92" i="9"/>
  <c r="V92" i="9"/>
  <c r="U92" i="9"/>
  <c r="AD91" i="9"/>
  <c r="AC91" i="9"/>
  <c r="AB91" i="9"/>
  <c r="AA91" i="9"/>
  <c r="Z91" i="9"/>
  <c r="Y91" i="9"/>
  <c r="X91" i="9"/>
  <c r="W91" i="9"/>
  <c r="V91" i="9"/>
  <c r="U91" i="9"/>
  <c r="AD90" i="9"/>
  <c r="AC90" i="9"/>
  <c r="AB90" i="9"/>
  <c r="AA90" i="9"/>
  <c r="Z90" i="9"/>
  <c r="Y90" i="9"/>
  <c r="X90" i="9"/>
  <c r="W90" i="9"/>
  <c r="V90" i="9"/>
  <c r="U90" i="9"/>
  <c r="AD89" i="9"/>
  <c r="AC89" i="9"/>
  <c r="AB89" i="9"/>
  <c r="AA89" i="9"/>
  <c r="Z89" i="9"/>
  <c r="Y89" i="9"/>
  <c r="X89" i="9"/>
  <c r="W89" i="9"/>
  <c r="V89" i="9"/>
  <c r="U89" i="9"/>
  <c r="AD88" i="9"/>
  <c r="AC88" i="9"/>
  <c r="AB88" i="9"/>
  <c r="AA88" i="9"/>
  <c r="Z88" i="9"/>
  <c r="Y88" i="9"/>
  <c r="X88" i="9"/>
  <c r="W88" i="9"/>
  <c r="V88" i="9"/>
  <c r="U88" i="9"/>
  <c r="AD87" i="9"/>
  <c r="AC87" i="9"/>
  <c r="AB87" i="9"/>
  <c r="AA87" i="9"/>
  <c r="Z87" i="9"/>
  <c r="Y87" i="9"/>
  <c r="X87" i="9"/>
  <c r="W87" i="9"/>
  <c r="V87" i="9"/>
  <c r="U87" i="9"/>
  <c r="AD86" i="9"/>
  <c r="AC86" i="9"/>
  <c r="AB86" i="9"/>
  <c r="AA86" i="9"/>
  <c r="Z86" i="9"/>
  <c r="Y86" i="9"/>
  <c r="X86" i="9"/>
  <c r="W86" i="9"/>
  <c r="V86" i="9"/>
  <c r="U86" i="9"/>
  <c r="AD85" i="9"/>
  <c r="AC85" i="9"/>
  <c r="AB85" i="9"/>
  <c r="AA85" i="9"/>
  <c r="Z85" i="9"/>
  <c r="Y85" i="9"/>
  <c r="X85" i="9"/>
  <c r="W85" i="9"/>
  <c r="V85" i="9"/>
  <c r="U85" i="9"/>
  <c r="AD84" i="9"/>
  <c r="AC84" i="9"/>
  <c r="AB84" i="9"/>
  <c r="AA84" i="9"/>
  <c r="Z84" i="9"/>
  <c r="Y84" i="9"/>
  <c r="X84" i="9"/>
  <c r="W84" i="9"/>
  <c r="V84" i="9"/>
  <c r="U84" i="9"/>
  <c r="AD83" i="9"/>
  <c r="AC83" i="9"/>
  <c r="AB83" i="9"/>
  <c r="AA83" i="9"/>
  <c r="Z83" i="9"/>
  <c r="Y83" i="9"/>
  <c r="X83" i="9"/>
  <c r="W83" i="9"/>
  <c r="V83" i="9"/>
  <c r="U83" i="9"/>
  <c r="AD82" i="9"/>
  <c r="AC82" i="9"/>
  <c r="AB82" i="9"/>
  <c r="AA82" i="9"/>
  <c r="Z82" i="9"/>
  <c r="Y82" i="9"/>
  <c r="X82" i="9"/>
  <c r="W82" i="9"/>
  <c r="V82" i="9"/>
  <c r="U82" i="9"/>
  <c r="AD81" i="9"/>
  <c r="AC81" i="9"/>
  <c r="AB81" i="9"/>
  <c r="AA81" i="9"/>
  <c r="Z81" i="9"/>
  <c r="Y81" i="9"/>
  <c r="X81" i="9"/>
  <c r="W81" i="9"/>
  <c r="V81" i="9"/>
  <c r="U81" i="9"/>
  <c r="AD80" i="9"/>
  <c r="AC80" i="9"/>
  <c r="AB80" i="9"/>
  <c r="AA80" i="9"/>
  <c r="Z80" i="9"/>
  <c r="Y80" i="9"/>
  <c r="X80" i="9"/>
  <c r="W80" i="9"/>
  <c r="V80" i="9"/>
  <c r="U80" i="9"/>
  <c r="AD79" i="9"/>
  <c r="AC79" i="9"/>
  <c r="AB79" i="9"/>
  <c r="AA79" i="9"/>
  <c r="Z79" i="9"/>
  <c r="Y79" i="9"/>
  <c r="X79" i="9"/>
  <c r="W79" i="9"/>
  <c r="V79" i="9"/>
  <c r="U79" i="9"/>
  <c r="AD78" i="9"/>
  <c r="AC78" i="9"/>
  <c r="AB78" i="9"/>
  <c r="AA78" i="9"/>
  <c r="Z78" i="9"/>
  <c r="Y78" i="9"/>
  <c r="X78" i="9"/>
  <c r="W78" i="9"/>
  <c r="V78" i="9"/>
  <c r="U78" i="9"/>
  <c r="AD77" i="9"/>
  <c r="AC77" i="9"/>
  <c r="AB77" i="9"/>
  <c r="AA77" i="9"/>
  <c r="Z77" i="9"/>
  <c r="Y77" i="9"/>
  <c r="X77" i="9"/>
  <c r="W77" i="9"/>
  <c r="V77" i="9"/>
  <c r="U77" i="9"/>
  <c r="AD76" i="9"/>
  <c r="AC76" i="9"/>
  <c r="AB76" i="9"/>
  <c r="AA76" i="9"/>
  <c r="Z76" i="9"/>
  <c r="Y76" i="9"/>
  <c r="X76" i="9"/>
  <c r="W76" i="9"/>
  <c r="V76" i="9"/>
  <c r="U76" i="9"/>
  <c r="AD75" i="9"/>
  <c r="AC75" i="9"/>
  <c r="AB75" i="9"/>
  <c r="AA75" i="9"/>
  <c r="Z75" i="9"/>
  <c r="Y75" i="9"/>
  <c r="X75" i="9"/>
  <c r="W75" i="9"/>
  <c r="V75" i="9"/>
  <c r="U75" i="9"/>
  <c r="AD54" i="9"/>
  <c r="AC54" i="9"/>
  <c r="AB54" i="9"/>
  <c r="AA54" i="9"/>
  <c r="Z54" i="9"/>
  <c r="Y54" i="9"/>
  <c r="X54" i="9"/>
  <c r="W54" i="9"/>
  <c r="V54" i="9"/>
  <c r="U54" i="9"/>
  <c r="AD53" i="9"/>
  <c r="AC53" i="9"/>
  <c r="AB53" i="9"/>
  <c r="AA53" i="9"/>
  <c r="Z53" i="9"/>
  <c r="Y53" i="9"/>
  <c r="X53" i="9"/>
  <c r="W53" i="9"/>
  <c r="V53" i="9"/>
  <c r="U53" i="9"/>
  <c r="AD52" i="9"/>
  <c r="AC52" i="9"/>
  <c r="AB52" i="9"/>
  <c r="AA52" i="9"/>
  <c r="Z52" i="9"/>
  <c r="Y52" i="9"/>
  <c r="X52" i="9"/>
  <c r="W52" i="9"/>
  <c r="V52" i="9"/>
  <c r="U52" i="9"/>
  <c r="AD51" i="9"/>
  <c r="AC51" i="9"/>
  <c r="AB51" i="9"/>
  <c r="AA51" i="9"/>
  <c r="Z51" i="9"/>
  <c r="Y51" i="9"/>
  <c r="X51" i="9"/>
  <c r="W51" i="9"/>
  <c r="V51" i="9"/>
  <c r="U51" i="9"/>
  <c r="AD50" i="9"/>
  <c r="AC50" i="9"/>
  <c r="AB50" i="9"/>
  <c r="AA50" i="9"/>
  <c r="Z50" i="9"/>
  <c r="Y50" i="9"/>
  <c r="X50" i="9"/>
  <c r="W50" i="9"/>
  <c r="V50" i="9"/>
  <c r="U50" i="9"/>
  <c r="AD49" i="9"/>
  <c r="AC49" i="9"/>
  <c r="AB49" i="9"/>
  <c r="AA49" i="9"/>
  <c r="Z49" i="9"/>
  <c r="Y49" i="9"/>
  <c r="X49" i="9"/>
  <c r="W49" i="9"/>
  <c r="V49" i="9"/>
  <c r="U49" i="9"/>
  <c r="AD48" i="9"/>
  <c r="AC48" i="9"/>
  <c r="AB48" i="9"/>
  <c r="AA48" i="9"/>
  <c r="Z48" i="9"/>
  <c r="Y48" i="9"/>
  <c r="X48" i="9"/>
  <c r="W48" i="9"/>
  <c r="V48" i="9"/>
  <c r="U48" i="9"/>
  <c r="AD47" i="9"/>
  <c r="AC47" i="9"/>
  <c r="AB47" i="9"/>
  <c r="AA47" i="9"/>
  <c r="Z47" i="9"/>
  <c r="Y47" i="9"/>
  <c r="X47" i="9"/>
  <c r="W47" i="9"/>
  <c r="V47" i="9"/>
  <c r="U47" i="9"/>
  <c r="AD46" i="9"/>
  <c r="AC46" i="9"/>
  <c r="AB46" i="9"/>
  <c r="AA46" i="9"/>
  <c r="Z46" i="9"/>
  <c r="Y46" i="9"/>
  <c r="X46" i="9"/>
  <c r="W46" i="9"/>
  <c r="V46" i="9"/>
  <c r="U46" i="9"/>
  <c r="AD45" i="9"/>
  <c r="AC45" i="9"/>
  <c r="AB45" i="9"/>
  <c r="AA45" i="9"/>
  <c r="Z45" i="9"/>
  <c r="Y45" i="9"/>
  <c r="X45" i="9"/>
  <c r="W45" i="9"/>
  <c r="V45" i="9"/>
  <c r="U45" i="9"/>
  <c r="AD44" i="9"/>
  <c r="AC44" i="9"/>
  <c r="AB44" i="9"/>
  <c r="AA44" i="9"/>
  <c r="Z44" i="9"/>
  <c r="Y44" i="9"/>
  <c r="X44" i="9"/>
  <c r="W44" i="9"/>
  <c r="V44" i="9"/>
  <c r="U44" i="9"/>
  <c r="AD43" i="9"/>
  <c r="AC43" i="9"/>
  <c r="AB43" i="9"/>
  <c r="AA43" i="9"/>
  <c r="Z43" i="9"/>
  <c r="Y43" i="9"/>
  <c r="X43" i="9"/>
  <c r="W43" i="9"/>
  <c r="V43" i="9"/>
  <c r="U43" i="9"/>
  <c r="AD42" i="9"/>
  <c r="AC42" i="9"/>
  <c r="AB42" i="9"/>
  <c r="AA42" i="9"/>
  <c r="Z42" i="9"/>
  <c r="Y42" i="9"/>
  <c r="X42" i="9"/>
  <c r="W42" i="9"/>
  <c r="V42" i="9"/>
  <c r="U42" i="9"/>
  <c r="AD41" i="9"/>
  <c r="AC41" i="9"/>
  <c r="AB41" i="9"/>
  <c r="AA41" i="9"/>
  <c r="Z41" i="9"/>
  <c r="Y41" i="9"/>
  <c r="X41" i="9"/>
  <c r="W41" i="9"/>
  <c r="V41" i="9"/>
  <c r="U41" i="9"/>
  <c r="AD40" i="9"/>
  <c r="AC40" i="9"/>
  <c r="AB40" i="9"/>
  <c r="AA40" i="9"/>
  <c r="Z40" i="9"/>
  <c r="Y40" i="9"/>
  <c r="X40" i="9"/>
  <c r="W40" i="9"/>
  <c r="V40" i="9"/>
  <c r="U40" i="9"/>
  <c r="AD39" i="9"/>
  <c r="AC39" i="9"/>
  <c r="AB39" i="9"/>
  <c r="AA39" i="9"/>
  <c r="Z39" i="9"/>
  <c r="Y39" i="9"/>
  <c r="X39" i="9"/>
  <c r="W39" i="9"/>
  <c r="V39" i="9"/>
  <c r="U39" i="9"/>
  <c r="AD38" i="9"/>
  <c r="AC38" i="9"/>
  <c r="AB38" i="9"/>
  <c r="AA38" i="9"/>
  <c r="Z38" i="9"/>
  <c r="Y38" i="9"/>
  <c r="X38" i="9"/>
  <c r="W38" i="9"/>
  <c r="V38" i="9"/>
  <c r="U38" i="9"/>
  <c r="AD37" i="9"/>
  <c r="AC37" i="9"/>
  <c r="AB37" i="9"/>
  <c r="AA37" i="9"/>
  <c r="Z37" i="9"/>
  <c r="Y37" i="9"/>
  <c r="X37" i="9"/>
  <c r="W37" i="9"/>
  <c r="V37" i="9"/>
  <c r="U37" i="9"/>
  <c r="AD36" i="9"/>
  <c r="AC36" i="9"/>
  <c r="AB36" i="9"/>
  <c r="AA36" i="9"/>
  <c r="Z36" i="9"/>
  <c r="Y36" i="9"/>
  <c r="X36" i="9"/>
  <c r="W36" i="9"/>
  <c r="V36" i="9"/>
  <c r="U36" i="9"/>
  <c r="AD35" i="9"/>
  <c r="AC35" i="9"/>
  <c r="AB35" i="9"/>
  <c r="AA35" i="9"/>
  <c r="Z35" i="9"/>
  <c r="Y35" i="9"/>
  <c r="X35" i="9"/>
  <c r="W35" i="9"/>
  <c r="V35" i="9"/>
  <c r="U35" i="9"/>
  <c r="AD34" i="9"/>
  <c r="AC34" i="9"/>
  <c r="AB34" i="9"/>
  <c r="AA34" i="9"/>
  <c r="Z34" i="9"/>
  <c r="Y34" i="9"/>
  <c r="X34" i="9"/>
  <c r="W34" i="9"/>
  <c r="V34" i="9"/>
  <c r="U34" i="9"/>
  <c r="AD33" i="9"/>
  <c r="AC33" i="9"/>
  <c r="AB33" i="9"/>
  <c r="AA33" i="9"/>
  <c r="Z33" i="9"/>
  <c r="Y33" i="9"/>
  <c r="X33" i="9"/>
  <c r="W33" i="9"/>
  <c r="V33" i="9"/>
  <c r="U33" i="9"/>
  <c r="AD32" i="9"/>
  <c r="AC32" i="9"/>
  <c r="AB32" i="9"/>
  <c r="AA32" i="9"/>
  <c r="Z32" i="9"/>
  <c r="Y32" i="9"/>
  <c r="X32" i="9"/>
  <c r="W32" i="9"/>
  <c r="V32" i="9"/>
  <c r="U32" i="9"/>
  <c r="AD31" i="9"/>
  <c r="AC31" i="9"/>
  <c r="AB31" i="9"/>
  <c r="AA31" i="9"/>
  <c r="Z31" i="9"/>
  <c r="Y31" i="9"/>
  <c r="X31" i="9"/>
  <c r="W31" i="9"/>
  <c r="V31" i="9"/>
  <c r="U31" i="9"/>
  <c r="AD30" i="9"/>
  <c r="AC30" i="9"/>
  <c r="AB30" i="9"/>
  <c r="AA30" i="9"/>
  <c r="Z30" i="9"/>
  <c r="Y30" i="9"/>
  <c r="X30" i="9"/>
  <c r="W30" i="9"/>
  <c r="V30" i="9"/>
  <c r="U30" i="9"/>
  <c r="AD29" i="9"/>
  <c r="AC29" i="9"/>
  <c r="AB29" i="9"/>
  <c r="AA29" i="9"/>
  <c r="Z29" i="9"/>
  <c r="Y29" i="9"/>
  <c r="X29" i="9"/>
  <c r="W29" i="9"/>
  <c r="V29" i="9"/>
  <c r="U29" i="9"/>
  <c r="AD28" i="9"/>
  <c r="AC28" i="9"/>
  <c r="AB28" i="9"/>
  <c r="AA28" i="9"/>
  <c r="Z28" i="9"/>
  <c r="Y28" i="9"/>
  <c r="X28" i="9"/>
  <c r="W28" i="9"/>
  <c r="V28" i="9"/>
  <c r="U28" i="9"/>
  <c r="AD27" i="9"/>
  <c r="AC27" i="9"/>
  <c r="AB27" i="9"/>
  <c r="AA27" i="9"/>
  <c r="Z27" i="9"/>
  <c r="Y27" i="9"/>
  <c r="X27" i="9"/>
  <c r="W27" i="9"/>
  <c r="V27" i="9"/>
  <c r="U27" i="9"/>
  <c r="AD26" i="9"/>
  <c r="AC26" i="9"/>
  <c r="AB26" i="9"/>
  <c r="AA26" i="9"/>
  <c r="Z26" i="9"/>
  <c r="Y26" i="9"/>
  <c r="X26" i="9"/>
  <c r="W26" i="9"/>
  <c r="V26" i="9"/>
  <c r="U26" i="9"/>
  <c r="AD25" i="9"/>
  <c r="AC25" i="9"/>
  <c r="AB25" i="9"/>
  <c r="AA25" i="9"/>
  <c r="Z25" i="9"/>
  <c r="Y25" i="9"/>
  <c r="X25" i="9"/>
  <c r="W25" i="9"/>
  <c r="V25" i="9"/>
  <c r="U25" i="9"/>
  <c r="AD24" i="9"/>
  <c r="AC24" i="9"/>
  <c r="AB24" i="9"/>
  <c r="AA24" i="9"/>
  <c r="Z24" i="9"/>
  <c r="Y24" i="9"/>
  <c r="X24" i="9"/>
  <c r="W24" i="9"/>
  <c r="V24" i="9"/>
  <c r="U24" i="9"/>
  <c r="AD23" i="9"/>
  <c r="AC23" i="9"/>
  <c r="AB23" i="9"/>
  <c r="AA23" i="9"/>
  <c r="Z23" i="9"/>
  <c r="Y23" i="9"/>
  <c r="X23" i="9"/>
  <c r="W23" i="9"/>
  <c r="V23" i="9"/>
  <c r="U23" i="9"/>
  <c r="AD22" i="9"/>
  <c r="AC22" i="9"/>
  <c r="AB22" i="9"/>
  <c r="AA22" i="9"/>
  <c r="Z22" i="9"/>
  <c r="Y22" i="9"/>
  <c r="X22" i="9"/>
  <c r="W22" i="9"/>
  <c r="V22" i="9"/>
  <c r="U22" i="9"/>
  <c r="AD21" i="9"/>
  <c r="AC21" i="9"/>
  <c r="AB21" i="9"/>
  <c r="AA21" i="9"/>
  <c r="Z21" i="9"/>
  <c r="Y21" i="9"/>
  <c r="X21" i="9"/>
  <c r="W21" i="9"/>
  <c r="V21" i="9"/>
  <c r="U21" i="9"/>
  <c r="AD20" i="9"/>
  <c r="AC20" i="9"/>
  <c r="AB20" i="9"/>
  <c r="AA20" i="9"/>
  <c r="Z20" i="9"/>
  <c r="Y20" i="9"/>
  <c r="X20" i="9"/>
  <c r="W20" i="9"/>
  <c r="V20" i="9"/>
  <c r="U20" i="9"/>
  <c r="AD19" i="9"/>
  <c r="AC19" i="9"/>
  <c r="AB19" i="9"/>
  <c r="AA19" i="9"/>
  <c r="Z19" i="9"/>
  <c r="Y19" i="9"/>
  <c r="X19" i="9"/>
  <c r="W19" i="9"/>
  <c r="V19" i="9"/>
  <c r="U19" i="9"/>
  <c r="AD104" i="8"/>
  <c r="AC104" i="8"/>
  <c r="AB104" i="8"/>
  <c r="AA104" i="8"/>
  <c r="Z104" i="8"/>
  <c r="Y104" i="8"/>
  <c r="X104" i="8"/>
  <c r="W104" i="8"/>
  <c r="V104" i="8"/>
  <c r="U104" i="8"/>
  <c r="AD103" i="8"/>
  <c r="AC103" i="8"/>
  <c r="AB103" i="8"/>
  <c r="AA103" i="8"/>
  <c r="Z103" i="8"/>
  <c r="Y103" i="8"/>
  <c r="X103" i="8"/>
  <c r="W103" i="8"/>
  <c r="V103" i="8"/>
  <c r="U103" i="8"/>
  <c r="AD102" i="8"/>
  <c r="AC102" i="8"/>
  <c r="AB102" i="8"/>
  <c r="AA102" i="8"/>
  <c r="Z102" i="8"/>
  <c r="Y102" i="8"/>
  <c r="X102" i="8"/>
  <c r="W102" i="8"/>
  <c r="V102" i="8"/>
  <c r="U102" i="8"/>
  <c r="AD101" i="8"/>
  <c r="AC101" i="8"/>
  <c r="AB101" i="8"/>
  <c r="AA101" i="8"/>
  <c r="Z101" i="8"/>
  <c r="Y101" i="8"/>
  <c r="X101" i="8"/>
  <c r="W101" i="8"/>
  <c r="V101" i="8"/>
  <c r="U101" i="8"/>
  <c r="AD100" i="8"/>
  <c r="AC100" i="8"/>
  <c r="AB100" i="8"/>
  <c r="AA100" i="8"/>
  <c r="Z100" i="8"/>
  <c r="Y100" i="8"/>
  <c r="X100" i="8"/>
  <c r="W100" i="8"/>
  <c r="V100" i="8"/>
  <c r="U100" i="8"/>
  <c r="AD99" i="8"/>
  <c r="AC99" i="8"/>
  <c r="AB99" i="8"/>
  <c r="AA99" i="8"/>
  <c r="Z99" i="8"/>
  <c r="Y99" i="8"/>
  <c r="X99" i="8"/>
  <c r="W99" i="8"/>
  <c r="V99" i="8"/>
  <c r="U99" i="8"/>
  <c r="AD98" i="8"/>
  <c r="AC98" i="8"/>
  <c r="AB98" i="8"/>
  <c r="AA98" i="8"/>
  <c r="Z98" i="8"/>
  <c r="Y98" i="8"/>
  <c r="X98" i="8"/>
  <c r="W98" i="8"/>
  <c r="V98" i="8"/>
  <c r="U98" i="8"/>
  <c r="AD97" i="8"/>
  <c r="AC97" i="8"/>
  <c r="AB97" i="8"/>
  <c r="AA97" i="8"/>
  <c r="Z97" i="8"/>
  <c r="Y97" i="8"/>
  <c r="X97" i="8"/>
  <c r="W97" i="8"/>
  <c r="V97" i="8"/>
  <c r="U97" i="8"/>
  <c r="AD96" i="8"/>
  <c r="AC96" i="8"/>
  <c r="AB96" i="8"/>
  <c r="AA96" i="8"/>
  <c r="Z96" i="8"/>
  <c r="Y96" i="8"/>
  <c r="X96" i="8"/>
  <c r="W96" i="8"/>
  <c r="V96" i="8"/>
  <c r="U96" i="8"/>
  <c r="AD95" i="8"/>
  <c r="AC95" i="8"/>
  <c r="AB95" i="8"/>
  <c r="AA95" i="8"/>
  <c r="Z95" i="8"/>
  <c r="Y95" i="8"/>
  <c r="X95" i="8"/>
  <c r="W95" i="8"/>
  <c r="V95" i="8"/>
  <c r="U95" i="8"/>
  <c r="AD94" i="8"/>
  <c r="AC94" i="8"/>
  <c r="AB94" i="8"/>
  <c r="AA94" i="8"/>
  <c r="Z94" i="8"/>
  <c r="Y94" i="8"/>
  <c r="X94" i="8"/>
  <c r="W94" i="8"/>
  <c r="V94" i="8"/>
  <c r="U94" i="8"/>
  <c r="AD93" i="8"/>
  <c r="AC93" i="8"/>
  <c r="AB93" i="8"/>
  <c r="AA93" i="8"/>
  <c r="Z93" i="8"/>
  <c r="Y93" i="8"/>
  <c r="X93" i="8"/>
  <c r="W93" i="8"/>
  <c r="V93" i="8"/>
  <c r="U93" i="8"/>
  <c r="AD92" i="8"/>
  <c r="AC92" i="8"/>
  <c r="AB92" i="8"/>
  <c r="AA92" i="8"/>
  <c r="Z92" i="8"/>
  <c r="Y92" i="8"/>
  <c r="X92" i="8"/>
  <c r="W92" i="8"/>
  <c r="V92" i="8"/>
  <c r="U92" i="8"/>
  <c r="AD91" i="8"/>
  <c r="AC91" i="8"/>
  <c r="AB91" i="8"/>
  <c r="AA91" i="8"/>
  <c r="Z91" i="8"/>
  <c r="Y91" i="8"/>
  <c r="X91" i="8"/>
  <c r="W91" i="8"/>
  <c r="V91" i="8"/>
  <c r="U91" i="8"/>
  <c r="AD90" i="8"/>
  <c r="AC90" i="8"/>
  <c r="AB90" i="8"/>
  <c r="AA90" i="8"/>
  <c r="Z90" i="8"/>
  <c r="Y90" i="8"/>
  <c r="X90" i="8"/>
  <c r="W90" i="8"/>
  <c r="V90" i="8"/>
  <c r="U90" i="8"/>
  <c r="AD89" i="8"/>
  <c r="AC89" i="8"/>
  <c r="AB89" i="8"/>
  <c r="AA89" i="8"/>
  <c r="Z89" i="8"/>
  <c r="Y89" i="8"/>
  <c r="X89" i="8"/>
  <c r="W89" i="8"/>
  <c r="V89" i="8"/>
  <c r="U89" i="8"/>
  <c r="AD88" i="8"/>
  <c r="AC88" i="8"/>
  <c r="AB88" i="8"/>
  <c r="AA88" i="8"/>
  <c r="Z88" i="8"/>
  <c r="Y88" i="8"/>
  <c r="X88" i="8"/>
  <c r="W88" i="8"/>
  <c r="V88" i="8"/>
  <c r="U88" i="8"/>
  <c r="AD87" i="8"/>
  <c r="AC87" i="8"/>
  <c r="AB87" i="8"/>
  <c r="AA87" i="8"/>
  <c r="Z87" i="8"/>
  <c r="Y87" i="8"/>
  <c r="X87" i="8"/>
  <c r="W87" i="8"/>
  <c r="V87" i="8"/>
  <c r="U87" i="8"/>
  <c r="AD86" i="8"/>
  <c r="AC86" i="8"/>
  <c r="AB86" i="8"/>
  <c r="AA86" i="8"/>
  <c r="Z86" i="8"/>
  <c r="Y86" i="8"/>
  <c r="X86" i="8"/>
  <c r="W86" i="8"/>
  <c r="V86" i="8"/>
  <c r="U86" i="8"/>
  <c r="AD85" i="8"/>
  <c r="AC85" i="8"/>
  <c r="AB85" i="8"/>
  <c r="AA85" i="8"/>
  <c r="Z85" i="8"/>
  <c r="Y85" i="8"/>
  <c r="X85" i="8"/>
  <c r="W85" i="8"/>
  <c r="V85" i="8"/>
  <c r="U85" i="8"/>
  <c r="AD84" i="8"/>
  <c r="AC84" i="8"/>
  <c r="AB84" i="8"/>
  <c r="AA84" i="8"/>
  <c r="Z84" i="8"/>
  <c r="Y84" i="8"/>
  <c r="X84" i="8"/>
  <c r="W84" i="8"/>
  <c r="V84" i="8"/>
  <c r="U84" i="8"/>
  <c r="AD83" i="8"/>
  <c r="AC83" i="8"/>
  <c r="AB83" i="8"/>
  <c r="AA83" i="8"/>
  <c r="Z83" i="8"/>
  <c r="Y83" i="8"/>
  <c r="X83" i="8"/>
  <c r="W83" i="8"/>
  <c r="V83" i="8"/>
  <c r="U83" i="8"/>
  <c r="AD82" i="8"/>
  <c r="AC82" i="8"/>
  <c r="AB82" i="8"/>
  <c r="AA82" i="8"/>
  <c r="Z82" i="8"/>
  <c r="Y82" i="8"/>
  <c r="X82" i="8"/>
  <c r="W82" i="8"/>
  <c r="V82" i="8"/>
  <c r="U82" i="8"/>
  <c r="AD81" i="8"/>
  <c r="AC81" i="8"/>
  <c r="AB81" i="8"/>
  <c r="AA81" i="8"/>
  <c r="Z81" i="8"/>
  <c r="Y81" i="8"/>
  <c r="X81" i="8"/>
  <c r="W81" i="8"/>
  <c r="V81" i="8"/>
  <c r="U81" i="8"/>
  <c r="AD80" i="8"/>
  <c r="AC80" i="8"/>
  <c r="AB80" i="8"/>
  <c r="AA80" i="8"/>
  <c r="Z80" i="8"/>
  <c r="Y80" i="8"/>
  <c r="X80" i="8"/>
  <c r="W80" i="8"/>
  <c r="V80" i="8"/>
  <c r="U80" i="8"/>
  <c r="AD79" i="8"/>
  <c r="AC79" i="8"/>
  <c r="AB79" i="8"/>
  <c r="AA79" i="8"/>
  <c r="Z79" i="8"/>
  <c r="Y79" i="8"/>
  <c r="X79" i="8"/>
  <c r="W79" i="8"/>
  <c r="V79" i="8"/>
  <c r="U79" i="8"/>
  <c r="AD78" i="8"/>
  <c r="AC78" i="8"/>
  <c r="AB78" i="8"/>
  <c r="AA78" i="8"/>
  <c r="Z78" i="8"/>
  <c r="Y78" i="8"/>
  <c r="X78" i="8"/>
  <c r="W78" i="8"/>
  <c r="V78" i="8"/>
  <c r="U78" i="8"/>
  <c r="AD77" i="8"/>
  <c r="AC77" i="8"/>
  <c r="AB77" i="8"/>
  <c r="AA77" i="8"/>
  <c r="Z77" i="8"/>
  <c r="Y77" i="8"/>
  <c r="X77" i="8"/>
  <c r="W77" i="8"/>
  <c r="V77" i="8"/>
  <c r="U77" i="8"/>
  <c r="AD76" i="8"/>
  <c r="AC76" i="8"/>
  <c r="AB76" i="8"/>
  <c r="AA76" i="8"/>
  <c r="Z76" i="8"/>
  <c r="Y76" i="8"/>
  <c r="X76" i="8"/>
  <c r="W76" i="8"/>
  <c r="V76" i="8"/>
  <c r="U76" i="8"/>
  <c r="AD75" i="8"/>
  <c r="AC75" i="8"/>
  <c r="AB75" i="8"/>
  <c r="AA75" i="8"/>
  <c r="Z75" i="8"/>
  <c r="Y75" i="8"/>
  <c r="X75" i="8"/>
  <c r="W75" i="8"/>
  <c r="V75" i="8"/>
  <c r="U75" i="8"/>
  <c r="AD54" i="8"/>
  <c r="AC54" i="8"/>
  <c r="AB54" i="8"/>
  <c r="AA54" i="8"/>
  <c r="Z54" i="8"/>
  <c r="Y54" i="8"/>
  <c r="X54" i="8"/>
  <c r="W54" i="8"/>
  <c r="V54" i="8"/>
  <c r="U54" i="8"/>
  <c r="AD53" i="8"/>
  <c r="AC53" i="8"/>
  <c r="AB53" i="8"/>
  <c r="AA53" i="8"/>
  <c r="Z53" i="8"/>
  <c r="Y53" i="8"/>
  <c r="X53" i="8"/>
  <c r="W53" i="8"/>
  <c r="V53" i="8"/>
  <c r="U53" i="8"/>
  <c r="AD52" i="8"/>
  <c r="AC52" i="8"/>
  <c r="AB52" i="8"/>
  <c r="AA52" i="8"/>
  <c r="Z52" i="8"/>
  <c r="Y52" i="8"/>
  <c r="X52" i="8"/>
  <c r="W52" i="8"/>
  <c r="V52" i="8"/>
  <c r="U52" i="8"/>
  <c r="AD51" i="8"/>
  <c r="AC51" i="8"/>
  <c r="AB51" i="8"/>
  <c r="AA51" i="8"/>
  <c r="Z51" i="8"/>
  <c r="Y51" i="8"/>
  <c r="X51" i="8"/>
  <c r="W51" i="8"/>
  <c r="V51" i="8"/>
  <c r="U51" i="8"/>
  <c r="AD50" i="8"/>
  <c r="AC50" i="8"/>
  <c r="AB50" i="8"/>
  <c r="AA50" i="8"/>
  <c r="Z50" i="8"/>
  <c r="Y50" i="8"/>
  <c r="X50" i="8"/>
  <c r="W50" i="8"/>
  <c r="V50" i="8"/>
  <c r="U50" i="8"/>
  <c r="AD49" i="8"/>
  <c r="AC49" i="8"/>
  <c r="AB49" i="8"/>
  <c r="AA49" i="8"/>
  <c r="Z49" i="8"/>
  <c r="Y49" i="8"/>
  <c r="X49" i="8"/>
  <c r="W49" i="8"/>
  <c r="V49" i="8"/>
  <c r="U49" i="8"/>
  <c r="AD48" i="8"/>
  <c r="AC48" i="8"/>
  <c r="AB48" i="8"/>
  <c r="AA48" i="8"/>
  <c r="Z48" i="8"/>
  <c r="Y48" i="8"/>
  <c r="X48" i="8"/>
  <c r="W48" i="8"/>
  <c r="V48" i="8"/>
  <c r="U48" i="8"/>
  <c r="AD47" i="8"/>
  <c r="AC47" i="8"/>
  <c r="AB47" i="8"/>
  <c r="AA47" i="8"/>
  <c r="Z47" i="8"/>
  <c r="Y47" i="8"/>
  <c r="X47" i="8"/>
  <c r="W47" i="8"/>
  <c r="V47" i="8"/>
  <c r="U47" i="8"/>
  <c r="AD46" i="8"/>
  <c r="AC46" i="8"/>
  <c r="AB46" i="8"/>
  <c r="AA46" i="8"/>
  <c r="Z46" i="8"/>
  <c r="Y46" i="8"/>
  <c r="X46" i="8"/>
  <c r="W46" i="8"/>
  <c r="V46" i="8"/>
  <c r="U46" i="8"/>
  <c r="AD45" i="8"/>
  <c r="AC45" i="8"/>
  <c r="AB45" i="8"/>
  <c r="AA45" i="8"/>
  <c r="Z45" i="8"/>
  <c r="Y45" i="8"/>
  <c r="X45" i="8"/>
  <c r="W45" i="8"/>
  <c r="V45" i="8"/>
  <c r="U45" i="8"/>
  <c r="AD44" i="8"/>
  <c r="AC44" i="8"/>
  <c r="AB44" i="8"/>
  <c r="AA44" i="8"/>
  <c r="Z44" i="8"/>
  <c r="Y44" i="8"/>
  <c r="X44" i="8"/>
  <c r="W44" i="8"/>
  <c r="V44" i="8"/>
  <c r="U44" i="8"/>
  <c r="AD43" i="8"/>
  <c r="AC43" i="8"/>
  <c r="AB43" i="8"/>
  <c r="AA43" i="8"/>
  <c r="Z43" i="8"/>
  <c r="Y43" i="8"/>
  <c r="X43" i="8"/>
  <c r="W43" i="8"/>
  <c r="V43" i="8"/>
  <c r="U43" i="8"/>
  <c r="AD42" i="8"/>
  <c r="AC42" i="8"/>
  <c r="AB42" i="8"/>
  <c r="AA42" i="8"/>
  <c r="Z42" i="8"/>
  <c r="Y42" i="8"/>
  <c r="X42" i="8"/>
  <c r="W42" i="8"/>
  <c r="V42" i="8"/>
  <c r="U42" i="8"/>
  <c r="AD41" i="8"/>
  <c r="AC41" i="8"/>
  <c r="AB41" i="8"/>
  <c r="AA41" i="8"/>
  <c r="Z41" i="8"/>
  <c r="Y41" i="8"/>
  <c r="X41" i="8"/>
  <c r="W41" i="8"/>
  <c r="V41" i="8"/>
  <c r="U41" i="8"/>
  <c r="AD40" i="8"/>
  <c r="AC40" i="8"/>
  <c r="AB40" i="8"/>
  <c r="AA40" i="8"/>
  <c r="Z40" i="8"/>
  <c r="Y40" i="8"/>
  <c r="X40" i="8"/>
  <c r="W40" i="8"/>
  <c r="V40" i="8"/>
  <c r="U40" i="8"/>
  <c r="AD39" i="8"/>
  <c r="AC39" i="8"/>
  <c r="AB39" i="8"/>
  <c r="AA39" i="8"/>
  <c r="Z39" i="8"/>
  <c r="Y39" i="8"/>
  <c r="X39" i="8"/>
  <c r="W39" i="8"/>
  <c r="V39" i="8"/>
  <c r="U39" i="8"/>
  <c r="AD38" i="8"/>
  <c r="AC38" i="8"/>
  <c r="AB38" i="8"/>
  <c r="AA38" i="8"/>
  <c r="Z38" i="8"/>
  <c r="Y38" i="8"/>
  <c r="X38" i="8"/>
  <c r="W38" i="8"/>
  <c r="V38" i="8"/>
  <c r="U38" i="8"/>
  <c r="AD37" i="8"/>
  <c r="AC37" i="8"/>
  <c r="AB37" i="8"/>
  <c r="AA37" i="8"/>
  <c r="Z37" i="8"/>
  <c r="Y37" i="8"/>
  <c r="X37" i="8"/>
  <c r="W37" i="8"/>
  <c r="V37" i="8"/>
  <c r="U37" i="8"/>
  <c r="AD36" i="8"/>
  <c r="AC36" i="8"/>
  <c r="AB36" i="8"/>
  <c r="AA36" i="8"/>
  <c r="Z36" i="8"/>
  <c r="Y36" i="8"/>
  <c r="X36" i="8"/>
  <c r="W36" i="8"/>
  <c r="V36" i="8"/>
  <c r="U36" i="8"/>
  <c r="AD35" i="8"/>
  <c r="AC35" i="8"/>
  <c r="AB35" i="8"/>
  <c r="AA35" i="8"/>
  <c r="Z35" i="8"/>
  <c r="Y35" i="8"/>
  <c r="X35" i="8"/>
  <c r="W35" i="8"/>
  <c r="V35" i="8"/>
  <c r="U35" i="8"/>
  <c r="AD34" i="8"/>
  <c r="AC34" i="8"/>
  <c r="AB34" i="8"/>
  <c r="AA34" i="8"/>
  <c r="Z34" i="8"/>
  <c r="Y34" i="8"/>
  <c r="X34" i="8"/>
  <c r="W34" i="8"/>
  <c r="V34" i="8"/>
  <c r="U34" i="8"/>
  <c r="AD33" i="8"/>
  <c r="AC33" i="8"/>
  <c r="AB33" i="8"/>
  <c r="AA33" i="8"/>
  <c r="Z33" i="8"/>
  <c r="Y33" i="8"/>
  <c r="X33" i="8"/>
  <c r="W33" i="8"/>
  <c r="V33" i="8"/>
  <c r="U33" i="8"/>
  <c r="AD32" i="8"/>
  <c r="AC32" i="8"/>
  <c r="AB32" i="8"/>
  <c r="AA32" i="8"/>
  <c r="Z32" i="8"/>
  <c r="Y32" i="8"/>
  <c r="X32" i="8"/>
  <c r="W32" i="8"/>
  <c r="V32" i="8"/>
  <c r="U32" i="8"/>
  <c r="AD31" i="8"/>
  <c r="AC31" i="8"/>
  <c r="AB31" i="8"/>
  <c r="AA31" i="8"/>
  <c r="Z31" i="8"/>
  <c r="Y31" i="8"/>
  <c r="X31" i="8"/>
  <c r="W31" i="8"/>
  <c r="V31" i="8"/>
  <c r="U31" i="8"/>
  <c r="AD30" i="8"/>
  <c r="AC30" i="8"/>
  <c r="AB30" i="8"/>
  <c r="AA30" i="8"/>
  <c r="Z30" i="8"/>
  <c r="Y30" i="8"/>
  <c r="X30" i="8"/>
  <c r="W30" i="8"/>
  <c r="V30" i="8"/>
  <c r="U30" i="8"/>
  <c r="AD29" i="8"/>
  <c r="AC29" i="8"/>
  <c r="AB29" i="8"/>
  <c r="AA29" i="8"/>
  <c r="Z29" i="8"/>
  <c r="Y29" i="8"/>
  <c r="X29" i="8"/>
  <c r="W29" i="8"/>
  <c r="V29" i="8"/>
  <c r="U29" i="8"/>
  <c r="AD28" i="8"/>
  <c r="AC28" i="8"/>
  <c r="AB28" i="8"/>
  <c r="AA28" i="8"/>
  <c r="Z28" i="8"/>
  <c r="Y28" i="8"/>
  <c r="X28" i="8"/>
  <c r="W28" i="8"/>
  <c r="V28" i="8"/>
  <c r="U28" i="8"/>
  <c r="AD27" i="8"/>
  <c r="AC27" i="8"/>
  <c r="AB27" i="8"/>
  <c r="AA27" i="8"/>
  <c r="Z27" i="8"/>
  <c r="Y27" i="8"/>
  <c r="X27" i="8"/>
  <c r="W27" i="8"/>
  <c r="V27" i="8"/>
  <c r="U27" i="8"/>
  <c r="AD26" i="8"/>
  <c r="AC26" i="8"/>
  <c r="AB26" i="8"/>
  <c r="AA26" i="8"/>
  <c r="Z26" i="8"/>
  <c r="Y26" i="8"/>
  <c r="X26" i="8"/>
  <c r="W26" i="8"/>
  <c r="V26" i="8"/>
  <c r="U26" i="8"/>
  <c r="AD25" i="8"/>
  <c r="AC25" i="8"/>
  <c r="AB25" i="8"/>
  <c r="AA25" i="8"/>
  <c r="Z25" i="8"/>
  <c r="Y25" i="8"/>
  <c r="X25" i="8"/>
  <c r="W25" i="8"/>
  <c r="V25" i="8"/>
  <c r="U25" i="8"/>
  <c r="AD24" i="8"/>
  <c r="AC24" i="8"/>
  <c r="AB24" i="8"/>
  <c r="AA24" i="8"/>
  <c r="Z24" i="8"/>
  <c r="Y24" i="8"/>
  <c r="X24" i="8"/>
  <c r="W24" i="8"/>
  <c r="V24" i="8"/>
  <c r="U24" i="8"/>
  <c r="AD23" i="8"/>
  <c r="AC23" i="8"/>
  <c r="AB23" i="8"/>
  <c r="AA23" i="8"/>
  <c r="Z23" i="8"/>
  <c r="Y23" i="8"/>
  <c r="X23" i="8"/>
  <c r="W23" i="8"/>
  <c r="V23" i="8"/>
  <c r="U23" i="8"/>
  <c r="AD22" i="8"/>
  <c r="AC22" i="8"/>
  <c r="AB22" i="8"/>
  <c r="AA22" i="8"/>
  <c r="Z22" i="8"/>
  <c r="Y22" i="8"/>
  <c r="X22" i="8"/>
  <c r="W22" i="8"/>
  <c r="V22" i="8"/>
  <c r="U22" i="8"/>
  <c r="AD21" i="8"/>
  <c r="AC21" i="8"/>
  <c r="AB21" i="8"/>
  <c r="AA21" i="8"/>
  <c r="Z21" i="8"/>
  <c r="Y21" i="8"/>
  <c r="X21" i="8"/>
  <c r="W21" i="8"/>
  <c r="V21" i="8"/>
  <c r="U21" i="8"/>
  <c r="AD20" i="8"/>
  <c r="AC20" i="8"/>
  <c r="AB20" i="8"/>
  <c r="AA20" i="8"/>
  <c r="Z20" i="8"/>
  <c r="Y20" i="8"/>
  <c r="X20" i="8"/>
  <c r="W20" i="8"/>
  <c r="V20" i="8"/>
  <c r="U20" i="8"/>
  <c r="AD19" i="8"/>
  <c r="AC19" i="8"/>
  <c r="AB19" i="8"/>
  <c r="AA19" i="8"/>
  <c r="Z19" i="8"/>
  <c r="Y19" i="8"/>
  <c r="X19" i="8"/>
  <c r="W19" i="8"/>
  <c r="V19" i="8"/>
  <c r="U19" i="8"/>
  <c r="AD104" i="7"/>
  <c r="AC104" i="7"/>
  <c r="AB104" i="7"/>
  <c r="AA104" i="7"/>
  <c r="Z104" i="7"/>
  <c r="Y104" i="7"/>
  <c r="X104" i="7"/>
  <c r="W104" i="7"/>
  <c r="V104" i="7"/>
  <c r="U104" i="7"/>
  <c r="AD103" i="7"/>
  <c r="AC103" i="7"/>
  <c r="AB103" i="7"/>
  <c r="AA103" i="7"/>
  <c r="Z103" i="7"/>
  <c r="Y103" i="7"/>
  <c r="X103" i="7"/>
  <c r="W103" i="7"/>
  <c r="V103" i="7"/>
  <c r="U103" i="7"/>
  <c r="AD102" i="7"/>
  <c r="AC102" i="7"/>
  <c r="AB102" i="7"/>
  <c r="AA102" i="7"/>
  <c r="Z102" i="7"/>
  <c r="Y102" i="7"/>
  <c r="X102" i="7"/>
  <c r="W102" i="7"/>
  <c r="V102" i="7"/>
  <c r="U102" i="7"/>
  <c r="AD101" i="7"/>
  <c r="AC101" i="7"/>
  <c r="AB101" i="7"/>
  <c r="AA101" i="7"/>
  <c r="Z101" i="7"/>
  <c r="Y101" i="7"/>
  <c r="X101" i="7"/>
  <c r="W101" i="7"/>
  <c r="V101" i="7"/>
  <c r="U101" i="7"/>
  <c r="AD100" i="7"/>
  <c r="AC100" i="7"/>
  <c r="AB100" i="7"/>
  <c r="AA100" i="7"/>
  <c r="Z100" i="7"/>
  <c r="Y100" i="7"/>
  <c r="X100" i="7"/>
  <c r="W100" i="7"/>
  <c r="V100" i="7"/>
  <c r="U100" i="7"/>
  <c r="AD99" i="7"/>
  <c r="AC99" i="7"/>
  <c r="AB99" i="7"/>
  <c r="AA99" i="7"/>
  <c r="Z99" i="7"/>
  <c r="Y99" i="7"/>
  <c r="X99" i="7"/>
  <c r="W99" i="7"/>
  <c r="V99" i="7"/>
  <c r="U99" i="7"/>
  <c r="AD98" i="7"/>
  <c r="AC98" i="7"/>
  <c r="AB98" i="7"/>
  <c r="AA98" i="7"/>
  <c r="Z98" i="7"/>
  <c r="Y98" i="7"/>
  <c r="X98" i="7"/>
  <c r="W98" i="7"/>
  <c r="V98" i="7"/>
  <c r="U98" i="7"/>
  <c r="AD97" i="7"/>
  <c r="AC97" i="7"/>
  <c r="AB97" i="7"/>
  <c r="AA97" i="7"/>
  <c r="Z97" i="7"/>
  <c r="Y97" i="7"/>
  <c r="X97" i="7"/>
  <c r="W97" i="7"/>
  <c r="V97" i="7"/>
  <c r="U97" i="7"/>
  <c r="AD96" i="7"/>
  <c r="AC96" i="7"/>
  <c r="AB96" i="7"/>
  <c r="AA96" i="7"/>
  <c r="Z96" i="7"/>
  <c r="Y96" i="7"/>
  <c r="X96" i="7"/>
  <c r="W96" i="7"/>
  <c r="V96" i="7"/>
  <c r="U96" i="7"/>
  <c r="AD95" i="7"/>
  <c r="AC95" i="7"/>
  <c r="AB95" i="7"/>
  <c r="AA95" i="7"/>
  <c r="Z95" i="7"/>
  <c r="Y95" i="7"/>
  <c r="X95" i="7"/>
  <c r="W95" i="7"/>
  <c r="V95" i="7"/>
  <c r="U95" i="7"/>
  <c r="AD94" i="7"/>
  <c r="AC94" i="7"/>
  <c r="AB94" i="7"/>
  <c r="AA94" i="7"/>
  <c r="Z94" i="7"/>
  <c r="Y94" i="7"/>
  <c r="X94" i="7"/>
  <c r="W94" i="7"/>
  <c r="V94" i="7"/>
  <c r="U94" i="7"/>
  <c r="AD93" i="7"/>
  <c r="AC93" i="7"/>
  <c r="AB93" i="7"/>
  <c r="AA93" i="7"/>
  <c r="Z93" i="7"/>
  <c r="Y93" i="7"/>
  <c r="X93" i="7"/>
  <c r="W93" i="7"/>
  <c r="V93" i="7"/>
  <c r="U93" i="7"/>
  <c r="AD92" i="7"/>
  <c r="AC92" i="7"/>
  <c r="AB92" i="7"/>
  <c r="AA92" i="7"/>
  <c r="Z92" i="7"/>
  <c r="Y92" i="7"/>
  <c r="X92" i="7"/>
  <c r="W92" i="7"/>
  <c r="V92" i="7"/>
  <c r="U92" i="7"/>
  <c r="AD91" i="7"/>
  <c r="AC91" i="7"/>
  <c r="AB91" i="7"/>
  <c r="AA91" i="7"/>
  <c r="Z91" i="7"/>
  <c r="Y91" i="7"/>
  <c r="X91" i="7"/>
  <c r="W91" i="7"/>
  <c r="V91" i="7"/>
  <c r="U91" i="7"/>
  <c r="AD90" i="7"/>
  <c r="AC90" i="7"/>
  <c r="AB90" i="7"/>
  <c r="AA90" i="7"/>
  <c r="Z90" i="7"/>
  <c r="Y90" i="7"/>
  <c r="X90" i="7"/>
  <c r="W90" i="7"/>
  <c r="V90" i="7"/>
  <c r="U90" i="7"/>
  <c r="AD89" i="7"/>
  <c r="AC89" i="7"/>
  <c r="AB89" i="7"/>
  <c r="AA89" i="7"/>
  <c r="Z89" i="7"/>
  <c r="Y89" i="7"/>
  <c r="X89" i="7"/>
  <c r="W89" i="7"/>
  <c r="V89" i="7"/>
  <c r="U89" i="7"/>
  <c r="AD88" i="7"/>
  <c r="AC88" i="7"/>
  <c r="AB88" i="7"/>
  <c r="AA88" i="7"/>
  <c r="Z88" i="7"/>
  <c r="Y88" i="7"/>
  <c r="X88" i="7"/>
  <c r="W88" i="7"/>
  <c r="V88" i="7"/>
  <c r="U88" i="7"/>
  <c r="AD87" i="7"/>
  <c r="AC87" i="7"/>
  <c r="AB87" i="7"/>
  <c r="AA87" i="7"/>
  <c r="Z87" i="7"/>
  <c r="Y87" i="7"/>
  <c r="X87" i="7"/>
  <c r="W87" i="7"/>
  <c r="V87" i="7"/>
  <c r="U87" i="7"/>
  <c r="AD86" i="7"/>
  <c r="AC86" i="7"/>
  <c r="AB86" i="7"/>
  <c r="AA86" i="7"/>
  <c r="Z86" i="7"/>
  <c r="Y86" i="7"/>
  <c r="X86" i="7"/>
  <c r="W86" i="7"/>
  <c r="V86" i="7"/>
  <c r="U86" i="7"/>
  <c r="AD85" i="7"/>
  <c r="AC85" i="7"/>
  <c r="AB85" i="7"/>
  <c r="AA85" i="7"/>
  <c r="Z85" i="7"/>
  <c r="Y85" i="7"/>
  <c r="X85" i="7"/>
  <c r="W85" i="7"/>
  <c r="V85" i="7"/>
  <c r="U85" i="7"/>
  <c r="AD84" i="7"/>
  <c r="AC84" i="7"/>
  <c r="AB84" i="7"/>
  <c r="AA84" i="7"/>
  <c r="Z84" i="7"/>
  <c r="Y84" i="7"/>
  <c r="X84" i="7"/>
  <c r="W84" i="7"/>
  <c r="V84" i="7"/>
  <c r="U84" i="7"/>
  <c r="AD83" i="7"/>
  <c r="AC83" i="7"/>
  <c r="AB83" i="7"/>
  <c r="AA83" i="7"/>
  <c r="Z83" i="7"/>
  <c r="Y83" i="7"/>
  <c r="X83" i="7"/>
  <c r="W83" i="7"/>
  <c r="V83" i="7"/>
  <c r="U83" i="7"/>
  <c r="AD82" i="7"/>
  <c r="AC82" i="7"/>
  <c r="AB82" i="7"/>
  <c r="AA82" i="7"/>
  <c r="Z82" i="7"/>
  <c r="Y82" i="7"/>
  <c r="X82" i="7"/>
  <c r="W82" i="7"/>
  <c r="V82" i="7"/>
  <c r="U82" i="7"/>
  <c r="AD81" i="7"/>
  <c r="AC81" i="7"/>
  <c r="AB81" i="7"/>
  <c r="AA81" i="7"/>
  <c r="Z81" i="7"/>
  <c r="Y81" i="7"/>
  <c r="X81" i="7"/>
  <c r="W81" i="7"/>
  <c r="V81" i="7"/>
  <c r="U81" i="7"/>
  <c r="AD80" i="7"/>
  <c r="AC80" i="7"/>
  <c r="AB80" i="7"/>
  <c r="AA80" i="7"/>
  <c r="Z80" i="7"/>
  <c r="Y80" i="7"/>
  <c r="X80" i="7"/>
  <c r="W80" i="7"/>
  <c r="V80" i="7"/>
  <c r="U80" i="7"/>
  <c r="AD79" i="7"/>
  <c r="AC79" i="7"/>
  <c r="AB79" i="7"/>
  <c r="AA79" i="7"/>
  <c r="Z79" i="7"/>
  <c r="Y79" i="7"/>
  <c r="X79" i="7"/>
  <c r="W79" i="7"/>
  <c r="V79" i="7"/>
  <c r="U79" i="7"/>
  <c r="AD78" i="7"/>
  <c r="AC78" i="7"/>
  <c r="AB78" i="7"/>
  <c r="AA78" i="7"/>
  <c r="Z78" i="7"/>
  <c r="Y78" i="7"/>
  <c r="X78" i="7"/>
  <c r="W78" i="7"/>
  <c r="V78" i="7"/>
  <c r="U78" i="7"/>
  <c r="AD77" i="7"/>
  <c r="AC77" i="7"/>
  <c r="AB77" i="7"/>
  <c r="AA77" i="7"/>
  <c r="Z77" i="7"/>
  <c r="Y77" i="7"/>
  <c r="X77" i="7"/>
  <c r="W77" i="7"/>
  <c r="V77" i="7"/>
  <c r="U77" i="7"/>
  <c r="AD76" i="7"/>
  <c r="AC76" i="7"/>
  <c r="AB76" i="7"/>
  <c r="AA76" i="7"/>
  <c r="Z76" i="7"/>
  <c r="Y76" i="7"/>
  <c r="X76" i="7"/>
  <c r="W76" i="7"/>
  <c r="V76" i="7"/>
  <c r="U76" i="7"/>
  <c r="AD75" i="7"/>
  <c r="AC75" i="7"/>
  <c r="AB75" i="7"/>
  <c r="AA75" i="7"/>
  <c r="Z75" i="7"/>
  <c r="Y75" i="7"/>
  <c r="X75" i="7"/>
  <c r="W75" i="7"/>
  <c r="V75" i="7"/>
  <c r="U75" i="7"/>
  <c r="AD54" i="7"/>
  <c r="AC54" i="7"/>
  <c r="AB54" i="7"/>
  <c r="AA54" i="7"/>
  <c r="Z54" i="7"/>
  <c r="Y54" i="7"/>
  <c r="X54" i="7"/>
  <c r="W54" i="7"/>
  <c r="V54" i="7"/>
  <c r="U54" i="7"/>
  <c r="AD53" i="7"/>
  <c r="AC53" i="7"/>
  <c r="AB53" i="7"/>
  <c r="AA53" i="7"/>
  <c r="Z53" i="7"/>
  <c r="Y53" i="7"/>
  <c r="X53" i="7"/>
  <c r="W53" i="7"/>
  <c r="V53" i="7"/>
  <c r="U53" i="7"/>
  <c r="AD52" i="7"/>
  <c r="AC52" i="7"/>
  <c r="AB52" i="7"/>
  <c r="AA52" i="7"/>
  <c r="Z52" i="7"/>
  <c r="Y52" i="7"/>
  <c r="X52" i="7"/>
  <c r="W52" i="7"/>
  <c r="V52" i="7"/>
  <c r="U52" i="7"/>
  <c r="AD51" i="7"/>
  <c r="AC51" i="7"/>
  <c r="AB51" i="7"/>
  <c r="AA51" i="7"/>
  <c r="Z51" i="7"/>
  <c r="Y51" i="7"/>
  <c r="X51" i="7"/>
  <c r="W51" i="7"/>
  <c r="V51" i="7"/>
  <c r="U51" i="7"/>
  <c r="AD50" i="7"/>
  <c r="AC50" i="7"/>
  <c r="AB50" i="7"/>
  <c r="AA50" i="7"/>
  <c r="Z50" i="7"/>
  <c r="Y50" i="7"/>
  <c r="X50" i="7"/>
  <c r="W50" i="7"/>
  <c r="V50" i="7"/>
  <c r="U50" i="7"/>
  <c r="AD49" i="7"/>
  <c r="AC49" i="7"/>
  <c r="AB49" i="7"/>
  <c r="AA49" i="7"/>
  <c r="Z49" i="7"/>
  <c r="Y49" i="7"/>
  <c r="X49" i="7"/>
  <c r="W49" i="7"/>
  <c r="V49" i="7"/>
  <c r="U49" i="7"/>
  <c r="AD48" i="7"/>
  <c r="AC48" i="7"/>
  <c r="AB48" i="7"/>
  <c r="AA48" i="7"/>
  <c r="Z48" i="7"/>
  <c r="Y48" i="7"/>
  <c r="X48" i="7"/>
  <c r="W48" i="7"/>
  <c r="V48" i="7"/>
  <c r="U48" i="7"/>
  <c r="AD47" i="7"/>
  <c r="AC47" i="7"/>
  <c r="AB47" i="7"/>
  <c r="AA47" i="7"/>
  <c r="Z47" i="7"/>
  <c r="Y47" i="7"/>
  <c r="X47" i="7"/>
  <c r="W47" i="7"/>
  <c r="V47" i="7"/>
  <c r="U47" i="7"/>
  <c r="AD46" i="7"/>
  <c r="AC46" i="7"/>
  <c r="AB46" i="7"/>
  <c r="AA46" i="7"/>
  <c r="Z46" i="7"/>
  <c r="Y46" i="7"/>
  <c r="X46" i="7"/>
  <c r="W46" i="7"/>
  <c r="V46" i="7"/>
  <c r="U46" i="7"/>
  <c r="AD45" i="7"/>
  <c r="AC45" i="7"/>
  <c r="AB45" i="7"/>
  <c r="AA45" i="7"/>
  <c r="Z45" i="7"/>
  <c r="Y45" i="7"/>
  <c r="X45" i="7"/>
  <c r="W45" i="7"/>
  <c r="V45" i="7"/>
  <c r="U45" i="7"/>
  <c r="AD44" i="7"/>
  <c r="AC44" i="7"/>
  <c r="AB44" i="7"/>
  <c r="AA44" i="7"/>
  <c r="Z44" i="7"/>
  <c r="Y44" i="7"/>
  <c r="X44" i="7"/>
  <c r="W44" i="7"/>
  <c r="V44" i="7"/>
  <c r="U44" i="7"/>
  <c r="AD43" i="7"/>
  <c r="AC43" i="7"/>
  <c r="AB43" i="7"/>
  <c r="AA43" i="7"/>
  <c r="Z43" i="7"/>
  <c r="Y43" i="7"/>
  <c r="X43" i="7"/>
  <c r="W43" i="7"/>
  <c r="V43" i="7"/>
  <c r="U43" i="7"/>
  <c r="AD42" i="7"/>
  <c r="AC42" i="7"/>
  <c r="AB42" i="7"/>
  <c r="AA42" i="7"/>
  <c r="Z42" i="7"/>
  <c r="Y42" i="7"/>
  <c r="X42" i="7"/>
  <c r="W42" i="7"/>
  <c r="V42" i="7"/>
  <c r="U42" i="7"/>
  <c r="AD41" i="7"/>
  <c r="AC41" i="7"/>
  <c r="AB41" i="7"/>
  <c r="AA41" i="7"/>
  <c r="Z41" i="7"/>
  <c r="Y41" i="7"/>
  <c r="X41" i="7"/>
  <c r="W41" i="7"/>
  <c r="V41" i="7"/>
  <c r="U41" i="7"/>
  <c r="AD40" i="7"/>
  <c r="AC40" i="7"/>
  <c r="AB40" i="7"/>
  <c r="AA40" i="7"/>
  <c r="Z40" i="7"/>
  <c r="Y40" i="7"/>
  <c r="X40" i="7"/>
  <c r="W40" i="7"/>
  <c r="V40" i="7"/>
  <c r="U40" i="7"/>
  <c r="AD39" i="7"/>
  <c r="AC39" i="7"/>
  <c r="AB39" i="7"/>
  <c r="AA39" i="7"/>
  <c r="Z39" i="7"/>
  <c r="Y39" i="7"/>
  <c r="X39" i="7"/>
  <c r="W39" i="7"/>
  <c r="V39" i="7"/>
  <c r="U39" i="7"/>
  <c r="AD38" i="7"/>
  <c r="AC38" i="7"/>
  <c r="AB38" i="7"/>
  <c r="AA38" i="7"/>
  <c r="Z38" i="7"/>
  <c r="Y38" i="7"/>
  <c r="X38" i="7"/>
  <c r="W38" i="7"/>
  <c r="V38" i="7"/>
  <c r="U38" i="7"/>
  <c r="AD37" i="7"/>
  <c r="AC37" i="7"/>
  <c r="AB37" i="7"/>
  <c r="AA37" i="7"/>
  <c r="Z37" i="7"/>
  <c r="Y37" i="7"/>
  <c r="X37" i="7"/>
  <c r="W37" i="7"/>
  <c r="V37" i="7"/>
  <c r="U37" i="7"/>
  <c r="AD36" i="7"/>
  <c r="AC36" i="7"/>
  <c r="AB36" i="7"/>
  <c r="AA36" i="7"/>
  <c r="Z36" i="7"/>
  <c r="Y36" i="7"/>
  <c r="X36" i="7"/>
  <c r="W36" i="7"/>
  <c r="V36" i="7"/>
  <c r="U36" i="7"/>
  <c r="AD35" i="7"/>
  <c r="AC35" i="7"/>
  <c r="AB35" i="7"/>
  <c r="AA35" i="7"/>
  <c r="Z35" i="7"/>
  <c r="Y35" i="7"/>
  <c r="X35" i="7"/>
  <c r="W35" i="7"/>
  <c r="V35" i="7"/>
  <c r="U35" i="7"/>
  <c r="AD34" i="7"/>
  <c r="AC34" i="7"/>
  <c r="AB34" i="7"/>
  <c r="AA34" i="7"/>
  <c r="Z34" i="7"/>
  <c r="Y34" i="7"/>
  <c r="X34" i="7"/>
  <c r="W34" i="7"/>
  <c r="V34" i="7"/>
  <c r="U34" i="7"/>
  <c r="AD33" i="7"/>
  <c r="AC33" i="7"/>
  <c r="AB33" i="7"/>
  <c r="AA33" i="7"/>
  <c r="Z33" i="7"/>
  <c r="Y33" i="7"/>
  <c r="X33" i="7"/>
  <c r="W33" i="7"/>
  <c r="V33" i="7"/>
  <c r="U33" i="7"/>
  <c r="AD32" i="7"/>
  <c r="AC32" i="7"/>
  <c r="AB32" i="7"/>
  <c r="AA32" i="7"/>
  <c r="Z32" i="7"/>
  <c r="Y32" i="7"/>
  <c r="X32" i="7"/>
  <c r="W32" i="7"/>
  <c r="V32" i="7"/>
  <c r="U32" i="7"/>
  <c r="AD31" i="7"/>
  <c r="AC31" i="7"/>
  <c r="AB31" i="7"/>
  <c r="AA31" i="7"/>
  <c r="Z31" i="7"/>
  <c r="Y31" i="7"/>
  <c r="X31" i="7"/>
  <c r="W31" i="7"/>
  <c r="V31" i="7"/>
  <c r="U31" i="7"/>
  <c r="AD30" i="7"/>
  <c r="AC30" i="7"/>
  <c r="AB30" i="7"/>
  <c r="AA30" i="7"/>
  <c r="Z30" i="7"/>
  <c r="Y30" i="7"/>
  <c r="X30" i="7"/>
  <c r="W30" i="7"/>
  <c r="V30" i="7"/>
  <c r="U30" i="7"/>
  <c r="AD29" i="7"/>
  <c r="AC29" i="7"/>
  <c r="AB29" i="7"/>
  <c r="AA29" i="7"/>
  <c r="Z29" i="7"/>
  <c r="Y29" i="7"/>
  <c r="X29" i="7"/>
  <c r="W29" i="7"/>
  <c r="V29" i="7"/>
  <c r="U29" i="7"/>
  <c r="AD28" i="7"/>
  <c r="AC28" i="7"/>
  <c r="AB28" i="7"/>
  <c r="AA28" i="7"/>
  <c r="Z28" i="7"/>
  <c r="Y28" i="7"/>
  <c r="X28" i="7"/>
  <c r="W28" i="7"/>
  <c r="V28" i="7"/>
  <c r="U28" i="7"/>
  <c r="AD27" i="7"/>
  <c r="AC27" i="7"/>
  <c r="AB27" i="7"/>
  <c r="AA27" i="7"/>
  <c r="Z27" i="7"/>
  <c r="Y27" i="7"/>
  <c r="X27" i="7"/>
  <c r="W27" i="7"/>
  <c r="V27" i="7"/>
  <c r="U27" i="7"/>
  <c r="AD26" i="7"/>
  <c r="AC26" i="7"/>
  <c r="AB26" i="7"/>
  <c r="AA26" i="7"/>
  <c r="Z26" i="7"/>
  <c r="Y26" i="7"/>
  <c r="X26" i="7"/>
  <c r="W26" i="7"/>
  <c r="V26" i="7"/>
  <c r="U26" i="7"/>
  <c r="AD25" i="7"/>
  <c r="AC25" i="7"/>
  <c r="AB25" i="7"/>
  <c r="AA25" i="7"/>
  <c r="Z25" i="7"/>
  <c r="Y25" i="7"/>
  <c r="X25" i="7"/>
  <c r="W25" i="7"/>
  <c r="V25" i="7"/>
  <c r="U25" i="7"/>
  <c r="AD24" i="7"/>
  <c r="AC24" i="7"/>
  <c r="AB24" i="7"/>
  <c r="AA24" i="7"/>
  <c r="Z24" i="7"/>
  <c r="Y24" i="7"/>
  <c r="X24" i="7"/>
  <c r="W24" i="7"/>
  <c r="V24" i="7"/>
  <c r="U24" i="7"/>
  <c r="AD23" i="7"/>
  <c r="AC23" i="7"/>
  <c r="AB23" i="7"/>
  <c r="AA23" i="7"/>
  <c r="Z23" i="7"/>
  <c r="Y23" i="7"/>
  <c r="X23" i="7"/>
  <c r="W23" i="7"/>
  <c r="V23" i="7"/>
  <c r="U23" i="7"/>
  <c r="AD22" i="7"/>
  <c r="AC22" i="7"/>
  <c r="AB22" i="7"/>
  <c r="AA22" i="7"/>
  <c r="Z22" i="7"/>
  <c r="Y22" i="7"/>
  <c r="X22" i="7"/>
  <c r="W22" i="7"/>
  <c r="V22" i="7"/>
  <c r="U22" i="7"/>
  <c r="AD21" i="7"/>
  <c r="AC21" i="7"/>
  <c r="AB21" i="7"/>
  <c r="AA21" i="7"/>
  <c r="Z21" i="7"/>
  <c r="Y21" i="7"/>
  <c r="X21" i="7"/>
  <c r="W21" i="7"/>
  <c r="V21" i="7"/>
  <c r="U21" i="7"/>
  <c r="AD20" i="7"/>
  <c r="AC20" i="7"/>
  <c r="AB20" i="7"/>
  <c r="AA20" i="7"/>
  <c r="Z20" i="7"/>
  <c r="Y20" i="7"/>
  <c r="X20" i="7"/>
  <c r="W20" i="7"/>
  <c r="V20" i="7"/>
  <c r="U20" i="7"/>
  <c r="AD19" i="7"/>
  <c r="AC19" i="7"/>
  <c r="AB19" i="7"/>
  <c r="AA19" i="7"/>
  <c r="Z19" i="7"/>
  <c r="Y19" i="7"/>
  <c r="X19" i="7"/>
  <c r="W19" i="7"/>
  <c r="V19" i="7"/>
  <c r="U19" i="7"/>
  <c r="U104" i="6"/>
  <c r="V104" i="6"/>
  <c r="W104" i="6"/>
  <c r="X104" i="6"/>
  <c r="Y104" i="6"/>
  <c r="Z104" i="6"/>
  <c r="AA104" i="6"/>
  <c r="AB104" i="6"/>
  <c r="AC104" i="6"/>
  <c r="AD104" i="6"/>
  <c r="AD103" i="6"/>
  <c r="AC103" i="6"/>
  <c r="AB103" i="6"/>
  <c r="AA103" i="6"/>
  <c r="Z103" i="6"/>
  <c r="Y103" i="6"/>
  <c r="X103" i="6"/>
  <c r="W103" i="6"/>
  <c r="V103" i="6"/>
  <c r="U103" i="6"/>
  <c r="AD102" i="6"/>
  <c r="AC102" i="6"/>
  <c r="AB102" i="6"/>
  <c r="AA102" i="6"/>
  <c r="Z102" i="6"/>
  <c r="Y102" i="6"/>
  <c r="X102" i="6"/>
  <c r="W102" i="6"/>
  <c r="V102" i="6"/>
  <c r="U102" i="6"/>
  <c r="AD101" i="6"/>
  <c r="AC101" i="6"/>
  <c r="AB101" i="6"/>
  <c r="AA101" i="6"/>
  <c r="Z101" i="6"/>
  <c r="Y101" i="6"/>
  <c r="X101" i="6"/>
  <c r="W101" i="6"/>
  <c r="V101" i="6"/>
  <c r="U101" i="6"/>
  <c r="AD100" i="6"/>
  <c r="AC100" i="6"/>
  <c r="AB100" i="6"/>
  <c r="AA100" i="6"/>
  <c r="Z100" i="6"/>
  <c r="Y100" i="6"/>
  <c r="X100" i="6"/>
  <c r="W100" i="6"/>
  <c r="V100" i="6"/>
  <c r="U100" i="6"/>
  <c r="AD99" i="6"/>
  <c r="AC99" i="6"/>
  <c r="AB99" i="6"/>
  <c r="AA99" i="6"/>
  <c r="Z99" i="6"/>
  <c r="Y99" i="6"/>
  <c r="X99" i="6"/>
  <c r="W99" i="6"/>
  <c r="V99" i="6"/>
  <c r="U99" i="6"/>
  <c r="AD98" i="6"/>
  <c r="AC98" i="6"/>
  <c r="AB98" i="6"/>
  <c r="AA98" i="6"/>
  <c r="Z98" i="6"/>
  <c r="Y98" i="6"/>
  <c r="X98" i="6"/>
  <c r="W98" i="6"/>
  <c r="V98" i="6"/>
  <c r="U98" i="6"/>
  <c r="AD97" i="6"/>
  <c r="AC97" i="6"/>
  <c r="AB97" i="6"/>
  <c r="AA97" i="6"/>
  <c r="Z97" i="6"/>
  <c r="Y97" i="6"/>
  <c r="X97" i="6"/>
  <c r="W97" i="6"/>
  <c r="V97" i="6"/>
  <c r="U97" i="6"/>
  <c r="AD96" i="6"/>
  <c r="AC96" i="6"/>
  <c r="AB96" i="6"/>
  <c r="AA96" i="6"/>
  <c r="Z96" i="6"/>
  <c r="Y96" i="6"/>
  <c r="X96" i="6"/>
  <c r="W96" i="6"/>
  <c r="V96" i="6"/>
  <c r="U96" i="6"/>
  <c r="AD95" i="6"/>
  <c r="AC95" i="6"/>
  <c r="AB95" i="6"/>
  <c r="AA95" i="6"/>
  <c r="Z95" i="6"/>
  <c r="Y95" i="6"/>
  <c r="X95" i="6"/>
  <c r="W95" i="6"/>
  <c r="V95" i="6"/>
  <c r="U95" i="6"/>
  <c r="AD94" i="6"/>
  <c r="AC94" i="6"/>
  <c r="AB94" i="6"/>
  <c r="AA94" i="6"/>
  <c r="Z94" i="6"/>
  <c r="Y94" i="6"/>
  <c r="X94" i="6"/>
  <c r="W94" i="6"/>
  <c r="V94" i="6"/>
  <c r="U94" i="6"/>
  <c r="AD93" i="6"/>
  <c r="AC93" i="6"/>
  <c r="AB93" i="6"/>
  <c r="AA93" i="6"/>
  <c r="Z93" i="6"/>
  <c r="Y93" i="6"/>
  <c r="X93" i="6"/>
  <c r="W93" i="6"/>
  <c r="V93" i="6"/>
  <c r="U93" i="6"/>
  <c r="AD92" i="6"/>
  <c r="AC92" i="6"/>
  <c r="AB92" i="6"/>
  <c r="AA92" i="6"/>
  <c r="Z92" i="6"/>
  <c r="Y92" i="6"/>
  <c r="X92" i="6"/>
  <c r="W92" i="6"/>
  <c r="V92" i="6"/>
  <c r="U92" i="6"/>
  <c r="AD91" i="6"/>
  <c r="AC91" i="6"/>
  <c r="AB91" i="6"/>
  <c r="AA91" i="6"/>
  <c r="Z91" i="6"/>
  <c r="Y91" i="6"/>
  <c r="X91" i="6"/>
  <c r="W91" i="6"/>
  <c r="V91" i="6"/>
  <c r="U91" i="6"/>
  <c r="AD90" i="6"/>
  <c r="AC90" i="6"/>
  <c r="AB90" i="6"/>
  <c r="AA90" i="6"/>
  <c r="Z90" i="6"/>
  <c r="Y90" i="6"/>
  <c r="X90" i="6"/>
  <c r="W90" i="6"/>
  <c r="V90" i="6"/>
  <c r="U90" i="6"/>
  <c r="AD89" i="6"/>
  <c r="AC89" i="6"/>
  <c r="AB89" i="6"/>
  <c r="AA89" i="6"/>
  <c r="Z89" i="6"/>
  <c r="Y89" i="6"/>
  <c r="X89" i="6"/>
  <c r="W89" i="6"/>
  <c r="V89" i="6"/>
  <c r="U89" i="6"/>
  <c r="AD88" i="6"/>
  <c r="AC88" i="6"/>
  <c r="AB88" i="6"/>
  <c r="AA88" i="6"/>
  <c r="Z88" i="6"/>
  <c r="Y88" i="6"/>
  <c r="X88" i="6"/>
  <c r="W88" i="6"/>
  <c r="V88" i="6"/>
  <c r="U88" i="6"/>
  <c r="AD87" i="6"/>
  <c r="AC87" i="6"/>
  <c r="AB87" i="6"/>
  <c r="AA87" i="6"/>
  <c r="Z87" i="6"/>
  <c r="Y87" i="6"/>
  <c r="X87" i="6"/>
  <c r="W87" i="6"/>
  <c r="V87" i="6"/>
  <c r="U87" i="6"/>
  <c r="AD86" i="6"/>
  <c r="AC86" i="6"/>
  <c r="AB86" i="6"/>
  <c r="AA86" i="6"/>
  <c r="Z86" i="6"/>
  <c r="Y86" i="6"/>
  <c r="X86" i="6"/>
  <c r="W86" i="6"/>
  <c r="V86" i="6"/>
  <c r="U86" i="6"/>
  <c r="AD85" i="6"/>
  <c r="AC85" i="6"/>
  <c r="AB85" i="6"/>
  <c r="AA85" i="6"/>
  <c r="Z85" i="6"/>
  <c r="Y85" i="6"/>
  <c r="X85" i="6"/>
  <c r="W85" i="6"/>
  <c r="V85" i="6"/>
  <c r="U85" i="6"/>
  <c r="AD84" i="6"/>
  <c r="AC84" i="6"/>
  <c r="AB84" i="6"/>
  <c r="AA84" i="6"/>
  <c r="Z84" i="6"/>
  <c r="Y84" i="6"/>
  <c r="X84" i="6"/>
  <c r="W84" i="6"/>
  <c r="V84" i="6"/>
  <c r="U84" i="6"/>
  <c r="AD83" i="6"/>
  <c r="AC83" i="6"/>
  <c r="AB83" i="6"/>
  <c r="AA83" i="6"/>
  <c r="Z83" i="6"/>
  <c r="Y83" i="6"/>
  <c r="X83" i="6"/>
  <c r="W83" i="6"/>
  <c r="V83" i="6"/>
  <c r="U83" i="6"/>
  <c r="AD82" i="6"/>
  <c r="AC82" i="6"/>
  <c r="AB82" i="6"/>
  <c r="AA82" i="6"/>
  <c r="Z82" i="6"/>
  <c r="Y82" i="6"/>
  <c r="X82" i="6"/>
  <c r="W82" i="6"/>
  <c r="V82" i="6"/>
  <c r="U82" i="6"/>
  <c r="AD81" i="6"/>
  <c r="AC81" i="6"/>
  <c r="AB81" i="6"/>
  <c r="AA81" i="6"/>
  <c r="Z81" i="6"/>
  <c r="Y81" i="6"/>
  <c r="X81" i="6"/>
  <c r="W81" i="6"/>
  <c r="V81" i="6"/>
  <c r="U81" i="6"/>
  <c r="AD80" i="6"/>
  <c r="AC80" i="6"/>
  <c r="AB80" i="6"/>
  <c r="AA80" i="6"/>
  <c r="Z80" i="6"/>
  <c r="Y80" i="6"/>
  <c r="X80" i="6"/>
  <c r="W80" i="6"/>
  <c r="V80" i="6"/>
  <c r="U80" i="6"/>
  <c r="AD79" i="6"/>
  <c r="AC79" i="6"/>
  <c r="AB79" i="6"/>
  <c r="AA79" i="6"/>
  <c r="Z79" i="6"/>
  <c r="Y79" i="6"/>
  <c r="X79" i="6"/>
  <c r="W79" i="6"/>
  <c r="V79" i="6"/>
  <c r="U79" i="6"/>
  <c r="AD78" i="6"/>
  <c r="AC78" i="6"/>
  <c r="AB78" i="6"/>
  <c r="AA78" i="6"/>
  <c r="Z78" i="6"/>
  <c r="Y78" i="6"/>
  <c r="X78" i="6"/>
  <c r="W78" i="6"/>
  <c r="V78" i="6"/>
  <c r="U78" i="6"/>
  <c r="AD77" i="6"/>
  <c r="AC77" i="6"/>
  <c r="AB77" i="6"/>
  <c r="AA77" i="6"/>
  <c r="Z77" i="6"/>
  <c r="Y77" i="6"/>
  <c r="X77" i="6"/>
  <c r="W77" i="6"/>
  <c r="V77" i="6"/>
  <c r="U77" i="6"/>
  <c r="AD76" i="6"/>
  <c r="AC76" i="6"/>
  <c r="AB76" i="6"/>
  <c r="AA76" i="6"/>
  <c r="Z76" i="6"/>
  <c r="Y76" i="6"/>
  <c r="X76" i="6"/>
  <c r="W76" i="6"/>
  <c r="V76" i="6"/>
  <c r="U76" i="6"/>
  <c r="AD75" i="6"/>
  <c r="AC75" i="6"/>
  <c r="AB75" i="6"/>
  <c r="AA75" i="6"/>
  <c r="Z75" i="6"/>
  <c r="Y75" i="6"/>
  <c r="X75" i="6"/>
  <c r="W75" i="6"/>
  <c r="V75" i="6"/>
  <c r="U75" i="6"/>
  <c r="U48" i="6"/>
  <c r="V48" i="6"/>
  <c r="W48" i="6"/>
  <c r="X48" i="6"/>
  <c r="Y48" i="6"/>
  <c r="Z48" i="6"/>
  <c r="AA48" i="6"/>
  <c r="AB48" i="6"/>
  <c r="AC48" i="6"/>
  <c r="AD48" i="6"/>
  <c r="U49" i="6"/>
  <c r="V49" i="6"/>
  <c r="W49" i="6"/>
  <c r="X49" i="6"/>
  <c r="Y49" i="6"/>
  <c r="Z49" i="6"/>
  <c r="AA49" i="6"/>
  <c r="AB49" i="6"/>
  <c r="AC49" i="6"/>
  <c r="AD49" i="6"/>
  <c r="U50" i="6"/>
  <c r="V50" i="6"/>
  <c r="W50" i="6"/>
  <c r="X50" i="6"/>
  <c r="Y50" i="6"/>
  <c r="Z50" i="6"/>
  <c r="AA50" i="6"/>
  <c r="AB50" i="6"/>
  <c r="AC50" i="6"/>
  <c r="AD50" i="6"/>
  <c r="U51" i="6"/>
  <c r="V51" i="6"/>
  <c r="W51" i="6"/>
  <c r="X51" i="6"/>
  <c r="Y51" i="6"/>
  <c r="Z51" i="6"/>
  <c r="AA51" i="6"/>
  <c r="AB51" i="6"/>
  <c r="AC51" i="6"/>
  <c r="AD51" i="6"/>
  <c r="U52" i="6"/>
  <c r="V52" i="6"/>
  <c r="W52" i="6"/>
  <c r="X52" i="6"/>
  <c r="Y52" i="6"/>
  <c r="Z52" i="6"/>
  <c r="AA52" i="6"/>
  <c r="AB52" i="6"/>
  <c r="AC52" i="6"/>
  <c r="AD52" i="6"/>
  <c r="U53" i="6"/>
  <c r="V53" i="6"/>
  <c r="W53" i="6"/>
  <c r="X53" i="6"/>
  <c r="Y53" i="6"/>
  <c r="Z53" i="6"/>
  <c r="AA53" i="6"/>
  <c r="AB53" i="6"/>
  <c r="AC53" i="6"/>
  <c r="AD53" i="6"/>
  <c r="U54" i="6"/>
  <c r="V54" i="6"/>
  <c r="W54" i="6"/>
  <c r="X54" i="6"/>
  <c r="Y54" i="6"/>
  <c r="Z54" i="6"/>
  <c r="AA54" i="6"/>
  <c r="AB54" i="6"/>
  <c r="AC54" i="6"/>
  <c r="AD54" i="6"/>
  <c r="AD47" i="6"/>
  <c r="AC47" i="6"/>
  <c r="AB47" i="6"/>
  <c r="AA47" i="6"/>
  <c r="Z47" i="6"/>
  <c r="Y47" i="6"/>
  <c r="X47" i="6"/>
  <c r="W47" i="6"/>
  <c r="V47" i="6"/>
  <c r="U47" i="6"/>
  <c r="AD46" i="6"/>
  <c r="AC46" i="6"/>
  <c r="AB46" i="6"/>
  <c r="AA46" i="6"/>
  <c r="Z46" i="6"/>
  <c r="Y46" i="6"/>
  <c r="X46" i="6"/>
  <c r="W46" i="6"/>
  <c r="V46" i="6"/>
  <c r="U46" i="6"/>
  <c r="AD45" i="6"/>
  <c r="AC45" i="6"/>
  <c r="AB45" i="6"/>
  <c r="AA45" i="6"/>
  <c r="Z45" i="6"/>
  <c r="Y45" i="6"/>
  <c r="X45" i="6"/>
  <c r="W45" i="6"/>
  <c r="V45" i="6"/>
  <c r="U45" i="6"/>
  <c r="AD44" i="6"/>
  <c r="AC44" i="6"/>
  <c r="AB44" i="6"/>
  <c r="AA44" i="6"/>
  <c r="Z44" i="6"/>
  <c r="Y44" i="6"/>
  <c r="X44" i="6"/>
  <c r="W44" i="6"/>
  <c r="V44" i="6"/>
  <c r="U44" i="6"/>
  <c r="AD43" i="6"/>
  <c r="AC43" i="6"/>
  <c r="AB43" i="6"/>
  <c r="AA43" i="6"/>
  <c r="Z43" i="6"/>
  <c r="Y43" i="6"/>
  <c r="X43" i="6"/>
  <c r="W43" i="6"/>
  <c r="V43" i="6"/>
  <c r="U43" i="6"/>
  <c r="AD42" i="6"/>
  <c r="AC42" i="6"/>
  <c r="AB42" i="6"/>
  <c r="AA42" i="6"/>
  <c r="Z42" i="6"/>
  <c r="Y42" i="6"/>
  <c r="X42" i="6"/>
  <c r="W42" i="6"/>
  <c r="V42" i="6"/>
  <c r="U42" i="6"/>
  <c r="AD41" i="6"/>
  <c r="AC41" i="6"/>
  <c r="AB41" i="6"/>
  <c r="AA41" i="6"/>
  <c r="Z41" i="6"/>
  <c r="Y41" i="6"/>
  <c r="X41" i="6"/>
  <c r="W41" i="6"/>
  <c r="V41" i="6"/>
  <c r="U41" i="6"/>
  <c r="AD40" i="6"/>
  <c r="AC40" i="6"/>
  <c r="AB40" i="6"/>
  <c r="AA40" i="6"/>
  <c r="Z40" i="6"/>
  <c r="Y40" i="6"/>
  <c r="X40" i="6"/>
  <c r="W40" i="6"/>
  <c r="V40" i="6"/>
  <c r="U40" i="6"/>
  <c r="AD39" i="6"/>
  <c r="AC39" i="6"/>
  <c r="AB39" i="6"/>
  <c r="AA39" i="6"/>
  <c r="Z39" i="6"/>
  <c r="Y39" i="6"/>
  <c r="X39" i="6"/>
  <c r="W39" i="6"/>
  <c r="V39" i="6"/>
  <c r="U39" i="6"/>
  <c r="AD38" i="6"/>
  <c r="AC38" i="6"/>
  <c r="AB38" i="6"/>
  <c r="AA38" i="6"/>
  <c r="Z38" i="6"/>
  <c r="Y38" i="6"/>
  <c r="X38" i="6"/>
  <c r="W38" i="6"/>
  <c r="V38" i="6"/>
  <c r="U38" i="6"/>
  <c r="AD37" i="6"/>
  <c r="AC37" i="6"/>
  <c r="AB37" i="6"/>
  <c r="AA37" i="6"/>
  <c r="Z37" i="6"/>
  <c r="Y37" i="6"/>
  <c r="X37" i="6"/>
  <c r="W37" i="6"/>
  <c r="V37" i="6"/>
  <c r="U37" i="6"/>
  <c r="AD36" i="6"/>
  <c r="AC36" i="6"/>
  <c r="AB36" i="6"/>
  <c r="AA36" i="6"/>
  <c r="Z36" i="6"/>
  <c r="Y36" i="6"/>
  <c r="X36" i="6"/>
  <c r="W36" i="6"/>
  <c r="V36" i="6"/>
  <c r="U36" i="6"/>
  <c r="AD35" i="6"/>
  <c r="AC35" i="6"/>
  <c r="AB35" i="6"/>
  <c r="AA35" i="6"/>
  <c r="Z35" i="6"/>
  <c r="Y35" i="6"/>
  <c r="X35" i="6"/>
  <c r="W35" i="6"/>
  <c r="V35" i="6"/>
  <c r="U35" i="6"/>
  <c r="AD34" i="6"/>
  <c r="AC34" i="6"/>
  <c r="AB34" i="6"/>
  <c r="AA34" i="6"/>
  <c r="Z34" i="6"/>
  <c r="Y34" i="6"/>
  <c r="X34" i="6"/>
  <c r="W34" i="6"/>
  <c r="V34" i="6"/>
  <c r="U34" i="6"/>
  <c r="AD33" i="6"/>
  <c r="AC33" i="6"/>
  <c r="AB33" i="6"/>
  <c r="AA33" i="6"/>
  <c r="Z33" i="6"/>
  <c r="Y33" i="6"/>
  <c r="X33" i="6"/>
  <c r="W33" i="6"/>
  <c r="V33" i="6"/>
  <c r="U33" i="6"/>
  <c r="AD32" i="6"/>
  <c r="AC32" i="6"/>
  <c r="AB32" i="6"/>
  <c r="AA32" i="6"/>
  <c r="Z32" i="6"/>
  <c r="Y32" i="6"/>
  <c r="X32" i="6"/>
  <c r="W32" i="6"/>
  <c r="V32" i="6"/>
  <c r="U32" i="6"/>
  <c r="AD31" i="6"/>
  <c r="AC31" i="6"/>
  <c r="AB31" i="6"/>
  <c r="AA31" i="6"/>
  <c r="Z31" i="6"/>
  <c r="Y31" i="6"/>
  <c r="X31" i="6"/>
  <c r="W31" i="6"/>
  <c r="V31" i="6"/>
  <c r="U31" i="6"/>
  <c r="AD30" i="6"/>
  <c r="AC30" i="6"/>
  <c r="AB30" i="6"/>
  <c r="AA30" i="6"/>
  <c r="Z30" i="6"/>
  <c r="Y30" i="6"/>
  <c r="X30" i="6"/>
  <c r="W30" i="6"/>
  <c r="V30" i="6"/>
  <c r="U30" i="6"/>
  <c r="AD29" i="6"/>
  <c r="AC29" i="6"/>
  <c r="AB29" i="6"/>
  <c r="AA29" i="6"/>
  <c r="Z29" i="6"/>
  <c r="Y29" i="6"/>
  <c r="X29" i="6"/>
  <c r="W29" i="6"/>
  <c r="V29" i="6"/>
  <c r="U29" i="6"/>
  <c r="AD28" i="6"/>
  <c r="AC28" i="6"/>
  <c r="AB28" i="6"/>
  <c r="AA28" i="6"/>
  <c r="Z28" i="6"/>
  <c r="Y28" i="6"/>
  <c r="X28" i="6"/>
  <c r="W28" i="6"/>
  <c r="V28" i="6"/>
  <c r="U28" i="6"/>
  <c r="AD27" i="6"/>
  <c r="AC27" i="6"/>
  <c r="AB27" i="6"/>
  <c r="AA27" i="6"/>
  <c r="Z27" i="6"/>
  <c r="Y27" i="6"/>
  <c r="X27" i="6"/>
  <c r="W27" i="6"/>
  <c r="V27" i="6"/>
  <c r="U27" i="6"/>
  <c r="AD26" i="6"/>
  <c r="AC26" i="6"/>
  <c r="AB26" i="6"/>
  <c r="AA26" i="6"/>
  <c r="Z26" i="6"/>
  <c r="Y26" i="6"/>
  <c r="X26" i="6"/>
  <c r="W26" i="6"/>
  <c r="V26" i="6"/>
  <c r="U26" i="6"/>
  <c r="AD25" i="6"/>
  <c r="AC25" i="6"/>
  <c r="AB25" i="6"/>
  <c r="AA25" i="6"/>
  <c r="Z25" i="6"/>
  <c r="Y25" i="6"/>
  <c r="X25" i="6"/>
  <c r="W25" i="6"/>
  <c r="V25" i="6"/>
  <c r="U25" i="6"/>
  <c r="AD24" i="6"/>
  <c r="AC24" i="6"/>
  <c r="AB24" i="6"/>
  <c r="AA24" i="6"/>
  <c r="Z24" i="6"/>
  <c r="Y24" i="6"/>
  <c r="X24" i="6"/>
  <c r="W24" i="6"/>
  <c r="V24" i="6"/>
  <c r="U24" i="6"/>
  <c r="AD23" i="6"/>
  <c r="AC23" i="6"/>
  <c r="AB23" i="6"/>
  <c r="AA23" i="6"/>
  <c r="Z23" i="6"/>
  <c r="Y23" i="6"/>
  <c r="X23" i="6"/>
  <c r="W23" i="6"/>
  <c r="V23" i="6"/>
  <c r="U23" i="6"/>
  <c r="AD22" i="6"/>
  <c r="AC22" i="6"/>
  <c r="AB22" i="6"/>
  <c r="AA22" i="6"/>
  <c r="Z22" i="6"/>
  <c r="Y22" i="6"/>
  <c r="X22" i="6"/>
  <c r="W22" i="6"/>
  <c r="V22" i="6"/>
  <c r="U22" i="6"/>
  <c r="AD21" i="6"/>
  <c r="AC21" i="6"/>
  <c r="AB21" i="6"/>
  <c r="AA21" i="6"/>
  <c r="Z21" i="6"/>
  <c r="Y21" i="6"/>
  <c r="X21" i="6"/>
  <c r="W21" i="6"/>
  <c r="V21" i="6"/>
  <c r="U21" i="6"/>
  <c r="AD20" i="6"/>
  <c r="AC20" i="6"/>
  <c r="AB20" i="6"/>
  <c r="AA20" i="6"/>
  <c r="Z20" i="6"/>
  <c r="Y20" i="6"/>
  <c r="X20" i="6"/>
  <c r="W20" i="6"/>
  <c r="V20" i="6"/>
  <c r="U20" i="6"/>
  <c r="AD19" i="6"/>
  <c r="AC19" i="6"/>
  <c r="AB19" i="6"/>
  <c r="AA19" i="6"/>
  <c r="Z19" i="6"/>
  <c r="Y19" i="6"/>
  <c r="X19" i="6"/>
  <c r="W19" i="6"/>
  <c r="V19" i="6"/>
  <c r="U19" i="6"/>
  <c r="AD103" i="5"/>
  <c r="AC103" i="5"/>
  <c r="AB103" i="5"/>
  <c r="AA103" i="5"/>
  <c r="Z103" i="5"/>
  <c r="Y103" i="5"/>
  <c r="X103" i="5"/>
  <c r="W103" i="5"/>
  <c r="V103" i="5"/>
  <c r="U103" i="5"/>
  <c r="AD102" i="5"/>
  <c r="AC102" i="5"/>
  <c r="AB102" i="5"/>
  <c r="AA102" i="5"/>
  <c r="Z102" i="5"/>
  <c r="Y102" i="5"/>
  <c r="X102" i="5"/>
  <c r="W102" i="5"/>
  <c r="V102" i="5"/>
  <c r="U102" i="5"/>
  <c r="AD101" i="5"/>
  <c r="AC101" i="5"/>
  <c r="AB101" i="5"/>
  <c r="AA101" i="5"/>
  <c r="Z101" i="5"/>
  <c r="Y101" i="5"/>
  <c r="X101" i="5"/>
  <c r="W101" i="5"/>
  <c r="V101" i="5"/>
  <c r="U101" i="5"/>
  <c r="AD100" i="5"/>
  <c r="AC100" i="5"/>
  <c r="AB100" i="5"/>
  <c r="AA100" i="5"/>
  <c r="Z100" i="5"/>
  <c r="Y100" i="5"/>
  <c r="X100" i="5"/>
  <c r="W100" i="5"/>
  <c r="V100" i="5"/>
  <c r="U100" i="5"/>
  <c r="AD99" i="5"/>
  <c r="AC99" i="5"/>
  <c r="AB99" i="5"/>
  <c r="AA99" i="5"/>
  <c r="Z99" i="5"/>
  <c r="Y99" i="5"/>
  <c r="X99" i="5"/>
  <c r="W99" i="5"/>
  <c r="V99" i="5"/>
  <c r="U99" i="5"/>
  <c r="AD98" i="5"/>
  <c r="AC98" i="5"/>
  <c r="AB98" i="5"/>
  <c r="AA98" i="5"/>
  <c r="Z98" i="5"/>
  <c r="Y98" i="5"/>
  <c r="X98" i="5"/>
  <c r="W98" i="5"/>
  <c r="V98" i="5"/>
  <c r="U98" i="5"/>
  <c r="AD97" i="5"/>
  <c r="AC97" i="5"/>
  <c r="AB97" i="5"/>
  <c r="AA97" i="5"/>
  <c r="Z97" i="5"/>
  <c r="Y97" i="5"/>
  <c r="X97" i="5"/>
  <c r="W97" i="5"/>
  <c r="V97" i="5"/>
  <c r="U97" i="5"/>
  <c r="AD96" i="5"/>
  <c r="AC96" i="5"/>
  <c r="AB96" i="5"/>
  <c r="AA96" i="5"/>
  <c r="Z96" i="5"/>
  <c r="Y96" i="5"/>
  <c r="X96" i="5"/>
  <c r="W96" i="5"/>
  <c r="V96" i="5"/>
  <c r="U96" i="5"/>
  <c r="AD95" i="5"/>
  <c r="AC95" i="5"/>
  <c r="AB95" i="5"/>
  <c r="AA95" i="5"/>
  <c r="Z95" i="5"/>
  <c r="Y95" i="5"/>
  <c r="X95" i="5"/>
  <c r="W95" i="5"/>
  <c r="V95" i="5"/>
  <c r="U95" i="5"/>
  <c r="AD94" i="5"/>
  <c r="AC94" i="5"/>
  <c r="AB94" i="5"/>
  <c r="AA94" i="5"/>
  <c r="Z94" i="5"/>
  <c r="Y94" i="5"/>
  <c r="X94" i="5"/>
  <c r="W94" i="5"/>
  <c r="V94" i="5"/>
  <c r="U94" i="5"/>
  <c r="AD93" i="5"/>
  <c r="AC93" i="5"/>
  <c r="AB93" i="5"/>
  <c r="AA93" i="5"/>
  <c r="Z93" i="5"/>
  <c r="Y93" i="5"/>
  <c r="X93" i="5"/>
  <c r="W93" i="5"/>
  <c r="V93" i="5"/>
  <c r="U93" i="5"/>
  <c r="AD92" i="5"/>
  <c r="AC92" i="5"/>
  <c r="AB92" i="5"/>
  <c r="AA92" i="5"/>
  <c r="Z92" i="5"/>
  <c r="Y92" i="5"/>
  <c r="X92" i="5"/>
  <c r="W92" i="5"/>
  <c r="V92" i="5"/>
  <c r="U92" i="5"/>
  <c r="AD91" i="5"/>
  <c r="AC91" i="5"/>
  <c r="AB91" i="5"/>
  <c r="AA91" i="5"/>
  <c r="Z91" i="5"/>
  <c r="Y91" i="5"/>
  <c r="X91" i="5"/>
  <c r="W91" i="5"/>
  <c r="V91" i="5"/>
  <c r="U91" i="5"/>
  <c r="AD90" i="5"/>
  <c r="AC90" i="5"/>
  <c r="AB90" i="5"/>
  <c r="AA90" i="5"/>
  <c r="Z90" i="5"/>
  <c r="Y90" i="5"/>
  <c r="X90" i="5"/>
  <c r="W90" i="5"/>
  <c r="V90" i="5"/>
  <c r="U90" i="5"/>
  <c r="AD89" i="5"/>
  <c r="AC89" i="5"/>
  <c r="AB89" i="5"/>
  <c r="AA89" i="5"/>
  <c r="Z89" i="5"/>
  <c r="Y89" i="5"/>
  <c r="X89" i="5"/>
  <c r="W89" i="5"/>
  <c r="V89" i="5"/>
  <c r="U89" i="5"/>
  <c r="AD88" i="5"/>
  <c r="AC88" i="5"/>
  <c r="AB88" i="5"/>
  <c r="AA88" i="5"/>
  <c r="Z88" i="5"/>
  <c r="Y88" i="5"/>
  <c r="X88" i="5"/>
  <c r="W88" i="5"/>
  <c r="V88" i="5"/>
  <c r="U88" i="5"/>
  <c r="AD87" i="5"/>
  <c r="AC87" i="5"/>
  <c r="AB87" i="5"/>
  <c r="AA87" i="5"/>
  <c r="Z87" i="5"/>
  <c r="Y87" i="5"/>
  <c r="X87" i="5"/>
  <c r="W87" i="5"/>
  <c r="V87" i="5"/>
  <c r="U87" i="5"/>
  <c r="AD86" i="5"/>
  <c r="AC86" i="5"/>
  <c r="AB86" i="5"/>
  <c r="AA86" i="5"/>
  <c r="Z86" i="5"/>
  <c r="Y86" i="5"/>
  <c r="X86" i="5"/>
  <c r="W86" i="5"/>
  <c r="V86" i="5"/>
  <c r="U86" i="5"/>
  <c r="AD85" i="5"/>
  <c r="AC85" i="5"/>
  <c r="AB85" i="5"/>
  <c r="AA85" i="5"/>
  <c r="Z85" i="5"/>
  <c r="Y85" i="5"/>
  <c r="X85" i="5"/>
  <c r="W85" i="5"/>
  <c r="V85" i="5"/>
  <c r="U85" i="5"/>
  <c r="AD84" i="5"/>
  <c r="AC84" i="5"/>
  <c r="AB84" i="5"/>
  <c r="AA84" i="5"/>
  <c r="Z84" i="5"/>
  <c r="Y84" i="5"/>
  <c r="X84" i="5"/>
  <c r="W84" i="5"/>
  <c r="V84" i="5"/>
  <c r="U84" i="5"/>
  <c r="AD83" i="5"/>
  <c r="AC83" i="5"/>
  <c r="AB83" i="5"/>
  <c r="AA83" i="5"/>
  <c r="Z83" i="5"/>
  <c r="Y83" i="5"/>
  <c r="X83" i="5"/>
  <c r="W83" i="5"/>
  <c r="V83" i="5"/>
  <c r="U83" i="5"/>
  <c r="AD82" i="5"/>
  <c r="AC82" i="5"/>
  <c r="AB82" i="5"/>
  <c r="AA82" i="5"/>
  <c r="Z82" i="5"/>
  <c r="Y82" i="5"/>
  <c r="X82" i="5"/>
  <c r="W82" i="5"/>
  <c r="V82" i="5"/>
  <c r="U82" i="5"/>
  <c r="AD81" i="5"/>
  <c r="AC81" i="5"/>
  <c r="AB81" i="5"/>
  <c r="AA81" i="5"/>
  <c r="Z81" i="5"/>
  <c r="Y81" i="5"/>
  <c r="X81" i="5"/>
  <c r="W81" i="5"/>
  <c r="V81" i="5"/>
  <c r="U81" i="5"/>
  <c r="AD80" i="5"/>
  <c r="AC80" i="5"/>
  <c r="AB80" i="5"/>
  <c r="AA80" i="5"/>
  <c r="Z80" i="5"/>
  <c r="Y80" i="5"/>
  <c r="X80" i="5"/>
  <c r="W80" i="5"/>
  <c r="V80" i="5"/>
  <c r="U80" i="5"/>
  <c r="AD79" i="5"/>
  <c r="AC79" i="5"/>
  <c r="AB79" i="5"/>
  <c r="AA79" i="5"/>
  <c r="Z79" i="5"/>
  <c r="Y79" i="5"/>
  <c r="X79" i="5"/>
  <c r="W79" i="5"/>
  <c r="V79" i="5"/>
  <c r="U79" i="5"/>
  <c r="AD78" i="5"/>
  <c r="AC78" i="5"/>
  <c r="AB78" i="5"/>
  <c r="AA78" i="5"/>
  <c r="Z78" i="5"/>
  <c r="Y78" i="5"/>
  <c r="X78" i="5"/>
  <c r="W78" i="5"/>
  <c r="V78" i="5"/>
  <c r="U78" i="5"/>
  <c r="AD77" i="5"/>
  <c r="AC77" i="5"/>
  <c r="AB77" i="5"/>
  <c r="AA77" i="5"/>
  <c r="Z77" i="5"/>
  <c r="Y77" i="5"/>
  <c r="X77" i="5"/>
  <c r="W77" i="5"/>
  <c r="V77" i="5"/>
  <c r="U77" i="5"/>
  <c r="AD76" i="5"/>
  <c r="AC76" i="5"/>
  <c r="AB76" i="5"/>
  <c r="AA76" i="5"/>
  <c r="Z76" i="5"/>
  <c r="Y76" i="5"/>
  <c r="X76" i="5"/>
  <c r="W76" i="5"/>
  <c r="V76" i="5"/>
  <c r="U76" i="5"/>
  <c r="AD75" i="5"/>
  <c r="AC75" i="5"/>
  <c r="AB75" i="5"/>
  <c r="AA75" i="5"/>
  <c r="Z75" i="5"/>
  <c r="Y75" i="5"/>
  <c r="X75" i="5"/>
  <c r="W75" i="5"/>
  <c r="V75" i="5"/>
  <c r="U75" i="5"/>
  <c r="U49" i="5"/>
  <c r="V49" i="5"/>
  <c r="W49" i="5"/>
  <c r="X49" i="5"/>
  <c r="Y49" i="5"/>
  <c r="Z49" i="5"/>
  <c r="AA49" i="5"/>
  <c r="AB49" i="5"/>
  <c r="AC49" i="5"/>
  <c r="AD49" i="5"/>
  <c r="U50" i="5"/>
  <c r="V50" i="5"/>
  <c r="W50" i="5"/>
  <c r="X50" i="5"/>
  <c r="Y50" i="5"/>
  <c r="Z50" i="5"/>
  <c r="AA50" i="5"/>
  <c r="AB50" i="5"/>
  <c r="AC50" i="5"/>
  <c r="AD50" i="5"/>
  <c r="U51" i="5"/>
  <c r="V51" i="5"/>
  <c r="W51" i="5"/>
  <c r="X51" i="5"/>
  <c r="Y51" i="5"/>
  <c r="Z51" i="5"/>
  <c r="AA51" i="5"/>
  <c r="AB51" i="5"/>
  <c r="AC51" i="5"/>
  <c r="AD51" i="5"/>
  <c r="U52" i="5"/>
  <c r="V52" i="5"/>
  <c r="W52" i="5"/>
  <c r="X52" i="5"/>
  <c r="Y52" i="5"/>
  <c r="Z52" i="5"/>
  <c r="AA52" i="5"/>
  <c r="AB52" i="5"/>
  <c r="AC52" i="5"/>
  <c r="AD52" i="5"/>
  <c r="U53" i="5"/>
  <c r="V53" i="5"/>
  <c r="W53" i="5"/>
  <c r="X53" i="5"/>
  <c r="Y53" i="5"/>
  <c r="Z53" i="5"/>
  <c r="AA53" i="5"/>
  <c r="AB53" i="5"/>
  <c r="AC53" i="5"/>
  <c r="AD53" i="5"/>
  <c r="U54" i="5"/>
  <c r="V54" i="5"/>
  <c r="W54" i="5"/>
  <c r="X54" i="5"/>
  <c r="Y54" i="5"/>
  <c r="Z54" i="5"/>
  <c r="AA54" i="5"/>
  <c r="AB54" i="5"/>
  <c r="AC54" i="5"/>
  <c r="AD54" i="5"/>
  <c r="AD48" i="5"/>
  <c r="AC48" i="5"/>
  <c r="AB48" i="5"/>
  <c r="AA48" i="5"/>
  <c r="Z48" i="5"/>
  <c r="Y48" i="5"/>
  <c r="X48" i="5"/>
  <c r="W48" i="5"/>
  <c r="V48" i="5"/>
  <c r="U48" i="5"/>
  <c r="AD47" i="5"/>
  <c r="AC47" i="5"/>
  <c r="AB47" i="5"/>
  <c r="AA47" i="5"/>
  <c r="Z47" i="5"/>
  <c r="Y47" i="5"/>
  <c r="X47" i="5"/>
  <c r="W47" i="5"/>
  <c r="V47" i="5"/>
  <c r="U47" i="5"/>
  <c r="AD46" i="5"/>
  <c r="AC46" i="5"/>
  <c r="AB46" i="5"/>
  <c r="AA46" i="5"/>
  <c r="Z46" i="5"/>
  <c r="Y46" i="5"/>
  <c r="X46" i="5"/>
  <c r="W46" i="5"/>
  <c r="V46" i="5"/>
  <c r="U46" i="5"/>
  <c r="AD45" i="5"/>
  <c r="AC45" i="5"/>
  <c r="AB45" i="5"/>
  <c r="AA45" i="5"/>
  <c r="Z45" i="5"/>
  <c r="Y45" i="5"/>
  <c r="X45" i="5"/>
  <c r="W45" i="5"/>
  <c r="V45" i="5"/>
  <c r="U45" i="5"/>
  <c r="AD44" i="5"/>
  <c r="AC44" i="5"/>
  <c r="AB44" i="5"/>
  <c r="AA44" i="5"/>
  <c r="Z44" i="5"/>
  <c r="Y44" i="5"/>
  <c r="X44" i="5"/>
  <c r="W44" i="5"/>
  <c r="V44" i="5"/>
  <c r="U44" i="5"/>
  <c r="AD43" i="5"/>
  <c r="AC43" i="5"/>
  <c r="AB43" i="5"/>
  <c r="AA43" i="5"/>
  <c r="Z43" i="5"/>
  <c r="Y43" i="5"/>
  <c r="X43" i="5"/>
  <c r="W43" i="5"/>
  <c r="V43" i="5"/>
  <c r="U43" i="5"/>
  <c r="AD42" i="5"/>
  <c r="AC42" i="5"/>
  <c r="AB42" i="5"/>
  <c r="AA42" i="5"/>
  <c r="Z42" i="5"/>
  <c r="Y42" i="5"/>
  <c r="X42" i="5"/>
  <c r="W42" i="5"/>
  <c r="V42" i="5"/>
  <c r="U42" i="5"/>
  <c r="AD41" i="5"/>
  <c r="AC41" i="5"/>
  <c r="AB41" i="5"/>
  <c r="AA41" i="5"/>
  <c r="Z41" i="5"/>
  <c r="Y41" i="5"/>
  <c r="X41" i="5"/>
  <c r="W41" i="5"/>
  <c r="V41" i="5"/>
  <c r="U41" i="5"/>
  <c r="AD40" i="5"/>
  <c r="AC40" i="5"/>
  <c r="AB40" i="5"/>
  <c r="AA40" i="5"/>
  <c r="Z40" i="5"/>
  <c r="Y40" i="5"/>
  <c r="X40" i="5"/>
  <c r="W40" i="5"/>
  <c r="V40" i="5"/>
  <c r="U40" i="5"/>
  <c r="AD39" i="5"/>
  <c r="AC39" i="5"/>
  <c r="AB39" i="5"/>
  <c r="AA39" i="5"/>
  <c r="Z39" i="5"/>
  <c r="Y39" i="5"/>
  <c r="X39" i="5"/>
  <c r="W39" i="5"/>
  <c r="V39" i="5"/>
  <c r="U39" i="5"/>
  <c r="AD38" i="5"/>
  <c r="AC38" i="5"/>
  <c r="AB38" i="5"/>
  <c r="AA38" i="5"/>
  <c r="Z38" i="5"/>
  <c r="Y38" i="5"/>
  <c r="X38" i="5"/>
  <c r="W38" i="5"/>
  <c r="V38" i="5"/>
  <c r="U38" i="5"/>
  <c r="AD37" i="5"/>
  <c r="AC37" i="5"/>
  <c r="AB37" i="5"/>
  <c r="AA37" i="5"/>
  <c r="Z37" i="5"/>
  <c r="Y37" i="5"/>
  <c r="X37" i="5"/>
  <c r="W37" i="5"/>
  <c r="V37" i="5"/>
  <c r="U37" i="5"/>
  <c r="AD36" i="5"/>
  <c r="AC36" i="5"/>
  <c r="AB36" i="5"/>
  <c r="AA36" i="5"/>
  <c r="Z36" i="5"/>
  <c r="Y36" i="5"/>
  <c r="X36" i="5"/>
  <c r="W36" i="5"/>
  <c r="V36" i="5"/>
  <c r="U36" i="5"/>
  <c r="AD35" i="5"/>
  <c r="AC35" i="5"/>
  <c r="AB35" i="5"/>
  <c r="AA35" i="5"/>
  <c r="Z35" i="5"/>
  <c r="Y35" i="5"/>
  <c r="X35" i="5"/>
  <c r="W35" i="5"/>
  <c r="V35" i="5"/>
  <c r="U35" i="5"/>
  <c r="AD34" i="5"/>
  <c r="AC34" i="5"/>
  <c r="AB34" i="5"/>
  <c r="AA34" i="5"/>
  <c r="Z34" i="5"/>
  <c r="Y34" i="5"/>
  <c r="X34" i="5"/>
  <c r="W34" i="5"/>
  <c r="V34" i="5"/>
  <c r="U34" i="5"/>
  <c r="AD33" i="5"/>
  <c r="AC33" i="5"/>
  <c r="AB33" i="5"/>
  <c r="AA33" i="5"/>
  <c r="Z33" i="5"/>
  <c r="Y33" i="5"/>
  <c r="X33" i="5"/>
  <c r="W33" i="5"/>
  <c r="V33" i="5"/>
  <c r="U33" i="5"/>
  <c r="AD32" i="5"/>
  <c r="AC32" i="5"/>
  <c r="AB32" i="5"/>
  <c r="AA32" i="5"/>
  <c r="Z32" i="5"/>
  <c r="Y32" i="5"/>
  <c r="X32" i="5"/>
  <c r="W32" i="5"/>
  <c r="V32" i="5"/>
  <c r="U32" i="5"/>
  <c r="AD31" i="5"/>
  <c r="AC31" i="5"/>
  <c r="AB31" i="5"/>
  <c r="AA31" i="5"/>
  <c r="Z31" i="5"/>
  <c r="Y31" i="5"/>
  <c r="X31" i="5"/>
  <c r="W31" i="5"/>
  <c r="V31" i="5"/>
  <c r="U31" i="5"/>
  <c r="AD30" i="5"/>
  <c r="AC30" i="5"/>
  <c r="AB30" i="5"/>
  <c r="AA30" i="5"/>
  <c r="Z30" i="5"/>
  <c r="Y30" i="5"/>
  <c r="X30" i="5"/>
  <c r="W30" i="5"/>
  <c r="V30" i="5"/>
  <c r="U30" i="5"/>
  <c r="AD29" i="5"/>
  <c r="AC29" i="5"/>
  <c r="AB29" i="5"/>
  <c r="AA29" i="5"/>
  <c r="Z29" i="5"/>
  <c r="Y29" i="5"/>
  <c r="X29" i="5"/>
  <c r="W29" i="5"/>
  <c r="V29" i="5"/>
  <c r="U29" i="5"/>
  <c r="AD28" i="5"/>
  <c r="AC28" i="5"/>
  <c r="AB28" i="5"/>
  <c r="AA28" i="5"/>
  <c r="Z28" i="5"/>
  <c r="Y28" i="5"/>
  <c r="X28" i="5"/>
  <c r="W28" i="5"/>
  <c r="V28" i="5"/>
  <c r="U28" i="5"/>
  <c r="AD27" i="5"/>
  <c r="AC27" i="5"/>
  <c r="AB27" i="5"/>
  <c r="AA27" i="5"/>
  <c r="Z27" i="5"/>
  <c r="Y27" i="5"/>
  <c r="X27" i="5"/>
  <c r="W27" i="5"/>
  <c r="V27" i="5"/>
  <c r="U27" i="5"/>
  <c r="AD26" i="5"/>
  <c r="AC26" i="5"/>
  <c r="AB26" i="5"/>
  <c r="AA26" i="5"/>
  <c r="Z26" i="5"/>
  <c r="Y26" i="5"/>
  <c r="X26" i="5"/>
  <c r="W26" i="5"/>
  <c r="V26" i="5"/>
  <c r="U26" i="5"/>
  <c r="AD25" i="5"/>
  <c r="AC25" i="5"/>
  <c r="AB25" i="5"/>
  <c r="AA25" i="5"/>
  <c r="Z25" i="5"/>
  <c r="Y25" i="5"/>
  <c r="X25" i="5"/>
  <c r="W25" i="5"/>
  <c r="V25" i="5"/>
  <c r="U25" i="5"/>
  <c r="AD24" i="5"/>
  <c r="AC24" i="5"/>
  <c r="AB24" i="5"/>
  <c r="AA24" i="5"/>
  <c r="Z24" i="5"/>
  <c r="Y24" i="5"/>
  <c r="X24" i="5"/>
  <c r="W24" i="5"/>
  <c r="V24" i="5"/>
  <c r="U24" i="5"/>
  <c r="AD23" i="5"/>
  <c r="AC23" i="5"/>
  <c r="AB23" i="5"/>
  <c r="AA23" i="5"/>
  <c r="Z23" i="5"/>
  <c r="Y23" i="5"/>
  <c r="X23" i="5"/>
  <c r="W23" i="5"/>
  <c r="V23" i="5"/>
  <c r="U23" i="5"/>
  <c r="AD22" i="5"/>
  <c r="AC22" i="5"/>
  <c r="AB22" i="5"/>
  <c r="AA22" i="5"/>
  <c r="Z22" i="5"/>
  <c r="Y22" i="5"/>
  <c r="X22" i="5"/>
  <c r="W22" i="5"/>
  <c r="V22" i="5"/>
  <c r="U22" i="5"/>
  <c r="AD21" i="5"/>
  <c r="AC21" i="5"/>
  <c r="AB21" i="5"/>
  <c r="AA21" i="5"/>
  <c r="Z21" i="5"/>
  <c r="Y21" i="5"/>
  <c r="X21" i="5"/>
  <c r="W21" i="5"/>
  <c r="V21" i="5"/>
  <c r="U21" i="5"/>
  <c r="AD20" i="5"/>
  <c r="AC20" i="5"/>
  <c r="AB20" i="5"/>
  <c r="AA20" i="5"/>
  <c r="Z20" i="5"/>
  <c r="Y20" i="5"/>
  <c r="X20" i="5"/>
  <c r="W20" i="5"/>
  <c r="V20" i="5"/>
  <c r="U20" i="5"/>
  <c r="AD19" i="5"/>
  <c r="AC19" i="5"/>
  <c r="AB19" i="5"/>
  <c r="AA19" i="5"/>
  <c r="Z19" i="5"/>
  <c r="Y19" i="5"/>
  <c r="X19" i="5"/>
  <c r="W19" i="5"/>
  <c r="V19" i="5"/>
  <c r="U19" i="5"/>
  <c r="AD88" i="4"/>
  <c r="AC88" i="4"/>
  <c r="AB88" i="4"/>
  <c r="AA88" i="4"/>
  <c r="Z88" i="4"/>
  <c r="Y88" i="4"/>
  <c r="X88" i="4"/>
  <c r="W88" i="4"/>
  <c r="V88" i="4"/>
  <c r="U88" i="4"/>
  <c r="AD87" i="4"/>
  <c r="AC87" i="4"/>
  <c r="AB87" i="4"/>
  <c r="AA87" i="4"/>
  <c r="Z87" i="4"/>
  <c r="Y87" i="4"/>
  <c r="X87" i="4"/>
  <c r="W87" i="4"/>
  <c r="V87" i="4"/>
  <c r="U87" i="4"/>
  <c r="AD86" i="4"/>
  <c r="AC86" i="4"/>
  <c r="AB86" i="4"/>
  <c r="AA86" i="4"/>
  <c r="Z86" i="4"/>
  <c r="Y86" i="4"/>
  <c r="X86" i="4"/>
  <c r="W86" i="4"/>
  <c r="V86" i="4"/>
  <c r="U86" i="4"/>
  <c r="AD85" i="4"/>
  <c r="AC85" i="4"/>
  <c r="AB85" i="4"/>
  <c r="AA85" i="4"/>
  <c r="Z85" i="4"/>
  <c r="Y85" i="4"/>
  <c r="X85" i="4"/>
  <c r="W85" i="4"/>
  <c r="V85" i="4"/>
  <c r="U85" i="4"/>
  <c r="AD84" i="4"/>
  <c r="AC84" i="4"/>
  <c r="AB84" i="4"/>
  <c r="AA84" i="4"/>
  <c r="Z84" i="4"/>
  <c r="Y84" i="4"/>
  <c r="X84" i="4"/>
  <c r="W84" i="4"/>
  <c r="V84" i="4"/>
  <c r="U84" i="4"/>
  <c r="AD83" i="4"/>
  <c r="AC83" i="4"/>
  <c r="AB83" i="4"/>
  <c r="AA83" i="4"/>
  <c r="Z83" i="4"/>
  <c r="Y83" i="4"/>
  <c r="X83" i="4"/>
  <c r="W83" i="4"/>
  <c r="V83" i="4"/>
  <c r="U83" i="4"/>
  <c r="AD82" i="4"/>
  <c r="AC82" i="4"/>
  <c r="AB82" i="4"/>
  <c r="AA82" i="4"/>
  <c r="Z82" i="4"/>
  <c r="Y82" i="4"/>
  <c r="X82" i="4"/>
  <c r="W82" i="4"/>
  <c r="V82" i="4"/>
  <c r="U82" i="4"/>
  <c r="AD81" i="4"/>
  <c r="AC81" i="4"/>
  <c r="AB81" i="4"/>
  <c r="AA81" i="4"/>
  <c r="Z81" i="4"/>
  <c r="Y81" i="4"/>
  <c r="X81" i="4"/>
  <c r="W81" i="4"/>
  <c r="V81" i="4"/>
  <c r="U81" i="4"/>
  <c r="AD80" i="4"/>
  <c r="AC80" i="4"/>
  <c r="AB80" i="4"/>
  <c r="AA80" i="4"/>
  <c r="Z80" i="4"/>
  <c r="Y80" i="4"/>
  <c r="X80" i="4"/>
  <c r="W80" i="4"/>
  <c r="V80" i="4"/>
  <c r="U80" i="4"/>
  <c r="AD79" i="4"/>
  <c r="AC79" i="4"/>
  <c r="AB79" i="4"/>
  <c r="AA79" i="4"/>
  <c r="Z79" i="4"/>
  <c r="Y79" i="4"/>
  <c r="X79" i="4"/>
  <c r="W79" i="4"/>
  <c r="V79" i="4"/>
  <c r="U79" i="4"/>
  <c r="AD78" i="4"/>
  <c r="AC78" i="4"/>
  <c r="AB78" i="4"/>
  <c r="AA78" i="4"/>
  <c r="Z78" i="4"/>
  <c r="Y78" i="4"/>
  <c r="X78" i="4"/>
  <c r="W78" i="4"/>
  <c r="V78" i="4"/>
  <c r="U78" i="4"/>
  <c r="AD77" i="4"/>
  <c r="AC77" i="4"/>
  <c r="AB77" i="4"/>
  <c r="AA77" i="4"/>
  <c r="Z77" i="4"/>
  <c r="Y77" i="4"/>
  <c r="X77" i="4"/>
  <c r="W77" i="4"/>
  <c r="V77" i="4"/>
  <c r="U77" i="4"/>
  <c r="AD76" i="4"/>
  <c r="AC76" i="4"/>
  <c r="AB76" i="4"/>
  <c r="AA76" i="4"/>
  <c r="Z76" i="4"/>
  <c r="Y76" i="4"/>
  <c r="X76" i="4"/>
  <c r="W76" i="4"/>
  <c r="V76" i="4"/>
  <c r="U76" i="4"/>
  <c r="AD75" i="4"/>
  <c r="AC75" i="4"/>
  <c r="AB75" i="4"/>
  <c r="AA75" i="4"/>
  <c r="Z75" i="4"/>
  <c r="Y75" i="4"/>
  <c r="X75" i="4"/>
  <c r="W75" i="4"/>
  <c r="V75" i="4"/>
  <c r="U75" i="4"/>
  <c r="AD74" i="4"/>
  <c r="AC74" i="4"/>
  <c r="AB74" i="4"/>
  <c r="AA74" i="4"/>
  <c r="Z74" i="4"/>
  <c r="Y74" i="4"/>
  <c r="X74" i="4"/>
  <c r="W74" i="4"/>
  <c r="V74" i="4"/>
  <c r="U74" i="4"/>
  <c r="AD73" i="4"/>
  <c r="AC73" i="4"/>
  <c r="AB73" i="4"/>
  <c r="AA73" i="4"/>
  <c r="Z73" i="4"/>
  <c r="Y73" i="4"/>
  <c r="X73" i="4"/>
  <c r="W73" i="4"/>
  <c r="V73" i="4"/>
  <c r="U73" i="4"/>
  <c r="AD72" i="4"/>
  <c r="AC72" i="4"/>
  <c r="AB72" i="4"/>
  <c r="AA72" i="4"/>
  <c r="Z72" i="4"/>
  <c r="Y72" i="4"/>
  <c r="X72" i="4"/>
  <c r="W72" i="4"/>
  <c r="V72" i="4"/>
  <c r="U72" i="4"/>
  <c r="AD71" i="4"/>
  <c r="AC71" i="4"/>
  <c r="AB71" i="4"/>
  <c r="AA71" i="4"/>
  <c r="Z71" i="4"/>
  <c r="Y71" i="4"/>
  <c r="X71" i="4"/>
  <c r="W71" i="4"/>
  <c r="V71" i="4"/>
  <c r="U71" i="4"/>
  <c r="AD70" i="4"/>
  <c r="AC70" i="4"/>
  <c r="AB70" i="4"/>
  <c r="AA70" i="4"/>
  <c r="Z70" i="4"/>
  <c r="Y70" i="4"/>
  <c r="X70" i="4"/>
  <c r="W70" i="4"/>
  <c r="V70" i="4"/>
  <c r="U70" i="4"/>
  <c r="AD69" i="4"/>
  <c r="AC69" i="4"/>
  <c r="AB69" i="4"/>
  <c r="AA69" i="4"/>
  <c r="Z69" i="4"/>
  <c r="Y69" i="4"/>
  <c r="X69" i="4"/>
  <c r="W69" i="4"/>
  <c r="V69" i="4"/>
  <c r="U69" i="4"/>
  <c r="AD68" i="4"/>
  <c r="AC68" i="4"/>
  <c r="AB68" i="4"/>
  <c r="AA68" i="4"/>
  <c r="Z68" i="4"/>
  <c r="Y68" i="4"/>
  <c r="X68" i="4"/>
  <c r="W68" i="4"/>
  <c r="V68" i="4"/>
  <c r="U68" i="4"/>
  <c r="AD67" i="4"/>
  <c r="AC67" i="4"/>
  <c r="AB67" i="4"/>
  <c r="AA67" i="4"/>
  <c r="Z67" i="4"/>
  <c r="Y67" i="4"/>
  <c r="X67" i="4"/>
  <c r="W67" i="4"/>
  <c r="V67" i="4"/>
  <c r="U67" i="4"/>
  <c r="AD66" i="4"/>
  <c r="AC66" i="4"/>
  <c r="AB66" i="4"/>
  <c r="AA66" i="4"/>
  <c r="Z66" i="4"/>
  <c r="Y66" i="4"/>
  <c r="X66" i="4"/>
  <c r="W66" i="4"/>
  <c r="V66" i="4"/>
  <c r="U66" i="4"/>
  <c r="AD65" i="4"/>
  <c r="AC65" i="4"/>
  <c r="AB65" i="4"/>
  <c r="AA65" i="4"/>
  <c r="Z65" i="4"/>
  <c r="Y65" i="4"/>
  <c r="X65" i="4"/>
  <c r="W65" i="4"/>
  <c r="V65" i="4"/>
  <c r="U65" i="4"/>
  <c r="AD64" i="4"/>
  <c r="AC64" i="4"/>
  <c r="AB64" i="4"/>
  <c r="AA64" i="4"/>
  <c r="Z64" i="4"/>
  <c r="Y64" i="4"/>
  <c r="X64" i="4"/>
  <c r="W64" i="4"/>
  <c r="V64" i="4"/>
  <c r="U64" i="4"/>
  <c r="AD63" i="4"/>
  <c r="AC63" i="4"/>
  <c r="AB63" i="4"/>
  <c r="AA63" i="4"/>
  <c r="Z63" i="4"/>
  <c r="Y63" i="4"/>
  <c r="X63" i="4"/>
  <c r="W63" i="4"/>
  <c r="V63" i="4"/>
  <c r="U63" i="4"/>
  <c r="AD62" i="4"/>
  <c r="AC62" i="4"/>
  <c r="AB62" i="4"/>
  <c r="AA62" i="4"/>
  <c r="Z62" i="4"/>
  <c r="Y62" i="4"/>
  <c r="X62" i="4"/>
  <c r="W62" i="4"/>
  <c r="V62" i="4"/>
  <c r="U62" i="4"/>
  <c r="AD61" i="4"/>
  <c r="AC61" i="4"/>
  <c r="AB61" i="4"/>
  <c r="AA61" i="4"/>
  <c r="Z61" i="4"/>
  <c r="Y61" i="4"/>
  <c r="X61" i="4"/>
  <c r="W61" i="4"/>
  <c r="V61" i="4"/>
  <c r="U61" i="4"/>
  <c r="AD60" i="4"/>
  <c r="AC60" i="4"/>
  <c r="AB60" i="4"/>
  <c r="AA60" i="4"/>
  <c r="Z60" i="4"/>
  <c r="Y60" i="4"/>
  <c r="X60" i="4"/>
  <c r="W60" i="4"/>
  <c r="V60" i="4"/>
  <c r="U60" i="4"/>
  <c r="AD59" i="4"/>
  <c r="AC59" i="4"/>
  <c r="AB59" i="4"/>
  <c r="AA59" i="4"/>
  <c r="Z59" i="4"/>
  <c r="Y59" i="4"/>
  <c r="X59" i="4"/>
  <c r="W59" i="4"/>
  <c r="V59" i="4"/>
  <c r="U59" i="4"/>
  <c r="U27" i="4"/>
  <c r="V27" i="4"/>
  <c r="W27" i="4"/>
  <c r="X27" i="4"/>
  <c r="Y27" i="4"/>
  <c r="Z27" i="4"/>
  <c r="AA27" i="4"/>
  <c r="AB27" i="4"/>
  <c r="AC27" i="4"/>
  <c r="AD27" i="4"/>
  <c r="U28" i="4"/>
  <c r="V28" i="4"/>
  <c r="W28" i="4"/>
  <c r="X28" i="4"/>
  <c r="Y28" i="4"/>
  <c r="Z28" i="4"/>
  <c r="AA28" i="4"/>
  <c r="AB28" i="4"/>
  <c r="AC28" i="4"/>
  <c r="AD28" i="4"/>
  <c r="U29" i="4"/>
  <c r="V29" i="4"/>
  <c r="W29" i="4"/>
  <c r="X29" i="4"/>
  <c r="Y29" i="4"/>
  <c r="Z29" i="4"/>
  <c r="AA29" i="4"/>
  <c r="AB29" i="4"/>
  <c r="AC29" i="4"/>
  <c r="AD29" i="4"/>
  <c r="U30" i="4"/>
  <c r="V30" i="4"/>
  <c r="W30" i="4"/>
  <c r="X30" i="4"/>
  <c r="Y30" i="4"/>
  <c r="Z30" i="4"/>
  <c r="AA30" i="4"/>
  <c r="AB30" i="4"/>
  <c r="AC30" i="4"/>
  <c r="AD30" i="4"/>
  <c r="U31" i="4"/>
  <c r="V31" i="4"/>
  <c r="W31" i="4"/>
  <c r="X31" i="4"/>
  <c r="Y31" i="4"/>
  <c r="Z31" i="4"/>
  <c r="AA31" i="4"/>
  <c r="AB31" i="4"/>
  <c r="AC31" i="4"/>
  <c r="AD31" i="4"/>
  <c r="U32" i="4"/>
  <c r="V32" i="4"/>
  <c r="W32" i="4"/>
  <c r="X32" i="4"/>
  <c r="Y32" i="4"/>
  <c r="Z32" i="4"/>
  <c r="AA32" i="4"/>
  <c r="AB32" i="4"/>
  <c r="AC32" i="4"/>
  <c r="AD32" i="4"/>
  <c r="U33" i="4"/>
  <c r="V33" i="4"/>
  <c r="W33" i="4"/>
  <c r="X33" i="4"/>
  <c r="Y33" i="4"/>
  <c r="Z33" i="4"/>
  <c r="AA33" i="4"/>
  <c r="AB33" i="4"/>
  <c r="AC33" i="4"/>
  <c r="AD33" i="4"/>
  <c r="U34" i="4"/>
  <c r="V34" i="4"/>
  <c r="W34" i="4"/>
  <c r="X34" i="4"/>
  <c r="Y34" i="4"/>
  <c r="Z34" i="4"/>
  <c r="AA34" i="4"/>
  <c r="AB34" i="4"/>
  <c r="AC34" i="4"/>
  <c r="AD34" i="4"/>
  <c r="U35" i="4"/>
  <c r="V35" i="4"/>
  <c r="W35" i="4"/>
  <c r="X35" i="4"/>
  <c r="Y35" i="4"/>
  <c r="Z35" i="4"/>
  <c r="AA35" i="4"/>
  <c r="AB35" i="4"/>
  <c r="AC35" i="4"/>
  <c r="AD35" i="4"/>
  <c r="U36" i="4"/>
  <c r="V36" i="4"/>
  <c r="W36" i="4"/>
  <c r="X36" i="4"/>
  <c r="Y36" i="4"/>
  <c r="Z36" i="4"/>
  <c r="AA36" i="4"/>
  <c r="AB36" i="4"/>
  <c r="AC36" i="4"/>
  <c r="AD36" i="4"/>
  <c r="U37" i="4"/>
  <c r="V37" i="4"/>
  <c r="W37" i="4"/>
  <c r="X37" i="4"/>
  <c r="Y37" i="4"/>
  <c r="Z37" i="4"/>
  <c r="AA37" i="4"/>
  <c r="AB37" i="4"/>
  <c r="AC37" i="4"/>
  <c r="AD37" i="4"/>
  <c r="U38" i="4"/>
  <c r="V38" i="4"/>
  <c r="W38" i="4"/>
  <c r="X38" i="4"/>
  <c r="Y38" i="4"/>
  <c r="Z38" i="4"/>
  <c r="AA38" i="4"/>
  <c r="AB38" i="4"/>
  <c r="AC38" i="4"/>
  <c r="AD38" i="4"/>
  <c r="U39" i="4"/>
  <c r="V39" i="4"/>
  <c r="W39" i="4"/>
  <c r="X39" i="4"/>
  <c r="Y39" i="4"/>
  <c r="Z39" i="4"/>
  <c r="AA39" i="4"/>
  <c r="AB39" i="4"/>
  <c r="AC39" i="4"/>
  <c r="AD39" i="4"/>
  <c r="U40" i="4"/>
  <c r="V40" i="4"/>
  <c r="W40" i="4"/>
  <c r="X40" i="4"/>
  <c r="Y40" i="4"/>
  <c r="Z40" i="4"/>
  <c r="AA40" i="4"/>
  <c r="AB40" i="4"/>
  <c r="AC40" i="4"/>
  <c r="AD40" i="4"/>
  <c r="U41" i="4"/>
  <c r="V41" i="4"/>
  <c r="W41" i="4"/>
  <c r="X41" i="4"/>
  <c r="Y41" i="4"/>
  <c r="Z41" i="4"/>
  <c r="AA41" i="4"/>
  <c r="AB41" i="4"/>
  <c r="AC41" i="4"/>
  <c r="AD41" i="4"/>
  <c r="U42" i="4"/>
  <c r="V42" i="4"/>
  <c r="W42" i="4"/>
  <c r="X42" i="4"/>
  <c r="Y42" i="4"/>
  <c r="Z42" i="4"/>
  <c r="AA42" i="4"/>
  <c r="AB42" i="4"/>
  <c r="AC42" i="4"/>
  <c r="AD42" i="4"/>
  <c r="U43" i="4"/>
  <c r="V43" i="4"/>
  <c r="W43" i="4"/>
  <c r="X43" i="4"/>
  <c r="Y43" i="4"/>
  <c r="Z43" i="4"/>
  <c r="AA43" i="4"/>
  <c r="AB43" i="4"/>
  <c r="AC43" i="4"/>
  <c r="AD43" i="4"/>
  <c r="U44" i="4"/>
  <c r="V44" i="4"/>
  <c r="W44" i="4"/>
  <c r="X44" i="4"/>
  <c r="Y44" i="4"/>
  <c r="Z44" i="4"/>
  <c r="AA44" i="4"/>
  <c r="AB44" i="4"/>
  <c r="AC44" i="4"/>
  <c r="AD44" i="4"/>
  <c r="U45" i="4"/>
  <c r="V45" i="4"/>
  <c r="W45" i="4"/>
  <c r="X45" i="4"/>
  <c r="Y45" i="4"/>
  <c r="Z45" i="4"/>
  <c r="AA45" i="4"/>
  <c r="AB45" i="4"/>
  <c r="AC45" i="4"/>
  <c r="AD45" i="4"/>
  <c r="U46" i="4"/>
  <c r="V46" i="4"/>
  <c r="W46" i="4"/>
  <c r="X46" i="4"/>
  <c r="Y46" i="4"/>
  <c r="Z46" i="4"/>
  <c r="AA46" i="4"/>
  <c r="AB46" i="4"/>
  <c r="AC46" i="4"/>
  <c r="AD46" i="4"/>
  <c r="U47" i="4"/>
  <c r="V47" i="4"/>
  <c r="W47" i="4"/>
  <c r="X47" i="4"/>
  <c r="Y47" i="4"/>
  <c r="Z47" i="4"/>
  <c r="AA47" i="4"/>
  <c r="AB47" i="4"/>
  <c r="AC47" i="4"/>
  <c r="AD47" i="4"/>
  <c r="U48" i="4"/>
  <c r="V48" i="4"/>
  <c r="W48" i="4"/>
  <c r="X48" i="4"/>
  <c r="Y48" i="4"/>
  <c r="Z48" i="4"/>
  <c r="AA48" i="4"/>
  <c r="AB48" i="4"/>
  <c r="AC48" i="4"/>
  <c r="AD48" i="4"/>
  <c r="U49" i="4"/>
  <c r="V49" i="4"/>
  <c r="W49" i="4"/>
  <c r="X49" i="4"/>
  <c r="Y49" i="4"/>
  <c r="Z49" i="4"/>
  <c r="AA49" i="4"/>
  <c r="AB49" i="4"/>
  <c r="AC49" i="4"/>
  <c r="AD49" i="4"/>
  <c r="U50" i="4"/>
  <c r="V50" i="4"/>
  <c r="W50" i="4"/>
  <c r="X50" i="4"/>
  <c r="Y50" i="4"/>
  <c r="Z50" i="4"/>
  <c r="AA50" i="4"/>
  <c r="AB50" i="4"/>
  <c r="AC50" i="4"/>
  <c r="AD50" i="4"/>
  <c r="U51" i="4"/>
  <c r="V51" i="4"/>
  <c r="W51" i="4"/>
  <c r="X51" i="4"/>
  <c r="Y51" i="4"/>
  <c r="Z51" i="4"/>
  <c r="AA51" i="4"/>
  <c r="AB51" i="4"/>
  <c r="AC51" i="4"/>
  <c r="AD51" i="4"/>
  <c r="U52" i="4"/>
  <c r="V52" i="4"/>
  <c r="W52" i="4"/>
  <c r="X52" i="4"/>
  <c r="Y52" i="4"/>
  <c r="Z52" i="4"/>
  <c r="AA52" i="4"/>
  <c r="AB52" i="4"/>
  <c r="AC52" i="4"/>
  <c r="AD52" i="4"/>
  <c r="U53" i="4"/>
  <c r="V53" i="4"/>
  <c r="W53" i="4"/>
  <c r="X53" i="4"/>
  <c r="Y53" i="4"/>
  <c r="Z53" i="4"/>
  <c r="AA53" i="4"/>
  <c r="AB53" i="4"/>
  <c r="AC53" i="4"/>
  <c r="AD53" i="4"/>
  <c r="U54" i="4"/>
  <c r="V54" i="4"/>
  <c r="W54" i="4"/>
  <c r="X54" i="4"/>
  <c r="Y54" i="4"/>
  <c r="Z54" i="4"/>
  <c r="AA54" i="4"/>
  <c r="AB54" i="4"/>
  <c r="AC54" i="4"/>
  <c r="AD54" i="4"/>
  <c r="AD26" i="4"/>
  <c r="AC26" i="4"/>
  <c r="AB26" i="4"/>
  <c r="AA26" i="4"/>
  <c r="Z26" i="4"/>
  <c r="Y26" i="4"/>
  <c r="X26" i="4"/>
  <c r="W26" i="4"/>
  <c r="V26" i="4"/>
  <c r="U26" i="4"/>
  <c r="AD25" i="4"/>
  <c r="AC25" i="4"/>
  <c r="AB25" i="4"/>
  <c r="AA25" i="4"/>
  <c r="Z25" i="4"/>
  <c r="Y25" i="4"/>
  <c r="X25" i="4"/>
  <c r="W25" i="4"/>
  <c r="V25" i="4"/>
  <c r="U25" i="4"/>
  <c r="AD24" i="4"/>
  <c r="AC24" i="4"/>
  <c r="AB24" i="4"/>
  <c r="AA24" i="4"/>
  <c r="Z24" i="4"/>
  <c r="Y24" i="4"/>
  <c r="X24" i="4"/>
  <c r="W24" i="4"/>
  <c r="V24" i="4"/>
  <c r="U24" i="4"/>
  <c r="AD23" i="4"/>
  <c r="AC23" i="4"/>
  <c r="AB23" i="4"/>
  <c r="AA23" i="4"/>
  <c r="Z23" i="4"/>
  <c r="Y23" i="4"/>
  <c r="X23" i="4"/>
  <c r="W23" i="4"/>
  <c r="V23" i="4"/>
  <c r="U23" i="4"/>
  <c r="AD22" i="4"/>
  <c r="AC22" i="4"/>
  <c r="AB22" i="4"/>
  <c r="AA22" i="4"/>
  <c r="Z22" i="4"/>
  <c r="Y22" i="4"/>
  <c r="X22" i="4"/>
  <c r="W22" i="4"/>
  <c r="V22" i="4"/>
  <c r="U22" i="4"/>
  <c r="AD21" i="4"/>
  <c r="AC21" i="4"/>
  <c r="AB21" i="4"/>
  <c r="AA21" i="4"/>
  <c r="Z21" i="4"/>
  <c r="Y21" i="4"/>
  <c r="X21" i="4"/>
  <c r="W21" i="4"/>
  <c r="V21" i="4"/>
  <c r="U21" i="4"/>
  <c r="AD20" i="4"/>
  <c r="AC20" i="4"/>
  <c r="AB20" i="4"/>
  <c r="AA20" i="4"/>
  <c r="Z20" i="4"/>
  <c r="Y20" i="4"/>
  <c r="X20" i="4"/>
  <c r="W20" i="4"/>
  <c r="V20" i="4"/>
  <c r="U20" i="4"/>
  <c r="AD19" i="4"/>
  <c r="AC19" i="4"/>
  <c r="AB19" i="4"/>
  <c r="AA19" i="4"/>
  <c r="Z19" i="4"/>
  <c r="Y19" i="4"/>
  <c r="X19" i="4"/>
  <c r="W19" i="4"/>
  <c r="V19" i="4"/>
  <c r="U19" i="4"/>
  <c r="U89" i="3"/>
  <c r="V89" i="3"/>
  <c r="W89" i="3"/>
  <c r="X89" i="3"/>
  <c r="Y89" i="3"/>
  <c r="Z89" i="3"/>
  <c r="AA89" i="3"/>
  <c r="AB89" i="3"/>
  <c r="AC89" i="3"/>
  <c r="AD89" i="3"/>
  <c r="U90" i="3"/>
  <c r="V90" i="3"/>
  <c r="W90" i="3"/>
  <c r="X90" i="3"/>
  <c r="Y90" i="3"/>
  <c r="Z90" i="3"/>
  <c r="AA90" i="3"/>
  <c r="AB90" i="3"/>
  <c r="AC90" i="3"/>
  <c r="AD90" i="3"/>
  <c r="U91" i="3"/>
  <c r="V91" i="3"/>
  <c r="W91" i="3"/>
  <c r="X91" i="3"/>
  <c r="Y91" i="3"/>
  <c r="Z91" i="3"/>
  <c r="AA91" i="3"/>
  <c r="AB91" i="3"/>
  <c r="AC91" i="3"/>
  <c r="AD91" i="3"/>
  <c r="U92" i="3"/>
  <c r="V92" i="3"/>
  <c r="W92" i="3"/>
  <c r="X92" i="3"/>
  <c r="Y92" i="3"/>
  <c r="Z92" i="3"/>
  <c r="AA92" i="3"/>
  <c r="AB92" i="3"/>
  <c r="AC92" i="3"/>
  <c r="AD92" i="3"/>
  <c r="U93" i="3"/>
  <c r="V93" i="3"/>
  <c r="W93" i="3"/>
  <c r="X93" i="3"/>
  <c r="Y93" i="3"/>
  <c r="Z93" i="3"/>
  <c r="AA93" i="3"/>
  <c r="AB93" i="3"/>
  <c r="AC93" i="3"/>
  <c r="AD93" i="3"/>
  <c r="U94" i="3"/>
  <c r="V94" i="3"/>
  <c r="W94" i="3"/>
  <c r="X94" i="3"/>
  <c r="Y94" i="3"/>
  <c r="Z94" i="3"/>
  <c r="AA94" i="3"/>
  <c r="AB94" i="3"/>
  <c r="AC94" i="3"/>
  <c r="AD94" i="3"/>
  <c r="U95" i="3"/>
  <c r="V95" i="3"/>
  <c r="W95" i="3"/>
  <c r="X95" i="3"/>
  <c r="Y95" i="3"/>
  <c r="Z95" i="3"/>
  <c r="AA95" i="3"/>
  <c r="AB95" i="3"/>
  <c r="AC95" i="3"/>
  <c r="AD95" i="3"/>
  <c r="U96" i="3"/>
  <c r="V96" i="3"/>
  <c r="W96" i="3"/>
  <c r="X96" i="3"/>
  <c r="Y96" i="3"/>
  <c r="Z96" i="3"/>
  <c r="AA96" i="3"/>
  <c r="AB96" i="3"/>
  <c r="AC96" i="3"/>
  <c r="AD96" i="3"/>
  <c r="U97" i="3"/>
  <c r="V97" i="3"/>
  <c r="W97" i="3"/>
  <c r="X97" i="3"/>
  <c r="Y97" i="3"/>
  <c r="Z97" i="3"/>
  <c r="AA97" i="3"/>
  <c r="AB97" i="3"/>
  <c r="AC97" i="3"/>
  <c r="AD97" i="3"/>
  <c r="U98" i="3"/>
  <c r="V98" i="3"/>
  <c r="W98" i="3"/>
  <c r="X98" i="3"/>
  <c r="Y98" i="3"/>
  <c r="Z98" i="3"/>
  <c r="AA98" i="3"/>
  <c r="AB98" i="3"/>
  <c r="AC98" i="3"/>
  <c r="AD98" i="3"/>
  <c r="U99" i="3"/>
  <c r="V99" i="3"/>
  <c r="W99" i="3"/>
  <c r="X99" i="3"/>
  <c r="Y99" i="3"/>
  <c r="Z99" i="3"/>
  <c r="AA99" i="3"/>
  <c r="AB99" i="3"/>
  <c r="AC99" i="3"/>
  <c r="AD99" i="3"/>
  <c r="U100" i="3"/>
  <c r="V100" i="3"/>
  <c r="W100" i="3"/>
  <c r="X100" i="3"/>
  <c r="Y100" i="3"/>
  <c r="Z100" i="3"/>
  <c r="AA100" i="3"/>
  <c r="AB100" i="3"/>
  <c r="AC100" i="3"/>
  <c r="AD100" i="3"/>
  <c r="U101" i="3"/>
  <c r="V101" i="3"/>
  <c r="W101" i="3"/>
  <c r="X101" i="3"/>
  <c r="Y101" i="3"/>
  <c r="Z101" i="3"/>
  <c r="AA101" i="3"/>
  <c r="AB101" i="3"/>
  <c r="AC101" i="3"/>
  <c r="AD101" i="3"/>
  <c r="U102" i="3"/>
  <c r="V102" i="3"/>
  <c r="W102" i="3"/>
  <c r="X102" i="3"/>
  <c r="Y102" i="3"/>
  <c r="Z102" i="3"/>
  <c r="AA102" i="3"/>
  <c r="AB102" i="3"/>
  <c r="AC102" i="3"/>
  <c r="AD102" i="3"/>
  <c r="AD88" i="3"/>
  <c r="AC88" i="3"/>
  <c r="AB88" i="3"/>
  <c r="AA88" i="3"/>
  <c r="Z88" i="3"/>
  <c r="Y88" i="3"/>
  <c r="X88" i="3"/>
  <c r="W88" i="3"/>
  <c r="V88" i="3"/>
  <c r="U88" i="3"/>
  <c r="AD87" i="3"/>
  <c r="AC87" i="3"/>
  <c r="AB87" i="3"/>
  <c r="AA87" i="3"/>
  <c r="Z87" i="3"/>
  <c r="Y87" i="3"/>
  <c r="X87" i="3"/>
  <c r="W87" i="3"/>
  <c r="V87" i="3"/>
  <c r="U87" i="3"/>
  <c r="AD86" i="3"/>
  <c r="AC86" i="3"/>
  <c r="AB86" i="3"/>
  <c r="AA86" i="3"/>
  <c r="Z86" i="3"/>
  <c r="Y86" i="3"/>
  <c r="X86" i="3"/>
  <c r="W86" i="3"/>
  <c r="V86" i="3"/>
  <c r="U86" i="3"/>
  <c r="U20" i="3"/>
  <c r="V20" i="3"/>
  <c r="W20" i="3"/>
  <c r="X20" i="3"/>
  <c r="Y20" i="3"/>
  <c r="Z20" i="3"/>
  <c r="AA20" i="3"/>
  <c r="AB20" i="3"/>
  <c r="AC20" i="3"/>
  <c r="AD20" i="3"/>
  <c r="U21" i="3"/>
  <c r="V21" i="3"/>
  <c r="W21" i="3"/>
  <c r="X21" i="3"/>
  <c r="Y21" i="3"/>
  <c r="Z21" i="3"/>
  <c r="AA21" i="3"/>
  <c r="AB21" i="3"/>
  <c r="AC21" i="3"/>
  <c r="AD21" i="3"/>
  <c r="U22" i="3"/>
  <c r="V22" i="3"/>
  <c r="W22" i="3"/>
  <c r="X22" i="3"/>
  <c r="Y22" i="3"/>
  <c r="Z22" i="3"/>
  <c r="AA22" i="3"/>
  <c r="AB22" i="3"/>
  <c r="AC22" i="3"/>
  <c r="AD22" i="3"/>
  <c r="U23" i="3"/>
  <c r="V23" i="3"/>
  <c r="W23" i="3"/>
  <c r="X23" i="3"/>
  <c r="Y23" i="3"/>
  <c r="Z23" i="3"/>
  <c r="AA23" i="3"/>
  <c r="AB23" i="3"/>
  <c r="AC23" i="3"/>
  <c r="AD23" i="3"/>
  <c r="U24" i="3"/>
  <c r="V24" i="3"/>
  <c r="W24" i="3"/>
  <c r="X24" i="3"/>
  <c r="Y24" i="3"/>
  <c r="Z24" i="3"/>
  <c r="AA24" i="3"/>
  <c r="AB24" i="3"/>
  <c r="AC24" i="3"/>
  <c r="AD24" i="3"/>
  <c r="U25" i="3"/>
  <c r="V25" i="3"/>
  <c r="W25" i="3"/>
  <c r="X25" i="3"/>
  <c r="Y25" i="3"/>
  <c r="Z25" i="3"/>
  <c r="AA25" i="3"/>
  <c r="AB25" i="3"/>
  <c r="AC25" i="3"/>
  <c r="AD25" i="3"/>
  <c r="U26" i="3"/>
  <c r="V26" i="3"/>
  <c r="W26" i="3"/>
  <c r="X26" i="3"/>
  <c r="Y26" i="3"/>
  <c r="Z26" i="3"/>
  <c r="AA26" i="3"/>
  <c r="AB26" i="3"/>
  <c r="AC26" i="3"/>
  <c r="AD26" i="3"/>
  <c r="U27" i="3"/>
  <c r="V27" i="3"/>
  <c r="W27" i="3"/>
  <c r="X27" i="3"/>
  <c r="Y27" i="3"/>
  <c r="Z27" i="3"/>
  <c r="AA27" i="3"/>
  <c r="AB27" i="3"/>
  <c r="AC27" i="3"/>
  <c r="AD27" i="3"/>
  <c r="U28" i="3"/>
  <c r="V28" i="3"/>
  <c r="W28" i="3"/>
  <c r="X28" i="3"/>
  <c r="Y28" i="3"/>
  <c r="Z28" i="3"/>
  <c r="AA28" i="3"/>
  <c r="AB28" i="3"/>
  <c r="AC28" i="3"/>
  <c r="AD28" i="3"/>
  <c r="U29" i="3"/>
  <c r="V29" i="3"/>
  <c r="W29" i="3"/>
  <c r="X29" i="3"/>
  <c r="Y29" i="3"/>
  <c r="Z29" i="3"/>
  <c r="AA29" i="3"/>
  <c r="AB29" i="3"/>
  <c r="AC29" i="3"/>
  <c r="AD29" i="3"/>
  <c r="U30" i="3"/>
  <c r="V30" i="3"/>
  <c r="W30" i="3"/>
  <c r="X30" i="3"/>
  <c r="Y30" i="3"/>
  <c r="Z30" i="3"/>
  <c r="AA30" i="3"/>
  <c r="AB30" i="3"/>
  <c r="AC30" i="3"/>
  <c r="AD30" i="3"/>
  <c r="U31" i="3"/>
  <c r="V31" i="3"/>
  <c r="W31" i="3"/>
  <c r="X31" i="3"/>
  <c r="Y31" i="3"/>
  <c r="Z31" i="3"/>
  <c r="AA31" i="3"/>
  <c r="AB31" i="3"/>
  <c r="AC31" i="3"/>
  <c r="AD31" i="3"/>
  <c r="U32" i="3"/>
  <c r="V32" i="3"/>
  <c r="W32" i="3"/>
  <c r="X32" i="3"/>
  <c r="Y32" i="3"/>
  <c r="Z32" i="3"/>
  <c r="AA32" i="3"/>
  <c r="AB32" i="3"/>
  <c r="AC32" i="3"/>
  <c r="AD32" i="3"/>
  <c r="U33" i="3"/>
  <c r="V33" i="3"/>
  <c r="W33" i="3"/>
  <c r="X33" i="3"/>
  <c r="Y33" i="3"/>
  <c r="Z33" i="3"/>
  <c r="AA33" i="3"/>
  <c r="AB33" i="3"/>
  <c r="AC33" i="3"/>
  <c r="AD33" i="3"/>
  <c r="U34" i="3"/>
  <c r="V34" i="3"/>
  <c r="W34" i="3"/>
  <c r="X34" i="3"/>
  <c r="Y34" i="3"/>
  <c r="Z34" i="3"/>
  <c r="AA34" i="3"/>
  <c r="AB34" i="3"/>
  <c r="AC34" i="3"/>
  <c r="AD34" i="3"/>
  <c r="U35" i="3"/>
  <c r="V35" i="3"/>
  <c r="W35" i="3"/>
  <c r="X35" i="3"/>
  <c r="Y35" i="3"/>
  <c r="Z35" i="3"/>
  <c r="AA35" i="3"/>
  <c r="AB35" i="3"/>
  <c r="AC35" i="3"/>
  <c r="AD35" i="3"/>
  <c r="U36" i="3"/>
  <c r="V36" i="3"/>
  <c r="W36" i="3"/>
  <c r="X36" i="3"/>
  <c r="Y36" i="3"/>
  <c r="Z36" i="3"/>
  <c r="AA36" i="3"/>
  <c r="AB36" i="3"/>
  <c r="AC36" i="3"/>
  <c r="AD36" i="3"/>
  <c r="U37" i="3"/>
  <c r="V37" i="3"/>
  <c r="W37" i="3"/>
  <c r="X37" i="3"/>
  <c r="Y37" i="3"/>
  <c r="Z37" i="3"/>
  <c r="AA37" i="3"/>
  <c r="AB37" i="3"/>
  <c r="AC37" i="3"/>
  <c r="AD37" i="3"/>
  <c r="U38" i="3"/>
  <c r="V38" i="3"/>
  <c r="W38" i="3"/>
  <c r="X38" i="3"/>
  <c r="Y38" i="3"/>
  <c r="Z38" i="3"/>
  <c r="AA38" i="3"/>
  <c r="AB38" i="3"/>
  <c r="AC38" i="3"/>
  <c r="AD38" i="3"/>
  <c r="U39" i="3"/>
  <c r="V39" i="3"/>
  <c r="W39" i="3"/>
  <c r="X39" i="3"/>
  <c r="Y39" i="3"/>
  <c r="Z39" i="3"/>
  <c r="AA39" i="3"/>
  <c r="AB39" i="3"/>
  <c r="AC39" i="3"/>
  <c r="AD39" i="3"/>
  <c r="U40" i="3"/>
  <c r="V40" i="3"/>
  <c r="W40" i="3"/>
  <c r="X40" i="3"/>
  <c r="Y40" i="3"/>
  <c r="Z40" i="3"/>
  <c r="AA40" i="3"/>
  <c r="AB40" i="3"/>
  <c r="AC40" i="3"/>
  <c r="AD40" i="3"/>
  <c r="U41" i="3"/>
  <c r="V41" i="3"/>
  <c r="W41" i="3"/>
  <c r="X41" i="3"/>
  <c r="Y41" i="3"/>
  <c r="Z41" i="3"/>
  <c r="AA41" i="3"/>
  <c r="AB41" i="3"/>
  <c r="AC41" i="3"/>
  <c r="AD41" i="3"/>
  <c r="U42" i="3"/>
  <c r="V42" i="3"/>
  <c r="W42" i="3"/>
  <c r="X42" i="3"/>
  <c r="Y42" i="3"/>
  <c r="Z42" i="3"/>
  <c r="AA42" i="3"/>
  <c r="AB42" i="3"/>
  <c r="AC42" i="3"/>
  <c r="AD42" i="3"/>
  <c r="U43" i="3"/>
  <c r="V43" i="3"/>
  <c r="W43" i="3"/>
  <c r="X43" i="3"/>
  <c r="Y43" i="3"/>
  <c r="Z43" i="3"/>
  <c r="AA43" i="3"/>
  <c r="AB43" i="3"/>
  <c r="AC43" i="3"/>
  <c r="AD43" i="3"/>
  <c r="U44" i="3"/>
  <c r="V44" i="3"/>
  <c r="W44" i="3"/>
  <c r="X44" i="3"/>
  <c r="Y44" i="3"/>
  <c r="Z44" i="3"/>
  <c r="AA44" i="3"/>
  <c r="AB44" i="3"/>
  <c r="AC44" i="3"/>
  <c r="AD44" i="3"/>
  <c r="U45" i="3"/>
  <c r="V45" i="3"/>
  <c r="W45" i="3"/>
  <c r="X45" i="3"/>
  <c r="Y45" i="3"/>
  <c r="Z45" i="3"/>
  <c r="AA45" i="3"/>
  <c r="AB45" i="3"/>
  <c r="AC45" i="3"/>
  <c r="AD45" i="3"/>
  <c r="U46" i="3"/>
  <c r="V46" i="3"/>
  <c r="W46" i="3"/>
  <c r="X46" i="3"/>
  <c r="Y46" i="3"/>
  <c r="Z46" i="3"/>
  <c r="AA46" i="3"/>
  <c r="AB46" i="3"/>
  <c r="AC46" i="3"/>
  <c r="AD46" i="3"/>
  <c r="U47" i="3"/>
  <c r="V47" i="3"/>
  <c r="W47" i="3"/>
  <c r="X47" i="3"/>
  <c r="Y47" i="3"/>
  <c r="Z47" i="3"/>
  <c r="AA47" i="3"/>
  <c r="AB47" i="3"/>
  <c r="AC47" i="3"/>
  <c r="AD47" i="3"/>
  <c r="U48" i="3"/>
  <c r="V48" i="3"/>
  <c r="W48" i="3"/>
  <c r="X48" i="3"/>
  <c r="Y48" i="3"/>
  <c r="Z48" i="3"/>
  <c r="AA48" i="3"/>
  <c r="AB48" i="3"/>
  <c r="AC48" i="3"/>
  <c r="AD48" i="3"/>
  <c r="U49" i="3"/>
  <c r="V49" i="3"/>
  <c r="W49" i="3"/>
  <c r="X49" i="3"/>
  <c r="Y49" i="3"/>
  <c r="Z49" i="3"/>
  <c r="AA49" i="3"/>
  <c r="AB49" i="3"/>
  <c r="AC49" i="3"/>
  <c r="AD49" i="3"/>
  <c r="U50" i="3"/>
  <c r="V50" i="3"/>
  <c r="W50" i="3"/>
  <c r="X50" i="3"/>
  <c r="Y50" i="3"/>
  <c r="Z50" i="3"/>
  <c r="AA50" i="3"/>
  <c r="AB50" i="3"/>
  <c r="AC50" i="3"/>
  <c r="AD50" i="3"/>
  <c r="U51" i="3"/>
  <c r="V51" i="3"/>
  <c r="W51" i="3"/>
  <c r="X51" i="3"/>
  <c r="Y51" i="3"/>
  <c r="Z51" i="3"/>
  <c r="AA51" i="3"/>
  <c r="AB51" i="3"/>
  <c r="AC51" i="3"/>
  <c r="AD51" i="3"/>
  <c r="U52" i="3"/>
  <c r="V52" i="3"/>
  <c r="W52" i="3"/>
  <c r="X52" i="3"/>
  <c r="Y52" i="3"/>
  <c r="Z52" i="3"/>
  <c r="AA52" i="3"/>
  <c r="AB52" i="3"/>
  <c r="AC52" i="3"/>
  <c r="AD52" i="3"/>
  <c r="U53" i="3"/>
  <c r="V53" i="3"/>
  <c r="W53" i="3"/>
  <c r="X53" i="3"/>
  <c r="Y53" i="3"/>
  <c r="Z53" i="3"/>
  <c r="AA53" i="3"/>
  <c r="AB53" i="3"/>
  <c r="AC53" i="3"/>
  <c r="AD53" i="3"/>
  <c r="U54" i="3"/>
  <c r="V54" i="3"/>
  <c r="W54" i="3"/>
  <c r="X54" i="3"/>
  <c r="Y54" i="3"/>
  <c r="Z54" i="3"/>
  <c r="AA54" i="3"/>
  <c r="AB54" i="3"/>
  <c r="AC54" i="3"/>
  <c r="AD54" i="3"/>
  <c r="U55" i="3"/>
  <c r="V55" i="3"/>
  <c r="W55" i="3"/>
  <c r="X55" i="3"/>
  <c r="Y55" i="3"/>
  <c r="Z55" i="3"/>
  <c r="AA55" i="3"/>
  <c r="AB55" i="3"/>
  <c r="AC55" i="3"/>
  <c r="AD55" i="3"/>
  <c r="U56" i="3"/>
  <c r="V56" i="3"/>
  <c r="W56" i="3"/>
  <c r="X56" i="3"/>
  <c r="Y56" i="3"/>
  <c r="Z56" i="3"/>
  <c r="AA56" i="3"/>
  <c r="AB56" i="3"/>
  <c r="AC56" i="3"/>
  <c r="AD56" i="3"/>
  <c r="U57" i="3"/>
  <c r="V57" i="3"/>
  <c r="W57" i="3"/>
  <c r="X57" i="3"/>
  <c r="Y57" i="3"/>
  <c r="Z57" i="3"/>
  <c r="AA57" i="3"/>
  <c r="AB57" i="3"/>
  <c r="AC57" i="3"/>
  <c r="AD57" i="3"/>
  <c r="U58" i="3"/>
  <c r="V58" i="3"/>
  <c r="W58" i="3"/>
  <c r="X58" i="3"/>
  <c r="Y58" i="3"/>
  <c r="Z58" i="3"/>
  <c r="AA58" i="3"/>
  <c r="AB58" i="3"/>
  <c r="AC58" i="3"/>
  <c r="AD58" i="3"/>
  <c r="U59" i="3"/>
  <c r="V59" i="3"/>
  <c r="W59" i="3"/>
  <c r="X59" i="3"/>
  <c r="Y59" i="3"/>
  <c r="Z59" i="3"/>
  <c r="AA59" i="3"/>
  <c r="AB59" i="3"/>
  <c r="AC59" i="3"/>
  <c r="AD59" i="3"/>
  <c r="U60" i="3"/>
  <c r="V60" i="3"/>
  <c r="W60" i="3"/>
  <c r="X60" i="3"/>
  <c r="Y60" i="3"/>
  <c r="Z60" i="3"/>
  <c r="AA60" i="3"/>
  <c r="AB60" i="3"/>
  <c r="AC60" i="3"/>
  <c r="AD60" i="3"/>
  <c r="U61" i="3"/>
  <c r="V61" i="3"/>
  <c r="W61" i="3"/>
  <c r="X61" i="3"/>
  <c r="Y61" i="3"/>
  <c r="Z61" i="3"/>
  <c r="AA61" i="3"/>
  <c r="AB61" i="3"/>
  <c r="AC61" i="3"/>
  <c r="AD61" i="3"/>
  <c r="U62" i="3"/>
  <c r="V62" i="3"/>
  <c r="W62" i="3"/>
  <c r="X62" i="3"/>
  <c r="Y62" i="3"/>
  <c r="Z62" i="3"/>
  <c r="AA62" i="3"/>
  <c r="AB62" i="3"/>
  <c r="AC62" i="3"/>
  <c r="AD62" i="3"/>
  <c r="U63" i="3"/>
  <c r="V63" i="3"/>
  <c r="W63" i="3"/>
  <c r="X63" i="3"/>
  <c r="Y63" i="3"/>
  <c r="Z63" i="3"/>
  <c r="AA63" i="3"/>
  <c r="AB63" i="3"/>
  <c r="AC63" i="3"/>
  <c r="AD63" i="3"/>
  <c r="U64" i="3"/>
  <c r="V64" i="3"/>
  <c r="W64" i="3"/>
  <c r="X64" i="3"/>
  <c r="Y64" i="3"/>
  <c r="Z64" i="3"/>
  <c r="AA64" i="3"/>
  <c r="AB64" i="3"/>
  <c r="AC64" i="3"/>
  <c r="AD64" i="3"/>
  <c r="U65" i="3"/>
  <c r="V65" i="3"/>
  <c r="W65" i="3"/>
  <c r="X65" i="3"/>
  <c r="Y65" i="3"/>
  <c r="Z65" i="3"/>
  <c r="AA65" i="3"/>
  <c r="AB65" i="3"/>
  <c r="AC65" i="3"/>
  <c r="AD65" i="3"/>
  <c r="U66" i="3"/>
  <c r="V66" i="3"/>
  <c r="W66" i="3"/>
  <c r="X66" i="3"/>
  <c r="Y66" i="3"/>
  <c r="Z66" i="3"/>
  <c r="AA66" i="3"/>
  <c r="AB66" i="3"/>
  <c r="AC66" i="3"/>
  <c r="AD66" i="3"/>
  <c r="AD19" i="3"/>
  <c r="AC19" i="3"/>
  <c r="AB19" i="3"/>
  <c r="AA19" i="3"/>
  <c r="Z19" i="3"/>
  <c r="Y19" i="3"/>
  <c r="X19" i="3"/>
  <c r="W19" i="3"/>
  <c r="V19" i="3"/>
  <c r="U19" i="3"/>
  <c r="V48" i="1"/>
  <c r="W48" i="1"/>
  <c r="X48" i="1"/>
  <c r="Y48" i="1"/>
  <c r="Z48" i="1"/>
  <c r="AA48" i="1"/>
  <c r="AB48" i="1"/>
  <c r="AC48" i="1"/>
  <c r="AD48" i="1"/>
  <c r="AE48" i="1"/>
  <c r="V49" i="1"/>
  <c r="W49" i="1"/>
  <c r="X49" i="1"/>
  <c r="Y49" i="1"/>
  <c r="Z49" i="1"/>
  <c r="AA49" i="1"/>
  <c r="AB49" i="1"/>
  <c r="AC49" i="1"/>
  <c r="AD49" i="1"/>
  <c r="AE49" i="1"/>
  <c r="V50" i="1"/>
  <c r="W50" i="1"/>
  <c r="X50" i="1"/>
  <c r="Y50" i="1"/>
  <c r="Z50" i="1"/>
  <c r="AA50" i="1"/>
  <c r="AB50" i="1"/>
  <c r="AC50" i="1"/>
  <c r="AD50" i="1"/>
  <c r="AE50" i="1"/>
  <c r="V51" i="1"/>
  <c r="W51" i="1"/>
  <c r="X51" i="1"/>
  <c r="Y51" i="1"/>
  <c r="Z51" i="1"/>
  <c r="AA51" i="1"/>
  <c r="AB51" i="1"/>
  <c r="AC51" i="1"/>
  <c r="AD51" i="1"/>
  <c r="AE51" i="1"/>
  <c r="V52" i="1"/>
  <c r="W52" i="1"/>
  <c r="X52" i="1"/>
  <c r="Y52" i="1"/>
  <c r="Z52" i="1"/>
  <c r="AA52" i="1"/>
  <c r="AB52" i="1"/>
  <c r="AC52" i="1"/>
  <c r="AD52" i="1"/>
  <c r="AE52" i="1"/>
  <c r="V53" i="1"/>
  <c r="W53" i="1"/>
  <c r="X53" i="1"/>
  <c r="Y53" i="1"/>
  <c r="Z53" i="1"/>
  <c r="AA53" i="1"/>
  <c r="AB53" i="1"/>
  <c r="AC53" i="1"/>
  <c r="AD53" i="1"/>
  <c r="AE53" i="1"/>
  <c r="AE47" i="1"/>
  <c r="AD47" i="1"/>
  <c r="AC47" i="1"/>
  <c r="AB47" i="1"/>
  <c r="AA47" i="1"/>
  <c r="Z47" i="1"/>
  <c r="Y47" i="1"/>
  <c r="X47" i="1"/>
  <c r="W47" i="1"/>
  <c r="V47" i="1"/>
  <c r="AE46" i="1"/>
  <c r="AD46" i="1"/>
  <c r="AC46" i="1"/>
  <c r="AB46" i="1"/>
  <c r="AA46" i="1"/>
  <c r="Z46" i="1"/>
  <c r="Y46" i="1"/>
  <c r="X46" i="1"/>
  <c r="W46" i="1"/>
  <c r="V46" i="1"/>
  <c r="AE45" i="1"/>
  <c r="AD45" i="1"/>
  <c r="AC45" i="1"/>
  <c r="AB45" i="1"/>
  <c r="AA45" i="1"/>
  <c r="Z45" i="1"/>
  <c r="Y45" i="1"/>
  <c r="X45" i="1"/>
  <c r="W45" i="1"/>
  <c r="V45" i="1"/>
  <c r="AE44" i="1"/>
  <c r="AD44" i="1"/>
  <c r="AC44" i="1"/>
  <c r="AB44" i="1"/>
  <c r="AA44" i="1"/>
  <c r="Z44" i="1"/>
  <c r="Y44" i="1"/>
  <c r="X44" i="1"/>
  <c r="W44" i="1"/>
  <c r="V44" i="1"/>
  <c r="AE43" i="1"/>
  <c r="AD43" i="1"/>
  <c r="AC43" i="1"/>
  <c r="AB43" i="1"/>
  <c r="AA43" i="1"/>
  <c r="Z43" i="1"/>
  <c r="Y43" i="1"/>
  <c r="X43" i="1"/>
  <c r="W43" i="1"/>
  <c r="V43" i="1"/>
  <c r="AE42" i="1"/>
  <c r="AD42" i="1"/>
  <c r="AC42" i="1"/>
  <c r="AB42" i="1"/>
  <c r="AA42" i="1"/>
  <c r="Z42" i="1"/>
  <c r="Y42" i="1"/>
  <c r="X42" i="1"/>
  <c r="W42" i="1"/>
  <c r="V42" i="1"/>
  <c r="V19" i="1"/>
  <c r="W19" i="1"/>
  <c r="X19" i="1"/>
  <c r="Y19" i="1"/>
  <c r="Z19" i="1"/>
  <c r="AA19" i="1"/>
  <c r="AB19" i="1"/>
  <c r="AC19" i="1"/>
  <c r="AD19" i="1"/>
  <c r="AE19" i="1"/>
  <c r="V20" i="1"/>
  <c r="W20" i="1"/>
  <c r="X20" i="1"/>
  <c r="Y20" i="1"/>
  <c r="Z20" i="1"/>
  <c r="AA20" i="1"/>
  <c r="AB20" i="1"/>
  <c r="AC20" i="1"/>
  <c r="AD20" i="1"/>
  <c r="AE20" i="1"/>
  <c r="V21" i="1"/>
  <c r="W21" i="1"/>
  <c r="X21" i="1"/>
  <c r="Y21" i="1"/>
  <c r="Z21" i="1"/>
  <c r="AA21" i="1"/>
  <c r="AB21" i="1"/>
  <c r="AC21" i="1"/>
  <c r="AD21" i="1"/>
  <c r="AE21" i="1"/>
  <c r="V22" i="1"/>
  <c r="W22" i="1"/>
  <c r="X22" i="1"/>
  <c r="Y22" i="1"/>
  <c r="Z22" i="1"/>
  <c r="AA22" i="1"/>
  <c r="AB22" i="1"/>
  <c r="AC22" i="1"/>
  <c r="AD22" i="1"/>
  <c r="AE22" i="1"/>
  <c r="V23" i="1"/>
  <c r="W23" i="1"/>
  <c r="X23" i="1"/>
  <c r="Y23" i="1"/>
  <c r="Z23" i="1"/>
  <c r="AA23" i="1"/>
  <c r="AB23" i="1"/>
  <c r="AC23" i="1"/>
  <c r="AD23" i="1"/>
  <c r="AE23" i="1"/>
  <c r="W18" i="1"/>
  <c r="X18" i="1"/>
  <c r="Y18" i="1"/>
  <c r="Z18" i="1"/>
  <c r="AA18" i="1"/>
  <c r="AB18" i="1"/>
  <c r="AC18" i="1"/>
  <c r="AD18" i="1"/>
  <c r="AE18" i="1"/>
  <c r="V18" i="1"/>
  <c r="S22" i="3" l="1"/>
  <c r="S20" i="3" l="1"/>
  <c r="S21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76" i="18"/>
  <c r="S77" i="18"/>
  <c r="S78" i="18"/>
  <c r="S79" i="18"/>
  <c r="S80" i="18"/>
  <c r="S81" i="18"/>
  <c r="S82" i="18"/>
  <c r="S83" i="18"/>
  <c r="S84" i="18"/>
  <c r="S85" i="18"/>
  <c r="S86" i="18"/>
  <c r="S87" i="18"/>
  <c r="S88" i="18"/>
  <c r="S89" i="18"/>
  <c r="S90" i="18"/>
  <c r="S91" i="18"/>
  <c r="S92" i="18"/>
  <c r="S93" i="18"/>
  <c r="S94" i="18"/>
  <c r="S95" i="18"/>
  <c r="S96" i="18"/>
  <c r="S97" i="18"/>
  <c r="S98" i="18"/>
  <c r="S99" i="18"/>
  <c r="S100" i="18"/>
  <c r="S101" i="18"/>
  <c r="S102" i="18"/>
  <c r="S103" i="18"/>
  <c r="S104" i="18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75" i="19"/>
  <c r="S19" i="19"/>
  <c r="S75" i="18"/>
  <c r="S19" i="18"/>
  <c r="T19" i="17"/>
  <c r="S20" i="15"/>
  <c r="S75" i="14"/>
  <c r="S19" i="14"/>
  <c r="S75" i="13"/>
  <c r="S19" i="13"/>
  <c r="S75" i="12"/>
  <c r="S19" i="12"/>
  <c r="S69" i="11"/>
  <c r="S19" i="11"/>
  <c r="S74" i="10"/>
  <c r="S19" i="10"/>
  <c r="S75" i="9"/>
  <c r="S19" i="9"/>
  <c r="S75" i="8"/>
  <c r="S19" i="8"/>
  <c r="S75" i="7"/>
  <c r="S19" i="7"/>
  <c r="S75" i="6"/>
  <c r="S19" i="6"/>
  <c r="S75" i="5"/>
  <c r="S19" i="5"/>
  <c r="S59" i="4"/>
  <c r="S19" i="4"/>
  <c r="S19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86" i="3"/>
  <c r="T48" i="1"/>
  <c r="T49" i="1"/>
  <c r="T50" i="1"/>
  <c r="T51" i="1"/>
  <c r="T52" i="1"/>
  <c r="T53" i="1"/>
  <c r="T47" i="1"/>
  <c r="T46" i="1"/>
  <c r="T45" i="1"/>
  <c r="T44" i="1"/>
  <c r="T43" i="1"/>
  <c r="T42" i="1"/>
  <c r="T19" i="1"/>
  <c r="T20" i="1"/>
  <c r="T21" i="1"/>
  <c r="T22" i="1"/>
  <c r="T23" i="1"/>
  <c r="T18" i="1"/>
  <c r="C20" i="21" l="1"/>
  <c r="F3" i="21" s="1"/>
  <c r="B20" i="21"/>
  <c r="E3" i="21" l="1"/>
  <c r="E17" i="21"/>
  <c r="E2" i="21"/>
  <c r="F2" i="21"/>
  <c r="F19" i="21"/>
  <c r="E19" i="21"/>
  <c r="F18" i="21"/>
  <c r="E18" i="21"/>
  <c r="F17" i="21"/>
  <c r="F16" i="21"/>
  <c r="E16" i="21"/>
  <c r="F15" i="21"/>
  <c r="F14" i="21"/>
  <c r="E14" i="21"/>
  <c r="F13" i="21"/>
  <c r="E13" i="21"/>
  <c r="F12" i="21"/>
  <c r="E12" i="21"/>
  <c r="F11" i="21"/>
  <c r="E11" i="21"/>
  <c r="F10" i="21"/>
  <c r="E10" i="21"/>
  <c r="F9" i="21"/>
  <c r="E9" i="21"/>
  <c r="F8" i="21"/>
  <c r="E8" i="21"/>
  <c r="F7" i="21"/>
  <c r="E7" i="21"/>
  <c r="F6" i="21"/>
  <c r="E6" i="21"/>
  <c r="F5" i="21"/>
  <c r="E5" i="21"/>
  <c r="F4" i="21"/>
</calcChain>
</file>

<file path=xl/sharedStrings.xml><?xml version="1.0" encoding="utf-8"?>
<sst xmlns="http://schemas.openxmlformats.org/spreadsheetml/2006/main" count="3886" uniqueCount="110">
  <si>
    <t>Tube#</t>
  </si>
  <si>
    <t>d147</t>
  </si>
  <si>
    <t>d160</t>
  </si>
  <si>
    <t>503TDR.9</t>
  </si>
  <si>
    <t>%v</t>
  </si>
  <si>
    <t>d166</t>
  </si>
  <si>
    <t>d173</t>
  </si>
  <si>
    <t>d180</t>
  </si>
  <si>
    <t>d187</t>
  </si>
  <si>
    <t>d195</t>
  </si>
  <si>
    <t>d201</t>
  </si>
  <si>
    <t>d208</t>
  </si>
  <si>
    <t>d216</t>
  </si>
  <si>
    <t>d222</t>
  </si>
  <si>
    <t>d229</t>
  </si>
  <si>
    <t>d236</t>
  </si>
  <si>
    <t>d244</t>
  </si>
  <si>
    <t>Cotton</t>
  </si>
  <si>
    <t xml:space="preserve"> Field 13A   9/16/2014</t>
  </si>
  <si>
    <t>pcf</t>
  </si>
  <si>
    <t>d257</t>
  </si>
  <si>
    <t>d264</t>
  </si>
  <si>
    <t>d273</t>
  </si>
  <si>
    <t>d280</t>
  </si>
  <si>
    <t>&lt;- Coefficient A &amp; B</t>
  </si>
  <si>
    <t>Probe6114</t>
  </si>
  <si>
    <t>Probe6116</t>
  </si>
  <si>
    <t>SOMEBODY DOWNLOADED AS pcf INSTEAD of %v</t>
  </si>
  <si>
    <t>Tube</t>
  </si>
  <si>
    <t>p03-1</t>
  </si>
  <si>
    <t>p03-2</t>
  </si>
  <si>
    <t>p03-3</t>
  </si>
  <si>
    <t>p03-4</t>
  </si>
  <si>
    <t>p03-5</t>
  </si>
  <si>
    <t>p03-6</t>
  </si>
  <si>
    <t>p07-1</t>
  </si>
  <si>
    <t>p09-6</t>
  </si>
  <si>
    <t>p07-2</t>
  </si>
  <si>
    <t>p08-1</t>
  </si>
  <si>
    <t>p09-2</t>
  </si>
  <si>
    <t>p07-3</t>
  </si>
  <si>
    <t>p07-4</t>
  </si>
  <si>
    <t>p08-4</t>
  </si>
  <si>
    <t>p07-5</t>
  </si>
  <si>
    <t>p07-6</t>
  </si>
  <si>
    <t>p11-1</t>
  </si>
  <si>
    <t>p11-2</t>
  </si>
  <si>
    <t>p11-3</t>
  </si>
  <si>
    <t>p11-4</t>
  </si>
  <si>
    <t>p11-5</t>
  </si>
  <si>
    <t>p11-6</t>
  </si>
  <si>
    <t>p01-1</t>
  </si>
  <si>
    <t>p02-2</t>
  </si>
  <si>
    <t>p05-5</t>
  </si>
  <si>
    <t>p06-6</t>
  </si>
  <si>
    <t>p01-2</t>
  </si>
  <si>
    <t>p01-3</t>
  </si>
  <si>
    <t>p01-4</t>
  </si>
  <si>
    <t>p01-5</t>
  </si>
  <si>
    <t>p01-6</t>
  </si>
  <si>
    <t>p02-6</t>
  </si>
  <si>
    <t>p02-5</t>
  </si>
  <si>
    <t>p02-3</t>
  </si>
  <si>
    <t>p02-4</t>
  </si>
  <si>
    <t>p02-1</t>
  </si>
  <si>
    <t>p04-6</t>
  </si>
  <si>
    <t>p04-5</t>
  </si>
  <si>
    <t>p04-4</t>
  </si>
  <si>
    <t>p04-3</t>
  </si>
  <si>
    <t>p04-2</t>
  </si>
  <si>
    <t>p04-1</t>
  </si>
  <si>
    <t>p05-1</t>
  </si>
  <si>
    <t>p09-1</t>
  </si>
  <si>
    <t>p06-1</t>
  </si>
  <si>
    <t>p05-2</t>
  </si>
  <si>
    <t>p05-3</t>
  </si>
  <si>
    <t>p05-4</t>
  </si>
  <si>
    <t>p05-6</t>
  </si>
  <si>
    <t>p06-5</t>
  </si>
  <si>
    <t>p06-4</t>
  </si>
  <si>
    <t>p06-3</t>
  </si>
  <si>
    <t>p06-2</t>
  </si>
  <si>
    <t>p08-6</t>
  </si>
  <si>
    <t>p08-5</t>
  </si>
  <si>
    <t>p08-3</t>
  </si>
  <si>
    <t>p08-2</t>
  </si>
  <si>
    <t>p09-3</t>
  </si>
  <si>
    <t>p09-4</t>
  </si>
  <si>
    <t>p09-5</t>
  </si>
  <si>
    <t>p10-6</t>
  </si>
  <si>
    <t>p10-5</t>
  </si>
  <si>
    <t>p10-4</t>
  </si>
  <si>
    <t>p10-3</t>
  </si>
  <si>
    <t>p10-2</t>
  </si>
  <si>
    <t>p10-1</t>
  </si>
  <si>
    <t>Year</t>
  </si>
  <si>
    <t>DOY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</si>
  <si>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</si>
  <si>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</si>
  <si>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</si>
  <si>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</si>
  <si>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</si>
  <si>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</si>
  <si>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</si>
  <si>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</si>
  <si>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</si>
  <si>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</si>
  <si>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</si>
  <si>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ISOS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</si>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</sst>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"/>
    <numFmt numFmtId="165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top"/>
    </xf>
    <xf numFmtId="3" fontId="18" fillId="34" borderId="0" applyFont="0" applyFill="0" applyBorder="0" applyAlignment="0" applyProtection="0"/>
    <xf numFmtId="5" fontId="18" fillId="34" borderId="0" applyFont="0" applyFill="0" applyBorder="0" applyAlignment="0" applyProtection="0"/>
    <xf numFmtId="0" fontId="18" fillId="34" borderId="0" applyFont="0" applyFill="0" applyBorder="0" applyAlignment="0" applyProtection="0"/>
    <xf numFmtId="2" fontId="18" fillId="34" borderId="0" applyFont="0" applyFill="0" applyBorder="0" applyAlignment="0" applyProtection="0"/>
    <xf numFmtId="0" fontId="19" fillId="34" borderId="0" applyFont="0" applyFill="0" applyBorder="0" applyAlignment="0" applyProtection="0"/>
    <xf numFmtId="0" fontId="20" fillId="34" borderId="0" applyFont="0" applyFill="0" applyBorder="0" applyAlignment="0" applyProtection="0"/>
    <xf numFmtId="0" fontId="18" fillId="34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33" borderId="0" xfId="0" applyFill="1"/>
    <xf numFmtId="9" fontId="0" fillId="0" borderId="0" xfId="0" applyNumberFormat="1"/>
    <xf numFmtId="165" fontId="0" fillId="0" borderId="0" xfId="0" applyNumberFormat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0" xfId="43" xr:uid="{00000000-0005-0000-0000-00001B000000}"/>
    <cellStyle name="Currency0" xfId="44" xr:uid="{00000000-0005-0000-0000-00001C000000}"/>
    <cellStyle name="Date" xfId="45" xr:uid="{00000000-0005-0000-0000-00001D000000}"/>
    <cellStyle name="Explanatory Text" xfId="16" builtinId="53" customBuiltin="1"/>
    <cellStyle name="Fixed" xfId="46" xr:uid="{00000000-0005-0000-0000-00001F000000}"/>
    <cellStyle name="Good" xfId="6" builtinId="26" customBuiltin="1"/>
    <cellStyle name="Heading 1" xfId="2" builtinId="16" customBuiltin="1"/>
    <cellStyle name="Heading 1 2" xfId="47" xr:uid="{00000000-0005-0000-0000-000022000000}"/>
    <cellStyle name="Heading 2" xfId="3" builtinId="17" customBuiltin="1"/>
    <cellStyle name="Heading 2 2" xfId="48" xr:uid="{00000000-0005-0000-0000-000024000000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B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Total 2" xfId="49" xr:uid="{00000000-0005-0000-0000-000030000000}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3848-694E-4A58-9BEC-AEBAC4A65C43}">
  <dimension ref="A1:N1037"/>
  <sheetViews>
    <sheetView tabSelected="1" workbookViewId="0">
      <selection activeCell="G17" sqref="G17"/>
    </sheetView>
  </sheetViews>
  <sheetFormatPr defaultRowHeight="15" x14ac:dyDescent="0.25"/>
  <sheetData>
    <row r="1" spans="1:14" x14ac:dyDescent="0.25">
      <c r="A1" t="s">
        <v>95</v>
      </c>
      <c r="B1" t="s">
        <v>96</v>
      </c>
      <c r="C1" t="s">
        <v>97</v>
      </c>
      <c r="D1" t="s">
        <v>28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 x14ac:dyDescent="0.25">
      <c r="A2">
        <v>2014</v>
      </c>
      <c r="B2">
        <v>147</v>
      </c>
      <c r="C2" t="s">
        <v>108</v>
      </c>
      <c r="D2" t="s">
        <v>29</v>
      </c>
      <c r="E2" s="5">
        <v>0.20699999999999999</v>
      </c>
      <c r="F2" s="5">
        <v>0.17499999999999999</v>
      </c>
      <c r="G2" s="5">
        <v>0.23</v>
      </c>
      <c r="H2" s="5">
        <v>0.23600000000000002</v>
      </c>
      <c r="I2" s="5">
        <v>0.26800000000000002</v>
      </c>
      <c r="J2" s="5">
        <v>0.27600000000000002</v>
      </c>
      <c r="K2" s="5">
        <v>0.27600000000000002</v>
      </c>
      <c r="L2" s="5">
        <v>0.27899999999999997</v>
      </c>
      <c r="M2" s="5">
        <v>0.23800000000000002</v>
      </c>
      <c r="N2" s="5">
        <v>9.0999999999999998E-2</v>
      </c>
    </row>
    <row r="3" spans="1:14" x14ac:dyDescent="0.25">
      <c r="A3">
        <v>2014</v>
      </c>
      <c r="B3">
        <v>147</v>
      </c>
      <c r="C3" t="s">
        <v>108</v>
      </c>
      <c r="D3" t="s">
        <v>30</v>
      </c>
      <c r="E3" s="5" t="s">
        <v>109</v>
      </c>
      <c r="F3" s="5" t="s">
        <v>109</v>
      </c>
      <c r="G3" s="5" t="s">
        <v>109</v>
      </c>
      <c r="H3" s="5">
        <v>0.27600000000000002</v>
      </c>
      <c r="I3" s="5">
        <v>0.25700000000000001</v>
      </c>
      <c r="J3" s="5">
        <v>0.249</v>
      </c>
      <c r="K3" s="5">
        <v>0.25600000000000001</v>
      </c>
      <c r="L3" s="5">
        <v>0.30199999999999999</v>
      </c>
      <c r="M3" s="5">
        <v>0.23899999999999999</v>
      </c>
      <c r="N3" s="5">
        <v>0.21600000000000003</v>
      </c>
    </row>
    <row r="4" spans="1:14" x14ac:dyDescent="0.25">
      <c r="A4">
        <v>2014</v>
      </c>
      <c r="B4">
        <v>147</v>
      </c>
      <c r="C4" t="s">
        <v>108</v>
      </c>
      <c r="D4" t="s">
        <v>31</v>
      </c>
      <c r="E4" s="5">
        <v>0.17</v>
      </c>
      <c r="F4" s="5">
        <v>0.16899999999999998</v>
      </c>
      <c r="G4" s="5">
        <v>0.17499999999999999</v>
      </c>
      <c r="H4" s="5">
        <v>0.20100000000000001</v>
      </c>
      <c r="I4" s="5">
        <v>0.26</v>
      </c>
      <c r="J4" s="5">
        <v>0.26400000000000001</v>
      </c>
      <c r="K4" s="5">
        <v>0.26300000000000001</v>
      </c>
      <c r="L4" s="5">
        <v>0.23499999999999999</v>
      </c>
      <c r="M4" s="5">
        <v>0.22899999999999998</v>
      </c>
      <c r="N4" s="5">
        <v>0.12</v>
      </c>
    </row>
    <row r="5" spans="1:14" x14ac:dyDescent="0.25">
      <c r="A5">
        <v>2014</v>
      </c>
      <c r="B5">
        <v>147</v>
      </c>
      <c r="C5" t="s">
        <v>108</v>
      </c>
      <c r="D5" t="s">
        <v>32</v>
      </c>
      <c r="E5" s="5" t="s">
        <v>109</v>
      </c>
      <c r="F5" s="5" t="s">
        <v>109</v>
      </c>
      <c r="G5" s="5">
        <v>0.23399999999999999</v>
      </c>
      <c r="H5" s="5">
        <v>0.21299999999999999</v>
      </c>
      <c r="I5" s="5">
        <v>0.223</v>
      </c>
      <c r="J5" s="5">
        <v>0.20399999999999999</v>
      </c>
      <c r="K5" s="5">
        <v>0.18899999999999997</v>
      </c>
      <c r="L5" s="5">
        <v>0.20300000000000001</v>
      </c>
      <c r="M5" s="5">
        <v>0.23800000000000002</v>
      </c>
      <c r="N5" s="5">
        <v>9.5000000000000001E-2</v>
      </c>
    </row>
    <row r="6" spans="1:14" x14ac:dyDescent="0.25">
      <c r="A6">
        <v>2014</v>
      </c>
      <c r="B6">
        <v>147</v>
      </c>
      <c r="C6" t="s">
        <v>108</v>
      </c>
      <c r="D6" t="s">
        <v>33</v>
      </c>
      <c r="E6" s="5" t="s">
        <v>109</v>
      </c>
      <c r="F6" s="5">
        <v>0.19800000000000001</v>
      </c>
      <c r="G6" s="5">
        <v>0.19699999999999998</v>
      </c>
      <c r="H6" s="5">
        <v>0.20399999999999999</v>
      </c>
      <c r="I6" s="5">
        <v>0.24299999999999999</v>
      </c>
      <c r="J6" s="5">
        <v>0.26899999999999996</v>
      </c>
      <c r="K6" s="5">
        <v>0.29199999999999998</v>
      </c>
      <c r="L6" s="5">
        <v>0.252</v>
      </c>
      <c r="M6" s="5">
        <v>0.23499999999999999</v>
      </c>
      <c r="N6" s="5">
        <v>0.124</v>
      </c>
    </row>
    <row r="7" spans="1:14" x14ac:dyDescent="0.25">
      <c r="A7">
        <v>2014</v>
      </c>
      <c r="B7">
        <v>147</v>
      </c>
      <c r="C7" t="s">
        <v>108</v>
      </c>
      <c r="D7" t="s">
        <v>34</v>
      </c>
      <c r="E7" s="5" t="s">
        <v>109</v>
      </c>
      <c r="F7" s="5">
        <v>0.23800000000000002</v>
      </c>
      <c r="G7" s="5">
        <v>0.251</v>
      </c>
      <c r="H7" s="5">
        <v>0.27600000000000002</v>
      </c>
      <c r="I7" s="5">
        <v>0.24399999999999999</v>
      </c>
      <c r="J7" s="5">
        <v>0.25800000000000001</v>
      </c>
      <c r="K7" s="5">
        <v>0.24600000000000002</v>
      </c>
      <c r="L7" s="5">
        <v>0.23199999999999998</v>
      </c>
      <c r="M7" s="5">
        <v>0.20499999999999999</v>
      </c>
      <c r="N7" s="5">
        <v>8.199999999999999E-2</v>
      </c>
    </row>
    <row r="8" spans="1:14" x14ac:dyDescent="0.25">
      <c r="A8">
        <v>2014</v>
      </c>
      <c r="B8">
        <v>147</v>
      </c>
      <c r="C8" t="s">
        <v>108</v>
      </c>
      <c r="D8" t="s">
        <v>35</v>
      </c>
      <c r="E8" s="5" t="s">
        <v>109</v>
      </c>
      <c r="F8" s="5">
        <v>0.24100000000000002</v>
      </c>
      <c r="G8" s="5">
        <v>0.22</v>
      </c>
      <c r="H8" s="5">
        <v>0.19399999999999998</v>
      </c>
      <c r="I8" s="5">
        <v>0.16699999999999998</v>
      </c>
      <c r="J8" s="5">
        <v>0.16899999999999998</v>
      </c>
      <c r="K8" s="5">
        <v>0.16899999999999998</v>
      </c>
      <c r="L8" s="5">
        <v>0.221</v>
      </c>
      <c r="M8" s="5">
        <v>0.22399999999999998</v>
      </c>
      <c r="N8" s="5">
        <v>0.111</v>
      </c>
    </row>
    <row r="9" spans="1:14" x14ac:dyDescent="0.25">
      <c r="A9">
        <v>2014</v>
      </c>
      <c r="B9">
        <v>147</v>
      </c>
      <c r="C9" t="s">
        <v>108</v>
      </c>
      <c r="D9" t="s">
        <v>37</v>
      </c>
      <c r="E9" s="5" t="s">
        <v>109</v>
      </c>
      <c r="F9" s="5">
        <v>0.251</v>
      </c>
      <c r="G9" s="5">
        <v>0.252</v>
      </c>
      <c r="H9" s="5">
        <v>0.248</v>
      </c>
      <c r="I9" s="5">
        <v>0.24199999999999999</v>
      </c>
      <c r="J9" s="5">
        <v>0.253</v>
      </c>
      <c r="K9" s="5">
        <v>0.22500000000000001</v>
      </c>
      <c r="L9" s="5">
        <v>0.20499999999999999</v>
      </c>
      <c r="M9" s="5">
        <v>0.23</v>
      </c>
      <c r="N9" s="5">
        <v>0.13100000000000001</v>
      </c>
    </row>
    <row r="10" spans="1:14" x14ac:dyDescent="0.25">
      <c r="A10">
        <v>2014</v>
      </c>
      <c r="B10">
        <v>147</v>
      </c>
      <c r="C10" t="s">
        <v>108</v>
      </c>
      <c r="D10" t="s">
        <v>40</v>
      </c>
      <c r="E10" s="5" t="s">
        <v>109</v>
      </c>
      <c r="F10" s="5" t="s">
        <v>109</v>
      </c>
      <c r="G10" s="5" t="s">
        <v>109</v>
      </c>
      <c r="H10" s="5">
        <v>0.22899999999999998</v>
      </c>
      <c r="I10" s="5">
        <v>0.22500000000000001</v>
      </c>
      <c r="J10" s="5">
        <v>0.20699999999999999</v>
      </c>
      <c r="K10" s="5">
        <v>0.185</v>
      </c>
      <c r="L10" s="5">
        <v>0.188</v>
      </c>
      <c r="M10" s="5">
        <v>0.23300000000000001</v>
      </c>
      <c r="N10" s="5">
        <v>0.10199999999999999</v>
      </c>
    </row>
    <row r="11" spans="1:14" x14ac:dyDescent="0.25">
      <c r="A11">
        <v>2014</v>
      </c>
      <c r="B11">
        <v>147</v>
      </c>
      <c r="C11" t="s">
        <v>108</v>
      </c>
      <c r="D11" t="s">
        <v>41</v>
      </c>
      <c r="E11" s="5" t="s">
        <v>109</v>
      </c>
      <c r="F11" s="5">
        <v>0.26200000000000001</v>
      </c>
      <c r="G11" s="5">
        <v>0.252</v>
      </c>
      <c r="H11" s="5">
        <v>0.20800000000000002</v>
      </c>
      <c r="I11" s="5">
        <v>0.20199999999999999</v>
      </c>
      <c r="J11" s="5">
        <v>0.21899999999999997</v>
      </c>
      <c r="K11" s="5">
        <v>0.247</v>
      </c>
      <c r="L11" s="5">
        <v>0.22899999999999998</v>
      </c>
      <c r="M11" s="5">
        <v>0.20800000000000002</v>
      </c>
      <c r="N11" s="5">
        <v>0.121</v>
      </c>
    </row>
    <row r="12" spans="1:14" x14ac:dyDescent="0.25">
      <c r="A12">
        <v>2014</v>
      </c>
      <c r="B12">
        <v>147</v>
      </c>
      <c r="C12" t="s">
        <v>108</v>
      </c>
      <c r="D12" t="s">
        <v>43</v>
      </c>
      <c r="E12" s="5" t="s">
        <v>109</v>
      </c>
      <c r="F12" s="5">
        <v>0.23600000000000002</v>
      </c>
      <c r="G12" s="5">
        <v>0.18600000000000003</v>
      </c>
      <c r="H12" s="5">
        <v>0.18600000000000003</v>
      </c>
      <c r="I12" s="5">
        <v>0.17300000000000001</v>
      </c>
      <c r="J12" s="5">
        <v>0.17199999999999999</v>
      </c>
      <c r="K12" s="5">
        <v>0.16200000000000001</v>
      </c>
      <c r="L12" s="5">
        <v>0.16600000000000001</v>
      </c>
      <c r="M12" s="5">
        <v>0.2</v>
      </c>
      <c r="N12" s="5">
        <v>0.11</v>
      </c>
    </row>
    <row r="13" spans="1:14" x14ac:dyDescent="0.25">
      <c r="A13">
        <v>2014</v>
      </c>
      <c r="B13">
        <v>147</v>
      </c>
      <c r="C13" t="s">
        <v>108</v>
      </c>
      <c r="D13" t="s">
        <v>44</v>
      </c>
      <c r="E13" s="5" t="s">
        <v>109</v>
      </c>
      <c r="F13" s="5">
        <v>0.20300000000000001</v>
      </c>
      <c r="G13" s="5">
        <v>0.18100000000000002</v>
      </c>
      <c r="H13" s="5">
        <v>0.16500000000000001</v>
      </c>
      <c r="I13" s="5">
        <v>0.14699999999999999</v>
      </c>
      <c r="J13" s="5">
        <v>0.13600000000000001</v>
      </c>
      <c r="K13" s="5">
        <v>0.13600000000000001</v>
      </c>
      <c r="L13" s="5">
        <v>0.14599999999999999</v>
      </c>
      <c r="M13" s="5">
        <v>0.191</v>
      </c>
      <c r="N13" s="5">
        <v>0.105</v>
      </c>
    </row>
    <row r="14" spans="1:14" x14ac:dyDescent="0.25">
      <c r="A14">
        <v>2014</v>
      </c>
      <c r="B14">
        <v>147</v>
      </c>
      <c r="C14" t="s">
        <v>108</v>
      </c>
      <c r="D14" t="s">
        <v>45</v>
      </c>
      <c r="E14" s="5" t="s">
        <v>109</v>
      </c>
      <c r="F14" s="5">
        <v>0.23899999999999999</v>
      </c>
      <c r="G14" s="5">
        <v>0.23300000000000001</v>
      </c>
      <c r="H14" s="5">
        <v>0.24600000000000002</v>
      </c>
      <c r="I14" s="5">
        <v>0.22899999999999998</v>
      </c>
      <c r="J14" s="5">
        <v>0.185</v>
      </c>
      <c r="K14" s="5">
        <v>0.17499999999999999</v>
      </c>
      <c r="L14" s="5">
        <v>0.19</v>
      </c>
      <c r="M14" s="5">
        <v>0.22500000000000001</v>
      </c>
      <c r="N14" s="5">
        <v>9.8000000000000004E-2</v>
      </c>
    </row>
    <row r="15" spans="1:14" x14ac:dyDescent="0.25">
      <c r="A15">
        <v>2014</v>
      </c>
      <c r="B15">
        <v>147</v>
      </c>
      <c r="C15" t="s">
        <v>108</v>
      </c>
      <c r="D15" t="s">
        <v>46</v>
      </c>
      <c r="E15" s="5" t="s">
        <v>109</v>
      </c>
      <c r="F15" s="5" t="s">
        <v>109</v>
      </c>
      <c r="G15" s="5">
        <v>0.253</v>
      </c>
      <c r="H15" s="5">
        <v>0.25800000000000001</v>
      </c>
      <c r="I15" s="5">
        <v>0.247</v>
      </c>
      <c r="J15" s="5">
        <v>0.22899999999999998</v>
      </c>
      <c r="K15" s="5">
        <v>0.24199999999999999</v>
      </c>
      <c r="L15" s="5">
        <v>0.24299999999999999</v>
      </c>
      <c r="M15" s="5">
        <v>0.23100000000000001</v>
      </c>
      <c r="N15" s="5">
        <v>0.10300000000000001</v>
      </c>
    </row>
    <row r="16" spans="1:14" x14ac:dyDescent="0.25">
      <c r="A16">
        <v>2014</v>
      </c>
      <c r="B16">
        <v>147</v>
      </c>
      <c r="C16" t="s">
        <v>108</v>
      </c>
      <c r="D16" t="s">
        <v>47</v>
      </c>
      <c r="E16" s="5" t="s">
        <v>109</v>
      </c>
      <c r="F16" s="5" t="s">
        <v>109</v>
      </c>
      <c r="G16" s="5">
        <v>0.22699999999999998</v>
      </c>
      <c r="H16" s="5">
        <v>0.22800000000000001</v>
      </c>
      <c r="I16" s="5">
        <v>0.21299999999999999</v>
      </c>
      <c r="J16" s="5">
        <v>0.20399999999999999</v>
      </c>
      <c r="K16" s="5">
        <v>0.184</v>
      </c>
      <c r="L16" s="5">
        <v>0.24299999999999999</v>
      </c>
      <c r="M16" s="5">
        <v>0.23300000000000001</v>
      </c>
      <c r="N16" s="5">
        <v>0.13100000000000001</v>
      </c>
    </row>
    <row r="17" spans="1:14" x14ac:dyDescent="0.25">
      <c r="A17">
        <v>2014</v>
      </c>
      <c r="B17">
        <v>147</v>
      </c>
      <c r="C17" t="s">
        <v>108</v>
      </c>
      <c r="D17" t="s">
        <v>48</v>
      </c>
      <c r="E17" s="5" t="s">
        <v>109</v>
      </c>
      <c r="F17" s="5">
        <v>0.154</v>
      </c>
      <c r="G17" s="5">
        <v>0.13100000000000001</v>
      </c>
      <c r="H17" s="5">
        <v>0.127</v>
      </c>
      <c r="I17" s="5">
        <v>0.114</v>
      </c>
      <c r="J17" s="5">
        <v>0.115</v>
      </c>
      <c r="K17" s="5">
        <v>0.13400000000000001</v>
      </c>
      <c r="L17" s="5">
        <v>0.19800000000000001</v>
      </c>
      <c r="M17" s="5">
        <v>0.22399999999999998</v>
      </c>
      <c r="N17" s="5">
        <v>0.115</v>
      </c>
    </row>
    <row r="18" spans="1:14" x14ac:dyDescent="0.25">
      <c r="A18">
        <v>2014</v>
      </c>
      <c r="B18">
        <v>147</v>
      </c>
      <c r="C18" t="s">
        <v>108</v>
      </c>
      <c r="D18" t="s">
        <v>49</v>
      </c>
      <c r="E18" s="5" t="s">
        <v>109</v>
      </c>
      <c r="F18" s="5" t="s">
        <v>109</v>
      </c>
      <c r="G18" s="5">
        <v>0.24600000000000002</v>
      </c>
      <c r="H18" s="5">
        <v>0.24199999999999999</v>
      </c>
      <c r="I18" s="5">
        <v>0.23100000000000001</v>
      </c>
      <c r="J18" s="5">
        <v>0.20800000000000002</v>
      </c>
      <c r="K18" s="5">
        <v>0.157</v>
      </c>
      <c r="L18" s="5">
        <v>0.185</v>
      </c>
      <c r="M18" s="5">
        <v>0.21299999999999999</v>
      </c>
      <c r="N18" s="5">
        <v>0.11</v>
      </c>
    </row>
    <row r="19" spans="1:14" x14ac:dyDescent="0.25">
      <c r="A19">
        <v>2014</v>
      </c>
      <c r="B19">
        <v>147</v>
      </c>
      <c r="C19" t="s">
        <v>108</v>
      </c>
      <c r="D19" t="s">
        <v>50</v>
      </c>
      <c r="E19" s="5" t="s">
        <v>109</v>
      </c>
      <c r="F19" s="5" t="s">
        <v>109</v>
      </c>
      <c r="G19" s="5">
        <v>0.20899999999999999</v>
      </c>
      <c r="H19" s="5">
        <v>0.183</v>
      </c>
      <c r="I19" s="5">
        <v>0.16399999999999998</v>
      </c>
      <c r="J19" s="5">
        <v>0.16800000000000001</v>
      </c>
      <c r="K19" s="5">
        <v>0.17199999999999999</v>
      </c>
      <c r="L19" s="5">
        <v>0.19699999999999998</v>
      </c>
      <c r="M19" s="5">
        <v>0.21199999999999999</v>
      </c>
      <c r="N19" s="5">
        <v>0.13</v>
      </c>
    </row>
    <row r="20" spans="1:14" x14ac:dyDescent="0.25">
      <c r="A20">
        <v>2014</v>
      </c>
      <c r="B20">
        <v>160</v>
      </c>
      <c r="C20" t="s">
        <v>108</v>
      </c>
      <c r="D20" t="s">
        <v>51</v>
      </c>
      <c r="E20" s="5">
        <v>0.13100000000000001</v>
      </c>
      <c r="F20" s="5">
        <v>0.154</v>
      </c>
      <c r="G20" s="5">
        <v>0.16300000000000001</v>
      </c>
      <c r="H20" s="5">
        <v>0.185</v>
      </c>
      <c r="I20" s="5">
        <v>0.20399999999999999</v>
      </c>
      <c r="J20" s="5">
        <v>0.21899999999999997</v>
      </c>
      <c r="K20" s="5">
        <v>0.23899999999999999</v>
      </c>
      <c r="L20" s="5">
        <v>0.23800000000000002</v>
      </c>
      <c r="M20" s="5">
        <v>0.22399999999999998</v>
      </c>
      <c r="N20" s="5">
        <v>0.125</v>
      </c>
    </row>
    <row r="21" spans="1:14" x14ac:dyDescent="0.25">
      <c r="A21">
        <v>2014</v>
      </c>
      <c r="B21">
        <v>160</v>
      </c>
      <c r="C21" t="s">
        <v>108</v>
      </c>
      <c r="D21" t="s">
        <v>55</v>
      </c>
      <c r="E21" s="5">
        <v>0.223</v>
      </c>
      <c r="F21" s="5">
        <v>0.15</v>
      </c>
      <c r="G21" s="5">
        <v>0.13500000000000001</v>
      </c>
      <c r="H21" s="5">
        <v>0.17800000000000002</v>
      </c>
      <c r="I21" s="5">
        <v>0.18600000000000003</v>
      </c>
      <c r="J21" s="5">
        <v>0.20100000000000001</v>
      </c>
      <c r="K21" s="5">
        <v>0.248</v>
      </c>
      <c r="L21" s="5">
        <v>0.26</v>
      </c>
      <c r="M21" s="5">
        <v>0.20199999999999999</v>
      </c>
      <c r="N21" s="5">
        <v>0.111</v>
      </c>
    </row>
    <row r="22" spans="1:14" x14ac:dyDescent="0.25">
      <c r="A22">
        <v>2014</v>
      </c>
      <c r="B22">
        <v>160</v>
      </c>
      <c r="C22" t="s">
        <v>108</v>
      </c>
      <c r="D22" t="s">
        <v>56</v>
      </c>
      <c r="E22" s="5">
        <v>0.13100000000000001</v>
      </c>
      <c r="F22" s="5">
        <v>0.188</v>
      </c>
      <c r="G22" s="5">
        <v>0.21199999999999999</v>
      </c>
      <c r="H22" s="5">
        <v>0.22500000000000001</v>
      </c>
      <c r="I22" s="5">
        <v>0.22600000000000001</v>
      </c>
      <c r="J22" s="5">
        <v>0.21199999999999999</v>
      </c>
      <c r="K22" s="5">
        <v>0.20899999999999999</v>
      </c>
      <c r="L22" s="5">
        <v>0.251</v>
      </c>
      <c r="M22" s="5">
        <v>0.24600000000000002</v>
      </c>
      <c r="N22" s="5">
        <v>0.128</v>
      </c>
    </row>
    <row r="23" spans="1:14" x14ac:dyDescent="0.25">
      <c r="A23">
        <v>2014</v>
      </c>
      <c r="B23">
        <v>160</v>
      </c>
      <c r="C23" t="s">
        <v>108</v>
      </c>
      <c r="D23" t="s">
        <v>57</v>
      </c>
      <c r="E23" s="5">
        <v>0.13800000000000001</v>
      </c>
      <c r="F23" s="5">
        <v>0.14199999999999999</v>
      </c>
      <c r="G23" s="5">
        <v>0.17100000000000001</v>
      </c>
      <c r="H23" s="5">
        <v>0.19600000000000001</v>
      </c>
      <c r="I23" s="5">
        <v>0.19899999999999998</v>
      </c>
      <c r="J23" s="5">
        <v>0.222</v>
      </c>
      <c r="K23" s="5">
        <v>0.23300000000000001</v>
      </c>
      <c r="L23" s="5">
        <v>0.22699999999999998</v>
      </c>
      <c r="M23" s="5">
        <v>0.22600000000000001</v>
      </c>
      <c r="N23" s="5">
        <v>0.13500000000000001</v>
      </c>
    </row>
    <row r="24" spans="1:14" x14ac:dyDescent="0.25">
      <c r="A24">
        <v>2014</v>
      </c>
      <c r="B24">
        <v>160</v>
      </c>
      <c r="C24" t="s">
        <v>108</v>
      </c>
      <c r="D24" t="s">
        <v>58</v>
      </c>
      <c r="E24" s="5" t="s">
        <v>109</v>
      </c>
      <c r="F24" s="5" t="s">
        <v>109</v>
      </c>
      <c r="G24" s="5">
        <v>0.20499999999999999</v>
      </c>
      <c r="H24" s="5">
        <v>0.24</v>
      </c>
      <c r="I24" s="5">
        <v>0.217</v>
      </c>
      <c r="J24" s="5">
        <v>0.22699999999999998</v>
      </c>
      <c r="K24" s="5">
        <v>0.253</v>
      </c>
      <c r="L24" s="5">
        <v>0.27300000000000002</v>
      </c>
      <c r="M24" s="5">
        <v>0.26300000000000001</v>
      </c>
      <c r="N24" s="5">
        <v>0.17699999999999999</v>
      </c>
    </row>
    <row r="25" spans="1:14" x14ac:dyDescent="0.25">
      <c r="A25">
        <v>2014</v>
      </c>
      <c r="B25">
        <v>160</v>
      </c>
      <c r="C25" t="s">
        <v>108</v>
      </c>
      <c r="D25" t="s">
        <v>59</v>
      </c>
      <c r="E25" s="5">
        <v>0.20800000000000002</v>
      </c>
      <c r="F25" s="5">
        <v>0.20100000000000001</v>
      </c>
      <c r="G25" s="5">
        <v>0.20699999999999999</v>
      </c>
      <c r="H25" s="5">
        <v>0.22</v>
      </c>
      <c r="I25" s="5">
        <v>0.218</v>
      </c>
      <c r="J25" s="5">
        <v>0.22600000000000001</v>
      </c>
      <c r="K25" s="5">
        <v>0.23199999999999998</v>
      </c>
      <c r="L25" s="5">
        <v>0.28699999999999998</v>
      </c>
      <c r="M25" s="5">
        <v>0.24299999999999999</v>
      </c>
      <c r="N25" s="5">
        <v>0.14400000000000002</v>
      </c>
    </row>
    <row r="26" spans="1:14" x14ac:dyDescent="0.25">
      <c r="A26">
        <v>2014</v>
      </c>
      <c r="B26">
        <v>160</v>
      </c>
      <c r="C26" t="s">
        <v>108</v>
      </c>
      <c r="D26" t="s">
        <v>64</v>
      </c>
      <c r="E26" s="5">
        <v>0.23199999999999998</v>
      </c>
      <c r="F26" s="5">
        <v>0.14899999999999999</v>
      </c>
      <c r="G26" s="5">
        <v>0.18899999999999997</v>
      </c>
      <c r="H26" s="5">
        <v>0.27</v>
      </c>
      <c r="I26" s="5">
        <v>0.253</v>
      </c>
      <c r="J26" s="5">
        <v>0.25800000000000001</v>
      </c>
      <c r="K26" s="5">
        <v>0.28399999999999997</v>
      </c>
      <c r="L26" s="5">
        <v>0.255</v>
      </c>
      <c r="M26" s="5">
        <v>0.23300000000000001</v>
      </c>
      <c r="N26" s="5">
        <v>0.159</v>
      </c>
    </row>
    <row r="27" spans="1:14" x14ac:dyDescent="0.25">
      <c r="A27">
        <v>2014</v>
      </c>
      <c r="B27">
        <v>160</v>
      </c>
      <c r="C27" t="s">
        <v>108</v>
      </c>
      <c r="D27" t="s">
        <v>52</v>
      </c>
      <c r="E27" s="5">
        <v>0.157</v>
      </c>
      <c r="F27" s="5">
        <v>0.18</v>
      </c>
      <c r="G27" s="5">
        <v>0.19899999999999998</v>
      </c>
      <c r="H27" s="5">
        <v>0.22699999999999998</v>
      </c>
      <c r="I27" s="5">
        <v>0.26600000000000001</v>
      </c>
      <c r="J27" s="5">
        <v>0.29299999999999998</v>
      </c>
      <c r="K27" s="5">
        <v>0.314</v>
      </c>
      <c r="L27" s="5">
        <v>0.317</v>
      </c>
      <c r="M27" s="5">
        <v>0.26</v>
      </c>
      <c r="N27" s="5">
        <v>0.187</v>
      </c>
    </row>
    <row r="28" spans="1:14" x14ac:dyDescent="0.25">
      <c r="A28">
        <v>2014</v>
      </c>
      <c r="B28">
        <v>160</v>
      </c>
      <c r="C28" t="s">
        <v>108</v>
      </c>
      <c r="D28" t="s">
        <v>62</v>
      </c>
      <c r="E28" s="5">
        <v>0.17</v>
      </c>
      <c r="F28" s="5">
        <v>0.15</v>
      </c>
      <c r="G28" s="5">
        <v>0.16399999999999998</v>
      </c>
      <c r="H28" s="5">
        <v>0.19399999999999998</v>
      </c>
      <c r="I28" s="5">
        <v>0.22600000000000001</v>
      </c>
      <c r="J28" s="5">
        <v>0.22500000000000001</v>
      </c>
      <c r="K28" s="5">
        <v>0.22399999999999998</v>
      </c>
      <c r="L28" s="5">
        <v>0.25</v>
      </c>
      <c r="M28" s="5">
        <v>0.24199999999999999</v>
      </c>
      <c r="N28" s="5">
        <v>0.16300000000000001</v>
      </c>
    </row>
    <row r="29" spans="1:14" x14ac:dyDescent="0.25">
      <c r="A29">
        <v>2014</v>
      </c>
      <c r="B29">
        <v>160</v>
      </c>
      <c r="C29" t="s">
        <v>108</v>
      </c>
      <c r="D29" t="s">
        <v>63</v>
      </c>
      <c r="E29" s="5">
        <v>0.18100000000000002</v>
      </c>
      <c r="F29" s="5">
        <v>0.16899999999999998</v>
      </c>
      <c r="G29" s="5">
        <v>0.17899999999999999</v>
      </c>
      <c r="H29" s="5">
        <v>0.22600000000000001</v>
      </c>
      <c r="I29" s="5">
        <v>0.254</v>
      </c>
      <c r="J29" s="5">
        <v>0.26800000000000002</v>
      </c>
      <c r="K29" s="5">
        <v>0.29199999999999998</v>
      </c>
      <c r="L29" s="5">
        <v>0.245</v>
      </c>
      <c r="M29" s="5">
        <v>0.23899999999999999</v>
      </c>
      <c r="N29" s="5">
        <v>0.16699999999999998</v>
      </c>
    </row>
    <row r="30" spans="1:14" x14ac:dyDescent="0.25">
      <c r="A30">
        <v>2014</v>
      </c>
      <c r="B30">
        <v>160</v>
      </c>
      <c r="C30" t="s">
        <v>108</v>
      </c>
      <c r="D30" t="s">
        <v>61</v>
      </c>
      <c r="E30" s="5" t="s">
        <v>109</v>
      </c>
      <c r="F30" s="5">
        <v>0.32600000000000001</v>
      </c>
      <c r="G30" s="5">
        <v>0.254</v>
      </c>
      <c r="H30" s="5">
        <v>0.20899999999999999</v>
      </c>
      <c r="I30" s="5">
        <v>0.22500000000000001</v>
      </c>
      <c r="J30" s="5">
        <v>0.23</v>
      </c>
      <c r="K30" s="5">
        <v>0.24600000000000002</v>
      </c>
      <c r="L30" s="5">
        <v>0.29899999999999999</v>
      </c>
      <c r="M30" s="5">
        <v>0.27399999999999997</v>
      </c>
      <c r="N30" s="5">
        <v>0.182</v>
      </c>
    </row>
    <row r="31" spans="1:14" x14ac:dyDescent="0.25">
      <c r="A31">
        <v>2014</v>
      </c>
      <c r="B31">
        <v>160</v>
      </c>
      <c r="C31" t="s">
        <v>108</v>
      </c>
      <c r="D31" t="s">
        <v>60</v>
      </c>
      <c r="E31" s="5" t="s">
        <v>109</v>
      </c>
      <c r="F31" s="5">
        <v>0.25600000000000001</v>
      </c>
      <c r="G31" s="5">
        <v>0.28800000000000003</v>
      </c>
      <c r="H31" s="5">
        <v>0.28399999999999997</v>
      </c>
      <c r="I31" s="5">
        <v>0.20199999999999999</v>
      </c>
      <c r="J31" s="5">
        <v>0.223</v>
      </c>
      <c r="K31" s="5">
        <v>0.223</v>
      </c>
      <c r="L31" s="5">
        <v>0.21600000000000003</v>
      </c>
      <c r="M31" s="5">
        <v>0.23600000000000002</v>
      </c>
      <c r="N31" s="5">
        <v>0.16600000000000001</v>
      </c>
    </row>
    <row r="32" spans="1:14" x14ac:dyDescent="0.25">
      <c r="A32">
        <v>2014</v>
      </c>
      <c r="B32">
        <v>160</v>
      </c>
      <c r="C32" t="s">
        <v>108</v>
      </c>
      <c r="D32" t="s">
        <v>29</v>
      </c>
      <c r="E32" s="5">
        <v>0.21299999999999999</v>
      </c>
      <c r="F32" s="5">
        <v>0.17600000000000002</v>
      </c>
      <c r="G32" s="5">
        <v>0.22699999999999998</v>
      </c>
      <c r="H32" s="5">
        <v>0.23600000000000002</v>
      </c>
      <c r="I32" s="5">
        <v>0.26800000000000002</v>
      </c>
      <c r="J32" s="5">
        <v>0.27699999999999997</v>
      </c>
      <c r="K32" s="5">
        <v>0.27600000000000002</v>
      </c>
      <c r="L32" s="5">
        <v>0.27699999999999997</v>
      </c>
      <c r="M32" s="5">
        <v>0.22800000000000001</v>
      </c>
      <c r="N32" s="5">
        <v>0.126</v>
      </c>
    </row>
    <row r="33" spans="1:14" x14ac:dyDescent="0.25">
      <c r="A33">
        <v>2014</v>
      </c>
      <c r="B33">
        <v>160</v>
      </c>
      <c r="C33" t="s">
        <v>108</v>
      </c>
      <c r="D33" t="s">
        <v>30</v>
      </c>
      <c r="E33" s="5">
        <v>0.192</v>
      </c>
      <c r="F33" s="5">
        <v>0.20100000000000001</v>
      </c>
      <c r="G33" s="5">
        <v>0.247</v>
      </c>
      <c r="H33" s="5">
        <v>0.25900000000000001</v>
      </c>
      <c r="I33" s="5">
        <v>0.252</v>
      </c>
      <c r="J33" s="5">
        <v>0.26800000000000002</v>
      </c>
      <c r="K33" s="5">
        <v>0.30599999999999999</v>
      </c>
      <c r="L33" s="5">
        <v>0.23399999999999999</v>
      </c>
      <c r="M33" s="5">
        <v>0.19399999999999998</v>
      </c>
      <c r="N33" s="5">
        <v>0.107</v>
      </c>
    </row>
    <row r="34" spans="1:14" x14ac:dyDescent="0.25">
      <c r="A34">
        <v>2014</v>
      </c>
      <c r="B34">
        <v>160</v>
      </c>
      <c r="C34" t="s">
        <v>108</v>
      </c>
      <c r="D34" t="s">
        <v>31</v>
      </c>
      <c r="E34" s="5">
        <v>0.19</v>
      </c>
      <c r="F34" s="5">
        <v>0.16600000000000001</v>
      </c>
      <c r="G34" s="5">
        <v>0.17699999999999999</v>
      </c>
      <c r="H34" s="5">
        <v>0.20199999999999999</v>
      </c>
      <c r="I34" s="5">
        <v>0.26300000000000001</v>
      </c>
      <c r="J34" s="5">
        <v>0.26800000000000002</v>
      </c>
      <c r="K34" s="5">
        <v>0.26800000000000002</v>
      </c>
      <c r="L34" s="5">
        <v>0.23300000000000001</v>
      </c>
      <c r="M34" s="5">
        <v>0.21600000000000003</v>
      </c>
      <c r="N34" s="5">
        <v>0.13400000000000001</v>
      </c>
    </row>
    <row r="35" spans="1:14" x14ac:dyDescent="0.25">
      <c r="A35">
        <v>2014</v>
      </c>
      <c r="B35">
        <v>160</v>
      </c>
      <c r="C35" t="s">
        <v>108</v>
      </c>
      <c r="D35" t="s">
        <v>32</v>
      </c>
      <c r="E35" s="5">
        <v>0.24600000000000002</v>
      </c>
      <c r="F35" s="5">
        <v>0.19399999999999998</v>
      </c>
      <c r="G35" s="5">
        <v>0.23100000000000001</v>
      </c>
      <c r="H35" s="5">
        <v>0.21600000000000003</v>
      </c>
      <c r="I35" s="5">
        <v>0.223</v>
      </c>
      <c r="J35" s="5">
        <v>0.20499999999999999</v>
      </c>
      <c r="K35" s="5">
        <v>0.188</v>
      </c>
      <c r="L35" s="5">
        <v>0.20600000000000002</v>
      </c>
      <c r="M35" s="5">
        <v>0.23100000000000001</v>
      </c>
      <c r="N35" s="5">
        <v>0.13100000000000001</v>
      </c>
    </row>
    <row r="36" spans="1:14" x14ac:dyDescent="0.25">
      <c r="A36">
        <v>2014</v>
      </c>
      <c r="B36">
        <v>160</v>
      </c>
      <c r="C36" t="s">
        <v>108</v>
      </c>
      <c r="D36" t="s">
        <v>33</v>
      </c>
      <c r="E36" s="5">
        <v>0.182</v>
      </c>
      <c r="F36" s="5">
        <v>0.18600000000000003</v>
      </c>
      <c r="G36" s="5">
        <v>0.19699999999999998</v>
      </c>
      <c r="H36" s="5">
        <v>0.20800000000000002</v>
      </c>
      <c r="I36" s="5">
        <v>0.249</v>
      </c>
      <c r="J36" s="5">
        <v>0.27</v>
      </c>
      <c r="K36" s="5">
        <v>0.29399999999999998</v>
      </c>
      <c r="L36" s="5">
        <v>0.25600000000000001</v>
      </c>
      <c r="M36" s="5">
        <v>0.22699999999999998</v>
      </c>
      <c r="N36" s="5">
        <v>0.14599999999999999</v>
      </c>
    </row>
    <row r="37" spans="1:14" x14ac:dyDescent="0.25">
      <c r="A37">
        <v>2014</v>
      </c>
      <c r="B37">
        <v>160</v>
      </c>
      <c r="C37" t="s">
        <v>108</v>
      </c>
      <c r="D37" t="s">
        <v>34</v>
      </c>
      <c r="E37" s="5">
        <v>0.21199999999999999</v>
      </c>
      <c r="F37" s="5">
        <v>0.21</v>
      </c>
      <c r="G37" s="5">
        <v>0.253</v>
      </c>
      <c r="H37" s="5">
        <v>0.27899999999999997</v>
      </c>
      <c r="I37" s="5">
        <v>0.247</v>
      </c>
      <c r="J37" s="5">
        <v>0.254</v>
      </c>
      <c r="K37" s="5">
        <v>0.247</v>
      </c>
      <c r="L37" s="5">
        <v>0.23800000000000002</v>
      </c>
      <c r="M37" s="5">
        <v>0.19699999999999998</v>
      </c>
      <c r="N37" s="5">
        <v>0.113</v>
      </c>
    </row>
    <row r="38" spans="1:14" x14ac:dyDescent="0.25">
      <c r="A38">
        <v>2014</v>
      </c>
      <c r="B38">
        <v>160</v>
      </c>
      <c r="C38" t="s">
        <v>108</v>
      </c>
      <c r="D38" t="s">
        <v>70</v>
      </c>
      <c r="E38" s="5">
        <v>0.184</v>
      </c>
      <c r="F38" s="5">
        <v>0.183</v>
      </c>
      <c r="G38" s="5">
        <v>0.223</v>
      </c>
      <c r="H38" s="5">
        <v>0.23699999999999999</v>
      </c>
      <c r="I38" s="5">
        <v>0.252</v>
      </c>
      <c r="J38" s="5">
        <v>0.27899999999999997</v>
      </c>
      <c r="K38" s="5">
        <v>0.32700000000000001</v>
      </c>
      <c r="L38" s="5">
        <v>0.28999999999999998</v>
      </c>
      <c r="M38" s="5">
        <v>0.26500000000000001</v>
      </c>
      <c r="N38" s="5">
        <v>0.20699999999999999</v>
      </c>
    </row>
    <row r="39" spans="1:14" x14ac:dyDescent="0.25">
      <c r="A39">
        <v>2014</v>
      </c>
      <c r="B39">
        <v>160</v>
      </c>
      <c r="C39" t="s">
        <v>108</v>
      </c>
      <c r="D39" t="s">
        <v>69</v>
      </c>
      <c r="E39" s="5" t="s">
        <v>109</v>
      </c>
      <c r="F39" s="5" t="s">
        <v>109</v>
      </c>
      <c r="G39" s="5" t="s">
        <v>109</v>
      </c>
      <c r="H39" s="5" t="s">
        <v>109</v>
      </c>
      <c r="I39" s="5" t="s">
        <v>109</v>
      </c>
      <c r="J39" s="5">
        <v>0.29199999999999998</v>
      </c>
      <c r="K39" s="5">
        <v>0.29899999999999999</v>
      </c>
      <c r="L39" s="5">
        <v>0.26800000000000002</v>
      </c>
      <c r="M39" s="5">
        <v>0.26200000000000001</v>
      </c>
      <c r="N39" s="5">
        <v>0.19399999999999998</v>
      </c>
    </row>
    <row r="40" spans="1:14" x14ac:dyDescent="0.25">
      <c r="A40">
        <v>2014</v>
      </c>
      <c r="B40">
        <v>160</v>
      </c>
      <c r="C40" t="s">
        <v>108</v>
      </c>
      <c r="D40" t="s">
        <v>68</v>
      </c>
      <c r="E40" s="5">
        <v>0.193</v>
      </c>
      <c r="F40" s="5">
        <v>0.191</v>
      </c>
      <c r="G40" s="5">
        <v>0.20499999999999999</v>
      </c>
      <c r="H40" s="5">
        <v>0.21</v>
      </c>
      <c r="I40" s="5">
        <v>0.252</v>
      </c>
      <c r="J40" s="5">
        <v>0.27200000000000002</v>
      </c>
      <c r="K40" s="5">
        <v>0.30399999999999999</v>
      </c>
      <c r="L40" s="5">
        <v>0.27100000000000002</v>
      </c>
      <c r="M40" s="5">
        <v>0.26899999999999996</v>
      </c>
      <c r="N40" s="5">
        <v>0.191</v>
      </c>
    </row>
    <row r="41" spans="1:14" x14ac:dyDescent="0.25">
      <c r="A41">
        <v>2014</v>
      </c>
      <c r="B41">
        <v>160</v>
      </c>
      <c r="C41" t="s">
        <v>108</v>
      </c>
      <c r="D41" t="s">
        <v>67</v>
      </c>
      <c r="E41" s="5">
        <v>0.21899999999999997</v>
      </c>
      <c r="F41" s="5">
        <v>0.23899999999999999</v>
      </c>
      <c r="G41" s="5">
        <v>0.22500000000000001</v>
      </c>
      <c r="H41" s="5">
        <v>0.24399999999999999</v>
      </c>
      <c r="I41" s="5">
        <v>0.26500000000000001</v>
      </c>
      <c r="J41" s="5">
        <v>0.25600000000000001</v>
      </c>
      <c r="K41" s="5">
        <v>0.28600000000000003</v>
      </c>
      <c r="L41" s="5">
        <v>0.30199999999999999</v>
      </c>
      <c r="M41" s="5">
        <v>0.26200000000000001</v>
      </c>
      <c r="N41" s="5">
        <v>0.191</v>
      </c>
    </row>
    <row r="42" spans="1:14" x14ac:dyDescent="0.25">
      <c r="A42">
        <v>2014</v>
      </c>
      <c r="B42">
        <v>160</v>
      </c>
      <c r="C42" t="s">
        <v>108</v>
      </c>
      <c r="D42" t="s">
        <v>66</v>
      </c>
      <c r="E42" s="5">
        <v>0.22800000000000001</v>
      </c>
      <c r="F42" s="5">
        <v>0.32200000000000001</v>
      </c>
      <c r="G42" s="5">
        <v>0.24299999999999999</v>
      </c>
      <c r="H42" s="5">
        <v>0.26200000000000001</v>
      </c>
      <c r="I42" s="5">
        <v>0.26700000000000002</v>
      </c>
      <c r="J42" s="5">
        <v>0.253</v>
      </c>
      <c r="K42" s="5">
        <v>0.223</v>
      </c>
      <c r="L42" s="5">
        <v>0.22399999999999998</v>
      </c>
      <c r="M42" s="5">
        <v>0.24100000000000002</v>
      </c>
      <c r="N42" s="5">
        <v>0.16200000000000001</v>
      </c>
    </row>
    <row r="43" spans="1:14" x14ac:dyDescent="0.25">
      <c r="A43">
        <v>2014</v>
      </c>
      <c r="B43">
        <v>160</v>
      </c>
      <c r="C43" t="s">
        <v>108</v>
      </c>
      <c r="D43" t="s">
        <v>65</v>
      </c>
      <c r="E43" s="5">
        <v>0.22399999999999998</v>
      </c>
      <c r="F43" s="5">
        <v>0.23899999999999999</v>
      </c>
      <c r="G43" s="5">
        <v>0.308</v>
      </c>
      <c r="H43" s="5">
        <v>0.21</v>
      </c>
      <c r="I43" s="5">
        <v>0.23399999999999999</v>
      </c>
      <c r="J43" s="5">
        <v>0.248</v>
      </c>
      <c r="K43" s="5">
        <v>0.24299999999999999</v>
      </c>
      <c r="L43" s="5">
        <v>0.23899999999999999</v>
      </c>
      <c r="M43" s="5">
        <v>0.23499999999999999</v>
      </c>
      <c r="N43" s="5">
        <v>0.16200000000000001</v>
      </c>
    </row>
    <row r="44" spans="1:14" x14ac:dyDescent="0.25">
      <c r="A44">
        <v>2014</v>
      </c>
      <c r="B44">
        <v>160</v>
      </c>
      <c r="C44" t="s">
        <v>108</v>
      </c>
      <c r="D44" t="s">
        <v>71</v>
      </c>
      <c r="E44" s="5">
        <v>0.215</v>
      </c>
      <c r="F44" s="5">
        <v>0.23399999999999999</v>
      </c>
      <c r="G44" s="5">
        <v>0.25700000000000001</v>
      </c>
      <c r="H44" s="5">
        <v>0.254</v>
      </c>
      <c r="I44" s="5">
        <v>0.26800000000000002</v>
      </c>
      <c r="J44" s="5">
        <v>0.28499999999999998</v>
      </c>
      <c r="K44" s="5">
        <v>0.23600000000000002</v>
      </c>
      <c r="L44" s="5">
        <v>0.23899999999999999</v>
      </c>
      <c r="M44" s="5">
        <v>0.26300000000000001</v>
      </c>
      <c r="N44" s="5">
        <v>0.192</v>
      </c>
    </row>
    <row r="45" spans="1:14" x14ac:dyDescent="0.25">
      <c r="A45">
        <v>2014</v>
      </c>
      <c r="B45">
        <v>160</v>
      </c>
      <c r="C45" t="s">
        <v>108</v>
      </c>
      <c r="D45" t="s">
        <v>74</v>
      </c>
      <c r="E45" s="5">
        <v>0.18899999999999997</v>
      </c>
      <c r="F45" s="5">
        <v>0.188</v>
      </c>
      <c r="G45" s="5">
        <v>0.221</v>
      </c>
      <c r="H45" s="5">
        <v>0.23600000000000002</v>
      </c>
      <c r="I45" s="5">
        <v>0.253</v>
      </c>
      <c r="J45" s="5">
        <v>0.215</v>
      </c>
      <c r="K45" s="5">
        <v>0.24600000000000002</v>
      </c>
      <c r="L45" s="5">
        <v>0.25</v>
      </c>
      <c r="M45" s="5">
        <v>0.25700000000000001</v>
      </c>
      <c r="N45" s="5">
        <v>0.2</v>
      </c>
    </row>
    <row r="46" spans="1:14" x14ac:dyDescent="0.25">
      <c r="A46">
        <v>2014</v>
      </c>
      <c r="B46">
        <v>160</v>
      </c>
      <c r="C46" t="s">
        <v>108</v>
      </c>
      <c r="D46" t="s">
        <v>75</v>
      </c>
      <c r="E46" s="5">
        <v>0.19899999999999998</v>
      </c>
      <c r="F46" s="5">
        <v>0.19699999999999998</v>
      </c>
      <c r="G46" s="5">
        <v>0.18</v>
      </c>
      <c r="H46" s="5">
        <v>0.28000000000000003</v>
      </c>
      <c r="I46" s="5">
        <v>0.22699999999999998</v>
      </c>
      <c r="J46" s="5">
        <v>0.26899999999999996</v>
      </c>
      <c r="K46" s="5">
        <v>0.29799999999999999</v>
      </c>
      <c r="L46" s="5">
        <v>0.27</v>
      </c>
      <c r="M46" s="5">
        <v>0.26200000000000001</v>
      </c>
      <c r="N46" s="5">
        <v>0.20199999999999999</v>
      </c>
    </row>
    <row r="47" spans="1:14" x14ac:dyDescent="0.25">
      <c r="A47">
        <v>2014</v>
      </c>
      <c r="B47">
        <v>160</v>
      </c>
      <c r="C47" t="s">
        <v>108</v>
      </c>
      <c r="D47" t="s">
        <v>76</v>
      </c>
      <c r="E47" s="5">
        <v>0.18</v>
      </c>
      <c r="F47" s="5">
        <v>0.18</v>
      </c>
      <c r="G47" s="5">
        <v>0.19399999999999998</v>
      </c>
      <c r="H47" s="5">
        <v>0.221</v>
      </c>
      <c r="I47" s="5">
        <v>0.26600000000000001</v>
      </c>
      <c r="J47" s="5">
        <v>0.27</v>
      </c>
      <c r="K47" s="5">
        <v>0.28699999999999998</v>
      </c>
      <c r="L47" s="5">
        <v>0.28600000000000003</v>
      </c>
      <c r="M47" s="5">
        <v>0.25700000000000001</v>
      </c>
      <c r="N47" s="5">
        <v>0.19899999999999998</v>
      </c>
    </row>
    <row r="48" spans="1:14" x14ac:dyDescent="0.25">
      <c r="A48">
        <v>2014</v>
      </c>
      <c r="B48">
        <v>160</v>
      </c>
      <c r="C48" t="s">
        <v>108</v>
      </c>
      <c r="D48" t="s">
        <v>53</v>
      </c>
      <c r="E48" s="5">
        <v>0.32500000000000001</v>
      </c>
      <c r="F48" s="5">
        <v>0.32100000000000001</v>
      </c>
      <c r="G48" s="5">
        <v>0.215</v>
      </c>
      <c r="H48" s="5">
        <v>0.252</v>
      </c>
      <c r="I48" s="5">
        <v>0.27399999999999997</v>
      </c>
      <c r="J48" s="5">
        <v>0.28600000000000003</v>
      </c>
      <c r="K48" s="5">
        <v>0.31</v>
      </c>
      <c r="L48" s="5">
        <v>0.27100000000000002</v>
      </c>
      <c r="M48" s="5">
        <v>0.27200000000000002</v>
      </c>
      <c r="N48" s="5">
        <v>0.192</v>
      </c>
    </row>
    <row r="49" spans="1:14" x14ac:dyDescent="0.25">
      <c r="A49">
        <v>2014</v>
      </c>
      <c r="B49">
        <v>160</v>
      </c>
      <c r="C49" t="s">
        <v>108</v>
      </c>
      <c r="D49" t="s">
        <v>77</v>
      </c>
      <c r="E49" s="5">
        <v>0.25800000000000001</v>
      </c>
      <c r="F49" s="5">
        <v>0.29600000000000004</v>
      </c>
      <c r="G49" s="5">
        <v>0.249</v>
      </c>
      <c r="H49" s="5">
        <v>0.23300000000000001</v>
      </c>
      <c r="I49" s="5">
        <v>0.23499999999999999</v>
      </c>
      <c r="J49" s="5">
        <v>0.22699999999999998</v>
      </c>
      <c r="K49" s="5">
        <v>0.19899999999999998</v>
      </c>
      <c r="L49" s="5">
        <v>0.25800000000000001</v>
      </c>
      <c r="M49" s="5">
        <v>0.249</v>
      </c>
      <c r="N49" s="5">
        <v>0.18100000000000002</v>
      </c>
    </row>
    <row r="50" spans="1:14" x14ac:dyDescent="0.25">
      <c r="A50">
        <v>2014</v>
      </c>
      <c r="B50">
        <v>160</v>
      </c>
      <c r="C50" t="s">
        <v>108</v>
      </c>
      <c r="D50" t="s">
        <v>73</v>
      </c>
      <c r="E50" s="5">
        <v>0.19</v>
      </c>
      <c r="F50" s="5">
        <v>0.22500000000000001</v>
      </c>
      <c r="G50" s="5">
        <v>0.26500000000000001</v>
      </c>
      <c r="H50" s="5">
        <v>0.25900000000000001</v>
      </c>
      <c r="I50" s="5">
        <v>0.22500000000000001</v>
      </c>
      <c r="J50" s="5">
        <v>0.23199999999999998</v>
      </c>
      <c r="K50" s="5">
        <v>0.20100000000000001</v>
      </c>
      <c r="L50" s="5">
        <v>0.2</v>
      </c>
      <c r="M50" s="5">
        <v>0.20699999999999999</v>
      </c>
      <c r="N50" s="5">
        <v>0.14199999999999999</v>
      </c>
    </row>
    <row r="51" spans="1:14" x14ac:dyDescent="0.25">
      <c r="A51">
        <v>2014</v>
      </c>
      <c r="B51">
        <v>160</v>
      </c>
      <c r="C51" t="s">
        <v>108</v>
      </c>
      <c r="D51" t="s">
        <v>81</v>
      </c>
      <c r="E51" s="5" t="s">
        <v>109</v>
      </c>
      <c r="F51" s="5">
        <v>0.27300000000000002</v>
      </c>
      <c r="G51" s="5">
        <v>0.26500000000000001</v>
      </c>
      <c r="H51" s="5">
        <v>0.28699999999999998</v>
      </c>
      <c r="I51" s="5">
        <v>0.3</v>
      </c>
      <c r="J51" s="5">
        <v>0.28800000000000003</v>
      </c>
      <c r="K51" s="5">
        <v>0.24199999999999999</v>
      </c>
      <c r="L51" s="5">
        <v>0.22500000000000001</v>
      </c>
      <c r="M51" s="5">
        <v>0.247</v>
      </c>
      <c r="N51" s="5">
        <v>0.155</v>
      </c>
    </row>
    <row r="52" spans="1:14" x14ac:dyDescent="0.25">
      <c r="A52">
        <v>2014</v>
      </c>
      <c r="B52">
        <v>160</v>
      </c>
      <c r="C52" t="s">
        <v>108</v>
      </c>
      <c r="D52" t="s">
        <v>80</v>
      </c>
      <c r="E52" s="5" t="s">
        <v>109</v>
      </c>
      <c r="F52" s="5">
        <v>0.223</v>
      </c>
      <c r="G52" s="5">
        <v>0.24600000000000002</v>
      </c>
      <c r="H52" s="5">
        <v>0.26500000000000001</v>
      </c>
      <c r="I52" s="5">
        <v>0.27800000000000002</v>
      </c>
      <c r="J52" s="5">
        <v>0.29299999999999998</v>
      </c>
      <c r="K52" s="5">
        <v>0.30299999999999999</v>
      </c>
      <c r="L52" s="5">
        <v>0.24399999999999999</v>
      </c>
      <c r="M52" s="5">
        <v>0.23300000000000001</v>
      </c>
      <c r="N52" s="5">
        <v>0.17800000000000002</v>
      </c>
    </row>
    <row r="53" spans="1:14" x14ac:dyDescent="0.25">
      <c r="A53">
        <v>2014</v>
      </c>
      <c r="B53">
        <v>160</v>
      </c>
      <c r="C53" t="s">
        <v>108</v>
      </c>
      <c r="D53" t="s">
        <v>79</v>
      </c>
      <c r="E53" s="5" t="s">
        <v>109</v>
      </c>
      <c r="F53" s="5">
        <v>0.21899999999999997</v>
      </c>
      <c r="G53" s="5">
        <v>0.22899999999999998</v>
      </c>
      <c r="H53" s="5">
        <v>0.27600000000000002</v>
      </c>
      <c r="I53" s="5">
        <v>0.29699999999999999</v>
      </c>
      <c r="J53" s="5">
        <v>0.309</v>
      </c>
      <c r="K53" s="5">
        <v>0.29799999999999999</v>
      </c>
      <c r="L53" s="5">
        <v>0.26300000000000001</v>
      </c>
      <c r="M53" s="5">
        <v>0.23</v>
      </c>
      <c r="N53" s="5">
        <v>0.16800000000000001</v>
      </c>
    </row>
    <row r="54" spans="1:14" x14ac:dyDescent="0.25">
      <c r="A54">
        <v>2014</v>
      </c>
      <c r="B54">
        <v>160</v>
      </c>
      <c r="C54" t="s">
        <v>108</v>
      </c>
      <c r="D54" t="s">
        <v>78</v>
      </c>
      <c r="E54" s="5" t="s">
        <v>109</v>
      </c>
      <c r="F54" s="5">
        <v>0.23899999999999999</v>
      </c>
      <c r="G54" s="5">
        <v>0.22500000000000001</v>
      </c>
      <c r="H54" s="5">
        <v>0.248</v>
      </c>
      <c r="I54" s="5">
        <v>0.27100000000000002</v>
      </c>
      <c r="J54" s="5">
        <v>0.27800000000000002</v>
      </c>
      <c r="K54" s="5">
        <v>0.27600000000000002</v>
      </c>
      <c r="L54" s="5">
        <v>0.247</v>
      </c>
      <c r="M54" s="5">
        <v>0.22899999999999998</v>
      </c>
      <c r="N54" s="5">
        <v>0.158</v>
      </c>
    </row>
    <row r="55" spans="1:14" x14ac:dyDescent="0.25">
      <c r="A55">
        <v>2014</v>
      </c>
      <c r="B55">
        <v>160</v>
      </c>
      <c r="C55" t="s">
        <v>108</v>
      </c>
      <c r="D55" t="s">
        <v>54</v>
      </c>
      <c r="E55" s="5" t="s">
        <v>109</v>
      </c>
      <c r="F55" s="5">
        <v>0.23199999999999998</v>
      </c>
      <c r="G55" s="5">
        <v>0.222</v>
      </c>
      <c r="H55" s="5">
        <v>0.22600000000000001</v>
      </c>
      <c r="I55" s="5">
        <v>0.24100000000000002</v>
      </c>
      <c r="J55" s="5">
        <v>0.23399999999999999</v>
      </c>
      <c r="K55" s="5">
        <v>0.23100000000000001</v>
      </c>
      <c r="L55" s="5">
        <v>0.26</v>
      </c>
      <c r="M55" s="5">
        <v>0.23699999999999999</v>
      </c>
      <c r="N55" s="5">
        <v>0.14000000000000001</v>
      </c>
    </row>
    <row r="56" spans="1:14" x14ac:dyDescent="0.25">
      <c r="A56">
        <v>2014</v>
      </c>
      <c r="B56">
        <v>161</v>
      </c>
      <c r="C56" t="s">
        <v>108</v>
      </c>
      <c r="D56" t="s">
        <v>35</v>
      </c>
      <c r="E56" s="5" t="s">
        <v>109</v>
      </c>
      <c r="F56" s="5">
        <v>0.23399999999999999</v>
      </c>
      <c r="G56" s="5">
        <v>0.21299999999999999</v>
      </c>
      <c r="H56" s="5">
        <v>0.18600000000000003</v>
      </c>
      <c r="I56" s="5">
        <v>0.16600000000000001</v>
      </c>
      <c r="J56" s="5">
        <v>0.16699999999999998</v>
      </c>
      <c r="K56" s="5">
        <v>0.16600000000000001</v>
      </c>
      <c r="L56" s="5">
        <v>0.20800000000000002</v>
      </c>
      <c r="M56" s="5">
        <v>0.21</v>
      </c>
      <c r="N56" s="5">
        <v>0.13400000000000001</v>
      </c>
    </row>
    <row r="57" spans="1:14" x14ac:dyDescent="0.25">
      <c r="A57">
        <v>2014</v>
      </c>
      <c r="B57">
        <v>161</v>
      </c>
      <c r="C57" t="s">
        <v>108</v>
      </c>
      <c r="D57" t="s">
        <v>37</v>
      </c>
      <c r="E57" s="5">
        <v>0.23899999999999999</v>
      </c>
      <c r="F57" s="5">
        <v>0.23800000000000002</v>
      </c>
      <c r="G57" s="5">
        <v>0.24399999999999999</v>
      </c>
      <c r="H57" s="5">
        <v>0.24399999999999999</v>
      </c>
      <c r="I57" s="5">
        <v>0.23499999999999999</v>
      </c>
      <c r="J57" s="5">
        <v>0.24199999999999999</v>
      </c>
      <c r="K57" s="5">
        <v>0.21899999999999997</v>
      </c>
      <c r="L57" s="5">
        <v>0.20100000000000001</v>
      </c>
      <c r="M57" s="5">
        <v>0.223</v>
      </c>
      <c r="N57" s="5">
        <v>0.16500000000000001</v>
      </c>
    </row>
    <row r="58" spans="1:14" x14ac:dyDescent="0.25">
      <c r="A58">
        <v>2014</v>
      </c>
      <c r="B58">
        <v>161</v>
      </c>
      <c r="C58" t="s">
        <v>108</v>
      </c>
      <c r="D58" t="s">
        <v>40</v>
      </c>
      <c r="E58" s="5">
        <v>0.20199999999999999</v>
      </c>
      <c r="F58" s="5">
        <v>0.20199999999999999</v>
      </c>
      <c r="G58" s="5">
        <v>0.21600000000000003</v>
      </c>
      <c r="H58" s="5">
        <v>0.221</v>
      </c>
      <c r="I58" s="5">
        <v>0.22399999999999998</v>
      </c>
      <c r="J58" s="5">
        <v>0.20499999999999999</v>
      </c>
      <c r="K58" s="5">
        <v>0.184</v>
      </c>
      <c r="L58" s="5">
        <v>0.183</v>
      </c>
      <c r="M58" s="5">
        <v>0.222</v>
      </c>
      <c r="N58" s="5">
        <v>0.156</v>
      </c>
    </row>
    <row r="59" spans="1:14" x14ac:dyDescent="0.25">
      <c r="A59">
        <v>2014</v>
      </c>
      <c r="B59">
        <v>161</v>
      </c>
      <c r="C59" t="s">
        <v>108</v>
      </c>
      <c r="D59" t="s">
        <v>41</v>
      </c>
      <c r="E59" s="5">
        <v>0.24299999999999999</v>
      </c>
      <c r="F59" s="5">
        <v>0.23399999999999999</v>
      </c>
      <c r="G59" s="5">
        <v>0.249</v>
      </c>
      <c r="H59" s="5">
        <v>0.20100000000000001</v>
      </c>
      <c r="I59" s="5">
        <v>0.19800000000000001</v>
      </c>
      <c r="J59" s="5">
        <v>0.21199999999999999</v>
      </c>
      <c r="K59" s="5">
        <v>0.23899999999999999</v>
      </c>
      <c r="L59" s="5">
        <v>0.22600000000000001</v>
      </c>
      <c r="M59" s="5">
        <v>0.20800000000000002</v>
      </c>
      <c r="N59" s="5">
        <v>0.155</v>
      </c>
    </row>
    <row r="60" spans="1:14" x14ac:dyDescent="0.25">
      <c r="A60">
        <v>2014</v>
      </c>
      <c r="B60">
        <v>161</v>
      </c>
      <c r="C60" t="s">
        <v>108</v>
      </c>
      <c r="D60" t="s">
        <v>43</v>
      </c>
      <c r="E60" s="5">
        <v>0.249</v>
      </c>
      <c r="F60" s="5">
        <v>0.22500000000000001</v>
      </c>
      <c r="G60" s="5">
        <v>0.18</v>
      </c>
      <c r="H60" s="5">
        <v>0.17499999999999999</v>
      </c>
      <c r="I60" s="5">
        <v>0.16899999999999998</v>
      </c>
      <c r="J60" s="5">
        <v>0.16500000000000001</v>
      </c>
      <c r="K60" s="5">
        <v>0.157</v>
      </c>
      <c r="L60" s="5">
        <v>0.16399999999999998</v>
      </c>
      <c r="M60" s="5">
        <v>0.19600000000000001</v>
      </c>
      <c r="N60" s="5">
        <v>0.13800000000000001</v>
      </c>
    </row>
    <row r="61" spans="1:14" x14ac:dyDescent="0.25">
      <c r="A61">
        <v>2014</v>
      </c>
      <c r="B61">
        <v>161</v>
      </c>
      <c r="C61" t="s">
        <v>108</v>
      </c>
      <c r="D61" t="s">
        <v>44</v>
      </c>
      <c r="E61" s="5">
        <v>0.23100000000000001</v>
      </c>
      <c r="F61" s="5">
        <v>0.21600000000000003</v>
      </c>
      <c r="G61" s="5">
        <v>0.17</v>
      </c>
      <c r="H61" s="5">
        <v>0.16300000000000001</v>
      </c>
      <c r="I61" s="5">
        <v>0.14000000000000001</v>
      </c>
      <c r="J61" s="5">
        <v>0.13500000000000001</v>
      </c>
      <c r="K61" s="5">
        <v>0.13100000000000001</v>
      </c>
      <c r="L61" s="5">
        <v>0.14300000000000002</v>
      </c>
      <c r="M61" s="5">
        <v>0.187</v>
      </c>
      <c r="N61" s="5">
        <v>0.12</v>
      </c>
    </row>
    <row r="62" spans="1:14" x14ac:dyDescent="0.25">
      <c r="A62">
        <v>2014</v>
      </c>
      <c r="B62">
        <v>161</v>
      </c>
      <c r="C62" t="s">
        <v>108</v>
      </c>
      <c r="D62" t="s">
        <v>38</v>
      </c>
      <c r="E62" s="5">
        <v>0.22</v>
      </c>
      <c r="F62" s="5">
        <v>0.23300000000000001</v>
      </c>
      <c r="G62" s="5">
        <v>0.26100000000000001</v>
      </c>
      <c r="H62" s="5">
        <v>0.27</v>
      </c>
      <c r="I62" s="5">
        <v>0.248</v>
      </c>
      <c r="J62" s="5">
        <v>0.218</v>
      </c>
      <c r="K62" s="5">
        <v>0.19699999999999998</v>
      </c>
      <c r="L62" s="5">
        <v>0.24</v>
      </c>
      <c r="M62" s="5">
        <v>0.24100000000000002</v>
      </c>
      <c r="N62" s="5">
        <v>0.17800000000000002</v>
      </c>
    </row>
    <row r="63" spans="1:14" x14ac:dyDescent="0.25">
      <c r="A63">
        <v>2014</v>
      </c>
      <c r="B63">
        <v>161</v>
      </c>
      <c r="C63" t="s">
        <v>108</v>
      </c>
      <c r="D63" t="s">
        <v>85</v>
      </c>
      <c r="E63" s="5">
        <v>0.20399999999999999</v>
      </c>
      <c r="F63" s="5">
        <v>0.19899999999999998</v>
      </c>
      <c r="G63" s="5">
        <v>0.22600000000000001</v>
      </c>
      <c r="H63" s="5">
        <v>0.24</v>
      </c>
      <c r="I63" s="5">
        <v>0.24299999999999999</v>
      </c>
      <c r="J63" s="5">
        <v>0.217</v>
      </c>
      <c r="K63" s="5">
        <v>0.215</v>
      </c>
      <c r="L63" s="5">
        <v>0.21600000000000003</v>
      </c>
      <c r="M63" s="5">
        <v>0.24299999999999999</v>
      </c>
      <c r="N63" s="5">
        <v>0.17699999999999999</v>
      </c>
    </row>
    <row r="64" spans="1:14" x14ac:dyDescent="0.25">
      <c r="A64">
        <v>2014</v>
      </c>
      <c r="B64">
        <v>161</v>
      </c>
      <c r="C64" t="s">
        <v>108</v>
      </c>
      <c r="D64" t="s">
        <v>84</v>
      </c>
      <c r="E64" s="5">
        <v>0.223</v>
      </c>
      <c r="F64" s="5">
        <v>0.22699999999999998</v>
      </c>
      <c r="G64" s="5">
        <v>0.25700000000000001</v>
      </c>
      <c r="H64" s="5">
        <v>0.252</v>
      </c>
      <c r="I64" s="5">
        <v>0.26200000000000001</v>
      </c>
      <c r="J64" s="5">
        <v>0.25900000000000001</v>
      </c>
      <c r="K64" s="5">
        <v>0.27500000000000002</v>
      </c>
      <c r="L64" s="5">
        <v>0.22</v>
      </c>
      <c r="M64" s="5">
        <v>0.23199999999999998</v>
      </c>
      <c r="N64" s="5">
        <v>0.17699999999999999</v>
      </c>
    </row>
    <row r="65" spans="1:14" x14ac:dyDescent="0.25">
      <c r="A65">
        <v>2014</v>
      </c>
      <c r="B65">
        <v>161</v>
      </c>
      <c r="C65" t="s">
        <v>108</v>
      </c>
      <c r="D65" t="s">
        <v>42</v>
      </c>
      <c r="E65" s="5">
        <v>0.23699999999999999</v>
      </c>
      <c r="F65" s="5">
        <v>0.23600000000000002</v>
      </c>
      <c r="G65" s="5">
        <v>0.23600000000000002</v>
      </c>
      <c r="H65" s="5">
        <v>0.253</v>
      </c>
      <c r="I65" s="5">
        <v>0.25900000000000001</v>
      </c>
      <c r="J65" s="5">
        <v>0.26300000000000001</v>
      </c>
      <c r="K65" s="5">
        <v>0.26500000000000001</v>
      </c>
      <c r="L65" s="5">
        <v>0.23199999999999998</v>
      </c>
      <c r="M65" s="5">
        <v>0.22600000000000001</v>
      </c>
      <c r="N65" s="5">
        <v>0.16200000000000001</v>
      </c>
    </row>
    <row r="66" spans="1:14" x14ac:dyDescent="0.25">
      <c r="A66">
        <v>2014</v>
      </c>
      <c r="B66">
        <v>161</v>
      </c>
      <c r="C66" t="s">
        <v>108</v>
      </c>
      <c r="D66" t="s">
        <v>83</v>
      </c>
      <c r="E66" s="5">
        <v>0.17899999999999999</v>
      </c>
      <c r="F66" s="5">
        <v>0.188</v>
      </c>
      <c r="G66" s="5">
        <v>0.253</v>
      </c>
      <c r="H66" s="5">
        <v>0.27699999999999997</v>
      </c>
      <c r="I66" s="5">
        <v>0.25700000000000001</v>
      </c>
      <c r="J66" s="5">
        <v>0.22399999999999998</v>
      </c>
      <c r="K66" s="5">
        <v>0.19500000000000001</v>
      </c>
      <c r="L66" s="5">
        <v>0.19800000000000001</v>
      </c>
      <c r="M66" s="5">
        <v>0.21</v>
      </c>
      <c r="N66" s="5">
        <v>0.152</v>
      </c>
    </row>
    <row r="67" spans="1:14" x14ac:dyDescent="0.25">
      <c r="A67">
        <v>2014</v>
      </c>
      <c r="B67">
        <v>161</v>
      </c>
      <c r="C67" t="s">
        <v>108</v>
      </c>
      <c r="D67" t="s">
        <v>82</v>
      </c>
      <c r="E67" s="5">
        <v>0.16699999999999998</v>
      </c>
      <c r="F67" s="5">
        <v>0.16600000000000001</v>
      </c>
      <c r="G67" s="5">
        <v>0.17600000000000002</v>
      </c>
      <c r="H67" s="5">
        <v>0.23600000000000002</v>
      </c>
      <c r="I67" s="5">
        <v>0.25700000000000001</v>
      </c>
      <c r="J67" s="5">
        <v>0.23399999999999999</v>
      </c>
      <c r="K67" s="5">
        <v>0.22800000000000001</v>
      </c>
      <c r="L67" s="5">
        <v>0.21199999999999999</v>
      </c>
      <c r="M67" s="5">
        <v>0.223</v>
      </c>
      <c r="N67" s="5">
        <v>0.157</v>
      </c>
    </row>
    <row r="68" spans="1:14" x14ac:dyDescent="0.25">
      <c r="A68">
        <v>2014</v>
      </c>
      <c r="B68">
        <v>161</v>
      </c>
      <c r="C68" t="s">
        <v>108</v>
      </c>
      <c r="D68" t="s">
        <v>72</v>
      </c>
      <c r="E68" s="5">
        <v>0.23199999999999998</v>
      </c>
      <c r="F68" s="5">
        <v>0.23199999999999998</v>
      </c>
      <c r="G68" s="5">
        <v>0.24100000000000002</v>
      </c>
      <c r="H68" s="5">
        <v>0.26300000000000001</v>
      </c>
      <c r="I68" s="5">
        <v>0.22800000000000001</v>
      </c>
      <c r="J68" s="5">
        <v>0.153</v>
      </c>
      <c r="K68" s="5">
        <v>0.14499999999999999</v>
      </c>
      <c r="L68" s="5">
        <v>0.185</v>
      </c>
      <c r="M68" s="5">
        <v>0.22800000000000001</v>
      </c>
      <c r="N68" s="5">
        <v>0.16699999999999998</v>
      </c>
    </row>
    <row r="69" spans="1:14" x14ac:dyDescent="0.25">
      <c r="A69">
        <v>2014</v>
      </c>
      <c r="B69">
        <v>161</v>
      </c>
      <c r="C69" t="s">
        <v>108</v>
      </c>
      <c r="D69" t="s">
        <v>39</v>
      </c>
      <c r="E69" s="5" t="s">
        <v>109</v>
      </c>
      <c r="F69" s="5">
        <v>0.19800000000000001</v>
      </c>
      <c r="G69" s="5">
        <v>0.20699999999999999</v>
      </c>
      <c r="H69" s="5">
        <v>0.249</v>
      </c>
      <c r="I69" s="5">
        <v>0.25</v>
      </c>
      <c r="J69" s="5">
        <v>0.21899999999999997</v>
      </c>
      <c r="K69" s="5">
        <v>0.22800000000000001</v>
      </c>
      <c r="L69" s="5">
        <v>0.24100000000000002</v>
      </c>
      <c r="M69" s="5">
        <v>0.24199999999999999</v>
      </c>
      <c r="N69" s="5">
        <v>0.183</v>
      </c>
    </row>
    <row r="70" spans="1:14" x14ac:dyDescent="0.25">
      <c r="A70">
        <v>2014</v>
      </c>
      <c r="B70">
        <v>161</v>
      </c>
      <c r="C70" t="s">
        <v>108</v>
      </c>
      <c r="D70" t="s">
        <v>86</v>
      </c>
      <c r="E70" s="5">
        <v>0.16699999999999998</v>
      </c>
      <c r="F70" s="5">
        <v>0.18</v>
      </c>
      <c r="G70" s="5">
        <v>0.23100000000000001</v>
      </c>
      <c r="H70" s="5">
        <v>0.23399999999999999</v>
      </c>
      <c r="I70" s="5">
        <v>0.24100000000000002</v>
      </c>
      <c r="J70" s="5">
        <v>0.20300000000000001</v>
      </c>
      <c r="K70" s="5">
        <v>0.20899999999999999</v>
      </c>
      <c r="L70" s="5">
        <v>0.221</v>
      </c>
      <c r="M70" s="5">
        <v>0.24299999999999999</v>
      </c>
      <c r="N70" s="5">
        <v>0.187</v>
      </c>
    </row>
    <row r="71" spans="1:14" x14ac:dyDescent="0.25">
      <c r="A71">
        <v>2014</v>
      </c>
      <c r="B71">
        <v>161</v>
      </c>
      <c r="C71" t="s">
        <v>108</v>
      </c>
      <c r="D71" t="s">
        <v>87</v>
      </c>
      <c r="E71" s="5" t="s">
        <v>109</v>
      </c>
      <c r="F71" s="5">
        <v>0.19</v>
      </c>
      <c r="G71" s="5">
        <v>0.22</v>
      </c>
      <c r="H71" s="5">
        <v>0.25800000000000001</v>
      </c>
      <c r="I71" s="5">
        <v>0.24100000000000002</v>
      </c>
      <c r="J71" s="5">
        <v>0.249</v>
      </c>
      <c r="K71" s="5">
        <v>0.25</v>
      </c>
      <c r="L71" s="5">
        <v>0.23100000000000001</v>
      </c>
      <c r="M71" s="5">
        <v>0.22</v>
      </c>
      <c r="N71" s="5">
        <v>0.16300000000000001</v>
      </c>
    </row>
    <row r="72" spans="1:14" x14ac:dyDescent="0.25">
      <c r="A72">
        <v>2014</v>
      </c>
      <c r="B72">
        <v>161</v>
      </c>
      <c r="C72" t="s">
        <v>108</v>
      </c>
      <c r="D72" t="s">
        <v>88</v>
      </c>
      <c r="E72" s="5" t="s">
        <v>109</v>
      </c>
      <c r="F72" s="5">
        <v>0.215</v>
      </c>
      <c r="G72" s="5">
        <v>0.218</v>
      </c>
      <c r="H72" s="5">
        <v>0.222</v>
      </c>
      <c r="I72" s="5">
        <v>0.23199999999999998</v>
      </c>
      <c r="J72" s="5">
        <v>0.24</v>
      </c>
      <c r="K72" s="5">
        <v>0.24</v>
      </c>
      <c r="L72" s="5">
        <v>0.19899999999999998</v>
      </c>
      <c r="M72" s="5">
        <v>0.21100000000000002</v>
      </c>
      <c r="N72" s="5">
        <v>0.16600000000000001</v>
      </c>
    </row>
    <row r="73" spans="1:14" x14ac:dyDescent="0.25">
      <c r="A73">
        <v>2014</v>
      </c>
      <c r="B73">
        <v>161</v>
      </c>
      <c r="C73" t="s">
        <v>108</v>
      </c>
      <c r="D73" t="s">
        <v>36</v>
      </c>
      <c r="E73" s="5">
        <v>0.157</v>
      </c>
      <c r="F73" s="5">
        <v>0.157</v>
      </c>
      <c r="G73" s="5">
        <v>0.184</v>
      </c>
      <c r="H73" s="5">
        <v>0.22399999999999998</v>
      </c>
      <c r="I73" s="5">
        <v>0.23</v>
      </c>
      <c r="J73" s="5">
        <v>0.187</v>
      </c>
      <c r="K73" s="5">
        <v>0.17499999999999999</v>
      </c>
      <c r="L73" s="5">
        <v>0.19</v>
      </c>
      <c r="M73" s="5">
        <v>0.20499999999999999</v>
      </c>
      <c r="N73" s="5">
        <v>0.14199999999999999</v>
      </c>
    </row>
    <row r="74" spans="1:14" x14ac:dyDescent="0.25">
      <c r="A74">
        <v>2014</v>
      </c>
      <c r="B74">
        <v>161</v>
      </c>
      <c r="C74" t="s">
        <v>108</v>
      </c>
      <c r="D74" t="s">
        <v>94</v>
      </c>
      <c r="E74" s="5" t="s">
        <v>109</v>
      </c>
      <c r="F74" s="5">
        <v>0.20899999999999999</v>
      </c>
      <c r="G74" s="5">
        <v>0.21600000000000003</v>
      </c>
      <c r="H74" s="5">
        <v>0.21600000000000003</v>
      </c>
      <c r="I74" s="5">
        <v>0.19</v>
      </c>
      <c r="J74" s="5">
        <v>0.13100000000000001</v>
      </c>
      <c r="K74" s="5">
        <v>0.14000000000000001</v>
      </c>
      <c r="L74" s="5">
        <v>0.183</v>
      </c>
      <c r="M74" s="5">
        <v>0.20600000000000002</v>
      </c>
      <c r="N74" s="5">
        <v>0.14899999999999999</v>
      </c>
    </row>
    <row r="75" spans="1:14" x14ac:dyDescent="0.25">
      <c r="A75">
        <v>2014</v>
      </c>
      <c r="B75">
        <v>161</v>
      </c>
      <c r="C75" t="s">
        <v>108</v>
      </c>
      <c r="D75" t="s">
        <v>92</v>
      </c>
      <c r="E75" s="5">
        <v>0.21899999999999997</v>
      </c>
      <c r="F75" s="5">
        <v>0.22</v>
      </c>
      <c r="G75" s="5">
        <v>0.22899999999999998</v>
      </c>
      <c r="H75" s="5">
        <v>0.23</v>
      </c>
      <c r="I75" s="5">
        <v>0.20600000000000002</v>
      </c>
      <c r="J75" s="5">
        <v>0.16500000000000001</v>
      </c>
      <c r="K75" s="5">
        <v>0.14699999999999999</v>
      </c>
      <c r="L75" s="5">
        <v>0.19500000000000001</v>
      </c>
      <c r="M75" s="5">
        <v>0.215</v>
      </c>
      <c r="N75" s="5">
        <v>0.18</v>
      </c>
    </row>
    <row r="76" spans="1:14" x14ac:dyDescent="0.25">
      <c r="A76">
        <v>2014</v>
      </c>
      <c r="B76">
        <v>161</v>
      </c>
      <c r="C76" t="s">
        <v>108</v>
      </c>
      <c r="D76" t="s">
        <v>91</v>
      </c>
      <c r="E76" s="5">
        <v>0.16699999999999998</v>
      </c>
      <c r="F76" s="5">
        <v>0.20199999999999999</v>
      </c>
      <c r="G76" s="5">
        <v>0.253</v>
      </c>
      <c r="H76" s="5">
        <v>0.26500000000000001</v>
      </c>
      <c r="I76" s="5">
        <v>0.25700000000000001</v>
      </c>
      <c r="J76" s="5">
        <v>0.26600000000000001</v>
      </c>
      <c r="K76" s="5">
        <v>0.252</v>
      </c>
      <c r="L76" s="5">
        <v>0.23600000000000002</v>
      </c>
      <c r="M76" s="5">
        <v>0.25</v>
      </c>
      <c r="N76" s="5">
        <v>0.2</v>
      </c>
    </row>
    <row r="77" spans="1:14" x14ac:dyDescent="0.25">
      <c r="A77">
        <v>2014</v>
      </c>
      <c r="B77">
        <v>161</v>
      </c>
      <c r="C77" t="s">
        <v>108</v>
      </c>
      <c r="D77" t="s">
        <v>90</v>
      </c>
      <c r="E77" s="5">
        <v>0.19600000000000001</v>
      </c>
      <c r="F77" s="5">
        <v>0.20100000000000001</v>
      </c>
      <c r="G77" s="5">
        <v>0.19</v>
      </c>
      <c r="H77" s="5">
        <v>0.21899999999999997</v>
      </c>
      <c r="I77" s="5">
        <v>0.22800000000000001</v>
      </c>
      <c r="J77" s="5">
        <v>0.22500000000000001</v>
      </c>
      <c r="K77" s="5">
        <v>0.22500000000000001</v>
      </c>
      <c r="L77" s="5">
        <v>0.223</v>
      </c>
      <c r="M77" s="5">
        <v>0.222</v>
      </c>
      <c r="N77" s="5">
        <v>0.16899999999999998</v>
      </c>
    </row>
    <row r="78" spans="1:14" x14ac:dyDescent="0.25">
      <c r="A78">
        <v>2014</v>
      </c>
      <c r="B78">
        <v>161</v>
      </c>
      <c r="C78" t="s">
        <v>108</v>
      </c>
      <c r="D78" t="s">
        <v>89</v>
      </c>
      <c r="E78" s="5">
        <v>0.16800000000000001</v>
      </c>
      <c r="F78" s="5">
        <v>0.17899999999999999</v>
      </c>
      <c r="G78" s="5">
        <v>0.218</v>
      </c>
      <c r="H78" s="5">
        <v>0.24100000000000002</v>
      </c>
      <c r="I78" s="5">
        <v>0.24</v>
      </c>
      <c r="J78" s="5">
        <v>0.221</v>
      </c>
      <c r="K78" s="5">
        <v>0.20899999999999999</v>
      </c>
      <c r="L78" s="5">
        <v>0.20899999999999999</v>
      </c>
      <c r="M78" s="5">
        <v>0.22600000000000001</v>
      </c>
      <c r="N78" s="5">
        <v>0.182</v>
      </c>
    </row>
    <row r="79" spans="1:14" x14ac:dyDescent="0.25">
      <c r="A79">
        <v>2014</v>
      </c>
      <c r="B79">
        <v>161</v>
      </c>
      <c r="C79" t="s">
        <v>108</v>
      </c>
      <c r="D79" t="s">
        <v>45</v>
      </c>
      <c r="E79" s="5" t="s">
        <v>109</v>
      </c>
      <c r="F79" s="5">
        <v>0.223</v>
      </c>
      <c r="G79" s="5">
        <v>0.223</v>
      </c>
      <c r="H79" s="5">
        <v>0.23199999999999998</v>
      </c>
      <c r="I79" s="5">
        <v>0.22399999999999998</v>
      </c>
      <c r="J79" s="5">
        <v>0.188</v>
      </c>
      <c r="K79" s="5">
        <v>0.17800000000000002</v>
      </c>
      <c r="L79" s="5">
        <v>0.20199999999999999</v>
      </c>
      <c r="M79" s="5">
        <v>0.222</v>
      </c>
      <c r="N79" s="5">
        <v>0.158</v>
      </c>
    </row>
    <row r="80" spans="1:14" x14ac:dyDescent="0.25">
      <c r="A80">
        <v>2014</v>
      </c>
      <c r="B80">
        <v>161</v>
      </c>
      <c r="C80" t="s">
        <v>108</v>
      </c>
      <c r="D80" t="s">
        <v>46</v>
      </c>
      <c r="E80" s="5">
        <v>0.23100000000000001</v>
      </c>
      <c r="F80" s="5">
        <v>0.23300000000000001</v>
      </c>
      <c r="G80" s="5">
        <v>0.23800000000000002</v>
      </c>
      <c r="H80" s="5">
        <v>0.249</v>
      </c>
      <c r="I80" s="5">
        <v>0.24199999999999999</v>
      </c>
      <c r="J80" s="5">
        <v>0.23499999999999999</v>
      </c>
      <c r="K80" s="5">
        <v>0.24</v>
      </c>
      <c r="L80" s="5">
        <v>0.23300000000000001</v>
      </c>
      <c r="M80" s="5">
        <v>0.20800000000000002</v>
      </c>
      <c r="N80" s="5">
        <v>0.13699999999999998</v>
      </c>
    </row>
    <row r="81" spans="1:14" x14ac:dyDescent="0.25">
      <c r="A81">
        <v>2014</v>
      </c>
      <c r="B81">
        <v>161</v>
      </c>
      <c r="C81" t="s">
        <v>108</v>
      </c>
      <c r="D81" t="s">
        <v>47</v>
      </c>
      <c r="E81" s="5">
        <v>0.19500000000000001</v>
      </c>
      <c r="F81" s="5">
        <v>0.19800000000000001</v>
      </c>
      <c r="G81" s="5">
        <v>0.21100000000000002</v>
      </c>
      <c r="H81" s="5">
        <v>0.22500000000000001</v>
      </c>
      <c r="I81" s="5">
        <v>0.218</v>
      </c>
      <c r="J81" s="5">
        <v>0.21199999999999999</v>
      </c>
      <c r="K81" s="5">
        <v>0.17800000000000002</v>
      </c>
      <c r="L81" s="5">
        <v>0.23399999999999999</v>
      </c>
      <c r="M81" s="5">
        <v>0.20899999999999999</v>
      </c>
      <c r="N81" s="5">
        <v>0.13300000000000001</v>
      </c>
    </row>
    <row r="82" spans="1:14" x14ac:dyDescent="0.25">
      <c r="A82">
        <v>2014</v>
      </c>
      <c r="B82">
        <v>161</v>
      </c>
      <c r="C82" t="s">
        <v>108</v>
      </c>
      <c r="D82" t="s">
        <v>48</v>
      </c>
      <c r="E82" s="5">
        <v>0.14400000000000002</v>
      </c>
      <c r="F82" s="5">
        <v>0.13699999999999998</v>
      </c>
      <c r="G82" s="5">
        <v>0.128</v>
      </c>
      <c r="H82" s="5">
        <v>0.124</v>
      </c>
      <c r="I82" s="5">
        <v>0.11199999999999999</v>
      </c>
      <c r="J82" s="5">
        <v>0.114</v>
      </c>
      <c r="K82" s="5">
        <v>0.13600000000000001</v>
      </c>
      <c r="L82" s="5">
        <v>0.19500000000000001</v>
      </c>
      <c r="M82" s="5">
        <v>0.21100000000000002</v>
      </c>
      <c r="N82" s="5">
        <v>0.13100000000000001</v>
      </c>
    </row>
    <row r="83" spans="1:14" x14ac:dyDescent="0.25">
      <c r="A83">
        <v>2014</v>
      </c>
      <c r="B83">
        <v>161</v>
      </c>
      <c r="C83" t="s">
        <v>108</v>
      </c>
      <c r="D83" t="s">
        <v>49</v>
      </c>
      <c r="E83" s="5">
        <v>0.182</v>
      </c>
      <c r="F83" s="5">
        <v>0.215</v>
      </c>
      <c r="G83" s="5">
        <v>0.23100000000000001</v>
      </c>
      <c r="H83" s="5">
        <v>0.23100000000000001</v>
      </c>
      <c r="I83" s="5">
        <v>0.23300000000000001</v>
      </c>
      <c r="J83" s="5">
        <v>0.20899999999999999</v>
      </c>
      <c r="K83" s="5">
        <v>0.16600000000000001</v>
      </c>
      <c r="L83" s="5">
        <v>0.17399999999999999</v>
      </c>
      <c r="M83" s="5">
        <v>0.20199999999999999</v>
      </c>
      <c r="N83" s="5">
        <v>0.14699999999999999</v>
      </c>
    </row>
    <row r="84" spans="1:14" x14ac:dyDescent="0.25">
      <c r="A84">
        <v>2014</v>
      </c>
      <c r="B84">
        <v>161</v>
      </c>
      <c r="C84" t="s">
        <v>108</v>
      </c>
      <c r="D84" t="s">
        <v>50</v>
      </c>
      <c r="E84" s="5">
        <v>0.19399999999999998</v>
      </c>
      <c r="F84" s="5">
        <v>0.21600000000000003</v>
      </c>
      <c r="G84" s="5">
        <v>0.20300000000000001</v>
      </c>
      <c r="H84" s="5">
        <v>0.17899999999999999</v>
      </c>
      <c r="I84" s="5">
        <v>0.16</v>
      </c>
      <c r="J84" s="5">
        <v>0.16800000000000001</v>
      </c>
      <c r="K84" s="5">
        <v>0.17699999999999999</v>
      </c>
      <c r="L84" s="5">
        <v>0.20899999999999999</v>
      </c>
      <c r="M84" s="5">
        <v>0.22600000000000001</v>
      </c>
      <c r="N84" s="5">
        <v>0.16200000000000001</v>
      </c>
    </row>
    <row r="85" spans="1:14" x14ac:dyDescent="0.25">
      <c r="A85">
        <v>2014</v>
      </c>
      <c r="B85">
        <v>167</v>
      </c>
      <c r="C85" t="s">
        <v>108</v>
      </c>
      <c r="D85" t="s">
        <v>51</v>
      </c>
      <c r="E85" s="5">
        <v>0.12300000000000001</v>
      </c>
      <c r="F85" s="5">
        <v>0.14099999999999999</v>
      </c>
      <c r="G85" s="5">
        <v>0.15</v>
      </c>
      <c r="H85" s="5">
        <v>0.16300000000000001</v>
      </c>
      <c r="I85" s="5">
        <v>0.187</v>
      </c>
      <c r="J85" s="5">
        <v>0.19800000000000001</v>
      </c>
      <c r="K85" s="5">
        <v>0.20699999999999999</v>
      </c>
      <c r="L85" s="5">
        <v>0.217</v>
      </c>
      <c r="M85" s="5">
        <v>0.19399999999999998</v>
      </c>
      <c r="N85" s="5">
        <v>0.11800000000000001</v>
      </c>
    </row>
    <row r="86" spans="1:14" x14ac:dyDescent="0.25">
      <c r="A86">
        <v>2014</v>
      </c>
      <c r="B86">
        <v>167</v>
      </c>
      <c r="C86" t="s">
        <v>108</v>
      </c>
      <c r="D86" t="s">
        <v>55</v>
      </c>
      <c r="E86" s="5">
        <v>0.20800000000000002</v>
      </c>
      <c r="F86" s="5">
        <v>0.14099999999999999</v>
      </c>
      <c r="G86" s="5">
        <v>0.124</v>
      </c>
      <c r="H86" s="5">
        <v>0.159</v>
      </c>
      <c r="I86" s="5">
        <v>0.17399999999999999</v>
      </c>
      <c r="J86" s="5">
        <v>0.182</v>
      </c>
      <c r="K86" s="5">
        <v>0.21</v>
      </c>
      <c r="L86" s="5">
        <v>0.215</v>
      </c>
      <c r="M86" s="5">
        <v>0.17</v>
      </c>
      <c r="N86" s="5">
        <v>0.11699999999999999</v>
      </c>
    </row>
    <row r="87" spans="1:14" x14ac:dyDescent="0.25">
      <c r="A87">
        <v>2014</v>
      </c>
      <c r="B87">
        <v>167</v>
      </c>
      <c r="C87" t="s">
        <v>108</v>
      </c>
      <c r="D87" t="s">
        <v>56</v>
      </c>
      <c r="E87" s="5">
        <v>0.122</v>
      </c>
      <c r="F87" s="5">
        <v>0.17199999999999999</v>
      </c>
      <c r="G87" s="5">
        <v>0.193</v>
      </c>
      <c r="H87" s="5">
        <v>0.19500000000000001</v>
      </c>
      <c r="I87" s="5">
        <v>0.19899999999999998</v>
      </c>
      <c r="J87" s="5">
        <v>0.19500000000000001</v>
      </c>
      <c r="K87" s="5">
        <v>0.19600000000000001</v>
      </c>
      <c r="L87" s="5">
        <v>0.217</v>
      </c>
      <c r="M87" s="5">
        <v>0.20899999999999999</v>
      </c>
      <c r="N87" s="5">
        <v>0.122</v>
      </c>
    </row>
    <row r="88" spans="1:14" x14ac:dyDescent="0.25">
      <c r="A88">
        <v>2014</v>
      </c>
      <c r="B88">
        <v>167</v>
      </c>
      <c r="C88" t="s">
        <v>108</v>
      </c>
      <c r="D88" t="s">
        <v>57</v>
      </c>
      <c r="E88" s="5">
        <v>0.13600000000000001</v>
      </c>
      <c r="F88" s="5">
        <v>0.13600000000000001</v>
      </c>
      <c r="G88" s="5">
        <v>0.152</v>
      </c>
      <c r="H88" s="5">
        <v>0.17699999999999999</v>
      </c>
      <c r="I88" s="5">
        <v>0.185</v>
      </c>
      <c r="J88" s="5">
        <v>0.20100000000000001</v>
      </c>
      <c r="K88" s="5">
        <v>0.20699999999999999</v>
      </c>
      <c r="L88" s="5">
        <v>0.214</v>
      </c>
      <c r="M88" s="5">
        <v>0.18899999999999997</v>
      </c>
      <c r="N88" s="5">
        <v>0.12300000000000001</v>
      </c>
    </row>
    <row r="89" spans="1:14" x14ac:dyDescent="0.25">
      <c r="A89">
        <v>2014</v>
      </c>
      <c r="B89">
        <v>167</v>
      </c>
      <c r="C89" t="s">
        <v>108</v>
      </c>
      <c r="D89" t="s">
        <v>58</v>
      </c>
      <c r="E89" s="5" t="s">
        <v>109</v>
      </c>
      <c r="F89" s="5" t="s">
        <v>109</v>
      </c>
      <c r="G89" s="5">
        <v>0.17300000000000001</v>
      </c>
      <c r="H89" s="5">
        <v>0.223</v>
      </c>
      <c r="I89" s="5">
        <v>0.19699999999999998</v>
      </c>
      <c r="J89" s="5">
        <v>0.21199999999999999</v>
      </c>
      <c r="K89" s="5">
        <v>0.22500000000000001</v>
      </c>
      <c r="L89" s="5">
        <v>0.24</v>
      </c>
      <c r="M89" s="5">
        <v>0.221</v>
      </c>
      <c r="N89" s="5">
        <v>0.14199999999999999</v>
      </c>
    </row>
    <row r="90" spans="1:14" x14ac:dyDescent="0.25">
      <c r="A90">
        <v>2014</v>
      </c>
      <c r="B90">
        <v>167</v>
      </c>
      <c r="C90" t="s">
        <v>108</v>
      </c>
      <c r="D90" t="s">
        <v>59</v>
      </c>
      <c r="E90" s="5" t="s">
        <v>109</v>
      </c>
      <c r="F90" s="5">
        <v>0.183</v>
      </c>
      <c r="G90" s="5">
        <v>0.19</v>
      </c>
      <c r="H90" s="5">
        <v>0.19600000000000001</v>
      </c>
      <c r="I90" s="5">
        <v>0.20199999999999999</v>
      </c>
      <c r="J90" s="5">
        <v>0.20600000000000002</v>
      </c>
      <c r="K90" s="5">
        <v>0.21</v>
      </c>
      <c r="L90" s="5">
        <v>0.255</v>
      </c>
      <c r="M90" s="5">
        <v>0.20699999999999999</v>
      </c>
      <c r="N90" s="5">
        <v>0.125</v>
      </c>
    </row>
    <row r="91" spans="1:14" x14ac:dyDescent="0.25">
      <c r="A91">
        <v>2014</v>
      </c>
      <c r="B91">
        <v>167</v>
      </c>
      <c r="C91" t="s">
        <v>108</v>
      </c>
      <c r="D91" t="s">
        <v>64</v>
      </c>
      <c r="E91" s="5">
        <v>0.221</v>
      </c>
      <c r="F91" s="5">
        <v>0.14099999999999999</v>
      </c>
      <c r="G91" s="5">
        <v>0.16899999999999998</v>
      </c>
      <c r="H91" s="5">
        <v>0.24600000000000002</v>
      </c>
      <c r="I91" s="5">
        <v>0.23399999999999999</v>
      </c>
      <c r="J91" s="5">
        <v>0.23300000000000001</v>
      </c>
      <c r="K91" s="5">
        <v>0.26300000000000001</v>
      </c>
      <c r="L91" s="5">
        <v>0.23899999999999999</v>
      </c>
      <c r="M91" s="5">
        <v>0.20300000000000001</v>
      </c>
      <c r="N91" s="5">
        <v>0.152</v>
      </c>
    </row>
    <row r="92" spans="1:14" x14ac:dyDescent="0.25">
      <c r="A92">
        <v>2014</v>
      </c>
      <c r="B92">
        <v>167</v>
      </c>
      <c r="C92" t="s">
        <v>108</v>
      </c>
      <c r="D92" t="s">
        <v>52</v>
      </c>
      <c r="E92" s="5">
        <v>0.14699999999999999</v>
      </c>
      <c r="F92" s="5">
        <v>0.16899999999999998</v>
      </c>
      <c r="G92" s="5">
        <v>0.184</v>
      </c>
      <c r="H92" s="5">
        <v>0.21</v>
      </c>
      <c r="I92" s="5">
        <v>0.23800000000000002</v>
      </c>
      <c r="J92" s="5">
        <v>0.26800000000000002</v>
      </c>
      <c r="K92" s="5">
        <v>0.28000000000000003</v>
      </c>
      <c r="L92" s="5">
        <v>0.28199999999999997</v>
      </c>
      <c r="M92" s="5">
        <v>0.23</v>
      </c>
      <c r="N92" s="5">
        <v>0.17399999999999999</v>
      </c>
    </row>
    <row r="93" spans="1:14" x14ac:dyDescent="0.25">
      <c r="A93">
        <v>2014</v>
      </c>
      <c r="B93">
        <v>167</v>
      </c>
      <c r="C93" t="s">
        <v>108</v>
      </c>
      <c r="D93" t="s">
        <v>62</v>
      </c>
      <c r="E93" s="5">
        <v>0.154</v>
      </c>
      <c r="F93" s="5">
        <v>0.14499999999999999</v>
      </c>
      <c r="G93" s="5">
        <v>0.156</v>
      </c>
      <c r="H93" s="5">
        <v>0.17699999999999999</v>
      </c>
      <c r="I93" s="5">
        <v>0.21100000000000002</v>
      </c>
      <c r="J93" s="5">
        <v>0.21</v>
      </c>
      <c r="K93" s="5">
        <v>0.20499999999999999</v>
      </c>
      <c r="L93" s="5">
        <v>0.23100000000000001</v>
      </c>
      <c r="M93" s="5">
        <v>0.20499999999999999</v>
      </c>
      <c r="N93" s="5">
        <v>0.15</v>
      </c>
    </row>
    <row r="94" spans="1:14" x14ac:dyDescent="0.25">
      <c r="A94">
        <v>2014</v>
      </c>
      <c r="B94">
        <v>167</v>
      </c>
      <c r="C94" t="s">
        <v>108</v>
      </c>
      <c r="D94" t="s">
        <v>63</v>
      </c>
      <c r="E94" s="5">
        <v>0.16699999999999998</v>
      </c>
      <c r="F94" s="5">
        <v>0.158</v>
      </c>
      <c r="G94" s="5">
        <v>0.16699999999999998</v>
      </c>
      <c r="H94" s="5">
        <v>0.20699999999999999</v>
      </c>
      <c r="I94" s="5">
        <v>0.23100000000000001</v>
      </c>
      <c r="J94" s="5">
        <v>0.24</v>
      </c>
      <c r="K94" s="5">
        <v>0.26899999999999996</v>
      </c>
      <c r="L94" s="5">
        <v>0.221</v>
      </c>
      <c r="M94" s="5">
        <v>0.20300000000000001</v>
      </c>
      <c r="N94" s="5">
        <v>0.155</v>
      </c>
    </row>
    <row r="95" spans="1:14" x14ac:dyDescent="0.25">
      <c r="A95">
        <v>2014</v>
      </c>
      <c r="B95">
        <v>167</v>
      </c>
      <c r="C95" t="s">
        <v>108</v>
      </c>
      <c r="D95" t="s">
        <v>61</v>
      </c>
      <c r="E95" s="5" t="s">
        <v>109</v>
      </c>
      <c r="F95" s="5">
        <v>0.28600000000000003</v>
      </c>
      <c r="G95" s="5">
        <v>0.23499999999999999</v>
      </c>
      <c r="H95" s="5">
        <v>0.188</v>
      </c>
      <c r="I95" s="5">
        <v>0.20899999999999999</v>
      </c>
      <c r="J95" s="5">
        <v>0.21199999999999999</v>
      </c>
      <c r="K95" s="5">
        <v>0.217</v>
      </c>
      <c r="L95" s="5">
        <v>0.26899999999999996</v>
      </c>
      <c r="M95" s="5">
        <v>0.24199999999999999</v>
      </c>
      <c r="N95" s="5">
        <v>0.17600000000000002</v>
      </c>
    </row>
    <row r="96" spans="1:14" x14ac:dyDescent="0.25">
      <c r="A96">
        <v>2014</v>
      </c>
      <c r="B96">
        <v>167</v>
      </c>
      <c r="C96" t="s">
        <v>108</v>
      </c>
      <c r="D96" t="s">
        <v>60</v>
      </c>
      <c r="E96" s="5" t="s">
        <v>109</v>
      </c>
      <c r="F96" s="5">
        <v>0.22699999999999998</v>
      </c>
      <c r="G96" s="5">
        <v>0.25700000000000001</v>
      </c>
      <c r="H96" s="5">
        <v>0.25800000000000001</v>
      </c>
      <c r="I96" s="5">
        <v>0.192</v>
      </c>
      <c r="J96" s="5">
        <v>0.2</v>
      </c>
      <c r="K96" s="5">
        <v>0.21299999999999999</v>
      </c>
      <c r="L96" s="5">
        <v>0.19699999999999998</v>
      </c>
      <c r="M96" s="5">
        <v>0.21</v>
      </c>
      <c r="N96" s="5">
        <v>0.14199999999999999</v>
      </c>
    </row>
    <row r="97" spans="1:14" x14ac:dyDescent="0.25">
      <c r="A97">
        <v>2014</v>
      </c>
      <c r="B97">
        <v>167</v>
      </c>
      <c r="C97" t="s">
        <v>108</v>
      </c>
      <c r="D97" t="s">
        <v>29</v>
      </c>
      <c r="E97" s="5">
        <v>0.19</v>
      </c>
      <c r="F97" s="5">
        <v>0.16699999999999998</v>
      </c>
      <c r="G97" s="5">
        <v>0.20800000000000002</v>
      </c>
      <c r="H97" s="5">
        <v>0.221</v>
      </c>
      <c r="I97" s="5">
        <v>0.23600000000000002</v>
      </c>
      <c r="J97" s="5">
        <v>0.252</v>
      </c>
      <c r="K97" s="5">
        <v>0.252</v>
      </c>
      <c r="L97" s="5">
        <v>0.23800000000000002</v>
      </c>
      <c r="M97" s="5">
        <v>0.20100000000000001</v>
      </c>
      <c r="N97" s="5">
        <v>0.126</v>
      </c>
    </row>
    <row r="98" spans="1:14" x14ac:dyDescent="0.25">
      <c r="A98">
        <v>2014</v>
      </c>
      <c r="B98">
        <v>167</v>
      </c>
      <c r="C98" t="s">
        <v>108</v>
      </c>
      <c r="D98" t="s">
        <v>30</v>
      </c>
      <c r="E98" s="5">
        <v>0.17800000000000002</v>
      </c>
      <c r="F98" s="5">
        <v>0.18600000000000003</v>
      </c>
      <c r="G98" s="5">
        <v>0.22600000000000001</v>
      </c>
      <c r="H98" s="5">
        <v>0.23499999999999999</v>
      </c>
      <c r="I98" s="5">
        <v>0.23</v>
      </c>
      <c r="J98" s="5">
        <v>0.24199999999999999</v>
      </c>
      <c r="K98" s="5">
        <v>0.27399999999999997</v>
      </c>
      <c r="L98" s="5">
        <v>0.20199999999999999</v>
      </c>
      <c r="M98" s="5">
        <v>0.17</v>
      </c>
      <c r="N98" s="5">
        <v>0.113</v>
      </c>
    </row>
    <row r="99" spans="1:14" x14ac:dyDescent="0.25">
      <c r="A99">
        <v>2014</v>
      </c>
      <c r="B99">
        <v>167</v>
      </c>
      <c r="C99" t="s">
        <v>108</v>
      </c>
      <c r="D99" t="s">
        <v>31</v>
      </c>
      <c r="E99" s="5">
        <v>0.17699999999999999</v>
      </c>
      <c r="F99" s="5">
        <v>0.158</v>
      </c>
      <c r="G99" s="5">
        <v>0.16300000000000001</v>
      </c>
      <c r="H99" s="5">
        <v>0.18600000000000003</v>
      </c>
      <c r="I99" s="5">
        <v>0.23300000000000001</v>
      </c>
      <c r="J99" s="5">
        <v>0.23699999999999999</v>
      </c>
      <c r="K99" s="5">
        <v>0.23800000000000002</v>
      </c>
      <c r="L99" s="5">
        <v>0.21100000000000002</v>
      </c>
      <c r="M99" s="5">
        <v>0.17899999999999999</v>
      </c>
      <c r="N99" s="5">
        <v>0.13400000000000001</v>
      </c>
    </row>
    <row r="100" spans="1:14" x14ac:dyDescent="0.25">
      <c r="A100">
        <v>2014</v>
      </c>
      <c r="B100">
        <v>167</v>
      </c>
      <c r="C100" t="s">
        <v>108</v>
      </c>
      <c r="D100" t="s">
        <v>32</v>
      </c>
      <c r="E100" s="5">
        <v>0.23100000000000001</v>
      </c>
      <c r="F100" s="5">
        <v>0.184</v>
      </c>
      <c r="G100" s="5">
        <v>0.21199999999999999</v>
      </c>
      <c r="H100" s="5">
        <v>0.19399999999999998</v>
      </c>
      <c r="I100" s="5">
        <v>0.20199999999999999</v>
      </c>
      <c r="J100" s="5">
        <v>0.192</v>
      </c>
      <c r="K100" s="5">
        <v>0.17399999999999999</v>
      </c>
      <c r="L100" s="5">
        <v>0.17899999999999999</v>
      </c>
      <c r="M100" s="5">
        <v>0.19699999999999998</v>
      </c>
      <c r="N100" s="5">
        <v>0.124</v>
      </c>
    </row>
    <row r="101" spans="1:14" x14ac:dyDescent="0.25">
      <c r="A101">
        <v>2014</v>
      </c>
      <c r="B101">
        <v>167</v>
      </c>
      <c r="C101" t="s">
        <v>108</v>
      </c>
      <c r="D101" t="s">
        <v>33</v>
      </c>
      <c r="E101" s="5">
        <v>0.17</v>
      </c>
      <c r="F101" s="5">
        <v>0.17100000000000001</v>
      </c>
      <c r="G101" s="5">
        <v>0.185</v>
      </c>
      <c r="H101" s="5">
        <v>0.193</v>
      </c>
      <c r="I101" s="5">
        <v>0.22399999999999998</v>
      </c>
      <c r="J101" s="5">
        <v>0.249</v>
      </c>
      <c r="K101" s="5">
        <v>0.26300000000000001</v>
      </c>
      <c r="L101" s="5">
        <v>0.23600000000000002</v>
      </c>
      <c r="M101" s="5">
        <v>0.193</v>
      </c>
      <c r="N101" s="5">
        <v>0.13500000000000001</v>
      </c>
    </row>
    <row r="102" spans="1:14" x14ac:dyDescent="0.25">
      <c r="A102">
        <v>2014</v>
      </c>
      <c r="B102">
        <v>167</v>
      </c>
      <c r="C102" t="s">
        <v>108</v>
      </c>
      <c r="D102" t="s">
        <v>34</v>
      </c>
      <c r="E102" s="5">
        <v>0.19399999999999998</v>
      </c>
      <c r="F102" s="5">
        <v>0.18600000000000003</v>
      </c>
      <c r="G102" s="5">
        <v>0.23499999999999999</v>
      </c>
      <c r="H102" s="5">
        <v>0.25700000000000001</v>
      </c>
      <c r="I102" s="5">
        <v>0.222</v>
      </c>
      <c r="J102" s="5">
        <v>0.23699999999999999</v>
      </c>
      <c r="K102" s="5">
        <v>0.23300000000000001</v>
      </c>
      <c r="L102" s="5">
        <v>0.222</v>
      </c>
      <c r="M102" s="5">
        <v>0.16600000000000001</v>
      </c>
      <c r="N102" s="5">
        <v>0.111</v>
      </c>
    </row>
    <row r="103" spans="1:14" x14ac:dyDescent="0.25">
      <c r="A103">
        <v>2014</v>
      </c>
      <c r="B103">
        <v>167</v>
      </c>
      <c r="C103" t="s">
        <v>108</v>
      </c>
      <c r="D103" t="s">
        <v>70</v>
      </c>
      <c r="E103" s="5">
        <v>0.17399999999999999</v>
      </c>
      <c r="F103" s="5">
        <v>0.17399999999999999</v>
      </c>
      <c r="G103" s="5">
        <v>0.21600000000000003</v>
      </c>
      <c r="H103" s="5">
        <v>0.22399999999999998</v>
      </c>
      <c r="I103" s="5">
        <v>0.24600000000000002</v>
      </c>
      <c r="J103" s="5">
        <v>0.27600000000000002</v>
      </c>
      <c r="K103" s="5">
        <v>0.29399999999999998</v>
      </c>
      <c r="L103" s="5">
        <v>0.26400000000000001</v>
      </c>
      <c r="M103" s="5">
        <v>0.24299999999999999</v>
      </c>
      <c r="N103" s="5">
        <v>0.19800000000000001</v>
      </c>
    </row>
    <row r="104" spans="1:14" x14ac:dyDescent="0.25">
      <c r="A104">
        <v>2014</v>
      </c>
      <c r="B104">
        <v>167</v>
      </c>
      <c r="C104" t="s">
        <v>108</v>
      </c>
      <c r="D104" t="s">
        <v>69</v>
      </c>
      <c r="E104" s="5" t="s">
        <v>109</v>
      </c>
      <c r="F104" s="5" t="s">
        <v>109</v>
      </c>
      <c r="G104" s="5" t="s">
        <v>109</v>
      </c>
      <c r="H104" s="5" t="s">
        <v>109</v>
      </c>
      <c r="I104" s="5" t="s">
        <v>109</v>
      </c>
      <c r="J104" s="5">
        <v>0.26200000000000001</v>
      </c>
      <c r="K104" s="5">
        <v>0.27600000000000002</v>
      </c>
      <c r="L104" s="5">
        <v>0.252</v>
      </c>
      <c r="M104" s="5">
        <v>0.23600000000000002</v>
      </c>
      <c r="N104" s="5">
        <v>0.19500000000000001</v>
      </c>
    </row>
    <row r="105" spans="1:14" x14ac:dyDescent="0.25">
      <c r="A105">
        <v>2014</v>
      </c>
      <c r="B105">
        <v>167</v>
      </c>
      <c r="C105" t="s">
        <v>108</v>
      </c>
      <c r="D105" t="s">
        <v>68</v>
      </c>
      <c r="E105" s="5">
        <v>0.18</v>
      </c>
      <c r="F105" s="5">
        <v>0.17699999999999999</v>
      </c>
      <c r="G105" s="5">
        <v>0.191</v>
      </c>
      <c r="H105" s="5">
        <v>0.193</v>
      </c>
      <c r="I105" s="5">
        <v>0.23199999999999998</v>
      </c>
      <c r="J105" s="5">
        <v>0.255</v>
      </c>
      <c r="K105" s="5">
        <v>0.27500000000000002</v>
      </c>
      <c r="L105" s="5">
        <v>0.25600000000000001</v>
      </c>
      <c r="M105" s="5">
        <v>0.24399999999999999</v>
      </c>
      <c r="N105" s="5">
        <v>0.191</v>
      </c>
    </row>
    <row r="106" spans="1:14" x14ac:dyDescent="0.25">
      <c r="A106">
        <v>2014</v>
      </c>
      <c r="B106">
        <v>167</v>
      </c>
      <c r="C106" t="s">
        <v>108</v>
      </c>
      <c r="D106" t="s">
        <v>67</v>
      </c>
      <c r="E106" s="5">
        <v>0.20300000000000001</v>
      </c>
      <c r="F106" s="5">
        <v>0.218</v>
      </c>
      <c r="G106" s="5">
        <v>0.21100000000000002</v>
      </c>
      <c r="H106" s="5">
        <v>0.22399999999999998</v>
      </c>
      <c r="I106" s="5">
        <v>0.23899999999999999</v>
      </c>
      <c r="J106" s="5">
        <v>0.23</v>
      </c>
      <c r="K106" s="5">
        <v>0.25</v>
      </c>
      <c r="L106" s="5">
        <v>0.28000000000000003</v>
      </c>
      <c r="M106" s="5">
        <v>0.22600000000000001</v>
      </c>
      <c r="N106" s="5">
        <v>0.17600000000000002</v>
      </c>
    </row>
    <row r="107" spans="1:14" x14ac:dyDescent="0.25">
      <c r="A107">
        <v>2014</v>
      </c>
      <c r="B107">
        <v>167</v>
      </c>
      <c r="C107" t="s">
        <v>108</v>
      </c>
      <c r="D107" t="s">
        <v>66</v>
      </c>
      <c r="E107" s="5">
        <v>0.20699999999999999</v>
      </c>
      <c r="F107" s="5">
        <v>0.28600000000000003</v>
      </c>
      <c r="G107" s="5">
        <v>0.23199999999999998</v>
      </c>
      <c r="H107" s="5">
        <v>0.23899999999999999</v>
      </c>
      <c r="I107" s="5">
        <v>0.23699999999999999</v>
      </c>
      <c r="J107" s="5">
        <v>0.23699999999999999</v>
      </c>
      <c r="K107" s="5">
        <v>0.19899999999999998</v>
      </c>
      <c r="L107" s="5">
        <v>0.19399999999999998</v>
      </c>
      <c r="M107" s="5">
        <v>0.2</v>
      </c>
      <c r="N107" s="5">
        <v>0.155</v>
      </c>
    </row>
    <row r="108" spans="1:14" x14ac:dyDescent="0.25">
      <c r="A108">
        <v>2014</v>
      </c>
      <c r="B108">
        <v>167</v>
      </c>
      <c r="C108" t="s">
        <v>108</v>
      </c>
      <c r="D108" t="s">
        <v>65</v>
      </c>
      <c r="E108" s="5">
        <v>0.20600000000000002</v>
      </c>
      <c r="F108" s="5">
        <v>0.215</v>
      </c>
      <c r="G108" s="5">
        <v>0.28000000000000003</v>
      </c>
      <c r="H108" s="5">
        <v>0.19399999999999998</v>
      </c>
      <c r="I108" s="5">
        <v>0.21100000000000002</v>
      </c>
      <c r="J108" s="5">
        <v>0.23</v>
      </c>
      <c r="K108" s="5">
        <v>0.24</v>
      </c>
      <c r="L108" s="5">
        <v>0.22600000000000001</v>
      </c>
      <c r="M108" s="5">
        <v>0.19800000000000001</v>
      </c>
      <c r="N108" s="5">
        <v>0.14400000000000002</v>
      </c>
    </row>
    <row r="109" spans="1:14" x14ac:dyDescent="0.25">
      <c r="A109">
        <v>2014</v>
      </c>
      <c r="B109">
        <v>167</v>
      </c>
      <c r="C109" t="s">
        <v>108</v>
      </c>
      <c r="D109" t="s">
        <v>71</v>
      </c>
      <c r="E109" s="5">
        <v>0.19500000000000001</v>
      </c>
      <c r="F109" s="5">
        <v>0.21600000000000003</v>
      </c>
      <c r="G109" s="5">
        <v>0.24</v>
      </c>
      <c r="H109" s="5">
        <v>0.23800000000000002</v>
      </c>
      <c r="I109" s="5">
        <v>0.24600000000000002</v>
      </c>
      <c r="J109" s="5">
        <v>0.26</v>
      </c>
      <c r="K109" s="5">
        <v>0.22</v>
      </c>
      <c r="L109" s="5">
        <v>0.21299999999999999</v>
      </c>
      <c r="M109" s="5">
        <v>0.23600000000000002</v>
      </c>
      <c r="N109" s="5">
        <v>0.18600000000000003</v>
      </c>
    </row>
    <row r="110" spans="1:14" x14ac:dyDescent="0.25">
      <c r="A110">
        <v>2014</v>
      </c>
      <c r="B110">
        <v>167</v>
      </c>
      <c r="C110" t="s">
        <v>108</v>
      </c>
      <c r="D110" t="s">
        <v>74</v>
      </c>
      <c r="E110" s="5" t="s">
        <v>109</v>
      </c>
      <c r="F110" s="5">
        <v>0.17800000000000002</v>
      </c>
      <c r="G110" s="5">
        <v>0.2</v>
      </c>
      <c r="H110" s="5">
        <v>0.218</v>
      </c>
      <c r="I110" s="5">
        <v>0.23199999999999998</v>
      </c>
      <c r="J110" s="5">
        <v>0.20800000000000002</v>
      </c>
      <c r="K110" s="5">
        <v>0.22500000000000001</v>
      </c>
      <c r="L110" s="5">
        <v>0.22899999999999998</v>
      </c>
      <c r="M110" s="5">
        <v>0.22699999999999998</v>
      </c>
      <c r="N110" s="5">
        <v>0.18899999999999997</v>
      </c>
    </row>
    <row r="111" spans="1:14" x14ac:dyDescent="0.25">
      <c r="A111">
        <v>2014</v>
      </c>
      <c r="B111">
        <v>167</v>
      </c>
      <c r="C111" t="s">
        <v>108</v>
      </c>
      <c r="D111" t="s">
        <v>75</v>
      </c>
      <c r="E111" s="5" t="s">
        <v>109</v>
      </c>
      <c r="F111" s="5">
        <v>0.182</v>
      </c>
      <c r="G111" s="5">
        <v>0.17</v>
      </c>
      <c r="H111" s="5">
        <v>0.25</v>
      </c>
      <c r="I111" s="5">
        <v>0.21600000000000003</v>
      </c>
      <c r="J111" s="5">
        <v>0.24299999999999999</v>
      </c>
      <c r="K111" s="5">
        <v>0.26899999999999996</v>
      </c>
      <c r="L111" s="5">
        <v>0.247</v>
      </c>
      <c r="M111" s="5">
        <v>0.23399999999999999</v>
      </c>
      <c r="N111" s="5">
        <v>0.191</v>
      </c>
    </row>
    <row r="112" spans="1:14" x14ac:dyDescent="0.25">
      <c r="A112">
        <v>2014</v>
      </c>
      <c r="B112">
        <v>167</v>
      </c>
      <c r="C112" t="s">
        <v>108</v>
      </c>
      <c r="D112" t="s">
        <v>76</v>
      </c>
      <c r="E112" s="5">
        <v>0.17399999999999999</v>
      </c>
      <c r="F112" s="5">
        <v>0.17</v>
      </c>
      <c r="G112" s="5">
        <v>0.17699999999999999</v>
      </c>
      <c r="H112" s="5">
        <v>0.20600000000000002</v>
      </c>
      <c r="I112" s="5">
        <v>0.24299999999999999</v>
      </c>
      <c r="J112" s="5">
        <v>0.248</v>
      </c>
      <c r="K112" s="5">
        <v>0.247</v>
      </c>
      <c r="L112" s="5">
        <v>0.26500000000000001</v>
      </c>
      <c r="M112" s="5">
        <v>0.23499999999999999</v>
      </c>
      <c r="N112" s="5">
        <v>0.19600000000000001</v>
      </c>
    </row>
    <row r="113" spans="1:14" x14ac:dyDescent="0.25">
      <c r="A113">
        <v>2014</v>
      </c>
      <c r="B113">
        <v>167</v>
      </c>
      <c r="C113" t="s">
        <v>108</v>
      </c>
      <c r="D113" t="s">
        <v>53</v>
      </c>
      <c r="E113" s="5" t="s">
        <v>109</v>
      </c>
      <c r="F113" s="5">
        <v>0.29100000000000004</v>
      </c>
      <c r="G113" s="5">
        <v>0.20399999999999999</v>
      </c>
      <c r="H113" s="5">
        <v>0.23</v>
      </c>
      <c r="I113" s="5">
        <v>0.252</v>
      </c>
      <c r="J113" s="5">
        <v>0.26400000000000001</v>
      </c>
      <c r="K113" s="5">
        <v>0.27699999999999997</v>
      </c>
      <c r="L113" s="5">
        <v>0.252</v>
      </c>
      <c r="M113" s="5">
        <v>0.24299999999999999</v>
      </c>
      <c r="N113" s="5">
        <v>0.182</v>
      </c>
    </row>
    <row r="114" spans="1:14" x14ac:dyDescent="0.25">
      <c r="A114">
        <v>2014</v>
      </c>
      <c r="B114">
        <v>167</v>
      </c>
      <c r="C114" t="s">
        <v>108</v>
      </c>
      <c r="D114" t="s">
        <v>77</v>
      </c>
      <c r="E114" s="5">
        <v>0.22699999999999998</v>
      </c>
      <c r="F114" s="5">
        <v>0.255</v>
      </c>
      <c r="G114" s="5">
        <v>0.223</v>
      </c>
      <c r="H114" s="5">
        <v>0.21</v>
      </c>
      <c r="I114" s="5">
        <v>0.20699999999999999</v>
      </c>
      <c r="J114" s="5">
        <v>0.21</v>
      </c>
      <c r="K114" s="5">
        <v>0.17600000000000002</v>
      </c>
      <c r="L114" s="5">
        <v>0.23300000000000001</v>
      </c>
      <c r="M114" s="5">
        <v>0.218</v>
      </c>
      <c r="N114" s="5">
        <v>0.16800000000000001</v>
      </c>
    </row>
    <row r="115" spans="1:14" x14ac:dyDescent="0.25">
      <c r="A115">
        <v>2014</v>
      </c>
      <c r="B115">
        <v>167</v>
      </c>
      <c r="C115" t="s">
        <v>108</v>
      </c>
      <c r="D115" t="s">
        <v>73</v>
      </c>
      <c r="E115" s="5">
        <v>0.17699999999999999</v>
      </c>
      <c r="F115" s="5">
        <v>0.20499999999999999</v>
      </c>
      <c r="G115" s="5">
        <v>0.23800000000000002</v>
      </c>
      <c r="H115" s="5">
        <v>0.23899999999999999</v>
      </c>
      <c r="I115" s="5">
        <v>0.20300000000000001</v>
      </c>
      <c r="J115" s="5">
        <v>0.21299999999999999</v>
      </c>
      <c r="K115" s="5">
        <v>0.187</v>
      </c>
      <c r="L115" s="5">
        <v>0.184</v>
      </c>
      <c r="M115" s="5">
        <v>0.19500000000000001</v>
      </c>
      <c r="N115" s="5">
        <v>0.13900000000000001</v>
      </c>
    </row>
    <row r="116" spans="1:14" x14ac:dyDescent="0.25">
      <c r="A116">
        <v>2014</v>
      </c>
      <c r="B116">
        <v>167</v>
      </c>
      <c r="C116" t="s">
        <v>108</v>
      </c>
      <c r="D116" t="s">
        <v>81</v>
      </c>
      <c r="E116" s="5" t="s">
        <v>109</v>
      </c>
      <c r="F116" s="5">
        <v>0.251</v>
      </c>
      <c r="G116" s="5">
        <v>0.23699999999999999</v>
      </c>
      <c r="H116" s="5">
        <v>0.254</v>
      </c>
      <c r="I116" s="5">
        <v>0.27600000000000002</v>
      </c>
      <c r="J116" s="5">
        <v>0.25600000000000001</v>
      </c>
      <c r="K116" s="5">
        <v>0.23300000000000001</v>
      </c>
      <c r="L116" s="5">
        <v>0.20499999999999999</v>
      </c>
      <c r="M116" s="5">
        <v>0.22500000000000001</v>
      </c>
      <c r="N116" s="5">
        <v>0.159</v>
      </c>
    </row>
    <row r="117" spans="1:14" x14ac:dyDescent="0.25">
      <c r="A117">
        <v>2014</v>
      </c>
      <c r="B117">
        <v>167</v>
      </c>
      <c r="C117" t="s">
        <v>108</v>
      </c>
      <c r="D117" t="s">
        <v>80</v>
      </c>
      <c r="E117" s="5" t="s">
        <v>109</v>
      </c>
      <c r="F117" s="5">
        <v>0.20600000000000002</v>
      </c>
      <c r="G117" s="5">
        <v>0.22600000000000001</v>
      </c>
      <c r="H117" s="5">
        <v>0.23899999999999999</v>
      </c>
      <c r="I117" s="5">
        <v>0.245</v>
      </c>
      <c r="J117" s="5">
        <v>0.25900000000000001</v>
      </c>
      <c r="K117" s="5">
        <v>0.27</v>
      </c>
      <c r="L117" s="5">
        <v>0.22699999999999998</v>
      </c>
      <c r="M117" s="5">
        <v>0.21199999999999999</v>
      </c>
      <c r="N117" s="5">
        <v>0.16800000000000001</v>
      </c>
    </row>
    <row r="118" spans="1:14" x14ac:dyDescent="0.25">
      <c r="A118">
        <v>2014</v>
      </c>
      <c r="B118">
        <v>167</v>
      </c>
      <c r="C118" t="s">
        <v>108</v>
      </c>
      <c r="D118" t="s">
        <v>79</v>
      </c>
      <c r="E118" s="5" t="s">
        <v>109</v>
      </c>
      <c r="F118" s="5">
        <v>0.19500000000000001</v>
      </c>
      <c r="G118" s="5">
        <v>0.21199999999999999</v>
      </c>
      <c r="H118" s="5">
        <v>0.247</v>
      </c>
      <c r="I118" s="5">
        <v>0.26</v>
      </c>
      <c r="J118" s="5">
        <v>0.27800000000000002</v>
      </c>
      <c r="K118" s="5">
        <v>0.26300000000000001</v>
      </c>
      <c r="L118" s="5">
        <v>0.247</v>
      </c>
      <c r="M118" s="5">
        <v>0.21</v>
      </c>
      <c r="N118" s="5">
        <v>0.158</v>
      </c>
    </row>
    <row r="119" spans="1:14" x14ac:dyDescent="0.25">
      <c r="A119">
        <v>2014</v>
      </c>
      <c r="B119">
        <v>167</v>
      </c>
      <c r="C119" t="s">
        <v>108</v>
      </c>
      <c r="D119" t="s">
        <v>78</v>
      </c>
      <c r="E119" s="5" t="s">
        <v>109</v>
      </c>
      <c r="F119" s="5">
        <v>0.222</v>
      </c>
      <c r="G119" s="5">
        <v>0.19899999999999998</v>
      </c>
      <c r="H119" s="5">
        <v>0.22699999999999998</v>
      </c>
      <c r="I119" s="5">
        <v>0.24100000000000002</v>
      </c>
      <c r="J119" s="5">
        <v>0.248</v>
      </c>
      <c r="K119" s="5">
        <v>0.25</v>
      </c>
      <c r="L119" s="5">
        <v>0.21899999999999997</v>
      </c>
      <c r="M119" s="5">
        <v>0.193</v>
      </c>
      <c r="N119" s="5">
        <v>0.13100000000000001</v>
      </c>
    </row>
    <row r="120" spans="1:14" x14ac:dyDescent="0.25">
      <c r="A120">
        <v>2014</v>
      </c>
      <c r="B120">
        <v>167</v>
      </c>
      <c r="C120" t="s">
        <v>108</v>
      </c>
      <c r="D120" t="s">
        <v>54</v>
      </c>
      <c r="E120" s="5" t="s">
        <v>109</v>
      </c>
      <c r="F120" s="5" t="s">
        <v>109</v>
      </c>
      <c r="G120" s="5">
        <v>0.20399999999999999</v>
      </c>
      <c r="H120" s="5">
        <v>0.2</v>
      </c>
      <c r="I120" s="5">
        <v>0.218</v>
      </c>
      <c r="J120" s="5">
        <v>0.215</v>
      </c>
      <c r="K120" s="5">
        <v>0.20699999999999999</v>
      </c>
      <c r="L120" s="5">
        <v>0.23399999999999999</v>
      </c>
      <c r="M120" s="5">
        <v>0.21199999999999999</v>
      </c>
      <c r="N120" s="5">
        <v>0.152</v>
      </c>
    </row>
    <row r="121" spans="1:14" x14ac:dyDescent="0.25">
      <c r="A121">
        <v>2014</v>
      </c>
      <c r="B121">
        <v>167</v>
      </c>
      <c r="C121" t="s">
        <v>108</v>
      </c>
      <c r="D121" t="s">
        <v>35</v>
      </c>
      <c r="E121" s="5" t="s">
        <v>109</v>
      </c>
      <c r="F121" s="5">
        <v>0.254</v>
      </c>
      <c r="G121" s="5">
        <v>0.22899999999999998</v>
      </c>
      <c r="H121" s="5">
        <v>0.19899999999999998</v>
      </c>
      <c r="I121" s="5">
        <v>0.17600000000000002</v>
      </c>
      <c r="J121" s="5">
        <v>0.17</v>
      </c>
      <c r="K121" s="5">
        <v>0.17499999999999999</v>
      </c>
      <c r="L121" s="5">
        <v>0.22500000000000001</v>
      </c>
      <c r="M121" s="5">
        <v>0.222</v>
      </c>
      <c r="N121" s="5">
        <v>0.14000000000000001</v>
      </c>
    </row>
    <row r="122" spans="1:14" x14ac:dyDescent="0.25">
      <c r="A122">
        <v>2014</v>
      </c>
      <c r="B122">
        <v>167</v>
      </c>
      <c r="C122" t="s">
        <v>108</v>
      </c>
      <c r="D122" t="s">
        <v>37</v>
      </c>
      <c r="E122" s="5" t="s">
        <v>109</v>
      </c>
      <c r="F122" s="5">
        <v>0.26400000000000001</v>
      </c>
      <c r="G122" s="5">
        <v>0.26899999999999996</v>
      </c>
      <c r="H122" s="5">
        <v>0.26800000000000002</v>
      </c>
      <c r="I122" s="5">
        <v>0.255</v>
      </c>
      <c r="J122" s="5">
        <v>0.26899999999999996</v>
      </c>
      <c r="K122" s="5">
        <v>0.23</v>
      </c>
      <c r="L122" s="5">
        <v>0.215</v>
      </c>
      <c r="M122" s="5">
        <v>0.24199999999999999</v>
      </c>
      <c r="N122" s="5">
        <v>0.17399999999999999</v>
      </c>
    </row>
    <row r="123" spans="1:14" x14ac:dyDescent="0.25">
      <c r="A123">
        <v>2014</v>
      </c>
      <c r="B123">
        <v>167</v>
      </c>
      <c r="C123" t="s">
        <v>108</v>
      </c>
      <c r="D123" t="s">
        <v>40</v>
      </c>
      <c r="E123" s="5" t="s">
        <v>109</v>
      </c>
      <c r="F123" s="5">
        <v>0.21100000000000002</v>
      </c>
      <c r="G123" s="5">
        <v>0.23499999999999999</v>
      </c>
      <c r="H123" s="5">
        <v>0.23699999999999999</v>
      </c>
      <c r="I123" s="5">
        <v>0.24</v>
      </c>
      <c r="J123" s="5">
        <v>0.222</v>
      </c>
      <c r="K123" s="5">
        <v>0.19399999999999998</v>
      </c>
      <c r="L123" s="5">
        <v>0.19399999999999998</v>
      </c>
      <c r="M123" s="5">
        <v>0.24</v>
      </c>
      <c r="N123" s="5">
        <v>0.156</v>
      </c>
    </row>
    <row r="124" spans="1:14" x14ac:dyDescent="0.25">
      <c r="A124">
        <v>2014</v>
      </c>
      <c r="B124">
        <v>167</v>
      </c>
      <c r="C124" t="s">
        <v>108</v>
      </c>
      <c r="D124" t="s">
        <v>41</v>
      </c>
      <c r="E124" s="5" t="s">
        <v>109</v>
      </c>
      <c r="F124" s="5">
        <v>0.251</v>
      </c>
      <c r="G124" s="5">
        <v>0.26899999999999996</v>
      </c>
      <c r="H124" s="5">
        <v>0.218</v>
      </c>
      <c r="I124" s="5">
        <v>0.21100000000000002</v>
      </c>
      <c r="J124" s="5">
        <v>0.22800000000000001</v>
      </c>
      <c r="K124" s="5">
        <v>0.25900000000000001</v>
      </c>
      <c r="L124" s="5">
        <v>0.24100000000000002</v>
      </c>
      <c r="M124" s="5">
        <v>0.222</v>
      </c>
      <c r="N124" s="5">
        <v>0.16</v>
      </c>
    </row>
    <row r="125" spans="1:14" x14ac:dyDescent="0.25">
      <c r="A125">
        <v>2014</v>
      </c>
      <c r="B125">
        <v>167</v>
      </c>
      <c r="C125" t="s">
        <v>108</v>
      </c>
      <c r="D125" t="s">
        <v>43</v>
      </c>
      <c r="E125" s="5" t="s">
        <v>109</v>
      </c>
      <c r="F125" s="5">
        <v>0.24100000000000002</v>
      </c>
      <c r="G125" s="5">
        <v>0.19500000000000001</v>
      </c>
      <c r="H125" s="5">
        <v>0.18600000000000003</v>
      </c>
      <c r="I125" s="5">
        <v>0.17800000000000002</v>
      </c>
      <c r="J125" s="5">
        <v>0.17899999999999999</v>
      </c>
      <c r="K125" s="5">
        <v>0.16399999999999998</v>
      </c>
      <c r="L125" s="5">
        <v>0.16600000000000001</v>
      </c>
      <c r="M125" s="5">
        <v>0.19500000000000001</v>
      </c>
      <c r="N125" s="5">
        <v>0.126</v>
      </c>
    </row>
    <row r="126" spans="1:14" x14ac:dyDescent="0.25">
      <c r="A126">
        <v>2014</v>
      </c>
      <c r="B126">
        <v>167</v>
      </c>
      <c r="C126" t="s">
        <v>108</v>
      </c>
      <c r="D126" t="s">
        <v>44</v>
      </c>
      <c r="E126" s="5" t="s">
        <v>109</v>
      </c>
      <c r="F126" s="5">
        <v>0.23699999999999999</v>
      </c>
      <c r="G126" s="5">
        <v>0.183</v>
      </c>
      <c r="H126" s="5">
        <v>0.17499999999999999</v>
      </c>
      <c r="I126" s="5">
        <v>0.14300000000000002</v>
      </c>
      <c r="J126" s="5">
        <v>0.13699999999999998</v>
      </c>
      <c r="K126" s="5">
        <v>0.13500000000000001</v>
      </c>
      <c r="L126" s="5">
        <v>0.14899999999999999</v>
      </c>
      <c r="M126" s="5">
        <v>0.191</v>
      </c>
      <c r="N126" s="5">
        <v>0.125</v>
      </c>
    </row>
    <row r="127" spans="1:14" x14ac:dyDescent="0.25">
      <c r="A127">
        <v>2014</v>
      </c>
      <c r="B127">
        <v>167</v>
      </c>
      <c r="C127" t="s">
        <v>108</v>
      </c>
      <c r="D127" t="s">
        <v>38</v>
      </c>
      <c r="E127" s="5" t="s">
        <v>109</v>
      </c>
      <c r="F127" s="5">
        <v>0.247</v>
      </c>
      <c r="G127" s="5">
        <v>0.27800000000000002</v>
      </c>
      <c r="H127" s="5">
        <v>0.29699999999999999</v>
      </c>
      <c r="I127" s="5">
        <v>0.26899999999999996</v>
      </c>
      <c r="J127" s="5">
        <v>0.23800000000000002</v>
      </c>
      <c r="K127" s="5">
        <v>0.21</v>
      </c>
      <c r="L127" s="5">
        <v>0.25800000000000001</v>
      </c>
      <c r="M127" s="5">
        <v>0.255</v>
      </c>
      <c r="N127" s="5">
        <v>0.17399999999999999</v>
      </c>
    </row>
    <row r="128" spans="1:14" x14ac:dyDescent="0.25">
      <c r="A128">
        <v>2014</v>
      </c>
      <c r="B128">
        <v>167</v>
      </c>
      <c r="C128" t="s">
        <v>108</v>
      </c>
      <c r="D128" t="s">
        <v>85</v>
      </c>
      <c r="E128" s="5">
        <v>0.21199999999999999</v>
      </c>
      <c r="F128" s="5">
        <v>0.20899999999999999</v>
      </c>
      <c r="G128" s="5">
        <v>0.249</v>
      </c>
      <c r="H128" s="5">
        <v>0.25900000000000001</v>
      </c>
      <c r="I128" s="5">
        <v>0.26100000000000001</v>
      </c>
      <c r="J128" s="5">
        <v>0.24199999999999999</v>
      </c>
      <c r="K128" s="5">
        <v>0.247</v>
      </c>
      <c r="L128" s="5">
        <v>0.23800000000000002</v>
      </c>
      <c r="M128" s="5">
        <v>0.26</v>
      </c>
      <c r="N128" s="5">
        <v>0.18600000000000003</v>
      </c>
    </row>
    <row r="129" spans="1:14" x14ac:dyDescent="0.25">
      <c r="A129">
        <v>2014</v>
      </c>
      <c r="B129">
        <v>167</v>
      </c>
      <c r="C129" t="s">
        <v>108</v>
      </c>
      <c r="D129" t="s">
        <v>84</v>
      </c>
      <c r="E129" s="5" t="s">
        <v>109</v>
      </c>
      <c r="F129" s="5">
        <v>0.248</v>
      </c>
      <c r="G129" s="5">
        <v>0.28100000000000003</v>
      </c>
      <c r="H129" s="5">
        <v>0.27</v>
      </c>
      <c r="I129" s="5">
        <v>0.28600000000000003</v>
      </c>
      <c r="J129" s="5">
        <v>0.28899999999999998</v>
      </c>
      <c r="K129" s="5">
        <v>0.30099999999999999</v>
      </c>
      <c r="L129" s="5">
        <v>0.23699999999999999</v>
      </c>
      <c r="M129" s="5">
        <v>0.245</v>
      </c>
      <c r="N129" s="5">
        <v>0.17899999999999999</v>
      </c>
    </row>
    <row r="130" spans="1:14" x14ac:dyDescent="0.25">
      <c r="A130">
        <v>2014</v>
      </c>
      <c r="B130">
        <v>167</v>
      </c>
      <c r="C130" t="s">
        <v>108</v>
      </c>
      <c r="D130" t="s">
        <v>42</v>
      </c>
      <c r="E130" s="5" t="s">
        <v>109</v>
      </c>
      <c r="F130" s="5">
        <v>0.26</v>
      </c>
      <c r="G130" s="5">
        <v>0.26899999999999996</v>
      </c>
      <c r="H130" s="5">
        <v>0.27500000000000002</v>
      </c>
      <c r="I130" s="5">
        <v>0.27699999999999997</v>
      </c>
      <c r="J130" s="5">
        <v>0.28600000000000003</v>
      </c>
      <c r="K130" s="5">
        <v>0.29799999999999999</v>
      </c>
      <c r="L130" s="5">
        <v>0.25900000000000001</v>
      </c>
      <c r="M130" s="5">
        <v>0.247</v>
      </c>
      <c r="N130" s="5">
        <v>0.183</v>
      </c>
    </row>
    <row r="131" spans="1:14" x14ac:dyDescent="0.25">
      <c r="A131">
        <v>2014</v>
      </c>
      <c r="B131">
        <v>167</v>
      </c>
      <c r="C131" t="s">
        <v>108</v>
      </c>
      <c r="D131" t="s">
        <v>83</v>
      </c>
      <c r="E131" s="5" t="s">
        <v>109</v>
      </c>
      <c r="F131" s="5">
        <v>0.192</v>
      </c>
      <c r="G131" s="5">
        <v>0.27699999999999997</v>
      </c>
      <c r="H131" s="5">
        <v>0.30399999999999999</v>
      </c>
      <c r="I131" s="5">
        <v>0.27800000000000002</v>
      </c>
      <c r="J131" s="5">
        <v>0.24</v>
      </c>
      <c r="K131" s="5">
        <v>0.19899999999999998</v>
      </c>
      <c r="L131" s="5">
        <v>0.20800000000000002</v>
      </c>
      <c r="M131" s="5">
        <v>0.217</v>
      </c>
      <c r="N131" s="5">
        <v>0.151</v>
      </c>
    </row>
    <row r="132" spans="1:14" x14ac:dyDescent="0.25">
      <c r="A132">
        <v>2014</v>
      </c>
      <c r="B132">
        <v>167</v>
      </c>
      <c r="C132" t="s">
        <v>108</v>
      </c>
      <c r="D132" t="s">
        <v>82</v>
      </c>
      <c r="E132" s="5" t="s">
        <v>109</v>
      </c>
      <c r="F132" s="5">
        <v>0.17699999999999999</v>
      </c>
      <c r="G132" s="5">
        <v>0.18100000000000002</v>
      </c>
      <c r="H132" s="5">
        <v>0.247</v>
      </c>
      <c r="I132" s="5">
        <v>0.28100000000000003</v>
      </c>
      <c r="J132" s="5">
        <v>0.26100000000000001</v>
      </c>
      <c r="K132" s="5">
        <v>0.25</v>
      </c>
      <c r="L132" s="5">
        <v>0.22500000000000001</v>
      </c>
      <c r="M132" s="5">
        <v>0.23</v>
      </c>
      <c r="N132" s="5">
        <v>0.16600000000000001</v>
      </c>
    </row>
    <row r="133" spans="1:14" x14ac:dyDescent="0.25">
      <c r="A133">
        <v>2014</v>
      </c>
      <c r="B133">
        <v>167</v>
      </c>
      <c r="C133" t="s">
        <v>108</v>
      </c>
      <c r="D133" t="s">
        <v>72</v>
      </c>
      <c r="E133" s="5" t="s">
        <v>109</v>
      </c>
      <c r="F133" s="5">
        <v>0.253</v>
      </c>
      <c r="G133" s="5">
        <v>0.26100000000000001</v>
      </c>
      <c r="H133" s="5">
        <v>0.29299999999999998</v>
      </c>
      <c r="I133" s="5">
        <v>0.249</v>
      </c>
      <c r="J133" s="5">
        <v>0.16500000000000001</v>
      </c>
      <c r="K133" s="5">
        <v>0.154</v>
      </c>
      <c r="L133" s="5">
        <v>0.2</v>
      </c>
      <c r="M133" s="5">
        <v>0.24199999999999999</v>
      </c>
      <c r="N133" s="5">
        <v>0.17300000000000001</v>
      </c>
    </row>
    <row r="134" spans="1:14" x14ac:dyDescent="0.25">
      <c r="A134">
        <v>2014</v>
      </c>
      <c r="B134">
        <v>167</v>
      </c>
      <c r="C134" t="s">
        <v>108</v>
      </c>
      <c r="D134" t="s">
        <v>39</v>
      </c>
      <c r="E134" s="5">
        <v>0.218</v>
      </c>
      <c r="F134" s="5">
        <v>0.21</v>
      </c>
      <c r="G134" s="5">
        <v>0.21600000000000003</v>
      </c>
      <c r="H134" s="5">
        <v>0.27300000000000002</v>
      </c>
      <c r="I134" s="5">
        <v>0.27399999999999997</v>
      </c>
      <c r="J134" s="5">
        <v>0.24199999999999999</v>
      </c>
      <c r="K134" s="5">
        <v>0.26</v>
      </c>
      <c r="L134" s="5">
        <v>0.26</v>
      </c>
      <c r="M134" s="5">
        <v>0.26500000000000001</v>
      </c>
      <c r="N134" s="5">
        <v>0.19</v>
      </c>
    </row>
    <row r="135" spans="1:14" x14ac:dyDescent="0.25">
      <c r="A135">
        <v>2014</v>
      </c>
      <c r="B135">
        <v>167</v>
      </c>
      <c r="C135" t="s">
        <v>108</v>
      </c>
      <c r="D135" t="s">
        <v>86</v>
      </c>
      <c r="E135" s="5" t="s">
        <v>109</v>
      </c>
      <c r="F135" s="5">
        <v>0.192</v>
      </c>
      <c r="G135" s="5">
        <v>0.249</v>
      </c>
      <c r="H135" s="5">
        <v>0.251</v>
      </c>
      <c r="I135" s="5">
        <v>0.26400000000000001</v>
      </c>
      <c r="J135" s="5">
        <v>0.22800000000000001</v>
      </c>
      <c r="K135" s="5">
        <v>0.247</v>
      </c>
      <c r="L135" s="5">
        <v>0.24199999999999999</v>
      </c>
      <c r="M135" s="5">
        <v>0.25800000000000001</v>
      </c>
      <c r="N135" s="5">
        <v>0.188</v>
      </c>
    </row>
    <row r="136" spans="1:14" x14ac:dyDescent="0.25">
      <c r="A136">
        <v>2014</v>
      </c>
      <c r="B136">
        <v>167</v>
      </c>
      <c r="C136" t="s">
        <v>108</v>
      </c>
      <c r="D136" t="s">
        <v>87</v>
      </c>
      <c r="E136" s="5" t="s">
        <v>109</v>
      </c>
      <c r="F136" s="5">
        <v>0.20300000000000001</v>
      </c>
      <c r="G136" s="5">
        <v>0.23499999999999999</v>
      </c>
      <c r="H136" s="5">
        <v>0.28199999999999997</v>
      </c>
      <c r="I136" s="5">
        <v>0.26400000000000001</v>
      </c>
      <c r="J136" s="5">
        <v>0.28100000000000003</v>
      </c>
      <c r="K136" s="5">
        <v>0.26800000000000002</v>
      </c>
      <c r="L136" s="5">
        <v>0.23600000000000002</v>
      </c>
      <c r="M136" s="5">
        <v>0.222</v>
      </c>
      <c r="N136" s="5">
        <v>0.14300000000000002</v>
      </c>
    </row>
    <row r="137" spans="1:14" x14ac:dyDescent="0.25">
      <c r="A137">
        <v>2014</v>
      </c>
      <c r="B137">
        <v>167</v>
      </c>
      <c r="C137" t="s">
        <v>108</v>
      </c>
      <c r="D137" t="s">
        <v>88</v>
      </c>
      <c r="E137" s="5">
        <v>0.23800000000000002</v>
      </c>
      <c r="F137" s="5">
        <v>0.22399999999999998</v>
      </c>
      <c r="G137" s="5">
        <v>0.23300000000000001</v>
      </c>
      <c r="H137" s="5">
        <v>0.24299999999999999</v>
      </c>
      <c r="I137" s="5">
        <v>0.252</v>
      </c>
      <c r="J137" s="5">
        <v>0.26400000000000001</v>
      </c>
      <c r="K137" s="5">
        <v>0.254</v>
      </c>
      <c r="L137" s="5">
        <v>0.20899999999999999</v>
      </c>
      <c r="M137" s="5">
        <v>0.215</v>
      </c>
      <c r="N137" s="5">
        <v>0.14099999999999999</v>
      </c>
    </row>
    <row r="138" spans="1:14" x14ac:dyDescent="0.25">
      <c r="A138">
        <v>2014</v>
      </c>
      <c r="B138">
        <v>167</v>
      </c>
      <c r="C138" t="s">
        <v>108</v>
      </c>
      <c r="D138" t="s">
        <v>36</v>
      </c>
      <c r="E138" s="5">
        <v>0.16200000000000001</v>
      </c>
      <c r="F138" s="5">
        <v>0.16699999999999998</v>
      </c>
      <c r="G138" s="5">
        <v>0.193</v>
      </c>
      <c r="H138" s="5">
        <v>0.24399999999999999</v>
      </c>
      <c r="I138" s="5">
        <v>0.24199999999999999</v>
      </c>
      <c r="J138" s="5">
        <v>0.20399999999999999</v>
      </c>
      <c r="K138" s="5">
        <v>0.19600000000000001</v>
      </c>
      <c r="L138" s="5">
        <v>0.19699999999999998</v>
      </c>
      <c r="M138" s="5">
        <v>0.191</v>
      </c>
      <c r="N138" s="5">
        <v>0.12</v>
      </c>
    </row>
    <row r="139" spans="1:14" x14ac:dyDescent="0.25">
      <c r="A139">
        <v>2014</v>
      </c>
      <c r="B139">
        <v>167</v>
      </c>
      <c r="C139" t="s">
        <v>108</v>
      </c>
      <c r="D139" t="s">
        <v>94</v>
      </c>
      <c r="E139" s="5" t="s">
        <v>109</v>
      </c>
      <c r="F139" s="5">
        <v>0.22399999999999998</v>
      </c>
      <c r="G139" s="5">
        <v>0.23600000000000002</v>
      </c>
      <c r="H139" s="5">
        <v>0.23300000000000001</v>
      </c>
      <c r="I139" s="5">
        <v>0.19500000000000001</v>
      </c>
      <c r="J139" s="5">
        <v>0.13900000000000001</v>
      </c>
      <c r="K139" s="5">
        <v>0.14699999999999999</v>
      </c>
      <c r="L139" s="5">
        <v>0.19</v>
      </c>
      <c r="M139" s="5">
        <v>0.192</v>
      </c>
      <c r="N139" s="5">
        <v>0.13800000000000001</v>
      </c>
    </row>
    <row r="140" spans="1:14" x14ac:dyDescent="0.25">
      <c r="A140">
        <v>2014</v>
      </c>
      <c r="B140">
        <v>167</v>
      </c>
      <c r="C140" t="s">
        <v>108</v>
      </c>
      <c r="D140" t="s">
        <v>93</v>
      </c>
      <c r="E140" s="5">
        <v>0.23600000000000002</v>
      </c>
      <c r="F140" s="5">
        <v>0.23399999999999999</v>
      </c>
      <c r="G140" s="5">
        <v>0.24100000000000002</v>
      </c>
      <c r="H140" s="5">
        <v>0.248</v>
      </c>
      <c r="I140" s="5">
        <v>0.21600000000000003</v>
      </c>
      <c r="J140" s="5">
        <v>0.17100000000000001</v>
      </c>
      <c r="K140" s="5">
        <v>0.16</v>
      </c>
      <c r="L140" s="5">
        <v>0.20199999999999999</v>
      </c>
      <c r="M140" s="5">
        <v>0.217</v>
      </c>
      <c r="N140" s="5">
        <v>0.17300000000000001</v>
      </c>
    </row>
    <row r="141" spans="1:14" x14ac:dyDescent="0.25">
      <c r="A141">
        <v>2014</v>
      </c>
      <c r="B141">
        <v>167</v>
      </c>
      <c r="C141" t="s">
        <v>108</v>
      </c>
      <c r="D141" t="s">
        <v>92</v>
      </c>
      <c r="E141" s="5" t="s">
        <v>109</v>
      </c>
      <c r="F141" s="5">
        <v>0.21600000000000003</v>
      </c>
      <c r="G141" s="5">
        <v>0.27</v>
      </c>
      <c r="H141" s="5">
        <v>0.27300000000000002</v>
      </c>
      <c r="I141" s="5">
        <v>0.26500000000000001</v>
      </c>
      <c r="J141" s="5">
        <v>0.26500000000000001</v>
      </c>
      <c r="K141" s="5">
        <v>0.23399999999999999</v>
      </c>
      <c r="L141" s="5">
        <v>0.254</v>
      </c>
      <c r="M141" s="5">
        <v>0.26400000000000001</v>
      </c>
      <c r="N141" s="5">
        <v>0.18</v>
      </c>
    </row>
    <row r="142" spans="1:14" x14ac:dyDescent="0.25">
      <c r="A142">
        <v>2014</v>
      </c>
      <c r="B142">
        <v>167</v>
      </c>
      <c r="C142" t="s">
        <v>108</v>
      </c>
      <c r="D142" t="s">
        <v>91</v>
      </c>
      <c r="E142" s="5">
        <v>0.17699999999999999</v>
      </c>
      <c r="F142" s="5">
        <v>0.217</v>
      </c>
      <c r="G142" s="5">
        <v>0.28000000000000003</v>
      </c>
      <c r="H142" s="5">
        <v>0.28399999999999997</v>
      </c>
      <c r="I142" s="5">
        <v>0.28499999999999998</v>
      </c>
      <c r="J142" s="5">
        <v>0.28899999999999998</v>
      </c>
      <c r="K142" s="5">
        <v>0.26300000000000001</v>
      </c>
      <c r="L142" s="5">
        <v>0.25700000000000001</v>
      </c>
      <c r="M142" s="5">
        <v>0.27100000000000002</v>
      </c>
      <c r="N142" s="5">
        <v>0.18899999999999997</v>
      </c>
    </row>
    <row r="143" spans="1:14" x14ac:dyDescent="0.25">
      <c r="A143">
        <v>2014</v>
      </c>
      <c r="B143">
        <v>167</v>
      </c>
      <c r="C143" t="s">
        <v>108</v>
      </c>
      <c r="D143" t="s">
        <v>90</v>
      </c>
      <c r="E143" s="5" t="s">
        <v>109</v>
      </c>
      <c r="F143" s="5">
        <v>0.21600000000000003</v>
      </c>
      <c r="G143" s="5">
        <v>0.20199999999999999</v>
      </c>
      <c r="H143" s="5">
        <v>0.23600000000000002</v>
      </c>
      <c r="I143" s="5">
        <v>0.245</v>
      </c>
      <c r="J143" s="5">
        <v>0.245</v>
      </c>
      <c r="K143" s="5">
        <v>0.25700000000000001</v>
      </c>
      <c r="L143" s="5">
        <v>0.23100000000000001</v>
      </c>
      <c r="M143" s="5">
        <v>0.22500000000000001</v>
      </c>
      <c r="N143" s="5">
        <v>0.151</v>
      </c>
    </row>
    <row r="144" spans="1:14" x14ac:dyDescent="0.25">
      <c r="A144">
        <v>2014</v>
      </c>
      <c r="B144">
        <v>167</v>
      </c>
      <c r="C144" t="s">
        <v>108</v>
      </c>
      <c r="D144" t="s">
        <v>89</v>
      </c>
      <c r="E144" s="5">
        <v>0.18</v>
      </c>
      <c r="F144" s="5">
        <v>0.183</v>
      </c>
      <c r="G144" s="5">
        <v>0.23399999999999999</v>
      </c>
      <c r="H144" s="5">
        <v>0.27100000000000002</v>
      </c>
      <c r="I144" s="5">
        <v>0.26800000000000002</v>
      </c>
      <c r="J144" s="5">
        <v>0.23300000000000001</v>
      </c>
      <c r="K144" s="5">
        <v>0.22600000000000001</v>
      </c>
      <c r="L144" s="5">
        <v>0.22800000000000001</v>
      </c>
      <c r="M144" s="5">
        <v>0.23699999999999999</v>
      </c>
      <c r="N144" s="5">
        <v>0.16600000000000001</v>
      </c>
    </row>
    <row r="145" spans="1:14" x14ac:dyDescent="0.25">
      <c r="A145">
        <v>2014</v>
      </c>
      <c r="B145">
        <v>167</v>
      </c>
      <c r="C145" t="s">
        <v>108</v>
      </c>
      <c r="D145" t="s">
        <v>45</v>
      </c>
      <c r="E145" s="5" t="s">
        <v>109</v>
      </c>
      <c r="F145" s="5">
        <v>0.23699999999999999</v>
      </c>
      <c r="G145" s="5">
        <v>0.23800000000000002</v>
      </c>
      <c r="H145" s="5">
        <v>0.252</v>
      </c>
      <c r="I145" s="5">
        <v>0.24</v>
      </c>
      <c r="J145" s="5">
        <v>0.20100000000000001</v>
      </c>
      <c r="K145" s="5">
        <v>0.188</v>
      </c>
      <c r="L145" s="5">
        <v>0.21600000000000003</v>
      </c>
      <c r="M145" s="5">
        <v>0.222</v>
      </c>
      <c r="N145" s="5">
        <v>0.107</v>
      </c>
    </row>
    <row r="146" spans="1:14" x14ac:dyDescent="0.25">
      <c r="A146">
        <v>2014</v>
      </c>
      <c r="B146">
        <v>167</v>
      </c>
      <c r="C146" t="s">
        <v>108</v>
      </c>
      <c r="D146" t="s">
        <v>46</v>
      </c>
      <c r="E146" s="5">
        <v>0.25600000000000001</v>
      </c>
      <c r="F146" s="5">
        <v>0.251</v>
      </c>
      <c r="G146" s="5">
        <v>0.26100000000000001</v>
      </c>
      <c r="H146" s="5">
        <v>0.26899999999999996</v>
      </c>
      <c r="I146" s="5">
        <v>0.26500000000000001</v>
      </c>
      <c r="J146" s="5">
        <v>0.255</v>
      </c>
      <c r="K146" s="5">
        <v>0.255</v>
      </c>
      <c r="L146" s="5">
        <v>0.23300000000000001</v>
      </c>
      <c r="M146" s="5">
        <v>0.218</v>
      </c>
      <c r="N146" s="5">
        <v>0.11800000000000001</v>
      </c>
    </row>
    <row r="147" spans="1:14" x14ac:dyDescent="0.25">
      <c r="A147">
        <v>2014</v>
      </c>
      <c r="B147">
        <v>167</v>
      </c>
      <c r="C147" t="s">
        <v>108</v>
      </c>
      <c r="D147" t="s">
        <v>47</v>
      </c>
      <c r="E147" s="5" t="s">
        <v>109</v>
      </c>
      <c r="F147" s="5">
        <v>0.20800000000000002</v>
      </c>
      <c r="G147" s="5">
        <v>0.22</v>
      </c>
      <c r="H147" s="5">
        <v>0.24399999999999999</v>
      </c>
      <c r="I147" s="5">
        <v>0.23199999999999998</v>
      </c>
      <c r="J147" s="5">
        <v>0.22699999999999998</v>
      </c>
      <c r="K147" s="5">
        <v>0.183</v>
      </c>
      <c r="L147" s="5">
        <v>0.24</v>
      </c>
      <c r="M147" s="5">
        <v>0.20499999999999999</v>
      </c>
      <c r="N147" s="5">
        <v>0.11800000000000001</v>
      </c>
    </row>
    <row r="148" spans="1:14" x14ac:dyDescent="0.25">
      <c r="A148">
        <v>2014</v>
      </c>
      <c r="B148">
        <v>167</v>
      </c>
      <c r="C148" t="s">
        <v>108</v>
      </c>
      <c r="D148" t="s">
        <v>48</v>
      </c>
      <c r="E148" s="5">
        <v>0.15</v>
      </c>
      <c r="F148" s="5">
        <v>0.14199999999999999</v>
      </c>
      <c r="G148" s="5">
        <v>0.13100000000000001</v>
      </c>
      <c r="H148" s="5">
        <v>0.12300000000000001</v>
      </c>
      <c r="I148" s="5">
        <v>0.107</v>
      </c>
      <c r="J148" s="5">
        <v>0.11599999999999999</v>
      </c>
      <c r="K148" s="5">
        <v>0.13600000000000001</v>
      </c>
      <c r="L148" s="5">
        <v>0.20600000000000002</v>
      </c>
      <c r="M148" s="5">
        <v>0.20499999999999999</v>
      </c>
      <c r="N148" s="5">
        <v>0.115</v>
      </c>
    </row>
    <row r="149" spans="1:14" x14ac:dyDescent="0.25">
      <c r="A149">
        <v>2014</v>
      </c>
      <c r="B149">
        <v>167</v>
      </c>
      <c r="C149" t="s">
        <v>108</v>
      </c>
      <c r="D149" t="s">
        <v>49</v>
      </c>
      <c r="E149" s="5" t="s">
        <v>109</v>
      </c>
      <c r="F149" s="5">
        <v>0.23100000000000001</v>
      </c>
      <c r="G149" s="5">
        <v>0.245</v>
      </c>
      <c r="H149" s="5">
        <v>0.253</v>
      </c>
      <c r="I149" s="5">
        <v>0.24600000000000002</v>
      </c>
      <c r="J149" s="5">
        <v>0.223</v>
      </c>
      <c r="K149" s="5">
        <v>0.17800000000000002</v>
      </c>
      <c r="L149" s="5">
        <v>0.18600000000000003</v>
      </c>
      <c r="M149" s="5">
        <v>0.2</v>
      </c>
      <c r="N149" s="5">
        <v>0.128</v>
      </c>
    </row>
    <row r="150" spans="1:14" x14ac:dyDescent="0.25">
      <c r="A150">
        <v>2014</v>
      </c>
      <c r="B150">
        <v>167</v>
      </c>
      <c r="C150" t="s">
        <v>108</v>
      </c>
      <c r="D150" t="s">
        <v>50</v>
      </c>
      <c r="E150" s="5">
        <v>0.20399999999999999</v>
      </c>
      <c r="F150" s="5">
        <v>0.23100000000000001</v>
      </c>
      <c r="G150" s="5">
        <v>0.21600000000000003</v>
      </c>
      <c r="H150" s="5">
        <v>0.183</v>
      </c>
      <c r="I150" s="5">
        <v>0.16600000000000001</v>
      </c>
      <c r="J150" s="5">
        <v>0.182</v>
      </c>
      <c r="K150" s="5">
        <v>0.20300000000000001</v>
      </c>
      <c r="L150" s="5">
        <v>0.215</v>
      </c>
      <c r="M150" s="5">
        <v>0.221</v>
      </c>
      <c r="N150" s="5">
        <v>0.127</v>
      </c>
    </row>
    <row r="151" spans="1:14" x14ac:dyDescent="0.25">
      <c r="A151">
        <v>2014</v>
      </c>
      <c r="B151">
        <v>174</v>
      </c>
      <c r="C151" t="s">
        <v>108</v>
      </c>
      <c r="D151" t="s">
        <v>51</v>
      </c>
      <c r="E151" s="5">
        <v>0.124</v>
      </c>
      <c r="F151" s="5">
        <v>0.14099999999999999</v>
      </c>
      <c r="G151" s="5">
        <v>0.156</v>
      </c>
      <c r="H151" s="5">
        <v>0.17100000000000001</v>
      </c>
      <c r="I151" s="5">
        <v>0.19800000000000001</v>
      </c>
      <c r="J151" s="5">
        <v>0.20800000000000002</v>
      </c>
      <c r="K151" s="5">
        <v>0.22800000000000001</v>
      </c>
      <c r="L151" s="5">
        <v>0.222</v>
      </c>
      <c r="M151" s="5">
        <v>0.18600000000000003</v>
      </c>
      <c r="N151" s="5">
        <v>8.6999999999999994E-2</v>
      </c>
    </row>
    <row r="152" spans="1:14" x14ac:dyDescent="0.25">
      <c r="A152">
        <v>2014</v>
      </c>
      <c r="B152">
        <v>174</v>
      </c>
      <c r="C152" t="s">
        <v>108</v>
      </c>
      <c r="D152" t="s">
        <v>55</v>
      </c>
      <c r="E152" s="5">
        <v>0.23800000000000002</v>
      </c>
      <c r="F152" s="5">
        <v>0.151</v>
      </c>
      <c r="G152" s="5">
        <v>0.13300000000000001</v>
      </c>
      <c r="H152" s="5">
        <v>0.17</v>
      </c>
      <c r="I152" s="5">
        <v>0.187</v>
      </c>
      <c r="J152" s="5">
        <v>0.19800000000000001</v>
      </c>
      <c r="K152" s="5">
        <v>0.22</v>
      </c>
      <c r="L152" s="5">
        <v>0.215</v>
      </c>
      <c r="M152" s="5">
        <v>0.16899999999999998</v>
      </c>
      <c r="N152" s="5">
        <v>9.9000000000000005E-2</v>
      </c>
    </row>
    <row r="153" spans="1:14" x14ac:dyDescent="0.25">
      <c r="A153">
        <v>2014</v>
      </c>
      <c r="B153">
        <v>174</v>
      </c>
      <c r="C153" t="s">
        <v>108</v>
      </c>
      <c r="D153" t="s">
        <v>56</v>
      </c>
      <c r="E153" s="5">
        <v>0.13</v>
      </c>
      <c r="F153" s="5">
        <v>0.184</v>
      </c>
      <c r="G153" s="5">
        <v>0.20899999999999999</v>
      </c>
      <c r="H153" s="5">
        <v>0.215</v>
      </c>
      <c r="I153" s="5">
        <v>0.217</v>
      </c>
      <c r="J153" s="5">
        <v>0.21199999999999999</v>
      </c>
      <c r="K153" s="5">
        <v>0.21199999999999999</v>
      </c>
      <c r="L153" s="5">
        <v>0.22500000000000001</v>
      </c>
      <c r="M153" s="5">
        <v>0.21100000000000002</v>
      </c>
      <c r="N153" s="5">
        <v>0.1</v>
      </c>
    </row>
    <row r="154" spans="1:14" x14ac:dyDescent="0.25">
      <c r="A154">
        <v>2014</v>
      </c>
      <c r="B154">
        <v>174</v>
      </c>
      <c r="C154" t="s">
        <v>108</v>
      </c>
      <c r="D154" t="s">
        <v>57</v>
      </c>
      <c r="E154" s="5">
        <v>0.14000000000000001</v>
      </c>
      <c r="F154" s="5">
        <v>0.14000000000000001</v>
      </c>
      <c r="G154" s="5">
        <v>0.157</v>
      </c>
      <c r="H154" s="5">
        <v>0.193</v>
      </c>
      <c r="I154" s="5">
        <v>0.19500000000000001</v>
      </c>
      <c r="J154" s="5">
        <v>0.21600000000000003</v>
      </c>
      <c r="K154" s="5">
        <v>0.22500000000000001</v>
      </c>
      <c r="L154" s="5">
        <v>0.222</v>
      </c>
      <c r="M154" s="5">
        <v>0.184</v>
      </c>
      <c r="N154" s="5">
        <v>8.5999999999999993E-2</v>
      </c>
    </row>
    <row r="155" spans="1:14" x14ac:dyDescent="0.25">
      <c r="A155">
        <v>2014</v>
      </c>
      <c r="B155">
        <v>174</v>
      </c>
      <c r="C155" t="s">
        <v>108</v>
      </c>
      <c r="D155" t="s">
        <v>58</v>
      </c>
      <c r="E155" s="5" t="s">
        <v>109</v>
      </c>
      <c r="F155" s="5" t="s">
        <v>109</v>
      </c>
      <c r="G155" s="5">
        <v>0.18600000000000003</v>
      </c>
      <c r="H155" s="5">
        <v>0.24399999999999999</v>
      </c>
      <c r="I155" s="5">
        <v>0.218</v>
      </c>
      <c r="J155" s="5">
        <v>0.22600000000000001</v>
      </c>
      <c r="K155" s="5">
        <v>0.24600000000000002</v>
      </c>
      <c r="L155" s="5">
        <v>0.249</v>
      </c>
      <c r="M155" s="5">
        <v>0.22</v>
      </c>
      <c r="N155" s="5">
        <v>0.115</v>
      </c>
    </row>
    <row r="156" spans="1:14" x14ac:dyDescent="0.25">
      <c r="A156">
        <v>2014</v>
      </c>
      <c r="B156">
        <v>174</v>
      </c>
      <c r="C156" t="s">
        <v>108</v>
      </c>
      <c r="D156" t="s">
        <v>59</v>
      </c>
      <c r="E156" s="5" t="s">
        <v>109</v>
      </c>
      <c r="F156" s="5">
        <v>0.20499999999999999</v>
      </c>
      <c r="G156" s="5">
        <v>0.20800000000000002</v>
      </c>
      <c r="H156" s="5">
        <v>0.214</v>
      </c>
      <c r="I156" s="5">
        <v>0.215</v>
      </c>
      <c r="J156" s="5">
        <v>0.222</v>
      </c>
      <c r="K156" s="5">
        <v>0.22899999999999998</v>
      </c>
      <c r="L156" s="5">
        <v>0.27800000000000002</v>
      </c>
      <c r="M156" s="5">
        <v>0.21299999999999999</v>
      </c>
      <c r="N156" s="5">
        <v>9.4E-2</v>
      </c>
    </row>
    <row r="157" spans="1:14" x14ac:dyDescent="0.25">
      <c r="A157">
        <v>2014</v>
      </c>
      <c r="B157">
        <v>174</v>
      </c>
      <c r="C157" t="s">
        <v>108</v>
      </c>
      <c r="D157" t="s">
        <v>64</v>
      </c>
      <c r="E157" s="5">
        <v>0.25600000000000001</v>
      </c>
      <c r="F157" s="5">
        <v>0.14800000000000002</v>
      </c>
      <c r="G157" s="5">
        <v>0.17399999999999999</v>
      </c>
      <c r="H157" s="5">
        <v>0.26200000000000001</v>
      </c>
      <c r="I157" s="5">
        <v>0.25800000000000001</v>
      </c>
      <c r="J157" s="5">
        <v>0.25800000000000001</v>
      </c>
      <c r="K157" s="5">
        <v>0.28800000000000003</v>
      </c>
      <c r="L157" s="5">
        <v>0.25800000000000001</v>
      </c>
      <c r="M157" s="5">
        <v>0.187</v>
      </c>
      <c r="N157" s="5">
        <v>0.124</v>
      </c>
    </row>
    <row r="158" spans="1:14" x14ac:dyDescent="0.25">
      <c r="A158">
        <v>2014</v>
      </c>
      <c r="B158">
        <v>174</v>
      </c>
      <c r="C158" t="s">
        <v>108</v>
      </c>
      <c r="D158" t="s">
        <v>52</v>
      </c>
      <c r="E158" s="5">
        <v>0.156</v>
      </c>
      <c r="F158" s="5">
        <v>0.17899999999999999</v>
      </c>
      <c r="G158" s="5">
        <v>0.19500000000000001</v>
      </c>
      <c r="H158" s="5">
        <v>0.22899999999999998</v>
      </c>
      <c r="I158" s="5">
        <v>0.25700000000000001</v>
      </c>
      <c r="J158" s="5">
        <v>0.29199999999999998</v>
      </c>
      <c r="K158" s="5">
        <v>0.308</v>
      </c>
      <c r="L158" s="5">
        <v>0.30399999999999999</v>
      </c>
      <c r="M158" s="5">
        <v>0.22800000000000001</v>
      </c>
      <c r="N158" s="5">
        <v>0.16</v>
      </c>
    </row>
    <row r="159" spans="1:14" x14ac:dyDescent="0.25">
      <c r="A159">
        <v>2014</v>
      </c>
      <c r="B159">
        <v>174</v>
      </c>
      <c r="C159" t="s">
        <v>108</v>
      </c>
      <c r="D159" t="s">
        <v>62</v>
      </c>
      <c r="E159" s="5">
        <v>0.16800000000000001</v>
      </c>
      <c r="F159" s="5">
        <v>0.14400000000000002</v>
      </c>
      <c r="G159" s="5">
        <v>0.161</v>
      </c>
      <c r="H159" s="5">
        <v>0.185</v>
      </c>
      <c r="I159" s="5">
        <v>0.23800000000000002</v>
      </c>
      <c r="J159" s="5">
        <v>0.23</v>
      </c>
      <c r="K159" s="5">
        <v>0.221</v>
      </c>
      <c r="L159" s="5">
        <v>0.24199999999999999</v>
      </c>
      <c r="M159" s="5">
        <v>0.20899999999999999</v>
      </c>
      <c r="N159" s="5">
        <v>0.13500000000000001</v>
      </c>
    </row>
    <row r="160" spans="1:14" x14ac:dyDescent="0.25">
      <c r="A160">
        <v>2014</v>
      </c>
      <c r="B160">
        <v>174</v>
      </c>
      <c r="C160" t="s">
        <v>108</v>
      </c>
      <c r="D160" t="s">
        <v>63</v>
      </c>
      <c r="E160" s="5">
        <v>0.182</v>
      </c>
      <c r="F160" s="5">
        <v>0.17300000000000001</v>
      </c>
      <c r="G160" s="5">
        <v>0.17499999999999999</v>
      </c>
      <c r="H160" s="5">
        <v>0.22500000000000001</v>
      </c>
      <c r="I160" s="5">
        <v>0.251</v>
      </c>
      <c r="J160" s="5">
        <v>0.25600000000000001</v>
      </c>
      <c r="K160" s="5">
        <v>0.28699999999999998</v>
      </c>
      <c r="L160" s="5">
        <v>0.24</v>
      </c>
      <c r="M160" s="5">
        <v>0.19</v>
      </c>
      <c r="N160" s="5">
        <v>0.125</v>
      </c>
    </row>
    <row r="161" spans="1:14" x14ac:dyDescent="0.25">
      <c r="A161">
        <v>2014</v>
      </c>
      <c r="B161">
        <v>174</v>
      </c>
      <c r="C161" t="s">
        <v>108</v>
      </c>
      <c r="D161" t="s">
        <v>61</v>
      </c>
      <c r="E161" s="5" t="s">
        <v>109</v>
      </c>
      <c r="F161" s="5">
        <v>0.32200000000000001</v>
      </c>
      <c r="G161" s="5">
        <v>0.26100000000000001</v>
      </c>
      <c r="H161" s="5">
        <v>0.20699999999999999</v>
      </c>
      <c r="I161" s="5">
        <v>0.22800000000000001</v>
      </c>
      <c r="J161" s="5">
        <v>0.22600000000000001</v>
      </c>
      <c r="K161" s="5">
        <v>0.23899999999999999</v>
      </c>
      <c r="L161" s="5">
        <v>0.28999999999999998</v>
      </c>
      <c r="M161" s="5">
        <v>0.24600000000000002</v>
      </c>
      <c r="N161" s="5">
        <v>0.14699999999999999</v>
      </c>
    </row>
    <row r="162" spans="1:14" x14ac:dyDescent="0.25">
      <c r="A162">
        <v>2014</v>
      </c>
      <c r="B162">
        <v>174</v>
      </c>
      <c r="C162" t="s">
        <v>108</v>
      </c>
      <c r="D162" t="s">
        <v>60</v>
      </c>
      <c r="E162" s="5" t="s">
        <v>109</v>
      </c>
      <c r="F162" s="5">
        <v>0.25</v>
      </c>
      <c r="G162" s="5">
        <v>0.28100000000000003</v>
      </c>
      <c r="H162" s="5">
        <v>0.28499999999999998</v>
      </c>
      <c r="I162" s="5">
        <v>0.20199999999999999</v>
      </c>
      <c r="J162" s="5">
        <v>0.21600000000000003</v>
      </c>
      <c r="K162" s="5">
        <v>0.22800000000000001</v>
      </c>
      <c r="L162" s="5">
        <v>0.21899999999999997</v>
      </c>
      <c r="M162" s="5">
        <v>0.22399999999999998</v>
      </c>
      <c r="N162" s="5">
        <v>0.14800000000000002</v>
      </c>
    </row>
    <row r="163" spans="1:14" x14ac:dyDescent="0.25">
      <c r="A163">
        <v>2014</v>
      </c>
      <c r="B163">
        <v>174</v>
      </c>
      <c r="C163" t="s">
        <v>108</v>
      </c>
      <c r="D163" t="s">
        <v>29</v>
      </c>
      <c r="E163" s="5">
        <v>0.19699999999999998</v>
      </c>
      <c r="F163" s="5">
        <v>0.185</v>
      </c>
      <c r="G163" s="5">
        <v>0.20899999999999999</v>
      </c>
      <c r="H163" s="5">
        <v>0.24399999999999999</v>
      </c>
      <c r="I163" s="5">
        <v>0.25900000000000001</v>
      </c>
      <c r="J163" s="5">
        <v>0.26899999999999996</v>
      </c>
      <c r="K163" s="5">
        <v>0.26300000000000001</v>
      </c>
      <c r="L163" s="5">
        <v>0.245</v>
      </c>
      <c r="M163" s="5">
        <v>0.19899999999999998</v>
      </c>
      <c r="N163" s="5">
        <v>0.107</v>
      </c>
    </row>
    <row r="164" spans="1:14" x14ac:dyDescent="0.25">
      <c r="A164">
        <v>2014</v>
      </c>
      <c r="B164">
        <v>174</v>
      </c>
      <c r="C164" t="s">
        <v>108</v>
      </c>
      <c r="D164" t="s">
        <v>30</v>
      </c>
      <c r="E164" s="5">
        <v>0.191</v>
      </c>
      <c r="F164" s="5">
        <v>0.19800000000000001</v>
      </c>
      <c r="G164" s="5">
        <v>0.24399999999999999</v>
      </c>
      <c r="H164" s="5">
        <v>0.255</v>
      </c>
      <c r="I164" s="5">
        <v>0.25</v>
      </c>
      <c r="J164" s="5">
        <v>0.26600000000000001</v>
      </c>
      <c r="K164" s="5">
        <v>0.28399999999999997</v>
      </c>
      <c r="L164" s="5">
        <v>0.20199999999999999</v>
      </c>
      <c r="M164" s="5">
        <v>0.16</v>
      </c>
      <c r="N164" s="5">
        <v>8.6999999999999994E-2</v>
      </c>
    </row>
    <row r="165" spans="1:14" x14ac:dyDescent="0.25">
      <c r="A165">
        <v>2014</v>
      </c>
      <c r="B165">
        <v>174</v>
      </c>
      <c r="C165" t="s">
        <v>108</v>
      </c>
      <c r="D165" t="s">
        <v>31</v>
      </c>
      <c r="E165" s="5">
        <v>0.17499999999999999</v>
      </c>
      <c r="F165" s="5">
        <v>0.16500000000000001</v>
      </c>
      <c r="G165" s="5">
        <v>0.17300000000000001</v>
      </c>
      <c r="H165" s="5">
        <v>0.19</v>
      </c>
      <c r="I165" s="5">
        <v>0.255</v>
      </c>
      <c r="J165" s="5">
        <v>0.26100000000000001</v>
      </c>
      <c r="K165" s="5">
        <v>0.24299999999999999</v>
      </c>
      <c r="L165" s="5">
        <v>0.21100000000000002</v>
      </c>
      <c r="M165" s="5">
        <v>0.187</v>
      </c>
      <c r="N165" s="5">
        <v>0.125</v>
      </c>
    </row>
    <row r="166" spans="1:14" x14ac:dyDescent="0.25">
      <c r="A166">
        <v>2014</v>
      </c>
      <c r="B166">
        <v>174</v>
      </c>
      <c r="C166" t="s">
        <v>108</v>
      </c>
      <c r="D166" t="s">
        <v>32</v>
      </c>
      <c r="E166" s="5">
        <v>0.249</v>
      </c>
      <c r="F166" s="5">
        <v>0.19500000000000001</v>
      </c>
      <c r="G166" s="5">
        <v>0.222</v>
      </c>
      <c r="H166" s="5">
        <v>0.20800000000000002</v>
      </c>
      <c r="I166" s="5">
        <v>0.214</v>
      </c>
      <c r="J166" s="5">
        <v>0.20100000000000001</v>
      </c>
      <c r="K166" s="5">
        <v>0.184</v>
      </c>
      <c r="L166" s="5">
        <v>0.185</v>
      </c>
      <c r="M166" s="5">
        <v>0.192</v>
      </c>
      <c r="N166" s="5">
        <v>9.5000000000000001E-2</v>
      </c>
    </row>
    <row r="167" spans="1:14" x14ac:dyDescent="0.25">
      <c r="A167">
        <v>2014</v>
      </c>
      <c r="B167">
        <v>174</v>
      </c>
      <c r="C167" t="s">
        <v>108</v>
      </c>
      <c r="D167" t="s">
        <v>33</v>
      </c>
      <c r="E167" s="5">
        <v>0.182</v>
      </c>
      <c r="F167" s="5">
        <v>0.182</v>
      </c>
      <c r="G167" s="5">
        <v>0.188</v>
      </c>
      <c r="H167" s="5">
        <v>0.20699999999999999</v>
      </c>
      <c r="I167" s="5">
        <v>0.24199999999999999</v>
      </c>
      <c r="J167" s="5">
        <v>0.26500000000000001</v>
      </c>
      <c r="K167" s="5">
        <v>0.28600000000000003</v>
      </c>
      <c r="L167" s="5">
        <v>0.26300000000000001</v>
      </c>
      <c r="M167" s="5">
        <v>0.193</v>
      </c>
      <c r="N167" s="5">
        <v>0.11199999999999999</v>
      </c>
    </row>
    <row r="168" spans="1:14" x14ac:dyDescent="0.25">
      <c r="A168">
        <v>2014</v>
      </c>
      <c r="B168">
        <v>174</v>
      </c>
      <c r="C168" t="s">
        <v>108</v>
      </c>
      <c r="D168" t="s">
        <v>34</v>
      </c>
      <c r="E168" s="5">
        <v>0.23699999999999999</v>
      </c>
      <c r="F168" s="5">
        <v>0.222</v>
      </c>
      <c r="G168" s="5">
        <v>0.312</v>
      </c>
      <c r="H168" s="5">
        <v>0.19899999999999998</v>
      </c>
      <c r="I168" s="5">
        <v>0.22399999999999998</v>
      </c>
      <c r="J168" s="5">
        <v>0.25600000000000001</v>
      </c>
      <c r="K168" s="5">
        <v>0.26700000000000002</v>
      </c>
      <c r="L168" s="5">
        <v>0.24299999999999999</v>
      </c>
      <c r="M168" s="5">
        <v>0.184</v>
      </c>
      <c r="N168" s="5">
        <v>9.9000000000000005E-2</v>
      </c>
    </row>
    <row r="169" spans="1:14" x14ac:dyDescent="0.25">
      <c r="A169">
        <v>2014</v>
      </c>
      <c r="B169">
        <v>174</v>
      </c>
      <c r="C169" t="s">
        <v>108</v>
      </c>
      <c r="D169" t="s">
        <v>70</v>
      </c>
      <c r="E169" s="5">
        <v>0.20300000000000001</v>
      </c>
      <c r="F169" s="5">
        <v>0.22899999999999998</v>
      </c>
      <c r="G169" s="5">
        <v>0.25600000000000001</v>
      </c>
      <c r="H169" s="5">
        <v>0.25900000000000001</v>
      </c>
      <c r="I169" s="5">
        <v>0.26899999999999996</v>
      </c>
      <c r="J169" s="5">
        <v>0.29299999999999998</v>
      </c>
      <c r="K169" s="5">
        <v>0.22899999999999998</v>
      </c>
      <c r="L169" s="5">
        <v>0.218</v>
      </c>
      <c r="M169" s="5">
        <v>0.24199999999999999</v>
      </c>
      <c r="N169" s="5">
        <v>0.17499999999999999</v>
      </c>
    </row>
    <row r="170" spans="1:14" x14ac:dyDescent="0.25">
      <c r="A170">
        <v>2014</v>
      </c>
      <c r="B170">
        <v>174</v>
      </c>
      <c r="C170" t="s">
        <v>108</v>
      </c>
      <c r="D170" t="s">
        <v>69</v>
      </c>
      <c r="E170" s="5">
        <v>0.185</v>
      </c>
      <c r="F170" s="5">
        <v>0.18600000000000003</v>
      </c>
      <c r="G170" s="5">
        <v>0.23300000000000001</v>
      </c>
      <c r="H170" s="5">
        <v>0.25800000000000001</v>
      </c>
      <c r="I170" s="5">
        <v>0.26899999999999996</v>
      </c>
      <c r="J170" s="5">
        <v>0.29600000000000004</v>
      </c>
      <c r="K170" s="5">
        <v>0.31900000000000001</v>
      </c>
      <c r="L170" s="5">
        <v>0.29699999999999999</v>
      </c>
      <c r="M170" s="5">
        <v>0.24</v>
      </c>
      <c r="N170" s="5">
        <v>0.17699999999999999</v>
      </c>
    </row>
    <row r="171" spans="1:14" x14ac:dyDescent="0.25">
      <c r="A171">
        <v>2014</v>
      </c>
      <c r="B171">
        <v>174</v>
      </c>
      <c r="C171" t="s">
        <v>108</v>
      </c>
      <c r="D171" t="s">
        <v>68</v>
      </c>
      <c r="E171" s="5" t="s">
        <v>109</v>
      </c>
      <c r="F171" s="5" t="s">
        <v>109</v>
      </c>
      <c r="G171" s="5" t="s">
        <v>109</v>
      </c>
      <c r="H171" s="5" t="s">
        <v>109</v>
      </c>
      <c r="I171" s="5" t="s">
        <v>109</v>
      </c>
      <c r="J171" s="5">
        <v>0.28899999999999998</v>
      </c>
      <c r="K171" s="5">
        <v>0.29799999999999999</v>
      </c>
      <c r="L171" s="5">
        <v>0.26500000000000001</v>
      </c>
      <c r="M171" s="5">
        <v>0.23199999999999998</v>
      </c>
      <c r="N171" s="5">
        <v>0.158</v>
      </c>
    </row>
    <row r="172" spans="1:14" x14ac:dyDescent="0.25">
      <c r="A172">
        <v>2014</v>
      </c>
      <c r="B172">
        <v>174</v>
      </c>
      <c r="C172" t="s">
        <v>108</v>
      </c>
      <c r="D172" t="s">
        <v>67</v>
      </c>
      <c r="E172" s="5" t="s">
        <v>109</v>
      </c>
      <c r="F172" s="5" t="s">
        <v>109</v>
      </c>
      <c r="G172" s="5" t="s">
        <v>109</v>
      </c>
      <c r="H172" s="5" t="s">
        <v>109</v>
      </c>
      <c r="I172" s="5">
        <v>0.28199999999999997</v>
      </c>
      <c r="J172" s="5">
        <v>0.3</v>
      </c>
      <c r="K172" s="5">
        <v>0.26400000000000001</v>
      </c>
      <c r="L172" s="5">
        <v>0.23499999999999999</v>
      </c>
      <c r="M172" s="5">
        <v>0.16399999999999998</v>
      </c>
      <c r="N172" s="5" t="s">
        <v>109</v>
      </c>
    </row>
    <row r="173" spans="1:14" x14ac:dyDescent="0.25">
      <c r="A173">
        <v>2014</v>
      </c>
      <c r="B173">
        <v>174</v>
      </c>
      <c r="C173" t="s">
        <v>108</v>
      </c>
      <c r="D173" t="s">
        <v>66</v>
      </c>
      <c r="E173" s="5">
        <v>0.19600000000000001</v>
      </c>
      <c r="F173" s="5">
        <v>0.18600000000000003</v>
      </c>
      <c r="G173" s="5">
        <v>0.20600000000000002</v>
      </c>
      <c r="H173" s="5">
        <v>0.21299999999999999</v>
      </c>
      <c r="I173" s="5">
        <v>0.248</v>
      </c>
      <c r="J173" s="5">
        <v>0.28300000000000003</v>
      </c>
      <c r="K173" s="5">
        <v>0.30099999999999999</v>
      </c>
      <c r="L173" s="5">
        <v>0.28899999999999998</v>
      </c>
      <c r="M173" s="5">
        <v>0.253</v>
      </c>
      <c r="N173" s="5">
        <v>0.18100000000000002</v>
      </c>
    </row>
    <row r="174" spans="1:14" x14ac:dyDescent="0.25">
      <c r="A174">
        <v>2014</v>
      </c>
      <c r="B174">
        <v>174</v>
      </c>
      <c r="C174" t="s">
        <v>108</v>
      </c>
      <c r="D174" t="s">
        <v>65</v>
      </c>
      <c r="E174" s="5">
        <v>0.22800000000000001</v>
      </c>
      <c r="F174" s="5">
        <v>0.23600000000000002</v>
      </c>
      <c r="G174" s="5">
        <v>0.22800000000000001</v>
      </c>
      <c r="H174" s="5">
        <v>0.23600000000000002</v>
      </c>
      <c r="I174" s="5">
        <v>0.26100000000000001</v>
      </c>
      <c r="J174" s="5">
        <v>0.248</v>
      </c>
      <c r="K174" s="5">
        <v>0.27100000000000002</v>
      </c>
      <c r="L174" s="5">
        <v>0.29499999999999998</v>
      </c>
      <c r="M174" s="5">
        <v>0.222</v>
      </c>
      <c r="N174" s="5">
        <v>0.13800000000000001</v>
      </c>
    </row>
    <row r="175" spans="1:14" x14ac:dyDescent="0.25">
      <c r="A175">
        <v>2014</v>
      </c>
      <c r="B175">
        <v>174</v>
      </c>
      <c r="C175" t="s">
        <v>108</v>
      </c>
      <c r="D175" t="s">
        <v>71</v>
      </c>
      <c r="E175" s="5" t="s">
        <v>109</v>
      </c>
      <c r="F175" s="5">
        <v>0.19500000000000001</v>
      </c>
      <c r="G175" s="5">
        <v>0.21299999999999999</v>
      </c>
      <c r="H175" s="5">
        <v>0.23499999999999999</v>
      </c>
      <c r="I175" s="5">
        <v>0.249</v>
      </c>
      <c r="J175" s="5">
        <v>0.221</v>
      </c>
      <c r="K175" s="5">
        <v>0.253</v>
      </c>
      <c r="L175" s="5">
        <v>0.247</v>
      </c>
      <c r="M175" s="5">
        <v>0.21899999999999997</v>
      </c>
      <c r="N175" s="5">
        <v>0.17899999999999999</v>
      </c>
    </row>
    <row r="176" spans="1:14" x14ac:dyDescent="0.25">
      <c r="A176">
        <v>2014</v>
      </c>
      <c r="B176">
        <v>174</v>
      </c>
      <c r="C176" t="s">
        <v>108</v>
      </c>
      <c r="D176" t="s">
        <v>74</v>
      </c>
      <c r="E176" s="5" t="s">
        <v>109</v>
      </c>
      <c r="F176" s="5">
        <v>0.19500000000000001</v>
      </c>
      <c r="G176" s="5">
        <v>0.17699999999999999</v>
      </c>
      <c r="H176" s="5">
        <v>0.27300000000000002</v>
      </c>
      <c r="I176" s="5">
        <v>0.23</v>
      </c>
      <c r="J176" s="5">
        <v>0.26500000000000001</v>
      </c>
      <c r="K176" s="5">
        <v>0.28899999999999998</v>
      </c>
      <c r="L176" s="5">
        <v>0.27100000000000002</v>
      </c>
      <c r="M176" s="5" t="s">
        <v>109</v>
      </c>
      <c r="N176" s="5" t="s">
        <v>109</v>
      </c>
    </row>
    <row r="177" spans="1:14" x14ac:dyDescent="0.25">
      <c r="A177">
        <v>2014</v>
      </c>
      <c r="B177">
        <v>174</v>
      </c>
      <c r="C177" t="s">
        <v>108</v>
      </c>
      <c r="D177" t="s">
        <v>75</v>
      </c>
      <c r="E177" s="5" t="s">
        <v>109</v>
      </c>
      <c r="F177" s="5">
        <v>0.19699999999999998</v>
      </c>
      <c r="G177" s="5">
        <v>0.17600000000000002</v>
      </c>
      <c r="H177" s="5">
        <v>0.27500000000000002</v>
      </c>
      <c r="I177" s="5">
        <v>0.23</v>
      </c>
      <c r="J177" s="5">
        <v>0.26100000000000001</v>
      </c>
      <c r="K177" s="5">
        <v>0.28999999999999998</v>
      </c>
      <c r="L177" s="5">
        <v>0.26899999999999996</v>
      </c>
      <c r="M177" s="5">
        <v>0.23300000000000001</v>
      </c>
      <c r="N177" s="5">
        <v>0.187</v>
      </c>
    </row>
    <row r="178" spans="1:14" x14ac:dyDescent="0.25">
      <c r="A178">
        <v>2014</v>
      </c>
      <c r="B178">
        <v>174</v>
      </c>
      <c r="C178" t="s">
        <v>108</v>
      </c>
      <c r="D178" t="s">
        <v>76</v>
      </c>
      <c r="E178" s="5">
        <v>0.192</v>
      </c>
      <c r="F178" s="5">
        <v>0.182</v>
      </c>
      <c r="G178" s="5">
        <v>0.19</v>
      </c>
      <c r="H178" s="5">
        <v>0.221</v>
      </c>
      <c r="I178" s="5">
        <v>0.26400000000000001</v>
      </c>
      <c r="J178" s="5">
        <v>0.26800000000000002</v>
      </c>
      <c r="K178" s="5">
        <v>0.27399999999999997</v>
      </c>
      <c r="L178" s="5">
        <v>0.29399999999999998</v>
      </c>
      <c r="M178" s="5">
        <v>0.23699999999999999</v>
      </c>
      <c r="N178" s="5">
        <v>0.16699999999999998</v>
      </c>
    </row>
    <row r="179" spans="1:14" x14ac:dyDescent="0.25">
      <c r="A179">
        <v>2014</v>
      </c>
      <c r="B179">
        <v>174</v>
      </c>
      <c r="C179" t="s">
        <v>108</v>
      </c>
      <c r="D179" t="s">
        <v>53</v>
      </c>
      <c r="E179" s="5" t="s">
        <v>109</v>
      </c>
      <c r="F179" s="5">
        <v>0.32899999999999996</v>
      </c>
      <c r="G179" s="5">
        <v>0.222</v>
      </c>
      <c r="H179" s="5">
        <v>0.24399999999999999</v>
      </c>
      <c r="I179" s="5">
        <v>0.28199999999999997</v>
      </c>
      <c r="J179" s="5">
        <v>0.28300000000000003</v>
      </c>
      <c r="K179" s="5">
        <v>0.31</v>
      </c>
      <c r="L179" s="5">
        <v>0.27200000000000002</v>
      </c>
      <c r="M179" s="5">
        <v>0.249</v>
      </c>
      <c r="N179" s="5">
        <v>0.17100000000000001</v>
      </c>
    </row>
    <row r="180" spans="1:14" x14ac:dyDescent="0.25">
      <c r="A180">
        <v>2014</v>
      </c>
      <c r="B180">
        <v>174</v>
      </c>
      <c r="C180" t="s">
        <v>108</v>
      </c>
      <c r="D180" t="s">
        <v>77</v>
      </c>
      <c r="E180" s="5">
        <v>0.23899999999999999</v>
      </c>
      <c r="F180" s="5">
        <v>0.26600000000000001</v>
      </c>
      <c r="G180" s="5">
        <v>0.254</v>
      </c>
      <c r="H180" s="5">
        <v>0.22899999999999998</v>
      </c>
      <c r="I180" s="5">
        <v>0.23300000000000001</v>
      </c>
      <c r="J180" s="5">
        <v>0.23</v>
      </c>
      <c r="K180" s="5">
        <v>0.19600000000000001</v>
      </c>
      <c r="L180" s="5">
        <v>0.248</v>
      </c>
      <c r="M180" s="5">
        <v>0.21899999999999997</v>
      </c>
      <c r="N180" s="5">
        <v>0.151</v>
      </c>
    </row>
    <row r="181" spans="1:14" x14ac:dyDescent="0.25">
      <c r="A181">
        <v>2014</v>
      </c>
      <c r="B181">
        <v>174</v>
      </c>
      <c r="C181" t="s">
        <v>108</v>
      </c>
      <c r="D181" t="s">
        <v>73</v>
      </c>
      <c r="E181" s="5" t="s">
        <v>109</v>
      </c>
      <c r="F181" s="5">
        <v>0.20600000000000002</v>
      </c>
      <c r="G181" s="5">
        <v>0.26100000000000001</v>
      </c>
      <c r="H181" s="5">
        <v>0.26200000000000001</v>
      </c>
      <c r="I181" s="5">
        <v>0.218</v>
      </c>
      <c r="J181" s="5">
        <v>0.23100000000000001</v>
      </c>
      <c r="K181" s="5">
        <v>0.2</v>
      </c>
      <c r="L181" s="5">
        <v>0.187</v>
      </c>
      <c r="M181" s="5">
        <v>0.193</v>
      </c>
      <c r="N181" s="5">
        <v>0.114</v>
      </c>
    </row>
    <row r="182" spans="1:14" x14ac:dyDescent="0.25">
      <c r="A182">
        <v>2014</v>
      </c>
      <c r="B182">
        <v>174</v>
      </c>
      <c r="C182" t="s">
        <v>108</v>
      </c>
      <c r="D182" t="s">
        <v>81</v>
      </c>
      <c r="E182" s="5" t="s">
        <v>109</v>
      </c>
      <c r="F182" s="5">
        <v>0.27200000000000002</v>
      </c>
      <c r="G182" s="5">
        <v>0.25700000000000001</v>
      </c>
      <c r="H182" s="5">
        <v>0.28300000000000003</v>
      </c>
      <c r="I182" s="5">
        <v>0.3</v>
      </c>
      <c r="J182" s="5">
        <v>0.28399999999999997</v>
      </c>
      <c r="K182" s="5">
        <v>0.247</v>
      </c>
      <c r="L182" s="5">
        <v>0.217</v>
      </c>
      <c r="M182" s="5">
        <v>0.20600000000000002</v>
      </c>
      <c r="N182" s="5">
        <v>0.115</v>
      </c>
    </row>
    <row r="183" spans="1:14" x14ac:dyDescent="0.25">
      <c r="A183">
        <v>2014</v>
      </c>
      <c r="B183">
        <v>174</v>
      </c>
      <c r="C183" t="s">
        <v>108</v>
      </c>
      <c r="D183" t="s">
        <v>80</v>
      </c>
      <c r="E183" s="5" t="s">
        <v>109</v>
      </c>
      <c r="F183" s="5">
        <v>0.23</v>
      </c>
      <c r="G183" s="5">
        <v>0.23899999999999999</v>
      </c>
      <c r="H183" s="5">
        <v>0.26200000000000001</v>
      </c>
      <c r="I183" s="5">
        <v>0.26899999999999996</v>
      </c>
      <c r="J183" s="5">
        <v>0.28899999999999998</v>
      </c>
      <c r="K183" s="5">
        <v>0.29899999999999999</v>
      </c>
      <c r="L183" s="5">
        <v>0.26</v>
      </c>
      <c r="M183" s="5">
        <v>0.20699999999999999</v>
      </c>
      <c r="N183" s="5">
        <v>0.13900000000000001</v>
      </c>
    </row>
    <row r="184" spans="1:14" x14ac:dyDescent="0.25">
      <c r="A184">
        <v>2014</v>
      </c>
      <c r="B184">
        <v>174</v>
      </c>
      <c r="C184" t="s">
        <v>108</v>
      </c>
      <c r="D184" t="s">
        <v>79</v>
      </c>
      <c r="E184" s="5" t="s">
        <v>109</v>
      </c>
      <c r="F184" s="5">
        <v>0.217</v>
      </c>
      <c r="G184" s="5">
        <v>0.22699999999999998</v>
      </c>
      <c r="H184" s="5">
        <v>0.27200000000000002</v>
      </c>
      <c r="I184" s="5">
        <v>0.29600000000000004</v>
      </c>
      <c r="J184" s="5">
        <v>0.311</v>
      </c>
      <c r="K184" s="5">
        <v>0.28999999999999998</v>
      </c>
      <c r="L184" s="5">
        <v>0.27100000000000002</v>
      </c>
      <c r="M184" s="5">
        <v>0.20899999999999999</v>
      </c>
      <c r="N184" s="5">
        <v>0.126</v>
      </c>
    </row>
    <row r="185" spans="1:14" x14ac:dyDescent="0.25">
      <c r="A185">
        <v>2014</v>
      </c>
      <c r="B185">
        <v>174</v>
      </c>
      <c r="C185" t="s">
        <v>108</v>
      </c>
      <c r="D185" t="s">
        <v>78</v>
      </c>
      <c r="E185" s="5" t="s">
        <v>109</v>
      </c>
      <c r="F185" s="5">
        <v>0.24299999999999999</v>
      </c>
      <c r="G185" s="5">
        <v>0.22</v>
      </c>
      <c r="H185" s="5">
        <v>0.24299999999999999</v>
      </c>
      <c r="I185" s="5">
        <v>0.26400000000000001</v>
      </c>
      <c r="J185" s="5">
        <v>0.27300000000000002</v>
      </c>
      <c r="K185" s="5">
        <v>0.27300000000000002</v>
      </c>
      <c r="L185" s="5">
        <v>0.24600000000000002</v>
      </c>
      <c r="M185" s="5">
        <v>0.18899999999999997</v>
      </c>
      <c r="N185" s="5">
        <v>0.111</v>
      </c>
    </row>
    <row r="186" spans="1:14" x14ac:dyDescent="0.25">
      <c r="A186">
        <v>2014</v>
      </c>
      <c r="B186">
        <v>174</v>
      </c>
      <c r="C186" t="s">
        <v>108</v>
      </c>
      <c r="D186" t="s">
        <v>54</v>
      </c>
      <c r="E186" s="5" t="s">
        <v>109</v>
      </c>
      <c r="F186" s="5" t="s">
        <v>109</v>
      </c>
      <c r="G186" s="5">
        <v>0.22</v>
      </c>
      <c r="H186" s="5">
        <v>0.221</v>
      </c>
      <c r="I186" s="5">
        <v>0.23300000000000001</v>
      </c>
      <c r="J186" s="5">
        <v>0.23399999999999999</v>
      </c>
      <c r="K186" s="5">
        <v>0.23199999999999998</v>
      </c>
      <c r="L186" s="5">
        <v>0.252</v>
      </c>
      <c r="M186" s="5">
        <v>0.214</v>
      </c>
      <c r="N186" s="5">
        <v>9.3000000000000013E-2</v>
      </c>
    </row>
    <row r="187" spans="1:14" x14ac:dyDescent="0.25">
      <c r="A187">
        <v>2014</v>
      </c>
      <c r="B187">
        <v>174</v>
      </c>
      <c r="C187" t="s">
        <v>108</v>
      </c>
      <c r="D187" t="s">
        <v>35</v>
      </c>
      <c r="E187" s="5" t="s">
        <v>109</v>
      </c>
      <c r="F187" s="5">
        <v>0.23800000000000002</v>
      </c>
      <c r="G187" s="5">
        <v>0.22399999999999998</v>
      </c>
      <c r="H187" s="5">
        <v>0.19500000000000001</v>
      </c>
      <c r="I187" s="5">
        <v>0.17699999999999999</v>
      </c>
      <c r="J187" s="5">
        <v>0.16899999999999998</v>
      </c>
      <c r="K187" s="5">
        <v>0.16699999999999998</v>
      </c>
      <c r="L187" s="5">
        <v>0.2</v>
      </c>
      <c r="M187" s="5">
        <v>0.19</v>
      </c>
      <c r="N187" s="5">
        <v>0.13</v>
      </c>
    </row>
    <row r="188" spans="1:14" x14ac:dyDescent="0.25">
      <c r="A188">
        <v>2014</v>
      </c>
      <c r="B188">
        <v>174</v>
      </c>
      <c r="C188" t="s">
        <v>108</v>
      </c>
      <c r="D188" t="s">
        <v>37</v>
      </c>
      <c r="E188" s="5" t="s">
        <v>109</v>
      </c>
      <c r="F188" s="5">
        <v>0.24600000000000002</v>
      </c>
      <c r="G188" s="5">
        <v>0.251</v>
      </c>
      <c r="H188" s="5">
        <v>0.247</v>
      </c>
      <c r="I188" s="5">
        <v>0.245</v>
      </c>
      <c r="J188" s="5">
        <v>0.249</v>
      </c>
      <c r="K188" s="5">
        <v>0.23600000000000002</v>
      </c>
      <c r="L188" s="5">
        <v>0.2</v>
      </c>
      <c r="M188" s="5">
        <v>0.21</v>
      </c>
      <c r="N188" s="5">
        <v>0.156</v>
      </c>
    </row>
    <row r="189" spans="1:14" x14ac:dyDescent="0.25">
      <c r="A189">
        <v>2014</v>
      </c>
      <c r="B189">
        <v>174</v>
      </c>
      <c r="C189" t="s">
        <v>108</v>
      </c>
      <c r="D189" t="s">
        <v>40</v>
      </c>
      <c r="E189" s="5" t="s">
        <v>109</v>
      </c>
      <c r="F189" s="5">
        <v>0.20600000000000002</v>
      </c>
      <c r="G189" s="5">
        <v>0.21899999999999997</v>
      </c>
      <c r="H189" s="5">
        <v>0.22500000000000001</v>
      </c>
      <c r="I189" s="5">
        <v>0.23100000000000001</v>
      </c>
      <c r="J189" s="5">
        <v>0.21600000000000003</v>
      </c>
      <c r="K189" s="5">
        <v>0.2</v>
      </c>
      <c r="L189" s="5">
        <v>0.18100000000000002</v>
      </c>
      <c r="M189" s="5">
        <v>0.19899999999999998</v>
      </c>
      <c r="N189" s="5">
        <v>0.14099999999999999</v>
      </c>
    </row>
    <row r="190" spans="1:14" x14ac:dyDescent="0.25">
      <c r="A190">
        <v>2014</v>
      </c>
      <c r="B190">
        <v>174</v>
      </c>
      <c r="C190" t="s">
        <v>108</v>
      </c>
      <c r="D190" t="s">
        <v>41</v>
      </c>
      <c r="E190" s="5">
        <v>0.24299999999999999</v>
      </c>
      <c r="F190" s="5">
        <v>0.24</v>
      </c>
      <c r="G190" s="5">
        <v>0.253</v>
      </c>
      <c r="H190" s="5">
        <v>0.20800000000000002</v>
      </c>
      <c r="I190" s="5">
        <v>0.19899999999999998</v>
      </c>
      <c r="J190" s="5">
        <v>0.214</v>
      </c>
      <c r="K190" s="5">
        <v>0.24399999999999999</v>
      </c>
      <c r="L190" s="5">
        <v>0.23600000000000002</v>
      </c>
      <c r="M190" s="5">
        <v>0.18600000000000003</v>
      </c>
      <c r="N190" s="5">
        <v>0.14599999999999999</v>
      </c>
    </row>
    <row r="191" spans="1:14" x14ac:dyDescent="0.25">
      <c r="A191">
        <v>2014</v>
      </c>
      <c r="B191">
        <v>174</v>
      </c>
      <c r="C191" t="s">
        <v>108</v>
      </c>
      <c r="D191" t="s">
        <v>43</v>
      </c>
      <c r="E191" s="5">
        <v>0.25600000000000001</v>
      </c>
      <c r="F191" s="5">
        <v>0.22899999999999998</v>
      </c>
      <c r="G191" s="5">
        <v>0.19</v>
      </c>
      <c r="H191" s="5">
        <v>0.17499999999999999</v>
      </c>
      <c r="I191" s="5">
        <v>0.17199999999999999</v>
      </c>
      <c r="J191" s="5">
        <v>0.17</v>
      </c>
      <c r="K191" s="5">
        <v>0.16200000000000001</v>
      </c>
      <c r="L191" s="5">
        <v>0.16300000000000001</v>
      </c>
      <c r="M191" s="5">
        <v>0.16</v>
      </c>
      <c r="N191" s="5">
        <v>0.11699999999999999</v>
      </c>
    </row>
    <row r="192" spans="1:14" x14ac:dyDescent="0.25">
      <c r="A192">
        <v>2014</v>
      </c>
      <c r="B192">
        <v>174</v>
      </c>
      <c r="C192" t="s">
        <v>108</v>
      </c>
      <c r="D192" t="s">
        <v>44</v>
      </c>
      <c r="E192" s="5" t="s">
        <v>109</v>
      </c>
      <c r="F192" s="5">
        <v>0.22800000000000001</v>
      </c>
      <c r="G192" s="5">
        <v>0.17399999999999999</v>
      </c>
      <c r="H192" s="5">
        <v>0.17</v>
      </c>
      <c r="I192" s="5">
        <v>0.15</v>
      </c>
      <c r="J192" s="5">
        <v>0.13900000000000001</v>
      </c>
      <c r="K192" s="5">
        <v>0.13500000000000001</v>
      </c>
      <c r="L192" s="5">
        <v>0.14300000000000002</v>
      </c>
      <c r="M192" s="5">
        <v>0.16500000000000001</v>
      </c>
      <c r="N192" s="5">
        <v>0.125</v>
      </c>
    </row>
    <row r="193" spans="1:14" x14ac:dyDescent="0.25">
      <c r="A193">
        <v>2014</v>
      </c>
      <c r="B193">
        <v>174</v>
      </c>
      <c r="C193" t="s">
        <v>108</v>
      </c>
      <c r="D193" t="s">
        <v>38</v>
      </c>
      <c r="E193" s="5">
        <v>0.222</v>
      </c>
      <c r="F193" s="5">
        <v>0.23600000000000002</v>
      </c>
      <c r="G193" s="5">
        <v>0.26600000000000001</v>
      </c>
      <c r="H193" s="5">
        <v>0.27399999999999997</v>
      </c>
      <c r="I193" s="5">
        <v>0.252</v>
      </c>
      <c r="J193" s="5">
        <v>0.22800000000000001</v>
      </c>
      <c r="K193" s="5">
        <v>0.20100000000000001</v>
      </c>
      <c r="L193" s="5">
        <v>0.22399999999999998</v>
      </c>
      <c r="M193" s="5">
        <v>0.19</v>
      </c>
      <c r="N193" s="5">
        <v>0.14099999999999999</v>
      </c>
    </row>
    <row r="194" spans="1:14" x14ac:dyDescent="0.25">
      <c r="A194">
        <v>2014</v>
      </c>
      <c r="B194">
        <v>174</v>
      </c>
      <c r="C194" t="s">
        <v>108</v>
      </c>
      <c r="D194" t="s">
        <v>85</v>
      </c>
      <c r="E194" s="5">
        <v>0.20800000000000002</v>
      </c>
      <c r="F194" s="5">
        <v>0.20100000000000001</v>
      </c>
      <c r="G194" s="5">
        <v>0.23100000000000001</v>
      </c>
      <c r="H194" s="5">
        <v>0.24600000000000002</v>
      </c>
      <c r="I194" s="5">
        <v>0.23899999999999999</v>
      </c>
      <c r="J194" s="5">
        <v>0.23699999999999999</v>
      </c>
      <c r="K194" s="5">
        <v>0.23699999999999999</v>
      </c>
      <c r="L194" s="5">
        <v>0.20899999999999999</v>
      </c>
      <c r="M194" s="5">
        <v>0.23399999999999999</v>
      </c>
      <c r="N194" s="5">
        <v>0.19399999999999998</v>
      </c>
    </row>
    <row r="195" spans="1:14" x14ac:dyDescent="0.25">
      <c r="A195">
        <v>2014</v>
      </c>
      <c r="B195">
        <v>174</v>
      </c>
      <c r="C195" t="s">
        <v>108</v>
      </c>
      <c r="D195" t="s">
        <v>84</v>
      </c>
      <c r="E195" s="5" t="s">
        <v>109</v>
      </c>
      <c r="F195" s="5">
        <v>0.23</v>
      </c>
      <c r="G195" s="5">
        <v>0.26100000000000001</v>
      </c>
      <c r="H195" s="5">
        <v>0.25600000000000001</v>
      </c>
      <c r="I195" s="5">
        <v>0.26700000000000002</v>
      </c>
      <c r="J195" s="5">
        <v>0.26700000000000002</v>
      </c>
      <c r="K195" s="5">
        <v>0.28499999999999998</v>
      </c>
      <c r="L195" s="5">
        <v>0.22800000000000001</v>
      </c>
      <c r="M195" s="5">
        <v>0.20899999999999999</v>
      </c>
      <c r="N195" s="5">
        <v>0.17</v>
      </c>
    </row>
    <row r="196" spans="1:14" x14ac:dyDescent="0.25">
      <c r="A196">
        <v>2014</v>
      </c>
      <c r="B196">
        <v>174</v>
      </c>
      <c r="C196" t="s">
        <v>108</v>
      </c>
      <c r="D196" t="s">
        <v>42</v>
      </c>
      <c r="E196" s="5" t="s">
        <v>109</v>
      </c>
      <c r="F196" s="5">
        <v>0.247</v>
      </c>
      <c r="G196" s="5">
        <v>0.248</v>
      </c>
      <c r="H196" s="5">
        <v>0.26100000000000001</v>
      </c>
      <c r="I196" s="5">
        <v>0.25600000000000001</v>
      </c>
      <c r="J196" s="5">
        <v>0.26700000000000002</v>
      </c>
      <c r="K196" s="5">
        <v>0.26800000000000002</v>
      </c>
      <c r="L196" s="5">
        <v>0.245</v>
      </c>
      <c r="M196" s="5">
        <v>0.223</v>
      </c>
      <c r="N196" s="5">
        <v>0.182</v>
      </c>
    </row>
    <row r="197" spans="1:14" x14ac:dyDescent="0.25">
      <c r="A197">
        <v>2014</v>
      </c>
      <c r="B197">
        <v>174</v>
      </c>
      <c r="C197" t="s">
        <v>108</v>
      </c>
      <c r="D197" t="s">
        <v>83</v>
      </c>
      <c r="E197" s="5" t="s">
        <v>109</v>
      </c>
      <c r="F197" s="5">
        <v>0.188</v>
      </c>
      <c r="G197" s="5">
        <v>0.25800000000000001</v>
      </c>
      <c r="H197" s="5">
        <v>0.28000000000000003</v>
      </c>
      <c r="I197" s="5">
        <v>0.26300000000000001</v>
      </c>
      <c r="J197" s="5">
        <v>0.23</v>
      </c>
      <c r="K197" s="5">
        <v>0.192</v>
      </c>
      <c r="L197" s="5">
        <v>0.188</v>
      </c>
      <c r="M197" s="5">
        <v>0.191</v>
      </c>
      <c r="N197" s="5">
        <v>0.14800000000000002</v>
      </c>
    </row>
    <row r="198" spans="1:14" x14ac:dyDescent="0.25">
      <c r="A198">
        <v>2014</v>
      </c>
      <c r="B198">
        <v>174</v>
      </c>
      <c r="C198" t="s">
        <v>108</v>
      </c>
      <c r="D198" t="s">
        <v>82</v>
      </c>
      <c r="E198" s="5">
        <v>0.18</v>
      </c>
      <c r="F198" s="5">
        <v>0.17600000000000002</v>
      </c>
      <c r="G198" s="5">
        <v>0.18</v>
      </c>
      <c r="H198" s="5">
        <v>0.23199999999999998</v>
      </c>
      <c r="I198" s="5">
        <v>0.26600000000000001</v>
      </c>
      <c r="J198" s="5">
        <v>0.248</v>
      </c>
      <c r="K198" s="5">
        <v>0.23800000000000002</v>
      </c>
      <c r="L198" s="5">
        <v>0.22399999999999998</v>
      </c>
      <c r="M198" s="5">
        <v>0.20699999999999999</v>
      </c>
      <c r="N198" s="5">
        <v>0.17600000000000002</v>
      </c>
    </row>
    <row r="199" spans="1:14" x14ac:dyDescent="0.25">
      <c r="A199">
        <v>2014</v>
      </c>
      <c r="B199">
        <v>174</v>
      </c>
      <c r="C199" t="s">
        <v>108</v>
      </c>
      <c r="D199" t="s">
        <v>72</v>
      </c>
      <c r="E199" s="5">
        <v>0.23899999999999999</v>
      </c>
      <c r="F199" s="5">
        <v>0.23800000000000002</v>
      </c>
      <c r="G199" s="5">
        <v>0.248</v>
      </c>
      <c r="H199" s="5">
        <v>0.27</v>
      </c>
      <c r="I199" s="5">
        <v>0.24199999999999999</v>
      </c>
      <c r="J199" s="5">
        <v>0.16399999999999998</v>
      </c>
      <c r="K199" s="5">
        <v>0.14800000000000002</v>
      </c>
      <c r="L199" s="5">
        <v>0.17899999999999999</v>
      </c>
      <c r="M199" s="5">
        <v>0.20300000000000001</v>
      </c>
      <c r="N199" s="5">
        <v>0.154</v>
      </c>
    </row>
    <row r="200" spans="1:14" x14ac:dyDescent="0.25">
      <c r="A200">
        <v>2014</v>
      </c>
      <c r="B200">
        <v>174</v>
      </c>
      <c r="C200" t="s">
        <v>108</v>
      </c>
      <c r="D200" t="s">
        <v>39</v>
      </c>
      <c r="E200" s="5">
        <v>0.21</v>
      </c>
      <c r="F200" s="5">
        <v>0.20399999999999999</v>
      </c>
      <c r="G200" s="5">
        <v>0.20300000000000001</v>
      </c>
      <c r="H200" s="5">
        <v>0.26200000000000001</v>
      </c>
      <c r="I200" s="5">
        <v>0.25900000000000001</v>
      </c>
      <c r="J200" s="5">
        <v>0.23399999999999999</v>
      </c>
      <c r="K200" s="5">
        <v>0.248</v>
      </c>
      <c r="L200" s="5">
        <v>0.23100000000000001</v>
      </c>
      <c r="M200" s="5">
        <v>0.222</v>
      </c>
      <c r="N200" s="5">
        <v>0.184</v>
      </c>
    </row>
    <row r="201" spans="1:14" x14ac:dyDescent="0.25">
      <c r="A201">
        <v>2014</v>
      </c>
      <c r="B201">
        <v>174</v>
      </c>
      <c r="C201" t="s">
        <v>108</v>
      </c>
      <c r="D201" t="s">
        <v>86</v>
      </c>
      <c r="E201" s="5">
        <v>0.17100000000000001</v>
      </c>
      <c r="F201" s="5">
        <v>0.17899999999999999</v>
      </c>
      <c r="G201" s="5">
        <v>0.23199999999999998</v>
      </c>
      <c r="H201" s="5">
        <v>0.24199999999999999</v>
      </c>
      <c r="I201" s="5">
        <v>0.254</v>
      </c>
      <c r="J201" s="5">
        <v>0.22699999999999998</v>
      </c>
      <c r="K201" s="5">
        <v>0.23600000000000002</v>
      </c>
      <c r="L201" s="5">
        <v>0.221</v>
      </c>
      <c r="M201" s="5">
        <v>0.215</v>
      </c>
      <c r="N201" s="5">
        <v>0.182</v>
      </c>
    </row>
    <row r="202" spans="1:14" x14ac:dyDescent="0.25">
      <c r="A202">
        <v>2014</v>
      </c>
      <c r="B202">
        <v>174</v>
      </c>
      <c r="C202" t="s">
        <v>108</v>
      </c>
      <c r="D202" t="s">
        <v>87</v>
      </c>
      <c r="E202" s="5" t="s">
        <v>109</v>
      </c>
      <c r="F202" s="5">
        <v>0.19399999999999998</v>
      </c>
      <c r="G202" s="5">
        <v>0.22</v>
      </c>
      <c r="H202" s="5">
        <v>0.26200000000000001</v>
      </c>
      <c r="I202" s="5">
        <v>0.252</v>
      </c>
      <c r="J202" s="5">
        <v>0.255</v>
      </c>
      <c r="K202" s="5">
        <v>0.247</v>
      </c>
      <c r="L202" s="5">
        <v>0.21</v>
      </c>
      <c r="M202" s="5">
        <v>0.17</v>
      </c>
      <c r="N202" s="5">
        <v>0.13600000000000001</v>
      </c>
    </row>
    <row r="203" spans="1:14" x14ac:dyDescent="0.25">
      <c r="A203">
        <v>2014</v>
      </c>
      <c r="B203">
        <v>174</v>
      </c>
      <c r="C203" t="s">
        <v>108</v>
      </c>
      <c r="D203" t="s">
        <v>88</v>
      </c>
      <c r="E203" s="5">
        <v>0.22399999999999998</v>
      </c>
      <c r="F203" s="5">
        <v>0.21299999999999999</v>
      </c>
      <c r="G203" s="5">
        <v>0.22500000000000001</v>
      </c>
      <c r="H203" s="5">
        <v>0.22600000000000001</v>
      </c>
      <c r="I203" s="5">
        <v>0.23600000000000002</v>
      </c>
      <c r="J203" s="5">
        <v>0.24</v>
      </c>
      <c r="K203" s="5">
        <v>0.24299999999999999</v>
      </c>
      <c r="L203" s="5">
        <v>0.193</v>
      </c>
      <c r="M203" s="5">
        <v>0.17800000000000002</v>
      </c>
      <c r="N203" s="5">
        <v>0.14699999999999999</v>
      </c>
    </row>
    <row r="204" spans="1:14" x14ac:dyDescent="0.25">
      <c r="A204">
        <v>2014</v>
      </c>
      <c r="B204">
        <v>174</v>
      </c>
      <c r="C204" t="s">
        <v>108</v>
      </c>
      <c r="D204" t="s">
        <v>36</v>
      </c>
      <c r="E204" s="5">
        <v>0.157</v>
      </c>
      <c r="F204" s="5">
        <v>0.16399999999999998</v>
      </c>
      <c r="G204" s="5">
        <v>0.184</v>
      </c>
      <c r="H204" s="5">
        <v>0.221</v>
      </c>
      <c r="I204" s="5">
        <v>0.23199999999999998</v>
      </c>
      <c r="J204" s="5">
        <v>0.19899999999999998</v>
      </c>
      <c r="K204" s="5">
        <v>0.18600000000000003</v>
      </c>
      <c r="L204" s="5">
        <v>0.19</v>
      </c>
      <c r="M204" s="5">
        <v>0.16500000000000001</v>
      </c>
      <c r="N204" s="5">
        <v>0.127</v>
      </c>
    </row>
    <row r="205" spans="1:14" x14ac:dyDescent="0.25">
      <c r="A205">
        <v>2014</v>
      </c>
      <c r="B205">
        <v>174</v>
      </c>
      <c r="C205" t="s">
        <v>108</v>
      </c>
      <c r="D205" t="s">
        <v>94</v>
      </c>
      <c r="E205" s="5" t="s">
        <v>109</v>
      </c>
      <c r="F205" s="5">
        <v>0.215</v>
      </c>
      <c r="G205" s="5">
        <v>0.21100000000000002</v>
      </c>
      <c r="H205" s="5">
        <v>0.21299999999999999</v>
      </c>
      <c r="I205" s="5">
        <v>0.19699999999999998</v>
      </c>
      <c r="J205" s="5">
        <v>0.13800000000000001</v>
      </c>
      <c r="K205" s="5">
        <v>0.13400000000000001</v>
      </c>
      <c r="L205" s="5">
        <v>0.16500000000000001</v>
      </c>
      <c r="M205" s="5">
        <v>0.16</v>
      </c>
      <c r="N205" s="5">
        <v>0.124</v>
      </c>
    </row>
    <row r="206" spans="1:14" x14ac:dyDescent="0.25">
      <c r="A206">
        <v>2014</v>
      </c>
      <c r="B206">
        <v>174</v>
      </c>
      <c r="C206" t="s">
        <v>108</v>
      </c>
      <c r="D206" t="s">
        <v>93</v>
      </c>
      <c r="E206" s="5">
        <v>0.21600000000000003</v>
      </c>
      <c r="F206" s="5">
        <v>0.21899999999999997</v>
      </c>
      <c r="G206" s="5">
        <v>0.22899999999999998</v>
      </c>
      <c r="H206" s="5">
        <v>0.23</v>
      </c>
      <c r="I206" s="5">
        <v>0.20699999999999999</v>
      </c>
      <c r="J206" s="5">
        <v>0.16899999999999998</v>
      </c>
      <c r="K206" s="5">
        <v>0.14099999999999999</v>
      </c>
      <c r="L206" s="5">
        <v>0.17699999999999999</v>
      </c>
      <c r="M206" s="5">
        <v>0.17699999999999999</v>
      </c>
      <c r="N206" s="5">
        <v>0.152</v>
      </c>
    </row>
    <row r="207" spans="1:14" x14ac:dyDescent="0.25">
      <c r="A207">
        <v>2014</v>
      </c>
      <c r="B207">
        <v>174</v>
      </c>
      <c r="C207" t="s">
        <v>108</v>
      </c>
      <c r="D207" t="s">
        <v>92</v>
      </c>
      <c r="E207" s="5">
        <v>0.20600000000000002</v>
      </c>
      <c r="F207" s="5">
        <v>0.20800000000000002</v>
      </c>
      <c r="G207" s="5">
        <v>0.247</v>
      </c>
      <c r="H207" s="5">
        <v>0.251</v>
      </c>
      <c r="I207" s="5">
        <v>0.24600000000000002</v>
      </c>
      <c r="J207" s="5">
        <v>0.23800000000000002</v>
      </c>
      <c r="K207" s="5">
        <v>0.214</v>
      </c>
      <c r="L207" s="5">
        <v>0.21899999999999997</v>
      </c>
      <c r="M207" s="5">
        <v>0.21600000000000003</v>
      </c>
      <c r="N207" s="5">
        <v>0.182</v>
      </c>
    </row>
    <row r="208" spans="1:14" x14ac:dyDescent="0.25">
      <c r="A208">
        <v>2014</v>
      </c>
      <c r="B208">
        <v>174</v>
      </c>
      <c r="C208" t="s">
        <v>108</v>
      </c>
      <c r="D208" t="s">
        <v>91</v>
      </c>
      <c r="E208" s="5">
        <v>0.16899999999999998</v>
      </c>
      <c r="F208" s="5">
        <v>0.20800000000000002</v>
      </c>
      <c r="G208" s="5">
        <v>0.25800000000000001</v>
      </c>
      <c r="H208" s="5">
        <v>0.26300000000000001</v>
      </c>
      <c r="I208" s="5">
        <v>0.25700000000000001</v>
      </c>
      <c r="J208" s="5">
        <v>0.26600000000000001</v>
      </c>
      <c r="K208" s="5">
        <v>0.252</v>
      </c>
      <c r="L208" s="5">
        <v>0.22899999999999998</v>
      </c>
      <c r="M208" s="5">
        <v>0.22899999999999998</v>
      </c>
      <c r="N208" s="5">
        <v>0.18</v>
      </c>
    </row>
    <row r="209" spans="1:14" x14ac:dyDescent="0.25">
      <c r="A209">
        <v>2014</v>
      </c>
      <c r="B209">
        <v>174</v>
      </c>
      <c r="C209" t="s">
        <v>108</v>
      </c>
      <c r="D209" t="s">
        <v>90</v>
      </c>
      <c r="E209" s="5">
        <v>0.19899999999999998</v>
      </c>
      <c r="F209" s="5">
        <v>0.20600000000000002</v>
      </c>
      <c r="G209" s="5">
        <v>0.193</v>
      </c>
      <c r="H209" s="5">
        <v>0.223</v>
      </c>
      <c r="I209" s="5">
        <v>0.23100000000000001</v>
      </c>
      <c r="J209" s="5">
        <v>0.23</v>
      </c>
      <c r="K209" s="5">
        <v>0.23699999999999999</v>
      </c>
      <c r="L209" s="5">
        <v>0.21299999999999999</v>
      </c>
      <c r="M209" s="5">
        <v>0.17499999999999999</v>
      </c>
      <c r="N209" s="5">
        <v>0.14800000000000002</v>
      </c>
    </row>
    <row r="210" spans="1:14" x14ac:dyDescent="0.25">
      <c r="A210">
        <v>2014</v>
      </c>
      <c r="B210">
        <v>174</v>
      </c>
      <c r="C210" t="s">
        <v>108</v>
      </c>
      <c r="D210" t="s">
        <v>89</v>
      </c>
      <c r="E210" s="5">
        <v>0.17300000000000001</v>
      </c>
      <c r="F210" s="5">
        <v>0.17800000000000002</v>
      </c>
      <c r="G210" s="5">
        <v>0.223</v>
      </c>
      <c r="H210" s="5">
        <v>0.249</v>
      </c>
      <c r="I210" s="5">
        <v>0.24600000000000002</v>
      </c>
      <c r="J210" s="5">
        <v>0.222</v>
      </c>
      <c r="K210" s="5">
        <v>0.222</v>
      </c>
      <c r="L210" s="5">
        <v>0.217</v>
      </c>
      <c r="M210" s="5">
        <v>0.20199999999999999</v>
      </c>
      <c r="N210" s="5">
        <v>0.16200000000000001</v>
      </c>
    </row>
    <row r="211" spans="1:14" x14ac:dyDescent="0.25">
      <c r="A211">
        <v>2014</v>
      </c>
      <c r="B211">
        <v>174</v>
      </c>
      <c r="C211" t="s">
        <v>108</v>
      </c>
      <c r="D211" t="s">
        <v>45</v>
      </c>
      <c r="E211" s="5">
        <v>0.22800000000000001</v>
      </c>
      <c r="F211" s="5">
        <v>0.221</v>
      </c>
      <c r="G211" s="5">
        <v>0.22699999999999998</v>
      </c>
      <c r="H211" s="5">
        <v>0.23399999999999999</v>
      </c>
      <c r="I211" s="5">
        <v>0.22800000000000001</v>
      </c>
      <c r="J211" s="5">
        <v>0.192</v>
      </c>
      <c r="K211" s="5">
        <v>0.17899999999999999</v>
      </c>
      <c r="L211" s="5">
        <v>0.19899999999999998</v>
      </c>
      <c r="M211" s="5">
        <v>0.18600000000000003</v>
      </c>
      <c r="N211" s="5">
        <v>0.12300000000000001</v>
      </c>
    </row>
    <row r="212" spans="1:14" x14ac:dyDescent="0.25">
      <c r="A212">
        <v>2014</v>
      </c>
      <c r="B212">
        <v>174</v>
      </c>
      <c r="C212" t="s">
        <v>108</v>
      </c>
      <c r="D212" t="s">
        <v>46</v>
      </c>
      <c r="E212" s="5">
        <v>0.23300000000000001</v>
      </c>
      <c r="F212" s="5">
        <v>0.23800000000000002</v>
      </c>
      <c r="G212" s="5">
        <v>0.249</v>
      </c>
      <c r="H212" s="5">
        <v>0.251</v>
      </c>
      <c r="I212" s="5">
        <v>0.247</v>
      </c>
      <c r="J212" s="5">
        <v>0.23499999999999999</v>
      </c>
      <c r="K212" s="5">
        <v>0.22899999999999998</v>
      </c>
      <c r="L212" s="5">
        <v>0.21299999999999999</v>
      </c>
      <c r="M212" s="5">
        <v>0.193</v>
      </c>
      <c r="N212" s="5">
        <v>0.13200000000000001</v>
      </c>
    </row>
    <row r="213" spans="1:14" x14ac:dyDescent="0.25">
      <c r="A213">
        <v>2014</v>
      </c>
      <c r="B213">
        <v>174</v>
      </c>
      <c r="C213" t="s">
        <v>108</v>
      </c>
      <c r="D213" t="s">
        <v>48</v>
      </c>
      <c r="E213" s="5">
        <v>0.14300000000000002</v>
      </c>
      <c r="F213" s="5">
        <v>0.13500000000000001</v>
      </c>
      <c r="G213" s="5">
        <v>0.13</v>
      </c>
      <c r="H213" s="5">
        <v>0.124</v>
      </c>
      <c r="I213" s="5">
        <v>0.113</v>
      </c>
      <c r="J213" s="5">
        <v>0.115</v>
      </c>
      <c r="K213" s="5">
        <v>0.127</v>
      </c>
      <c r="L213" s="5">
        <v>0.17300000000000001</v>
      </c>
      <c r="M213" s="5">
        <v>0.17199999999999999</v>
      </c>
      <c r="N213" s="5">
        <v>0.124</v>
      </c>
    </row>
    <row r="214" spans="1:14" x14ac:dyDescent="0.25">
      <c r="A214">
        <v>2014</v>
      </c>
      <c r="B214">
        <v>174</v>
      </c>
      <c r="C214" t="s">
        <v>108</v>
      </c>
      <c r="D214" t="s">
        <v>49</v>
      </c>
      <c r="E214" s="5">
        <v>0.191</v>
      </c>
      <c r="F214" s="5">
        <v>0.215</v>
      </c>
      <c r="G214" s="5">
        <v>0.23</v>
      </c>
      <c r="H214" s="5">
        <v>0.23</v>
      </c>
      <c r="I214" s="5">
        <v>0.23199999999999998</v>
      </c>
      <c r="J214" s="5">
        <v>0.21100000000000002</v>
      </c>
      <c r="K214" s="5">
        <v>0.17</v>
      </c>
      <c r="L214" s="5">
        <v>0.17100000000000001</v>
      </c>
      <c r="M214" s="5">
        <v>0.18100000000000002</v>
      </c>
      <c r="N214" s="5">
        <v>0.127</v>
      </c>
    </row>
    <row r="215" spans="1:14" x14ac:dyDescent="0.25">
      <c r="A215">
        <v>2014</v>
      </c>
      <c r="B215">
        <v>174</v>
      </c>
      <c r="C215" t="s">
        <v>108</v>
      </c>
      <c r="D215" t="s">
        <v>50</v>
      </c>
      <c r="E215" s="5">
        <v>0.191</v>
      </c>
      <c r="F215" s="5">
        <v>0.221</v>
      </c>
      <c r="G215" s="5">
        <v>0.19899999999999998</v>
      </c>
      <c r="H215" s="5">
        <v>0.18100000000000002</v>
      </c>
      <c r="I215" s="5">
        <v>0.161</v>
      </c>
      <c r="J215" s="5">
        <v>0.17300000000000001</v>
      </c>
      <c r="K215" s="5">
        <v>0.182</v>
      </c>
      <c r="L215" s="5">
        <v>0.19500000000000001</v>
      </c>
      <c r="M215" s="5">
        <v>0.17</v>
      </c>
      <c r="N215" s="5">
        <v>0.121</v>
      </c>
    </row>
    <row r="216" spans="1:14" x14ac:dyDescent="0.25">
      <c r="A216">
        <v>2014</v>
      </c>
      <c r="B216">
        <v>181</v>
      </c>
      <c r="C216" t="s">
        <v>108</v>
      </c>
      <c r="D216" t="s">
        <v>51</v>
      </c>
      <c r="E216" s="5">
        <v>0.129</v>
      </c>
      <c r="F216" s="5">
        <v>0.14400000000000002</v>
      </c>
      <c r="G216" s="5">
        <v>0.158</v>
      </c>
      <c r="H216" s="5">
        <v>0.17800000000000002</v>
      </c>
      <c r="I216" s="5">
        <v>0.19899999999999998</v>
      </c>
      <c r="J216" s="5">
        <v>0.217</v>
      </c>
      <c r="K216" s="5">
        <v>0.22</v>
      </c>
      <c r="L216" s="5">
        <v>0.20699999999999999</v>
      </c>
      <c r="M216" s="5">
        <v>0.17899999999999999</v>
      </c>
      <c r="N216" s="5">
        <v>6.9000000000000006E-2</v>
      </c>
    </row>
    <row r="217" spans="1:14" x14ac:dyDescent="0.25">
      <c r="A217">
        <v>2014</v>
      </c>
      <c r="B217">
        <v>181</v>
      </c>
      <c r="C217" t="s">
        <v>108</v>
      </c>
      <c r="D217" t="s">
        <v>55</v>
      </c>
      <c r="E217" s="5">
        <v>0.245</v>
      </c>
      <c r="F217" s="5">
        <v>0.151</v>
      </c>
      <c r="G217" s="5">
        <v>0.13600000000000001</v>
      </c>
      <c r="H217" s="5">
        <v>0.16899999999999998</v>
      </c>
      <c r="I217" s="5">
        <v>0.192</v>
      </c>
      <c r="J217" s="5">
        <v>0.19800000000000001</v>
      </c>
      <c r="K217" s="5">
        <v>0.21</v>
      </c>
      <c r="L217" s="5">
        <v>0.20800000000000002</v>
      </c>
      <c r="M217" s="5">
        <v>0.17</v>
      </c>
      <c r="N217" s="5">
        <v>8.6999999999999994E-2</v>
      </c>
    </row>
    <row r="218" spans="1:14" x14ac:dyDescent="0.25">
      <c r="A218">
        <v>2014</v>
      </c>
      <c r="B218">
        <v>181</v>
      </c>
      <c r="C218" t="s">
        <v>108</v>
      </c>
      <c r="D218" t="s">
        <v>56</v>
      </c>
      <c r="E218" s="5">
        <v>0.13600000000000001</v>
      </c>
      <c r="F218" s="5">
        <v>0.188</v>
      </c>
      <c r="G218" s="5">
        <v>0.215</v>
      </c>
      <c r="H218" s="5">
        <v>0.22500000000000001</v>
      </c>
      <c r="I218" s="5">
        <v>0.22600000000000001</v>
      </c>
      <c r="J218" s="5">
        <v>0.223</v>
      </c>
      <c r="K218" s="5">
        <v>0.21100000000000002</v>
      </c>
      <c r="L218" s="5">
        <v>0.21600000000000003</v>
      </c>
      <c r="M218" s="5">
        <v>0.20199999999999999</v>
      </c>
      <c r="N218" s="5">
        <v>8.3000000000000004E-2</v>
      </c>
    </row>
    <row r="219" spans="1:14" x14ac:dyDescent="0.25">
      <c r="A219">
        <v>2014</v>
      </c>
      <c r="B219">
        <v>181</v>
      </c>
      <c r="C219" t="s">
        <v>108</v>
      </c>
      <c r="D219" t="s">
        <v>57</v>
      </c>
      <c r="E219" s="5">
        <v>0.14599999999999999</v>
      </c>
      <c r="F219" s="5">
        <v>0.151</v>
      </c>
      <c r="G219" s="5">
        <v>0.16500000000000001</v>
      </c>
      <c r="H219" s="5">
        <v>0.19899999999999998</v>
      </c>
      <c r="I219" s="5">
        <v>0.20399999999999999</v>
      </c>
      <c r="J219" s="5">
        <v>0.22</v>
      </c>
      <c r="K219" s="5">
        <v>0.22600000000000001</v>
      </c>
      <c r="L219" s="5">
        <v>0.223</v>
      </c>
      <c r="M219" s="5">
        <v>0.17199999999999999</v>
      </c>
      <c r="N219" s="5">
        <v>8.900000000000001E-2</v>
      </c>
    </row>
    <row r="220" spans="1:14" x14ac:dyDescent="0.25">
      <c r="A220">
        <v>2014</v>
      </c>
      <c r="B220">
        <v>181</v>
      </c>
      <c r="C220" t="s">
        <v>108</v>
      </c>
      <c r="D220" t="s">
        <v>58</v>
      </c>
      <c r="E220" s="5" t="s">
        <v>109</v>
      </c>
      <c r="F220" s="5" t="s">
        <v>109</v>
      </c>
      <c r="G220" s="5">
        <v>0.193</v>
      </c>
      <c r="H220" s="5">
        <v>0.254</v>
      </c>
      <c r="I220" s="5">
        <v>0.222</v>
      </c>
      <c r="J220" s="5">
        <v>0.23399999999999999</v>
      </c>
      <c r="K220" s="5">
        <v>0.24399999999999999</v>
      </c>
      <c r="L220" s="5">
        <v>0.23300000000000001</v>
      </c>
      <c r="M220" s="5">
        <v>0.21</v>
      </c>
      <c r="N220" s="5">
        <v>9.9000000000000005E-2</v>
      </c>
    </row>
    <row r="221" spans="1:14" x14ac:dyDescent="0.25">
      <c r="A221">
        <v>2014</v>
      </c>
      <c r="B221">
        <v>181</v>
      </c>
      <c r="C221" t="s">
        <v>108</v>
      </c>
      <c r="D221" t="s">
        <v>59</v>
      </c>
      <c r="E221" s="5" t="s">
        <v>109</v>
      </c>
      <c r="F221" s="5">
        <v>0.21199999999999999</v>
      </c>
      <c r="G221" s="5">
        <v>0.21100000000000002</v>
      </c>
      <c r="H221" s="5">
        <v>0.214</v>
      </c>
      <c r="I221" s="5">
        <v>0.22699999999999998</v>
      </c>
      <c r="J221" s="5">
        <v>0.22399999999999998</v>
      </c>
      <c r="K221" s="5">
        <v>0.23100000000000001</v>
      </c>
      <c r="L221" s="5">
        <v>0.28000000000000003</v>
      </c>
      <c r="M221" s="5">
        <v>0.19500000000000001</v>
      </c>
      <c r="N221" s="5">
        <v>7.400000000000001E-2</v>
      </c>
    </row>
    <row r="222" spans="1:14" x14ac:dyDescent="0.25">
      <c r="A222">
        <v>2014</v>
      </c>
      <c r="B222">
        <v>181</v>
      </c>
      <c r="C222" t="s">
        <v>108</v>
      </c>
      <c r="D222" t="s">
        <v>64</v>
      </c>
      <c r="E222" s="5">
        <v>0.25800000000000001</v>
      </c>
      <c r="F222" s="5">
        <v>0.154</v>
      </c>
      <c r="G222" s="5">
        <v>0.17699999999999999</v>
      </c>
      <c r="H222" s="5">
        <v>0.27200000000000002</v>
      </c>
      <c r="I222" s="5">
        <v>0.26500000000000001</v>
      </c>
      <c r="J222" s="5">
        <v>0.25800000000000001</v>
      </c>
      <c r="K222" s="5">
        <v>0.28699999999999998</v>
      </c>
      <c r="L222" s="5">
        <v>0.24399999999999999</v>
      </c>
      <c r="M222" s="5">
        <v>0.18100000000000002</v>
      </c>
      <c r="N222" s="5">
        <v>0.11699999999999999</v>
      </c>
    </row>
    <row r="223" spans="1:14" x14ac:dyDescent="0.25">
      <c r="A223">
        <v>2014</v>
      </c>
      <c r="B223">
        <v>181</v>
      </c>
      <c r="C223" t="s">
        <v>108</v>
      </c>
      <c r="D223" t="s">
        <v>52</v>
      </c>
      <c r="E223" s="5">
        <v>0.161</v>
      </c>
      <c r="F223" s="5">
        <v>0.18100000000000002</v>
      </c>
      <c r="G223" s="5">
        <v>0.20399999999999999</v>
      </c>
      <c r="H223" s="5">
        <v>0.22800000000000001</v>
      </c>
      <c r="I223" s="5">
        <v>0.26300000000000001</v>
      </c>
      <c r="J223" s="5">
        <v>0.29699999999999999</v>
      </c>
      <c r="K223" s="5">
        <v>0.315</v>
      </c>
      <c r="L223" s="5">
        <v>0.28300000000000003</v>
      </c>
      <c r="M223" s="5">
        <v>0.21899999999999997</v>
      </c>
      <c r="N223" s="5">
        <v>0.17399999999999999</v>
      </c>
    </row>
    <row r="224" spans="1:14" x14ac:dyDescent="0.25">
      <c r="A224">
        <v>2014</v>
      </c>
      <c r="B224">
        <v>181</v>
      </c>
      <c r="C224" t="s">
        <v>108</v>
      </c>
      <c r="D224" t="s">
        <v>62</v>
      </c>
      <c r="E224" s="5">
        <v>0.17100000000000001</v>
      </c>
      <c r="F224" s="5">
        <v>0.155</v>
      </c>
      <c r="G224" s="5">
        <v>0.17100000000000001</v>
      </c>
      <c r="H224" s="5">
        <v>0.193</v>
      </c>
      <c r="I224" s="5">
        <v>0.24600000000000002</v>
      </c>
      <c r="J224" s="5">
        <v>0.252</v>
      </c>
      <c r="K224" s="5">
        <v>0.23300000000000001</v>
      </c>
      <c r="L224" s="5">
        <v>0.249</v>
      </c>
      <c r="M224" s="5">
        <v>0.20499999999999999</v>
      </c>
      <c r="N224" s="5">
        <v>0.128</v>
      </c>
    </row>
    <row r="225" spans="1:14" x14ac:dyDescent="0.25">
      <c r="A225">
        <v>2014</v>
      </c>
      <c r="B225">
        <v>181</v>
      </c>
      <c r="C225" t="s">
        <v>108</v>
      </c>
      <c r="D225" t="s">
        <v>63</v>
      </c>
      <c r="E225" s="5">
        <v>0.18899999999999997</v>
      </c>
      <c r="F225" s="5">
        <v>0.17300000000000001</v>
      </c>
      <c r="G225" s="5">
        <v>0.182</v>
      </c>
      <c r="H225" s="5">
        <v>0.22600000000000001</v>
      </c>
      <c r="I225" s="5">
        <v>0.255</v>
      </c>
      <c r="J225" s="5">
        <v>0.26100000000000001</v>
      </c>
      <c r="K225" s="5">
        <v>0.28699999999999998</v>
      </c>
      <c r="L225" s="5">
        <v>0.21899999999999997</v>
      </c>
      <c r="M225" s="5">
        <v>0.18600000000000003</v>
      </c>
      <c r="N225" s="5">
        <v>0.114</v>
      </c>
    </row>
    <row r="226" spans="1:14" x14ac:dyDescent="0.25">
      <c r="A226">
        <v>2014</v>
      </c>
      <c r="B226">
        <v>181</v>
      </c>
      <c r="C226" t="s">
        <v>108</v>
      </c>
      <c r="D226" t="s">
        <v>61</v>
      </c>
      <c r="E226" s="5" t="s">
        <v>109</v>
      </c>
      <c r="F226" s="5">
        <v>0.32899999999999996</v>
      </c>
      <c r="G226" s="5">
        <v>0.27</v>
      </c>
      <c r="H226" s="5">
        <v>0.21</v>
      </c>
      <c r="I226" s="5">
        <v>0.23300000000000001</v>
      </c>
      <c r="J226" s="5">
        <v>0.23800000000000002</v>
      </c>
      <c r="K226" s="5">
        <v>0.24</v>
      </c>
      <c r="L226" s="5">
        <v>0.28999999999999998</v>
      </c>
      <c r="M226" s="5">
        <v>0.23499999999999999</v>
      </c>
      <c r="N226" s="5">
        <v>0.14400000000000002</v>
      </c>
    </row>
    <row r="227" spans="1:14" x14ac:dyDescent="0.25">
      <c r="A227">
        <v>2014</v>
      </c>
      <c r="B227">
        <v>181</v>
      </c>
      <c r="C227" t="s">
        <v>108</v>
      </c>
      <c r="D227" t="s">
        <v>60</v>
      </c>
      <c r="E227" s="5" t="s">
        <v>109</v>
      </c>
      <c r="F227" s="5" t="s">
        <v>109</v>
      </c>
      <c r="G227" s="5">
        <v>0.28800000000000003</v>
      </c>
      <c r="H227" s="5">
        <v>0.29699999999999999</v>
      </c>
      <c r="I227" s="5">
        <v>0.21299999999999999</v>
      </c>
      <c r="J227" s="5">
        <v>0.21899999999999997</v>
      </c>
      <c r="K227" s="5">
        <v>0.24399999999999999</v>
      </c>
      <c r="L227" s="5">
        <v>0.22399999999999998</v>
      </c>
      <c r="M227" s="5">
        <v>0.22</v>
      </c>
      <c r="N227" s="5">
        <v>0.127</v>
      </c>
    </row>
    <row r="228" spans="1:14" x14ac:dyDescent="0.25">
      <c r="A228">
        <v>2014</v>
      </c>
      <c r="B228">
        <v>181</v>
      </c>
      <c r="C228" t="s">
        <v>108</v>
      </c>
      <c r="D228" t="s">
        <v>29</v>
      </c>
      <c r="E228" s="5">
        <v>0.19899999999999998</v>
      </c>
      <c r="F228" s="5">
        <v>0.18899999999999997</v>
      </c>
      <c r="G228" s="5">
        <v>0.20699999999999999</v>
      </c>
      <c r="H228" s="5">
        <v>0.25</v>
      </c>
      <c r="I228" s="5">
        <v>0.26</v>
      </c>
      <c r="J228" s="5">
        <v>0.27500000000000002</v>
      </c>
      <c r="K228" s="5">
        <v>0.24600000000000002</v>
      </c>
      <c r="L228" s="5">
        <v>0.24</v>
      </c>
      <c r="M228" s="5">
        <v>0.22899999999999998</v>
      </c>
      <c r="N228" s="5">
        <v>0.16600000000000001</v>
      </c>
    </row>
    <row r="229" spans="1:14" x14ac:dyDescent="0.25">
      <c r="A229">
        <v>2014</v>
      </c>
      <c r="B229">
        <v>181</v>
      </c>
      <c r="C229" t="s">
        <v>108</v>
      </c>
      <c r="D229" t="s">
        <v>30</v>
      </c>
      <c r="E229" s="5">
        <v>0.19500000000000001</v>
      </c>
      <c r="F229" s="5">
        <v>0.20100000000000001</v>
      </c>
      <c r="G229" s="5">
        <v>0.24100000000000002</v>
      </c>
      <c r="H229" s="5">
        <v>0.26500000000000001</v>
      </c>
      <c r="I229" s="5">
        <v>0.25900000000000001</v>
      </c>
      <c r="J229" s="5">
        <v>0.26500000000000001</v>
      </c>
      <c r="K229" s="5">
        <v>0.28699999999999998</v>
      </c>
      <c r="L229" s="5">
        <v>0.19500000000000001</v>
      </c>
      <c r="M229" s="5">
        <v>0.161</v>
      </c>
      <c r="N229" s="5">
        <v>0.109</v>
      </c>
    </row>
    <row r="230" spans="1:14" x14ac:dyDescent="0.25">
      <c r="A230">
        <v>2014</v>
      </c>
      <c r="B230">
        <v>181</v>
      </c>
      <c r="C230" t="s">
        <v>108</v>
      </c>
      <c r="D230" t="s">
        <v>31</v>
      </c>
      <c r="E230" s="5">
        <v>0.192</v>
      </c>
      <c r="F230" s="5">
        <v>0.17199999999999999</v>
      </c>
      <c r="G230" s="5">
        <v>0.17699999999999999</v>
      </c>
      <c r="H230" s="5">
        <v>0.20100000000000001</v>
      </c>
      <c r="I230" s="5">
        <v>0.26500000000000001</v>
      </c>
      <c r="J230" s="5">
        <v>0.25900000000000001</v>
      </c>
      <c r="K230" s="5">
        <v>0.23600000000000002</v>
      </c>
      <c r="L230" s="5">
        <v>0.20499999999999999</v>
      </c>
      <c r="M230" s="5">
        <v>0.221</v>
      </c>
      <c r="N230" s="5">
        <v>0.18100000000000002</v>
      </c>
    </row>
    <row r="231" spans="1:14" x14ac:dyDescent="0.25">
      <c r="A231">
        <v>2014</v>
      </c>
      <c r="B231">
        <v>181</v>
      </c>
      <c r="C231" t="s">
        <v>108</v>
      </c>
      <c r="D231" t="s">
        <v>32</v>
      </c>
      <c r="E231" s="5">
        <v>0.25600000000000001</v>
      </c>
      <c r="F231" s="5">
        <v>0.19699999999999998</v>
      </c>
      <c r="G231" s="5">
        <v>0.22699999999999998</v>
      </c>
      <c r="H231" s="5">
        <v>0.21600000000000003</v>
      </c>
      <c r="I231" s="5">
        <v>0.222</v>
      </c>
      <c r="J231" s="5">
        <v>0.20399999999999999</v>
      </c>
      <c r="K231" s="5">
        <v>0.187</v>
      </c>
      <c r="L231" s="5">
        <v>0.18</v>
      </c>
      <c r="M231" s="5">
        <v>0.19899999999999998</v>
      </c>
      <c r="N231" s="5">
        <v>0.13699999999999998</v>
      </c>
    </row>
    <row r="232" spans="1:14" x14ac:dyDescent="0.25">
      <c r="A232">
        <v>2014</v>
      </c>
      <c r="B232">
        <v>181</v>
      </c>
      <c r="C232" t="s">
        <v>108</v>
      </c>
      <c r="D232" t="s">
        <v>33</v>
      </c>
      <c r="E232" s="5">
        <v>0.19</v>
      </c>
      <c r="F232" s="5">
        <v>0.188</v>
      </c>
      <c r="G232" s="5">
        <v>0.19699999999999998</v>
      </c>
      <c r="H232" s="5">
        <v>0.21199999999999999</v>
      </c>
      <c r="I232" s="5">
        <v>0.249</v>
      </c>
      <c r="J232" s="5">
        <v>0.27800000000000002</v>
      </c>
      <c r="K232" s="5">
        <v>0.28399999999999997</v>
      </c>
      <c r="L232" s="5">
        <v>0.245</v>
      </c>
      <c r="M232" s="5">
        <v>0.19699999999999998</v>
      </c>
      <c r="N232" s="5">
        <v>0.14300000000000002</v>
      </c>
    </row>
    <row r="233" spans="1:14" x14ac:dyDescent="0.25">
      <c r="A233">
        <v>2014</v>
      </c>
      <c r="B233">
        <v>181</v>
      </c>
      <c r="C233" t="s">
        <v>108</v>
      </c>
      <c r="D233" t="s">
        <v>34</v>
      </c>
      <c r="E233" s="5">
        <v>0.218</v>
      </c>
      <c r="F233" s="5">
        <v>0.20100000000000001</v>
      </c>
      <c r="G233" s="5">
        <v>0.26400000000000001</v>
      </c>
      <c r="H233" s="5">
        <v>0.29199999999999998</v>
      </c>
      <c r="I233" s="5">
        <v>0.251</v>
      </c>
      <c r="J233" s="5">
        <v>0.26400000000000001</v>
      </c>
      <c r="K233" s="5">
        <v>0.25700000000000001</v>
      </c>
      <c r="L233" s="5">
        <v>0.22699999999999998</v>
      </c>
      <c r="M233" s="5">
        <v>0.158</v>
      </c>
      <c r="N233" s="5">
        <v>7.4999999999999997E-2</v>
      </c>
    </row>
    <row r="234" spans="1:14" x14ac:dyDescent="0.25">
      <c r="A234">
        <v>2014</v>
      </c>
      <c r="B234">
        <v>181</v>
      </c>
      <c r="C234" t="s">
        <v>108</v>
      </c>
      <c r="D234" t="s">
        <v>70</v>
      </c>
      <c r="E234" s="5">
        <v>0.19500000000000001</v>
      </c>
      <c r="F234" s="5">
        <v>0.19399999999999998</v>
      </c>
      <c r="G234" s="5">
        <v>0.23899999999999999</v>
      </c>
      <c r="H234" s="5">
        <v>0.26100000000000001</v>
      </c>
      <c r="I234" s="5">
        <v>0.27699999999999997</v>
      </c>
      <c r="J234" s="5">
        <v>0.29799999999999999</v>
      </c>
      <c r="K234" s="5">
        <v>0.32200000000000001</v>
      </c>
      <c r="L234" s="5">
        <v>0.28199999999999997</v>
      </c>
      <c r="M234" s="5">
        <v>0.223</v>
      </c>
      <c r="N234" s="5">
        <v>0.17800000000000002</v>
      </c>
    </row>
    <row r="235" spans="1:14" x14ac:dyDescent="0.25">
      <c r="A235">
        <v>2014</v>
      </c>
      <c r="B235">
        <v>181</v>
      </c>
      <c r="C235" t="s">
        <v>108</v>
      </c>
      <c r="D235" t="s">
        <v>69</v>
      </c>
      <c r="E235" s="5" t="s">
        <v>109</v>
      </c>
      <c r="F235" s="5" t="s">
        <v>109</v>
      </c>
      <c r="G235" s="5" t="s">
        <v>109</v>
      </c>
      <c r="H235" s="5" t="s">
        <v>109</v>
      </c>
      <c r="I235" s="5" t="s">
        <v>109</v>
      </c>
      <c r="J235" s="5">
        <v>0.28600000000000003</v>
      </c>
      <c r="K235" s="5">
        <v>0.29100000000000004</v>
      </c>
      <c r="L235" s="5">
        <v>0.247</v>
      </c>
      <c r="M235" s="5">
        <v>0.20899999999999999</v>
      </c>
      <c r="N235" s="5">
        <v>0.13600000000000001</v>
      </c>
    </row>
    <row r="236" spans="1:14" x14ac:dyDescent="0.25">
      <c r="A236">
        <v>2014</v>
      </c>
      <c r="B236">
        <v>181</v>
      </c>
      <c r="C236" t="s">
        <v>108</v>
      </c>
      <c r="D236" t="s">
        <v>68</v>
      </c>
      <c r="E236" s="5">
        <v>0.20399999999999999</v>
      </c>
      <c r="F236" s="5">
        <v>0.19</v>
      </c>
      <c r="G236" s="5">
        <v>0.21199999999999999</v>
      </c>
      <c r="H236" s="5">
        <v>0.214</v>
      </c>
      <c r="I236" s="5">
        <v>0.25700000000000001</v>
      </c>
      <c r="J236" s="5">
        <v>0.28600000000000003</v>
      </c>
      <c r="K236" s="5">
        <v>0.30599999999999999</v>
      </c>
      <c r="L236" s="5">
        <v>0.27200000000000002</v>
      </c>
      <c r="M236" s="5">
        <v>0.222</v>
      </c>
      <c r="N236" s="5">
        <v>0.154</v>
      </c>
    </row>
    <row r="237" spans="1:14" x14ac:dyDescent="0.25">
      <c r="A237">
        <v>2014</v>
      </c>
      <c r="B237">
        <v>181</v>
      </c>
      <c r="C237" t="s">
        <v>108</v>
      </c>
      <c r="D237" t="s">
        <v>67</v>
      </c>
      <c r="E237" s="5">
        <v>0.23600000000000002</v>
      </c>
      <c r="F237" s="5">
        <v>0.24199999999999999</v>
      </c>
      <c r="G237" s="5">
        <v>0.23100000000000001</v>
      </c>
      <c r="H237" s="5">
        <v>0.24600000000000002</v>
      </c>
      <c r="I237" s="5">
        <v>0.26400000000000001</v>
      </c>
      <c r="J237" s="5">
        <v>0.25</v>
      </c>
      <c r="K237" s="5">
        <v>0.26300000000000001</v>
      </c>
      <c r="L237" s="5">
        <v>0.28300000000000003</v>
      </c>
      <c r="M237" s="5">
        <v>0.20399999999999999</v>
      </c>
      <c r="N237" s="5">
        <v>0.124</v>
      </c>
    </row>
    <row r="238" spans="1:14" x14ac:dyDescent="0.25">
      <c r="A238">
        <v>2014</v>
      </c>
      <c r="B238">
        <v>181</v>
      </c>
      <c r="C238" t="s">
        <v>108</v>
      </c>
      <c r="D238" t="s">
        <v>66</v>
      </c>
      <c r="E238" s="5" t="s">
        <v>109</v>
      </c>
      <c r="F238" s="5" t="s">
        <v>109</v>
      </c>
      <c r="G238" s="5" t="s">
        <v>109</v>
      </c>
      <c r="H238" s="5" t="s">
        <v>109</v>
      </c>
      <c r="I238" s="5" t="s">
        <v>109</v>
      </c>
      <c r="J238" s="5">
        <v>0.28899999999999998</v>
      </c>
      <c r="K238" s="5">
        <v>0.27800000000000002</v>
      </c>
      <c r="L238" s="5">
        <v>0.20899999999999999</v>
      </c>
      <c r="M238" s="5">
        <v>0.17899999999999999</v>
      </c>
      <c r="N238" s="5">
        <v>0.115</v>
      </c>
    </row>
    <row r="239" spans="1:14" x14ac:dyDescent="0.25">
      <c r="A239">
        <v>2014</v>
      </c>
      <c r="B239">
        <v>181</v>
      </c>
      <c r="C239" t="s">
        <v>108</v>
      </c>
      <c r="D239" t="s">
        <v>65</v>
      </c>
      <c r="E239" s="5">
        <v>0.24199999999999999</v>
      </c>
      <c r="F239" s="5">
        <v>0.23100000000000001</v>
      </c>
      <c r="G239" s="5">
        <v>0.32700000000000001</v>
      </c>
      <c r="H239" s="5">
        <v>0.217</v>
      </c>
      <c r="I239" s="5">
        <v>0.24199999999999999</v>
      </c>
      <c r="J239" s="5">
        <v>0.27399999999999997</v>
      </c>
      <c r="K239" s="5">
        <v>0.28699999999999998</v>
      </c>
      <c r="L239" s="5">
        <v>0.23600000000000002</v>
      </c>
      <c r="M239" s="5">
        <v>0.17399999999999999</v>
      </c>
      <c r="N239" s="5">
        <v>8.8000000000000009E-2</v>
      </c>
    </row>
    <row r="240" spans="1:14" x14ac:dyDescent="0.25">
      <c r="A240">
        <v>2014</v>
      </c>
      <c r="B240">
        <v>181</v>
      </c>
      <c r="C240" t="s">
        <v>108</v>
      </c>
      <c r="D240" t="s">
        <v>71</v>
      </c>
      <c r="E240" s="5" t="s">
        <v>109</v>
      </c>
      <c r="F240" s="5">
        <v>0.23100000000000001</v>
      </c>
      <c r="G240" s="5">
        <v>0.26100000000000001</v>
      </c>
      <c r="H240" s="5">
        <v>0.26700000000000002</v>
      </c>
      <c r="I240" s="5">
        <v>0.27899999999999997</v>
      </c>
      <c r="J240" s="5">
        <v>0.29600000000000004</v>
      </c>
      <c r="K240" s="5">
        <v>0.23699999999999999</v>
      </c>
      <c r="L240" s="5">
        <v>0.21899999999999997</v>
      </c>
      <c r="M240" s="5">
        <v>0.23199999999999998</v>
      </c>
      <c r="N240" s="5">
        <v>0.19800000000000001</v>
      </c>
    </row>
    <row r="241" spans="1:14" x14ac:dyDescent="0.25">
      <c r="A241">
        <v>2014</v>
      </c>
      <c r="B241">
        <v>181</v>
      </c>
      <c r="C241" t="s">
        <v>108</v>
      </c>
      <c r="D241" t="s">
        <v>74</v>
      </c>
      <c r="E241" s="5" t="s">
        <v>109</v>
      </c>
      <c r="F241" s="5">
        <v>0.19600000000000001</v>
      </c>
      <c r="G241" s="5">
        <v>0.222</v>
      </c>
      <c r="H241" s="5">
        <v>0.24299999999999999</v>
      </c>
      <c r="I241" s="5">
        <v>0.25900000000000001</v>
      </c>
      <c r="J241" s="5">
        <v>0.22899999999999998</v>
      </c>
      <c r="K241" s="5">
        <v>0.25800000000000001</v>
      </c>
      <c r="L241" s="5">
        <v>0.23699999999999999</v>
      </c>
      <c r="M241" s="5">
        <v>0.20600000000000002</v>
      </c>
      <c r="N241" s="5">
        <v>0.19</v>
      </c>
    </row>
    <row r="242" spans="1:14" x14ac:dyDescent="0.25">
      <c r="A242">
        <v>2014</v>
      </c>
      <c r="B242">
        <v>181</v>
      </c>
      <c r="C242" t="s">
        <v>108</v>
      </c>
      <c r="D242" t="s">
        <v>75</v>
      </c>
      <c r="E242" s="5" t="s">
        <v>109</v>
      </c>
      <c r="F242" s="5">
        <v>0.20199999999999999</v>
      </c>
      <c r="G242" s="5">
        <v>0.17699999999999999</v>
      </c>
      <c r="H242" s="5">
        <v>0.27800000000000002</v>
      </c>
      <c r="I242" s="5">
        <v>0.23600000000000002</v>
      </c>
      <c r="J242" s="5">
        <v>0.26100000000000001</v>
      </c>
      <c r="K242" s="5">
        <v>0.28600000000000003</v>
      </c>
      <c r="L242" s="5">
        <v>0.248</v>
      </c>
      <c r="M242" s="5">
        <v>0.24199999999999999</v>
      </c>
      <c r="N242" s="5">
        <v>0.20899999999999999</v>
      </c>
    </row>
    <row r="243" spans="1:14" x14ac:dyDescent="0.25">
      <c r="A243">
        <v>2014</v>
      </c>
      <c r="B243">
        <v>181</v>
      </c>
      <c r="C243" t="s">
        <v>108</v>
      </c>
      <c r="D243" t="s">
        <v>76</v>
      </c>
      <c r="E243" s="5">
        <v>0.2</v>
      </c>
      <c r="F243" s="5">
        <v>0.184</v>
      </c>
      <c r="G243" s="5">
        <v>0.191</v>
      </c>
      <c r="H243" s="5">
        <v>0.222</v>
      </c>
      <c r="I243" s="5">
        <v>0.27200000000000002</v>
      </c>
      <c r="J243" s="5">
        <v>0.27500000000000002</v>
      </c>
      <c r="K243" s="5">
        <v>0.28199999999999997</v>
      </c>
      <c r="L243" s="5">
        <v>0.28800000000000003</v>
      </c>
      <c r="M243" s="5">
        <v>0.221</v>
      </c>
      <c r="N243" s="5">
        <v>0.182</v>
      </c>
    </row>
    <row r="244" spans="1:14" x14ac:dyDescent="0.25">
      <c r="A244">
        <v>2014</v>
      </c>
      <c r="B244">
        <v>181</v>
      </c>
      <c r="C244" t="s">
        <v>108</v>
      </c>
      <c r="D244" t="s">
        <v>53</v>
      </c>
      <c r="E244" s="5" t="s">
        <v>109</v>
      </c>
      <c r="F244" s="5">
        <v>0.34</v>
      </c>
      <c r="G244" s="5">
        <v>0.22800000000000001</v>
      </c>
      <c r="H244" s="5">
        <v>0.254</v>
      </c>
      <c r="I244" s="5">
        <v>0.28300000000000003</v>
      </c>
      <c r="J244" s="5">
        <v>0.29100000000000004</v>
      </c>
      <c r="K244" s="5">
        <v>0.313</v>
      </c>
      <c r="L244" s="5">
        <v>0.26400000000000001</v>
      </c>
      <c r="M244" s="5">
        <v>0.24399999999999999</v>
      </c>
      <c r="N244" s="5">
        <v>0.187</v>
      </c>
    </row>
    <row r="245" spans="1:14" x14ac:dyDescent="0.25">
      <c r="A245">
        <v>2014</v>
      </c>
      <c r="B245">
        <v>181</v>
      </c>
      <c r="C245" t="s">
        <v>108</v>
      </c>
      <c r="D245" t="s">
        <v>77</v>
      </c>
      <c r="E245" s="5">
        <v>0.25900000000000001</v>
      </c>
      <c r="F245" s="5">
        <v>0.27699999999999997</v>
      </c>
      <c r="G245" s="5">
        <v>0.26300000000000001</v>
      </c>
      <c r="H245" s="5">
        <v>0.23899999999999999</v>
      </c>
      <c r="I245" s="5">
        <v>0.24199999999999999</v>
      </c>
      <c r="J245" s="5">
        <v>0.23899999999999999</v>
      </c>
      <c r="K245" s="5">
        <v>0.20600000000000002</v>
      </c>
      <c r="L245" s="5">
        <v>0.26200000000000001</v>
      </c>
      <c r="M245" s="5">
        <v>0.188</v>
      </c>
      <c r="N245" s="5">
        <v>0.13900000000000001</v>
      </c>
    </row>
    <row r="246" spans="1:14" x14ac:dyDescent="0.25">
      <c r="A246">
        <v>2014</v>
      </c>
      <c r="B246">
        <v>181</v>
      </c>
      <c r="C246" t="s">
        <v>108</v>
      </c>
      <c r="D246" t="s">
        <v>73</v>
      </c>
      <c r="E246" s="5" t="s">
        <v>109</v>
      </c>
      <c r="F246" s="5">
        <v>0.218</v>
      </c>
      <c r="G246" s="5">
        <v>0.27100000000000002</v>
      </c>
      <c r="H246" s="5">
        <v>0.27500000000000002</v>
      </c>
      <c r="I246" s="5">
        <v>0.22500000000000001</v>
      </c>
      <c r="J246" s="5">
        <v>0.24399999999999999</v>
      </c>
      <c r="K246" s="5">
        <v>0.20800000000000002</v>
      </c>
      <c r="L246" s="5">
        <v>0.19899999999999998</v>
      </c>
      <c r="M246" s="5">
        <v>0.19</v>
      </c>
      <c r="N246" s="5">
        <v>7.9000000000000001E-2</v>
      </c>
    </row>
    <row r="247" spans="1:14" x14ac:dyDescent="0.25">
      <c r="A247">
        <v>2014</v>
      </c>
      <c r="B247">
        <v>181</v>
      </c>
      <c r="C247" t="s">
        <v>108</v>
      </c>
      <c r="D247" t="s">
        <v>81</v>
      </c>
      <c r="E247" s="5" t="s">
        <v>109</v>
      </c>
      <c r="F247" s="5" t="s">
        <v>109</v>
      </c>
      <c r="G247" s="5">
        <v>0.27100000000000002</v>
      </c>
      <c r="H247" s="5">
        <v>0.28600000000000003</v>
      </c>
      <c r="I247" s="5">
        <v>0.30599999999999999</v>
      </c>
      <c r="J247" s="5">
        <v>0.29600000000000004</v>
      </c>
      <c r="K247" s="5">
        <v>0.251</v>
      </c>
      <c r="L247" s="5">
        <v>0.19800000000000001</v>
      </c>
      <c r="M247" s="5">
        <v>0.17600000000000002</v>
      </c>
      <c r="N247" s="5">
        <v>8.4000000000000005E-2</v>
      </c>
    </row>
    <row r="248" spans="1:14" x14ac:dyDescent="0.25">
      <c r="A248">
        <v>2014</v>
      </c>
      <c r="B248">
        <v>181</v>
      </c>
      <c r="C248" t="s">
        <v>108</v>
      </c>
      <c r="D248" t="s">
        <v>80</v>
      </c>
      <c r="E248" s="5" t="s">
        <v>109</v>
      </c>
      <c r="F248" s="5" t="s">
        <v>109</v>
      </c>
      <c r="G248" s="5">
        <v>0.24199999999999999</v>
      </c>
      <c r="H248" s="5">
        <v>0.27</v>
      </c>
      <c r="I248" s="5">
        <v>0.27399999999999997</v>
      </c>
      <c r="J248" s="5">
        <v>0.29600000000000004</v>
      </c>
      <c r="K248" s="5">
        <v>0.30399999999999999</v>
      </c>
      <c r="L248" s="5">
        <v>0.23100000000000001</v>
      </c>
      <c r="M248" s="5">
        <v>0.191</v>
      </c>
      <c r="N248" s="5">
        <v>0.106</v>
      </c>
    </row>
    <row r="249" spans="1:14" x14ac:dyDescent="0.25">
      <c r="A249">
        <v>2014</v>
      </c>
      <c r="B249">
        <v>181</v>
      </c>
      <c r="C249" t="s">
        <v>108</v>
      </c>
      <c r="D249" t="s">
        <v>79</v>
      </c>
      <c r="E249" s="5" t="s">
        <v>109</v>
      </c>
      <c r="F249" s="5">
        <v>0.215</v>
      </c>
      <c r="G249" s="5">
        <v>0.23399999999999999</v>
      </c>
      <c r="H249" s="5">
        <v>0.27899999999999997</v>
      </c>
      <c r="I249" s="5">
        <v>0.30499999999999999</v>
      </c>
      <c r="J249" s="5">
        <v>0.31900000000000001</v>
      </c>
      <c r="K249" s="5">
        <v>0.29100000000000004</v>
      </c>
      <c r="L249" s="5">
        <v>0.25900000000000001</v>
      </c>
      <c r="M249" s="5">
        <v>0.17699999999999999</v>
      </c>
      <c r="N249" s="5">
        <v>8.5999999999999993E-2</v>
      </c>
    </row>
    <row r="250" spans="1:14" x14ac:dyDescent="0.25">
      <c r="A250">
        <v>2014</v>
      </c>
      <c r="B250">
        <v>181</v>
      </c>
      <c r="C250" t="s">
        <v>108</v>
      </c>
      <c r="D250" t="s">
        <v>78</v>
      </c>
      <c r="E250" s="5" t="s">
        <v>109</v>
      </c>
      <c r="F250" s="5">
        <v>0.248</v>
      </c>
      <c r="G250" s="5">
        <v>0.223</v>
      </c>
      <c r="H250" s="5">
        <v>0.251</v>
      </c>
      <c r="I250" s="5">
        <v>0.27200000000000002</v>
      </c>
      <c r="J250" s="5">
        <v>0.28399999999999997</v>
      </c>
      <c r="K250" s="5">
        <v>0.27500000000000002</v>
      </c>
      <c r="L250" s="5">
        <v>0.221</v>
      </c>
      <c r="M250" s="5">
        <v>0.17199999999999999</v>
      </c>
      <c r="N250" s="5">
        <v>7.9000000000000001E-2</v>
      </c>
    </row>
    <row r="251" spans="1:14" x14ac:dyDescent="0.25">
      <c r="A251">
        <v>2014</v>
      </c>
      <c r="B251">
        <v>181</v>
      </c>
      <c r="C251" t="s">
        <v>108</v>
      </c>
      <c r="D251" t="s">
        <v>54</v>
      </c>
      <c r="E251" s="5" t="s">
        <v>109</v>
      </c>
      <c r="F251" s="5" t="s">
        <v>109</v>
      </c>
      <c r="G251" s="5">
        <v>0.23399999999999999</v>
      </c>
      <c r="H251" s="5">
        <v>0.22800000000000001</v>
      </c>
      <c r="I251" s="5">
        <v>0.24199999999999999</v>
      </c>
      <c r="J251" s="5">
        <v>0.24399999999999999</v>
      </c>
      <c r="K251" s="5">
        <v>0.24100000000000002</v>
      </c>
      <c r="L251" s="5">
        <v>0.26300000000000001</v>
      </c>
      <c r="M251" s="5">
        <v>0.19</v>
      </c>
      <c r="N251" s="5">
        <v>7.0000000000000007E-2</v>
      </c>
    </row>
    <row r="252" spans="1:14" x14ac:dyDescent="0.25">
      <c r="A252">
        <v>2014</v>
      </c>
      <c r="B252">
        <v>181</v>
      </c>
      <c r="C252" t="s">
        <v>108</v>
      </c>
      <c r="D252" t="s">
        <v>35</v>
      </c>
      <c r="E252" s="5" t="s">
        <v>109</v>
      </c>
      <c r="F252" s="5">
        <v>0.248</v>
      </c>
      <c r="G252" s="5">
        <v>0.22500000000000001</v>
      </c>
      <c r="H252" s="5">
        <v>0.19800000000000001</v>
      </c>
      <c r="I252" s="5">
        <v>0.18100000000000002</v>
      </c>
      <c r="J252" s="5">
        <v>0.17699999999999999</v>
      </c>
      <c r="K252" s="5">
        <v>0.17100000000000001</v>
      </c>
      <c r="L252" s="5">
        <v>0.20300000000000001</v>
      </c>
      <c r="M252" s="5">
        <v>0.182</v>
      </c>
      <c r="N252" s="5">
        <v>0.10300000000000001</v>
      </c>
    </row>
    <row r="253" spans="1:14" x14ac:dyDescent="0.25">
      <c r="A253">
        <v>2014</v>
      </c>
      <c r="B253">
        <v>181</v>
      </c>
      <c r="C253" t="s">
        <v>108</v>
      </c>
      <c r="D253" t="s">
        <v>37</v>
      </c>
      <c r="E253" s="5" t="s">
        <v>109</v>
      </c>
      <c r="F253" s="5">
        <v>0.252</v>
      </c>
      <c r="G253" s="5">
        <v>0.25700000000000001</v>
      </c>
      <c r="H253" s="5">
        <v>0.252</v>
      </c>
      <c r="I253" s="5">
        <v>0.245</v>
      </c>
      <c r="J253" s="5">
        <v>0.25700000000000001</v>
      </c>
      <c r="K253" s="5">
        <v>0.23100000000000001</v>
      </c>
      <c r="L253" s="5">
        <v>0.19399999999999998</v>
      </c>
      <c r="M253" s="5">
        <v>0.20499999999999999</v>
      </c>
      <c r="N253" s="5">
        <v>0.17</v>
      </c>
    </row>
    <row r="254" spans="1:14" x14ac:dyDescent="0.25">
      <c r="A254">
        <v>2014</v>
      </c>
      <c r="B254">
        <v>181</v>
      </c>
      <c r="C254" t="s">
        <v>108</v>
      </c>
      <c r="D254" t="s">
        <v>40</v>
      </c>
      <c r="E254" s="5" t="s">
        <v>109</v>
      </c>
      <c r="F254" s="5">
        <v>0.21</v>
      </c>
      <c r="G254" s="5">
        <v>0.222</v>
      </c>
      <c r="H254" s="5">
        <v>0.23</v>
      </c>
      <c r="I254" s="5">
        <v>0.24100000000000002</v>
      </c>
      <c r="J254" s="5">
        <v>0.218</v>
      </c>
      <c r="K254" s="5">
        <v>0.19800000000000001</v>
      </c>
      <c r="L254" s="5">
        <v>0.18</v>
      </c>
      <c r="M254" s="5">
        <v>0.19399999999999998</v>
      </c>
      <c r="N254" s="5">
        <v>0.12300000000000001</v>
      </c>
    </row>
    <row r="255" spans="1:14" x14ac:dyDescent="0.25">
      <c r="A255">
        <v>2014</v>
      </c>
      <c r="B255">
        <v>181</v>
      </c>
      <c r="C255" t="s">
        <v>108</v>
      </c>
      <c r="D255" t="s">
        <v>41</v>
      </c>
      <c r="E255" s="5">
        <v>0.25600000000000001</v>
      </c>
      <c r="F255" s="5">
        <v>0.245</v>
      </c>
      <c r="G255" s="5">
        <v>0.254</v>
      </c>
      <c r="H255" s="5">
        <v>0.20399999999999999</v>
      </c>
      <c r="I255" s="5">
        <v>0.20300000000000001</v>
      </c>
      <c r="J255" s="5">
        <v>0.21199999999999999</v>
      </c>
      <c r="K255" s="5">
        <v>0.247</v>
      </c>
      <c r="L255" s="5">
        <v>0.222</v>
      </c>
      <c r="M255" s="5">
        <v>0.18100000000000002</v>
      </c>
      <c r="N255" s="5">
        <v>0.126</v>
      </c>
    </row>
    <row r="256" spans="1:14" x14ac:dyDescent="0.25">
      <c r="A256">
        <v>2014</v>
      </c>
      <c r="B256">
        <v>181</v>
      </c>
      <c r="C256" t="s">
        <v>108</v>
      </c>
      <c r="D256" t="s">
        <v>43</v>
      </c>
      <c r="E256" s="5">
        <v>0.26400000000000001</v>
      </c>
      <c r="F256" s="5">
        <v>0.23699999999999999</v>
      </c>
      <c r="G256" s="5">
        <v>0.188</v>
      </c>
      <c r="H256" s="5">
        <v>0.18100000000000002</v>
      </c>
      <c r="I256" s="5">
        <v>0.17399999999999999</v>
      </c>
      <c r="J256" s="5">
        <v>0.17399999999999999</v>
      </c>
      <c r="K256" s="5">
        <v>0.16200000000000001</v>
      </c>
      <c r="L256" s="5">
        <v>0.157</v>
      </c>
      <c r="M256" s="5">
        <v>0.152</v>
      </c>
      <c r="N256" s="5">
        <v>9.9000000000000005E-2</v>
      </c>
    </row>
    <row r="257" spans="1:14" x14ac:dyDescent="0.25">
      <c r="A257">
        <v>2014</v>
      </c>
      <c r="B257">
        <v>181</v>
      </c>
      <c r="C257" t="s">
        <v>108</v>
      </c>
      <c r="D257" t="s">
        <v>44</v>
      </c>
      <c r="E257" s="5" t="s">
        <v>109</v>
      </c>
      <c r="F257" s="5">
        <v>0.23100000000000001</v>
      </c>
      <c r="G257" s="5">
        <v>0.17499999999999999</v>
      </c>
      <c r="H257" s="5">
        <v>0.17100000000000001</v>
      </c>
      <c r="I257" s="5">
        <v>0.15</v>
      </c>
      <c r="J257" s="5">
        <v>0.14099999999999999</v>
      </c>
      <c r="K257" s="5">
        <v>0.13400000000000001</v>
      </c>
      <c r="L257" s="5">
        <v>0.14400000000000002</v>
      </c>
      <c r="M257" s="5">
        <v>0.158</v>
      </c>
      <c r="N257" s="5">
        <v>9.8000000000000004E-2</v>
      </c>
    </row>
    <row r="258" spans="1:14" x14ac:dyDescent="0.25">
      <c r="A258">
        <v>2014</v>
      </c>
      <c r="B258">
        <v>181</v>
      </c>
      <c r="C258" t="s">
        <v>108</v>
      </c>
      <c r="D258" t="s">
        <v>38</v>
      </c>
      <c r="E258" s="5">
        <v>0.22699999999999998</v>
      </c>
      <c r="F258" s="5">
        <v>0.23899999999999999</v>
      </c>
      <c r="G258" s="5">
        <v>0.26400000000000001</v>
      </c>
      <c r="H258" s="5">
        <v>0.28100000000000003</v>
      </c>
      <c r="I258" s="5">
        <v>0.25800000000000001</v>
      </c>
      <c r="J258" s="5">
        <v>0.23300000000000001</v>
      </c>
      <c r="K258" s="5">
        <v>0.19600000000000001</v>
      </c>
      <c r="L258" s="5">
        <v>0.214</v>
      </c>
      <c r="M258" s="5">
        <v>0.17800000000000002</v>
      </c>
      <c r="N258" s="5">
        <v>0.115</v>
      </c>
    </row>
    <row r="259" spans="1:14" x14ac:dyDescent="0.25">
      <c r="A259">
        <v>2014</v>
      </c>
      <c r="B259">
        <v>181</v>
      </c>
      <c r="C259" t="s">
        <v>108</v>
      </c>
      <c r="D259" t="s">
        <v>85</v>
      </c>
      <c r="E259" s="5">
        <v>0.214</v>
      </c>
      <c r="F259" s="5">
        <v>0.20499999999999999</v>
      </c>
      <c r="G259" s="5">
        <v>0.23399999999999999</v>
      </c>
      <c r="H259" s="5">
        <v>0.245</v>
      </c>
      <c r="I259" s="5">
        <v>0.247</v>
      </c>
      <c r="J259" s="5">
        <v>0.24600000000000002</v>
      </c>
      <c r="K259" s="5">
        <v>0.23699999999999999</v>
      </c>
      <c r="L259" s="5">
        <v>0.215</v>
      </c>
      <c r="M259" s="5">
        <v>0.23100000000000001</v>
      </c>
      <c r="N259" s="5">
        <v>0.16399999999999998</v>
      </c>
    </row>
    <row r="260" spans="1:14" x14ac:dyDescent="0.25">
      <c r="A260">
        <v>2014</v>
      </c>
      <c r="B260">
        <v>181</v>
      </c>
      <c r="C260" t="s">
        <v>108</v>
      </c>
      <c r="D260" t="s">
        <v>84</v>
      </c>
      <c r="E260" s="5" t="s">
        <v>109</v>
      </c>
      <c r="F260" s="5">
        <v>0.23699999999999999</v>
      </c>
      <c r="G260" s="5">
        <v>0.26500000000000001</v>
      </c>
      <c r="H260" s="5">
        <v>0.26100000000000001</v>
      </c>
      <c r="I260" s="5">
        <v>0.26899999999999996</v>
      </c>
      <c r="J260" s="5">
        <v>0.27600000000000002</v>
      </c>
      <c r="K260" s="5">
        <v>0.28300000000000003</v>
      </c>
      <c r="L260" s="5">
        <v>0.20399999999999999</v>
      </c>
      <c r="M260" s="5">
        <v>0.18899999999999997</v>
      </c>
      <c r="N260" s="5">
        <v>0.13100000000000001</v>
      </c>
    </row>
    <row r="261" spans="1:14" x14ac:dyDescent="0.25">
      <c r="A261">
        <v>2014</v>
      </c>
      <c r="B261">
        <v>181</v>
      </c>
      <c r="C261" t="s">
        <v>108</v>
      </c>
      <c r="D261" t="s">
        <v>42</v>
      </c>
      <c r="E261" s="5" t="s">
        <v>109</v>
      </c>
      <c r="F261" s="5">
        <v>0.249</v>
      </c>
      <c r="G261" s="5">
        <v>0.252</v>
      </c>
      <c r="H261" s="5">
        <v>0.26600000000000001</v>
      </c>
      <c r="I261" s="5">
        <v>0.26700000000000002</v>
      </c>
      <c r="J261" s="5">
        <v>0.27200000000000002</v>
      </c>
      <c r="K261" s="5">
        <v>0.27899999999999997</v>
      </c>
      <c r="L261" s="5">
        <v>0.24299999999999999</v>
      </c>
      <c r="M261" s="5">
        <v>0.23199999999999998</v>
      </c>
      <c r="N261" s="5">
        <v>0.16600000000000001</v>
      </c>
    </row>
    <row r="262" spans="1:14" x14ac:dyDescent="0.25">
      <c r="A262">
        <v>2014</v>
      </c>
      <c r="B262">
        <v>181</v>
      </c>
      <c r="C262" t="s">
        <v>108</v>
      </c>
      <c r="D262" t="s">
        <v>83</v>
      </c>
      <c r="E262" s="5" t="s">
        <v>109</v>
      </c>
      <c r="F262" s="5">
        <v>0.188</v>
      </c>
      <c r="G262" s="5">
        <v>0.25600000000000001</v>
      </c>
      <c r="H262" s="5">
        <v>0.28699999999999998</v>
      </c>
      <c r="I262" s="5">
        <v>0.26500000000000001</v>
      </c>
      <c r="J262" s="5">
        <v>0.23199999999999998</v>
      </c>
      <c r="K262" s="5">
        <v>0.187</v>
      </c>
      <c r="L262" s="5">
        <v>0.17699999999999999</v>
      </c>
      <c r="M262" s="5">
        <v>0.16</v>
      </c>
      <c r="N262" s="5">
        <v>9.5000000000000001E-2</v>
      </c>
    </row>
    <row r="263" spans="1:14" x14ac:dyDescent="0.25">
      <c r="A263">
        <v>2014</v>
      </c>
      <c r="B263">
        <v>181</v>
      </c>
      <c r="C263" t="s">
        <v>108</v>
      </c>
      <c r="D263" t="s">
        <v>82</v>
      </c>
      <c r="E263" s="5">
        <v>0.17800000000000002</v>
      </c>
      <c r="F263" s="5">
        <v>0.17399999999999999</v>
      </c>
      <c r="G263" s="5">
        <v>0.17800000000000002</v>
      </c>
      <c r="H263" s="5">
        <v>0.23</v>
      </c>
      <c r="I263" s="5">
        <v>0.27</v>
      </c>
      <c r="J263" s="5">
        <v>0.254</v>
      </c>
      <c r="K263" s="5">
        <v>0.23199999999999998</v>
      </c>
      <c r="L263" s="5">
        <v>0.20199999999999999</v>
      </c>
      <c r="M263" s="5">
        <v>0.19600000000000001</v>
      </c>
      <c r="N263" s="5">
        <v>0.127</v>
      </c>
    </row>
    <row r="264" spans="1:14" x14ac:dyDescent="0.25">
      <c r="A264">
        <v>2014</v>
      </c>
      <c r="B264">
        <v>181</v>
      </c>
      <c r="C264" t="s">
        <v>108</v>
      </c>
      <c r="D264" t="s">
        <v>72</v>
      </c>
      <c r="E264" s="5">
        <v>0.24399999999999999</v>
      </c>
      <c r="F264" s="5">
        <v>0.24299999999999999</v>
      </c>
      <c r="G264" s="5">
        <v>0.24399999999999999</v>
      </c>
      <c r="H264" s="5">
        <v>0.27100000000000002</v>
      </c>
      <c r="I264" s="5">
        <v>0.249</v>
      </c>
      <c r="J264" s="5">
        <v>0.16899999999999998</v>
      </c>
      <c r="K264" s="5">
        <v>0.157</v>
      </c>
      <c r="L264" s="5">
        <v>0.20199999999999999</v>
      </c>
      <c r="M264" s="5">
        <v>0.19699999999999998</v>
      </c>
      <c r="N264" s="5">
        <v>0.11900000000000001</v>
      </c>
    </row>
    <row r="265" spans="1:14" x14ac:dyDescent="0.25">
      <c r="A265">
        <v>2014</v>
      </c>
      <c r="B265">
        <v>181</v>
      </c>
      <c r="C265" t="s">
        <v>108</v>
      </c>
      <c r="D265" t="s">
        <v>39</v>
      </c>
      <c r="E265" s="5">
        <v>0.20699999999999999</v>
      </c>
      <c r="F265" s="5">
        <v>0.20899999999999999</v>
      </c>
      <c r="G265" s="5">
        <v>0.20600000000000002</v>
      </c>
      <c r="H265" s="5">
        <v>0.25900000000000001</v>
      </c>
      <c r="I265" s="5">
        <v>0.26700000000000002</v>
      </c>
      <c r="J265" s="5">
        <v>0.23899999999999999</v>
      </c>
      <c r="K265" s="5">
        <v>0.24399999999999999</v>
      </c>
      <c r="L265" s="5">
        <v>0.22699999999999998</v>
      </c>
      <c r="M265" s="5">
        <v>0.19600000000000001</v>
      </c>
      <c r="N265" s="5">
        <v>0.154</v>
      </c>
    </row>
    <row r="266" spans="1:14" x14ac:dyDescent="0.25">
      <c r="A266">
        <v>2014</v>
      </c>
      <c r="B266">
        <v>181</v>
      </c>
      <c r="C266" t="s">
        <v>108</v>
      </c>
      <c r="D266" t="s">
        <v>86</v>
      </c>
      <c r="E266" s="5">
        <v>0.17499999999999999</v>
      </c>
      <c r="F266" s="5">
        <v>0.185</v>
      </c>
      <c r="G266" s="5">
        <v>0.23899999999999999</v>
      </c>
      <c r="H266" s="5">
        <v>0.245</v>
      </c>
      <c r="I266" s="5">
        <v>0.25600000000000001</v>
      </c>
      <c r="J266" s="5">
        <v>0.23100000000000001</v>
      </c>
      <c r="K266" s="5">
        <v>0.23399999999999999</v>
      </c>
      <c r="L266" s="5">
        <v>0.21299999999999999</v>
      </c>
      <c r="M266" s="5">
        <v>0.20300000000000001</v>
      </c>
      <c r="N266" s="5">
        <v>0.16600000000000001</v>
      </c>
    </row>
    <row r="267" spans="1:14" x14ac:dyDescent="0.25">
      <c r="A267">
        <v>2014</v>
      </c>
      <c r="B267">
        <v>181</v>
      </c>
      <c r="C267" t="s">
        <v>108</v>
      </c>
      <c r="D267" t="s">
        <v>87</v>
      </c>
      <c r="E267" s="5" t="s">
        <v>109</v>
      </c>
      <c r="F267" s="5">
        <v>0.2</v>
      </c>
      <c r="G267" s="5">
        <v>0.222</v>
      </c>
      <c r="H267" s="5">
        <v>0.26700000000000002</v>
      </c>
      <c r="I267" s="5">
        <v>0.253</v>
      </c>
      <c r="J267" s="5">
        <v>0.26100000000000001</v>
      </c>
      <c r="K267" s="5">
        <v>0.24600000000000002</v>
      </c>
      <c r="L267" s="5">
        <v>0.192</v>
      </c>
      <c r="M267" s="5">
        <v>0.16399999999999998</v>
      </c>
      <c r="N267" s="5">
        <v>0.10199999999999999</v>
      </c>
    </row>
    <row r="268" spans="1:14" x14ac:dyDescent="0.25">
      <c r="A268">
        <v>2014</v>
      </c>
      <c r="B268">
        <v>181</v>
      </c>
      <c r="C268" t="s">
        <v>108</v>
      </c>
      <c r="D268" t="s">
        <v>88</v>
      </c>
      <c r="E268" s="5">
        <v>0.22800000000000001</v>
      </c>
      <c r="F268" s="5">
        <v>0.21600000000000003</v>
      </c>
      <c r="G268" s="5">
        <v>0.23100000000000001</v>
      </c>
      <c r="H268" s="5">
        <v>0.22699999999999998</v>
      </c>
      <c r="I268" s="5">
        <v>0.24</v>
      </c>
      <c r="J268" s="5">
        <v>0.24199999999999999</v>
      </c>
      <c r="K268" s="5">
        <v>0.23600000000000002</v>
      </c>
      <c r="L268" s="5">
        <v>0.17399999999999999</v>
      </c>
      <c r="M268" s="5">
        <v>0.16200000000000001</v>
      </c>
      <c r="N268" s="5">
        <v>9.4E-2</v>
      </c>
    </row>
    <row r="269" spans="1:14" x14ac:dyDescent="0.25">
      <c r="A269">
        <v>2014</v>
      </c>
      <c r="B269">
        <v>181</v>
      </c>
      <c r="C269" t="s">
        <v>108</v>
      </c>
      <c r="D269" t="s">
        <v>36</v>
      </c>
      <c r="E269" s="5">
        <v>0.158</v>
      </c>
      <c r="F269" s="5">
        <v>0.16399999999999998</v>
      </c>
      <c r="G269" s="5">
        <v>0.187</v>
      </c>
      <c r="H269" s="5">
        <v>0.22699999999999998</v>
      </c>
      <c r="I269" s="5">
        <v>0.23800000000000002</v>
      </c>
      <c r="J269" s="5">
        <v>0.21</v>
      </c>
      <c r="K269" s="5">
        <v>0.18899999999999997</v>
      </c>
      <c r="L269" s="5">
        <v>0.17399999999999999</v>
      </c>
      <c r="M269" s="5">
        <v>0.16200000000000001</v>
      </c>
      <c r="N269" s="5">
        <v>9.8000000000000004E-2</v>
      </c>
    </row>
    <row r="270" spans="1:14" x14ac:dyDescent="0.25">
      <c r="A270">
        <v>2014</v>
      </c>
      <c r="B270">
        <v>181</v>
      </c>
      <c r="C270" t="s">
        <v>108</v>
      </c>
      <c r="D270" t="s">
        <v>94</v>
      </c>
      <c r="E270" s="5" t="s">
        <v>109</v>
      </c>
      <c r="F270" s="5">
        <v>0.215</v>
      </c>
      <c r="G270" s="5">
        <v>0.21899999999999997</v>
      </c>
      <c r="H270" s="5">
        <v>0.218</v>
      </c>
      <c r="I270" s="5">
        <v>0.20300000000000001</v>
      </c>
      <c r="J270" s="5">
        <v>0.14099999999999999</v>
      </c>
      <c r="K270" s="5">
        <v>0.13800000000000001</v>
      </c>
      <c r="L270" s="5">
        <v>0.16800000000000001</v>
      </c>
      <c r="M270" s="5">
        <v>0.153</v>
      </c>
      <c r="N270" s="5">
        <v>8.3000000000000004E-2</v>
      </c>
    </row>
    <row r="271" spans="1:14" x14ac:dyDescent="0.25">
      <c r="A271">
        <v>2014</v>
      </c>
      <c r="B271">
        <v>181</v>
      </c>
      <c r="C271" t="s">
        <v>108</v>
      </c>
      <c r="D271" t="s">
        <v>93</v>
      </c>
      <c r="E271" s="5">
        <v>0.22</v>
      </c>
      <c r="F271" s="5">
        <v>0.22399999999999998</v>
      </c>
      <c r="G271" s="5">
        <v>0.23199999999999998</v>
      </c>
      <c r="H271" s="5">
        <v>0.23100000000000001</v>
      </c>
      <c r="I271" s="5">
        <v>0.21100000000000002</v>
      </c>
      <c r="J271" s="5">
        <v>0.16600000000000001</v>
      </c>
      <c r="K271" s="5">
        <v>0.14000000000000001</v>
      </c>
      <c r="L271" s="5">
        <v>0.17600000000000002</v>
      </c>
      <c r="M271" s="5">
        <v>0.16800000000000001</v>
      </c>
      <c r="N271" s="5">
        <v>0.111</v>
      </c>
    </row>
    <row r="272" spans="1:14" x14ac:dyDescent="0.25">
      <c r="A272">
        <v>2014</v>
      </c>
      <c r="B272">
        <v>181</v>
      </c>
      <c r="C272" t="s">
        <v>108</v>
      </c>
      <c r="D272" t="s">
        <v>92</v>
      </c>
      <c r="E272" s="5" t="s">
        <v>109</v>
      </c>
      <c r="F272" s="5">
        <v>0.20499999999999999</v>
      </c>
      <c r="G272" s="5">
        <v>0.25</v>
      </c>
      <c r="H272" s="5">
        <v>0.255</v>
      </c>
      <c r="I272" s="5">
        <v>0.251</v>
      </c>
      <c r="J272" s="5">
        <v>0.23699999999999999</v>
      </c>
      <c r="K272" s="5">
        <v>0.20199999999999999</v>
      </c>
      <c r="L272" s="5">
        <v>0.20399999999999999</v>
      </c>
      <c r="M272" s="5">
        <v>0.18899999999999997</v>
      </c>
      <c r="N272" s="5">
        <v>0.124</v>
      </c>
    </row>
    <row r="273" spans="1:14" x14ac:dyDescent="0.25">
      <c r="A273">
        <v>2014</v>
      </c>
      <c r="B273">
        <v>181</v>
      </c>
      <c r="C273" t="s">
        <v>108</v>
      </c>
      <c r="D273" t="s">
        <v>91</v>
      </c>
      <c r="E273" s="5">
        <v>0.16899999999999998</v>
      </c>
      <c r="F273" s="5">
        <v>0.20600000000000002</v>
      </c>
      <c r="G273" s="5">
        <v>0.26100000000000001</v>
      </c>
      <c r="H273" s="5">
        <v>0.26500000000000001</v>
      </c>
      <c r="I273" s="5">
        <v>0.26100000000000001</v>
      </c>
      <c r="J273" s="5">
        <v>0.27</v>
      </c>
      <c r="K273" s="5">
        <v>0.24600000000000002</v>
      </c>
      <c r="L273" s="5">
        <v>0.23100000000000001</v>
      </c>
      <c r="M273" s="5">
        <v>0.193</v>
      </c>
      <c r="N273" s="5">
        <v>0.10800000000000001</v>
      </c>
    </row>
    <row r="274" spans="1:14" x14ac:dyDescent="0.25">
      <c r="A274">
        <v>2014</v>
      </c>
      <c r="B274">
        <v>181</v>
      </c>
      <c r="C274" t="s">
        <v>108</v>
      </c>
      <c r="D274" t="s">
        <v>90</v>
      </c>
      <c r="E274" s="5">
        <v>0.20300000000000001</v>
      </c>
      <c r="F274" s="5">
        <v>0.21</v>
      </c>
      <c r="G274" s="5">
        <v>0.19500000000000001</v>
      </c>
      <c r="H274" s="5">
        <v>0.222</v>
      </c>
      <c r="I274" s="5">
        <v>0.23100000000000001</v>
      </c>
      <c r="J274" s="5">
        <v>0.23600000000000002</v>
      </c>
      <c r="K274" s="5">
        <v>0.23600000000000002</v>
      </c>
      <c r="L274" s="5">
        <v>0.18600000000000003</v>
      </c>
      <c r="M274" s="5">
        <v>0.17199999999999999</v>
      </c>
      <c r="N274" s="5">
        <v>0.105</v>
      </c>
    </row>
    <row r="275" spans="1:14" x14ac:dyDescent="0.25">
      <c r="A275">
        <v>2014</v>
      </c>
      <c r="B275">
        <v>181</v>
      </c>
      <c r="C275" t="s">
        <v>108</v>
      </c>
      <c r="D275" t="s">
        <v>89</v>
      </c>
      <c r="E275" s="5">
        <v>0.17199999999999999</v>
      </c>
      <c r="F275" s="5">
        <v>0.183</v>
      </c>
      <c r="G275" s="5">
        <v>0.222</v>
      </c>
      <c r="H275" s="5">
        <v>0.247</v>
      </c>
      <c r="I275" s="5">
        <v>0.251</v>
      </c>
      <c r="J275" s="5">
        <v>0.22899999999999998</v>
      </c>
      <c r="K275" s="5">
        <v>0.23199999999999998</v>
      </c>
      <c r="L275" s="5">
        <v>0.20699999999999999</v>
      </c>
      <c r="M275" s="5">
        <v>0.18100000000000002</v>
      </c>
      <c r="N275" s="5">
        <v>0.10099999999999999</v>
      </c>
    </row>
    <row r="276" spans="1:14" x14ac:dyDescent="0.25">
      <c r="A276">
        <v>2014</v>
      </c>
      <c r="B276">
        <v>181</v>
      </c>
      <c r="C276" t="s">
        <v>108</v>
      </c>
      <c r="D276" t="s">
        <v>45</v>
      </c>
      <c r="E276" s="5">
        <v>0.23300000000000001</v>
      </c>
      <c r="F276" s="5">
        <v>0.22600000000000001</v>
      </c>
      <c r="G276" s="5">
        <v>0.22800000000000001</v>
      </c>
      <c r="H276" s="5">
        <v>0.24100000000000002</v>
      </c>
      <c r="I276" s="5">
        <v>0.23800000000000002</v>
      </c>
      <c r="J276" s="5">
        <v>0.19600000000000001</v>
      </c>
      <c r="K276" s="5">
        <v>0.18</v>
      </c>
      <c r="L276" s="5">
        <v>0.191</v>
      </c>
      <c r="M276" s="5">
        <v>0.18</v>
      </c>
      <c r="N276" s="5">
        <v>0.105</v>
      </c>
    </row>
    <row r="277" spans="1:14" x14ac:dyDescent="0.25">
      <c r="A277">
        <v>2014</v>
      </c>
      <c r="B277">
        <v>181</v>
      </c>
      <c r="C277" t="s">
        <v>108</v>
      </c>
      <c r="D277" t="s">
        <v>46</v>
      </c>
      <c r="E277" s="5">
        <v>0.23600000000000002</v>
      </c>
      <c r="F277" s="5">
        <v>0.24299999999999999</v>
      </c>
      <c r="G277" s="5">
        <v>0.248</v>
      </c>
      <c r="H277" s="5">
        <v>0.25800000000000001</v>
      </c>
      <c r="I277" s="5">
        <v>0.252</v>
      </c>
      <c r="J277" s="5">
        <v>0.23800000000000002</v>
      </c>
      <c r="K277" s="5">
        <v>0.22399999999999998</v>
      </c>
      <c r="L277" s="5">
        <v>0.20699999999999999</v>
      </c>
      <c r="M277" s="5">
        <v>0.185</v>
      </c>
      <c r="N277" s="5">
        <v>9.3000000000000013E-2</v>
      </c>
    </row>
    <row r="278" spans="1:14" x14ac:dyDescent="0.25">
      <c r="A278">
        <v>2014</v>
      </c>
      <c r="B278">
        <v>181</v>
      </c>
      <c r="C278" t="s">
        <v>108</v>
      </c>
      <c r="D278" t="s">
        <v>47</v>
      </c>
      <c r="E278" s="5" t="s">
        <v>109</v>
      </c>
      <c r="F278" s="5" t="s">
        <v>109</v>
      </c>
      <c r="G278" s="5" t="s">
        <v>109</v>
      </c>
      <c r="H278" s="5">
        <v>0.24100000000000002</v>
      </c>
      <c r="I278" s="5">
        <v>0.221</v>
      </c>
      <c r="J278" s="5">
        <v>0.21299999999999999</v>
      </c>
      <c r="K278" s="5">
        <v>0.20300000000000001</v>
      </c>
      <c r="L278" s="5">
        <v>0.192</v>
      </c>
      <c r="M278" s="5">
        <v>0.182</v>
      </c>
      <c r="N278" s="5">
        <v>0.124</v>
      </c>
    </row>
    <row r="279" spans="1:14" x14ac:dyDescent="0.25">
      <c r="A279">
        <v>2014</v>
      </c>
      <c r="B279">
        <v>181</v>
      </c>
      <c r="C279" t="s">
        <v>108</v>
      </c>
      <c r="D279" t="s">
        <v>48</v>
      </c>
      <c r="E279" s="5">
        <v>0.14899999999999999</v>
      </c>
      <c r="F279" s="5">
        <v>0.13400000000000001</v>
      </c>
      <c r="G279" s="5">
        <v>0.129</v>
      </c>
      <c r="H279" s="5">
        <v>0.12</v>
      </c>
      <c r="I279" s="5">
        <v>0.115</v>
      </c>
      <c r="J279" s="5">
        <v>0.11699999999999999</v>
      </c>
      <c r="K279" s="5">
        <v>0.128</v>
      </c>
      <c r="L279" s="5">
        <v>0.17699999999999999</v>
      </c>
      <c r="M279" s="5">
        <v>0.20600000000000002</v>
      </c>
      <c r="N279" s="5">
        <v>0.14000000000000001</v>
      </c>
    </row>
    <row r="280" spans="1:14" x14ac:dyDescent="0.25">
      <c r="A280">
        <v>2014</v>
      </c>
      <c r="B280">
        <v>181</v>
      </c>
      <c r="C280" t="s">
        <v>108</v>
      </c>
      <c r="D280" t="s">
        <v>49</v>
      </c>
      <c r="E280" s="5">
        <v>0.193</v>
      </c>
      <c r="F280" s="5">
        <v>9.2200000000000004E-2</v>
      </c>
      <c r="G280" s="5">
        <v>0.23</v>
      </c>
      <c r="H280" s="5">
        <v>0.23300000000000001</v>
      </c>
      <c r="I280" s="5">
        <v>0.23100000000000001</v>
      </c>
      <c r="J280" s="5">
        <v>0.217</v>
      </c>
      <c r="K280" s="5">
        <v>0.16800000000000001</v>
      </c>
      <c r="L280" s="5">
        <v>0.16399999999999998</v>
      </c>
      <c r="M280" s="5">
        <v>0.17</v>
      </c>
      <c r="N280" s="5">
        <v>9.6999999999999989E-2</v>
      </c>
    </row>
    <row r="281" spans="1:14" x14ac:dyDescent="0.25">
      <c r="A281">
        <v>2014</v>
      </c>
      <c r="B281">
        <v>181</v>
      </c>
      <c r="C281" t="s">
        <v>108</v>
      </c>
      <c r="D281" t="s">
        <v>50</v>
      </c>
      <c r="E281" s="5">
        <v>0.19500000000000001</v>
      </c>
      <c r="F281" s="5">
        <v>0.22500000000000001</v>
      </c>
      <c r="G281" s="5">
        <v>0.20800000000000002</v>
      </c>
      <c r="H281" s="5">
        <v>0.17899999999999999</v>
      </c>
      <c r="I281" s="5">
        <v>0.16300000000000001</v>
      </c>
      <c r="J281" s="5">
        <v>0.17499999999999999</v>
      </c>
      <c r="K281" s="5">
        <v>0.18899999999999997</v>
      </c>
      <c r="L281" s="5">
        <v>0.184</v>
      </c>
      <c r="M281" s="5">
        <v>0.183</v>
      </c>
      <c r="N281" s="5">
        <v>0.13300000000000001</v>
      </c>
    </row>
    <row r="282" spans="1:14" x14ac:dyDescent="0.25">
      <c r="A282">
        <v>2014</v>
      </c>
      <c r="B282">
        <v>188</v>
      </c>
      <c r="C282" t="s">
        <v>108</v>
      </c>
      <c r="D282" t="s">
        <v>51</v>
      </c>
      <c r="E282" s="5">
        <v>0.12</v>
      </c>
      <c r="F282" s="5">
        <v>0.13900000000000001</v>
      </c>
      <c r="G282" s="5">
        <v>0.14199999999999999</v>
      </c>
      <c r="H282" s="5">
        <v>0.16300000000000001</v>
      </c>
      <c r="I282" s="5">
        <v>0.187</v>
      </c>
      <c r="J282" s="5">
        <v>0.19899999999999998</v>
      </c>
      <c r="K282" s="5">
        <v>0.20399999999999999</v>
      </c>
      <c r="L282" s="5">
        <v>0.183</v>
      </c>
      <c r="M282" s="5">
        <v>0.17300000000000001</v>
      </c>
      <c r="N282" s="5">
        <v>0.13100000000000001</v>
      </c>
    </row>
    <row r="283" spans="1:14" x14ac:dyDescent="0.25">
      <c r="A283">
        <v>2014</v>
      </c>
      <c r="B283">
        <v>188</v>
      </c>
      <c r="C283" t="s">
        <v>108</v>
      </c>
      <c r="D283" t="s">
        <v>55</v>
      </c>
      <c r="E283" s="5">
        <v>0.23100000000000001</v>
      </c>
      <c r="F283" s="5">
        <v>0.14800000000000002</v>
      </c>
      <c r="G283" s="5">
        <v>0.13400000000000001</v>
      </c>
      <c r="H283" s="5">
        <v>0.159</v>
      </c>
      <c r="I283" s="5">
        <v>0.17899999999999999</v>
      </c>
      <c r="J283" s="5">
        <v>0.184</v>
      </c>
      <c r="K283" s="5">
        <v>0.184</v>
      </c>
      <c r="L283" s="5">
        <v>0.19</v>
      </c>
      <c r="M283" s="5">
        <v>0.20499999999999999</v>
      </c>
      <c r="N283" s="5">
        <v>0.17</v>
      </c>
    </row>
    <row r="284" spans="1:14" x14ac:dyDescent="0.25">
      <c r="A284">
        <v>2014</v>
      </c>
      <c r="B284">
        <v>188</v>
      </c>
      <c r="C284" t="s">
        <v>108</v>
      </c>
      <c r="D284" t="s">
        <v>56</v>
      </c>
      <c r="E284" s="5">
        <v>0.129</v>
      </c>
      <c r="F284" s="5">
        <v>0.17800000000000002</v>
      </c>
      <c r="G284" s="5">
        <v>0.20499999999999999</v>
      </c>
      <c r="H284" s="5">
        <v>0.21299999999999999</v>
      </c>
      <c r="I284" s="5">
        <v>0.21299999999999999</v>
      </c>
      <c r="J284" s="5">
        <v>0.20699999999999999</v>
      </c>
      <c r="K284" s="5">
        <v>0.193</v>
      </c>
      <c r="L284" s="5">
        <v>0.20800000000000002</v>
      </c>
      <c r="M284" s="5">
        <v>0.20699999999999999</v>
      </c>
      <c r="N284" s="5">
        <v>0.161</v>
      </c>
    </row>
    <row r="285" spans="1:14" x14ac:dyDescent="0.25">
      <c r="A285">
        <v>2014</v>
      </c>
      <c r="B285">
        <v>188</v>
      </c>
      <c r="C285" t="s">
        <v>108</v>
      </c>
      <c r="D285" t="s">
        <v>57</v>
      </c>
      <c r="E285" s="5">
        <v>0.13800000000000001</v>
      </c>
      <c r="F285" s="5">
        <v>0.14000000000000001</v>
      </c>
      <c r="G285" s="5">
        <v>0.153</v>
      </c>
      <c r="H285" s="5">
        <v>0.182</v>
      </c>
      <c r="I285" s="5">
        <v>0.19500000000000001</v>
      </c>
      <c r="J285" s="5">
        <v>0.20600000000000002</v>
      </c>
      <c r="K285" s="5">
        <v>0.20800000000000002</v>
      </c>
      <c r="L285" s="5">
        <v>0.19500000000000001</v>
      </c>
      <c r="M285" s="5">
        <v>0.16899999999999998</v>
      </c>
      <c r="N285" s="5">
        <v>0.14199999999999999</v>
      </c>
    </row>
    <row r="286" spans="1:14" x14ac:dyDescent="0.25">
      <c r="A286">
        <v>2014</v>
      </c>
      <c r="B286">
        <v>188</v>
      </c>
      <c r="C286" t="s">
        <v>108</v>
      </c>
      <c r="D286" t="s">
        <v>58</v>
      </c>
      <c r="E286" s="5" t="s">
        <v>109</v>
      </c>
      <c r="F286" s="5" t="s">
        <v>109</v>
      </c>
      <c r="G286" s="5">
        <v>0.17699999999999999</v>
      </c>
      <c r="H286" s="5">
        <v>0.249</v>
      </c>
      <c r="I286" s="5">
        <v>0.20600000000000002</v>
      </c>
      <c r="J286" s="5">
        <v>0.222</v>
      </c>
      <c r="K286" s="5">
        <v>0.22500000000000001</v>
      </c>
      <c r="L286" s="5">
        <v>0.20699999999999999</v>
      </c>
      <c r="M286" s="5">
        <v>0.20600000000000002</v>
      </c>
      <c r="N286" s="5">
        <v>0.156</v>
      </c>
    </row>
    <row r="287" spans="1:14" x14ac:dyDescent="0.25">
      <c r="A287">
        <v>2014</v>
      </c>
      <c r="B287">
        <v>188</v>
      </c>
      <c r="C287" t="s">
        <v>108</v>
      </c>
      <c r="D287" t="s">
        <v>59</v>
      </c>
      <c r="E287" s="5" t="s">
        <v>109</v>
      </c>
      <c r="F287" s="5">
        <v>0.19399999999999998</v>
      </c>
      <c r="G287" s="5">
        <v>0.20300000000000001</v>
      </c>
      <c r="H287" s="5">
        <v>0.20499999999999999</v>
      </c>
      <c r="I287" s="5">
        <v>0.21</v>
      </c>
      <c r="J287" s="5">
        <v>0.218</v>
      </c>
      <c r="K287" s="5">
        <v>0.21600000000000003</v>
      </c>
      <c r="L287" s="5">
        <v>0.25600000000000001</v>
      </c>
      <c r="M287" s="5">
        <v>0.21199999999999999</v>
      </c>
      <c r="N287" s="5">
        <v>0.14099999999999999</v>
      </c>
    </row>
    <row r="288" spans="1:14" x14ac:dyDescent="0.25">
      <c r="A288">
        <v>2014</v>
      </c>
      <c r="B288">
        <v>188</v>
      </c>
      <c r="C288" t="s">
        <v>108</v>
      </c>
      <c r="D288" t="s">
        <v>64</v>
      </c>
      <c r="E288" s="5">
        <v>0.245</v>
      </c>
      <c r="F288" s="5">
        <v>0.14599999999999999</v>
      </c>
      <c r="G288" s="5">
        <v>0.16200000000000001</v>
      </c>
      <c r="H288" s="5">
        <v>0.26</v>
      </c>
      <c r="I288" s="5">
        <v>0.255</v>
      </c>
      <c r="J288" s="5">
        <v>0.247</v>
      </c>
      <c r="K288" s="5">
        <v>0.30299999999999999</v>
      </c>
      <c r="L288" s="5">
        <v>0.26899999999999996</v>
      </c>
      <c r="M288" s="5">
        <v>0.22399999999999998</v>
      </c>
      <c r="N288" s="5">
        <v>0.157</v>
      </c>
    </row>
    <row r="289" spans="1:14" x14ac:dyDescent="0.25">
      <c r="A289">
        <v>2014</v>
      </c>
      <c r="B289">
        <v>188</v>
      </c>
      <c r="C289" t="s">
        <v>108</v>
      </c>
      <c r="D289" t="s">
        <v>52</v>
      </c>
      <c r="E289" s="5">
        <v>0.155</v>
      </c>
      <c r="F289" s="5">
        <v>0.17199999999999999</v>
      </c>
      <c r="G289" s="5">
        <v>0.18899999999999997</v>
      </c>
      <c r="H289" s="5">
        <v>0.218</v>
      </c>
      <c r="I289" s="5">
        <v>0.24600000000000002</v>
      </c>
      <c r="J289" s="5">
        <v>0.28199999999999997</v>
      </c>
      <c r="K289" s="5">
        <v>0.28800000000000003</v>
      </c>
      <c r="L289" s="5">
        <v>0.29799999999999999</v>
      </c>
      <c r="M289" s="5">
        <v>0.24299999999999999</v>
      </c>
      <c r="N289" s="5">
        <v>0.184</v>
      </c>
    </row>
    <row r="290" spans="1:14" x14ac:dyDescent="0.25">
      <c r="A290">
        <v>2014</v>
      </c>
      <c r="B290">
        <v>188</v>
      </c>
      <c r="C290" t="s">
        <v>108</v>
      </c>
      <c r="D290" t="s">
        <v>62</v>
      </c>
      <c r="E290" s="5">
        <v>0.16699999999999998</v>
      </c>
      <c r="F290" s="5">
        <v>0.151</v>
      </c>
      <c r="G290" s="5">
        <v>0.16300000000000001</v>
      </c>
      <c r="H290" s="5">
        <v>0.182</v>
      </c>
      <c r="I290" s="5">
        <v>0.23100000000000001</v>
      </c>
      <c r="J290" s="5">
        <v>0.24</v>
      </c>
      <c r="K290" s="5">
        <v>0.223</v>
      </c>
      <c r="L290" s="5">
        <v>0.255</v>
      </c>
      <c r="M290" s="5">
        <v>0.255</v>
      </c>
      <c r="N290" s="5">
        <v>0.17600000000000002</v>
      </c>
    </row>
    <row r="291" spans="1:14" x14ac:dyDescent="0.25">
      <c r="A291">
        <v>2014</v>
      </c>
      <c r="B291">
        <v>188</v>
      </c>
      <c r="C291" t="s">
        <v>108</v>
      </c>
      <c r="D291" t="s">
        <v>63</v>
      </c>
      <c r="E291" s="5">
        <v>0.17499999999999999</v>
      </c>
      <c r="F291" s="5">
        <v>0.16200000000000001</v>
      </c>
      <c r="G291" s="5">
        <v>0.17</v>
      </c>
      <c r="H291" s="5">
        <v>0.20699999999999999</v>
      </c>
      <c r="I291" s="5">
        <v>0.23899999999999999</v>
      </c>
      <c r="J291" s="5">
        <v>0.251</v>
      </c>
      <c r="K291" s="5">
        <v>0.27699999999999997</v>
      </c>
      <c r="L291" s="5">
        <v>0.23699999999999999</v>
      </c>
      <c r="M291" s="5">
        <v>0.22800000000000001</v>
      </c>
      <c r="N291" s="5">
        <v>0.14899999999999999</v>
      </c>
    </row>
    <row r="292" spans="1:14" x14ac:dyDescent="0.25">
      <c r="A292">
        <v>2014</v>
      </c>
      <c r="B292">
        <v>188</v>
      </c>
      <c r="C292" t="s">
        <v>108</v>
      </c>
      <c r="D292" t="s">
        <v>61</v>
      </c>
      <c r="E292" s="5" t="s">
        <v>109</v>
      </c>
      <c r="F292" s="5">
        <v>0.32200000000000001</v>
      </c>
      <c r="G292" s="5">
        <v>0.26400000000000001</v>
      </c>
      <c r="H292" s="5">
        <v>0.19899999999999998</v>
      </c>
      <c r="I292" s="5">
        <v>0.218</v>
      </c>
      <c r="J292" s="5">
        <v>0.22500000000000001</v>
      </c>
      <c r="K292" s="5">
        <v>0.218</v>
      </c>
      <c r="L292" s="5">
        <v>0.27899999999999997</v>
      </c>
      <c r="M292" s="5">
        <v>0.26200000000000001</v>
      </c>
      <c r="N292" s="5">
        <v>0.17100000000000001</v>
      </c>
    </row>
    <row r="293" spans="1:14" x14ac:dyDescent="0.25">
      <c r="A293">
        <v>2014</v>
      </c>
      <c r="B293">
        <v>188</v>
      </c>
      <c r="C293" t="s">
        <v>108</v>
      </c>
      <c r="D293" t="s">
        <v>60</v>
      </c>
      <c r="E293" s="5" t="s">
        <v>109</v>
      </c>
      <c r="F293" s="5" t="s">
        <v>109</v>
      </c>
      <c r="G293" s="5">
        <v>0.27399999999999997</v>
      </c>
      <c r="H293" s="5">
        <v>0.28899999999999998</v>
      </c>
      <c r="I293" s="5">
        <v>0.20199999999999999</v>
      </c>
      <c r="J293" s="5">
        <v>0.21299999999999999</v>
      </c>
      <c r="K293" s="5">
        <v>0.23300000000000001</v>
      </c>
      <c r="L293" s="5">
        <v>0.23</v>
      </c>
      <c r="M293" s="5">
        <v>0.24299999999999999</v>
      </c>
      <c r="N293" s="5">
        <v>0.158</v>
      </c>
    </row>
    <row r="294" spans="1:14" x14ac:dyDescent="0.25">
      <c r="A294">
        <v>2014</v>
      </c>
      <c r="B294">
        <v>188</v>
      </c>
      <c r="C294" t="s">
        <v>108</v>
      </c>
      <c r="D294" t="s">
        <v>29</v>
      </c>
      <c r="E294" s="5">
        <v>0.188</v>
      </c>
      <c r="F294" s="5">
        <v>0.17899999999999999</v>
      </c>
      <c r="G294" s="5">
        <v>0.191</v>
      </c>
      <c r="H294" s="5">
        <v>0.245</v>
      </c>
      <c r="I294" s="5">
        <v>0.25600000000000001</v>
      </c>
      <c r="J294" s="5">
        <v>0.27600000000000002</v>
      </c>
      <c r="K294" s="5">
        <v>0.27399999999999997</v>
      </c>
      <c r="L294" s="5">
        <v>0.28300000000000003</v>
      </c>
      <c r="M294" s="5">
        <v>0.249</v>
      </c>
      <c r="N294" s="5">
        <v>0.17100000000000001</v>
      </c>
    </row>
    <row r="295" spans="1:14" x14ac:dyDescent="0.25">
      <c r="A295">
        <v>2014</v>
      </c>
      <c r="B295">
        <v>188</v>
      </c>
      <c r="C295" t="s">
        <v>108</v>
      </c>
      <c r="D295" t="s">
        <v>30</v>
      </c>
      <c r="E295" s="5">
        <v>0.187</v>
      </c>
      <c r="F295" s="5">
        <v>0.193</v>
      </c>
      <c r="G295" s="5">
        <v>0.23600000000000002</v>
      </c>
      <c r="H295" s="5">
        <v>0.249</v>
      </c>
      <c r="I295" s="5">
        <v>0.245</v>
      </c>
      <c r="J295" s="5">
        <v>0.252</v>
      </c>
      <c r="K295" s="5">
        <v>0.29299999999999998</v>
      </c>
      <c r="L295" s="5">
        <v>0.24399999999999999</v>
      </c>
      <c r="M295" s="5">
        <v>0.23</v>
      </c>
      <c r="N295" s="5">
        <v>0.14400000000000002</v>
      </c>
    </row>
    <row r="296" spans="1:14" x14ac:dyDescent="0.25">
      <c r="A296">
        <v>2014</v>
      </c>
      <c r="B296">
        <v>188</v>
      </c>
      <c r="C296" t="s">
        <v>108</v>
      </c>
      <c r="D296" t="s">
        <v>31</v>
      </c>
      <c r="E296" s="5">
        <v>0.187</v>
      </c>
      <c r="F296" s="5">
        <v>0.16200000000000001</v>
      </c>
      <c r="G296" s="5">
        <v>0.17100000000000001</v>
      </c>
      <c r="H296" s="5">
        <v>0.191</v>
      </c>
      <c r="I296" s="5">
        <v>0.25800000000000001</v>
      </c>
      <c r="J296" s="5">
        <v>0.26800000000000002</v>
      </c>
      <c r="K296" s="5">
        <v>0.27399999999999997</v>
      </c>
      <c r="L296" s="5">
        <v>0.245</v>
      </c>
      <c r="M296" s="5">
        <v>0.248</v>
      </c>
      <c r="N296" s="5">
        <v>0.17899999999999999</v>
      </c>
    </row>
    <row r="297" spans="1:14" x14ac:dyDescent="0.25">
      <c r="A297">
        <v>2014</v>
      </c>
      <c r="B297">
        <v>188</v>
      </c>
      <c r="C297" t="s">
        <v>108</v>
      </c>
      <c r="D297" t="s">
        <v>32</v>
      </c>
      <c r="E297" s="5">
        <v>0.24600000000000002</v>
      </c>
      <c r="F297" s="5">
        <v>0.19500000000000001</v>
      </c>
      <c r="G297" s="5">
        <v>0.22</v>
      </c>
      <c r="H297" s="5">
        <v>0.20499999999999999</v>
      </c>
      <c r="I297" s="5">
        <v>0.21100000000000002</v>
      </c>
      <c r="J297" s="5">
        <v>0.19899999999999998</v>
      </c>
      <c r="K297" s="5">
        <v>0.185</v>
      </c>
      <c r="L297" s="5">
        <v>0.20600000000000002</v>
      </c>
      <c r="M297" s="5">
        <v>0.24</v>
      </c>
      <c r="N297" s="5">
        <v>0.17</v>
      </c>
    </row>
    <row r="298" spans="1:14" x14ac:dyDescent="0.25">
      <c r="A298">
        <v>2014</v>
      </c>
      <c r="B298">
        <v>188</v>
      </c>
      <c r="C298" t="s">
        <v>108</v>
      </c>
      <c r="D298" t="s">
        <v>33</v>
      </c>
      <c r="E298" s="5">
        <v>0.17899999999999999</v>
      </c>
      <c r="F298" s="5">
        <v>0.17399999999999999</v>
      </c>
      <c r="G298" s="5">
        <v>0.187</v>
      </c>
      <c r="H298" s="5">
        <v>0.19800000000000001</v>
      </c>
      <c r="I298" s="5">
        <v>0.23499999999999999</v>
      </c>
      <c r="J298" s="5">
        <v>0.26</v>
      </c>
      <c r="K298" s="5">
        <v>0.27899999999999997</v>
      </c>
      <c r="L298" s="5">
        <v>0.25700000000000001</v>
      </c>
      <c r="M298" s="5">
        <v>0.23</v>
      </c>
      <c r="N298" s="5">
        <v>0.17199999999999999</v>
      </c>
    </row>
    <row r="299" spans="1:14" x14ac:dyDescent="0.25">
      <c r="A299">
        <v>2014</v>
      </c>
      <c r="B299">
        <v>188</v>
      </c>
      <c r="C299" t="s">
        <v>108</v>
      </c>
      <c r="D299" t="s">
        <v>34</v>
      </c>
      <c r="E299" s="5">
        <v>0.20699999999999999</v>
      </c>
      <c r="F299" s="5">
        <v>0.192</v>
      </c>
      <c r="G299" s="5">
        <v>0.252</v>
      </c>
      <c r="H299" s="5">
        <v>0.28199999999999997</v>
      </c>
      <c r="I299" s="5">
        <v>0.23300000000000001</v>
      </c>
      <c r="J299" s="5">
        <v>0.249</v>
      </c>
      <c r="K299" s="5">
        <v>0.24199999999999999</v>
      </c>
      <c r="L299" s="5">
        <v>0.20899999999999999</v>
      </c>
      <c r="M299" s="5">
        <v>0.18600000000000003</v>
      </c>
      <c r="N299" s="5">
        <v>0.14599999999999999</v>
      </c>
    </row>
    <row r="300" spans="1:14" x14ac:dyDescent="0.25">
      <c r="A300">
        <v>2014</v>
      </c>
      <c r="B300">
        <v>188</v>
      </c>
      <c r="C300" t="s">
        <v>108</v>
      </c>
      <c r="D300" t="s">
        <v>70</v>
      </c>
      <c r="E300" s="5">
        <v>0.18899999999999997</v>
      </c>
      <c r="F300" s="5">
        <v>0.19800000000000001</v>
      </c>
      <c r="G300" s="5">
        <v>0.23300000000000001</v>
      </c>
      <c r="H300" s="5">
        <v>0.25</v>
      </c>
      <c r="I300" s="5">
        <v>0.27300000000000002</v>
      </c>
      <c r="J300" s="5">
        <v>0.28999999999999998</v>
      </c>
      <c r="K300" s="5">
        <v>0.313</v>
      </c>
      <c r="L300" s="5">
        <v>0.27600000000000002</v>
      </c>
      <c r="M300" s="5">
        <v>0.24600000000000002</v>
      </c>
      <c r="N300" s="5">
        <v>0.17499999999999999</v>
      </c>
    </row>
    <row r="301" spans="1:14" x14ac:dyDescent="0.25">
      <c r="A301">
        <v>2014</v>
      </c>
      <c r="B301">
        <v>188</v>
      </c>
      <c r="C301" t="s">
        <v>108</v>
      </c>
      <c r="D301" t="s">
        <v>69</v>
      </c>
      <c r="E301" s="5" t="s">
        <v>109</v>
      </c>
      <c r="F301" s="5" t="s">
        <v>109</v>
      </c>
      <c r="G301" s="5" t="s">
        <v>109</v>
      </c>
      <c r="H301" s="5" t="s">
        <v>109</v>
      </c>
      <c r="I301" s="5" t="s">
        <v>109</v>
      </c>
      <c r="J301" s="5">
        <v>0.26899999999999996</v>
      </c>
      <c r="K301" s="5">
        <v>0.26800000000000002</v>
      </c>
      <c r="L301" s="5">
        <v>0.247</v>
      </c>
      <c r="M301" s="5">
        <v>0.251</v>
      </c>
      <c r="N301" s="5">
        <v>0.185</v>
      </c>
    </row>
    <row r="302" spans="1:14" x14ac:dyDescent="0.25">
      <c r="A302">
        <v>2014</v>
      </c>
      <c r="B302">
        <v>188</v>
      </c>
      <c r="C302" t="s">
        <v>108</v>
      </c>
      <c r="D302" t="s">
        <v>68</v>
      </c>
      <c r="E302" s="5">
        <v>0.191</v>
      </c>
      <c r="F302" s="5">
        <v>0.185</v>
      </c>
      <c r="G302" s="5">
        <v>0.2</v>
      </c>
      <c r="H302" s="5">
        <v>0.20899999999999999</v>
      </c>
      <c r="I302" s="5">
        <v>0.25</v>
      </c>
      <c r="J302" s="5">
        <v>0.27200000000000002</v>
      </c>
      <c r="K302" s="5">
        <v>0.29899999999999999</v>
      </c>
      <c r="L302" s="5">
        <v>0.26500000000000001</v>
      </c>
      <c r="M302" s="5">
        <v>0.25</v>
      </c>
      <c r="N302" s="5">
        <v>0.183</v>
      </c>
    </row>
    <row r="303" spans="1:14" x14ac:dyDescent="0.25">
      <c r="A303">
        <v>2014</v>
      </c>
      <c r="B303">
        <v>188</v>
      </c>
      <c r="C303" t="s">
        <v>108</v>
      </c>
      <c r="D303" t="s">
        <v>67</v>
      </c>
      <c r="E303" s="5">
        <v>0.21600000000000003</v>
      </c>
      <c r="F303" s="5">
        <v>0.22399999999999998</v>
      </c>
      <c r="G303" s="5">
        <v>0.214</v>
      </c>
      <c r="H303" s="5">
        <v>0.23</v>
      </c>
      <c r="I303" s="5">
        <v>0.249</v>
      </c>
      <c r="J303" s="5">
        <v>0.23199999999999998</v>
      </c>
      <c r="K303" s="5">
        <v>0.24600000000000002</v>
      </c>
      <c r="L303" s="5">
        <v>0.27800000000000002</v>
      </c>
      <c r="M303" s="5">
        <v>0.24199999999999999</v>
      </c>
      <c r="N303" s="5">
        <v>0.16600000000000001</v>
      </c>
    </row>
    <row r="304" spans="1:14" x14ac:dyDescent="0.25">
      <c r="A304">
        <v>2014</v>
      </c>
      <c r="B304">
        <v>188</v>
      </c>
      <c r="C304" t="s">
        <v>108</v>
      </c>
      <c r="D304" t="s">
        <v>66</v>
      </c>
      <c r="E304" s="5" t="s">
        <v>109</v>
      </c>
      <c r="F304" s="5" t="s">
        <v>109</v>
      </c>
      <c r="G304" s="5" t="s">
        <v>109</v>
      </c>
      <c r="H304" s="5" t="s">
        <v>109</v>
      </c>
      <c r="I304" s="5" t="s">
        <v>109</v>
      </c>
      <c r="J304" s="5">
        <v>0.27699999999999997</v>
      </c>
      <c r="K304" s="5">
        <v>0.26500000000000001</v>
      </c>
      <c r="L304" s="5">
        <v>0.223</v>
      </c>
      <c r="M304" s="5">
        <v>0.217</v>
      </c>
      <c r="N304" s="5">
        <v>0.17199999999999999</v>
      </c>
    </row>
    <row r="305" spans="1:14" x14ac:dyDescent="0.25">
      <c r="A305">
        <v>2014</v>
      </c>
      <c r="B305">
        <v>188</v>
      </c>
      <c r="C305" t="s">
        <v>108</v>
      </c>
      <c r="D305" t="s">
        <v>65</v>
      </c>
      <c r="E305" s="5">
        <v>0.23100000000000001</v>
      </c>
      <c r="F305" s="5">
        <v>0.21899999999999997</v>
      </c>
      <c r="G305" s="5">
        <v>0.311</v>
      </c>
      <c r="H305" s="5">
        <v>0.20899999999999999</v>
      </c>
      <c r="I305" s="5">
        <v>0.22600000000000001</v>
      </c>
      <c r="J305" s="5">
        <v>0.248</v>
      </c>
      <c r="K305" s="5">
        <v>0.27</v>
      </c>
      <c r="L305" s="5">
        <v>0.223</v>
      </c>
      <c r="M305" s="5">
        <v>0.214</v>
      </c>
      <c r="N305" s="5">
        <v>0.14800000000000002</v>
      </c>
    </row>
    <row r="306" spans="1:14" x14ac:dyDescent="0.25">
      <c r="A306">
        <v>2014</v>
      </c>
      <c r="B306">
        <v>188</v>
      </c>
      <c r="C306" t="s">
        <v>108</v>
      </c>
      <c r="D306" t="s">
        <v>71</v>
      </c>
      <c r="E306" s="5">
        <v>0.20699999999999999</v>
      </c>
      <c r="F306" s="5">
        <v>0.21899999999999997</v>
      </c>
      <c r="G306" s="5">
        <v>0.24600000000000002</v>
      </c>
      <c r="H306" s="5">
        <v>0.25800000000000001</v>
      </c>
      <c r="I306" s="5">
        <v>0.26500000000000001</v>
      </c>
      <c r="J306" s="5">
        <v>0.28899999999999998</v>
      </c>
      <c r="K306" s="5">
        <v>0.23399999999999999</v>
      </c>
      <c r="L306" s="5">
        <v>0.23</v>
      </c>
      <c r="M306" s="5">
        <v>0.24299999999999999</v>
      </c>
      <c r="N306" s="5">
        <v>0.17600000000000002</v>
      </c>
    </row>
    <row r="307" spans="1:14" x14ac:dyDescent="0.25">
      <c r="A307">
        <v>2014</v>
      </c>
      <c r="B307">
        <v>188</v>
      </c>
      <c r="C307" t="s">
        <v>108</v>
      </c>
      <c r="D307" t="s">
        <v>74</v>
      </c>
      <c r="E307" s="5" t="s">
        <v>109</v>
      </c>
      <c r="F307" s="5">
        <v>0.19</v>
      </c>
      <c r="G307" s="5">
        <v>0.20600000000000002</v>
      </c>
      <c r="H307" s="5">
        <v>0.22600000000000001</v>
      </c>
      <c r="I307" s="5">
        <v>0.23800000000000002</v>
      </c>
      <c r="J307" s="5">
        <v>0.22800000000000001</v>
      </c>
      <c r="K307" s="5">
        <v>0.26800000000000002</v>
      </c>
      <c r="L307" s="5">
        <v>0.255</v>
      </c>
      <c r="M307" s="5">
        <v>0.24</v>
      </c>
      <c r="N307" s="5">
        <v>0.188</v>
      </c>
    </row>
    <row r="308" spans="1:14" x14ac:dyDescent="0.25">
      <c r="A308">
        <v>2014</v>
      </c>
      <c r="B308">
        <v>188</v>
      </c>
      <c r="C308" t="s">
        <v>108</v>
      </c>
      <c r="D308" t="s">
        <v>75</v>
      </c>
      <c r="E308" s="5" t="s">
        <v>109</v>
      </c>
      <c r="F308" s="5">
        <v>0.19500000000000001</v>
      </c>
      <c r="G308" s="5">
        <v>0.17199999999999999</v>
      </c>
      <c r="H308" s="5">
        <v>0.25800000000000001</v>
      </c>
      <c r="I308" s="5">
        <v>0.23100000000000001</v>
      </c>
      <c r="J308" s="5">
        <v>0.253</v>
      </c>
      <c r="K308" s="5">
        <v>0.28800000000000003</v>
      </c>
      <c r="L308" s="5">
        <v>0.27100000000000002</v>
      </c>
      <c r="M308" s="5">
        <v>0.252</v>
      </c>
      <c r="N308" s="5">
        <v>0.19600000000000001</v>
      </c>
    </row>
    <row r="309" spans="1:14" x14ac:dyDescent="0.25">
      <c r="A309">
        <v>2014</v>
      </c>
      <c r="B309">
        <v>188</v>
      </c>
      <c r="C309" t="s">
        <v>108</v>
      </c>
      <c r="D309" t="s">
        <v>76</v>
      </c>
      <c r="E309" s="5">
        <v>0.185</v>
      </c>
      <c r="F309" s="5">
        <v>0.17300000000000001</v>
      </c>
      <c r="G309" s="5">
        <v>0.187</v>
      </c>
      <c r="H309" s="5">
        <v>0.20899999999999999</v>
      </c>
      <c r="I309" s="5">
        <v>0.25900000000000001</v>
      </c>
      <c r="J309" s="5">
        <v>0.26800000000000002</v>
      </c>
      <c r="K309" s="5">
        <v>0.26800000000000002</v>
      </c>
      <c r="L309" s="5">
        <v>0.28199999999999997</v>
      </c>
      <c r="M309" s="5">
        <v>0.23800000000000002</v>
      </c>
      <c r="N309" s="5">
        <v>0.16300000000000001</v>
      </c>
    </row>
    <row r="310" spans="1:14" x14ac:dyDescent="0.25">
      <c r="A310">
        <v>2014</v>
      </c>
      <c r="B310">
        <v>188</v>
      </c>
      <c r="C310" t="s">
        <v>108</v>
      </c>
      <c r="D310" t="s">
        <v>53</v>
      </c>
      <c r="E310" s="5">
        <v>0.255</v>
      </c>
      <c r="F310" s="5">
        <v>0.318</v>
      </c>
      <c r="G310" s="5">
        <v>0.21899999999999997</v>
      </c>
      <c r="H310" s="5">
        <v>0.24100000000000002</v>
      </c>
      <c r="I310" s="5">
        <v>0.26600000000000001</v>
      </c>
      <c r="J310" s="5">
        <v>0.27600000000000002</v>
      </c>
      <c r="K310" s="5">
        <v>0.30299999999999999</v>
      </c>
      <c r="L310" s="5">
        <v>0.26</v>
      </c>
      <c r="M310" s="5">
        <v>0.252</v>
      </c>
      <c r="N310" s="5">
        <v>0.16600000000000001</v>
      </c>
    </row>
    <row r="311" spans="1:14" x14ac:dyDescent="0.25">
      <c r="A311">
        <v>2014</v>
      </c>
      <c r="B311">
        <v>188</v>
      </c>
      <c r="C311" t="s">
        <v>108</v>
      </c>
      <c r="D311" t="s">
        <v>77</v>
      </c>
      <c r="E311" s="5">
        <v>0.24600000000000002</v>
      </c>
      <c r="F311" s="5">
        <v>0.26600000000000001</v>
      </c>
      <c r="G311" s="5">
        <v>0.25700000000000001</v>
      </c>
      <c r="H311" s="5">
        <v>0.23</v>
      </c>
      <c r="I311" s="5">
        <v>0.22800000000000001</v>
      </c>
      <c r="J311" s="5">
        <v>0.22699999999999998</v>
      </c>
      <c r="K311" s="5">
        <v>0.2</v>
      </c>
      <c r="L311" s="5">
        <v>0.251</v>
      </c>
      <c r="M311" s="5">
        <v>0.21299999999999999</v>
      </c>
      <c r="N311" s="5">
        <v>0.13300000000000001</v>
      </c>
    </row>
    <row r="312" spans="1:14" x14ac:dyDescent="0.25">
      <c r="A312">
        <v>2014</v>
      </c>
      <c r="B312">
        <v>188</v>
      </c>
      <c r="C312" t="s">
        <v>108</v>
      </c>
      <c r="D312" t="s">
        <v>73</v>
      </c>
      <c r="E312" s="5" t="s">
        <v>109</v>
      </c>
      <c r="F312" s="5">
        <v>0.20100000000000001</v>
      </c>
      <c r="G312" s="5">
        <v>0.26100000000000001</v>
      </c>
      <c r="H312" s="5">
        <v>0.27</v>
      </c>
      <c r="I312" s="5">
        <v>0.21299999999999999</v>
      </c>
      <c r="J312" s="5">
        <v>0.23499999999999999</v>
      </c>
      <c r="K312" s="5">
        <v>0.19500000000000001</v>
      </c>
      <c r="L312" s="5">
        <v>0.18899999999999997</v>
      </c>
      <c r="M312" s="5">
        <v>0.18</v>
      </c>
      <c r="N312" s="5">
        <v>0.125</v>
      </c>
    </row>
    <row r="313" spans="1:14" x14ac:dyDescent="0.25">
      <c r="A313">
        <v>2014</v>
      </c>
      <c r="B313">
        <v>188</v>
      </c>
      <c r="C313" t="s">
        <v>108</v>
      </c>
      <c r="D313" t="s">
        <v>81</v>
      </c>
      <c r="E313" s="5" t="s">
        <v>109</v>
      </c>
      <c r="F313" s="5" t="s">
        <v>109</v>
      </c>
      <c r="G313" s="5">
        <v>0.25800000000000001</v>
      </c>
      <c r="H313" s="5">
        <v>0.27699999999999997</v>
      </c>
      <c r="I313" s="5">
        <v>0.29399999999999998</v>
      </c>
      <c r="J313" s="5">
        <v>0.27500000000000002</v>
      </c>
      <c r="K313" s="5">
        <v>0.23800000000000002</v>
      </c>
      <c r="L313" s="5">
        <v>0.18600000000000003</v>
      </c>
      <c r="M313" s="5">
        <v>0.20499999999999999</v>
      </c>
      <c r="N313" s="5">
        <v>0.14199999999999999</v>
      </c>
    </row>
    <row r="314" spans="1:14" x14ac:dyDescent="0.25">
      <c r="A314">
        <v>2014</v>
      </c>
      <c r="B314">
        <v>188</v>
      </c>
      <c r="C314" t="s">
        <v>108</v>
      </c>
      <c r="D314" t="s">
        <v>80</v>
      </c>
      <c r="E314" s="5" t="s">
        <v>109</v>
      </c>
      <c r="F314" s="5" t="s">
        <v>109</v>
      </c>
      <c r="G314" s="5">
        <v>0.23</v>
      </c>
      <c r="H314" s="5">
        <v>0.25900000000000001</v>
      </c>
      <c r="I314" s="5">
        <v>0.26</v>
      </c>
      <c r="J314" s="5">
        <v>0.28399999999999997</v>
      </c>
      <c r="K314" s="5">
        <v>0.28300000000000003</v>
      </c>
      <c r="L314" s="5">
        <v>0.22500000000000001</v>
      </c>
      <c r="M314" s="5">
        <v>0.22399999999999998</v>
      </c>
      <c r="N314" s="5">
        <v>0.155</v>
      </c>
    </row>
    <row r="315" spans="1:14" x14ac:dyDescent="0.25">
      <c r="A315">
        <v>2014</v>
      </c>
      <c r="B315">
        <v>188</v>
      </c>
      <c r="C315" t="s">
        <v>108</v>
      </c>
      <c r="D315" t="s">
        <v>79</v>
      </c>
      <c r="E315" s="5" t="s">
        <v>109</v>
      </c>
      <c r="F315" s="5">
        <v>0.20499999999999999</v>
      </c>
      <c r="G315" s="5">
        <v>0.21100000000000002</v>
      </c>
      <c r="H315" s="5">
        <v>0.26300000000000001</v>
      </c>
      <c r="I315" s="5">
        <v>0.29299999999999998</v>
      </c>
      <c r="J315" s="5">
        <v>0.29899999999999999</v>
      </c>
      <c r="K315" s="5">
        <v>0.28399999999999997</v>
      </c>
      <c r="L315" s="5">
        <v>0.23100000000000001</v>
      </c>
      <c r="M315" s="5">
        <v>0.17600000000000002</v>
      </c>
      <c r="N315" s="5">
        <v>0.15</v>
      </c>
    </row>
    <row r="316" spans="1:14" x14ac:dyDescent="0.25">
      <c r="A316">
        <v>2014</v>
      </c>
      <c r="B316">
        <v>188</v>
      </c>
      <c r="C316" t="s">
        <v>108</v>
      </c>
      <c r="D316" t="s">
        <v>78</v>
      </c>
      <c r="E316" s="5" t="s">
        <v>109</v>
      </c>
      <c r="F316" s="5">
        <v>0.23499999999999999</v>
      </c>
      <c r="G316" s="5">
        <v>0.215</v>
      </c>
      <c r="H316" s="5">
        <v>0.23699999999999999</v>
      </c>
      <c r="I316" s="5">
        <v>0.25600000000000001</v>
      </c>
      <c r="J316" s="5">
        <v>0.27200000000000002</v>
      </c>
      <c r="K316" s="5">
        <v>0.252</v>
      </c>
      <c r="L316" s="5">
        <v>0.20499999999999999</v>
      </c>
      <c r="M316" s="5">
        <v>0.218</v>
      </c>
      <c r="N316" s="5">
        <v>0.13800000000000001</v>
      </c>
    </row>
    <row r="317" spans="1:14" x14ac:dyDescent="0.25">
      <c r="A317">
        <v>2014</v>
      </c>
      <c r="B317">
        <v>188</v>
      </c>
      <c r="C317" t="s">
        <v>108</v>
      </c>
      <c r="D317" t="s">
        <v>54</v>
      </c>
      <c r="E317" s="5" t="s">
        <v>109</v>
      </c>
      <c r="F317" s="5" t="s">
        <v>109</v>
      </c>
      <c r="G317" s="5">
        <v>0.22399999999999998</v>
      </c>
      <c r="H317" s="5">
        <v>0.21299999999999999</v>
      </c>
      <c r="I317" s="5">
        <v>0.23699999999999999</v>
      </c>
      <c r="J317" s="5">
        <v>0.23499999999999999</v>
      </c>
      <c r="K317" s="5">
        <v>0.23</v>
      </c>
      <c r="L317" s="5">
        <v>0.23899999999999999</v>
      </c>
      <c r="M317" s="5">
        <v>0.19699999999999998</v>
      </c>
      <c r="N317" s="5">
        <v>0.11800000000000001</v>
      </c>
    </row>
    <row r="318" spans="1:14" x14ac:dyDescent="0.25">
      <c r="A318">
        <v>2014</v>
      </c>
      <c r="B318">
        <v>188</v>
      </c>
      <c r="C318" t="s">
        <v>108</v>
      </c>
      <c r="D318" t="s">
        <v>35</v>
      </c>
      <c r="E318" s="5" t="s">
        <v>109</v>
      </c>
      <c r="F318" s="5">
        <v>0.23899999999999999</v>
      </c>
      <c r="G318" s="5">
        <v>0.218</v>
      </c>
      <c r="H318" s="5">
        <v>0.191</v>
      </c>
      <c r="I318" s="5">
        <v>0.17199999999999999</v>
      </c>
      <c r="J318" s="5">
        <v>0.17499999999999999</v>
      </c>
      <c r="K318" s="5">
        <v>0.16800000000000001</v>
      </c>
      <c r="L318" s="5">
        <v>0.19699999999999998</v>
      </c>
      <c r="M318" s="5">
        <v>0.222</v>
      </c>
      <c r="N318" s="5">
        <v>0.161</v>
      </c>
    </row>
    <row r="319" spans="1:14" x14ac:dyDescent="0.25">
      <c r="A319">
        <v>2014</v>
      </c>
      <c r="B319">
        <v>188</v>
      </c>
      <c r="C319" t="s">
        <v>108</v>
      </c>
      <c r="D319" t="s">
        <v>37</v>
      </c>
      <c r="E319" s="5" t="s">
        <v>109</v>
      </c>
      <c r="F319" s="5">
        <v>0.251</v>
      </c>
      <c r="G319" s="5">
        <v>0.252</v>
      </c>
      <c r="H319" s="5">
        <v>0.253</v>
      </c>
      <c r="I319" s="5">
        <v>0.249</v>
      </c>
      <c r="J319" s="5">
        <v>0.26700000000000002</v>
      </c>
      <c r="K319" s="5">
        <v>0.247</v>
      </c>
      <c r="L319" s="5">
        <v>0.218</v>
      </c>
      <c r="M319" s="5">
        <v>0.23</v>
      </c>
      <c r="N319" s="5">
        <v>0.188</v>
      </c>
    </row>
    <row r="320" spans="1:14" x14ac:dyDescent="0.25">
      <c r="A320">
        <v>2014</v>
      </c>
      <c r="B320">
        <v>188</v>
      </c>
      <c r="C320" t="s">
        <v>108</v>
      </c>
      <c r="D320" t="s">
        <v>40</v>
      </c>
      <c r="E320" s="5" t="s">
        <v>109</v>
      </c>
      <c r="F320" s="5">
        <v>0.20399999999999999</v>
      </c>
      <c r="G320" s="5">
        <v>0.21899999999999997</v>
      </c>
      <c r="H320" s="5">
        <v>0.22500000000000001</v>
      </c>
      <c r="I320" s="5">
        <v>0.23300000000000001</v>
      </c>
      <c r="J320" s="5">
        <v>0.218</v>
      </c>
      <c r="K320" s="5">
        <v>0.19600000000000001</v>
      </c>
      <c r="L320" s="5">
        <v>0.17399999999999999</v>
      </c>
      <c r="M320" s="5">
        <v>0.23300000000000001</v>
      </c>
      <c r="N320" s="5">
        <v>0.17</v>
      </c>
    </row>
    <row r="321" spans="1:14" x14ac:dyDescent="0.25">
      <c r="A321">
        <v>2014</v>
      </c>
      <c r="B321">
        <v>188</v>
      </c>
      <c r="C321" t="s">
        <v>108</v>
      </c>
      <c r="D321" t="s">
        <v>41</v>
      </c>
      <c r="E321" s="5" t="s">
        <v>109</v>
      </c>
      <c r="F321" s="5">
        <v>0.23800000000000002</v>
      </c>
      <c r="G321" s="5">
        <v>0.249</v>
      </c>
      <c r="H321" s="5">
        <v>0.21</v>
      </c>
      <c r="I321" s="5">
        <v>0.19500000000000001</v>
      </c>
      <c r="J321" s="5">
        <v>0.217</v>
      </c>
      <c r="K321" s="5">
        <v>0.24299999999999999</v>
      </c>
      <c r="L321" s="5">
        <v>0.23800000000000002</v>
      </c>
      <c r="M321" s="5">
        <v>0.22</v>
      </c>
      <c r="N321" s="5">
        <v>0.16899999999999998</v>
      </c>
    </row>
    <row r="322" spans="1:14" x14ac:dyDescent="0.25">
      <c r="A322">
        <v>2014</v>
      </c>
      <c r="B322">
        <v>188</v>
      </c>
      <c r="C322" t="s">
        <v>108</v>
      </c>
      <c r="D322" t="s">
        <v>43</v>
      </c>
      <c r="E322" s="5">
        <v>0.255</v>
      </c>
      <c r="F322" s="5">
        <v>0.23699999999999999</v>
      </c>
      <c r="G322" s="5">
        <v>0.184</v>
      </c>
      <c r="H322" s="5">
        <v>0.17699999999999999</v>
      </c>
      <c r="I322" s="5">
        <v>0.16699999999999998</v>
      </c>
      <c r="J322" s="5">
        <v>0.16699999999999998</v>
      </c>
      <c r="K322" s="5">
        <v>0.158</v>
      </c>
      <c r="L322" s="5">
        <v>0.16300000000000001</v>
      </c>
      <c r="M322" s="5">
        <v>0.20100000000000001</v>
      </c>
      <c r="N322" s="5">
        <v>0.14400000000000002</v>
      </c>
    </row>
    <row r="323" spans="1:14" x14ac:dyDescent="0.25">
      <c r="A323">
        <v>2014</v>
      </c>
      <c r="B323">
        <v>188</v>
      </c>
      <c r="C323" t="s">
        <v>108</v>
      </c>
      <c r="D323" t="s">
        <v>44</v>
      </c>
      <c r="E323" s="5" t="s">
        <v>109</v>
      </c>
      <c r="F323" s="5">
        <v>0.23</v>
      </c>
      <c r="G323" s="5">
        <v>0.17399999999999999</v>
      </c>
      <c r="H323" s="5">
        <v>0.16800000000000001</v>
      </c>
      <c r="I323" s="5">
        <v>0.14800000000000002</v>
      </c>
      <c r="J323" s="5">
        <v>0.13800000000000001</v>
      </c>
      <c r="K323" s="5">
        <v>0.13100000000000001</v>
      </c>
      <c r="L323" s="5">
        <v>0.14300000000000002</v>
      </c>
      <c r="M323" s="5">
        <v>0.193</v>
      </c>
      <c r="N323" s="5">
        <v>0.14699999999999999</v>
      </c>
    </row>
    <row r="324" spans="1:14" x14ac:dyDescent="0.25">
      <c r="A324">
        <v>2014</v>
      </c>
      <c r="B324">
        <v>188</v>
      </c>
      <c r="C324" t="s">
        <v>108</v>
      </c>
      <c r="D324" t="s">
        <v>38</v>
      </c>
      <c r="E324" s="5">
        <v>0.22399999999999998</v>
      </c>
      <c r="F324" s="5">
        <v>0.23399999999999999</v>
      </c>
      <c r="G324" s="5">
        <v>0.25700000000000001</v>
      </c>
      <c r="H324" s="5">
        <v>0.27300000000000002</v>
      </c>
      <c r="I324" s="5">
        <v>0.251</v>
      </c>
      <c r="J324" s="5">
        <v>0.22399999999999998</v>
      </c>
      <c r="K324" s="5">
        <v>0.185</v>
      </c>
      <c r="L324" s="5">
        <v>0.19899999999999998</v>
      </c>
      <c r="M324" s="5">
        <v>0.217</v>
      </c>
      <c r="N324" s="5">
        <v>0.16600000000000001</v>
      </c>
    </row>
    <row r="325" spans="1:14" x14ac:dyDescent="0.25">
      <c r="A325">
        <v>2014</v>
      </c>
      <c r="B325">
        <v>188</v>
      </c>
      <c r="C325" t="s">
        <v>108</v>
      </c>
      <c r="D325" t="s">
        <v>85</v>
      </c>
      <c r="E325" s="5">
        <v>0.20399999999999999</v>
      </c>
      <c r="F325" s="5">
        <v>0.19899999999999998</v>
      </c>
      <c r="G325" s="5">
        <v>0.23399999999999999</v>
      </c>
      <c r="H325" s="5">
        <v>0.252</v>
      </c>
      <c r="I325" s="5">
        <v>0.25600000000000001</v>
      </c>
      <c r="J325" s="5">
        <v>0.26400000000000001</v>
      </c>
      <c r="K325" s="5">
        <v>0.254</v>
      </c>
      <c r="L325" s="5">
        <v>0.23100000000000001</v>
      </c>
      <c r="M325" s="5">
        <v>0.23899999999999999</v>
      </c>
      <c r="N325" s="5">
        <v>0.185</v>
      </c>
    </row>
    <row r="326" spans="1:14" x14ac:dyDescent="0.25">
      <c r="A326">
        <v>2014</v>
      </c>
      <c r="B326">
        <v>188</v>
      </c>
      <c r="C326" t="s">
        <v>108</v>
      </c>
      <c r="D326" t="s">
        <v>84</v>
      </c>
      <c r="E326" s="5" t="s">
        <v>109</v>
      </c>
      <c r="F326" s="5">
        <v>0.23499999999999999</v>
      </c>
      <c r="G326" s="5">
        <v>0.25600000000000001</v>
      </c>
      <c r="H326" s="5">
        <v>0.25800000000000001</v>
      </c>
      <c r="I326" s="5">
        <v>0.26800000000000002</v>
      </c>
      <c r="J326" s="5">
        <v>0.26899999999999996</v>
      </c>
      <c r="K326" s="5">
        <v>0.27600000000000002</v>
      </c>
      <c r="L326" s="5">
        <v>0.193</v>
      </c>
      <c r="M326" s="5">
        <v>0.20899999999999999</v>
      </c>
      <c r="N326" s="5">
        <v>0.17199999999999999</v>
      </c>
    </row>
    <row r="327" spans="1:14" x14ac:dyDescent="0.25">
      <c r="A327">
        <v>2014</v>
      </c>
      <c r="B327">
        <v>188</v>
      </c>
      <c r="C327" t="s">
        <v>108</v>
      </c>
      <c r="D327" t="s">
        <v>42</v>
      </c>
      <c r="E327" s="5" t="s">
        <v>109</v>
      </c>
      <c r="F327" s="5">
        <v>0.245</v>
      </c>
      <c r="G327" s="5">
        <v>0.25</v>
      </c>
      <c r="H327" s="5">
        <v>0.26899999999999996</v>
      </c>
      <c r="I327" s="5">
        <v>0.26500000000000001</v>
      </c>
      <c r="J327" s="5">
        <v>0.27800000000000002</v>
      </c>
      <c r="K327" s="5">
        <v>0.28199999999999997</v>
      </c>
      <c r="L327" s="5">
        <v>0.24399999999999999</v>
      </c>
      <c r="M327" s="5">
        <v>0.23199999999999998</v>
      </c>
      <c r="N327" s="5">
        <v>0.18100000000000002</v>
      </c>
    </row>
    <row r="328" spans="1:14" x14ac:dyDescent="0.25">
      <c r="A328">
        <v>2014</v>
      </c>
      <c r="B328">
        <v>188</v>
      </c>
      <c r="C328" t="s">
        <v>108</v>
      </c>
      <c r="D328" t="s">
        <v>83</v>
      </c>
      <c r="E328" s="5" t="s">
        <v>109</v>
      </c>
      <c r="F328" s="5">
        <v>0.185</v>
      </c>
      <c r="G328" s="5">
        <v>0.25</v>
      </c>
      <c r="H328" s="5">
        <v>0.28000000000000003</v>
      </c>
      <c r="I328" s="5">
        <v>0.25800000000000001</v>
      </c>
      <c r="J328" s="5">
        <v>0.223</v>
      </c>
      <c r="K328" s="5">
        <v>0.17800000000000002</v>
      </c>
      <c r="L328" s="5">
        <v>0.18</v>
      </c>
      <c r="M328" s="5">
        <v>0.19399999999999998</v>
      </c>
      <c r="N328" s="5">
        <v>0.151</v>
      </c>
    </row>
    <row r="329" spans="1:14" x14ac:dyDescent="0.25">
      <c r="A329">
        <v>2014</v>
      </c>
      <c r="B329">
        <v>188</v>
      </c>
      <c r="C329" t="s">
        <v>108</v>
      </c>
      <c r="D329" t="s">
        <v>82</v>
      </c>
      <c r="E329" s="5">
        <v>0.18100000000000002</v>
      </c>
      <c r="F329" s="5">
        <v>0.17199999999999999</v>
      </c>
      <c r="G329" s="5">
        <v>0.17600000000000002</v>
      </c>
      <c r="H329" s="5">
        <v>0.22500000000000001</v>
      </c>
      <c r="I329" s="5">
        <v>0.26600000000000001</v>
      </c>
      <c r="J329" s="5">
        <v>0.24600000000000002</v>
      </c>
      <c r="K329" s="5">
        <v>0.23199999999999998</v>
      </c>
      <c r="L329" s="5">
        <v>0.18600000000000003</v>
      </c>
      <c r="M329" s="5">
        <v>0.20199999999999999</v>
      </c>
      <c r="N329" s="5">
        <v>0.155</v>
      </c>
    </row>
    <row r="330" spans="1:14" x14ac:dyDescent="0.25">
      <c r="A330">
        <v>2014</v>
      </c>
      <c r="B330">
        <v>188</v>
      </c>
      <c r="C330" t="s">
        <v>108</v>
      </c>
      <c r="D330" t="s">
        <v>72</v>
      </c>
      <c r="E330" s="5" t="s">
        <v>109</v>
      </c>
      <c r="F330" s="5">
        <v>0.23800000000000002</v>
      </c>
      <c r="G330" s="5">
        <v>0.245</v>
      </c>
      <c r="H330" s="5">
        <v>0.26800000000000002</v>
      </c>
      <c r="I330" s="5">
        <v>0.24100000000000002</v>
      </c>
      <c r="J330" s="5">
        <v>0.16899999999999998</v>
      </c>
      <c r="K330" s="5">
        <v>0.153</v>
      </c>
      <c r="L330" s="5">
        <v>0.192</v>
      </c>
      <c r="M330" s="5">
        <v>0.20399999999999999</v>
      </c>
      <c r="N330" s="5">
        <v>0.16399999999999998</v>
      </c>
    </row>
    <row r="331" spans="1:14" x14ac:dyDescent="0.25">
      <c r="A331">
        <v>2014</v>
      </c>
      <c r="B331">
        <v>188</v>
      </c>
      <c r="C331" t="s">
        <v>108</v>
      </c>
      <c r="D331" t="s">
        <v>39</v>
      </c>
      <c r="E331" s="5">
        <v>0.20499999999999999</v>
      </c>
      <c r="F331" s="5">
        <v>0.20399999999999999</v>
      </c>
      <c r="G331" s="5">
        <v>0.20499999999999999</v>
      </c>
      <c r="H331" s="5">
        <v>0.255</v>
      </c>
      <c r="I331" s="5">
        <v>0.26200000000000001</v>
      </c>
      <c r="J331" s="5">
        <v>0.23899999999999999</v>
      </c>
      <c r="K331" s="5">
        <v>0.23899999999999999</v>
      </c>
      <c r="L331" s="5">
        <v>0.22699999999999998</v>
      </c>
      <c r="M331" s="5">
        <v>0.23899999999999999</v>
      </c>
      <c r="N331" s="5">
        <v>0.18600000000000003</v>
      </c>
    </row>
    <row r="332" spans="1:14" x14ac:dyDescent="0.25">
      <c r="A332">
        <v>2014</v>
      </c>
      <c r="B332">
        <v>188</v>
      </c>
      <c r="C332" t="s">
        <v>108</v>
      </c>
      <c r="D332" t="s">
        <v>86</v>
      </c>
      <c r="E332" s="5">
        <v>0.17100000000000001</v>
      </c>
      <c r="F332" s="5">
        <v>0.17899999999999999</v>
      </c>
      <c r="G332" s="5">
        <v>0.23699999999999999</v>
      </c>
      <c r="H332" s="5">
        <v>0.23899999999999999</v>
      </c>
      <c r="I332" s="5">
        <v>0.252</v>
      </c>
      <c r="J332" s="5">
        <v>0.23100000000000001</v>
      </c>
      <c r="K332" s="5">
        <v>0.22600000000000001</v>
      </c>
      <c r="L332" s="5">
        <v>0.217</v>
      </c>
      <c r="M332" s="5">
        <v>0.24399999999999999</v>
      </c>
      <c r="N332" s="5">
        <v>0.188</v>
      </c>
    </row>
    <row r="333" spans="1:14" x14ac:dyDescent="0.25">
      <c r="A333">
        <v>2014</v>
      </c>
      <c r="B333">
        <v>188</v>
      </c>
      <c r="C333" t="s">
        <v>108</v>
      </c>
      <c r="D333" t="s">
        <v>87</v>
      </c>
      <c r="E333" s="5" t="s">
        <v>109</v>
      </c>
      <c r="F333" s="5">
        <v>0.19399999999999998</v>
      </c>
      <c r="G333" s="5">
        <v>0.217</v>
      </c>
      <c r="H333" s="5">
        <v>0.26200000000000001</v>
      </c>
      <c r="I333" s="5">
        <v>0.249</v>
      </c>
      <c r="J333" s="5">
        <v>0.249</v>
      </c>
      <c r="K333" s="5">
        <v>0.23699999999999999</v>
      </c>
      <c r="L333" s="5">
        <v>0.184</v>
      </c>
      <c r="M333" s="5">
        <v>0.21199999999999999</v>
      </c>
      <c r="N333" s="5">
        <v>0.16899999999999998</v>
      </c>
    </row>
    <row r="334" spans="1:14" x14ac:dyDescent="0.25">
      <c r="A334">
        <v>2014</v>
      </c>
      <c r="B334">
        <v>188</v>
      </c>
      <c r="C334" t="s">
        <v>108</v>
      </c>
      <c r="D334" t="s">
        <v>88</v>
      </c>
      <c r="E334" s="5">
        <v>0.22399999999999998</v>
      </c>
      <c r="F334" s="5">
        <v>0.217</v>
      </c>
      <c r="G334" s="5">
        <v>0.222</v>
      </c>
      <c r="H334" s="5">
        <v>0.22399999999999998</v>
      </c>
      <c r="I334" s="5">
        <v>0.23499999999999999</v>
      </c>
      <c r="J334" s="5">
        <v>0.23899999999999999</v>
      </c>
      <c r="K334" s="5">
        <v>0.222</v>
      </c>
      <c r="L334" s="5">
        <v>0.16500000000000001</v>
      </c>
      <c r="M334" s="5">
        <v>0.18100000000000002</v>
      </c>
      <c r="N334" s="5">
        <v>0.155</v>
      </c>
    </row>
    <row r="335" spans="1:14" x14ac:dyDescent="0.25">
      <c r="A335">
        <v>2014</v>
      </c>
      <c r="B335">
        <v>188</v>
      </c>
      <c r="C335" t="s">
        <v>108</v>
      </c>
      <c r="D335" t="s">
        <v>36</v>
      </c>
      <c r="E335" s="5">
        <v>0.156</v>
      </c>
      <c r="F335" s="5">
        <v>0.16</v>
      </c>
      <c r="G335" s="5">
        <v>0.183</v>
      </c>
      <c r="H335" s="5">
        <v>0.22</v>
      </c>
      <c r="I335" s="5">
        <v>0.23399999999999999</v>
      </c>
      <c r="J335" s="5">
        <v>0.20699999999999999</v>
      </c>
      <c r="K335" s="5">
        <v>0.18</v>
      </c>
      <c r="L335" s="5">
        <v>0.16699999999999998</v>
      </c>
      <c r="M335" s="5">
        <v>0.191</v>
      </c>
      <c r="N335" s="5">
        <v>0.15</v>
      </c>
    </row>
    <row r="336" spans="1:14" x14ac:dyDescent="0.25">
      <c r="A336">
        <v>2014</v>
      </c>
      <c r="B336">
        <v>188</v>
      </c>
      <c r="C336" t="s">
        <v>108</v>
      </c>
      <c r="D336" t="s">
        <v>94</v>
      </c>
      <c r="E336" s="5" t="s">
        <v>109</v>
      </c>
      <c r="F336" s="5">
        <v>0.21299999999999999</v>
      </c>
      <c r="G336" s="5">
        <v>0.21199999999999999</v>
      </c>
      <c r="H336" s="5">
        <v>0.217</v>
      </c>
      <c r="I336" s="5">
        <v>0.19800000000000001</v>
      </c>
      <c r="J336" s="5">
        <v>0.13800000000000001</v>
      </c>
      <c r="K336" s="5">
        <v>0.13100000000000001</v>
      </c>
      <c r="L336" s="5">
        <v>0.157</v>
      </c>
      <c r="M336" s="5">
        <v>0.17699999999999999</v>
      </c>
      <c r="N336" s="5">
        <v>0.158</v>
      </c>
    </row>
    <row r="337" spans="1:14" x14ac:dyDescent="0.25">
      <c r="A337">
        <v>2014</v>
      </c>
      <c r="B337">
        <v>188</v>
      </c>
      <c r="C337" t="s">
        <v>108</v>
      </c>
      <c r="D337" t="s">
        <v>93</v>
      </c>
      <c r="E337" s="5">
        <v>0.21199999999999999</v>
      </c>
      <c r="F337" s="5">
        <v>0.22</v>
      </c>
      <c r="G337" s="5">
        <v>0.23100000000000001</v>
      </c>
      <c r="H337" s="5">
        <v>0.22899999999999998</v>
      </c>
      <c r="I337" s="5">
        <v>0.19699999999999998</v>
      </c>
      <c r="J337" s="5">
        <v>0.156</v>
      </c>
      <c r="K337" s="5">
        <v>0.129</v>
      </c>
      <c r="L337" s="5">
        <v>0.16399999999999998</v>
      </c>
      <c r="M337" s="5">
        <v>0.18600000000000003</v>
      </c>
      <c r="N337" s="5">
        <v>0.17199999999999999</v>
      </c>
    </row>
    <row r="338" spans="1:14" x14ac:dyDescent="0.25">
      <c r="A338">
        <v>2014</v>
      </c>
      <c r="B338">
        <v>188</v>
      </c>
      <c r="C338" t="s">
        <v>108</v>
      </c>
      <c r="D338" t="s">
        <v>92</v>
      </c>
      <c r="E338" s="5" t="s">
        <v>109</v>
      </c>
      <c r="F338" s="5">
        <v>0.20600000000000002</v>
      </c>
      <c r="G338" s="5">
        <v>0.24399999999999999</v>
      </c>
      <c r="H338" s="5">
        <v>0.249</v>
      </c>
      <c r="I338" s="5">
        <v>0.24</v>
      </c>
      <c r="J338" s="5">
        <v>0.23</v>
      </c>
      <c r="K338" s="5">
        <v>0.182</v>
      </c>
      <c r="L338" s="5">
        <v>0.20800000000000002</v>
      </c>
      <c r="M338" s="5">
        <v>0.22899999999999998</v>
      </c>
      <c r="N338" s="5">
        <v>0.183</v>
      </c>
    </row>
    <row r="339" spans="1:14" x14ac:dyDescent="0.25">
      <c r="A339">
        <v>2014</v>
      </c>
      <c r="B339">
        <v>188</v>
      </c>
      <c r="C339" t="s">
        <v>108</v>
      </c>
      <c r="D339" t="s">
        <v>91</v>
      </c>
      <c r="E339" s="5">
        <v>0.17100000000000001</v>
      </c>
      <c r="F339" s="5">
        <v>0.19699999999999998</v>
      </c>
      <c r="G339" s="5">
        <v>0.25600000000000001</v>
      </c>
      <c r="H339" s="5">
        <v>0.26100000000000001</v>
      </c>
      <c r="I339" s="5">
        <v>0.25800000000000001</v>
      </c>
      <c r="J339" s="5">
        <v>0.26400000000000001</v>
      </c>
      <c r="K339" s="5">
        <v>0.245</v>
      </c>
      <c r="L339" s="5">
        <v>0.21899999999999997</v>
      </c>
      <c r="M339" s="5">
        <v>0.21199999999999999</v>
      </c>
      <c r="N339" s="5">
        <v>0.17</v>
      </c>
    </row>
    <row r="340" spans="1:14" x14ac:dyDescent="0.25">
      <c r="A340">
        <v>2014</v>
      </c>
      <c r="B340">
        <v>188</v>
      </c>
      <c r="C340" t="s">
        <v>108</v>
      </c>
      <c r="D340" t="s">
        <v>90</v>
      </c>
      <c r="E340" s="5">
        <v>0.19800000000000001</v>
      </c>
      <c r="F340" s="5">
        <v>0.20600000000000002</v>
      </c>
      <c r="G340" s="5">
        <v>0.193</v>
      </c>
      <c r="H340" s="5">
        <v>0.218</v>
      </c>
      <c r="I340" s="5">
        <v>0.23</v>
      </c>
      <c r="J340" s="5">
        <v>0.22699999999999998</v>
      </c>
      <c r="K340" s="5">
        <v>0.221</v>
      </c>
      <c r="L340" s="5">
        <v>0.182</v>
      </c>
      <c r="M340" s="5">
        <v>0.21</v>
      </c>
      <c r="N340" s="5">
        <v>0.153</v>
      </c>
    </row>
    <row r="341" spans="1:14" x14ac:dyDescent="0.25">
      <c r="A341">
        <v>2014</v>
      </c>
      <c r="B341">
        <v>188</v>
      </c>
      <c r="C341" t="s">
        <v>108</v>
      </c>
      <c r="D341" t="s">
        <v>89</v>
      </c>
      <c r="E341" s="5">
        <v>0.17300000000000001</v>
      </c>
      <c r="F341" s="5">
        <v>0.18</v>
      </c>
      <c r="G341" s="5">
        <v>0.221</v>
      </c>
      <c r="H341" s="5">
        <v>0.24600000000000002</v>
      </c>
      <c r="I341" s="5">
        <v>0.24600000000000002</v>
      </c>
      <c r="J341" s="5">
        <v>0.23</v>
      </c>
      <c r="K341" s="5">
        <v>0.22500000000000001</v>
      </c>
      <c r="L341" s="5">
        <v>0.19800000000000001</v>
      </c>
      <c r="M341" s="5">
        <v>0.18600000000000003</v>
      </c>
      <c r="N341" s="5">
        <v>0.14699999999999999</v>
      </c>
    </row>
    <row r="342" spans="1:14" x14ac:dyDescent="0.25">
      <c r="A342">
        <v>2014</v>
      </c>
      <c r="B342">
        <v>188</v>
      </c>
      <c r="C342" t="s">
        <v>108</v>
      </c>
      <c r="D342" t="s">
        <v>45</v>
      </c>
      <c r="E342" s="5">
        <v>0.23100000000000001</v>
      </c>
      <c r="F342" s="5">
        <v>0.22399999999999998</v>
      </c>
      <c r="G342" s="5">
        <v>0.223</v>
      </c>
      <c r="H342" s="5">
        <v>0.23600000000000002</v>
      </c>
      <c r="I342" s="5">
        <v>0.23499999999999999</v>
      </c>
      <c r="J342" s="5">
        <v>0.19399999999999998</v>
      </c>
      <c r="K342" s="5">
        <v>0.182</v>
      </c>
      <c r="L342" s="5">
        <v>0.182</v>
      </c>
      <c r="M342" s="5">
        <v>0.21600000000000003</v>
      </c>
      <c r="N342" s="5">
        <v>0.16500000000000001</v>
      </c>
    </row>
    <row r="343" spans="1:14" x14ac:dyDescent="0.25">
      <c r="A343">
        <v>2014</v>
      </c>
      <c r="B343">
        <v>188</v>
      </c>
      <c r="C343" t="s">
        <v>108</v>
      </c>
      <c r="D343" t="s">
        <v>46</v>
      </c>
      <c r="E343" s="5">
        <v>0.23499999999999999</v>
      </c>
      <c r="F343" s="5">
        <v>0.24199999999999999</v>
      </c>
      <c r="G343" s="5">
        <v>0.24100000000000002</v>
      </c>
      <c r="H343" s="5">
        <v>0.255</v>
      </c>
      <c r="I343" s="5">
        <v>0.247</v>
      </c>
      <c r="J343" s="5">
        <v>0.23300000000000001</v>
      </c>
      <c r="K343" s="5">
        <v>0.221</v>
      </c>
      <c r="L343" s="5">
        <v>0.22500000000000001</v>
      </c>
      <c r="M343" s="5">
        <v>0.23899999999999999</v>
      </c>
      <c r="N343" s="5">
        <v>0.184</v>
      </c>
    </row>
    <row r="344" spans="1:14" x14ac:dyDescent="0.25">
      <c r="A344">
        <v>2014</v>
      </c>
      <c r="B344">
        <v>188</v>
      </c>
      <c r="C344" t="s">
        <v>108</v>
      </c>
      <c r="D344" t="s">
        <v>47</v>
      </c>
      <c r="E344" s="5" t="s">
        <v>109</v>
      </c>
      <c r="F344" s="5" t="s">
        <v>109</v>
      </c>
      <c r="G344" s="5" t="s">
        <v>109</v>
      </c>
      <c r="H344" s="5">
        <v>0.249</v>
      </c>
      <c r="I344" s="5">
        <v>0.21899999999999997</v>
      </c>
      <c r="J344" s="5">
        <v>0.21</v>
      </c>
      <c r="K344" s="5">
        <v>0.214</v>
      </c>
      <c r="L344" s="5">
        <v>0.23899999999999999</v>
      </c>
      <c r="M344" s="5">
        <v>0.254</v>
      </c>
      <c r="N344" s="5">
        <v>0.19800000000000001</v>
      </c>
    </row>
    <row r="345" spans="1:14" x14ac:dyDescent="0.25">
      <c r="A345">
        <v>2014</v>
      </c>
      <c r="B345">
        <v>188</v>
      </c>
      <c r="C345" t="s">
        <v>108</v>
      </c>
      <c r="D345" t="s">
        <v>48</v>
      </c>
      <c r="E345" s="5">
        <v>0.14800000000000002</v>
      </c>
      <c r="F345" s="5">
        <v>0.13800000000000001</v>
      </c>
      <c r="G345" s="5">
        <v>0.127</v>
      </c>
      <c r="H345" s="5">
        <v>0.121</v>
      </c>
      <c r="I345" s="5">
        <v>0.11</v>
      </c>
      <c r="J345" s="5">
        <v>0.11199999999999999</v>
      </c>
      <c r="K345" s="5">
        <v>0.124</v>
      </c>
      <c r="L345" s="5">
        <v>0.2</v>
      </c>
      <c r="M345" s="5">
        <v>0.23199999999999998</v>
      </c>
      <c r="N345" s="5">
        <v>0.17</v>
      </c>
    </row>
    <row r="346" spans="1:14" x14ac:dyDescent="0.25">
      <c r="A346">
        <v>2014</v>
      </c>
      <c r="B346">
        <v>188</v>
      </c>
      <c r="C346" t="s">
        <v>108</v>
      </c>
      <c r="D346" t="s">
        <v>49</v>
      </c>
      <c r="E346" s="5">
        <v>0.188</v>
      </c>
      <c r="F346" s="5">
        <v>0.21600000000000003</v>
      </c>
      <c r="G346" s="5">
        <v>0.23100000000000001</v>
      </c>
      <c r="H346" s="5">
        <v>0.23499999999999999</v>
      </c>
      <c r="I346" s="5">
        <v>0.23399999999999999</v>
      </c>
      <c r="J346" s="5">
        <v>0.20699999999999999</v>
      </c>
      <c r="K346" s="5">
        <v>0.161</v>
      </c>
      <c r="L346" s="5">
        <v>0.16</v>
      </c>
      <c r="M346" s="5">
        <v>0.18899999999999997</v>
      </c>
      <c r="N346" s="5">
        <v>0.158</v>
      </c>
    </row>
    <row r="347" spans="1:14" x14ac:dyDescent="0.25">
      <c r="A347">
        <v>2014</v>
      </c>
      <c r="B347">
        <v>188</v>
      </c>
      <c r="C347" t="s">
        <v>108</v>
      </c>
      <c r="D347" t="s">
        <v>50</v>
      </c>
      <c r="E347" s="5">
        <v>0.19600000000000001</v>
      </c>
      <c r="F347" s="5">
        <v>0.217</v>
      </c>
      <c r="G347" s="5">
        <v>0.20300000000000001</v>
      </c>
      <c r="H347" s="5">
        <v>0.182</v>
      </c>
      <c r="I347" s="5">
        <v>0.16200000000000001</v>
      </c>
      <c r="J347" s="5">
        <v>0.17399999999999999</v>
      </c>
      <c r="K347" s="5">
        <v>0.18600000000000003</v>
      </c>
      <c r="L347" s="5">
        <v>0.192</v>
      </c>
      <c r="M347" s="5">
        <v>0.221</v>
      </c>
      <c r="N347" s="5">
        <v>0.16800000000000001</v>
      </c>
    </row>
    <row r="348" spans="1:14" x14ac:dyDescent="0.25">
      <c r="A348">
        <v>2014</v>
      </c>
      <c r="B348">
        <v>196</v>
      </c>
      <c r="C348" t="s">
        <v>108</v>
      </c>
      <c r="D348" t="s">
        <v>51</v>
      </c>
      <c r="E348" s="5">
        <v>0.12</v>
      </c>
      <c r="F348" s="5">
        <v>0.13400000000000001</v>
      </c>
      <c r="G348" s="5">
        <v>0.14000000000000001</v>
      </c>
      <c r="H348" s="5">
        <v>0.16</v>
      </c>
      <c r="I348" s="5">
        <v>0.18899999999999997</v>
      </c>
      <c r="J348" s="5">
        <v>0.19800000000000001</v>
      </c>
      <c r="K348" s="5">
        <v>0.2</v>
      </c>
      <c r="L348" s="5">
        <v>0.19500000000000001</v>
      </c>
      <c r="M348" s="5">
        <v>0.17800000000000002</v>
      </c>
      <c r="N348" s="5">
        <v>0.09</v>
      </c>
    </row>
    <row r="349" spans="1:14" x14ac:dyDescent="0.25">
      <c r="A349">
        <v>2014</v>
      </c>
      <c r="B349">
        <v>196</v>
      </c>
      <c r="C349" t="s">
        <v>108</v>
      </c>
      <c r="D349" t="s">
        <v>55</v>
      </c>
      <c r="E349" s="5">
        <v>0.24299999999999999</v>
      </c>
      <c r="F349" s="5">
        <v>0.14599999999999999</v>
      </c>
      <c r="G349" s="5">
        <v>0.13400000000000001</v>
      </c>
      <c r="H349" s="5">
        <v>0.161</v>
      </c>
      <c r="I349" s="5">
        <v>0.17800000000000002</v>
      </c>
      <c r="J349" s="5">
        <v>0.17899999999999999</v>
      </c>
      <c r="K349" s="5">
        <v>0.185</v>
      </c>
      <c r="L349" s="5">
        <v>0.20100000000000001</v>
      </c>
      <c r="M349" s="5">
        <v>0.17800000000000002</v>
      </c>
      <c r="N349" s="5">
        <v>9.9000000000000005E-2</v>
      </c>
    </row>
    <row r="350" spans="1:14" x14ac:dyDescent="0.25">
      <c r="A350">
        <v>2014</v>
      </c>
      <c r="B350">
        <v>196</v>
      </c>
      <c r="C350" t="s">
        <v>108</v>
      </c>
      <c r="D350" t="s">
        <v>56</v>
      </c>
      <c r="E350" s="5">
        <v>0.13900000000000001</v>
      </c>
      <c r="F350" s="5">
        <v>0.18</v>
      </c>
      <c r="G350" s="5">
        <v>0.20800000000000002</v>
      </c>
      <c r="H350" s="5">
        <v>0.217</v>
      </c>
      <c r="I350" s="5">
        <v>0.21899999999999997</v>
      </c>
      <c r="J350" s="5">
        <v>0.20399999999999999</v>
      </c>
      <c r="K350" s="5">
        <v>0.188</v>
      </c>
      <c r="L350" s="5">
        <v>0.19699999999999998</v>
      </c>
      <c r="M350" s="5">
        <v>0.19600000000000001</v>
      </c>
      <c r="N350" s="5">
        <v>0.105</v>
      </c>
    </row>
    <row r="351" spans="1:14" x14ac:dyDescent="0.25">
      <c r="A351">
        <v>2014</v>
      </c>
      <c r="B351">
        <v>196</v>
      </c>
      <c r="C351" t="s">
        <v>108</v>
      </c>
      <c r="D351" t="s">
        <v>57</v>
      </c>
      <c r="E351" s="5">
        <v>0.14400000000000002</v>
      </c>
      <c r="F351" s="5">
        <v>0.14499999999999999</v>
      </c>
      <c r="G351" s="5">
        <v>0.151</v>
      </c>
      <c r="H351" s="5">
        <v>0.18899999999999997</v>
      </c>
      <c r="I351" s="5">
        <v>0.20399999999999999</v>
      </c>
      <c r="J351" s="5">
        <v>0.20499999999999999</v>
      </c>
      <c r="K351" s="5">
        <v>0.20600000000000002</v>
      </c>
      <c r="L351" s="5">
        <v>0.188</v>
      </c>
      <c r="M351" s="5">
        <v>0.16500000000000001</v>
      </c>
      <c r="N351" s="5">
        <v>0.10099999999999999</v>
      </c>
    </row>
    <row r="352" spans="1:14" x14ac:dyDescent="0.25">
      <c r="A352">
        <v>2014</v>
      </c>
      <c r="B352">
        <v>196</v>
      </c>
      <c r="C352" t="s">
        <v>108</v>
      </c>
      <c r="D352" t="s">
        <v>58</v>
      </c>
      <c r="E352" s="5" t="s">
        <v>109</v>
      </c>
      <c r="F352" s="5" t="s">
        <v>109</v>
      </c>
      <c r="G352" s="5" t="s">
        <v>109</v>
      </c>
      <c r="H352" s="5">
        <v>0.26300000000000001</v>
      </c>
      <c r="I352" s="5">
        <v>0.21</v>
      </c>
      <c r="J352" s="5">
        <v>0.222</v>
      </c>
      <c r="K352" s="5">
        <v>0.218</v>
      </c>
      <c r="L352" s="5">
        <v>0.21100000000000002</v>
      </c>
      <c r="M352" s="5">
        <v>0.20399999999999999</v>
      </c>
      <c r="N352" s="5">
        <v>0.109</v>
      </c>
    </row>
    <row r="353" spans="1:14" x14ac:dyDescent="0.25">
      <c r="A353">
        <v>2014</v>
      </c>
      <c r="B353">
        <v>196</v>
      </c>
      <c r="C353" t="s">
        <v>108</v>
      </c>
      <c r="D353" t="s">
        <v>59</v>
      </c>
      <c r="E353" s="5" t="s">
        <v>109</v>
      </c>
      <c r="F353" s="5">
        <v>0.20899999999999999</v>
      </c>
      <c r="G353" s="5">
        <v>0.20499999999999999</v>
      </c>
      <c r="H353" s="5">
        <v>0.20699999999999999</v>
      </c>
      <c r="I353" s="5">
        <v>0.221</v>
      </c>
      <c r="J353" s="5">
        <v>0.21899999999999997</v>
      </c>
      <c r="K353" s="5">
        <v>0.214</v>
      </c>
      <c r="L353" s="5">
        <v>0.23499999999999999</v>
      </c>
      <c r="M353" s="5">
        <v>0.19</v>
      </c>
      <c r="N353" s="5">
        <v>9.0999999999999998E-2</v>
      </c>
    </row>
    <row r="354" spans="1:14" x14ac:dyDescent="0.25">
      <c r="A354">
        <v>2014</v>
      </c>
      <c r="B354">
        <v>196</v>
      </c>
      <c r="C354" t="s">
        <v>108</v>
      </c>
      <c r="D354" t="s">
        <v>64</v>
      </c>
      <c r="E354" s="5">
        <v>0.255</v>
      </c>
      <c r="F354" s="5">
        <v>0.151</v>
      </c>
      <c r="G354" s="5">
        <v>0.17</v>
      </c>
      <c r="H354" s="5">
        <v>0.26800000000000002</v>
      </c>
      <c r="I354" s="5">
        <v>0.25800000000000001</v>
      </c>
      <c r="J354" s="5">
        <v>0.252</v>
      </c>
      <c r="K354" s="5">
        <v>0.27500000000000002</v>
      </c>
      <c r="L354" s="5">
        <v>0.23800000000000002</v>
      </c>
      <c r="M354" s="5">
        <v>0.19600000000000001</v>
      </c>
      <c r="N354" s="5">
        <v>0.111</v>
      </c>
    </row>
    <row r="355" spans="1:14" x14ac:dyDescent="0.25">
      <c r="A355">
        <v>2014</v>
      </c>
      <c r="B355">
        <v>196</v>
      </c>
      <c r="C355" t="s">
        <v>108</v>
      </c>
      <c r="D355" t="s">
        <v>52</v>
      </c>
      <c r="E355" s="5">
        <v>0.156</v>
      </c>
      <c r="F355" s="5">
        <v>0.18</v>
      </c>
      <c r="G355" s="5">
        <v>0.19399999999999998</v>
      </c>
      <c r="H355" s="5">
        <v>0.21600000000000003</v>
      </c>
      <c r="I355" s="5">
        <v>0.25</v>
      </c>
      <c r="J355" s="5">
        <v>0.28100000000000003</v>
      </c>
      <c r="K355" s="5">
        <v>0.28499999999999998</v>
      </c>
      <c r="L355" s="5">
        <v>0.26500000000000001</v>
      </c>
      <c r="M355" s="5">
        <v>0.20399999999999999</v>
      </c>
      <c r="N355" s="5">
        <v>0.11900000000000001</v>
      </c>
    </row>
    <row r="356" spans="1:14" x14ac:dyDescent="0.25">
      <c r="A356">
        <v>2014</v>
      </c>
      <c r="B356">
        <v>196</v>
      </c>
      <c r="C356" t="s">
        <v>108</v>
      </c>
      <c r="D356" t="s">
        <v>62</v>
      </c>
      <c r="E356" s="5">
        <v>0.17399999999999999</v>
      </c>
      <c r="F356" s="5">
        <v>0.154</v>
      </c>
      <c r="G356" s="5">
        <v>0.16899999999999998</v>
      </c>
      <c r="H356" s="5">
        <v>0.187</v>
      </c>
      <c r="I356" s="5">
        <v>0.23600000000000002</v>
      </c>
      <c r="J356" s="5">
        <v>0.24199999999999999</v>
      </c>
      <c r="K356" s="5">
        <v>0.23100000000000001</v>
      </c>
      <c r="L356" s="5">
        <v>0.25800000000000001</v>
      </c>
      <c r="M356" s="5">
        <v>0.22699999999999998</v>
      </c>
      <c r="N356" s="5">
        <v>0.11699999999999999</v>
      </c>
    </row>
    <row r="357" spans="1:14" x14ac:dyDescent="0.25">
      <c r="A357">
        <v>2014</v>
      </c>
      <c r="B357">
        <v>196</v>
      </c>
      <c r="C357" t="s">
        <v>108</v>
      </c>
      <c r="D357" t="s">
        <v>63</v>
      </c>
      <c r="E357" s="5">
        <v>0.182</v>
      </c>
      <c r="F357" s="5">
        <v>0.16699999999999998</v>
      </c>
      <c r="G357" s="5">
        <v>0.16899999999999998</v>
      </c>
      <c r="H357" s="5">
        <v>0.21299999999999999</v>
      </c>
      <c r="I357" s="5">
        <v>0.247</v>
      </c>
      <c r="J357" s="5">
        <v>0.254</v>
      </c>
      <c r="K357" s="5">
        <v>0.27699999999999997</v>
      </c>
      <c r="L357" s="5">
        <v>0.221</v>
      </c>
      <c r="M357" s="5">
        <v>0.19399999999999998</v>
      </c>
      <c r="N357" s="5">
        <v>9.6999999999999989E-2</v>
      </c>
    </row>
    <row r="358" spans="1:14" x14ac:dyDescent="0.25">
      <c r="A358">
        <v>2014</v>
      </c>
      <c r="B358">
        <v>196</v>
      </c>
      <c r="C358" t="s">
        <v>108</v>
      </c>
      <c r="D358" t="s">
        <v>61</v>
      </c>
      <c r="E358" s="5" t="s">
        <v>109</v>
      </c>
      <c r="F358" s="5">
        <v>0.32700000000000001</v>
      </c>
      <c r="G358" s="5">
        <v>0.28199999999999997</v>
      </c>
      <c r="H358" s="5">
        <v>0.21</v>
      </c>
      <c r="I358" s="5">
        <v>0.22600000000000001</v>
      </c>
      <c r="J358" s="5">
        <v>0.23399999999999999</v>
      </c>
      <c r="K358" s="5">
        <v>0.22</v>
      </c>
      <c r="L358" s="5">
        <v>0.26600000000000001</v>
      </c>
      <c r="M358" s="5">
        <v>0.21299999999999999</v>
      </c>
      <c r="N358" s="5">
        <v>0.10099999999999999</v>
      </c>
    </row>
    <row r="359" spans="1:14" x14ac:dyDescent="0.25">
      <c r="A359">
        <v>2014</v>
      </c>
      <c r="B359">
        <v>196</v>
      </c>
      <c r="C359" t="s">
        <v>108</v>
      </c>
      <c r="D359" t="s">
        <v>60</v>
      </c>
      <c r="E359" s="5" t="s">
        <v>109</v>
      </c>
      <c r="F359" s="5" t="s">
        <v>109</v>
      </c>
      <c r="G359" s="5">
        <v>0.28300000000000003</v>
      </c>
      <c r="H359" s="5">
        <v>0.29699999999999999</v>
      </c>
      <c r="I359" s="5">
        <v>0.21899999999999997</v>
      </c>
      <c r="J359" s="5">
        <v>0.217</v>
      </c>
      <c r="K359" s="5">
        <v>0.23499999999999999</v>
      </c>
      <c r="L359" s="5">
        <v>0.214</v>
      </c>
      <c r="M359" s="5">
        <v>0.18</v>
      </c>
      <c r="N359" s="5">
        <v>7.2999999999999995E-2</v>
      </c>
    </row>
    <row r="360" spans="1:14" x14ac:dyDescent="0.25">
      <c r="A360">
        <v>2014</v>
      </c>
      <c r="B360">
        <v>196</v>
      </c>
      <c r="C360" t="s">
        <v>108</v>
      </c>
      <c r="D360" t="s">
        <v>29</v>
      </c>
      <c r="E360" s="5">
        <v>0.19899999999999998</v>
      </c>
      <c r="F360" s="5">
        <v>0.188</v>
      </c>
      <c r="G360" s="5">
        <v>0.19500000000000001</v>
      </c>
      <c r="H360" s="5">
        <v>0.25600000000000001</v>
      </c>
      <c r="I360" s="5">
        <v>0.252</v>
      </c>
      <c r="J360" s="5">
        <v>0.27699999999999997</v>
      </c>
      <c r="K360" s="5">
        <v>0.26300000000000001</v>
      </c>
      <c r="L360" s="5">
        <v>0.27200000000000002</v>
      </c>
      <c r="M360" s="5">
        <v>0.23199999999999998</v>
      </c>
      <c r="N360" s="5">
        <v>0.11800000000000001</v>
      </c>
    </row>
    <row r="361" spans="1:14" x14ac:dyDescent="0.25">
      <c r="A361">
        <v>2014</v>
      </c>
      <c r="B361">
        <v>196</v>
      </c>
      <c r="C361" t="s">
        <v>108</v>
      </c>
      <c r="D361" t="s">
        <v>30</v>
      </c>
      <c r="E361" s="5">
        <v>0.193</v>
      </c>
      <c r="F361" s="5">
        <v>0.19800000000000001</v>
      </c>
      <c r="G361" s="5">
        <v>0.23899999999999999</v>
      </c>
      <c r="H361" s="5">
        <v>0.26300000000000001</v>
      </c>
      <c r="I361" s="5">
        <v>0.25800000000000001</v>
      </c>
      <c r="J361" s="5">
        <v>0.25800000000000001</v>
      </c>
      <c r="K361" s="5">
        <v>0.28300000000000003</v>
      </c>
      <c r="L361" s="5">
        <v>0.21299999999999999</v>
      </c>
      <c r="M361" s="5">
        <v>0.19699999999999998</v>
      </c>
      <c r="N361" s="5">
        <v>0.10400000000000001</v>
      </c>
    </row>
    <row r="362" spans="1:14" x14ac:dyDescent="0.25">
      <c r="A362">
        <v>2014</v>
      </c>
      <c r="B362">
        <v>196</v>
      </c>
      <c r="C362" t="s">
        <v>108</v>
      </c>
      <c r="D362" t="s">
        <v>31</v>
      </c>
      <c r="E362" s="5">
        <v>0.19800000000000001</v>
      </c>
      <c r="F362" s="5">
        <v>0.17199999999999999</v>
      </c>
      <c r="G362" s="5">
        <v>0.17300000000000001</v>
      </c>
      <c r="H362" s="5">
        <v>0.20100000000000001</v>
      </c>
      <c r="I362" s="5">
        <v>0.26100000000000001</v>
      </c>
      <c r="J362" s="5">
        <v>0.26500000000000001</v>
      </c>
      <c r="K362" s="5">
        <v>0.26300000000000001</v>
      </c>
      <c r="L362" s="5">
        <v>0.23800000000000002</v>
      </c>
      <c r="M362" s="5">
        <v>0.22600000000000001</v>
      </c>
      <c r="N362" s="5">
        <v>0.13800000000000001</v>
      </c>
    </row>
    <row r="363" spans="1:14" x14ac:dyDescent="0.25">
      <c r="A363">
        <v>2014</v>
      </c>
      <c r="B363">
        <v>196</v>
      </c>
      <c r="C363" t="s">
        <v>108</v>
      </c>
      <c r="D363" t="s">
        <v>32</v>
      </c>
      <c r="E363" s="5">
        <v>0.252</v>
      </c>
      <c r="F363" s="5">
        <v>0.19699999999999998</v>
      </c>
      <c r="G363" s="5">
        <v>0.22399999999999998</v>
      </c>
      <c r="H363" s="5">
        <v>0.217</v>
      </c>
      <c r="I363" s="5">
        <v>0.21600000000000003</v>
      </c>
      <c r="J363" s="5">
        <v>0.21100000000000002</v>
      </c>
      <c r="K363" s="5">
        <v>0.185</v>
      </c>
      <c r="L363" s="5">
        <v>0.18100000000000002</v>
      </c>
      <c r="M363" s="5">
        <v>0.20800000000000002</v>
      </c>
      <c r="N363" s="5">
        <v>0.106</v>
      </c>
    </row>
    <row r="364" spans="1:14" x14ac:dyDescent="0.25">
      <c r="A364">
        <v>2014</v>
      </c>
      <c r="B364">
        <v>196</v>
      </c>
      <c r="C364" t="s">
        <v>108</v>
      </c>
      <c r="D364" t="s">
        <v>33</v>
      </c>
      <c r="E364" s="5">
        <v>0.184</v>
      </c>
      <c r="F364" s="5">
        <v>0.183</v>
      </c>
      <c r="G364" s="5">
        <v>0.192</v>
      </c>
      <c r="H364" s="5">
        <v>0.20800000000000002</v>
      </c>
      <c r="I364" s="5">
        <v>0.23800000000000002</v>
      </c>
      <c r="J364" s="5">
        <v>0.27</v>
      </c>
      <c r="K364" s="5">
        <v>0.27800000000000002</v>
      </c>
      <c r="L364" s="5">
        <v>0.24199999999999999</v>
      </c>
      <c r="M364" s="5">
        <v>0.20199999999999999</v>
      </c>
      <c r="N364" s="5">
        <v>0.111</v>
      </c>
    </row>
    <row r="365" spans="1:14" x14ac:dyDescent="0.25">
      <c r="A365">
        <v>2014</v>
      </c>
      <c r="B365">
        <v>196</v>
      </c>
      <c r="C365" t="s">
        <v>108</v>
      </c>
      <c r="D365" t="s">
        <v>34</v>
      </c>
      <c r="E365" s="5">
        <v>0.21</v>
      </c>
      <c r="F365" s="5">
        <v>0.192</v>
      </c>
      <c r="G365" s="5">
        <v>0.26500000000000001</v>
      </c>
      <c r="H365" s="5">
        <v>0.29499999999999998</v>
      </c>
      <c r="I365" s="5">
        <v>0.24399999999999999</v>
      </c>
      <c r="J365" s="5">
        <v>0.25900000000000001</v>
      </c>
      <c r="K365" s="5">
        <v>0.24299999999999999</v>
      </c>
      <c r="L365" s="5">
        <v>0.218</v>
      </c>
      <c r="M365" s="5">
        <v>0.16699999999999998</v>
      </c>
      <c r="N365" s="5">
        <v>9.1999999999999998E-2</v>
      </c>
    </row>
    <row r="366" spans="1:14" x14ac:dyDescent="0.25">
      <c r="A366">
        <v>2014</v>
      </c>
      <c r="B366">
        <v>196</v>
      </c>
      <c r="C366" t="s">
        <v>108</v>
      </c>
      <c r="D366" t="s">
        <v>70</v>
      </c>
      <c r="E366" s="5">
        <v>0.19699999999999998</v>
      </c>
      <c r="F366" s="5">
        <v>0.20100000000000001</v>
      </c>
      <c r="G366" s="5">
        <v>0.23899999999999999</v>
      </c>
      <c r="H366" s="5">
        <v>0.25800000000000001</v>
      </c>
      <c r="I366" s="5">
        <v>0.26500000000000001</v>
      </c>
      <c r="J366" s="5">
        <v>0.28899999999999998</v>
      </c>
      <c r="K366" s="5">
        <v>0.309</v>
      </c>
      <c r="L366" s="5">
        <v>0.255</v>
      </c>
      <c r="M366" s="5">
        <v>0.20600000000000002</v>
      </c>
      <c r="N366" s="5">
        <v>0.122</v>
      </c>
    </row>
    <row r="367" spans="1:14" x14ac:dyDescent="0.25">
      <c r="A367">
        <v>2014</v>
      </c>
      <c r="B367">
        <v>196</v>
      </c>
      <c r="C367" t="s">
        <v>108</v>
      </c>
      <c r="D367" t="s">
        <v>69</v>
      </c>
      <c r="E367" s="5">
        <v>0.192</v>
      </c>
      <c r="F367" s="5">
        <v>0.22800000000000001</v>
      </c>
      <c r="G367" s="5">
        <v>0.245</v>
      </c>
      <c r="H367" s="5">
        <v>0.254</v>
      </c>
      <c r="I367" s="5">
        <v>0.27</v>
      </c>
      <c r="J367" s="5">
        <v>0.25600000000000001</v>
      </c>
      <c r="K367" s="5">
        <v>0.26700000000000002</v>
      </c>
      <c r="L367" s="5">
        <v>0.24</v>
      </c>
      <c r="M367" s="5">
        <v>0.22</v>
      </c>
      <c r="N367" s="5">
        <v>0.129</v>
      </c>
    </row>
    <row r="368" spans="1:14" x14ac:dyDescent="0.25">
      <c r="A368">
        <v>2014</v>
      </c>
      <c r="B368">
        <v>196</v>
      </c>
      <c r="C368" t="s">
        <v>108</v>
      </c>
      <c r="D368" t="s">
        <v>68</v>
      </c>
      <c r="E368" s="5">
        <v>0.20100000000000001</v>
      </c>
      <c r="F368" s="5">
        <v>0.19399999999999998</v>
      </c>
      <c r="G368" s="5">
        <v>0.20699999999999999</v>
      </c>
      <c r="H368" s="5">
        <v>0.21100000000000002</v>
      </c>
      <c r="I368" s="5">
        <v>0.248</v>
      </c>
      <c r="J368" s="5">
        <v>0.28100000000000003</v>
      </c>
      <c r="K368" s="5">
        <v>0.28800000000000003</v>
      </c>
      <c r="L368" s="5">
        <v>0.25900000000000001</v>
      </c>
      <c r="M368" s="5">
        <v>0.22</v>
      </c>
      <c r="N368" s="5">
        <v>0.128</v>
      </c>
    </row>
    <row r="369" spans="1:14" x14ac:dyDescent="0.25">
      <c r="A369">
        <v>2014</v>
      </c>
      <c r="B369">
        <v>196</v>
      </c>
      <c r="C369" t="s">
        <v>108</v>
      </c>
      <c r="D369" t="s">
        <v>67</v>
      </c>
      <c r="E369" s="5">
        <v>0.22500000000000001</v>
      </c>
      <c r="F369" s="5">
        <v>0.22800000000000001</v>
      </c>
      <c r="G369" s="5">
        <v>0.22699999999999998</v>
      </c>
      <c r="H369" s="5">
        <v>0.22899999999999998</v>
      </c>
      <c r="I369" s="5">
        <v>0.24600000000000002</v>
      </c>
      <c r="J369" s="5">
        <v>0.22699999999999998</v>
      </c>
      <c r="K369" s="5">
        <v>0.23399999999999999</v>
      </c>
      <c r="L369" s="5">
        <v>0.252</v>
      </c>
      <c r="M369" s="5">
        <v>0.19699999999999998</v>
      </c>
      <c r="N369" s="5">
        <v>0.106</v>
      </c>
    </row>
    <row r="370" spans="1:14" x14ac:dyDescent="0.25">
      <c r="A370">
        <v>2014</v>
      </c>
      <c r="B370">
        <v>196</v>
      </c>
      <c r="C370" t="s">
        <v>108</v>
      </c>
      <c r="D370" t="s">
        <v>66</v>
      </c>
      <c r="E370" s="5" t="s">
        <v>109</v>
      </c>
      <c r="F370" s="5" t="s">
        <v>109</v>
      </c>
      <c r="G370" s="5" t="s">
        <v>109</v>
      </c>
      <c r="H370" s="5" t="s">
        <v>109</v>
      </c>
      <c r="I370" s="5" t="s">
        <v>109</v>
      </c>
      <c r="J370" s="5">
        <v>0.28499999999999998</v>
      </c>
      <c r="K370" s="5">
        <v>0.26400000000000001</v>
      </c>
      <c r="L370" s="5">
        <v>0.20300000000000001</v>
      </c>
      <c r="M370" s="5">
        <v>0.17399999999999999</v>
      </c>
      <c r="N370" s="5">
        <v>0.111</v>
      </c>
    </row>
    <row r="371" spans="1:14" x14ac:dyDescent="0.25">
      <c r="A371">
        <v>2014</v>
      </c>
      <c r="B371">
        <v>196</v>
      </c>
      <c r="C371" t="s">
        <v>108</v>
      </c>
      <c r="D371" t="s">
        <v>65</v>
      </c>
      <c r="E371" s="5">
        <v>0.24100000000000002</v>
      </c>
      <c r="F371" s="5">
        <v>0.22600000000000001</v>
      </c>
      <c r="G371" s="5">
        <v>0.32400000000000001</v>
      </c>
      <c r="H371" s="5">
        <v>0.214</v>
      </c>
      <c r="I371" s="5">
        <v>0.23100000000000001</v>
      </c>
      <c r="J371" s="5">
        <v>0.252</v>
      </c>
      <c r="K371" s="5">
        <v>0.26899999999999996</v>
      </c>
      <c r="L371" s="5">
        <v>0.214</v>
      </c>
      <c r="M371" s="5">
        <v>0.16300000000000001</v>
      </c>
      <c r="N371" s="5">
        <v>8.8000000000000009E-2</v>
      </c>
    </row>
    <row r="372" spans="1:14" x14ac:dyDescent="0.25">
      <c r="A372">
        <v>2014</v>
      </c>
      <c r="B372">
        <v>196</v>
      </c>
      <c r="C372" t="s">
        <v>108</v>
      </c>
      <c r="D372" t="s">
        <v>71</v>
      </c>
      <c r="E372" s="5" t="s">
        <v>109</v>
      </c>
      <c r="F372" s="5">
        <v>0.22699999999999998</v>
      </c>
      <c r="G372" s="5">
        <v>0.25800000000000001</v>
      </c>
      <c r="H372" s="5">
        <v>0.26200000000000001</v>
      </c>
      <c r="I372" s="5">
        <v>0.26800000000000002</v>
      </c>
      <c r="J372" s="5">
        <v>0.29100000000000004</v>
      </c>
      <c r="K372" s="5">
        <v>0.22899999999999998</v>
      </c>
      <c r="L372" s="5">
        <v>0.20800000000000002</v>
      </c>
      <c r="M372" s="5">
        <v>0.19800000000000001</v>
      </c>
      <c r="N372" s="5">
        <v>0.11599999999999999</v>
      </c>
    </row>
    <row r="373" spans="1:14" x14ac:dyDescent="0.25">
      <c r="A373">
        <v>2014</v>
      </c>
      <c r="B373">
        <v>196</v>
      </c>
      <c r="C373" t="s">
        <v>108</v>
      </c>
      <c r="D373" t="s">
        <v>74</v>
      </c>
      <c r="E373" s="5" t="s">
        <v>109</v>
      </c>
      <c r="F373" s="5">
        <v>0.20100000000000001</v>
      </c>
      <c r="G373" s="5">
        <v>0.22399999999999998</v>
      </c>
      <c r="H373" s="5">
        <v>0.24100000000000002</v>
      </c>
      <c r="I373" s="5">
        <v>0.25700000000000001</v>
      </c>
      <c r="J373" s="5">
        <v>0.23300000000000001</v>
      </c>
      <c r="K373" s="5">
        <v>0.25900000000000001</v>
      </c>
      <c r="L373" s="5">
        <v>0.24</v>
      </c>
      <c r="M373" s="5">
        <v>0.20800000000000002</v>
      </c>
      <c r="N373" s="5">
        <v>0.13400000000000001</v>
      </c>
    </row>
    <row r="374" spans="1:14" x14ac:dyDescent="0.25">
      <c r="A374">
        <v>2014</v>
      </c>
      <c r="B374">
        <v>196</v>
      </c>
      <c r="C374" t="s">
        <v>108</v>
      </c>
      <c r="D374" t="s">
        <v>75</v>
      </c>
      <c r="E374" s="5" t="s">
        <v>109</v>
      </c>
      <c r="F374" s="5">
        <v>0.20600000000000002</v>
      </c>
      <c r="G374" s="5">
        <v>0.17699999999999999</v>
      </c>
      <c r="H374" s="5">
        <v>0.26</v>
      </c>
      <c r="I374" s="5">
        <v>0.253</v>
      </c>
      <c r="J374" s="5">
        <v>0.24299999999999999</v>
      </c>
      <c r="K374" s="5">
        <v>0.26600000000000001</v>
      </c>
      <c r="L374" s="5">
        <v>0.254</v>
      </c>
      <c r="M374" s="5">
        <v>0.23</v>
      </c>
      <c r="N374" s="5">
        <v>0.14499999999999999</v>
      </c>
    </row>
    <row r="375" spans="1:14" x14ac:dyDescent="0.25">
      <c r="A375">
        <v>2014</v>
      </c>
      <c r="B375">
        <v>196</v>
      </c>
      <c r="C375" t="s">
        <v>108</v>
      </c>
      <c r="D375" t="s">
        <v>76</v>
      </c>
      <c r="E375" s="5">
        <v>0.19500000000000001</v>
      </c>
      <c r="F375" s="5">
        <v>0.18</v>
      </c>
      <c r="G375" s="5">
        <v>0.188</v>
      </c>
      <c r="H375" s="5">
        <v>0.215</v>
      </c>
      <c r="I375" s="5">
        <v>0.26</v>
      </c>
      <c r="J375" s="5">
        <v>0.27300000000000002</v>
      </c>
      <c r="K375" s="5">
        <v>0.26300000000000001</v>
      </c>
      <c r="L375" s="5">
        <v>0.26899999999999996</v>
      </c>
      <c r="M375" s="5">
        <v>0.19399999999999998</v>
      </c>
      <c r="N375" s="5">
        <v>0.111</v>
      </c>
    </row>
    <row r="376" spans="1:14" x14ac:dyDescent="0.25">
      <c r="A376">
        <v>2014</v>
      </c>
      <c r="B376">
        <v>196</v>
      </c>
      <c r="C376" t="s">
        <v>108</v>
      </c>
      <c r="D376" t="s">
        <v>53</v>
      </c>
      <c r="E376" s="5">
        <v>0.25</v>
      </c>
      <c r="F376" s="5">
        <v>0.33399999999999996</v>
      </c>
      <c r="G376" s="5">
        <v>0.23</v>
      </c>
      <c r="H376" s="5">
        <v>0.245</v>
      </c>
      <c r="I376" s="5">
        <v>0.27600000000000002</v>
      </c>
      <c r="J376" s="5">
        <v>0.28699999999999998</v>
      </c>
      <c r="K376" s="5">
        <v>0.307</v>
      </c>
      <c r="L376" s="5">
        <v>0.245</v>
      </c>
      <c r="M376" s="5">
        <v>0.20399999999999999</v>
      </c>
      <c r="N376" s="5">
        <v>9.4E-2</v>
      </c>
    </row>
    <row r="377" spans="1:14" x14ac:dyDescent="0.25">
      <c r="A377">
        <v>2014</v>
      </c>
      <c r="B377">
        <v>196</v>
      </c>
      <c r="C377" t="s">
        <v>108</v>
      </c>
      <c r="D377" t="s">
        <v>77</v>
      </c>
      <c r="E377" s="5">
        <v>0.254</v>
      </c>
      <c r="F377" s="5">
        <v>0.26600000000000001</v>
      </c>
      <c r="G377" s="5">
        <v>0.26700000000000002</v>
      </c>
      <c r="H377" s="5">
        <v>0.24</v>
      </c>
      <c r="I377" s="5">
        <v>0.23300000000000001</v>
      </c>
      <c r="J377" s="5">
        <v>0.24</v>
      </c>
      <c r="K377" s="5">
        <v>0.19600000000000001</v>
      </c>
      <c r="L377" s="5">
        <v>0.23</v>
      </c>
      <c r="M377" s="5">
        <v>0.16600000000000001</v>
      </c>
      <c r="N377" s="5">
        <v>8.5999999999999993E-2</v>
      </c>
    </row>
    <row r="378" spans="1:14" x14ac:dyDescent="0.25">
      <c r="A378">
        <v>2014</v>
      </c>
      <c r="B378">
        <v>196</v>
      </c>
      <c r="C378" t="s">
        <v>108</v>
      </c>
      <c r="D378" t="s">
        <v>73</v>
      </c>
      <c r="E378" s="5" t="s">
        <v>109</v>
      </c>
      <c r="F378" s="5">
        <v>0.20899999999999999</v>
      </c>
      <c r="G378" s="5">
        <v>0.26400000000000001</v>
      </c>
      <c r="H378" s="5">
        <v>0.27399999999999997</v>
      </c>
      <c r="I378" s="5">
        <v>0.223</v>
      </c>
      <c r="J378" s="5">
        <v>0.245</v>
      </c>
      <c r="K378" s="5">
        <v>0.20800000000000002</v>
      </c>
      <c r="L378" s="5">
        <v>0.185</v>
      </c>
      <c r="M378" s="5">
        <v>0.17</v>
      </c>
      <c r="N378" s="5">
        <v>8.5000000000000006E-2</v>
      </c>
    </row>
    <row r="379" spans="1:14" x14ac:dyDescent="0.25">
      <c r="A379">
        <v>2014</v>
      </c>
      <c r="B379">
        <v>196</v>
      </c>
      <c r="C379" t="s">
        <v>108</v>
      </c>
      <c r="D379" t="s">
        <v>81</v>
      </c>
      <c r="E379" s="5" t="s">
        <v>109</v>
      </c>
      <c r="F379" s="5" t="s">
        <v>109</v>
      </c>
      <c r="G379" s="5">
        <v>0.26300000000000001</v>
      </c>
      <c r="H379" s="5">
        <v>0.28199999999999997</v>
      </c>
      <c r="I379" s="5">
        <v>0.29899999999999999</v>
      </c>
      <c r="J379" s="5">
        <v>0.28499999999999998</v>
      </c>
      <c r="K379" s="5">
        <v>0.22500000000000001</v>
      </c>
      <c r="L379" s="5">
        <v>0.17199999999999999</v>
      </c>
      <c r="M379" s="5">
        <v>0.17</v>
      </c>
      <c r="N379" s="5">
        <v>9.8000000000000004E-2</v>
      </c>
    </row>
    <row r="380" spans="1:14" x14ac:dyDescent="0.25">
      <c r="A380">
        <v>2014</v>
      </c>
      <c r="B380">
        <v>196</v>
      </c>
      <c r="C380" t="s">
        <v>108</v>
      </c>
      <c r="D380" t="s">
        <v>80</v>
      </c>
      <c r="E380" s="5" t="s">
        <v>109</v>
      </c>
      <c r="F380" s="5" t="s">
        <v>109</v>
      </c>
      <c r="G380" s="5">
        <v>0.23399999999999999</v>
      </c>
      <c r="H380" s="5">
        <v>0.26300000000000001</v>
      </c>
      <c r="I380" s="5">
        <v>0.26700000000000002</v>
      </c>
      <c r="J380" s="5">
        <v>0.28000000000000003</v>
      </c>
      <c r="K380" s="5">
        <v>0.26700000000000002</v>
      </c>
      <c r="L380" s="5">
        <v>0.20699999999999999</v>
      </c>
      <c r="M380" s="5">
        <v>0.17600000000000002</v>
      </c>
      <c r="N380" s="5">
        <v>0.11599999999999999</v>
      </c>
    </row>
    <row r="381" spans="1:14" x14ac:dyDescent="0.25">
      <c r="A381">
        <v>2014</v>
      </c>
      <c r="B381">
        <v>196</v>
      </c>
      <c r="C381" t="s">
        <v>108</v>
      </c>
      <c r="D381" t="s">
        <v>79</v>
      </c>
      <c r="E381" s="5" t="s">
        <v>109</v>
      </c>
      <c r="F381" s="5" t="s">
        <v>109</v>
      </c>
      <c r="G381" s="5">
        <v>0.222</v>
      </c>
      <c r="H381" s="5">
        <v>0.27600000000000002</v>
      </c>
      <c r="I381" s="5">
        <v>0.29399999999999998</v>
      </c>
      <c r="J381" s="5">
        <v>0.308</v>
      </c>
      <c r="K381" s="5">
        <v>0.27899999999999997</v>
      </c>
      <c r="L381" s="5">
        <v>0.22500000000000001</v>
      </c>
      <c r="M381" s="5">
        <v>0.161</v>
      </c>
      <c r="N381" s="5">
        <v>9.4E-2</v>
      </c>
    </row>
    <row r="382" spans="1:14" x14ac:dyDescent="0.25">
      <c r="A382">
        <v>2014</v>
      </c>
      <c r="B382">
        <v>196</v>
      </c>
      <c r="C382" t="s">
        <v>108</v>
      </c>
      <c r="D382" t="s">
        <v>78</v>
      </c>
      <c r="E382" s="5" t="s">
        <v>109</v>
      </c>
      <c r="F382" s="5" t="s">
        <v>109</v>
      </c>
      <c r="G382" s="5">
        <v>0.22</v>
      </c>
      <c r="H382" s="5">
        <v>0.24</v>
      </c>
      <c r="I382" s="5">
        <v>0.26100000000000001</v>
      </c>
      <c r="J382" s="5">
        <v>0.27</v>
      </c>
      <c r="K382" s="5">
        <v>0.24</v>
      </c>
      <c r="L382" s="5">
        <v>0.187</v>
      </c>
      <c r="M382" s="5">
        <v>0.16500000000000001</v>
      </c>
      <c r="N382" s="5">
        <v>8.6999999999999994E-2</v>
      </c>
    </row>
    <row r="383" spans="1:14" x14ac:dyDescent="0.25">
      <c r="A383">
        <v>2014</v>
      </c>
      <c r="B383">
        <v>196</v>
      </c>
      <c r="C383" t="s">
        <v>108</v>
      </c>
      <c r="D383" t="s">
        <v>54</v>
      </c>
      <c r="E383" s="5" t="s">
        <v>109</v>
      </c>
      <c r="F383" s="5" t="s">
        <v>109</v>
      </c>
      <c r="G383" s="5">
        <v>0.23600000000000002</v>
      </c>
      <c r="H383" s="5">
        <v>0.22399999999999998</v>
      </c>
      <c r="I383" s="5">
        <v>0.25</v>
      </c>
      <c r="J383" s="5">
        <v>0.24299999999999999</v>
      </c>
      <c r="K383" s="5">
        <v>0.23199999999999998</v>
      </c>
      <c r="L383" s="5">
        <v>0.214</v>
      </c>
      <c r="M383" s="5">
        <v>0.16600000000000001</v>
      </c>
      <c r="N383" s="5">
        <v>5.7000000000000002E-2</v>
      </c>
    </row>
    <row r="384" spans="1:14" x14ac:dyDescent="0.25">
      <c r="A384">
        <v>2014</v>
      </c>
      <c r="B384">
        <v>196</v>
      </c>
      <c r="C384" t="s">
        <v>108</v>
      </c>
      <c r="D384" t="s">
        <v>35</v>
      </c>
      <c r="E384" s="5" t="s">
        <v>109</v>
      </c>
      <c r="F384" s="5">
        <v>0.24199999999999999</v>
      </c>
      <c r="G384" s="5">
        <v>0.22600000000000001</v>
      </c>
      <c r="H384" s="5">
        <v>0.19500000000000001</v>
      </c>
      <c r="I384" s="5">
        <v>0.17600000000000002</v>
      </c>
      <c r="J384" s="5">
        <v>0.17100000000000001</v>
      </c>
      <c r="K384" s="5">
        <v>0.16500000000000001</v>
      </c>
      <c r="L384" s="5">
        <v>0.191</v>
      </c>
      <c r="M384" s="5">
        <v>0.185</v>
      </c>
      <c r="N384" s="5">
        <v>0.114</v>
      </c>
    </row>
    <row r="385" spans="1:14" x14ac:dyDescent="0.25">
      <c r="A385">
        <v>2014</v>
      </c>
      <c r="B385">
        <v>196</v>
      </c>
      <c r="C385" t="s">
        <v>108</v>
      </c>
      <c r="D385" t="s">
        <v>37</v>
      </c>
      <c r="E385" s="5" t="s">
        <v>109</v>
      </c>
      <c r="F385" s="5">
        <v>0.252</v>
      </c>
      <c r="G385" s="5">
        <v>0.25600000000000001</v>
      </c>
      <c r="H385" s="5">
        <v>0.25600000000000001</v>
      </c>
      <c r="I385" s="5">
        <v>0.24600000000000002</v>
      </c>
      <c r="J385" s="5">
        <v>0.25600000000000001</v>
      </c>
      <c r="K385" s="5">
        <v>0.22500000000000001</v>
      </c>
      <c r="L385" s="5">
        <v>0.185</v>
      </c>
      <c r="M385" s="5">
        <v>0.183</v>
      </c>
      <c r="N385" s="5">
        <v>0.129</v>
      </c>
    </row>
    <row r="386" spans="1:14" x14ac:dyDescent="0.25">
      <c r="A386">
        <v>2014</v>
      </c>
      <c r="B386">
        <v>196</v>
      </c>
      <c r="C386" t="s">
        <v>108</v>
      </c>
      <c r="D386" t="s">
        <v>40</v>
      </c>
      <c r="E386" s="5" t="s">
        <v>109</v>
      </c>
      <c r="F386" s="5">
        <v>0.20399999999999999</v>
      </c>
      <c r="G386" s="5">
        <v>0.22399999999999998</v>
      </c>
      <c r="H386" s="5">
        <v>0.22500000000000001</v>
      </c>
      <c r="I386" s="5">
        <v>0.23600000000000002</v>
      </c>
      <c r="J386" s="5">
        <v>0.214</v>
      </c>
      <c r="K386" s="5">
        <v>0.193</v>
      </c>
      <c r="L386" s="5">
        <v>0.16300000000000001</v>
      </c>
      <c r="M386" s="5">
        <v>0.188</v>
      </c>
      <c r="N386" s="5">
        <v>0.127</v>
      </c>
    </row>
    <row r="387" spans="1:14" x14ac:dyDescent="0.25">
      <c r="A387">
        <v>2014</v>
      </c>
      <c r="B387">
        <v>196</v>
      </c>
      <c r="C387" t="s">
        <v>108</v>
      </c>
      <c r="D387" t="s">
        <v>41</v>
      </c>
      <c r="E387" s="5" t="s">
        <v>109</v>
      </c>
      <c r="F387" s="5">
        <v>0.24100000000000002</v>
      </c>
      <c r="G387" s="5">
        <v>0.254</v>
      </c>
      <c r="H387" s="5">
        <v>0.21299999999999999</v>
      </c>
      <c r="I387" s="5">
        <v>0.19500000000000001</v>
      </c>
      <c r="J387" s="5">
        <v>0.21199999999999999</v>
      </c>
      <c r="K387" s="5">
        <v>0.24</v>
      </c>
      <c r="L387" s="5">
        <v>0.20699999999999999</v>
      </c>
      <c r="M387" s="5">
        <v>0.17199999999999999</v>
      </c>
      <c r="N387" s="5">
        <v>0.11</v>
      </c>
    </row>
    <row r="388" spans="1:14" x14ac:dyDescent="0.25">
      <c r="A388">
        <v>2014</v>
      </c>
      <c r="B388">
        <v>196</v>
      </c>
      <c r="C388" t="s">
        <v>108</v>
      </c>
      <c r="D388" t="s">
        <v>43</v>
      </c>
      <c r="E388" s="5">
        <v>0.25800000000000001</v>
      </c>
      <c r="F388" s="5">
        <v>0.24</v>
      </c>
      <c r="G388" s="5">
        <v>0.18899999999999997</v>
      </c>
      <c r="H388" s="5">
        <v>0.17499999999999999</v>
      </c>
      <c r="I388" s="5">
        <v>0.17399999999999999</v>
      </c>
      <c r="J388" s="5">
        <v>0.17100000000000001</v>
      </c>
      <c r="K388" s="5">
        <v>0.154</v>
      </c>
      <c r="L388" s="5">
        <v>0.13699999999999998</v>
      </c>
      <c r="M388" s="5">
        <v>0.14300000000000002</v>
      </c>
      <c r="N388" s="5">
        <v>8.5999999999999993E-2</v>
      </c>
    </row>
    <row r="389" spans="1:14" x14ac:dyDescent="0.25">
      <c r="A389">
        <v>2014</v>
      </c>
      <c r="B389">
        <v>196</v>
      </c>
      <c r="C389" t="s">
        <v>108</v>
      </c>
      <c r="D389" t="s">
        <v>44</v>
      </c>
      <c r="E389" s="5" t="s">
        <v>109</v>
      </c>
      <c r="F389" s="5">
        <v>0.23399999999999999</v>
      </c>
      <c r="G389" s="5">
        <v>0.17399999999999999</v>
      </c>
      <c r="H389" s="5">
        <v>0.17100000000000001</v>
      </c>
      <c r="I389" s="5">
        <v>0.14400000000000002</v>
      </c>
      <c r="J389" s="5">
        <v>0.13300000000000001</v>
      </c>
      <c r="K389" s="5">
        <v>0.13</v>
      </c>
      <c r="L389" s="5">
        <v>0.13400000000000001</v>
      </c>
      <c r="M389" s="5">
        <v>0.14599999999999999</v>
      </c>
      <c r="N389" s="5">
        <v>8.5000000000000006E-2</v>
      </c>
    </row>
    <row r="390" spans="1:14" x14ac:dyDescent="0.25">
      <c r="A390">
        <v>2014</v>
      </c>
      <c r="B390">
        <v>196</v>
      </c>
      <c r="C390" t="s">
        <v>108</v>
      </c>
      <c r="D390" t="s">
        <v>38</v>
      </c>
      <c r="E390" s="5">
        <v>0.22800000000000001</v>
      </c>
      <c r="F390" s="5">
        <v>0.23499999999999999</v>
      </c>
      <c r="G390" s="5">
        <v>0.25900000000000001</v>
      </c>
      <c r="H390" s="5">
        <v>0.27200000000000002</v>
      </c>
      <c r="I390" s="5">
        <v>0.252</v>
      </c>
      <c r="J390" s="5">
        <v>0.22699999999999998</v>
      </c>
      <c r="K390" s="5">
        <v>0.17499999999999999</v>
      </c>
      <c r="L390" s="5">
        <v>0.18899999999999997</v>
      </c>
      <c r="M390" s="5">
        <v>0.17699999999999999</v>
      </c>
      <c r="N390" s="5">
        <v>0.11699999999999999</v>
      </c>
    </row>
    <row r="391" spans="1:14" x14ac:dyDescent="0.25">
      <c r="A391">
        <v>2014</v>
      </c>
      <c r="B391">
        <v>196</v>
      </c>
      <c r="C391" t="s">
        <v>108</v>
      </c>
      <c r="D391" t="s">
        <v>85</v>
      </c>
      <c r="E391" s="5">
        <v>0.215</v>
      </c>
      <c r="F391" s="5">
        <v>0.20699999999999999</v>
      </c>
      <c r="G391" s="5">
        <v>0.23899999999999999</v>
      </c>
      <c r="H391" s="5">
        <v>0.253</v>
      </c>
      <c r="I391" s="5">
        <v>0.26500000000000001</v>
      </c>
      <c r="J391" s="5">
        <v>0.26</v>
      </c>
      <c r="K391" s="5">
        <v>0.24399999999999999</v>
      </c>
      <c r="L391" s="5">
        <v>0.20199999999999999</v>
      </c>
      <c r="M391" s="5">
        <v>0.20199999999999999</v>
      </c>
      <c r="N391" s="5">
        <v>0.13</v>
      </c>
    </row>
    <row r="392" spans="1:14" x14ac:dyDescent="0.25">
      <c r="A392">
        <v>2014</v>
      </c>
      <c r="B392">
        <v>196</v>
      </c>
      <c r="C392" t="s">
        <v>108</v>
      </c>
      <c r="D392" t="s">
        <v>84</v>
      </c>
      <c r="E392" s="5" t="s">
        <v>109</v>
      </c>
      <c r="F392" s="5">
        <v>0.23600000000000002</v>
      </c>
      <c r="G392" s="5">
        <v>0.26300000000000001</v>
      </c>
      <c r="H392" s="5">
        <v>0.26300000000000001</v>
      </c>
      <c r="I392" s="5">
        <v>0.26899999999999996</v>
      </c>
      <c r="J392" s="5">
        <v>0.26600000000000001</v>
      </c>
      <c r="K392" s="5">
        <v>0.26</v>
      </c>
      <c r="L392" s="5">
        <v>0.183</v>
      </c>
      <c r="M392" s="5">
        <v>0.17300000000000001</v>
      </c>
      <c r="N392" s="5">
        <v>0.113</v>
      </c>
    </row>
    <row r="393" spans="1:14" x14ac:dyDescent="0.25">
      <c r="A393">
        <v>2014</v>
      </c>
      <c r="B393">
        <v>196</v>
      </c>
      <c r="C393" t="s">
        <v>108</v>
      </c>
      <c r="D393" t="s">
        <v>42</v>
      </c>
      <c r="E393" s="5" t="s">
        <v>109</v>
      </c>
      <c r="F393" s="5">
        <v>0.253</v>
      </c>
      <c r="G393" s="5">
        <v>0.247</v>
      </c>
      <c r="H393" s="5">
        <v>0.26600000000000001</v>
      </c>
      <c r="I393" s="5">
        <v>0.25900000000000001</v>
      </c>
      <c r="J393" s="5">
        <v>0.26899999999999996</v>
      </c>
      <c r="K393" s="5">
        <v>0.27500000000000002</v>
      </c>
      <c r="L393" s="5">
        <v>0.22600000000000001</v>
      </c>
      <c r="M393" s="5">
        <v>0.185</v>
      </c>
      <c r="N393" s="5">
        <v>0.11800000000000001</v>
      </c>
    </row>
    <row r="394" spans="1:14" x14ac:dyDescent="0.25">
      <c r="A394">
        <v>2014</v>
      </c>
      <c r="B394">
        <v>196</v>
      </c>
      <c r="C394" t="s">
        <v>108</v>
      </c>
      <c r="D394" t="s">
        <v>83</v>
      </c>
      <c r="E394" s="5">
        <v>0.18</v>
      </c>
      <c r="F394" s="5">
        <v>0.17699999999999999</v>
      </c>
      <c r="G394" s="5">
        <v>0.247</v>
      </c>
      <c r="H394" s="5">
        <v>0.28199999999999997</v>
      </c>
      <c r="I394" s="5">
        <v>0.26300000000000001</v>
      </c>
      <c r="J394" s="5">
        <v>0.215</v>
      </c>
      <c r="K394" s="5">
        <v>0.17100000000000001</v>
      </c>
      <c r="L394" s="5">
        <v>0.14499999999999999</v>
      </c>
      <c r="M394" s="5">
        <v>0.14300000000000002</v>
      </c>
      <c r="N394" s="5">
        <v>8.6999999999999994E-2</v>
      </c>
    </row>
    <row r="395" spans="1:14" x14ac:dyDescent="0.25">
      <c r="A395">
        <v>2014</v>
      </c>
      <c r="B395">
        <v>196</v>
      </c>
      <c r="C395" t="s">
        <v>108</v>
      </c>
      <c r="D395" t="s">
        <v>82</v>
      </c>
      <c r="E395" s="5">
        <v>0.17300000000000001</v>
      </c>
      <c r="F395" s="5">
        <v>0.17499999999999999</v>
      </c>
      <c r="G395" s="5">
        <v>0.17600000000000002</v>
      </c>
      <c r="H395" s="5">
        <v>0.218</v>
      </c>
      <c r="I395" s="5">
        <v>0.27</v>
      </c>
      <c r="J395" s="5">
        <v>0.24100000000000002</v>
      </c>
      <c r="K395" s="5">
        <v>0.21</v>
      </c>
      <c r="L395" s="5">
        <v>0.16300000000000001</v>
      </c>
      <c r="M395" s="5">
        <v>0.151</v>
      </c>
      <c r="N395" s="5">
        <v>8.8000000000000009E-2</v>
      </c>
    </row>
    <row r="396" spans="1:14" x14ac:dyDescent="0.25">
      <c r="A396">
        <v>2014</v>
      </c>
      <c r="B396">
        <v>196</v>
      </c>
      <c r="C396" t="s">
        <v>108</v>
      </c>
      <c r="D396" t="s">
        <v>72</v>
      </c>
      <c r="E396" s="5" t="s">
        <v>109</v>
      </c>
      <c r="F396" s="5">
        <v>0.24100000000000002</v>
      </c>
      <c r="G396" s="5">
        <v>0.248</v>
      </c>
      <c r="H396" s="5">
        <v>0.26700000000000002</v>
      </c>
      <c r="I396" s="5">
        <v>0.24299999999999999</v>
      </c>
      <c r="J396" s="5">
        <v>0.17</v>
      </c>
      <c r="K396" s="5">
        <v>0.14800000000000002</v>
      </c>
      <c r="L396" s="5">
        <v>0.17300000000000001</v>
      </c>
      <c r="M396" s="5">
        <v>0.16800000000000001</v>
      </c>
      <c r="N396" s="5">
        <v>9.6000000000000002E-2</v>
      </c>
    </row>
    <row r="397" spans="1:14" x14ac:dyDescent="0.25">
      <c r="A397">
        <v>2014</v>
      </c>
      <c r="B397">
        <v>196</v>
      </c>
      <c r="C397" t="s">
        <v>108</v>
      </c>
      <c r="D397" t="s">
        <v>39</v>
      </c>
      <c r="E397" s="5">
        <v>0.21100000000000002</v>
      </c>
      <c r="F397" s="5">
        <v>0.20800000000000002</v>
      </c>
      <c r="G397" s="5">
        <v>0.20300000000000001</v>
      </c>
      <c r="H397" s="5">
        <v>0.254</v>
      </c>
      <c r="I397" s="5">
        <v>0.26</v>
      </c>
      <c r="J397" s="5">
        <v>0.23399999999999999</v>
      </c>
      <c r="K397" s="5">
        <v>0.23600000000000002</v>
      </c>
      <c r="L397" s="5">
        <v>0.20699999999999999</v>
      </c>
      <c r="M397" s="5">
        <v>0.18899999999999997</v>
      </c>
      <c r="N397" s="5">
        <v>0.126</v>
      </c>
    </row>
    <row r="398" spans="1:14" x14ac:dyDescent="0.25">
      <c r="A398">
        <v>2014</v>
      </c>
      <c r="B398">
        <v>196</v>
      </c>
      <c r="C398" t="s">
        <v>108</v>
      </c>
      <c r="D398" t="s">
        <v>86</v>
      </c>
      <c r="E398" s="5">
        <v>0.17100000000000001</v>
      </c>
      <c r="F398" s="5">
        <v>0.183</v>
      </c>
      <c r="G398" s="5">
        <v>0.23499999999999999</v>
      </c>
      <c r="H398" s="5">
        <v>0.24299999999999999</v>
      </c>
      <c r="I398" s="5">
        <v>0.25</v>
      </c>
      <c r="J398" s="5">
        <v>0.22500000000000001</v>
      </c>
      <c r="K398" s="5">
        <v>0.21100000000000002</v>
      </c>
      <c r="L398" s="5">
        <v>0.19800000000000001</v>
      </c>
      <c r="M398" s="5">
        <v>0.2</v>
      </c>
      <c r="N398" s="5">
        <v>0.13900000000000001</v>
      </c>
    </row>
    <row r="399" spans="1:14" x14ac:dyDescent="0.25">
      <c r="A399">
        <v>2014</v>
      </c>
      <c r="B399">
        <v>196</v>
      </c>
      <c r="C399" t="s">
        <v>108</v>
      </c>
      <c r="D399" t="s">
        <v>87</v>
      </c>
      <c r="E399" s="5" t="s">
        <v>109</v>
      </c>
      <c r="F399" s="5">
        <v>0.192</v>
      </c>
      <c r="G399" s="5">
        <v>0.214</v>
      </c>
      <c r="H399" s="5">
        <v>0.25700000000000001</v>
      </c>
      <c r="I399" s="5">
        <v>0.248</v>
      </c>
      <c r="J399" s="5">
        <v>0.25</v>
      </c>
      <c r="K399" s="5">
        <v>0.22</v>
      </c>
      <c r="L399" s="5">
        <v>0.17699999999999999</v>
      </c>
      <c r="M399" s="5">
        <v>0.17300000000000001</v>
      </c>
      <c r="N399" s="5">
        <v>0.10400000000000001</v>
      </c>
    </row>
    <row r="400" spans="1:14" x14ac:dyDescent="0.25">
      <c r="A400">
        <v>2014</v>
      </c>
      <c r="B400">
        <v>196</v>
      </c>
      <c r="C400" t="s">
        <v>108</v>
      </c>
      <c r="D400" t="s">
        <v>88</v>
      </c>
      <c r="E400" s="5">
        <v>0.22800000000000001</v>
      </c>
      <c r="F400" s="5">
        <v>0.218</v>
      </c>
      <c r="G400" s="5">
        <v>0.223</v>
      </c>
      <c r="H400" s="5">
        <v>0.23100000000000001</v>
      </c>
      <c r="I400" s="5">
        <v>0.23600000000000002</v>
      </c>
      <c r="J400" s="5">
        <v>0.22500000000000001</v>
      </c>
      <c r="K400" s="5">
        <v>0.20499999999999999</v>
      </c>
      <c r="L400" s="5">
        <v>0.15</v>
      </c>
      <c r="M400" s="5">
        <v>0.156</v>
      </c>
      <c r="N400" s="5">
        <v>9.8000000000000004E-2</v>
      </c>
    </row>
    <row r="401" spans="1:14" x14ac:dyDescent="0.25">
      <c r="A401">
        <v>2014</v>
      </c>
      <c r="B401">
        <v>196</v>
      </c>
      <c r="C401" t="s">
        <v>108</v>
      </c>
      <c r="D401" t="s">
        <v>36</v>
      </c>
      <c r="E401" s="5">
        <v>0.158</v>
      </c>
      <c r="F401" s="5">
        <v>0.16200000000000001</v>
      </c>
      <c r="G401" s="5">
        <v>0.183</v>
      </c>
      <c r="H401" s="5">
        <v>0.215</v>
      </c>
      <c r="I401" s="5">
        <v>0.23399999999999999</v>
      </c>
      <c r="J401" s="5">
        <v>0.19699999999999998</v>
      </c>
      <c r="K401" s="5">
        <v>0.16600000000000001</v>
      </c>
      <c r="L401" s="5">
        <v>0.16</v>
      </c>
      <c r="M401" s="5">
        <v>0.159</v>
      </c>
      <c r="N401" s="5">
        <v>9.3000000000000013E-2</v>
      </c>
    </row>
    <row r="402" spans="1:14" x14ac:dyDescent="0.25">
      <c r="A402">
        <v>2014</v>
      </c>
      <c r="B402">
        <v>196</v>
      </c>
      <c r="C402" t="s">
        <v>108</v>
      </c>
      <c r="D402" t="s">
        <v>94</v>
      </c>
      <c r="E402" s="5" t="s">
        <v>109</v>
      </c>
      <c r="F402" s="5">
        <v>0.21899999999999997</v>
      </c>
      <c r="G402" s="5">
        <v>0.218</v>
      </c>
      <c r="H402" s="5">
        <v>0.22</v>
      </c>
      <c r="I402" s="5">
        <v>0.19600000000000001</v>
      </c>
      <c r="J402" s="5">
        <v>0.14300000000000002</v>
      </c>
      <c r="K402" s="5">
        <v>0.129</v>
      </c>
      <c r="L402" s="5">
        <v>0.153</v>
      </c>
      <c r="M402" s="5">
        <v>0.14899999999999999</v>
      </c>
      <c r="N402" s="5">
        <v>9.0999999999999998E-2</v>
      </c>
    </row>
    <row r="403" spans="1:14" x14ac:dyDescent="0.25">
      <c r="A403">
        <v>2014</v>
      </c>
      <c r="B403">
        <v>196</v>
      </c>
      <c r="C403" t="s">
        <v>108</v>
      </c>
      <c r="D403" t="s">
        <v>93</v>
      </c>
      <c r="E403" s="5">
        <v>0.21600000000000003</v>
      </c>
      <c r="F403" s="5">
        <v>0.221</v>
      </c>
      <c r="G403" s="5">
        <v>0.22399999999999998</v>
      </c>
      <c r="H403" s="5">
        <v>0.22699999999999998</v>
      </c>
      <c r="I403" s="5">
        <v>0.187</v>
      </c>
      <c r="J403" s="5">
        <v>0.14199999999999999</v>
      </c>
      <c r="K403" s="5">
        <v>0.125</v>
      </c>
      <c r="L403" s="5">
        <v>0.158</v>
      </c>
      <c r="M403" s="5">
        <v>0.16800000000000001</v>
      </c>
      <c r="N403" s="5">
        <v>0.10800000000000001</v>
      </c>
    </row>
    <row r="404" spans="1:14" x14ac:dyDescent="0.25">
      <c r="A404">
        <v>2014</v>
      </c>
      <c r="B404">
        <v>196</v>
      </c>
      <c r="C404" t="s">
        <v>108</v>
      </c>
      <c r="D404" t="s">
        <v>92</v>
      </c>
      <c r="E404" s="5" t="s">
        <v>109</v>
      </c>
      <c r="F404" s="5">
        <v>0.2</v>
      </c>
      <c r="G404" s="5">
        <v>0.24</v>
      </c>
      <c r="H404" s="5">
        <v>0.24600000000000002</v>
      </c>
      <c r="I404" s="5">
        <v>0.22500000000000001</v>
      </c>
      <c r="J404" s="5">
        <v>0.20499999999999999</v>
      </c>
      <c r="K404" s="5">
        <v>0.16600000000000001</v>
      </c>
      <c r="L404" s="5">
        <v>0.187</v>
      </c>
      <c r="M404" s="5">
        <v>0.185</v>
      </c>
      <c r="N404" s="5">
        <v>0.11900000000000001</v>
      </c>
    </row>
    <row r="405" spans="1:14" x14ac:dyDescent="0.25">
      <c r="A405">
        <v>2014</v>
      </c>
      <c r="B405">
        <v>196</v>
      </c>
      <c r="C405" t="s">
        <v>108</v>
      </c>
      <c r="D405" t="s">
        <v>91</v>
      </c>
      <c r="E405" s="5">
        <v>0.16699999999999998</v>
      </c>
      <c r="F405" s="5">
        <v>0.19500000000000001</v>
      </c>
      <c r="G405" s="5">
        <v>0.254</v>
      </c>
      <c r="H405" s="5">
        <v>0.26300000000000001</v>
      </c>
      <c r="I405" s="5">
        <v>0.25800000000000001</v>
      </c>
      <c r="J405" s="5">
        <v>0.26500000000000001</v>
      </c>
      <c r="K405" s="5">
        <v>0.24</v>
      </c>
      <c r="L405" s="5">
        <v>0.21100000000000002</v>
      </c>
      <c r="M405" s="5">
        <v>0.18</v>
      </c>
      <c r="N405" s="5">
        <v>0.10400000000000001</v>
      </c>
    </row>
    <row r="406" spans="1:14" x14ac:dyDescent="0.25">
      <c r="A406">
        <v>2014</v>
      </c>
      <c r="B406">
        <v>196</v>
      </c>
      <c r="C406" t="s">
        <v>108</v>
      </c>
      <c r="D406" t="s">
        <v>90</v>
      </c>
      <c r="E406" s="5">
        <v>0.19899999999999998</v>
      </c>
      <c r="F406" s="5">
        <v>0.20499999999999999</v>
      </c>
      <c r="G406" s="5">
        <v>0.19500000000000001</v>
      </c>
      <c r="H406" s="5">
        <v>0.217</v>
      </c>
      <c r="I406" s="5">
        <v>0.22699999999999998</v>
      </c>
      <c r="J406" s="5">
        <v>0.22800000000000001</v>
      </c>
      <c r="K406" s="5">
        <v>0.21100000000000002</v>
      </c>
      <c r="L406" s="5">
        <v>0.17</v>
      </c>
      <c r="M406" s="5">
        <v>0.16</v>
      </c>
      <c r="N406" s="5">
        <v>8.8000000000000009E-2</v>
      </c>
    </row>
    <row r="407" spans="1:14" x14ac:dyDescent="0.25">
      <c r="A407">
        <v>2014</v>
      </c>
      <c r="B407">
        <v>196</v>
      </c>
      <c r="C407" t="s">
        <v>108</v>
      </c>
      <c r="D407" t="s">
        <v>89</v>
      </c>
      <c r="E407" s="5">
        <v>0.17499999999999999</v>
      </c>
      <c r="F407" s="5">
        <v>0.17600000000000002</v>
      </c>
      <c r="G407" s="5">
        <v>0.214</v>
      </c>
      <c r="H407" s="5">
        <v>0.251</v>
      </c>
      <c r="I407" s="5">
        <v>0.251</v>
      </c>
      <c r="J407" s="5">
        <v>0.23199999999999998</v>
      </c>
      <c r="K407" s="5">
        <v>0.217</v>
      </c>
      <c r="L407" s="5">
        <v>0.17100000000000001</v>
      </c>
      <c r="M407" s="5">
        <v>0.153</v>
      </c>
      <c r="N407" s="5">
        <v>8.8000000000000009E-2</v>
      </c>
    </row>
    <row r="408" spans="1:14" x14ac:dyDescent="0.25">
      <c r="A408">
        <v>2014</v>
      </c>
      <c r="B408">
        <v>196</v>
      </c>
      <c r="C408" t="s">
        <v>108</v>
      </c>
      <c r="D408" t="s">
        <v>45</v>
      </c>
      <c r="E408" s="5">
        <v>0.23399999999999999</v>
      </c>
      <c r="F408" s="5">
        <v>0.22699999999999998</v>
      </c>
      <c r="G408" s="5">
        <v>0.22399999999999998</v>
      </c>
      <c r="H408" s="5">
        <v>0.23399999999999999</v>
      </c>
      <c r="I408" s="5">
        <v>0.23399999999999999</v>
      </c>
      <c r="J408" s="5">
        <v>0.19500000000000001</v>
      </c>
      <c r="K408" s="5">
        <v>0.18</v>
      </c>
      <c r="L408" s="5">
        <v>0.17499999999999999</v>
      </c>
      <c r="M408" s="5">
        <v>0.17600000000000002</v>
      </c>
      <c r="N408" s="5">
        <v>0.11199999999999999</v>
      </c>
    </row>
    <row r="409" spans="1:14" x14ac:dyDescent="0.25">
      <c r="A409">
        <v>2014</v>
      </c>
      <c r="B409">
        <v>196</v>
      </c>
      <c r="C409" t="s">
        <v>108</v>
      </c>
      <c r="D409" t="s">
        <v>46</v>
      </c>
      <c r="E409" s="5">
        <v>0.23399999999999999</v>
      </c>
      <c r="F409" s="5">
        <v>0.23899999999999999</v>
      </c>
      <c r="G409" s="5">
        <v>0.245</v>
      </c>
      <c r="H409" s="5">
        <v>0.251</v>
      </c>
      <c r="I409" s="5">
        <v>0.24399999999999999</v>
      </c>
      <c r="J409" s="5">
        <v>0.22800000000000001</v>
      </c>
      <c r="K409" s="5">
        <v>0.214</v>
      </c>
      <c r="L409" s="5">
        <v>0.20699999999999999</v>
      </c>
      <c r="M409" s="5">
        <v>0.20899999999999999</v>
      </c>
      <c r="N409" s="5">
        <v>0.13400000000000001</v>
      </c>
    </row>
    <row r="410" spans="1:14" x14ac:dyDescent="0.25">
      <c r="A410">
        <v>2014</v>
      </c>
      <c r="B410">
        <v>196</v>
      </c>
      <c r="C410" t="s">
        <v>108</v>
      </c>
      <c r="D410" t="s">
        <v>47</v>
      </c>
      <c r="E410" s="5">
        <v>0.22399999999999998</v>
      </c>
      <c r="F410" s="5">
        <v>0.20499999999999999</v>
      </c>
      <c r="G410" s="5">
        <v>0.22699999999999998</v>
      </c>
      <c r="H410" s="5">
        <v>0.23399999999999999</v>
      </c>
      <c r="I410" s="5">
        <v>0.217</v>
      </c>
      <c r="J410" s="5">
        <v>0.20600000000000002</v>
      </c>
      <c r="K410" s="5">
        <v>0.20100000000000001</v>
      </c>
      <c r="L410" s="5">
        <v>0.22399999999999998</v>
      </c>
      <c r="M410" s="5">
        <v>0.222</v>
      </c>
      <c r="N410" s="5">
        <v>0.121</v>
      </c>
    </row>
    <row r="411" spans="1:14" x14ac:dyDescent="0.25">
      <c r="A411">
        <v>2014</v>
      </c>
      <c r="B411">
        <v>196</v>
      </c>
      <c r="C411" t="s">
        <v>108</v>
      </c>
      <c r="D411" t="s">
        <v>48</v>
      </c>
      <c r="E411" s="5">
        <v>0.151</v>
      </c>
      <c r="F411" s="5">
        <v>0.13900000000000001</v>
      </c>
      <c r="G411" s="5">
        <v>0.129</v>
      </c>
      <c r="H411" s="5">
        <v>0.128</v>
      </c>
      <c r="I411" s="5">
        <v>0.111</v>
      </c>
      <c r="J411" s="5">
        <v>0.10800000000000001</v>
      </c>
      <c r="K411" s="5">
        <v>0.12</v>
      </c>
      <c r="L411" s="5">
        <v>0.16800000000000001</v>
      </c>
      <c r="M411" s="5">
        <v>0.17699999999999999</v>
      </c>
      <c r="N411" s="5">
        <v>0.1</v>
      </c>
    </row>
    <row r="412" spans="1:14" x14ac:dyDescent="0.25">
      <c r="A412">
        <v>2014</v>
      </c>
      <c r="B412">
        <v>196</v>
      </c>
      <c r="C412" t="s">
        <v>108</v>
      </c>
      <c r="D412" t="s">
        <v>49</v>
      </c>
      <c r="E412" s="5">
        <v>0.18600000000000003</v>
      </c>
      <c r="F412" s="5">
        <v>0.20800000000000002</v>
      </c>
      <c r="G412" s="5">
        <v>0.22600000000000001</v>
      </c>
      <c r="H412" s="5">
        <v>0.23</v>
      </c>
      <c r="I412" s="5">
        <v>0.23</v>
      </c>
      <c r="J412" s="5">
        <v>0.20199999999999999</v>
      </c>
      <c r="K412" s="5">
        <v>0.152</v>
      </c>
      <c r="L412" s="5">
        <v>0.153</v>
      </c>
      <c r="M412" s="5">
        <v>0.16800000000000001</v>
      </c>
      <c r="N412" s="5">
        <v>0.10199999999999999</v>
      </c>
    </row>
    <row r="413" spans="1:14" x14ac:dyDescent="0.25">
      <c r="A413">
        <v>2014</v>
      </c>
      <c r="B413">
        <v>196</v>
      </c>
      <c r="C413" t="s">
        <v>108</v>
      </c>
      <c r="D413" t="s">
        <v>50</v>
      </c>
      <c r="E413" s="5">
        <v>0.193</v>
      </c>
      <c r="F413" s="5">
        <v>0.214</v>
      </c>
      <c r="G413" s="5">
        <v>0.20699999999999999</v>
      </c>
      <c r="H413" s="5">
        <v>0.18899999999999997</v>
      </c>
      <c r="I413" s="5">
        <v>0.16600000000000001</v>
      </c>
      <c r="J413" s="5">
        <v>0.17399999999999999</v>
      </c>
      <c r="K413" s="5">
        <v>0.17499999999999999</v>
      </c>
      <c r="L413" s="5">
        <v>0.155</v>
      </c>
      <c r="M413" s="5">
        <v>0.161</v>
      </c>
      <c r="N413" s="5">
        <v>9.5000000000000001E-2</v>
      </c>
    </row>
    <row r="414" spans="1:14" x14ac:dyDescent="0.25">
      <c r="A414">
        <v>2014</v>
      </c>
      <c r="B414">
        <v>202</v>
      </c>
      <c r="C414" t="s">
        <v>108</v>
      </c>
      <c r="D414" t="s">
        <v>51</v>
      </c>
      <c r="E414" s="5">
        <v>0.109</v>
      </c>
      <c r="F414" s="5">
        <v>0.126</v>
      </c>
      <c r="G414" s="5">
        <v>0.13600000000000001</v>
      </c>
      <c r="H414" s="5">
        <v>0.158</v>
      </c>
      <c r="I414" s="5">
        <v>0.17300000000000001</v>
      </c>
      <c r="J414" s="5">
        <v>0.187</v>
      </c>
      <c r="K414" s="5">
        <v>0.193</v>
      </c>
      <c r="L414" s="5">
        <v>0.17899999999999999</v>
      </c>
      <c r="M414" s="5">
        <v>0.16300000000000001</v>
      </c>
      <c r="N414" s="5">
        <v>5.7999999999999996E-2</v>
      </c>
    </row>
    <row r="415" spans="1:14" x14ac:dyDescent="0.25">
      <c r="A415">
        <v>2014</v>
      </c>
      <c r="B415">
        <v>202</v>
      </c>
      <c r="C415" t="s">
        <v>108</v>
      </c>
      <c r="D415" t="s">
        <v>55</v>
      </c>
      <c r="E415" s="5">
        <v>0.223</v>
      </c>
      <c r="F415" s="5">
        <v>0.14300000000000002</v>
      </c>
      <c r="G415" s="5">
        <v>0.122</v>
      </c>
      <c r="H415" s="5">
        <v>0.14899999999999999</v>
      </c>
      <c r="I415" s="5">
        <v>0.161</v>
      </c>
      <c r="J415" s="5">
        <v>0.16600000000000001</v>
      </c>
      <c r="K415" s="5">
        <v>0.17600000000000002</v>
      </c>
      <c r="L415" s="5">
        <v>0.18899999999999997</v>
      </c>
      <c r="M415" s="5">
        <v>0.158</v>
      </c>
      <c r="N415" s="5">
        <v>7.0000000000000007E-2</v>
      </c>
    </row>
    <row r="416" spans="1:14" x14ac:dyDescent="0.25">
      <c r="A416">
        <v>2014</v>
      </c>
      <c r="B416">
        <v>202</v>
      </c>
      <c r="C416" t="s">
        <v>108</v>
      </c>
      <c r="D416" t="s">
        <v>56</v>
      </c>
      <c r="E416" s="5">
        <v>0.13</v>
      </c>
      <c r="F416" s="5">
        <v>0.17800000000000002</v>
      </c>
      <c r="G416" s="5">
        <v>0.20699999999999999</v>
      </c>
      <c r="H416" s="5">
        <v>0.21</v>
      </c>
      <c r="I416" s="5">
        <v>0.19899999999999998</v>
      </c>
      <c r="J416" s="5">
        <v>0.17300000000000001</v>
      </c>
      <c r="K416" s="5">
        <v>0.17699999999999999</v>
      </c>
      <c r="L416" s="5">
        <v>0.188</v>
      </c>
      <c r="M416" s="5">
        <v>0.18</v>
      </c>
      <c r="N416" s="5">
        <v>7.2000000000000008E-2</v>
      </c>
    </row>
    <row r="417" spans="1:14" x14ac:dyDescent="0.25">
      <c r="A417">
        <v>2014</v>
      </c>
      <c r="B417">
        <v>202</v>
      </c>
      <c r="C417" t="s">
        <v>108</v>
      </c>
      <c r="D417" t="s">
        <v>57</v>
      </c>
      <c r="E417" s="5">
        <v>0.14000000000000001</v>
      </c>
      <c r="F417" s="5">
        <v>0.13699999999999998</v>
      </c>
      <c r="G417" s="5">
        <v>0.159</v>
      </c>
      <c r="H417" s="5">
        <v>0.184</v>
      </c>
      <c r="I417" s="5">
        <v>0.18600000000000003</v>
      </c>
      <c r="J417" s="5">
        <v>0.20499999999999999</v>
      </c>
      <c r="K417" s="5">
        <v>0.20300000000000001</v>
      </c>
      <c r="L417" s="5">
        <v>0.17</v>
      </c>
      <c r="M417" s="5">
        <v>0.157</v>
      </c>
      <c r="N417" s="5">
        <v>6.6000000000000003E-2</v>
      </c>
    </row>
    <row r="418" spans="1:14" x14ac:dyDescent="0.25">
      <c r="A418">
        <v>2014</v>
      </c>
      <c r="B418">
        <v>202</v>
      </c>
      <c r="C418" t="s">
        <v>108</v>
      </c>
      <c r="D418" t="s">
        <v>58</v>
      </c>
      <c r="E418" s="5" t="s">
        <v>109</v>
      </c>
      <c r="F418" s="5">
        <v>0.24</v>
      </c>
      <c r="G418" s="5">
        <v>0.183</v>
      </c>
      <c r="H418" s="5">
        <v>0.24100000000000002</v>
      </c>
      <c r="I418" s="5">
        <v>0.20600000000000002</v>
      </c>
      <c r="J418" s="5">
        <v>0.218</v>
      </c>
      <c r="K418" s="5">
        <v>0.19699999999999998</v>
      </c>
      <c r="L418" s="5">
        <v>0.20399999999999999</v>
      </c>
      <c r="M418" s="5">
        <v>0.2</v>
      </c>
      <c r="N418" s="5">
        <v>8.4000000000000005E-2</v>
      </c>
    </row>
    <row r="419" spans="1:14" x14ac:dyDescent="0.25">
      <c r="A419">
        <v>2014</v>
      </c>
      <c r="B419">
        <v>202</v>
      </c>
      <c r="C419" t="s">
        <v>108</v>
      </c>
      <c r="D419" t="s">
        <v>59</v>
      </c>
      <c r="E419" s="5" t="s">
        <v>109</v>
      </c>
      <c r="F419" s="5">
        <v>0.19500000000000001</v>
      </c>
      <c r="G419" s="5">
        <v>0.19600000000000001</v>
      </c>
      <c r="H419" s="5">
        <v>0.20199999999999999</v>
      </c>
      <c r="I419" s="5">
        <v>0.21</v>
      </c>
      <c r="J419" s="5">
        <v>0.20899999999999999</v>
      </c>
      <c r="K419" s="5">
        <v>0.2</v>
      </c>
      <c r="L419" s="5">
        <v>0.21299999999999999</v>
      </c>
      <c r="M419" s="5">
        <v>0.16600000000000001</v>
      </c>
      <c r="N419" s="5">
        <v>5.5999999999999994E-2</v>
      </c>
    </row>
    <row r="420" spans="1:14" x14ac:dyDescent="0.25">
      <c r="A420">
        <v>2014</v>
      </c>
      <c r="B420">
        <v>202</v>
      </c>
      <c r="C420" t="s">
        <v>108</v>
      </c>
      <c r="D420" t="s">
        <v>64</v>
      </c>
      <c r="E420" s="5">
        <v>0.23199999999999998</v>
      </c>
      <c r="F420" s="5">
        <v>0.14400000000000002</v>
      </c>
      <c r="G420" s="5">
        <v>0.17899999999999999</v>
      </c>
      <c r="H420" s="5">
        <v>0.26500000000000001</v>
      </c>
      <c r="I420" s="5">
        <v>0.247</v>
      </c>
      <c r="J420" s="5">
        <v>0.24</v>
      </c>
      <c r="K420" s="5">
        <v>0.24299999999999999</v>
      </c>
      <c r="L420" s="5">
        <v>0.20399999999999999</v>
      </c>
      <c r="M420" s="5">
        <v>0.17</v>
      </c>
      <c r="N420" s="5">
        <v>0.09</v>
      </c>
    </row>
    <row r="421" spans="1:14" x14ac:dyDescent="0.25">
      <c r="A421">
        <v>2014</v>
      </c>
      <c r="B421">
        <v>202</v>
      </c>
      <c r="C421" t="s">
        <v>108</v>
      </c>
      <c r="D421" t="s">
        <v>52</v>
      </c>
      <c r="E421" s="5">
        <v>0.152</v>
      </c>
      <c r="F421" s="5">
        <v>0.17699999999999999</v>
      </c>
      <c r="G421" s="5">
        <v>0.191</v>
      </c>
      <c r="H421" s="5">
        <v>0.214</v>
      </c>
      <c r="I421" s="5">
        <v>0.24299999999999999</v>
      </c>
      <c r="J421" s="5">
        <v>0.26800000000000002</v>
      </c>
      <c r="K421" s="5">
        <v>0.253</v>
      </c>
      <c r="L421" s="5">
        <v>0.24199999999999999</v>
      </c>
      <c r="M421" s="5">
        <v>0.184</v>
      </c>
      <c r="N421" s="5">
        <v>0.1</v>
      </c>
    </row>
    <row r="422" spans="1:14" x14ac:dyDescent="0.25">
      <c r="A422">
        <v>2014</v>
      </c>
      <c r="B422">
        <v>202</v>
      </c>
      <c r="C422" t="s">
        <v>108</v>
      </c>
      <c r="D422" t="s">
        <v>62</v>
      </c>
      <c r="E422" s="5">
        <v>0.17199999999999999</v>
      </c>
      <c r="F422" s="5">
        <v>0.14499999999999999</v>
      </c>
      <c r="G422" s="5">
        <v>0.16399999999999998</v>
      </c>
      <c r="H422" s="5">
        <v>0.19600000000000001</v>
      </c>
      <c r="I422" s="5">
        <v>0.23300000000000001</v>
      </c>
      <c r="J422" s="5">
        <v>0.23199999999999998</v>
      </c>
      <c r="K422" s="5">
        <v>0.21899999999999997</v>
      </c>
      <c r="L422" s="5">
        <v>0.23300000000000001</v>
      </c>
      <c r="M422" s="5">
        <v>0.19899999999999998</v>
      </c>
      <c r="N422" s="5">
        <v>9.5000000000000001E-2</v>
      </c>
    </row>
    <row r="423" spans="1:14" x14ac:dyDescent="0.25">
      <c r="A423">
        <v>2014</v>
      </c>
      <c r="B423">
        <v>202</v>
      </c>
      <c r="C423" t="s">
        <v>108</v>
      </c>
      <c r="D423" t="s">
        <v>63</v>
      </c>
      <c r="E423" s="5">
        <v>0.17499999999999999</v>
      </c>
      <c r="F423" s="5">
        <v>0.161</v>
      </c>
      <c r="G423" s="5">
        <v>0.16800000000000001</v>
      </c>
      <c r="H423" s="5">
        <v>0.21299999999999999</v>
      </c>
      <c r="I423" s="5">
        <v>0.23899999999999999</v>
      </c>
      <c r="J423" s="5">
        <v>0.24199999999999999</v>
      </c>
      <c r="K423" s="5">
        <v>0.25800000000000001</v>
      </c>
      <c r="L423" s="5">
        <v>0.191</v>
      </c>
      <c r="M423" s="5">
        <v>0.17199999999999999</v>
      </c>
      <c r="N423" s="5">
        <v>9.1999999999999998E-2</v>
      </c>
    </row>
    <row r="424" spans="1:14" x14ac:dyDescent="0.25">
      <c r="A424">
        <v>2014</v>
      </c>
      <c r="B424">
        <v>202</v>
      </c>
      <c r="C424" t="s">
        <v>108</v>
      </c>
      <c r="D424" t="s">
        <v>61</v>
      </c>
      <c r="E424" s="5" t="s">
        <v>109</v>
      </c>
      <c r="F424" s="5">
        <v>0.318</v>
      </c>
      <c r="G424" s="5">
        <v>0.254</v>
      </c>
      <c r="H424" s="5">
        <v>0.19699999999999998</v>
      </c>
      <c r="I424" s="5">
        <v>0.21899999999999997</v>
      </c>
      <c r="J424" s="5">
        <v>0.22</v>
      </c>
      <c r="K424" s="5">
        <v>0.21100000000000002</v>
      </c>
      <c r="L424" s="5">
        <v>0.24600000000000002</v>
      </c>
      <c r="M424" s="5">
        <v>0.20600000000000002</v>
      </c>
      <c r="N424" s="5">
        <v>8.6999999999999994E-2</v>
      </c>
    </row>
    <row r="425" spans="1:14" x14ac:dyDescent="0.25">
      <c r="A425">
        <v>2014</v>
      </c>
      <c r="B425">
        <v>202</v>
      </c>
      <c r="C425" t="s">
        <v>108</v>
      </c>
      <c r="D425" t="s">
        <v>60</v>
      </c>
      <c r="E425" s="5" t="s">
        <v>109</v>
      </c>
      <c r="F425" s="5" t="s">
        <v>109</v>
      </c>
      <c r="G425" s="5">
        <v>0.27899999999999997</v>
      </c>
      <c r="H425" s="5">
        <v>0.28800000000000003</v>
      </c>
      <c r="I425" s="5">
        <v>0.20699999999999999</v>
      </c>
      <c r="J425" s="5">
        <v>0.21</v>
      </c>
      <c r="K425" s="5">
        <v>0.22699999999999998</v>
      </c>
      <c r="L425" s="5">
        <v>0.20699999999999999</v>
      </c>
      <c r="M425" s="5">
        <v>0.193</v>
      </c>
      <c r="N425" s="5">
        <v>9.6999999999999989E-2</v>
      </c>
    </row>
    <row r="426" spans="1:14" x14ac:dyDescent="0.25">
      <c r="A426">
        <v>2014</v>
      </c>
      <c r="B426">
        <v>202</v>
      </c>
      <c r="C426" t="s">
        <v>108</v>
      </c>
      <c r="D426" t="s">
        <v>29</v>
      </c>
      <c r="E426" s="5">
        <v>0.20600000000000002</v>
      </c>
      <c r="F426" s="5">
        <v>0.17100000000000001</v>
      </c>
      <c r="G426" s="5">
        <v>0.222</v>
      </c>
      <c r="H426" s="5">
        <v>0.23100000000000001</v>
      </c>
      <c r="I426" s="5">
        <v>0.249</v>
      </c>
      <c r="J426" s="5">
        <v>0.25600000000000001</v>
      </c>
      <c r="K426" s="5">
        <v>0.26400000000000001</v>
      </c>
      <c r="L426" s="5">
        <v>0.27899999999999997</v>
      </c>
      <c r="M426" s="5">
        <v>0.247</v>
      </c>
      <c r="N426" s="5">
        <v>0.161</v>
      </c>
    </row>
    <row r="427" spans="1:14" x14ac:dyDescent="0.25">
      <c r="A427">
        <v>2014</v>
      </c>
      <c r="B427">
        <v>202</v>
      </c>
      <c r="C427" t="s">
        <v>108</v>
      </c>
      <c r="D427" t="s">
        <v>30</v>
      </c>
      <c r="E427" s="5">
        <v>0.19</v>
      </c>
      <c r="F427" s="5">
        <v>0.19600000000000001</v>
      </c>
      <c r="G427" s="5">
        <v>0.24299999999999999</v>
      </c>
      <c r="H427" s="5">
        <v>0.25700000000000001</v>
      </c>
      <c r="I427" s="5">
        <v>0.24600000000000002</v>
      </c>
      <c r="J427" s="5">
        <v>0.249</v>
      </c>
      <c r="K427" s="5">
        <v>0.26500000000000001</v>
      </c>
      <c r="L427" s="5">
        <v>0.18899999999999997</v>
      </c>
      <c r="M427" s="5">
        <v>0.184</v>
      </c>
      <c r="N427" s="5">
        <v>0.10300000000000001</v>
      </c>
    </row>
    <row r="428" spans="1:14" x14ac:dyDescent="0.25">
      <c r="A428">
        <v>2014</v>
      </c>
      <c r="B428">
        <v>202</v>
      </c>
      <c r="C428" t="s">
        <v>108</v>
      </c>
      <c r="D428" t="s">
        <v>31</v>
      </c>
      <c r="E428" s="5">
        <v>0.192</v>
      </c>
      <c r="F428" s="5">
        <v>0.16800000000000001</v>
      </c>
      <c r="G428" s="5">
        <v>0.17499999999999999</v>
      </c>
      <c r="H428" s="5">
        <v>0.19899999999999998</v>
      </c>
      <c r="I428" s="5">
        <v>0.254</v>
      </c>
      <c r="J428" s="5">
        <v>0.254</v>
      </c>
      <c r="K428" s="5">
        <v>0.23399999999999999</v>
      </c>
      <c r="L428" s="5">
        <v>0.221</v>
      </c>
      <c r="M428" s="5">
        <v>0.22800000000000001</v>
      </c>
      <c r="N428" s="5">
        <v>0.153</v>
      </c>
    </row>
    <row r="429" spans="1:14" x14ac:dyDescent="0.25">
      <c r="A429">
        <v>2014</v>
      </c>
      <c r="B429">
        <v>202</v>
      </c>
      <c r="C429" t="s">
        <v>108</v>
      </c>
      <c r="D429" t="s">
        <v>32</v>
      </c>
      <c r="E429" s="5">
        <v>0.24299999999999999</v>
      </c>
      <c r="F429" s="5">
        <v>0.18899999999999997</v>
      </c>
      <c r="G429" s="5">
        <v>0.22699999999999998</v>
      </c>
      <c r="H429" s="5">
        <v>0.20499999999999999</v>
      </c>
      <c r="I429" s="5">
        <v>0.21199999999999999</v>
      </c>
      <c r="J429" s="5">
        <v>0.19399999999999998</v>
      </c>
      <c r="K429" s="5">
        <v>0.17100000000000001</v>
      </c>
      <c r="L429" s="5">
        <v>0.16699999999999998</v>
      </c>
      <c r="M429" s="5">
        <v>0.20699999999999999</v>
      </c>
      <c r="N429" s="5">
        <v>0.128</v>
      </c>
    </row>
    <row r="430" spans="1:14" x14ac:dyDescent="0.25">
      <c r="A430">
        <v>2014</v>
      </c>
      <c r="B430">
        <v>202</v>
      </c>
      <c r="C430" t="s">
        <v>108</v>
      </c>
      <c r="D430" t="s">
        <v>33</v>
      </c>
      <c r="E430" s="5">
        <v>0.17100000000000001</v>
      </c>
      <c r="F430" s="5">
        <v>0.17699999999999999</v>
      </c>
      <c r="G430" s="5">
        <v>0.188</v>
      </c>
      <c r="H430" s="5">
        <v>0.19899999999999998</v>
      </c>
      <c r="I430" s="5">
        <v>0.23699999999999999</v>
      </c>
      <c r="J430" s="5">
        <v>0.25700000000000001</v>
      </c>
      <c r="K430" s="5">
        <v>0.26800000000000002</v>
      </c>
      <c r="L430" s="5">
        <v>0.218</v>
      </c>
      <c r="M430" s="5">
        <v>0.191</v>
      </c>
      <c r="N430" s="5">
        <v>0.11599999999999999</v>
      </c>
    </row>
    <row r="431" spans="1:14" x14ac:dyDescent="0.25">
      <c r="A431">
        <v>2014</v>
      </c>
      <c r="B431">
        <v>202</v>
      </c>
      <c r="C431" t="s">
        <v>108</v>
      </c>
      <c r="D431" t="s">
        <v>34</v>
      </c>
      <c r="E431" s="5">
        <v>0.19899999999999998</v>
      </c>
      <c r="F431" s="5">
        <v>0.19699999999999998</v>
      </c>
      <c r="G431" s="5">
        <v>0.251</v>
      </c>
      <c r="H431" s="5">
        <v>0.28000000000000003</v>
      </c>
      <c r="I431" s="5">
        <v>0.23600000000000002</v>
      </c>
      <c r="J431" s="5">
        <v>0.24199999999999999</v>
      </c>
      <c r="K431" s="5">
        <v>0.22600000000000001</v>
      </c>
      <c r="L431" s="5">
        <v>0.20399999999999999</v>
      </c>
      <c r="M431" s="5">
        <v>0.154</v>
      </c>
      <c r="N431" s="5">
        <v>6.8000000000000005E-2</v>
      </c>
    </row>
    <row r="432" spans="1:14" x14ac:dyDescent="0.25">
      <c r="A432">
        <v>2014</v>
      </c>
      <c r="B432">
        <v>202</v>
      </c>
      <c r="C432" t="s">
        <v>108</v>
      </c>
      <c r="D432" t="s">
        <v>70</v>
      </c>
      <c r="E432" s="5">
        <v>0.19</v>
      </c>
      <c r="F432" s="5">
        <v>0.19800000000000001</v>
      </c>
      <c r="G432" s="5">
        <v>0.23600000000000002</v>
      </c>
      <c r="H432" s="5">
        <v>0.254</v>
      </c>
      <c r="I432" s="5">
        <v>0.253</v>
      </c>
      <c r="J432" s="5">
        <v>0.27699999999999997</v>
      </c>
      <c r="K432" s="5">
        <v>0.28499999999999998</v>
      </c>
      <c r="L432" s="5">
        <v>0.22899999999999998</v>
      </c>
      <c r="M432" s="5">
        <v>0.19899999999999998</v>
      </c>
      <c r="N432" s="5">
        <v>0.125</v>
      </c>
    </row>
    <row r="433" spans="1:14" x14ac:dyDescent="0.25">
      <c r="A433">
        <v>2014</v>
      </c>
      <c r="B433">
        <v>202</v>
      </c>
      <c r="C433" t="s">
        <v>108</v>
      </c>
      <c r="D433" t="s">
        <v>69</v>
      </c>
      <c r="E433" s="5">
        <v>0.18600000000000003</v>
      </c>
      <c r="F433" s="5">
        <v>0.22699999999999998</v>
      </c>
      <c r="G433" s="5">
        <v>0.23399999999999999</v>
      </c>
      <c r="H433" s="5">
        <v>0.254</v>
      </c>
      <c r="I433" s="5">
        <v>0.25600000000000001</v>
      </c>
      <c r="J433" s="5">
        <v>0.23600000000000002</v>
      </c>
      <c r="K433" s="5">
        <v>0.23699999999999999</v>
      </c>
      <c r="L433" s="5">
        <v>0.21100000000000002</v>
      </c>
      <c r="M433" s="5">
        <v>0.191</v>
      </c>
      <c r="N433" s="5">
        <v>0.1</v>
      </c>
    </row>
    <row r="434" spans="1:14" x14ac:dyDescent="0.25">
      <c r="A434">
        <v>2014</v>
      </c>
      <c r="B434">
        <v>202</v>
      </c>
      <c r="C434" t="s">
        <v>108</v>
      </c>
      <c r="D434" t="s">
        <v>68</v>
      </c>
      <c r="E434" s="5">
        <v>0.191</v>
      </c>
      <c r="F434" s="5">
        <v>0.188</v>
      </c>
      <c r="G434" s="5">
        <v>0.20100000000000001</v>
      </c>
      <c r="H434" s="5">
        <v>0.20699999999999999</v>
      </c>
      <c r="I434" s="5">
        <v>0.24299999999999999</v>
      </c>
      <c r="J434" s="5">
        <v>0.26500000000000001</v>
      </c>
      <c r="K434" s="5">
        <v>0.27800000000000002</v>
      </c>
      <c r="L434" s="5">
        <v>0.23</v>
      </c>
      <c r="M434" s="5">
        <v>0.19</v>
      </c>
      <c r="N434" s="5">
        <v>0.106</v>
      </c>
    </row>
    <row r="435" spans="1:14" x14ac:dyDescent="0.25">
      <c r="A435">
        <v>2014</v>
      </c>
      <c r="B435">
        <v>202</v>
      </c>
      <c r="C435" t="s">
        <v>108</v>
      </c>
      <c r="D435" t="s">
        <v>67</v>
      </c>
      <c r="E435" s="5">
        <v>0.21600000000000003</v>
      </c>
      <c r="F435" s="5">
        <v>0.23100000000000001</v>
      </c>
      <c r="G435" s="5">
        <v>0.21600000000000003</v>
      </c>
      <c r="H435" s="5">
        <v>0.22800000000000001</v>
      </c>
      <c r="I435" s="5">
        <v>0.24399999999999999</v>
      </c>
      <c r="J435" s="5">
        <v>0.21600000000000003</v>
      </c>
      <c r="K435" s="5">
        <v>0.22899999999999998</v>
      </c>
      <c r="L435" s="5">
        <v>0.23199999999999998</v>
      </c>
      <c r="M435" s="5">
        <v>0.20199999999999999</v>
      </c>
      <c r="N435" s="5">
        <v>0.114</v>
      </c>
    </row>
    <row r="436" spans="1:14" x14ac:dyDescent="0.25">
      <c r="A436">
        <v>2014</v>
      </c>
      <c r="B436">
        <v>202</v>
      </c>
      <c r="C436" t="s">
        <v>108</v>
      </c>
      <c r="D436" t="s">
        <v>66</v>
      </c>
      <c r="E436" s="5" t="s">
        <v>109</v>
      </c>
      <c r="F436" s="5" t="s">
        <v>109</v>
      </c>
      <c r="G436" s="5" t="s">
        <v>109</v>
      </c>
      <c r="H436" s="5" t="s">
        <v>109</v>
      </c>
      <c r="I436" s="5" t="s">
        <v>109</v>
      </c>
      <c r="J436" s="5">
        <v>0.26500000000000001</v>
      </c>
      <c r="K436" s="5">
        <v>0.24600000000000002</v>
      </c>
      <c r="L436" s="5">
        <v>0.182</v>
      </c>
      <c r="M436" s="5">
        <v>0.16800000000000001</v>
      </c>
      <c r="N436" s="5">
        <v>9.6999999999999989E-2</v>
      </c>
    </row>
    <row r="437" spans="1:14" x14ac:dyDescent="0.25">
      <c r="A437">
        <v>2014</v>
      </c>
      <c r="B437">
        <v>202</v>
      </c>
      <c r="C437" t="s">
        <v>108</v>
      </c>
      <c r="D437" t="s">
        <v>65</v>
      </c>
      <c r="E437" s="5">
        <v>0.22699999999999998</v>
      </c>
      <c r="F437" s="5">
        <v>0.22600000000000001</v>
      </c>
      <c r="G437" s="5">
        <v>0.312</v>
      </c>
      <c r="H437" s="5">
        <v>0.20499999999999999</v>
      </c>
      <c r="I437" s="5">
        <v>0.22600000000000001</v>
      </c>
      <c r="J437" s="5">
        <v>0.24199999999999999</v>
      </c>
      <c r="K437" s="5">
        <v>0.23699999999999999</v>
      </c>
      <c r="L437" s="5">
        <v>0.18600000000000003</v>
      </c>
      <c r="M437" s="5">
        <v>0.14199999999999999</v>
      </c>
      <c r="N437" s="5">
        <v>6.8000000000000005E-2</v>
      </c>
    </row>
    <row r="438" spans="1:14" x14ac:dyDescent="0.25">
      <c r="A438">
        <v>2014</v>
      </c>
      <c r="B438">
        <v>202</v>
      </c>
      <c r="C438" t="s">
        <v>108</v>
      </c>
      <c r="D438" t="s">
        <v>71</v>
      </c>
      <c r="E438" s="5">
        <v>0.21</v>
      </c>
      <c r="F438" s="5">
        <v>0.22899999999999998</v>
      </c>
      <c r="G438" s="5">
        <v>0.254</v>
      </c>
      <c r="H438" s="5">
        <v>0.255</v>
      </c>
      <c r="I438" s="5">
        <v>0.26400000000000001</v>
      </c>
      <c r="J438" s="5">
        <v>0.27600000000000002</v>
      </c>
      <c r="K438" s="5">
        <v>0.20300000000000001</v>
      </c>
      <c r="L438" s="5">
        <v>0.18100000000000002</v>
      </c>
      <c r="M438" s="5">
        <v>0.17600000000000002</v>
      </c>
      <c r="N438" s="5">
        <v>9.4E-2</v>
      </c>
    </row>
    <row r="439" spans="1:14" x14ac:dyDescent="0.25">
      <c r="A439">
        <v>2014</v>
      </c>
      <c r="B439">
        <v>202</v>
      </c>
      <c r="C439" t="s">
        <v>108</v>
      </c>
      <c r="D439" t="s">
        <v>74</v>
      </c>
      <c r="E439" s="5" t="s">
        <v>109</v>
      </c>
      <c r="F439" s="5">
        <v>0.188</v>
      </c>
      <c r="G439" s="5">
        <v>0.21299999999999999</v>
      </c>
      <c r="H439" s="5">
        <v>0.22800000000000001</v>
      </c>
      <c r="I439" s="5">
        <v>0.24299999999999999</v>
      </c>
      <c r="J439" s="5">
        <v>0.218</v>
      </c>
      <c r="K439" s="5">
        <v>0.251</v>
      </c>
      <c r="L439" s="5">
        <v>0.22399999999999998</v>
      </c>
      <c r="M439" s="5">
        <v>0.19699999999999998</v>
      </c>
      <c r="N439" s="5">
        <v>0.114</v>
      </c>
    </row>
    <row r="440" spans="1:14" x14ac:dyDescent="0.25">
      <c r="A440">
        <v>2014</v>
      </c>
      <c r="B440">
        <v>202</v>
      </c>
      <c r="C440" t="s">
        <v>108</v>
      </c>
      <c r="D440" t="s">
        <v>75</v>
      </c>
      <c r="E440" s="5" t="s">
        <v>109</v>
      </c>
      <c r="F440" s="5">
        <v>0.192</v>
      </c>
      <c r="G440" s="5">
        <v>0.17499999999999999</v>
      </c>
      <c r="H440" s="5">
        <v>0.26200000000000001</v>
      </c>
      <c r="I440" s="5">
        <v>0.21899999999999997</v>
      </c>
      <c r="J440" s="5">
        <v>0.214</v>
      </c>
      <c r="K440" s="5">
        <v>0.23899999999999999</v>
      </c>
      <c r="L440" s="5">
        <v>0.21899999999999997</v>
      </c>
      <c r="M440" s="5">
        <v>0.20499999999999999</v>
      </c>
      <c r="N440" s="5">
        <v>0.115</v>
      </c>
    </row>
    <row r="441" spans="1:14" x14ac:dyDescent="0.25">
      <c r="A441">
        <v>2014</v>
      </c>
      <c r="B441">
        <v>202</v>
      </c>
      <c r="C441" t="s">
        <v>108</v>
      </c>
      <c r="D441" t="s">
        <v>76</v>
      </c>
      <c r="E441" s="5">
        <v>0.17899999999999999</v>
      </c>
      <c r="F441" s="5">
        <v>0.17699999999999999</v>
      </c>
      <c r="G441" s="5">
        <v>0.188</v>
      </c>
      <c r="H441" s="5">
        <v>0.22</v>
      </c>
      <c r="I441" s="5">
        <v>0.251</v>
      </c>
      <c r="J441" s="5">
        <v>0.252</v>
      </c>
      <c r="K441" s="5">
        <v>0.25600000000000001</v>
      </c>
      <c r="L441" s="5">
        <v>0.245</v>
      </c>
      <c r="M441" s="5">
        <v>0.191</v>
      </c>
      <c r="N441" s="5">
        <v>0.107</v>
      </c>
    </row>
    <row r="442" spans="1:14" x14ac:dyDescent="0.25">
      <c r="A442">
        <v>2014</v>
      </c>
      <c r="B442">
        <v>202</v>
      </c>
      <c r="C442" t="s">
        <v>108</v>
      </c>
      <c r="D442" t="s">
        <v>53</v>
      </c>
      <c r="E442" s="5">
        <v>0.23399999999999999</v>
      </c>
      <c r="F442" s="5">
        <v>0.32</v>
      </c>
      <c r="G442" s="5">
        <v>0.21600000000000003</v>
      </c>
      <c r="H442" s="5">
        <v>0.248</v>
      </c>
      <c r="I442" s="5">
        <v>0.27100000000000002</v>
      </c>
      <c r="J442" s="5">
        <v>0.27600000000000002</v>
      </c>
      <c r="K442" s="5">
        <v>0.29299999999999998</v>
      </c>
      <c r="L442" s="5">
        <v>0.222</v>
      </c>
      <c r="M442" s="5">
        <v>0.20399999999999999</v>
      </c>
      <c r="N442" s="5">
        <v>9.6999999999999989E-2</v>
      </c>
    </row>
    <row r="443" spans="1:14" x14ac:dyDescent="0.25">
      <c r="A443">
        <v>2014</v>
      </c>
      <c r="B443">
        <v>202</v>
      </c>
      <c r="C443" t="s">
        <v>108</v>
      </c>
      <c r="D443" t="s">
        <v>77</v>
      </c>
      <c r="E443" s="5">
        <v>0.253</v>
      </c>
      <c r="F443" s="5">
        <v>0.28100000000000003</v>
      </c>
      <c r="G443" s="5">
        <v>0.248</v>
      </c>
      <c r="H443" s="5">
        <v>0.22800000000000001</v>
      </c>
      <c r="I443" s="5">
        <v>0.23</v>
      </c>
      <c r="J443" s="5">
        <v>0.23199999999999998</v>
      </c>
      <c r="K443" s="5">
        <v>0.19699999999999998</v>
      </c>
      <c r="L443" s="5">
        <v>0.217</v>
      </c>
      <c r="M443" s="5">
        <v>0.14899999999999999</v>
      </c>
      <c r="N443" s="5">
        <v>6.6000000000000003E-2</v>
      </c>
    </row>
    <row r="444" spans="1:14" x14ac:dyDescent="0.25">
      <c r="A444">
        <v>2014</v>
      </c>
      <c r="B444">
        <v>202</v>
      </c>
      <c r="C444" t="s">
        <v>108</v>
      </c>
      <c r="D444" t="s">
        <v>73</v>
      </c>
      <c r="E444" s="5" t="s">
        <v>109</v>
      </c>
      <c r="F444" s="5">
        <v>0.21299999999999999</v>
      </c>
      <c r="G444" s="5">
        <v>0.25900000000000001</v>
      </c>
      <c r="H444" s="5">
        <v>0.26600000000000001</v>
      </c>
      <c r="I444" s="5">
        <v>0.21100000000000002</v>
      </c>
      <c r="J444" s="5">
        <v>0.23399999999999999</v>
      </c>
      <c r="K444" s="5">
        <v>0.191</v>
      </c>
      <c r="L444" s="5">
        <v>0.17699999999999999</v>
      </c>
      <c r="M444" s="5">
        <v>0.155</v>
      </c>
      <c r="N444" s="5">
        <v>6.2E-2</v>
      </c>
    </row>
    <row r="445" spans="1:14" x14ac:dyDescent="0.25">
      <c r="A445">
        <v>2014</v>
      </c>
      <c r="B445">
        <v>202</v>
      </c>
      <c r="C445" t="s">
        <v>108</v>
      </c>
      <c r="D445" t="s">
        <v>81</v>
      </c>
      <c r="E445" s="5" t="s">
        <v>109</v>
      </c>
      <c r="F445" s="5" t="s">
        <v>109</v>
      </c>
      <c r="G445" s="5">
        <v>0.252</v>
      </c>
      <c r="H445" s="5">
        <v>0.27600000000000002</v>
      </c>
      <c r="I445" s="5">
        <v>0.28999999999999998</v>
      </c>
      <c r="J445" s="5">
        <v>0.25</v>
      </c>
      <c r="K445" s="5">
        <v>0.184</v>
      </c>
      <c r="L445" s="5">
        <v>0.14899999999999999</v>
      </c>
      <c r="M445" s="5">
        <v>0.154</v>
      </c>
      <c r="N445" s="5">
        <v>7.0000000000000007E-2</v>
      </c>
    </row>
    <row r="446" spans="1:14" x14ac:dyDescent="0.25">
      <c r="A446">
        <v>2014</v>
      </c>
      <c r="B446">
        <v>202</v>
      </c>
      <c r="C446" t="s">
        <v>108</v>
      </c>
      <c r="D446" t="s">
        <v>80</v>
      </c>
      <c r="E446" s="5" t="s">
        <v>109</v>
      </c>
      <c r="F446" s="5" t="s">
        <v>109</v>
      </c>
      <c r="G446" s="5">
        <v>0.23499999999999999</v>
      </c>
      <c r="H446" s="5">
        <v>0.25600000000000001</v>
      </c>
      <c r="I446" s="5">
        <v>0.255</v>
      </c>
      <c r="J446" s="5">
        <v>0.26100000000000001</v>
      </c>
      <c r="K446" s="5">
        <v>0.23199999999999998</v>
      </c>
      <c r="L446" s="5">
        <v>0.184</v>
      </c>
      <c r="M446" s="5">
        <v>0.16500000000000001</v>
      </c>
      <c r="N446" s="5">
        <v>0.08</v>
      </c>
    </row>
    <row r="447" spans="1:14" x14ac:dyDescent="0.25">
      <c r="A447">
        <v>2014</v>
      </c>
      <c r="B447">
        <v>202</v>
      </c>
      <c r="C447" t="s">
        <v>108</v>
      </c>
      <c r="D447" t="s">
        <v>79</v>
      </c>
      <c r="E447" s="5" t="s">
        <v>109</v>
      </c>
      <c r="F447" s="5">
        <v>0.21299999999999999</v>
      </c>
      <c r="G447" s="5">
        <v>0.22699999999999998</v>
      </c>
      <c r="H447" s="5">
        <v>0.26700000000000002</v>
      </c>
      <c r="I447" s="5">
        <v>0.28499999999999998</v>
      </c>
      <c r="J447" s="5">
        <v>0.29600000000000004</v>
      </c>
      <c r="K447" s="5">
        <v>0.249</v>
      </c>
      <c r="L447" s="5">
        <v>0.19500000000000001</v>
      </c>
      <c r="M447" s="5">
        <v>0.151</v>
      </c>
      <c r="N447" s="5">
        <v>7.2999999999999995E-2</v>
      </c>
    </row>
    <row r="448" spans="1:14" x14ac:dyDescent="0.25">
      <c r="A448">
        <v>2014</v>
      </c>
      <c r="B448">
        <v>202</v>
      </c>
      <c r="C448" t="s">
        <v>108</v>
      </c>
      <c r="D448" t="s">
        <v>78</v>
      </c>
      <c r="E448" s="5" t="s">
        <v>109</v>
      </c>
      <c r="F448" s="5">
        <v>0.23199999999999998</v>
      </c>
      <c r="G448" s="5">
        <v>0.21199999999999999</v>
      </c>
      <c r="H448" s="5">
        <v>0.24</v>
      </c>
      <c r="I448" s="5">
        <v>0.253</v>
      </c>
      <c r="J448" s="5">
        <v>0.247</v>
      </c>
      <c r="K448" s="5">
        <v>0.20699999999999999</v>
      </c>
      <c r="L448" s="5">
        <v>0.161</v>
      </c>
      <c r="M448" s="5">
        <v>0.14800000000000002</v>
      </c>
      <c r="N448" s="5">
        <v>6.5000000000000002E-2</v>
      </c>
    </row>
    <row r="449" spans="1:14" x14ac:dyDescent="0.25">
      <c r="A449">
        <v>2014</v>
      </c>
      <c r="B449">
        <v>202</v>
      </c>
      <c r="C449" t="s">
        <v>108</v>
      </c>
      <c r="D449" t="s">
        <v>54</v>
      </c>
      <c r="E449" s="5" t="s">
        <v>109</v>
      </c>
      <c r="F449" s="5" t="s">
        <v>109</v>
      </c>
      <c r="G449" s="5">
        <v>0.22399999999999998</v>
      </c>
      <c r="H449" s="5">
        <v>0.223</v>
      </c>
      <c r="I449" s="5">
        <v>0.24100000000000002</v>
      </c>
      <c r="J449" s="5">
        <v>0.23600000000000002</v>
      </c>
      <c r="K449" s="5">
        <v>0.20699999999999999</v>
      </c>
      <c r="L449" s="5">
        <v>0.19800000000000001</v>
      </c>
      <c r="M449" s="5">
        <v>0.15</v>
      </c>
      <c r="N449" s="5">
        <v>4.2999999999999997E-2</v>
      </c>
    </row>
    <row r="450" spans="1:14" x14ac:dyDescent="0.25">
      <c r="A450">
        <v>2014</v>
      </c>
      <c r="B450">
        <v>202</v>
      </c>
      <c r="C450" t="s">
        <v>108</v>
      </c>
      <c r="D450" t="s">
        <v>35</v>
      </c>
      <c r="E450" s="5" t="s">
        <v>109</v>
      </c>
      <c r="F450" s="5">
        <v>0.23300000000000001</v>
      </c>
      <c r="G450" s="5">
        <v>0.218</v>
      </c>
      <c r="H450" s="5">
        <v>0.183</v>
      </c>
      <c r="I450" s="5">
        <v>0.16699999999999998</v>
      </c>
      <c r="J450" s="5">
        <v>0.16600000000000001</v>
      </c>
      <c r="K450" s="5">
        <v>0.16</v>
      </c>
      <c r="L450" s="5">
        <v>0.17499999999999999</v>
      </c>
      <c r="M450" s="5">
        <v>0.17600000000000002</v>
      </c>
      <c r="N450" s="5">
        <v>0.11800000000000001</v>
      </c>
    </row>
    <row r="451" spans="1:14" x14ac:dyDescent="0.25">
      <c r="A451">
        <v>2014</v>
      </c>
      <c r="B451">
        <v>202</v>
      </c>
      <c r="C451" t="s">
        <v>108</v>
      </c>
      <c r="D451" t="s">
        <v>37</v>
      </c>
      <c r="E451" s="5" t="s">
        <v>109</v>
      </c>
      <c r="F451" s="5">
        <v>0.24399999999999999</v>
      </c>
      <c r="G451" s="5">
        <v>0.245</v>
      </c>
      <c r="H451" s="5">
        <v>0.247</v>
      </c>
      <c r="I451" s="5">
        <v>0.23300000000000001</v>
      </c>
      <c r="J451" s="5">
        <v>0.23199999999999998</v>
      </c>
      <c r="K451" s="5">
        <v>0.20199999999999999</v>
      </c>
      <c r="L451" s="5">
        <v>0.17100000000000001</v>
      </c>
      <c r="M451" s="5">
        <v>0.18600000000000003</v>
      </c>
      <c r="N451" s="5">
        <v>0.161</v>
      </c>
    </row>
    <row r="452" spans="1:14" x14ac:dyDescent="0.25">
      <c r="A452">
        <v>2014</v>
      </c>
      <c r="B452">
        <v>202</v>
      </c>
      <c r="C452" t="s">
        <v>108</v>
      </c>
      <c r="D452" t="s">
        <v>40</v>
      </c>
      <c r="E452" s="5" t="s">
        <v>109</v>
      </c>
      <c r="F452" s="5">
        <v>0.2</v>
      </c>
      <c r="G452" s="5">
        <v>0.218</v>
      </c>
      <c r="H452" s="5">
        <v>0.22</v>
      </c>
      <c r="I452" s="5">
        <v>0.221</v>
      </c>
      <c r="J452" s="5">
        <v>0.20600000000000002</v>
      </c>
      <c r="K452" s="5">
        <v>0.18600000000000003</v>
      </c>
      <c r="L452" s="5">
        <v>0.16300000000000001</v>
      </c>
      <c r="M452" s="5">
        <v>0.183</v>
      </c>
      <c r="N452" s="5">
        <v>0.13400000000000001</v>
      </c>
    </row>
    <row r="453" spans="1:14" x14ac:dyDescent="0.25">
      <c r="A453">
        <v>2014</v>
      </c>
      <c r="B453">
        <v>202</v>
      </c>
      <c r="C453" t="s">
        <v>108</v>
      </c>
      <c r="D453" t="s">
        <v>41</v>
      </c>
      <c r="E453" s="5">
        <v>0.23800000000000002</v>
      </c>
      <c r="F453" s="5">
        <v>0.23399999999999999</v>
      </c>
      <c r="G453" s="5">
        <v>0.24100000000000002</v>
      </c>
      <c r="H453" s="5">
        <v>0.20800000000000002</v>
      </c>
      <c r="I453" s="5">
        <v>0.19</v>
      </c>
      <c r="J453" s="5">
        <v>0.20399999999999999</v>
      </c>
      <c r="K453" s="5">
        <v>0.223</v>
      </c>
      <c r="L453" s="5">
        <v>0.19899999999999998</v>
      </c>
      <c r="M453" s="5">
        <v>0.17800000000000002</v>
      </c>
      <c r="N453" s="5">
        <v>0.14000000000000001</v>
      </c>
    </row>
    <row r="454" spans="1:14" x14ac:dyDescent="0.25">
      <c r="A454">
        <v>2014</v>
      </c>
      <c r="B454">
        <v>202</v>
      </c>
      <c r="C454" t="s">
        <v>108</v>
      </c>
      <c r="D454" t="s">
        <v>43</v>
      </c>
      <c r="E454" s="5">
        <v>0.251</v>
      </c>
      <c r="F454" s="5">
        <v>0.23100000000000001</v>
      </c>
      <c r="G454" s="5">
        <v>0.18100000000000002</v>
      </c>
      <c r="H454" s="5">
        <v>0.17100000000000001</v>
      </c>
      <c r="I454" s="5">
        <v>0.16800000000000001</v>
      </c>
      <c r="J454" s="5">
        <v>0.16300000000000001</v>
      </c>
      <c r="K454" s="5">
        <v>0.15</v>
      </c>
      <c r="L454" s="5">
        <v>0.128</v>
      </c>
      <c r="M454" s="5">
        <v>0.13699999999999998</v>
      </c>
      <c r="N454" s="5">
        <v>0.09</v>
      </c>
    </row>
    <row r="455" spans="1:14" x14ac:dyDescent="0.25">
      <c r="A455">
        <v>2014</v>
      </c>
      <c r="B455">
        <v>202</v>
      </c>
      <c r="C455" t="s">
        <v>108</v>
      </c>
      <c r="D455" t="s">
        <v>44</v>
      </c>
      <c r="E455" s="5" t="s">
        <v>109</v>
      </c>
      <c r="F455" s="5">
        <v>0.22800000000000001</v>
      </c>
      <c r="G455" s="5">
        <v>0.17300000000000001</v>
      </c>
      <c r="H455" s="5">
        <v>0.16200000000000001</v>
      </c>
      <c r="I455" s="5">
        <v>0.13699999999999998</v>
      </c>
      <c r="J455" s="5">
        <v>0.125</v>
      </c>
      <c r="K455" s="5">
        <v>0.115</v>
      </c>
      <c r="L455" s="5">
        <v>0.11599999999999999</v>
      </c>
      <c r="M455" s="5">
        <v>0.13600000000000001</v>
      </c>
      <c r="N455" s="5">
        <v>7.400000000000001E-2</v>
      </c>
    </row>
    <row r="456" spans="1:14" x14ac:dyDescent="0.25">
      <c r="A456">
        <v>2014</v>
      </c>
      <c r="B456">
        <v>202</v>
      </c>
      <c r="C456" t="s">
        <v>108</v>
      </c>
      <c r="D456" t="s">
        <v>38</v>
      </c>
      <c r="E456" s="5">
        <v>0.223</v>
      </c>
      <c r="F456" s="5">
        <v>0.22800000000000001</v>
      </c>
      <c r="G456" s="5">
        <v>0.251</v>
      </c>
      <c r="H456" s="5">
        <v>0.27</v>
      </c>
      <c r="I456" s="5">
        <v>0.24199999999999999</v>
      </c>
      <c r="J456" s="5">
        <v>0.20800000000000002</v>
      </c>
      <c r="K456" s="5">
        <v>0.157</v>
      </c>
      <c r="L456" s="5">
        <v>0.17899999999999999</v>
      </c>
      <c r="M456" s="5">
        <v>0.16899999999999998</v>
      </c>
      <c r="N456" s="5">
        <v>0.10199999999999999</v>
      </c>
    </row>
    <row r="457" spans="1:14" x14ac:dyDescent="0.25">
      <c r="A457">
        <v>2014</v>
      </c>
      <c r="B457">
        <v>202</v>
      </c>
      <c r="C457" t="s">
        <v>108</v>
      </c>
      <c r="D457" t="s">
        <v>85</v>
      </c>
      <c r="E457" s="5">
        <v>0.21</v>
      </c>
      <c r="F457" s="5">
        <v>0.20300000000000001</v>
      </c>
      <c r="G457" s="5">
        <v>0.22899999999999998</v>
      </c>
      <c r="H457" s="5">
        <v>0.24600000000000002</v>
      </c>
      <c r="I457" s="5">
        <v>0.251</v>
      </c>
      <c r="J457" s="5">
        <v>0.245</v>
      </c>
      <c r="K457" s="5">
        <v>0.222</v>
      </c>
      <c r="L457" s="5">
        <v>0.17899999999999999</v>
      </c>
      <c r="M457" s="5">
        <v>0.19</v>
      </c>
      <c r="N457" s="5">
        <v>0.129</v>
      </c>
    </row>
    <row r="458" spans="1:14" x14ac:dyDescent="0.25">
      <c r="A458">
        <v>2014</v>
      </c>
      <c r="B458">
        <v>202</v>
      </c>
      <c r="C458" t="s">
        <v>108</v>
      </c>
      <c r="D458" t="s">
        <v>84</v>
      </c>
      <c r="E458" s="5" t="s">
        <v>109</v>
      </c>
      <c r="F458" s="5">
        <v>0.22899999999999998</v>
      </c>
      <c r="G458" s="5">
        <v>0.253</v>
      </c>
      <c r="H458" s="5">
        <v>0.252</v>
      </c>
      <c r="I458" s="5">
        <v>0.26100000000000001</v>
      </c>
      <c r="J458" s="5">
        <v>0.254</v>
      </c>
      <c r="K458" s="5">
        <v>0.24</v>
      </c>
      <c r="L458" s="5">
        <v>0.17300000000000001</v>
      </c>
      <c r="M458" s="5">
        <v>0.16699999999999998</v>
      </c>
      <c r="N458" s="5">
        <v>0.111</v>
      </c>
    </row>
    <row r="459" spans="1:14" x14ac:dyDescent="0.25">
      <c r="A459">
        <v>2014</v>
      </c>
      <c r="B459">
        <v>202</v>
      </c>
      <c r="C459" t="s">
        <v>108</v>
      </c>
      <c r="D459" t="s">
        <v>42</v>
      </c>
      <c r="E459" s="5" t="s">
        <v>109</v>
      </c>
      <c r="F459" s="5">
        <v>0.24</v>
      </c>
      <c r="G459" s="5">
        <v>0.245</v>
      </c>
      <c r="H459" s="5">
        <v>0.255</v>
      </c>
      <c r="I459" s="5">
        <v>0.252</v>
      </c>
      <c r="J459" s="5">
        <v>0.25600000000000001</v>
      </c>
      <c r="K459" s="5">
        <v>0.26</v>
      </c>
      <c r="L459" s="5">
        <v>0.20499999999999999</v>
      </c>
      <c r="M459" s="5">
        <v>0.182</v>
      </c>
      <c r="N459" s="5">
        <v>0.125</v>
      </c>
    </row>
    <row r="460" spans="1:14" x14ac:dyDescent="0.25">
      <c r="A460">
        <v>2014</v>
      </c>
      <c r="B460">
        <v>202</v>
      </c>
      <c r="C460" t="s">
        <v>108</v>
      </c>
      <c r="D460" t="s">
        <v>83</v>
      </c>
      <c r="E460" s="5">
        <v>0.17699999999999999</v>
      </c>
      <c r="F460" s="5">
        <v>0.17600000000000002</v>
      </c>
      <c r="G460" s="5">
        <v>0.23300000000000001</v>
      </c>
      <c r="H460" s="5">
        <v>0.27399999999999997</v>
      </c>
      <c r="I460" s="5">
        <v>0.247</v>
      </c>
      <c r="J460" s="5">
        <v>0.21100000000000002</v>
      </c>
      <c r="K460" s="5">
        <v>0.153</v>
      </c>
      <c r="L460" s="5">
        <v>0.13300000000000001</v>
      </c>
      <c r="M460" s="5">
        <v>0.13200000000000001</v>
      </c>
      <c r="N460" s="5">
        <v>0.08</v>
      </c>
    </row>
    <row r="461" spans="1:14" x14ac:dyDescent="0.25">
      <c r="A461">
        <v>2014</v>
      </c>
      <c r="B461">
        <v>202</v>
      </c>
      <c r="C461" t="s">
        <v>108</v>
      </c>
      <c r="D461" t="s">
        <v>82</v>
      </c>
      <c r="E461" s="5">
        <v>0.17499999999999999</v>
      </c>
      <c r="F461" s="5">
        <v>0.17</v>
      </c>
      <c r="G461" s="5">
        <v>0.17300000000000001</v>
      </c>
      <c r="H461" s="5">
        <v>0.22</v>
      </c>
      <c r="I461" s="5">
        <v>0.26</v>
      </c>
      <c r="J461" s="5">
        <v>0.22600000000000001</v>
      </c>
      <c r="K461" s="5">
        <v>0.19899999999999998</v>
      </c>
      <c r="L461" s="5">
        <v>0.157</v>
      </c>
      <c r="M461" s="5">
        <v>0.14800000000000002</v>
      </c>
      <c r="N461" s="5">
        <v>8.1000000000000003E-2</v>
      </c>
    </row>
    <row r="462" spans="1:14" x14ac:dyDescent="0.25">
      <c r="A462">
        <v>2014</v>
      </c>
      <c r="B462">
        <v>202</v>
      </c>
      <c r="C462" t="s">
        <v>108</v>
      </c>
      <c r="D462" t="s">
        <v>72</v>
      </c>
      <c r="E462" s="5" t="s">
        <v>109</v>
      </c>
      <c r="F462" s="5">
        <v>0.23199999999999998</v>
      </c>
      <c r="G462" s="5">
        <v>0.23499999999999999</v>
      </c>
      <c r="H462" s="5">
        <v>0.26</v>
      </c>
      <c r="I462" s="5">
        <v>0.24600000000000002</v>
      </c>
      <c r="J462" s="5">
        <v>0.16500000000000001</v>
      </c>
      <c r="K462" s="5">
        <v>0.14599999999999999</v>
      </c>
      <c r="L462" s="5">
        <v>0.17600000000000002</v>
      </c>
      <c r="M462" s="5">
        <v>0.185</v>
      </c>
      <c r="N462" s="5">
        <v>0.124</v>
      </c>
    </row>
    <row r="463" spans="1:14" x14ac:dyDescent="0.25">
      <c r="A463">
        <v>2014</v>
      </c>
      <c r="B463">
        <v>202</v>
      </c>
      <c r="C463" t="s">
        <v>108</v>
      </c>
      <c r="D463" t="s">
        <v>39</v>
      </c>
      <c r="E463" s="5">
        <v>0.20100000000000001</v>
      </c>
      <c r="F463" s="5">
        <v>0.20499999999999999</v>
      </c>
      <c r="G463" s="5">
        <v>0.19899999999999998</v>
      </c>
      <c r="H463" s="5">
        <v>0.24399999999999999</v>
      </c>
      <c r="I463" s="5">
        <v>0.253</v>
      </c>
      <c r="J463" s="5">
        <v>0.23399999999999999</v>
      </c>
      <c r="K463" s="5">
        <v>0.24399999999999999</v>
      </c>
      <c r="L463" s="5">
        <v>0.221</v>
      </c>
      <c r="M463" s="5">
        <v>0.19800000000000001</v>
      </c>
      <c r="N463" s="5">
        <v>0.121</v>
      </c>
    </row>
    <row r="464" spans="1:14" x14ac:dyDescent="0.25">
      <c r="A464">
        <v>2014</v>
      </c>
      <c r="B464">
        <v>202</v>
      </c>
      <c r="C464" t="s">
        <v>108</v>
      </c>
      <c r="D464" t="s">
        <v>86</v>
      </c>
      <c r="E464" s="5">
        <v>0.16699999999999998</v>
      </c>
      <c r="F464" s="5">
        <v>0.17899999999999999</v>
      </c>
      <c r="G464" s="5">
        <v>0.22800000000000001</v>
      </c>
      <c r="H464" s="5">
        <v>0.23199999999999998</v>
      </c>
      <c r="I464" s="5">
        <v>0.248</v>
      </c>
      <c r="J464" s="5">
        <v>0.20899999999999999</v>
      </c>
      <c r="K464" s="5">
        <v>0.193</v>
      </c>
      <c r="L464" s="5">
        <v>0.187</v>
      </c>
      <c r="M464" s="5">
        <v>0.191</v>
      </c>
      <c r="N464" s="5">
        <v>0.129</v>
      </c>
    </row>
    <row r="465" spans="1:14" x14ac:dyDescent="0.25">
      <c r="A465">
        <v>2014</v>
      </c>
      <c r="B465">
        <v>202</v>
      </c>
      <c r="C465" t="s">
        <v>108</v>
      </c>
      <c r="D465" t="s">
        <v>87</v>
      </c>
      <c r="E465" s="5" t="s">
        <v>109</v>
      </c>
      <c r="F465" s="5">
        <v>0.191</v>
      </c>
      <c r="G465" s="5">
        <v>0.20800000000000002</v>
      </c>
      <c r="H465" s="5">
        <v>0.25700000000000001</v>
      </c>
      <c r="I465" s="5">
        <v>0.24600000000000002</v>
      </c>
      <c r="J465" s="5">
        <v>0.23600000000000002</v>
      </c>
      <c r="K465" s="5">
        <v>0.21</v>
      </c>
      <c r="L465" s="5">
        <v>0.17100000000000001</v>
      </c>
      <c r="M465" s="5">
        <v>0.157</v>
      </c>
      <c r="N465" s="5">
        <v>0.105</v>
      </c>
    </row>
    <row r="466" spans="1:14" x14ac:dyDescent="0.25">
      <c r="A466">
        <v>2014</v>
      </c>
      <c r="B466">
        <v>202</v>
      </c>
      <c r="C466" t="s">
        <v>108</v>
      </c>
      <c r="D466" t="s">
        <v>88</v>
      </c>
      <c r="E466" s="5">
        <v>0.222</v>
      </c>
      <c r="F466" s="5">
        <v>0.21</v>
      </c>
      <c r="G466" s="5">
        <v>0.21899999999999997</v>
      </c>
      <c r="H466" s="5">
        <v>0.222</v>
      </c>
      <c r="I466" s="5">
        <v>0.223</v>
      </c>
      <c r="J466" s="5">
        <v>0.20300000000000001</v>
      </c>
      <c r="K466" s="5">
        <v>0.18100000000000002</v>
      </c>
      <c r="L466" s="5">
        <v>0.14000000000000001</v>
      </c>
      <c r="M466" s="5">
        <v>0.14699999999999999</v>
      </c>
      <c r="N466" s="5">
        <v>9.4E-2</v>
      </c>
    </row>
    <row r="467" spans="1:14" x14ac:dyDescent="0.25">
      <c r="A467">
        <v>2014</v>
      </c>
      <c r="B467">
        <v>202</v>
      </c>
      <c r="C467" t="s">
        <v>108</v>
      </c>
      <c r="D467" t="s">
        <v>36</v>
      </c>
      <c r="E467" s="5">
        <v>0.153</v>
      </c>
      <c r="F467" s="5">
        <v>0.161</v>
      </c>
      <c r="G467" s="5">
        <v>0.17199999999999999</v>
      </c>
      <c r="H467" s="5">
        <v>0.21199999999999999</v>
      </c>
      <c r="I467" s="5">
        <v>0.21600000000000003</v>
      </c>
      <c r="J467" s="5">
        <v>0.185</v>
      </c>
      <c r="K467" s="5">
        <v>0.158</v>
      </c>
      <c r="L467" s="5">
        <v>0.151</v>
      </c>
      <c r="M467" s="5">
        <v>0.14699999999999999</v>
      </c>
      <c r="N467" s="5">
        <v>8.3000000000000004E-2</v>
      </c>
    </row>
    <row r="468" spans="1:14" x14ac:dyDescent="0.25">
      <c r="A468">
        <v>2014</v>
      </c>
      <c r="B468">
        <v>202</v>
      </c>
      <c r="C468" t="s">
        <v>108</v>
      </c>
      <c r="D468" t="s">
        <v>94</v>
      </c>
      <c r="E468" s="5" t="s">
        <v>109</v>
      </c>
      <c r="F468" s="5">
        <v>0.20800000000000002</v>
      </c>
      <c r="G468" s="5">
        <v>0.21100000000000002</v>
      </c>
      <c r="H468" s="5">
        <v>0.214</v>
      </c>
      <c r="I468" s="5">
        <v>0.19500000000000001</v>
      </c>
      <c r="J468" s="5">
        <v>0.13800000000000001</v>
      </c>
      <c r="K468" s="5">
        <v>0.126</v>
      </c>
      <c r="L468" s="5">
        <v>0.14599999999999999</v>
      </c>
      <c r="M468" s="5">
        <v>0.14599999999999999</v>
      </c>
      <c r="N468" s="5">
        <v>8.5000000000000006E-2</v>
      </c>
    </row>
    <row r="469" spans="1:14" x14ac:dyDescent="0.25">
      <c r="A469">
        <v>2014</v>
      </c>
      <c r="B469">
        <v>202</v>
      </c>
      <c r="C469" t="s">
        <v>108</v>
      </c>
      <c r="D469" t="s">
        <v>93</v>
      </c>
      <c r="E469" s="5">
        <v>0.21100000000000002</v>
      </c>
      <c r="F469" s="5">
        <v>0.22</v>
      </c>
      <c r="G469" s="5">
        <v>0.223</v>
      </c>
      <c r="H469" s="5">
        <v>0.21199999999999999</v>
      </c>
      <c r="I469" s="5">
        <v>0.16899999999999998</v>
      </c>
      <c r="J469" s="5">
        <v>0.13400000000000001</v>
      </c>
      <c r="K469" s="5">
        <v>0.114</v>
      </c>
      <c r="L469" s="5">
        <v>0.15</v>
      </c>
      <c r="M469" s="5">
        <v>0.157</v>
      </c>
      <c r="N469" s="5">
        <v>0.10099999999999999</v>
      </c>
    </row>
    <row r="470" spans="1:14" x14ac:dyDescent="0.25">
      <c r="A470">
        <v>2014</v>
      </c>
      <c r="B470">
        <v>202</v>
      </c>
      <c r="C470" t="s">
        <v>108</v>
      </c>
      <c r="D470" t="s">
        <v>92</v>
      </c>
      <c r="E470" s="5" t="s">
        <v>109</v>
      </c>
      <c r="F470" s="5">
        <v>0.19800000000000001</v>
      </c>
      <c r="G470" s="5">
        <v>0.23</v>
      </c>
      <c r="H470" s="5">
        <v>0.23399999999999999</v>
      </c>
      <c r="I470" s="5">
        <v>0.20899999999999999</v>
      </c>
      <c r="J470" s="5">
        <v>0.187</v>
      </c>
      <c r="K470" s="5">
        <v>0.14699999999999999</v>
      </c>
      <c r="L470" s="5">
        <v>0.17199999999999999</v>
      </c>
      <c r="M470" s="5">
        <v>0.17600000000000002</v>
      </c>
      <c r="N470" s="5">
        <v>0.11800000000000001</v>
      </c>
    </row>
    <row r="471" spans="1:14" x14ac:dyDescent="0.25">
      <c r="A471">
        <v>2014</v>
      </c>
      <c r="B471">
        <v>202</v>
      </c>
      <c r="C471" t="s">
        <v>108</v>
      </c>
      <c r="D471" t="s">
        <v>91</v>
      </c>
      <c r="E471" s="5">
        <v>0.16</v>
      </c>
      <c r="F471" s="5">
        <v>0.19</v>
      </c>
      <c r="G471" s="5">
        <v>0.24299999999999999</v>
      </c>
      <c r="H471" s="5">
        <v>0.255</v>
      </c>
      <c r="I471" s="5">
        <v>0.253</v>
      </c>
      <c r="J471" s="5">
        <v>0.25600000000000001</v>
      </c>
      <c r="K471" s="5">
        <v>0.22600000000000001</v>
      </c>
      <c r="L471" s="5">
        <v>0.19899999999999998</v>
      </c>
      <c r="M471" s="5">
        <v>0.17800000000000002</v>
      </c>
      <c r="N471" s="5">
        <v>0.128</v>
      </c>
    </row>
    <row r="472" spans="1:14" x14ac:dyDescent="0.25">
      <c r="A472">
        <v>2014</v>
      </c>
      <c r="B472">
        <v>202</v>
      </c>
      <c r="C472" t="s">
        <v>108</v>
      </c>
      <c r="D472" t="s">
        <v>90</v>
      </c>
      <c r="E472" s="5">
        <v>0.19800000000000001</v>
      </c>
      <c r="F472" s="5">
        <v>0.20199999999999999</v>
      </c>
      <c r="G472" s="5">
        <v>0.193</v>
      </c>
      <c r="H472" s="5">
        <v>0.21299999999999999</v>
      </c>
      <c r="I472" s="5">
        <v>0.223</v>
      </c>
      <c r="J472" s="5">
        <v>0.21199999999999999</v>
      </c>
      <c r="K472" s="5">
        <v>0.20199999999999999</v>
      </c>
      <c r="L472" s="5">
        <v>0.16699999999999998</v>
      </c>
      <c r="M472" s="5">
        <v>0.153</v>
      </c>
      <c r="N472" s="5">
        <v>0.09</v>
      </c>
    </row>
    <row r="473" spans="1:14" x14ac:dyDescent="0.25">
      <c r="A473">
        <v>2014</v>
      </c>
      <c r="B473">
        <v>202</v>
      </c>
      <c r="C473" t="s">
        <v>108</v>
      </c>
      <c r="D473" t="s">
        <v>89</v>
      </c>
      <c r="E473" s="5">
        <v>0.16800000000000001</v>
      </c>
      <c r="F473" s="5">
        <v>0.17199999999999999</v>
      </c>
      <c r="G473" s="5">
        <v>0.20800000000000002</v>
      </c>
      <c r="H473" s="5">
        <v>0.24100000000000002</v>
      </c>
      <c r="I473" s="5">
        <v>0.247</v>
      </c>
      <c r="J473" s="5">
        <v>0.22399999999999998</v>
      </c>
      <c r="K473" s="5">
        <v>0.20499999999999999</v>
      </c>
      <c r="L473" s="5">
        <v>0.16699999999999998</v>
      </c>
      <c r="M473" s="5">
        <v>0.14899999999999999</v>
      </c>
      <c r="N473" s="5">
        <v>8.1000000000000003E-2</v>
      </c>
    </row>
    <row r="474" spans="1:14" x14ac:dyDescent="0.25">
      <c r="A474">
        <v>2014</v>
      </c>
      <c r="B474">
        <v>202</v>
      </c>
      <c r="C474" t="s">
        <v>108</v>
      </c>
      <c r="D474" t="s">
        <v>45</v>
      </c>
      <c r="E474" s="5">
        <v>0.222</v>
      </c>
      <c r="F474" s="5">
        <v>0.217</v>
      </c>
      <c r="G474" s="5">
        <v>0.223</v>
      </c>
      <c r="H474" s="5">
        <v>0.23100000000000001</v>
      </c>
      <c r="I474" s="5">
        <v>0.221</v>
      </c>
      <c r="J474" s="5">
        <v>0.19</v>
      </c>
      <c r="K474" s="5">
        <v>0.17199999999999999</v>
      </c>
      <c r="L474" s="5">
        <v>0.17</v>
      </c>
      <c r="M474" s="5">
        <v>0.17399999999999999</v>
      </c>
      <c r="N474" s="5">
        <v>0.11199999999999999</v>
      </c>
    </row>
    <row r="475" spans="1:14" x14ac:dyDescent="0.25">
      <c r="A475">
        <v>2014</v>
      </c>
      <c r="B475">
        <v>202</v>
      </c>
      <c r="C475" t="s">
        <v>108</v>
      </c>
      <c r="D475" t="s">
        <v>46</v>
      </c>
      <c r="E475" s="5">
        <v>0.22899999999999998</v>
      </c>
      <c r="F475" s="5">
        <v>0.23600000000000002</v>
      </c>
      <c r="G475" s="5">
        <v>0.23800000000000002</v>
      </c>
      <c r="H475" s="5">
        <v>0.24600000000000002</v>
      </c>
      <c r="I475" s="5">
        <v>0.23499999999999999</v>
      </c>
      <c r="J475" s="5">
        <v>0.21899999999999997</v>
      </c>
      <c r="K475" s="5">
        <v>0.20800000000000002</v>
      </c>
      <c r="L475" s="5">
        <v>0.19899999999999998</v>
      </c>
      <c r="M475" s="5">
        <v>0.193</v>
      </c>
      <c r="N475" s="5">
        <v>0.127</v>
      </c>
    </row>
    <row r="476" spans="1:14" x14ac:dyDescent="0.25">
      <c r="A476">
        <v>2014</v>
      </c>
      <c r="B476">
        <v>202</v>
      </c>
      <c r="C476" t="s">
        <v>108</v>
      </c>
      <c r="D476" t="s">
        <v>47</v>
      </c>
      <c r="E476" s="5">
        <v>0.215</v>
      </c>
      <c r="F476" s="5">
        <v>0.19800000000000001</v>
      </c>
      <c r="G476" s="5">
        <v>0.214</v>
      </c>
      <c r="H476" s="5">
        <v>0.22800000000000001</v>
      </c>
      <c r="I476" s="5">
        <v>0.20899999999999999</v>
      </c>
      <c r="J476" s="5">
        <v>0.19899999999999998</v>
      </c>
      <c r="K476" s="5">
        <v>0.191</v>
      </c>
      <c r="L476" s="5">
        <v>0.20699999999999999</v>
      </c>
      <c r="M476" s="5">
        <v>0.20100000000000001</v>
      </c>
      <c r="N476" s="5">
        <v>0.11</v>
      </c>
    </row>
    <row r="477" spans="1:14" x14ac:dyDescent="0.25">
      <c r="A477">
        <v>2014</v>
      </c>
      <c r="B477">
        <v>202</v>
      </c>
      <c r="C477" t="s">
        <v>108</v>
      </c>
      <c r="D477" t="s">
        <v>48</v>
      </c>
      <c r="E477" s="5">
        <v>0.14300000000000002</v>
      </c>
      <c r="F477" s="5">
        <v>0.13300000000000001</v>
      </c>
      <c r="G477" s="5">
        <v>0.124</v>
      </c>
      <c r="H477" s="5">
        <v>0.121</v>
      </c>
      <c r="I477" s="5">
        <v>0.106</v>
      </c>
      <c r="J477" s="5">
        <v>0.106</v>
      </c>
      <c r="K477" s="5">
        <v>0.111</v>
      </c>
      <c r="L477" s="5">
        <v>0.157</v>
      </c>
      <c r="M477" s="5">
        <v>0.183</v>
      </c>
      <c r="N477" s="5">
        <v>0.13</v>
      </c>
    </row>
    <row r="478" spans="1:14" x14ac:dyDescent="0.25">
      <c r="A478">
        <v>2014</v>
      </c>
      <c r="B478">
        <v>202</v>
      </c>
      <c r="C478" t="s">
        <v>108</v>
      </c>
      <c r="D478" t="s">
        <v>49</v>
      </c>
      <c r="E478" s="5">
        <v>0.183</v>
      </c>
      <c r="F478" s="5">
        <v>0.20499999999999999</v>
      </c>
      <c r="G478" s="5">
        <v>0.22399999999999998</v>
      </c>
      <c r="H478" s="5">
        <v>0.22699999999999998</v>
      </c>
      <c r="I478" s="5">
        <v>0.222</v>
      </c>
      <c r="J478" s="5">
        <v>0.191</v>
      </c>
      <c r="K478" s="5">
        <v>0.14099999999999999</v>
      </c>
      <c r="L478" s="5">
        <v>0.15</v>
      </c>
      <c r="M478" s="5">
        <v>0.16</v>
      </c>
      <c r="N478" s="5">
        <v>0.10400000000000001</v>
      </c>
    </row>
    <row r="479" spans="1:14" x14ac:dyDescent="0.25">
      <c r="A479">
        <v>2014</v>
      </c>
      <c r="B479">
        <v>202</v>
      </c>
      <c r="C479" t="s">
        <v>108</v>
      </c>
      <c r="D479" t="s">
        <v>50</v>
      </c>
      <c r="E479" s="5">
        <v>0.19500000000000001</v>
      </c>
      <c r="F479" s="5">
        <v>0.215</v>
      </c>
      <c r="G479" s="5">
        <v>0.19800000000000001</v>
      </c>
      <c r="H479" s="5">
        <v>0.18</v>
      </c>
      <c r="I479" s="5">
        <v>0.161</v>
      </c>
      <c r="J479" s="5">
        <v>0.17199999999999999</v>
      </c>
      <c r="K479" s="5">
        <v>0.16</v>
      </c>
      <c r="L479" s="5">
        <v>0.152</v>
      </c>
      <c r="M479" s="5">
        <v>0.159</v>
      </c>
      <c r="N479" s="5">
        <v>9.6000000000000002E-2</v>
      </c>
    </row>
    <row r="480" spans="1:14" x14ac:dyDescent="0.25">
      <c r="A480">
        <v>2014</v>
      </c>
      <c r="B480">
        <v>209</v>
      </c>
      <c r="C480" t="s">
        <v>108</v>
      </c>
      <c r="D480" t="s">
        <v>51</v>
      </c>
      <c r="E480" s="5">
        <v>0.11</v>
      </c>
      <c r="F480" s="5">
        <v>0.125</v>
      </c>
      <c r="G480" s="5">
        <v>0.13200000000000001</v>
      </c>
      <c r="H480" s="5">
        <v>0.14800000000000002</v>
      </c>
      <c r="I480" s="5">
        <v>0.16699999999999998</v>
      </c>
      <c r="J480" s="5">
        <v>0.18</v>
      </c>
      <c r="K480" s="5">
        <v>0.19500000000000001</v>
      </c>
      <c r="L480" s="5">
        <v>0.18899999999999997</v>
      </c>
      <c r="M480" s="5">
        <v>0.16399999999999998</v>
      </c>
      <c r="N480" s="5">
        <v>6.6000000000000003E-2</v>
      </c>
    </row>
    <row r="481" spans="1:14" x14ac:dyDescent="0.25">
      <c r="A481">
        <v>2014</v>
      </c>
      <c r="B481">
        <v>209</v>
      </c>
      <c r="C481" t="s">
        <v>108</v>
      </c>
      <c r="D481" t="s">
        <v>55</v>
      </c>
      <c r="E481" s="5">
        <v>0.24600000000000002</v>
      </c>
      <c r="F481" s="5">
        <v>0.151</v>
      </c>
      <c r="G481" s="5">
        <v>0.12300000000000001</v>
      </c>
      <c r="H481" s="5">
        <v>0.14000000000000001</v>
      </c>
      <c r="I481" s="5">
        <v>0.156</v>
      </c>
      <c r="J481" s="5">
        <v>0.16200000000000001</v>
      </c>
      <c r="K481" s="5">
        <v>0.17499999999999999</v>
      </c>
      <c r="L481" s="5">
        <v>0.19</v>
      </c>
      <c r="M481" s="5">
        <v>0.16600000000000001</v>
      </c>
      <c r="N481" s="5">
        <v>7.2999999999999995E-2</v>
      </c>
    </row>
    <row r="482" spans="1:14" x14ac:dyDescent="0.25">
      <c r="A482">
        <v>2014</v>
      </c>
      <c r="B482">
        <v>209</v>
      </c>
      <c r="C482" t="s">
        <v>108</v>
      </c>
      <c r="D482" t="s">
        <v>56</v>
      </c>
      <c r="E482" s="5">
        <v>0.13699999999999998</v>
      </c>
      <c r="F482" s="5">
        <v>0.17499999999999999</v>
      </c>
      <c r="G482" s="5">
        <v>0.20800000000000002</v>
      </c>
      <c r="H482" s="5">
        <v>0.218</v>
      </c>
      <c r="I482" s="5">
        <v>0.19899999999999998</v>
      </c>
      <c r="J482" s="5">
        <v>0.17600000000000002</v>
      </c>
      <c r="K482" s="5">
        <v>0.17699999999999999</v>
      </c>
      <c r="L482" s="5">
        <v>0.20499999999999999</v>
      </c>
      <c r="M482" s="5">
        <v>0.21600000000000003</v>
      </c>
      <c r="N482" s="5">
        <v>7.8E-2</v>
      </c>
    </row>
    <row r="483" spans="1:14" x14ac:dyDescent="0.25">
      <c r="A483">
        <v>2014</v>
      </c>
      <c r="B483">
        <v>209</v>
      </c>
      <c r="C483" t="s">
        <v>108</v>
      </c>
      <c r="D483" t="s">
        <v>57</v>
      </c>
      <c r="E483" s="5" t="s">
        <v>109</v>
      </c>
      <c r="F483" s="5">
        <v>0.14499999999999999</v>
      </c>
      <c r="G483" s="5">
        <v>0.156</v>
      </c>
      <c r="H483" s="5">
        <v>0.184</v>
      </c>
      <c r="I483" s="5">
        <v>0.2</v>
      </c>
      <c r="J483" s="5">
        <v>0.2</v>
      </c>
      <c r="K483" s="5">
        <v>0.19800000000000001</v>
      </c>
      <c r="L483" s="5">
        <v>0.18</v>
      </c>
      <c r="M483" s="5">
        <v>0.157</v>
      </c>
      <c r="N483" s="5">
        <v>7.6999999999999999E-2</v>
      </c>
    </row>
    <row r="484" spans="1:14" x14ac:dyDescent="0.25">
      <c r="A484">
        <v>2014</v>
      </c>
      <c r="B484">
        <v>209</v>
      </c>
      <c r="C484" t="s">
        <v>108</v>
      </c>
      <c r="D484" t="s">
        <v>58</v>
      </c>
      <c r="E484" s="5" t="s">
        <v>109</v>
      </c>
      <c r="F484" s="5" t="s">
        <v>109</v>
      </c>
      <c r="G484" s="5">
        <v>0.20499999999999999</v>
      </c>
      <c r="H484" s="5">
        <v>0.254</v>
      </c>
      <c r="I484" s="5">
        <v>0.20499999999999999</v>
      </c>
      <c r="J484" s="5">
        <v>0.22399999999999998</v>
      </c>
      <c r="K484" s="5">
        <v>0.20300000000000001</v>
      </c>
      <c r="L484" s="5">
        <v>0.20800000000000002</v>
      </c>
      <c r="M484" s="5">
        <v>0.23100000000000001</v>
      </c>
      <c r="N484" s="5">
        <v>0.13</v>
      </c>
    </row>
    <row r="485" spans="1:14" x14ac:dyDescent="0.25">
      <c r="A485">
        <v>2014</v>
      </c>
      <c r="B485">
        <v>209</v>
      </c>
      <c r="C485" t="s">
        <v>108</v>
      </c>
      <c r="D485" t="s">
        <v>59</v>
      </c>
      <c r="E485" s="5" t="s">
        <v>109</v>
      </c>
      <c r="F485" s="5">
        <v>0.20800000000000002</v>
      </c>
      <c r="G485" s="5">
        <v>0.20899999999999999</v>
      </c>
      <c r="H485" s="5">
        <v>0.20499999999999999</v>
      </c>
      <c r="I485" s="5">
        <v>0.223</v>
      </c>
      <c r="J485" s="5">
        <v>0.214</v>
      </c>
      <c r="K485" s="5">
        <v>0.2</v>
      </c>
      <c r="L485" s="5">
        <v>0.21100000000000002</v>
      </c>
      <c r="M485" s="5">
        <v>0.17300000000000001</v>
      </c>
      <c r="N485" s="5">
        <v>6.7000000000000004E-2</v>
      </c>
    </row>
    <row r="486" spans="1:14" x14ac:dyDescent="0.25">
      <c r="A486">
        <v>2014</v>
      </c>
      <c r="B486">
        <v>209</v>
      </c>
      <c r="C486" t="s">
        <v>108</v>
      </c>
      <c r="D486" t="s">
        <v>64</v>
      </c>
      <c r="E486" s="5">
        <v>0.26200000000000001</v>
      </c>
      <c r="F486" s="5">
        <v>0.157</v>
      </c>
      <c r="G486" s="5">
        <v>0.16899999999999998</v>
      </c>
      <c r="H486" s="5">
        <v>0.26300000000000001</v>
      </c>
      <c r="I486" s="5">
        <v>0.25</v>
      </c>
      <c r="J486" s="5">
        <v>0.23199999999999998</v>
      </c>
      <c r="K486" s="5">
        <v>0.23699999999999999</v>
      </c>
      <c r="L486" s="5">
        <v>0.22</v>
      </c>
      <c r="M486" s="5">
        <v>0.19699999999999998</v>
      </c>
      <c r="N486" s="5">
        <v>0.12300000000000001</v>
      </c>
    </row>
    <row r="487" spans="1:14" x14ac:dyDescent="0.25">
      <c r="A487">
        <v>2014</v>
      </c>
      <c r="B487">
        <v>209</v>
      </c>
      <c r="C487" t="s">
        <v>108</v>
      </c>
      <c r="D487" t="s">
        <v>52</v>
      </c>
      <c r="E487" s="5">
        <v>0.159</v>
      </c>
      <c r="F487" s="5">
        <v>0.17100000000000001</v>
      </c>
      <c r="G487" s="5">
        <v>0.193</v>
      </c>
      <c r="H487" s="5">
        <v>0.21199999999999999</v>
      </c>
      <c r="I487" s="5">
        <v>0.245</v>
      </c>
      <c r="J487" s="5">
        <v>0.25600000000000001</v>
      </c>
      <c r="K487" s="5">
        <v>0.25800000000000001</v>
      </c>
      <c r="L487" s="5">
        <v>0.23699999999999999</v>
      </c>
      <c r="M487" s="5">
        <v>0.182</v>
      </c>
      <c r="N487" s="5">
        <v>0.115</v>
      </c>
    </row>
    <row r="488" spans="1:14" x14ac:dyDescent="0.25">
      <c r="A488">
        <v>2014</v>
      </c>
      <c r="B488">
        <v>209</v>
      </c>
      <c r="C488" t="s">
        <v>108</v>
      </c>
      <c r="D488" t="s">
        <v>62</v>
      </c>
      <c r="E488" s="5">
        <v>0.17399999999999999</v>
      </c>
      <c r="F488" s="5">
        <v>0.14800000000000002</v>
      </c>
      <c r="G488" s="5">
        <v>0.16500000000000001</v>
      </c>
      <c r="H488" s="5">
        <v>0.17899999999999999</v>
      </c>
      <c r="I488" s="5">
        <v>0.23100000000000001</v>
      </c>
      <c r="J488" s="5">
        <v>0.23800000000000002</v>
      </c>
      <c r="K488" s="5">
        <v>0.22</v>
      </c>
      <c r="L488" s="5">
        <v>0.245</v>
      </c>
      <c r="M488" s="5">
        <v>0.21100000000000002</v>
      </c>
      <c r="N488" s="5">
        <v>0.129</v>
      </c>
    </row>
    <row r="489" spans="1:14" x14ac:dyDescent="0.25">
      <c r="A489">
        <v>2014</v>
      </c>
      <c r="B489">
        <v>209</v>
      </c>
      <c r="C489" t="s">
        <v>108</v>
      </c>
      <c r="D489" t="s">
        <v>63</v>
      </c>
      <c r="E489" s="5">
        <v>0.18</v>
      </c>
      <c r="F489" s="5">
        <v>0.16699999999999998</v>
      </c>
      <c r="G489" s="5">
        <v>0.16699999999999998</v>
      </c>
      <c r="H489" s="5">
        <v>0.21199999999999999</v>
      </c>
      <c r="I489" s="5">
        <v>0.24399999999999999</v>
      </c>
      <c r="J489" s="5">
        <v>0.24199999999999999</v>
      </c>
      <c r="K489" s="5">
        <v>0.26</v>
      </c>
      <c r="L489" s="5">
        <v>0.19800000000000001</v>
      </c>
      <c r="M489" s="5">
        <v>0.17800000000000002</v>
      </c>
      <c r="N489" s="5">
        <v>0.109</v>
      </c>
    </row>
    <row r="490" spans="1:14" x14ac:dyDescent="0.25">
      <c r="A490">
        <v>2014</v>
      </c>
      <c r="B490">
        <v>209</v>
      </c>
      <c r="C490" t="s">
        <v>108</v>
      </c>
      <c r="D490" t="s">
        <v>61</v>
      </c>
      <c r="E490" s="5" t="s">
        <v>109</v>
      </c>
      <c r="F490" s="5" t="s">
        <v>109</v>
      </c>
      <c r="G490" s="5">
        <v>0.28300000000000003</v>
      </c>
      <c r="H490" s="5">
        <v>0.20300000000000001</v>
      </c>
      <c r="I490" s="5">
        <v>0.221</v>
      </c>
      <c r="J490" s="5">
        <v>0.22899999999999998</v>
      </c>
      <c r="K490" s="5">
        <v>0.19399999999999998</v>
      </c>
      <c r="L490" s="5">
        <v>0.245</v>
      </c>
      <c r="M490" s="5">
        <v>0.22800000000000001</v>
      </c>
      <c r="N490" s="5">
        <v>0.13200000000000001</v>
      </c>
    </row>
    <row r="491" spans="1:14" x14ac:dyDescent="0.25">
      <c r="A491">
        <v>2014</v>
      </c>
      <c r="B491">
        <v>209</v>
      </c>
      <c r="C491" t="s">
        <v>108</v>
      </c>
      <c r="D491" t="s">
        <v>60</v>
      </c>
      <c r="E491" s="5" t="s">
        <v>109</v>
      </c>
      <c r="F491" s="5" t="s">
        <v>109</v>
      </c>
      <c r="G491" s="5">
        <v>0.28699999999999998</v>
      </c>
      <c r="H491" s="5">
        <v>0.30299999999999999</v>
      </c>
      <c r="I491" s="5">
        <v>0.222</v>
      </c>
      <c r="J491" s="5">
        <v>0.215</v>
      </c>
      <c r="K491" s="5">
        <v>0.24</v>
      </c>
      <c r="L491" s="5">
        <v>0.21600000000000003</v>
      </c>
      <c r="M491" s="5">
        <v>0.222</v>
      </c>
      <c r="N491" s="5">
        <v>0.14099999999999999</v>
      </c>
    </row>
    <row r="492" spans="1:14" x14ac:dyDescent="0.25">
      <c r="A492">
        <v>2014</v>
      </c>
      <c r="B492">
        <v>209</v>
      </c>
      <c r="C492" t="s">
        <v>108</v>
      </c>
      <c r="D492" t="s">
        <v>29</v>
      </c>
      <c r="E492" s="5">
        <v>0.19399999999999998</v>
      </c>
      <c r="F492" s="5">
        <v>0.20199999999999999</v>
      </c>
      <c r="G492" s="5">
        <v>0.19699999999999998</v>
      </c>
      <c r="H492" s="5">
        <v>0.25</v>
      </c>
      <c r="I492" s="5">
        <v>0.24</v>
      </c>
      <c r="J492" s="5">
        <v>0.26800000000000002</v>
      </c>
      <c r="K492" s="5">
        <v>0.26800000000000002</v>
      </c>
      <c r="L492" s="5">
        <v>0.28499999999999998</v>
      </c>
      <c r="M492" s="5">
        <v>0.26700000000000002</v>
      </c>
      <c r="N492" s="5">
        <v>0.18899999999999997</v>
      </c>
    </row>
    <row r="493" spans="1:14" x14ac:dyDescent="0.25">
      <c r="A493">
        <v>2014</v>
      </c>
      <c r="B493">
        <v>209</v>
      </c>
      <c r="C493" t="s">
        <v>108</v>
      </c>
      <c r="D493" t="s">
        <v>30</v>
      </c>
      <c r="E493" s="5">
        <v>0.193</v>
      </c>
      <c r="F493" s="5">
        <v>0.19600000000000001</v>
      </c>
      <c r="G493" s="5">
        <v>0.24</v>
      </c>
      <c r="H493" s="5">
        <v>0.26</v>
      </c>
      <c r="I493" s="5">
        <v>0.252</v>
      </c>
      <c r="J493" s="5">
        <v>0.252</v>
      </c>
      <c r="K493" s="5">
        <v>0.26500000000000001</v>
      </c>
      <c r="L493" s="5">
        <v>0.2</v>
      </c>
      <c r="M493" s="5">
        <v>0.193</v>
      </c>
      <c r="N493" s="5">
        <v>0.13</v>
      </c>
    </row>
    <row r="494" spans="1:14" x14ac:dyDescent="0.25">
      <c r="A494">
        <v>2014</v>
      </c>
      <c r="B494">
        <v>209</v>
      </c>
      <c r="C494" t="s">
        <v>108</v>
      </c>
      <c r="D494" t="s">
        <v>31</v>
      </c>
      <c r="E494" s="5">
        <v>0.20499999999999999</v>
      </c>
      <c r="F494" s="5">
        <v>0.16899999999999998</v>
      </c>
      <c r="G494" s="5">
        <v>0.17399999999999999</v>
      </c>
      <c r="H494" s="5">
        <v>0.19899999999999998</v>
      </c>
      <c r="I494" s="5">
        <v>0.255</v>
      </c>
      <c r="J494" s="5">
        <v>0.248</v>
      </c>
      <c r="K494" s="5">
        <v>0.23300000000000001</v>
      </c>
      <c r="L494" s="5">
        <v>0.23899999999999999</v>
      </c>
      <c r="M494" s="5">
        <v>0.24100000000000002</v>
      </c>
      <c r="N494" s="5">
        <v>0.19399999999999998</v>
      </c>
    </row>
    <row r="495" spans="1:14" x14ac:dyDescent="0.25">
      <c r="A495">
        <v>2014</v>
      </c>
      <c r="B495">
        <v>209</v>
      </c>
      <c r="C495" t="s">
        <v>108</v>
      </c>
      <c r="D495" t="s">
        <v>32</v>
      </c>
      <c r="E495" s="5">
        <v>0.25600000000000001</v>
      </c>
      <c r="F495" s="5">
        <v>0.20899999999999999</v>
      </c>
      <c r="G495" s="5">
        <v>0.22600000000000001</v>
      </c>
      <c r="H495" s="5">
        <v>0.21199999999999999</v>
      </c>
      <c r="I495" s="5">
        <v>0.21100000000000002</v>
      </c>
      <c r="J495" s="5">
        <v>0.20399999999999999</v>
      </c>
      <c r="K495" s="5">
        <v>0.17600000000000002</v>
      </c>
      <c r="L495" s="5">
        <v>0.16800000000000001</v>
      </c>
      <c r="M495" s="5">
        <v>0.215</v>
      </c>
      <c r="N495" s="5">
        <v>0.14899999999999999</v>
      </c>
    </row>
    <row r="496" spans="1:14" x14ac:dyDescent="0.25">
      <c r="A496">
        <v>2014</v>
      </c>
      <c r="B496">
        <v>209</v>
      </c>
      <c r="C496" t="s">
        <v>108</v>
      </c>
      <c r="D496" t="s">
        <v>33</v>
      </c>
      <c r="E496" s="5">
        <v>0.188</v>
      </c>
      <c r="F496" s="5">
        <v>0.18</v>
      </c>
      <c r="G496" s="5">
        <v>0.193</v>
      </c>
      <c r="H496" s="5">
        <v>0.20100000000000001</v>
      </c>
      <c r="I496" s="5">
        <v>0.22899999999999998</v>
      </c>
      <c r="J496" s="5">
        <v>0.25800000000000001</v>
      </c>
      <c r="K496" s="5">
        <v>0.26400000000000001</v>
      </c>
      <c r="L496" s="5">
        <v>0.22699999999999998</v>
      </c>
      <c r="M496" s="5">
        <v>0.20100000000000001</v>
      </c>
      <c r="N496" s="5">
        <v>0.153</v>
      </c>
    </row>
    <row r="497" spans="1:14" x14ac:dyDescent="0.25">
      <c r="A497">
        <v>2014</v>
      </c>
      <c r="B497">
        <v>209</v>
      </c>
      <c r="C497" t="s">
        <v>108</v>
      </c>
      <c r="D497" t="s">
        <v>34</v>
      </c>
      <c r="E497" s="5">
        <v>0.217</v>
      </c>
      <c r="F497" s="5">
        <v>0.191</v>
      </c>
      <c r="G497" s="5">
        <v>0.26800000000000002</v>
      </c>
      <c r="H497" s="5">
        <v>0.29499999999999998</v>
      </c>
      <c r="I497" s="5">
        <v>0.24299999999999999</v>
      </c>
      <c r="J497" s="5">
        <v>0.25</v>
      </c>
      <c r="K497" s="5">
        <v>0.23499999999999999</v>
      </c>
      <c r="L497" s="5">
        <v>0.20699999999999999</v>
      </c>
      <c r="M497" s="5">
        <v>0.16600000000000001</v>
      </c>
      <c r="N497" s="5">
        <v>7.5999999999999998E-2</v>
      </c>
    </row>
    <row r="498" spans="1:14" x14ac:dyDescent="0.25">
      <c r="A498">
        <v>2014</v>
      </c>
      <c r="B498">
        <v>209</v>
      </c>
      <c r="C498" t="s">
        <v>108</v>
      </c>
      <c r="D498" t="s">
        <v>70</v>
      </c>
      <c r="E498" s="5">
        <v>0.193</v>
      </c>
      <c r="F498" s="5">
        <v>0.19600000000000001</v>
      </c>
      <c r="G498" s="5">
        <v>0.23499999999999999</v>
      </c>
      <c r="H498" s="5">
        <v>0.253</v>
      </c>
      <c r="I498" s="5">
        <v>0.252</v>
      </c>
      <c r="J498" s="5">
        <v>0.255</v>
      </c>
      <c r="K498" s="5">
        <v>0.27600000000000002</v>
      </c>
      <c r="L498" s="5">
        <v>0.24199999999999999</v>
      </c>
      <c r="M498" s="5">
        <v>0.214</v>
      </c>
      <c r="N498" s="5">
        <v>0.16300000000000001</v>
      </c>
    </row>
    <row r="499" spans="1:14" x14ac:dyDescent="0.25">
      <c r="A499">
        <v>2014</v>
      </c>
      <c r="B499">
        <v>209</v>
      </c>
      <c r="C499" t="s">
        <v>108</v>
      </c>
      <c r="D499" t="s">
        <v>69</v>
      </c>
      <c r="E499" s="5">
        <v>0.19</v>
      </c>
      <c r="F499" s="5">
        <v>0.21600000000000003</v>
      </c>
      <c r="G499" s="5">
        <v>0.24199999999999999</v>
      </c>
      <c r="H499" s="5">
        <v>0.25600000000000001</v>
      </c>
      <c r="I499" s="5">
        <v>0.252</v>
      </c>
      <c r="J499" s="5">
        <v>0.22899999999999998</v>
      </c>
      <c r="K499" s="5">
        <v>0.23399999999999999</v>
      </c>
      <c r="L499" s="5">
        <v>0.22399999999999998</v>
      </c>
      <c r="M499" s="5">
        <v>0.188</v>
      </c>
      <c r="N499" s="5">
        <v>0.115</v>
      </c>
    </row>
    <row r="500" spans="1:14" x14ac:dyDescent="0.25">
      <c r="A500">
        <v>2014</v>
      </c>
      <c r="B500">
        <v>209</v>
      </c>
      <c r="C500" t="s">
        <v>108</v>
      </c>
      <c r="D500" t="s">
        <v>68</v>
      </c>
      <c r="E500" s="5">
        <v>0.20199999999999999</v>
      </c>
      <c r="F500" s="5">
        <v>0.193</v>
      </c>
      <c r="G500" s="5">
        <v>0.215</v>
      </c>
      <c r="H500" s="5">
        <v>0.22500000000000001</v>
      </c>
      <c r="I500" s="5">
        <v>0.248</v>
      </c>
      <c r="J500" s="5">
        <v>0.27399999999999997</v>
      </c>
      <c r="K500" s="5">
        <v>0.27100000000000002</v>
      </c>
      <c r="L500" s="5">
        <v>0.27200000000000002</v>
      </c>
      <c r="M500" s="5">
        <v>0.23899999999999999</v>
      </c>
      <c r="N500" s="5">
        <v>0.16600000000000001</v>
      </c>
    </row>
    <row r="501" spans="1:14" x14ac:dyDescent="0.25">
      <c r="A501">
        <v>2014</v>
      </c>
      <c r="B501">
        <v>209</v>
      </c>
      <c r="C501" t="s">
        <v>108</v>
      </c>
      <c r="D501" t="s">
        <v>67</v>
      </c>
      <c r="E501" s="5">
        <v>0.23699999999999999</v>
      </c>
      <c r="F501" s="5">
        <v>0.221</v>
      </c>
      <c r="G501" s="5">
        <v>0.218</v>
      </c>
      <c r="H501" s="5">
        <v>0.23199999999999998</v>
      </c>
      <c r="I501" s="5">
        <v>0.251</v>
      </c>
      <c r="J501" s="5">
        <v>0.22600000000000001</v>
      </c>
      <c r="K501" s="5">
        <v>0.217</v>
      </c>
      <c r="L501" s="5">
        <v>0.23899999999999999</v>
      </c>
      <c r="M501" s="5">
        <v>0.20800000000000002</v>
      </c>
      <c r="N501" s="5">
        <v>0.13100000000000001</v>
      </c>
    </row>
    <row r="502" spans="1:14" x14ac:dyDescent="0.25">
      <c r="A502">
        <v>2014</v>
      </c>
      <c r="B502">
        <v>209</v>
      </c>
      <c r="C502" t="s">
        <v>108</v>
      </c>
      <c r="D502" t="s">
        <v>66</v>
      </c>
      <c r="E502" s="5" t="s">
        <v>109</v>
      </c>
      <c r="F502" s="5" t="s">
        <v>109</v>
      </c>
      <c r="G502" s="5" t="s">
        <v>109</v>
      </c>
      <c r="H502" s="5" t="s">
        <v>109</v>
      </c>
      <c r="I502" s="5">
        <v>0.29499999999999998</v>
      </c>
      <c r="J502" s="5">
        <v>0.27200000000000002</v>
      </c>
      <c r="K502" s="5">
        <v>0.25800000000000001</v>
      </c>
      <c r="L502" s="5">
        <v>0.187</v>
      </c>
      <c r="M502" s="5">
        <v>0.16600000000000001</v>
      </c>
      <c r="N502" s="5">
        <v>9.8000000000000004E-2</v>
      </c>
    </row>
    <row r="503" spans="1:14" x14ac:dyDescent="0.25">
      <c r="A503">
        <v>2014</v>
      </c>
      <c r="B503">
        <v>209</v>
      </c>
      <c r="C503" t="s">
        <v>108</v>
      </c>
      <c r="D503" t="s">
        <v>65</v>
      </c>
      <c r="E503" s="5">
        <v>0.25</v>
      </c>
      <c r="F503" s="5">
        <v>0.223</v>
      </c>
      <c r="G503" s="5">
        <v>0.32400000000000001</v>
      </c>
      <c r="H503" s="5">
        <v>0.21199999999999999</v>
      </c>
      <c r="I503" s="5">
        <v>0.23</v>
      </c>
      <c r="J503" s="5">
        <v>0.24299999999999999</v>
      </c>
      <c r="K503" s="5">
        <v>0.23300000000000001</v>
      </c>
      <c r="L503" s="5">
        <v>0.19699999999999998</v>
      </c>
      <c r="M503" s="5">
        <v>0.17</v>
      </c>
      <c r="N503" s="5">
        <v>0.11599999999999999</v>
      </c>
    </row>
    <row r="504" spans="1:14" x14ac:dyDescent="0.25">
      <c r="A504">
        <v>2014</v>
      </c>
      <c r="B504">
        <v>209</v>
      </c>
      <c r="C504" t="s">
        <v>108</v>
      </c>
      <c r="D504" t="s">
        <v>71</v>
      </c>
      <c r="E504" s="5" t="s">
        <v>109</v>
      </c>
      <c r="F504" s="5">
        <v>0.22899999999999998</v>
      </c>
      <c r="G504" s="5">
        <v>0.25800000000000001</v>
      </c>
      <c r="H504" s="5">
        <v>0.26600000000000001</v>
      </c>
      <c r="I504" s="5">
        <v>0.26700000000000002</v>
      </c>
      <c r="J504" s="5">
        <v>0.26600000000000001</v>
      </c>
      <c r="K504" s="5">
        <v>0.218</v>
      </c>
      <c r="L504" s="5">
        <v>0.193</v>
      </c>
      <c r="M504" s="5">
        <v>0.215</v>
      </c>
      <c r="N504" s="5">
        <v>0.13400000000000001</v>
      </c>
    </row>
    <row r="505" spans="1:14" x14ac:dyDescent="0.25">
      <c r="A505">
        <v>2014</v>
      </c>
      <c r="B505">
        <v>209</v>
      </c>
      <c r="C505" t="s">
        <v>108</v>
      </c>
      <c r="D505" t="s">
        <v>74</v>
      </c>
      <c r="E505" s="5" t="s">
        <v>109</v>
      </c>
      <c r="F505" s="5">
        <v>0.193</v>
      </c>
      <c r="G505" s="5">
        <v>0.21600000000000003</v>
      </c>
      <c r="H505" s="5">
        <v>0.23300000000000001</v>
      </c>
      <c r="I505" s="5">
        <v>0.249</v>
      </c>
      <c r="J505" s="5">
        <v>0.21899999999999997</v>
      </c>
      <c r="K505" s="5">
        <v>0.22399999999999998</v>
      </c>
      <c r="L505" s="5">
        <v>0.22399999999999998</v>
      </c>
      <c r="M505" s="5">
        <v>0.192</v>
      </c>
      <c r="N505" s="5">
        <v>0.13699999999999998</v>
      </c>
    </row>
    <row r="506" spans="1:14" x14ac:dyDescent="0.25">
      <c r="A506">
        <v>2014</v>
      </c>
      <c r="B506">
        <v>209</v>
      </c>
      <c r="C506" t="s">
        <v>108</v>
      </c>
      <c r="D506" t="s">
        <v>75</v>
      </c>
      <c r="E506" s="5" t="s">
        <v>109</v>
      </c>
      <c r="F506" s="5">
        <v>0.19699999999999998</v>
      </c>
      <c r="G506" s="5">
        <v>0.17</v>
      </c>
      <c r="H506" s="5">
        <v>0.25800000000000001</v>
      </c>
      <c r="I506" s="5">
        <v>0.24299999999999999</v>
      </c>
      <c r="J506" s="5">
        <v>0.20100000000000001</v>
      </c>
      <c r="K506" s="5">
        <v>0.221</v>
      </c>
      <c r="L506" s="5">
        <v>0.23100000000000001</v>
      </c>
      <c r="M506" s="5">
        <v>0.21600000000000003</v>
      </c>
      <c r="N506" s="5">
        <v>0.124</v>
      </c>
    </row>
    <row r="507" spans="1:14" x14ac:dyDescent="0.25">
      <c r="A507">
        <v>2014</v>
      </c>
      <c r="B507">
        <v>209</v>
      </c>
      <c r="C507" t="s">
        <v>108</v>
      </c>
      <c r="D507" t="s">
        <v>76</v>
      </c>
      <c r="E507" s="5">
        <v>0.20300000000000001</v>
      </c>
      <c r="F507" s="5">
        <v>0.18100000000000002</v>
      </c>
      <c r="G507" s="5">
        <v>0.18899999999999997</v>
      </c>
      <c r="H507" s="5">
        <v>0.218</v>
      </c>
      <c r="I507" s="5">
        <v>0.25800000000000001</v>
      </c>
      <c r="J507" s="5">
        <v>0.25900000000000001</v>
      </c>
      <c r="K507" s="5">
        <v>0.245</v>
      </c>
      <c r="L507" s="5">
        <v>0.25</v>
      </c>
      <c r="M507" s="5">
        <v>0.19800000000000001</v>
      </c>
      <c r="N507" s="5">
        <v>0.14599999999999999</v>
      </c>
    </row>
    <row r="508" spans="1:14" x14ac:dyDescent="0.25">
      <c r="A508">
        <v>2014</v>
      </c>
      <c r="B508">
        <v>209</v>
      </c>
      <c r="C508" t="s">
        <v>108</v>
      </c>
      <c r="D508" t="s">
        <v>53</v>
      </c>
      <c r="E508" s="5">
        <v>0.247</v>
      </c>
      <c r="F508" s="5">
        <v>0.33200000000000002</v>
      </c>
      <c r="G508" s="5">
        <v>0.23199999999999998</v>
      </c>
      <c r="H508" s="5">
        <v>0.249</v>
      </c>
      <c r="I508" s="5">
        <v>0.27800000000000002</v>
      </c>
      <c r="J508" s="5">
        <v>0.27800000000000002</v>
      </c>
      <c r="K508" s="5">
        <v>0.29600000000000004</v>
      </c>
      <c r="L508" s="5">
        <v>0.23399999999999999</v>
      </c>
      <c r="M508" s="5">
        <v>0.23499999999999999</v>
      </c>
      <c r="N508" s="5">
        <v>0.13600000000000001</v>
      </c>
    </row>
    <row r="509" spans="1:14" x14ac:dyDescent="0.25">
      <c r="A509">
        <v>2014</v>
      </c>
      <c r="B509">
        <v>209</v>
      </c>
      <c r="C509" t="s">
        <v>108</v>
      </c>
      <c r="D509" t="s">
        <v>77</v>
      </c>
      <c r="E509" s="5">
        <v>0.25600000000000001</v>
      </c>
      <c r="F509" s="5">
        <v>0.25800000000000001</v>
      </c>
      <c r="G509" s="5">
        <v>0.27600000000000002</v>
      </c>
      <c r="H509" s="5">
        <v>0.23800000000000002</v>
      </c>
      <c r="I509" s="5">
        <v>0.23499999999999999</v>
      </c>
      <c r="J509" s="5">
        <v>0.24</v>
      </c>
      <c r="K509" s="5">
        <v>0.19699999999999998</v>
      </c>
      <c r="L509" s="5">
        <v>0.217</v>
      </c>
      <c r="M509" s="5">
        <v>0.155</v>
      </c>
      <c r="N509" s="5">
        <v>6.7000000000000004E-2</v>
      </c>
    </row>
    <row r="510" spans="1:14" x14ac:dyDescent="0.25">
      <c r="A510">
        <v>2014</v>
      </c>
      <c r="B510">
        <v>209</v>
      </c>
      <c r="C510" t="s">
        <v>108</v>
      </c>
      <c r="D510" t="s">
        <v>73</v>
      </c>
      <c r="E510" s="5" t="s">
        <v>109</v>
      </c>
      <c r="F510" s="5">
        <v>0.20199999999999999</v>
      </c>
      <c r="G510" s="5">
        <v>0.26899999999999996</v>
      </c>
      <c r="H510" s="5">
        <v>0.27899999999999997</v>
      </c>
      <c r="I510" s="5">
        <v>0.22</v>
      </c>
      <c r="J510" s="5">
        <v>0.24299999999999999</v>
      </c>
      <c r="K510" s="5">
        <v>0.20800000000000002</v>
      </c>
      <c r="L510" s="5">
        <v>0.193</v>
      </c>
      <c r="M510" s="5">
        <v>0.18899999999999997</v>
      </c>
      <c r="N510" s="5">
        <v>8.5999999999999993E-2</v>
      </c>
    </row>
    <row r="511" spans="1:14" x14ac:dyDescent="0.25">
      <c r="A511">
        <v>2014</v>
      </c>
      <c r="B511">
        <v>209</v>
      </c>
      <c r="C511" t="s">
        <v>108</v>
      </c>
      <c r="D511" t="s">
        <v>81</v>
      </c>
      <c r="E511" s="5" t="s">
        <v>109</v>
      </c>
      <c r="F511" s="5" t="s">
        <v>109</v>
      </c>
      <c r="G511" s="5">
        <v>0.26400000000000001</v>
      </c>
      <c r="H511" s="5">
        <v>0.28000000000000003</v>
      </c>
      <c r="I511" s="5">
        <v>0.28499999999999998</v>
      </c>
      <c r="J511" s="5">
        <v>0.24</v>
      </c>
      <c r="K511" s="5">
        <v>0.193</v>
      </c>
      <c r="L511" s="5">
        <v>0.154</v>
      </c>
      <c r="M511" s="5">
        <v>0.156</v>
      </c>
      <c r="N511" s="5">
        <v>7.400000000000001E-2</v>
      </c>
    </row>
    <row r="512" spans="1:14" x14ac:dyDescent="0.25">
      <c r="A512">
        <v>2014</v>
      </c>
      <c r="B512">
        <v>209</v>
      </c>
      <c r="C512" t="s">
        <v>108</v>
      </c>
      <c r="D512" t="s">
        <v>80</v>
      </c>
      <c r="E512" s="5" t="s">
        <v>109</v>
      </c>
      <c r="F512" s="5" t="s">
        <v>109</v>
      </c>
      <c r="G512" s="5">
        <v>0.23199999999999998</v>
      </c>
      <c r="H512" s="5">
        <v>0.26400000000000001</v>
      </c>
      <c r="I512" s="5">
        <v>0.25600000000000001</v>
      </c>
      <c r="J512" s="5">
        <v>0.253</v>
      </c>
      <c r="K512" s="5">
        <v>0.23600000000000002</v>
      </c>
      <c r="L512" s="5">
        <v>0.187</v>
      </c>
      <c r="M512" s="5">
        <v>0.16300000000000001</v>
      </c>
      <c r="N512" s="5">
        <v>8.3000000000000004E-2</v>
      </c>
    </row>
    <row r="513" spans="1:14" x14ac:dyDescent="0.25">
      <c r="A513">
        <v>2014</v>
      </c>
      <c r="B513">
        <v>209</v>
      </c>
      <c r="C513" t="s">
        <v>108</v>
      </c>
      <c r="D513" t="s">
        <v>79</v>
      </c>
      <c r="E513" s="5" t="s">
        <v>109</v>
      </c>
      <c r="F513" s="5" t="s">
        <v>109</v>
      </c>
      <c r="G513" s="5">
        <v>0.222</v>
      </c>
      <c r="H513" s="5">
        <v>0.27200000000000002</v>
      </c>
      <c r="I513" s="5">
        <v>0.29199999999999998</v>
      </c>
      <c r="J513" s="5">
        <v>0.30099999999999999</v>
      </c>
      <c r="K513" s="5">
        <v>0.251</v>
      </c>
      <c r="L513" s="5">
        <v>0.20399999999999999</v>
      </c>
      <c r="M513" s="5">
        <v>0.159</v>
      </c>
      <c r="N513" s="5">
        <v>7.4999999999999997E-2</v>
      </c>
    </row>
    <row r="514" spans="1:14" x14ac:dyDescent="0.25">
      <c r="A514">
        <v>2014</v>
      </c>
      <c r="B514">
        <v>209</v>
      </c>
      <c r="C514" t="s">
        <v>108</v>
      </c>
      <c r="D514" t="s">
        <v>78</v>
      </c>
      <c r="E514" s="5" t="s">
        <v>109</v>
      </c>
      <c r="F514" s="5" t="s">
        <v>109</v>
      </c>
      <c r="G514" s="5">
        <v>0.222</v>
      </c>
      <c r="H514" s="5">
        <v>0.23499999999999999</v>
      </c>
      <c r="I514" s="5">
        <v>0.26100000000000001</v>
      </c>
      <c r="J514" s="5">
        <v>0.23800000000000002</v>
      </c>
      <c r="K514" s="5">
        <v>0.20699999999999999</v>
      </c>
      <c r="L514" s="5">
        <v>0.16899999999999998</v>
      </c>
      <c r="M514" s="5">
        <v>0.157</v>
      </c>
      <c r="N514" s="5">
        <v>7.2999999999999995E-2</v>
      </c>
    </row>
    <row r="515" spans="1:14" x14ac:dyDescent="0.25">
      <c r="A515">
        <v>2014</v>
      </c>
      <c r="B515">
        <v>209</v>
      </c>
      <c r="C515" t="s">
        <v>108</v>
      </c>
      <c r="D515" t="s">
        <v>54</v>
      </c>
      <c r="E515" s="5" t="s">
        <v>109</v>
      </c>
      <c r="F515" s="5" t="s">
        <v>109</v>
      </c>
      <c r="G515" s="5">
        <v>0.23300000000000001</v>
      </c>
      <c r="H515" s="5">
        <v>0.22699999999999998</v>
      </c>
      <c r="I515" s="5">
        <v>0.24600000000000002</v>
      </c>
      <c r="J515" s="5">
        <v>0.24</v>
      </c>
      <c r="K515" s="5">
        <v>0.21600000000000003</v>
      </c>
      <c r="L515" s="5">
        <v>0.20699999999999999</v>
      </c>
      <c r="M515" s="5">
        <v>0.17600000000000002</v>
      </c>
      <c r="N515" s="5">
        <v>0.10400000000000001</v>
      </c>
    </row>
    <row r="516" spans="1:14" x14ac:dyDescent="0.25">
      <c r="A516">
        <v>2014</v>
      </c>
      <c r="B516">
        <v>209</v>
      </c>
      <c r="C516" t="s">
        <v>108</v>
      </c>
      <c r="D516" t="s">
        <v>35</v>
      </c>
      <c r="E516" s="5" t="s">
        <v>109</v>
      </c>
      <c r="F516" s="5">
        <v>0.23</v>
      </c>
      <c r="G516" s="5">
        <v>0.215</v>
      </c>
      <c r="H516" s="5">
        <v>0.183</v>
      </c>
      <c r="I516" s="5">
        <v>0.16399999999999998</v>
      </c>
      <c r="J516" s="5">
        <v>0.16600000000000001</v>
      </c>
      <c r="K516" s="5">
        <v>0.156</v>
      </c>
      <c r="L516" s="5">
        <v>0.18100000000000002</v>
      </c>
      <c r="M516" s="5">
        <v>0.183</v>
      </c>
      <c r="N516" s="5">
        <v>0.127</v>
      </c>
    </row>
    <row r="517" spans="1:14" x14ac:dyDescent="0.25">
      <c r="A517">
        <v>2014</v>
      </c>
      <c r="B517">
        <v>209</v>
      </c>
      <c r="C517" t="s">
        <v>108</v>
      </c>
      <c r="D517" t="s">
        <v>37</v>
      </c>
      <c r="E517" s="5" t="s">
        <v>109</v>
      </c>
      <c r="F517" s="5">
        <v>0.24600000000000002</v>
      </c>
      <c r="G517" s="5">
        <v>0.249</v>
      </c>
      <c r="H517" s="5">
        <v>0.24100000000000002</v>
      </c>
      <c r="I517" s="5">
        <v>0.22399999999999998</v>
      </c>
      <c r="J517" s="5">
        <v>0.21</v>
      </c>
      <c r="K517" s="5">
        <v>0.184</v>
      </c>
      <c r="L517" s="5">
        <v>0.16300000000000001</v>
      </c>
      <c r="M517" s="5">
        <v>0.20499999999999999</v>
      </c>
      <c r="N517" s="5">
        <v>0.17399999999999999</v>
      </c>
    </row>
    <row r="518" spans="1:14" x14ac:dyDescent="0.25">
      <c r="A518">
        <v>2014</v>
      </c>
      <c r="B518">
        <v>209</v>
      </c>
      <c r="C518" t="s">
        <v>108</v>
      </c>
      <c r="D518" t="s">
        <v>40</v>
      </c>
      <c r="E518" s="5" t="s">
        <v>109</v>
      </c>
      <c r="F518" s="5">
        <v>0.20300000000000001</v>
      </c>
      <c r="G518" s="5">
        <v>0.214</v>
      </c>
      <c r="H518" s="5">
        <v>0.22</v>
      </c>
      <c r="I518" s="5">
        <v>0.218</v>
      </c>
      <c r="J518" s="5">
        <v>0.20100000000000001</v>
      </c>
      <c r="K518" s="5">
        <v>0.17600000000000002</v>
      </c>
      <c r="L518" s="5">
        <v>0.16</v>
      </c>
      <c r="M518" s="5">
        <v>0.191</v>
      </c>
      <c r="N518" s="5">
        <v>0.14099999999999999</v>
      </c>
    </row>
    <row r="519" spans="1:14" x14ac:dyDescent="0.25">
      <c r="A519">
        <v>2014</v>
      </c>
      <c r="B519">
        <v>209</v>
      </c>
      <c r="C519" t="s">
        <v>108</v>
      </c>
      <c r="D519" t="s">
        <v>41</v>
      </c>
      <c r="E519" s="5">
        <v>0.23800000000000002</v>
      </c>
      <c r="F519" s="5">
        <v>0.23300000000000001</v>
      </c>
      <c r="G519" s="5">
        <v>0.249</v>
      </c>
      <c r="H519" s="5">
        <v>0.19899999999999998</v>
      </c>
      <c r="I519" s="5">
        <v>0.185</v>
      </c>
      <c r="J519" s="5">
        <v>0.19600000000000001</v>
      </c>
      <c r="K519" s="5">
        <v>0.223</v>
      </c>
      <c r="L519" s="5">
        <v>0.18899999999999997</v>
      </c>
      <c r="M519" s="5">
        <v>0.19</v>
      </c>
      <c r="N519" s="5">
        <v>0.15</v>
      </c>
    </row>
    <row r="520" spans="1:14" x14ac:dyDescent="0.25">
      <c r="A520">
        <v>2014</v>
      </c>
      <c r="B520">
        <v>209</v>
      </c>
      <c r="C520" t="s">
        <v>108</v>
      </c>
      <c r="D520" t="s">
        <v>43</v>
      </c>
      <c r="E520" s="5">
        <v>0.252</v>
      </c>
      <c r="F520" s="5">
        <v>0.22600000000000001</v>
      </c>
      <c r="G520" s="5">
        <v>0.18100000000000002</v>
      </c>
      <c r="H520" s="5">
        <v>0.17199999999999999</v>
      </c>
      <c r="I520" s="5">
        <v>0.16500000000000001</v>
      </c>
      <c r="J520" s="5">
        <v>0.156</v>
      </c>
      <c r="K520" s="5">
        <v>0.14099999999999999</v>
      </c>
      <c r="L520" s="5">
        <v>0.12</v>
      </c>
      <c r="M520" s="5">
        <v>0.13699999999999998</v>
      </c>
      <c r="N520" s="5">
        <v>8.4000000000000005E-2</v>
      </c>
    </row>
    <row r="521" spans="1:14" x14ac:dyDescent="0.25">
      <c r="A521">
        <v>2014</v>
      </c>
      <c r="B521">
        <v>209</v>
      </c>
      <c r="C521" t="s">
        <v>108</v>
      </c>
      <c r="D521" t="s">
        <v>44</v>
      </c>
      <c r="E521" s="5" t="s">
        <v>109</v>
      </c>
      <c r="F521" s="5">
        <v>0.22399999999999998</v>
      </c>
      <c r="G521" s="5">
        <v>0.16899999999999998</v>
      </c>
      <c r="H521" s="5">
        <v>0.157</v>
      </c>
      <c r="I521" s="5">
        <v>0.13100000000000001</v>
      </c>
      <c r="J521" s="5">
        <v>0.11900000000000001</v>
      </c>
      <c r="K521" s="5">
        <v>0.109</v>
      </c>
      <c r="L521" s="5">
        <v>0.11</v>
      </c>
      <c r="M521" s="5">
        <v>0.129</v>
      </c>
      <c r="N521" s="5">
        <v>7.2999999999999995E-2</v>
      </c>
    </row>
    <row r="522" spans="1:14" x14ac:dyDescent="0.25">
      <c r="A522">
        <v>2014</v>
      </c>
      <c r="B522">
        <v>209</v>
      </c>
      <c r="C522" t="s">
        <v>108</v>
      </c>
      <c r="D522" t="s">
        <v>38</v>
      </c>
      <c r="E522" s="5">
        <v>0.215</v>
      </c>
      <c r="F522" s="5">
        <v>0.23</v>
      </c>
      <c r="G522" s="5">
        <v>0.253</v>
      </c>
      <c r="H522" s="5">
        <v>0.26300000000000001</v>
      </c>
      <c r="I522" s="5">
        <v>0.23100000000000001</v>
      </c>
      <c r="J522" s="5">
        <v>0.187</v>
      </c>
      <c r="K522" s="5">
        <v>0.15</v>
      </c>
      <c r="L522" s="5">
        <v>0.17399999999999999</v>
      </c>
      <c r="M522" s="5">
        <v>0.153</v>
      </c>
      <c r="N522" s="5">
        <v>9.1999999999999998E-2</v>
      </c>
    </row>
    <row r="523" spans="1:14" x14ac:dyDescent="0.25">
      <c r="A523">
        <v>2014</v>
      </c>
      <c r="B523">
        <v>209</v>
      </c>
      <c r="C523" t="s">
        <v>108</v>
      </c>
      <c r="D523" t="s">
        <v>85</v>
      </c>
      <c r="E523" s="5">
        <v>0.20899999999999999</v>
      </c>
      <c r="F523" s="5">
        <v>0.20300000000000001</v>
      </c>
      <c r="G523" s="5">
        <v>0.23100000000000001</v>
      </c>
      <c r="H523" s="5">
        <v>0.247</v>
      </c>
      <c r="I523" s="5">
        <v>0.254</v>
      </c>
      <c r="J523" s="5">
        <v>0.23199999999999998</v>
      </c>
      <c r="K523" s="5">
        <v>0.20199999999999999</v>
      </c>
      <c r="L523" s="5">
        <v>0.17699999999999999</v>
      </c>
      <c r="M523" s="5">
        <v>0.17899999999999999</v>
      </c>
      <c r="N523" s="5">
        <v>0.12</v>
      </c>
    </row>
    <row r="524" spans="1:14" x14ac:dyDescent="0.25">
      <c r="A524">
        <v>2014</v>
      </c>
      <c r="B524">
        <v>209</v>
      </c>
      <c r="C524" t="s">
        <v>108</v>
      </c>
      <c r="D524" t="s">
        <v>84</v>
      </c>
      <c r="E524" s="5">
        <v>0.23</v>
      </c>
      <c r="F524" s="5">
        <v>0.23800000000000002</v>
      </c>
      <c r="G524" s="5">
        <v>0.25600000000000001</v>
      </c>
      <c r="H524" s="5">
        <v>0.249</v>
      </c>
      <c r="I524" s="5">
        <v>0.25600000000000001</v>
      </c>
      <c r="J524" s="5">
        <v>0.23899999999999999</v>
      </c>
      <c r="K524" s="5">
        <v>0.22600000000000001</v>
      </c>
      <c r="L524" s="5">
        <v>0.16200000000000001</v>
      </c>
      <c r="M524" s="5">
        <v>0.16399999999999998</v>
      </c>
      <c r="N524" s="5">
        <v>0.105</v>
      </c>
    </row>
    <row r="525" spans="1:14" x14ac:dyDescent="0.25">
      <c r="A525">
        <v>2014</v>
      </c>
      <c r="B525">
        <v>209</v>
      </c>
      <c r="C525" t="s">
        <v>108</v>
      </c>
      <c r="D525" t="s">
        <v>42</v>
      </c>
      <c r="E525" s="5" t="s">
        <v>109</v>
      </c>
      <c r="F525" s="5">
        <v>0.23899999999999999</v>
      </c>
      <c r="G525" s="5">
        <v>0.24</v>
      </c>
      <c r="H525" s="5">
        <v>0.25600000000000001</v>
      </c>
      <c r="I525" s="5">
        <v>0.249</v>
      </c>
      <c r="J525" s="5">
        <v>0.248</v>
      </c>
      <c r="K525" s="5">
        <v>0.23699999999999999</v>
      </c>
      <c r="L525" s="5">
        <v>0.191</v>
      </c>
      <c r="M525" s="5">
        <v>0.18899999999999997</v>
      </c>
      <c r="N525" s="5">
        <v>0.13300000000000001</v>
      </c>
    </row>
    <row r="526" spans="1:14" x14ac:dyDescent="0.25">
      <c r="A526">
        <v>2014</v>
      </c>
      <c r="B526">
        <v>209</v>
      </c>
      <c r="C526" t="s">
        <v>108</v>
      </c>
      <c r="D526" t="s">
        <v>83</v>
      </c>
      <c r="E526" s="5">
        <v>0.17800000000000002</v>
      </c>
      <c r="F526" s="5">
        <v>0.17699999999999999</v>
      </c>
      <c r="G526" s="5">
        <v>0.24</v>
      </c>
      <c r="H526" s="5">
        <v>0.27100000000000002</v>
      </c>
      <c r="I526" s="5">
        <v>0.24100000000000002</v>
      </c>
      <c r="J526" s="5">
        <v>0.18899999999999997</v>
      </c>
      <c r="K526" s="5">
        <v>0.14000000000000001</v>
      </c>
      <c r="L526" s="5">
        <v>0.13</v>
      </c>
      <c r="M526" s="5">
        <v>0.128</v>
      </c>
      <c r="N526" s="5">
        <v>0.08</v>
      </c>
    </row>
    <row r="527" spans="1:14" x14ac:dyDescent="0.25">
      <c r="A527">
        <v>2014</v>
      </c>
      <c r="B527">
        <v>209</v>
      </c>
      <c r="C527" t="s">
        <v>108</v>
      </c>
      <c r="D527" t="s">
        <v>82</v>
      </c>
      <c r="E527" s="5">
        <v>0.17399999999999999</v>
      </c>
      <c r="F527" s="5">
        <v>0.16699999999999998</v>
      </c>
      <c r="G527" s="5">
        <v>0.17100000000000001</v>
      </c>
      <c r="H527" s="5">
        <v>0.22699999999999998</v>
      </c>
      <c r="I527" s="5">
        <v>0.25800000000000001</v>
      </c>
      <c r="J527" s="5">
        <v>0.21600000000000003</v>
      </c>
      <c r="K527" s="5">
        <v>0.17899999999999999</v>
      </c>
      <c r="L527" s="5">
        <v>0.14899999999999999</v>
      </c>
      <c r="M527" s="5">
        <v>0.16899999999999998</v>
      </c>
      <c r="N527" s="5">
        <v>0.111</v>
      </c>
    </row>
    <row r="528" spans="1:14" x14ac:dyDescent="0.25">
      <c r="A528">
        <v>2014</v>
      </c>
      <c r="B528">
        <v>209</v>
      </c>
      <c r="C528" t="s">
        <v>108</v>
      </c>
      <c r="D528" t="s">
        <v>72</v>
      </c>
      <c r="E528" s="5">
        <v>0.23399999999999999</v>
      </c>
      <c r="F528" s="5">
        <v>0.23</v>
      </c>
      <c r="G528" s="5">
        <v>0.23800000000000002</v>
      </c>
      <c r="H528" s="5">
        <v>0.26100000000000001</v>
      </c>
      <c r="I528" s="5">
        <v>0.23100000000000001</v>
      </c>
      <c r="J528" s="5">
        <v>0.158</v>
      </c>
      <c r="K528" s="5">
        <v>0.14000000000000001</v>
      </c>
      <c r="L528" s="5">
        <v>0.17699999999999999</v>
      </c>
      <c r="M528" s="5">
        <v>0.20100000000000001</v>
      </c>
      <c r="N528" s="5">
        <v>0.129</v>
      </c>
    </row>
    <row r="529" spans="1:14" x14ac:dyDescent="0.25">
      <c r="A529">
        <v>2014</v>
      </c>
      <c r="B529">
        <v>209</v>
      </c>
      <c r="C529" t="s">
        <v>108</v>
      </c>
      <c r="D529" t="s">
        <v>39</v>
      </c>
      <c r="E529" s="5">
        <v>0.20399999999999999</v>
      </c>
      <c r="F529" s="5">
        <v>0.20199999999999999</v>
      </c>
      <c r="G529" s="5">
        <v>0.20100000000000001</v>
      </c>
      <c r="H529" s="5">
        <v>0.251</v>
      </c>
      <c r="I529" s="5">
        <v>0.25800000000000001</v>
      </c>
      <c r="J529" s="5">
        <v>0.223</v>
      </c>
      <c r="K529" s="5">
        <v>0.22800000000000001</v>
      </c>
      <c r="L529" s="5">
        <v>0.20899999999999999</v>
      </c>
      <c r="M529" s="5">
        <v>0.19399999999999998</v>
      </c>
      <c r="N529" s="5">
        <v>0.128</v>
      </c>
    </row>
    <row r="530" spans="1:14" x14ac:dyDescent="0.25">
      <c r="A530">
        <v>2014</v>
      </c>
      <c r="B530">
        <v>209</v>
      </c>
      <c r="C530" t="s">
        <v>108</v>
      </c>
      <c r="D530" t="s">
        <v>86</v>
      </c>
      <c r="E530" s="5">
        <v>0.17</v>
      </c>
      <c r="F530" s="5">
        <v>0.17800000000000002</v>
      </c>
      <c r="G530" s="5">
        <v>0.23199999999999998</v>
      </c>
      <c r="H530" s="5">
        <v>0.23699999999999999</v>
      </c>
      <c r="I530" s="5">
        <v>0.24</v>
      </c>
      <c r="J530" s="5">
        <v>0.19500000000000001</v>
      </c>
      <c r="K530" s="5">
        <v>0.183</v>
      </c>
      <c r="L530" s="5">
        <v>0.184</v>
      </c>
      <c r="M530" s="5">
        <v>0.19899999999999998</v>
      </c>
      <c r="N530" s="5">
        <v>0.13900000000000001</v>
      </c>
    </row>
    <row r="531" spans="1:14" x14ac:dyDescent="0.25">
      <c r="A531">
        <v>2014</v>
      </c>
      <c r="B531">
        <v>209</v>
      </c>
      <c r="C531" t="s">
        <v>108</v>
      </c>
      <c r="D531" t="s">
        <v>87</v>
      </c>
      <c r="E531" s="5" t="s">
        <v>109</v>
      </c>
      <c r="F531" s="5">
        <v>0.188</v>
      </c>
      <c r="G531" s="5">
        <v>0.21299999999999999</v>
      </c>
      <c r="H531" s="5">
        <v>0.251</v>
      </c>
      <c r="I531" s="5">
        <v>0.23</v>
      </c>
      <c r="J531" s="5">
        <v>0.22899999999999998</v>
      </c>
      <c r="K531" s="5">
        <v>0.19600000000000001</v>
      </c>
      <c r="L531" s="5">
        <v>0.17100000000000001</v>
      </c>
      <c r="M531" s="5">
        <v>0.16500000000000001</v>
      </c>
      <c r="N531" s="5">
        <v>0.10099999999999999</v>
      </c>
    </row>
    <row r="532" spans="1:14" x14ac:dyDescent="0.25">
      <c r="A532">
        <v>2014</v>
      </c>
      <c r="B532">
        <v>209</v>
      </c>
      <c r="C532" t="s">
        <v>108</v>
      </c>
      <c r="D532" t="s">
        <v>88</v>
      </c>
      <c r="E532" s="5">
        <v>0.218</v>
      </c>
      <c r="F532" s="5">
        <v>0.214</v>
      </c>
      <c r="G532" s="5">
        <v>0.218</v>
      </c>
      <c r="H532" s="5">
        <v>0.22</v>
      </c>
      <c r="I532" s="5">
        <v>0.218</v>
      </c>
      <c r="J532" s="5">
        <v>0.18600000000000003</v>
      </c>
      <c r="K532" s="5">
        <v>0.17100000000000001</v>
      </c>
      <c r="L532" s="5">
        <v>0.14000000000000001</v>
      </c>
      <c r="M532" s="5">
        <v>0.14400000000000002</v>
      </c>
      <c r="N532" s="5">
        <v>8.199999999999999E-2</v>
      </c>
    </row>
    <row r="533" spans="1:14" x14ac:dyDescent="0.25">
      <c r="A533">
        <v>2014</v>
      </c>
      <c r="B533">
        <v>209</v>
      </c>
      <c r="C533" t="s">
        <v>108</v>
      </c>
      <c r="D533" t="s">
        <v>36</v>
      </c>
      <c r="E533" s="5">
        <v>0.155</v>
      </c>
      <c r="F533" s="5">
        <v>0.158</v>
      </c>
      <c r="G533" s="5">
        <v>0.17800000000000002</v>
      </c>
      <c r="H533" s="5">
        <v>0.21600000000000003</v>
      </c>
      <c r="I533" s="5">
        <v>0.20800000000000002</v>
      </c>
      <c r="J533" s="5">
        <v>0.16800000000000001</v>
      </c>
      <c r="K533" s="5">
        <v>0.14499999999999999</v>
      </c>
      <c r="L533" s="5">
        <v>0.14800000000000002</v>
      </c>
      <c r="M533" s="5">
        <v>0.14699999999999999</v>
      </c>
      <c r="N533" s="5">
        <v>7.2999999999999995E-2</v>
      </c>
    </row>
    <row r="534" spans="1:14" x14ac:dyDescent="0.25">
      <c r="A534">
        <v>2014</v>
      </c>
      <c r="B534">
        <v>209</v>
      </c>
      <c r="C534" t="s">
        <v>108</v>
      </c>
      <c r="D534" t="s">
        <v>94</v>
      </c>
      <c r="E534" s="5" t="s">
        <v>109</v>
      </c>
      <c r="F534" s="5">
        <v>0.20399999999999999</v>
      </c>
      <c r="G534" s="5">
        <v>0.20800000000000002</v>
      </c>
      <c r="H534" s="5">
        <v>0.20800000000000002</v>
      </c>
      <c r="I534" s="5">
        <v>0.185</v>
      </c>
      <c r="J534" s="5">
        <v>0.129</v>
      </c>
      <c r="K534" s="5">
        <v>0.126</v>
      </c>
      <c r="L534" s="5">
        <v>0.15</v>
      </c>
      <c r="M534" s="5">
        <v>0.14300000000000002</v>
      </c>
      <c r="N534" s="5">
        <v>7.6999999999999999E-2</v>
      </c>
    </row>
    <row r="535" spans="1:14" x14ac:dyDescent="0.25">
      <c r="A535">
        <v>2014</v>
      </c>
      <c r="B535">
        <v>209</v>
      </c>
      <c r="C535" t="s">
        <v>108</v>
      </c>
      <c r="D535" t="s">
        <v>93</v>
      </c>
      <c r="E535" s="5">
        <v>0.21199999999999999</v>
      </c>
      <c r="F535" s="5">
        <v>0.21100000000000002</v>
      </c>
      <c r="G535" s="5">
        <v>0.215</v>
      </c>
      <c r="H535" s="5">
        <v>0.19800000000000001</v>
      </c>
      <c r="I535" s="5">
        <v>0.153</v>
      </c>
      <c r="J535" s="5">
        <v>0.12300000000000001</v>
      </c>
      <c r="K535" s="5">
        <v>0.11599999999999999</v>
      </c>
      <c r="L535" s="5">
        <v>0.15</v>
      </c>
      <c r="M535" s="5">
        <v>0.157</v>
      </c>
      <c r="N535" s="5">
        <v>0.109</v>
      </c>
    </row>
    <row r="536" spans="1:14" x14ac:dyDescent="0.25">
      <c r="A536">
        <v>2014</v>
      </c>
      <c r="B536">
        <v>209</v>
      </c>
      <c r="C536" t="s">
        <v>108</v>
      </c>
      <c r="D536" t="s">
        <v>92</v>
      </c>
      <c r="E536" s="5">
        <v>0.192</v>
      </c>
      <c r="F536" s="5">
        <v>0.19600000000000001</v>
      </c>
      <c r="G536" s="5">
        <v>0.23300000000000001</v>
      </c>
      <c r="H536" s="5">
        <v>0.215</v>
      </c>
      <c r="I536" s="5">
        <v>0.192</v>
      </c>
      <c r="J536" s="5">
        <v>0.16800000000000001</v>
      </c>
      <c r="K536" s="5">
        <v>0.14400000000000002</v>
      </c>
      <c r="L536" s="5">
        <v>0.16899999999999998</v>
      </c>
      <c r="M536" s="5">
        <v>0.182</v>
      </c>
      <c r="N536" s="5">
        <v>0.13200000000000001</v>
      </c>
    </row>
    <row r="537" spans="1:14" x14ac:dyDescent="0.25">
      <c r="A537">
        <v>2014</v>
      </c>
      <c r="B537">
        <v>209</v>
      </c>
      <c r="C537" t="s">
        <v>108</v>
      </c>
      <c r="D537" t="s">
        <v>91</v>
      </c>
      <c r="E537" s="5">
        <v>0.161</v>
      </c>
      <c r="F537" s="5">
        <v>0.19</v>
      </c>
      <c r="G537" s="5">
        <v>0.24299999999999999</v>
      </c>
      <c r="H537" s="5">
        <v>0.25600000000000001</v>
      </c>
      <c r="I537" s="5">
        <v>0.24600000000000002</v>
      </c>
      <c r="J537" s="5">
        <v>0.25</v>
      </c>
      <c r="K537" s="5">
        <v>0.20399999999999999</v>
      </c>
      <c r="L537" s="5">
        <v>0.19</v>
      </c>
      <c r="M537" s="5">
        <v>0.18100000000000002</v>
      </c>
      <c r="N537" s="5">
        <v>0.13200000000000001</v>
      </c>
    </row>
    <row r="538" spans="1:14" x14ac:dyDescent="0.25">
      <c r="A538">
        <v>2014</v>
      </c>
      <c r="B538">
        <v>209</v>
      </c>
      <c r="C538" t="s">
        <v>108</v>
      </c>
      <c r="D538" t="s">
        <v>90</v>
      </c>
      <c r="E538" s="5">
        <v>0.19899999999999998</v>
      </c>
      <c r="F538" s="5">
        <v>0.2</v>
      </c>
      <c r="G538" s="5">
        <v>0.191</v>
      </c>
      <c r="H538" s="5">
        <v>0.21</v>
      </c>
      <c r="I538" s="5">
        <v>0.21199999999999999</v>
      </c>
      <c r="J538" s="5">
        <v>0.2</v>
      </c>
      <c r="K538" s="5">
        <v>0.19899999999999998</v>
      </c>
      <c r="L538" s="5">
        <v>0.161</v>
      </c>
      <c r="M538" s="5">
        <v>0.151</v>
      </c>
      <c r="N538" s="5">
        <v>9.4E-2</v>
      </c>
    </row>
    <row r="539" spans="1:14" x14ac:dyDescent="0.25">
      <c r="A539">
        <v>2014</v>
      </c>
      <c r="B539">
        <v>209</v>
      </c>
      <c r="C539" t="s">
        <v>108</v>
      </c>
      <c r="D539" t="s">
        <v>89</v>
      </c>
      <c r="E539" s="5">
        <v>0.17</v>
      </c>
      <c r="F539" s="5">
        <v>0.17499999999999999</v>
      </c>
      <c r="G539" s="5">
        <v>0.21299999999999999</v>
      </c>
      <c r="H539" s="5">
        <v>0.24</v>
      </c>
      <c r="I539" s="5">
        <v>0.24</v>
      </c>
      <c r="J539" s="5">
        <v>0.218</v>
      </c>
      <c r="K539" s="5">
        <v>0.191</v>
      </c>
      <c r="L539" s="5">
        <v>0.16500000000000001</v>
      </c>
      <c r="M539" s="5">
        <v>0.18</v>
      </c>
      <c r="N539" s="5">
        <v>0.125</v>
      </c>
    </row>
    <row r="540" spans="1:14" x14ac:dyDescent="0.25">
      <c r="A540">
        <v>2014</v>
      </c>
      <c r="B540">
        <v>209</v>
      </c>
      <c r="C540" t="s">
        <v>108</v>
      </c>
      <c r="D540" t="s">
        <v>45</v>
      </c>
      <c r="E540" s="5">
        <v>0.22399999999999998</v>
      </c>
      <c r="F540" s="5">
        <v>0.22399999999999998</v>
      </c>
      <c r="G540" s="5">
        <v>0.222</v>
      </c>
      <c r="H540" s="5">
        <v>0.23499999999999999</v>
      </c>
      <c r="I540" s="5">
        <v>0.22</v>
      </c>
      <c r="J540" s="5">
        <v>0.187</v>
      </c>
      <c r="K540" s="5">
        <v>0.16800000000000001</v>
      </c>
      <c r="L540" s="5">
        <v>0.16699999999999998</v>
      </c>
      <c r="M540" s="5">
        <v>0.16699999999999998</v>
      </c>
      <c r="N540" s="5">
        <v>0.10800000000000001</v>
      </c>
    </row>
    <row r="541" spans="1:14" x14ac:dyDescent="0.25">
      <c r="A541">
        <v>2014</v>
      </c>
      <c r="B541">
        <v>209</v>
      </c>
      <c r="C541" t="s">
        <v>108</v>
      </c>
      <c r="D541" t="s">
        <v>46</v>
      </c>
      <c r="E541" s="5">
        <v>0.23499999999999999</v>
      </c>
      <c r="F541" s="5">
        <v>0.23399999999999999</v>
      </c>
      <c r="G541" s="5">
        <v>0.23899999999999999</v>
      </c>
      <c r="H541" s="5">
        <v>0.23899999999999999</v>
      </c>
      <c r="I541" s="5">
        <v>0.223</v>
      </c>
      <c r="J541" s="5">
        <v>0.21100000000000002</v>
      </c>
      <c r="K541" s="5">
        <v>0.20300000000000001</v>
      </c>
      <c r="L541" s="5">
        <v>0.19800000000000001</v>
      </c>
      <c r="M541" s="5">
        <v>0.185</v>
      </c>
      <c r="N541" s="5">
        <v>0.122</v>
      </c>
    </row>
    <row r="542" spans="1:14" x14ac:dyDescent="0.25">
      <c r="A542">
        <v>2014</v>
      </c>
      <c r="B542">
        <v>209</v>
      </c>
      <c r="C542" t="s">
        <v>108</v>
      </c>
      <c r="D542" t="s">
        <v>47</v>
      </c>
      <c r="E542" s="5">
        <v>0.21299999999999999</v>
      </c>
      <c r="F542" s="5">
        <v>0.19899999999999998</v>
      </c>
      <c r="G542" s="5">
        <v>0.221</v>
      </c>
      <c r="H542" s="5">
        <v>0.218</v>
      </c>
      <c r="I542" s="5">
        <v>0.20100000000000001</v>
      </c>
      <c r="J542" s="5">
        <v>0.18600000000000003</v>
      </c>
      <c r="K542" s="5">
        <v>0.17399999999999999</v>
      </c>
      <c r="L542" s="5">
        <v>0.18600000000000003</v>
      </c>
      <c r="M542" s="5">
        <v>0.17699999999999999</v>
      </c>
      <c r="N542" s="5">
        <v>0.109</v>
      </c>
    </row>
    <row r="543" spans="1:14" x14ac:dyDescent="0.25">
      <c r="A543">
        <v>2014</v>
      </c>
      <c r="B543">
        <v>209</v>
      </c>
      <c r="C543" t="s">
        <v>108</v>
      </c>
      <c r="D543" t="s">
        <v>48</v>
      </c>
      <c r="E543" s="5">
        <v>0.14300000000000002</v>
      </c>
      <c r="F543" s="5">
        <v>0.13200000000000001</v>
      </c>
      <c r="G543" s="5">
        <v>0.121</v>
      </c>
      <c r="H543" s="5">
        <v>0.115</v>
      </c>
      <c r="I543" s="5">
        <v>0.1</v>
      </c>
      <c r="J543" s="5">
        <v>0.1</v>
      </c>
      <c r="K543" s="5">
        <v>0.107</v>
      </c>
      <c r="L543" s="5">
        <v>0.155</v>
      </c>
      <c r="M543" s="5">
        <v>0.191</v>
      </c>
      <c r="N543" s="5">
        <v>0.128</v>
      </c>
    </row>
    <row r="544" spans="1:14" x14ac:dyDescent="0.25">
      <c r="A544">
        <v>2014</v>
      </c>
      <c r="B544">
        <v>209</v>
      </c>
      <c r="C544" t="s">
        <v>108</v>
      </c>
      <c r="D544" t="s">
        <v>49</v>
      </c>
      <c r="E544" s="5">
        <v>0.18</v>
      </c>
      <c r="F544" s="5">
        <v>0.20800000000000002</v>
      </c>
      <c r="G544" s="5">
        <v>0.22500000000000001</v>
      </c>
      <c r="H544" s="5">
        <v>0.22500000000000001</v>
      </c>
      <c r="I544" s="5">
        <v>0.21600000000000003</v>
      </c>
      <c r="J544" s="5">
        <v>0.17199999999999999</v>
      </c>
      <c r="K544" s="5">
        <v>0.13699999999999998</v>
      </c>
      <c r="L544" s="5">
        <v>0.152</v>
      </c>
      <c r="M544" s="5">
        <v>0.16200000000000001</v>
      </c>
      <c r="N544" s="5">
        <v>9.0999999999999998E-2</v>
      </c>
    </row>
    <row r="545" spans="1:14" x14ac:dyDescent="0.25">
      <c r="A545">
        <v>2014</v>
      </c>
      <c r="B545">
        <v>209</v>
      </c>
      <c r="C545" t="s">
        <v>108</v>
      </c>
      <c r="D545" t="s">
        <v>50</v>
      </c>
      <c r="E545" s="5">
        <v>0.192</v>
      </c>
      <c r="F545" s="5">
        <v>0.21899999999999997</v>
      </c>
      <c r="G545" s="5">
        <v>0.20300000000000001</v>
      </c>
      <c r="H545" s="5">
        <v>0.17499999999999999</v>
      </c>
      <c r="I545" s="5">
        <v>0.161</v>
      </c>
      <c r="J545" s="5">
        <v>0.16500000000000001</v>
      </c>
      <c r="K545" s="5">
        <v>0.153</v>
      </c>
      <c r="L545" s="5">
        <v>0.14499999999999999</v>
      </c>
      <c r="M545" s="5">
        <v>0.156</v>
      </c>
      <c r="N545" s="5">
        <v>0.11</v>
      </c>
    </row>
    <row r="546" spans="1:14" x14ac:dyDescent="0.25">
      <c r="A546">
        <v>2014</v>
      </c>
      <c r="B546">
        <v>216</v>
      </c>
      <c r="C546" t="s">
        <v>108</v>
      </c>
      <c r="D546" t="s">
        <v>35</v>
      </c>
      <c r="E546" s="5" t="s">
        <v>109</v>
      </c>
      <c r="F546" s="5">
        <v>0.23</v>
      </c>
      <c r="G546" s="5">
        <v>0.21199999999999999</v>
      </c>
      <c r="H546" s="5">
        <v>0.18100000000000002</v>
      </c>
      <c r="I546" s="5">
        <v>0.158</v>
      </c>
      <c r="J546" s="5">
        <v>0.157</v>
      </c>
      <c r="K546" s="5">
        <v>0.152</v>
      </c>
      <c r="L546" s="5">
        <v>0.16899999999999998</v>
      </c>
      <c r="M546" s="5">
        <v>0.17499999999999999</v>
      </c>
      <c r="N546" s="5">
        <v>0.13699999999999998</v>
      </c>
    </row>
    <row r="547" spans="1:14" x14ac:dyDescent="0.25">
      <c r="A547">
        <v>2014</v>
      </c>
      <c r="B547">
        <v>216</v>
      </c>
      <c r="C547" t="s">
        <v>108</v>
      </c>
      <c r="D547" t="s">
        <v>37</v>
      </c>
      <c r="E547" s="5" t="s">
        <v>109</v>
      </c>
      <c r="F547" s="5">
        <v>0.23499999999999999</v>
      </c>
      <c r="G547" s="5">
        <v>0.23899999999999999</v>
      </c>
      <c r="H547" s="5">
        <v>0.23800000000000002</v>
      </c>
      <c r="I547" s="5">
        <v>0.217</v>
      </c>
      <c r="J547" s="5">
        <v>0.19500000000000001</v>
      </c>
      <c r="K547" s="5">
        <v>0.18100000000000002</v>
      </c>
      <c r="L547" s="5">
        <v>0.158</v>
      </c>
      <c r="M547" s="5">
        <v>0.20800000000000002</v>
      </c>
      <c r="N547" s="5">
        <v>0.17800000000000002</v>
      </c>
    </row>
    <row r="548" spans="1:14" x14ac:dyDescent="0.25">
      <c r="A548">
        <v>2014</v>
      </c>
      <c r="B548">
        <v>216</v>
      </c>
      <c r="C548" t="s">
        <v>108</v>
      </c>
      <c r="D548" t="s">
        <v>40</v>
      </c>
      <c r="E548" s="5" t="s">
        <v>109</v>
      </c>
      <c r="F548" s="5">
        <v>0.19899999999999998</v>
      </c>
      <c r="G548" s="5">
        <v>0.20699999999999999</v>
      </c>
      <c r="H548" s="5">
        <v>0.21</v>
      </c>
      <c r="I548" s="5">
        <v>0.20800000000000002</v>
      </c>
      <c r="J548" s="5">
        <v>0.187</v>
      </c>
      <c r="K548" s="5">
        <v>0.17800000000000002</v>
      </c>
      <c r="L548" s="5">
        <v>0.14599999999999999</v>
      </c>
      <c r="M548" s="5">
        <v>0.17600000000000002</v>
      </c>
      <c r="N548" s="5">
        <v>0.14899999999999999</v>
      </c>
    </row>
    <row r="549" spans="1:14" x14ac:dyDescent="0.25">
      <c r="A549">
        <v>2014</v>
      </c>
      <c r="B549">
        <v>216</v>
      </c>
      <c r="C549" t="s">
        <v>108</v>
      </c>
      <c r="D549" t="s">
        <v>41</v>
      </c>
      <c r="E549" s="5" t="s">
        <v>109</v>
      </c>
      <c r="F549" s="5">
        <v>0.22800000000000001</v>
      </c>
      <c r="G549" s="5">
        <v>0.23600000000000002</v>
      </c>
      <c r="H549" s="5">
        <v>0.20399999999999999</v>
      </c>
      <c r="I549" s="5">
        <v>0.182</v>
      </c>
      <c r="J549" s="5">
        <v>0.187</v>
      </c>
      <c r="K549" s="5">
        <v>0.21</v>
      </c>
      <c r="L549" s="5">
        <v>0.188</v>
      </c>
      <c r="M549" s="5">
        <v>0.185</v>
      </c>
      <c r="N549" s="5">
        <v>0.16300000000000001</v>
      </c>
    </row>
    <row r="550" spans="1:14" x14ac:dyDescent="0.25">
      <c r="A550">
        <v>2014</v>
      </c>
      <c r="B550">
        <v>216</v>
      </c>
      <c r="C550" t="s">
        <v>108</v>
      </c>
      <c r="D550" t="s">
        <v>43</v>
      </c>
      <c r="E550" s="5">
        <v>0.245</v>
      </c>
      <c r="F550" s="5">
        <v>0.22899999999999998</v>
      </c>
      <c r="G550" s="5">
        <v>0.17899999999999999</v>
      </c>
      <c r="H550" s="5">
        <v>0.16300000000000001</v>
      </c>
      <c r="I550" s="5">
        <v>0.16399999999999998</v>
      </c>
      <c r="J550" s="5">
        <v>0.151</v>
      </c>
      <c r="K550" s="5">
        <v>0.13200000000000001</v>
      </c>
      <c r="L550" s="5">
        <v>0.113</v>
      </c>
      <c r="M550" s="5">
        <v>0.128</v>
      </c>
      <c r="N550" s="5">
        <v>9.9000000000000005E-2</v>
      </c>
    </row>
    <row r="551" spans="1:14" x14ac:dyDescent="0.25">
      <c r="A551">
        <v>2014</v>
      </c>
      <c r="B551">
        <v>216</v>
      </c>
      <c r="C551" t="s">
        <v>108</v>
      </c>
      <c r="D551" t="s">
        <v>44</v>
      </c>
      <c r="E551" s="5" t="s">
        <v>109</v>
      </c>
      <c r="F551" s="5">
        <v>0.22699999999999998</v>
      </c>
      <c r="G551" s="5">
        <v>0.17</v>
      </c>
      <c r="H551" s="5">
        <v>0.153</v>
      </c>
      <c r="I551" s="5">
        <v>0.121</v>
      </c>
      <c r="J551" s="5">
        <v>0.107</v>
      </c>
      <c r="K551" s="5">
        <v>0.10099999999999999</v>
      </c>
      <c r="L551" s="5">
        <v>0.10199999999999999</v>
      </c>
      <c r="M551" s="5">
        <v>0.126</v>
      </c>
      <c r="N551" s="5">
        <v>9.1999999999999998E-2</v>
      </c>
    </row>
    <row r="552" spans="1:14" x14ac:dyDescent="0.25">
      <c r="A552">
        <v>2014</v>
      </c>
      <c r="B552">
        <v>216</v>
      </c>
      <c r="C552" t="s">
        <v>108</v>
      </c>
      <c r="D552" t="s">
        <v>38</v>
      </c>
      <c r="E552" s="5">
        <v>0.21299999999999999</v>
      </c>
      <c r="F552" s="5">
        <v>0.221</v>
      </c>
      <c r="G552" s="5">
        <v>0.24299999999999999</v>
      </c>
      <c r="H552" s="5">
        <v>0.252</v>
      </c>
      <c r="I552" s="5">
        <v>0.22600000000000001</v>
      </c>
      <c r="J552" s="5">
        <v>0.182</v>
      </c>
      <c r="K552" s="5">
        <v>0.14199999999999999</v>
      </c>
      <c r="L552" s="5">
        <v>0.16</v>
      </c>
      <c r="M552" s="5">
        <v>0.16300000000000001</v>
      </c>
      <c r="N552" s="5">
        <v>0.125</v>
      </c>
    </row>
    <row r="553" spans="1:14" x14ac:dyDescent="0.25">
      <c r="A553">
        <v>2014</v>
      </c>
      <c r="B553">
        <v>216</v>
      </c>
      <c r="C553" t="s">
        <v>108</v>
      </c>
      <c r="D553" t="s">
        <v>85</v>
      </c>
      <c r="E553" s="5">
        <v>0.20300000000000001</v>
      </c>
      <c r="F553" s="5">
        <v>0.19500000000000001</v>
      </c>
      <c r="G553" s="5">
        <v>0.21600000000000003</v>
      </c>
      <c r="H553" s="5">
        <v>0.24299999999999999</v>
      </c>
      <c r="I553" s="5">
        <v>0.23399999999999999</v>
      </c>
      <c r="J553" s="5">
        <v>0.21600000000000003</v>
      </c>
      <c r="K553" s="5">
        <v>0.19</v>
      </c>
      <c r="L553" s="5">
        <v>0.16300000000000001</v>
      </c>
      <c r="M553" s="5">
        <v>0.192</v>
      </c>
      <c r="N553" s="5">
        <v>0.156</v>
      </c>
    </row>
    <row r="554" spans="1:14" x14ac:dyDescent="0.25">
      <c r="A554">
        <v>2014</v>
      </c>
      <c r="B554">
        <v>216</v>
      </c>
      <c r="C554" t="s">
        <v>108</v>
      </c>
      <c r="D554" t="s">
        <v>84</v>
      </c>
      <c r="E554" s="5" t="s">
        <v>109</v>
      </c>
      <c r="F554" s="5">
        <v>0.22399999999999998</v>
      </c>
      <c r="G554" s="5">
        <v>0.24199999999999999</v>
      </c>
      <c r="H554" s="5">
        <v>0.254</v>
      </c>
      <c r="I554" s="5">
        <v>0.24399999999999999</v>
      </c>
      <c r="J554" s="5">
        <v>0.22500000000000001</v>
      </c>
      <c r="K554" s="5">
        <v>0.218</v>
      </c>
      <c r="L554" s="5">
        <v>0.16600000000000001</v>
      </c>
      <c r="M554" s="5">
        <v>0.155</v>
      </c>
      <c r="N554" s="5">
        <v>0.128</v>
      </c>
    </row>
    <row r="555" spans="1:14" x14ac:dyDescent="0.25">
      <c r="A555">
        <v>2014</v>
      </c>
      <c r="B555">
        <v>216</v>
      </c>
      <c r="C555" t="s">
        <v>108</v>
      </c>
      <c r="D555" t="s">
        <v>42</v>
      </c>
      <c r="E555" s="5" t="s">
        <v>109</v>
      </c>
      <c r="F555" s="5">
        <v>0.23399999999999999</v>
      </c>
      <c r="G555" s="5">
        <v>0.23100000000000001</v>
      </c>
      <c r="H555" s="5">
        <v>0.24600000000000002</v>
      </c>
      <c r="I555" s="5">
        <v>0.23199999999999998</v>
      </c>
      <c r="J555" s="5">
        <v>0.23699999999999999</v>
      </c>
      <c r="K555" s="5">
        <v>0.221</v>
      </c>
      <c r="L555" s="5">
        <v>0.187</v>
      </c>
      <c r="M555" s="5">
        <v>0.19600000000000001</v>
      </c>
      <c r="N555" s="5">
        <v>0.158</v>
      </c>
    </row>
    <row r="556" spans="1:14" x14ac:dyDescent="0.25">
      <c r="A556">
        <v>2014</v>
      </c>
      <c r="B556">
        <v>216</v>
      </c>
      <c r="C556" t="s">
        <v>108</v>
      </c>
      <c r="D556" t="s">
        <v>83</v>
      </c>
      <c r="E556" s="5">
        <v>0.18</v>
      </c>
      <c r="F556" s="5">
        <v>0.16300000000000001</v>
      </c>
      <c r="G556" s="5">
        <v>0.214</v>
      </c>
      <c r="H556" s="5">
        <v>0.26400000000000001</v>
      </c>
      <c r="I556" s="5">
        <v>0.24</v>
      </c>
      <c r="J556" s="5">
        <v>0.18600000000000003</v>
      </c>
      <c r="K556" s="5">
        <v>0.13600000000000001</v>
      </c>
      <c r="L556" s="5">
        <v>0.121</v>
      </c>
      <c r="M556" s="5">
        <v>0.129</v>
      </c>
      <c r="N556" s="5">
        <v>0.106</v>
      </c>
    </row>
    <row r="557" spans="1:14" x14ac:dyDescent="0.25">
      <c r="A557">
        <v>2014</v>
      </c>
      <c r="B557">
        <v>216</v>
      </c>
      <c r="C557" t="s">
        <v>108</v>
      </c>
      <c r="D557" t="s">
        <v>82</v>
      </c>
      <c r="E557" s="5">
        <v>0.16800000000000001</v>
      </c>
      <c r="F557" s="5">
        <v>0.16200000000000001</v>
      </c>
      <c r="G557" s="5">
        <v>0.16399999999999998</v>
      </c>
      <c r="H557" s="5">
        <v>0.20300000000000001</v>
      </c>
      <c r="I557" s="5">
        <v>0.24299999999999999</v>
      </c>
      <c r="J557" s="5">
        <v>0.20300000000000001</v>
      </c>
      <c r="K557" s="5">
        <v>0.17100000000000001</v>
      </c>
      <c r="L557" s="5">
        <v>0.14300000000000002</v>
      </c>
      <c r="M557" s="5">
        <v>0.152</v>
      </c>
      <c r="N557" s="5">
        <v>0.129</v>
      </c>
    </row>
    <row r="558" spans="1:14" x14ac:dyDescent="0.25">
      <c r="A558">
        <v>2014</v>
      </c>
      <c r="B558">
        <v>216</v>
      </c>
      <c r="C558" t="s">
        <v>108</v>
      </c>
      <c r="D558" t="s">
        <v>72</v>
      </c>
      <c r="E558" s="5" t="s">
        <v>109</v>
      </c>
      <c r="F558" s="5">
        <v>0.22600000000000001</v>
      </c>
      <c r="G558" s="5">
        <v>0.22699999999999998</v>
      </c>
      <c r="H558" s="5">
        <v>0.247</v>
      </c>
      <c r="I558" s="5">
        <v>0.23800000000000002</v>
      </c>
      <c r="J558" s="5">
        <v>0.161</v>
      </c>
      <c r="K558" s="5">
        <v>0.13600000000000001</v>
      </c>
      <c r="L558" s="5">
        <v>0.158</v>
      </c>
      <c r="M558" s="5">
        <v>0.17100000000000001</v>
      </c>
      <c r="N558" s="5">
        <v>0.13900000000000001</v>
      </c>
    </row>
    <row r="559" spans="1:14" x14ac:dyDescent="0.25">
      <c r="A559">
        <v>2014</v>
      </c>
      <c r="B559">
        <v>216</v>
      </c>
      <c r="C559" t="s">
        <v>108</v>
      </c>
      <c r="D559" t="s">
        <v>39</v>
      </c>
      <c r="E559" s="5">
        <v>0.19699999999999998</v>
      </c>
      <c r="F559" s="5">
        <v>0.19899999999999998</v>
      </c>
      <c r="G559" s="5">
        <v>0.18899999999999997</v>
      </c>
      <c r="H559" s="5">
        <v>0.23699999999999999</v>
      </c>
      <c r="I559" s="5">
        <v>0.24600000000000002</v>
      </c>
      <c r="J559" s="5">
        <v>0.215</v>
      </c>
      <c r="K559" s="5">
        <v>0.215</v>
      </c>
      <c r="L559" s="5">
        <v>0.19399999999999998</v>
      </c>
      <c r="M559" s="5">
        <v>0.188</v>
      </c>
      <c r="N559" s="5">
        <v>0.157</v>
      </c>
    </row>
    <row r="560" spans="1:14" x14ac:dyDescent="0.25">
      <c r="A560">
        <v>2014</v>
      </c>
      <c r="B560">
        <v>216</v>
      </c>
      <c r="C560" t="s">
        <v>108</v>
      </c>
      <c r="D560" t="s">
        <v>86</v>
      </c>
      <c r="E560" s="5">
        <v>0.16500000000000001</v>
      </c>
      <c r="F560" s="5">
        <v>0.16800000000000001</v>
      </c>
      <c r="G560" s="5">
        <v>0.21899999999999997</v>
      </c>
      <c r="H560" s="5">
        <v>0.22500000000000001</v>
      </c>
      <c r="I560" s="5">
        <v>0.23399999999999999</v>
      </c>
      <c r="J560" s="5">
        <v>0.18600000000000003</v>
      </c>
      <c r="K560" s="5">
        <v>0.17300000000000001</v>
      </c>
      <c r="L560" s="5">
        <v>0.17600000000000002</v>
      </c>
      <c r="M560" s="5">
        <v>0.184</v>
      </c>
      <c r="N560" s="5">
        <v>0.14800000000000002</v>
      </c>
    </row>
    <row r="561" spans="1:14" x14ac:dyDescent="0.25">
      <c r="A561">
        <v>2014</v>
      </c>
      <c r="B561">
        <v>216</v>
      </c>
      <c r="C561" t="s">
        <v>108</v>
      </c>
      <c r="D561" t="s">
        <v>87</v>
      </c>
      <c r="E561" s="5" t="s">
        <v>109</v>
      </c>
      <c r="F561" s="5">
        <v>0.184</v>
      </c>
      <c r="G561" s="5">
        <v>0.19699999999999998</v>
      </c>
      <c r="H561" s="5">
        <v>0.23899999999999999</v>
      </c>
      <c r="I561" s="5">
        <v>0.23300000000000001</v>
      </c>
      <c r="J561" s="5">
        <v>0.21100000000000002</v>
      </c>
      <c r="K561" s="5">
        <v>0.18899999999999997</v>
      </c>
      <c r="L561" s="5">
        <v>0.16200000000000001</v>
      </c>
      <c r="M561" s="5">
        <v>0.159</v>
      </c>
      <c r="N561" s="5">
        <v>0.126</v>
      </c>
    </row>
    <row r="562" spans="1:14" x14ac:dyDescent="0.25">
      <c r="A562">
        <v>2014</v>
      </c>
      <c r="B562">
        <v>216</v>
      </c>
      <c r="C562" t="s">
        <v>108</v>
      </c>
      <c r="D562" t="s">
        <v>88</v>
      </c>
      <c r="E562" s="5">
        <v>0.21100000000000002</v>
      </c>
      <c r="F562" s="5">
        <v>0.20800000000000002</v>
      </c>
      <c r="G562" s="5">
        <v>0.20800000000000002</v>
      </c>
      <c r="H562" s="5">
        <v>0.21600000000000003</v>
      </c>
      <c r="I562" s="5">
        <v>0.20899999999999999</v>
      </c>
      <c r="J562" s="5">
        <v>0.18</v>
      </c>
      <c r="K562" s="5">
        <v>0.159</v>
      </c>
      <c r="L562" s="5">
        <v>0.13500000000000001</v>
      </c>
      <c r="M562" s="5">
        <v>0.13900000000000001</v>
      </c>
      <c r="N562" s="5">
        <v>9.9000000000000005E-2</v>
      </c>
    </row>
    <row r="563" spans="1:14" x14ac:dyDescent="0.25">
      <c r="A563">
        <v>2014</v>
      </c>
      <c r="B563">
        <v>216</v>
      </c>
      <c r="C563" t="s">
        <v>108</v>
      </c>
      <c r="D563" t="s">
        <v>36</v>
      </c>
      <c r="E563" s="5">
        <v>0.14800000000000002</v>
      </c>
      <c r="F563" s="5">
        <v>0.152</v>
      </c>
      <c r="G563" s="5">
        <v>0.16399999999999998</v>
      </c>
      <c r="H563" s="5">
        <v>0.192</v>
      </c>
      <c r="I563" s="5">
        <v>0.20100000000000001</v>
      </c>
      <c r="J563" s="5">
        <v>0.16399999999999998</v>
      </c>
      <c r="K563" s="5">
        <v>0.13900000000000001</v>
      </c>
      <c r="L563" s="5">
        <v>0.14199999999999999</v>
      </c>
      <c r="M563" s="5">
        <v>0.14000000000000001</v>
      </c>
      <c r="N563" s="5">
        <v>0.09</v>
      </c>
    </row>
    <row r="564" spans="1:14" x14ac:dyDescent="0.25">
      <c r="A564">
        <v>2014</v>
      </c>
      <c r="B564">
        <v>216</v>
      </c>
      <c r="C564" t="s">
        <v>108</v>
      </c>
      <c r="D564" t="s">
        <v>94</v>
      </c>
      <c r="E564" s="5" t="s">
        <v>109</v>
      </c>
      <c r="F564" s="5">
        <v>0.20600000000000002</v>
      </c>
      <c r="G564" s="5">
        <v>0.19800000000000001</v>
      </c>
      <c r="H564" s="5">
        <v>0.2</v>
      </c>
      <c r="I564" s="5">
        <v>0.17800000000000002</v>
      </c>
      <c r="J564" s="5">
        <v>0.129</v>
      </c>
      <c r="K564" s="5">
        <v>0.11699999999999999</v>
      </c>
      <c r="L564" s="5">
        <v>0.14300000000000002</v>
      </c>
      <c r="M564" s="5">
        <v>0.13600000000000001</v>
      </c>
      <c r="N564" s="5">
        <v>8.4000000000000005E-2</v>
      </c>
    </row>
    <row r="565" spans="1:14" x14ac:dyDescent="0.25">
      <c r="A565">
        <v>2014</v>
      </c>
      <c r="B565">
        <v>216</v>
      </c>
      <c r="C565" t="s">
        <v>108</v>
      </c>
      <c r="D565" t="s">
        <v>93</v>
      </c>
      <c r="E565" s="5">
        <v>0.2</v>
      </c>
      <c r="F565" s="5">
        <v>0.20899999999999999</v>
      </c>
      <c r="G565" s="5">
        <v>0.20600000000000002</v>
      </c>
      <c r="H565" s="5">
        <v>0.184</v>
      </c>
      <c r="I565" s="5">
        <v>0.14499999999999999</v>
      </c>
      <c r="J565" s="5">
        <v>0.122</v>
      </c>
      <c r="K565" s="5">
        <v>0.109</v>
      </c>
      <c r="L565" s="5">
        <v>0.14499999999999999</v>
      </c>
      <c r="M565" s="5">
        <v>0.153</v>
      </c>
      <c r="N565" s="5">
        <v>0.125</v>
      </c>
    </row>
    <row r="566" spans="1:14" x14ac:dyDescent="0.25">
      <c r="A566">
        <v>2014</v>
      </c>
      <c r="B566">
        <v>216</v>
      </c>
      <c r="C566" t="s">
        <v>108</v>
      </c>
      <c r="D566" t="s">
        <v>92</v>
      </c>
      <c r="E566" s="5" t="s">
        <v>109</v>
      </c>
      <c r="F566" s="5">
        <v>0.18899999999999997</v>
      </c>
      <c r="G566" s="5">
        <v>0.21100000000000002</v>
      </c>
      <c r="H566" s="5">
        <v>0.19899999999999998</v>
      </c>
      <c r="I566" s="5">
        <v>0.17</v>
      </c>
      <c r="J566" s="5">
        <v>0.16200000000000001</v>
      </c>
      <c r="K566" s="5">
        <v>0.13800000000000001</v>
      </c>
      <c r="L566" s="5">
        <v>0.16200000000000001</v>
      </c>
      <c r="M566" s="5">
        <v>0.18600000000000003</v>
      </c>
      <c r="N566" s="5">
        <v>0.14800000000000002</v>
      </c>
    </row>
    <row r="567" spans="1:14" x14ac:dyDescent="0.25">
      <c r="A567">
        <v>2014</v>
      </c>
      <c r="B567">
        <v>216</v>
      </c>
      <c r="C567" t="s">
        <v>108</v>
      </c>
      <c r="D567" t="s">
        <v>91</v>
      </c>
      <c r="E567" s="5">
        <v>0.14899999999999999</v>
      </c>
      <c r="F567" s="5">
        <v>0.17899999999999999</v>
      </c>
      <c r="G567" s="5">
        <v>0.23699999999999999</v>
      </c>
      <c r="H567" s="5">
        <v>0.247</v>
      </c>
      <c r="I567" s="5">
        <v>0.23600000000000002</v>
      </c>
      <c r="J567" s="5">
        <v>0.24100000000000002</v>
      </c>
      <c r="K567" s="5">
        <v>0.20100000000000001</v>
      </c>
      <c r="L567" s="5">
        <v>0.17800000000000002</v>
      </c>
      <c r="M567" s="5">
        <v>0.183</v>
      </c>
      <c r="N567" s="5">
        <v>0.152</v>
      </c>
    </row>
    <row r="568" spans="1:14" x14ac:dyDescent="0.25">
      <c r="A568">
        <v>2014</v>
      </c>
      <c r="B568">
        <v>216</v>
      </c>
      <c r="C568" t="s">
        <v>108</v>
      </c>
      <c r="D568" t="s">
        <v>90</v>
      </c>
      <c r="E568" s="5">
        <v>0.192</v>
      </c>
      <c r="F568" s="5">
        <v>0.19600000000000001</v>
      </c>
      <c r="G568" s="5">
        <v>0.187</v>
      </c>
      <c r="H568" s="5">
        <v>0.19800000000000001</v>
      </c>
      <c r="I568" s="5">
        <v>0.21</v>
      </c>
      <c r="J568" s="5">
        <v>0.184</v>
      </c>
      <c r="K568" s="5">
        <v>0.187</v>
      </c>
      <c r="L568" s="5">
        <v>0.159</v>
      </c>
      <c r="M568" s="5">
        <v>0.156</v>
      </c>
      <c r="N568" s="5">
        <v>0.11</v>
      </c>
    </row>
    <row r="569" spans="1:14" x14ac:dyDescent="0.25">
      <c r="A569">
        <v>2014</v>
      </c>
      <c r="B569">
        <v>216</v>
      </c>
      <c r="C569" t="s">
        <v>108</v>
      </c>
      <c r="D569" t="s">
        <v>89</v>
      </c>
      <c r="E569" s="5">
        <v>0.16200000000000001</v>
      </c>
      <c r="F569" s="5">
        <v>0.16600000000000001</v>
      </c>
      <c r="G569" s="5">
        <v>0.19500000000000001</v>
      </c>
      <c r="H569" s="5">
        <v>0.23399999999999999</v>
      </c>
      <c r="I569" s="5">
        <v>0.23199999999999998</v>
      </c>
      <c r="J569" s="5">
        <v>0.20800000000000002</v>
      </c>
      <c r="K569" s="5">
        <v>0.18899999999999997</v>
      </c>
      <c r="L569" s="5">
        <v>0.16300000000000001</v>
      </c>
      <c r="M569" s="5">
        <v>0.17300000000000001</v>
      </c>
      <c r="N569" s="5">
        <v>0.13300000000000001</v>
      </c>
    </row>
    <row r="570" spans="1:14" x14ac:dyDescent="0.25">
      <c r="A570">
        <v>2014</v>
      </c>
      <c r="B570">
        <v>216</v>
      </c>
      <c r="C570" t="s">
        <v>108</v>
      </c>
      <c r="D570" t="s">
        <v>45</v>
      </c>
      <c r="E570" s="5" t="s">
        <v>109</v>
      </c>
      <c r="F570" s="5">
        <v>0.21600000000000003</v>
      </c>
      <c r="G570" s="5">
        <v>0.21199999999999999</v>
      </c>
      <c r="H570" s="5">
        <v>0.223</v>
      </c>
      <c r="I570" s="5">
        <v>0.217</v>
      </c>
      <c r="J570" s="5">
        <v>0.17899999999999999</v>
      </c>
      <c r="K570" s="5">
        <v>0.16699999999999998</v>
      </c>
      <c r="L570" s="5">
        <v>0.16500000000000001</v>
      </c>
      <c r="M570" s="5">
        <v>0.16899999999999998</v>
      </c>
      <c r="N570" s="5">
        <v>0.13400000000000001</v>
      </c>
    </row>
    <row r="571" spans="1:14" x14ac:dyDescent="0.25">
      <c r="A571">
        <v>2014</v>
      </c>
      <c r="B571">
        <v>216</v>
      </c>
      <c r="C571" t="s">
        <v>108</v>
      </c>
      <c r="D571" t="s">
        <v>46</v>
      </c>
      <c r="E571" s="5">
        <v>0.22699999999999998</v>
      </c>
      <c r="F571" s="5">
        <v>0.22800000000000001</v>
      </c>
      <c r="G571" s="5">
        <v>0.223</v>
      </c>
      <c r="H571" s="5">
        <v>0.23399999999999999</v>
      </c>
      <c r="I571" s="5">
        <v>0.21899999999999997</v>
      </c>
      <c r="J571" s="5">
        <v>0.20100000000000001</v>
      </c>
      <c r="K571" s="5">
        <v>0.20100000000000001</v>
      </c>
      <c r="L571" s="5">
        <v>0.193</v>
      </c>
      <c r="M571" s="5">
        <v>0.17699999999999999</v>
      </c>
      <c r="N571" s="5">
        <v>0.13600000000000001</v>
      </c>
    </row>
    <row r="572" spans="1:14" x14ac:dyDescent="0.25">
      <c r="A572">
        <v>2014</v>
      </c>
      <c r="B572">
        <v>216</v>
      </c>
      <c r="C572" t="s">
        <v>108</v>
      </c>
      <c r="D572" t="s">
        <v>47</v>
      </c>
      <c r="E572" s="5">
        <v>0.22</v>
      </c>
      <c r="F572" s="5">
        <v>0.192</v>
      </c>
      <c r="G572" s="5">
        <v>0.21</v>
      </c>
      <c r="H572" s="5">
        <v>0.20699999999999999</v>
      </c>
      <c r="I572" s="5">
        <v>0.183</v>
      </c>
      <c r="J572" s="5">
        <v>0.17399999999999999</v>
      </c>
      <c r="K572" s="5">
        <v>0.17</v>
      </c>
      <c r="L572" s="5">
        <v>0.18100000000000002</v>
      </c>
      <c r="M572" s="5">
        <v>0.17</v>
      </c>
      <c r="N572" s="5">
        <v>0.13200000000000001</v>
      </c>
    </row>
    <row r="573" spans="1:14" x14ac:dyDescent="0.25">
      <c r="A573">
        <v>2014</v>
      </c>
      <c r="B573">
        <v>216</v>
      </c>
      <c r="C573" t="s">
        <v>108</v>
      </c>
      <c r="D573" t="s">
        <v>48</v>
      </c>
      <c r="E573" s="5">
        <v>0.14400000000000002</v>
      </c>
      <c r="F573" s="5">
        <v>0.129</v>
      </c>
      <c r="G573" s="5">
        <v>0.11599999999999999</v>
      </c>
      <c r="H573" s="5">
        <v>0.111</v>
      </c>
      <c r="I573" s="5">
        <v>9.5000000000000001E-2</v>
      </c>
      <c r="J573" s="5">
        <v>9.6000000000000002E-2</v>
      </c>
      <c r="K573" s="5">
        <v>9.6999999999999989E-2</v>
      </c>
      <c r="L573" s="5">
        <v>0.14099999999999999</v>
      </c>
      <c r="M573" s="5">
        <v>0.17600000000000002</v>
      </c>
      <c r="N573" s="5">
        <v>0.13900000000000001</v>
      </c>
    </row>
    <row r="574" spans="1:14" x14ac:dyDescent="0.25">
      <c r="A574">
        <v>2014</v>
      </c>
      <c r="B574">
        <v>216</v>
      </c>
      <c r="C574" t="s">
        <v>108</v>
      </c>
      <c r="D574" t="s">
        <v>49</v>
      </c>
      <c r="E574" s="5">
        <v>0.17300000000000001</v>
      </c>
      <c r="F574" s="5">
        <v>0.19600000000000001</v>
      </c>
      <c r="G574" s="5">
        <v>0.214</v>
      </c>
      <c r="H574" s="5">
        <v>0.218</v>
      </c>
      <c r="I574" s="5">
        <v>0.20899999999999999</v>
      </c>
      <c r="J574" s="5">
        <v>0.16699999999999998</v>
      </c>
      <c r="K574" s="5">
        <v>0.13500000000000001</v>
      </c>
      <c r="L574" s="5">
        <v>0.14099999999999999</v>
      </c>
      <c r="M574" s="5">
        <v>0.156</v>
      </c>
      <c r="N574" s="5">
        <v>9.8000000000000004E-2</v>
      </c>
    </row>
    <row r="575" spans="1:14" x14ac:dyDescent="0.25">
      <c r="A575">
        <v>2014</v>
      </c>
      <c r="B575">
        <v>216</v>
      </c>
      <c r="C575" t="s">
        <v>108</v>
      </c>
      <c r="D575" t="s">
        <v>50</v>
      </c>
      <c r="E575" s="5">
        <v>0.188</v>
      </c>
      <c r="F575" s="5">
        <v>0.20699999999999999</v>
      </c>
      <c r="G575" s="5">
        <v>0.19699999999999998</v>
      </c>
      <c r="H575" s="5">
        <v>0.17800000000000002</v>
      </c>
      <c r="I575" s="5">
        <v>0.151</v>
      </c>
      <c r="J575" s="5">
        <v>0.155</v>
      </c>
      <c r="K575" s="5">
        <v>0.14800000000000002</v>
      </c>
      <c r="L575" s="5">
        <v>0.13500000000000001</v>
      </c>
      <c r="M575" s="5">
        <v>0.152</v>
      </c>
      <c r="N575" s="5">
        <v>0.11800000000000001</v>
      </c>
    </row>
    <row r="576" spans="1:14" x14ac:dyDescent="0.25">
      <c r="A576">
        <v>2014</v>
      </c>
      <c r="B576">
        <v>217</v>
      </c>
      <c r="C576" t="s">
        <v>108</v>
      </c>
      <c r="D576" t="s">
        <v>51</v>
      </c>
      <c r="E576" s="5">
        <v>9.5000000000000001E-2</v>
      </c>
      <c r="F576" s="5">
        <v>0.11</v>
      </c>
      <c r="G576" s="5">
        <v>0.11599999999999999</v>
      </c>
      <c r="H576" s="5">
        <v>0.13100000000000001</v>
      </c>
      <c r="I576" s="5">
        <v>0.14899999999999999</v>
      </c>
      <c r="J576" s="5">
        <v>0.16600000000000001</v>
      </c>
      <c r="K576" s="5">
        <v>0.17499999999999999</v>
      </c>
      <c r="L576" s="5">
        <v>0.17199999999999999</v>
      </c>
      <c r="M576" s="5">
        <v>0.155</v>
      </c>
      <c r="N576" s="5">
        <v>6.4000000000000001E-2</v>
      </c>
    </row>
    <row r="577" spans="1:14" x14ac:dyDescent="0.25">
      <c r="A577">
        <v>2014</v>
      </c>
      <c r="B577">
        <v>217</v>
      </c>
      <c r="C577" t="s">
        <v>108</v>
      </c>
      <c r="D577" t="s">
        <v>55</v>
      </c>
      <c r="E577" s="5">
        <v>0.22399999999999998</v>
      </c>
      <c r="F577" s="5">
        <v>0.13800000000000001</v>
      </c>
      <c r="G577" s="5">
        <v>0.11599999999999999</v>
      </c>
      <c r="H577" s="5">
        <v>0.11800000000000001</v>
      </c>
      <c r="I577" s="5">
        <v>0.13900000000000001</v>
      </c>
      <c r="J577" s="5">
        <v>0.14699999999999999</v>
      </c>
      <c r="K577" s="5">
        <v>0.159</v>
      </c>
      <c r="L577" s="5">
        <v>0.17699999999999999</v>
      </c>
      <c r="M577" s="5">
        <v>0.14499999999999999</v>
      </c>
      <c r="N577" s="5">
        <v>8.8000000000000009E-2</v>
      </c>
    </row>
    <row r="578" spans="1:14" x14ac:dyDescent="0.25">
      <c r="A578">
        <v>2014</v>
      </c>
      <c r="B578">
        <v>217</v>
      </c>
      <c r="C578" t="s">
        <v>108</v>
      </c>
      <c r="D578" t="s">
        <v>56</v>
      </c>
      <c r="E578" s="5">
        <v>0.127</v>
      </c>
      <c r="F578" s="5">
        <v>0.161</v>
      </c>
      <c r="G578" s="5">
        <v>0.18899999999999997</v>
      </c>
      <c r="H578" s="5">
        <v>0.192</v>
      </c>
      <c r="I578" s="5">
        <v>0.16500000000000001</v>
      </c>
      <c r="J578" s="5">
        <v>0.161</v>
      </c>
      <c r="K578" s="5">
        <v>0.16200000000000001</v>
      </c>
      <c r="L578" s="5">
        <v>0.17600000000000002</v>
      </c>
      <c r="M578" s="5">
        <v>0.17499999999999999</v>
      </c>
      <c r="N578" s="5">
        <v>7.6999999999999999E-2</v>
      </c>
    </row>
    <row r="579" spans="1:14" x14ac:dyDescent="0.25">
      <c r="A579">
        <v>2014</v>
      </c>
      <c r="B579">
        <v>217</v>
      </c>
      <c r="C579" t="s">
        <v>108</v>
      </c>
      <c r="D579" t="s">
        <v>57</v>
      </c>
      <c r="E579" s="5" t="s">
        <v>109</v>
      </c>
      <c r="F579" s="5">
        <v>0.13</v>
      </c>
      <c r="G579" s="5">
        <v>0.13900000000000001</v>
      </c>
      <c r="H579" s="5">
        <v>0.16800000000000001</v>
      </c>
      <c r="I579" s="5">
        <v>0.17699999999999999</v>
      </c>
      <c r="J579" s="5">
        <v>0.18</v>
      </c>
      <c r="K579" s="5">
        <v>0.17600000000000002</v>
      </c>
      <c r="L579" s="5">
        <v>0.161</v>
      </c>
      <c r="M579" s="5">
        <v>0.14099999999999999</v>
      </c>
      <c r="N579" s="5">
        <v>7.8E-2</v>
      </c>
    </row>
    <row r="580" spans="1:14" x14ac:dyDescent="0.25">
      <c r="A580">
        <v>2014</v>
      </c>
      <c r="B580">
        <v>217</v>
      </c>
      <c r="C580" t="s">
        <v>108</v>
      </c>
      <c r="D580" t="s">
        <v>58</v>
      </c>
      <c r="E580" s="5" t="s">
        <v>109</v>
      </c>
      <c r="F580" s="5" t="s">
        <v>109</v>
      </c>
      <c r="G580" s="5">
        <v>0.18600000000000003</v>
      </c>
      <c r="H580" s="5">
        <v>0.23399999999999999</v>
      </c>
      <c r="I580" s="5">
        <v>0.19</v>
      </c>
      <c r="J580" s="5">
        <v>0.19800000000000001</v>
      </c>
      <c r="K580" s="5">
        <v>0.17699999999999999</v>
      </c>
      <c r="L580" s="5">
        <v>0.191</v>
      </c>
      <c r="M580" s="5">
        <v>0.20100000000000001</v>
      </c>
      <c r="N580" s="5">
        <v>0.10800000000000001</v>
      </c>
    </row>
    <row r="581" spans="1:14" x14ac:dyDescent="0.25">
      <c r="A581">
        <v>2014</v>
      </c>
      <c r="B581">
        <v>217</v>
      </c>
      <c r="C581" t="s">
        <v>108</v>
      </c>
      <c r="D581" t="s">
        <v>59</v>
      </c>
      <c r="E581" s="5" t="s">
        <v>109</v>
      </c>
      <c r="F581" s="5">
        <v>0.193</v>
      </c>
      <c r="G581" s="5">
        <v>0.19</v>
      </c>
      <c r="H581" s="5">
        <v>0.19600000000000001</v>
      </c>
      <c r="I581" s="5">
        <v>0.20499999999999999</v>
      </c>
      <c r="J581" s="5">
        <v>0.19600000000000001</v>
      </c>
      <c r="K581" s="5">
        <v>0.17600000000000002</v>
      </c>
      <c r="L581" s="5">
        <v>0.18899999999999997</v>
      </c>
      <c r="M581" s="5">
        <v>0.17</v>
      </c>
      <c r="N581" s="5">
        <v>7.0999999999999994E-2</v>
      </c>
    </row>
    <row r="582" spans="1:14" x14ac:dyDescent="0.25">
      <c r="A582">
        <v>2014</v>
      </c>
      <c r="B582">
        <v>217</v>
      </c>
      <c r="C582" t="s">
        <v>108</v>
      </c>
      <c r="D582" t="s">
        <v>64</v>
      </c>
      <c r="E582" s="5">
        <v>0.24399999999999999</v>
      </c>
      <c r="F582" s="5">
        <v>0.13800000000000001</v>
      </c>
      <c r="G582" s="5">
        <v>0.153</v>
      </c>
      <c r="H582" s="5">
        <v>0.245</v>
      </c>
      <c r="I582" s="5">
        <v>0.22399999999999998</v>
      </c>
      <c r="J582" s="5">
        <v>0.20600000000000002</v>
      </c>
      <c r="K582" s="5">
        <v>0.222</v>
      </c>
      <c r="L582" s="5">
        <v>0.249</v>
      </c>
      <c r="M582" s="5">
        <v>0.19</v>
      </c>
      <c r="N582" s="5">
        <v>0.13300000000000001</v>
      </c>
    </row>
    <row r="583" spans="1:14" x14ac:dyDescent="0.25">
      <c r="A583">
        <v>2014</v>
      </c>
      <c r="B583">
        <v>217</v>
      </c>
      <c r="C583" t="s">
        <v>108</v>
      </c>
      <c r="D583" t="s">
        <v>52</v>
      </c>
      <c r="E583" s="5">
        <v>0.14499999999999999</v>
      </c>
      <c r="F583" s="5">
        <v>0.156</v>
      </c>
      <c r="G583" s="5">
        <v>0.17699999999999999</v>
      </c>
      <c r="H583" s="5">
        <v>0.19600000000000001</v>
      </c>
      <c r="I583" s="5">
        <v>0.21600000000000003</v>
      </c>
      <c r="J583" s="5">
        <v>0.23499999999999999</v>
      </c>
      <c r="K583" s="5">
        <v>0.22800000000000001</v>
      </c>
      <c r="L583" s="5">
        <v>0.217</v>
      </c>
      <c r="M583" s="5">
        <v>0.19800000000000001</v>
      </c>
      <c r="N583" s="5">
        <v>0.14300000000000002</v>
      </c>
    </row>
    <row r="584" spans="1:14" x14ac:dyDescent="0.25">
      <c r="A584">
        <v>2014</v>
      </c>
      <c r="B584">
        <v>217</v>
      </c>
      <c r="C584" t="s">
        <v>108</v>
      </c>
      <c r="D584" t="s">
        <v>62</v>
      </c>
      <c r="E584" s="5">
        <v>0.158</v>
      </c>
      <c r="F584" s="5">
        <v>0.13800000000000001</v>
      </c>
      <c r="G584" s="5">
        <v>0.154</v>
      </c>
      <c r="H584" s="5">
        <v>0.16500000000000001</v>
      </c>
      <c r="I584" s="5">
        <v>0.21199999999999999</v>
      </c>
      <c r="J584" s="5">
        <v>0.22</v>
      </c>
      <c r="K584" s="5">
        <v>0.254</v>
      </c>
      <c r="L584" s="5">
        <v>0.28499999999999998</v>
      </c>
      <c r="M584" s="5">
        <v>0.24199999999999999</v>
      </c>
      <c r="N584" s="5">
        <v>0.157</v>
      </c>
    </row>
    <row r="585" spans="1:14" x14ac:dyDescent="0.25">
      <c r="A585">
        <v>2014</v>
      </c>
      <c r="B585">
        <v>217</v>
      </c>
      <c r="C585" t="s">
        <v>108</v>
      </c>
      <c r="D585" t="s">
        <v>63</v>
      </c>
      <c r="E585" s="5" t="s">
        <v>109</v>
      </c>
      <c r="F585" s="5">
        <v>0.157</v>
      </c>
      <c r="G585" s="5">
        <v>0.15</v>
      </c>
      <c r="H585" s="5">
        <v>0.19399999999999998</v>
      </c>
      <c r="I585" s="5">
        <v>0.21899999999999997</v>
      </c>
      <c r="J585" s="5">
        <v>0.22399999999999998</v>
      </c>
      <c r="K585" s="5">
        <v>0.21899999999999997</v>
      </c>
      <c r="L585" s="5">
        <v>0.185</v>
      </c>
      <c r="M585" s="5">
        <v>0.17100000000000001</v>
      </c>
      <c r="N585" s="5">
        <v>0.14199999999999999</v>
      </c>
    </row>
    <row r="586" spans="1:14" x14ac:dyDescent="0.25">
      <c r="A586">
        <v>2014</v>
      </c>
      <c r="B586">
        <v>217</v>
      </c>
      <c r="C586" t="s">
        <v>108</v>
      </c>
      <c r="D586" t="s">
        <v>61</v>
      </c>
      <c r="E586" s="5" t="s">
        <v>109</v>
      </c>
      <c r="F586" s="5" t="s">
        <v>109</v>
      </c>
      <c r="G586" s="5">
        <v>0.26</v>
      </c>
      <c r="H586" s="5">
        <v>0.187</v>
      </c>
      <c r="I586" s="5">
        <v>0.19600000000000001</v>
      </c>
      <c r="J586" s="5">
        <v>0.20600000000000002</v>
      </c>
      <c r="K586" s="5">
        <v>0.17100000000000001</v>
      </c>
      <c r="L586" s="5">
        <v>0.215</v>
      </c>
      <c r="M586" s="5">
        <v>0.223</v>
      </c>
      <c r="N586" s="5" t="s">
        <v>109</v>
      </c>
    </row>
    <row r="587" spans="1:14" x14ac:dyDescent="0.25">
      <c r="A587">
        <v>2014</v>
      </c>
      <c r="B587">
        <v>217</v>
      </c>
      <c r="C587" t="s">
        <v>108</v>
      </c>
      <c r="D587" t="s">
        <v>60</v>
      </c>
      <c r="E587" s="5" t="s">
        <v>109</v>
      </c>
      <c r="F587" s="5" t="s">
        <v>109</v>
      </c>
      <c r="G587" s="5">
        <v>0.26300000000000001</v>
      </c>
      <c r="H587" s="5">
        <v>0.28000000000000003</v>
      </c>
      <c r="I587" s="5">
        <v>0.20899999999999999</v>
      </c>
      <c r="J587" s="5">
        <v>0.19800000000000001</v>
      </c>
      <c r="K587" s="5">
        <v>0.22600000000000001</v>
      </c>
      <c r="L587" s="5">
        <v>0.20100000000000001</v>
      </c>
      <c r="M587" s="5">
        <v>0.21299999999999999</v>
      </c>
      <c r="N587" s="5">
        <v>0.129</v>
      </c>
    </row>
    <row r="588" spans="1:14" x14ac:dyDescent="0.25">
      <c r="A588">
        <v>2014</v>
      </c>
      <c r="B588">
        <v>217</v>
      </c>
      <c r="C588" t="s">
        <v>108</v>
      </c>
      <c r="D588" t="s">
        <v>29</v>
      </c>
      <c r="E588" s="5">
        <v>0.18</v>
      </c>
      <c r="F588" s="5">
        <v>0.183</v>
      </c>
      <c r="G588" s="5">
        <v>0.182</v>
      </c>
      <c r="H588" s="5">
        <v>0.22800000000000001</v>
      </c>
      <c r="I588" s="5">
        <v>0.22</v>
      </c>
      <c r="J588" s="5">
        <v>0.248</v>
      </c>
      <c r="K588" s="5">
        <v>0.25</v>
      </c>
      <c r="L588" s="5">
        <v>0.26899999999999996</v>
      </c>
      <c r="M588" s="5">
        <v>0.23699999999999999</v>
      </c>
      <c r="N588" s="5">
        <v>0.16</v>
      </c>
    </row>
    <row r="589" spans="1:14" x14ac:dyDescent="0.25">
      <c r="A589">
        <v>2014</v>
      </c>
      <c r="B589">
        <v>217</v>
      </c>
      <c r="C589" t="s">
        <v>108</v>
      </c>
      <c r="D589" t="s">
        <v>30</v>
      </c>
      <c r="E589" s="5">
        <v>0.18</v>
      </c>
      <c r="F589" s="5">
        <v>0.185</v>
      </c>
      <c r="G589" s="5">
        <v>0.22</v>
      </c>
      <c r="H589" s="5">
        <v>0.24299999999999999</v>
      </c>
      <c r="I589" s="5">
        <v>0.23600000000000002</v>
      </c>
      <c r="J589" s="5">
        <v>0.22600000000000001</v>
      </c>
      <c r="K589" s="5">
        <v>0.245</v>
      </c>
      <c r="L589" s="5">
        <v>0.17699999999999999</v>
      </c>
      <c r="M589" s="5">
        <v>0.17399999999999999</v>
      </c>
      <c r="N589" s="5">
        <v>0.12</v>
      </c>
    </row>
    <row r="590" spans="1:14" x14ac:dyDescent="0.25">
      <c r="A590">
        <v>2014</v>
      </c>
      <c r="B590">
        <v>217</v>
      </c>
      <c r="C590" t="s">
        <v>108</v>
      </c>
      <c r="D590" t="s">
        <v>31</v>
      </c>
      <c r="E590" s="5">
        <v>0.187</v>
      </c>
      <c r="F590" s="5">
        <v>0.155</v>
      </c>
      <c r="G590" s="5">
        <v>0.156</v>
      </c>
      <c r="H590" s="5">
        <v>0.17800000000000002</v>
      </c>
      <c r="I590" s="5">
        <v>0.23399999999999999</v>
      </c>
      <c r="J590" s="5">
        <v>0.22899999999999998</v>
      </c>
      <c r="K590" s="5">
        <v>0.221</v>
      </c>
      <c r="L590" s="5">
        <v>0.22600000000000001</v>
      </c>
      <c r="M590" s="5">
        <v>0.22399999999999998</v>
      </c>
      <c r="N590" s="5">
        <v>0.16399999999999998</v>
      </c>
    </row>
    <row r="591" spans="1:14" x14ac:dyDescent="0.25">
      <c r="A591">
        <v>2014</v>
      </c>
      <c r="B591">
        <v>217</v>
      </c>
      <c r="C591" t="s">
        <v>108</v>
      </c>
      <c r="D591" t="s">
        <v>32</v>
      </c>
      <c r="E591" s="5">
        <v>0.245</v>
      </c>
      <c r="F591" s="5">
        <v>0.192</v>
      </c>
      <c r="G591" s="5">
        <v>0.20600000000000002</v>
      </c>
      <c r="H591" s="5">
        <v>0.19500000000000001</v>
      </c>
      <c r="I591" s="5">
        <v>0.19399999999999998</v>
      </c>
      <c r="J591" s="5">
        <v>0.18899999999999997</v>
      </c>
      <c r="K591" s="5">
        <v>0.161</v>
      </c>
      <c r="L591" s="5">
        <v>0.14800000000000002</v>
      </c>
      <c r="M591" s="5">
        <v>0.20399999999999999</v>
      </c>
      <c r="N591" s="5">
        <v>0.15</v>
      </c>
    </row>
    <row r="592" spans="1:14" x14ac:dyDescent="0.25">
      <c r="A592">
        <v>2014</v>
      </c>
      <c r="B592">
        <v>217</v>
      </c>
      <c r="C592" t="s">
        <v>108</v>
      </c>
      <c r="D592" t="s">
        <v>33</v>
      </c>
      <c r="E592" s="5">
        <v>0.17699999999999999</v>
      </c>
      <c r="F592" s="5">
        <v>0.16899999999999998</v>
      </c>
      <c r="G592" s="5">
        <v>0.17800000000000002</v>
      </c>
      <c r="H592" s="5">
        <v>0.17800000000000002</v>
      </c>
      <c r="I592" s="5">
        <v>0.20899999999999999</v>
      </c>
      <c r="J592" s="5">
        <v>0.23399999999999999</v>
      </c>
      <c r="K592" s="5">
        <v>0.23100000000000001</v>
      </c>
      <c r="L592" s="5">
        <v>0.20600000000000002</v>
      </c>
      <c r="M592" s="5">
        <v>0.18</v>
      </c>
      <c r="N592" s="5">
        <v>0.13600000000000001</v>
      </c>
    </row>
    <row r="593" spans="1:14" x14ac:dyDescent="0.25">
      <c r="A593">
        <v>2014</v>
      </c>
      <c r="B593">
        <v>217</v>
      </c>
      <c r="C593" t="s">
        <v>108</v>
      </c>
      <c r="D593" t="s">
        <v>34</v>
      </c>
      <c r="E593" s="5">
        <v>0.193</v>
      </c>
      <c r="F593" s="5">
        <v>0.17300000000000001</v>
      </c>
      <c r="G593" s="5">
        <v>0.254</v>
      </c>
      <c r="H593" s="5">
        <v>0.27200000000000002</v>
      </c>
      <c r="I593" s="5">
        <v>0.22</v>
      </c>
      <c r="J593" s="5">
        <v>0.22399999999999998</v>
      </c>
      <c r="K593" s="5">
        <v>0.20399999999999999</v>
      </c>
      <c r="L593" s="5">
        <v>0.18899999999999997</v>
      </c>
      <c r="M593" s="5">
        <v>0.14400000000000002</v>
      </c>
      <c r="N593" s="5">
        <v>7.4999999999999997E-2</v>
      </c>
    </row>
    <row r="594" spans="1:14" x14ac:dyDescent="0.25">
      <c r="A594">
        <v>2014</v>
      </c>
      <c r="B594">
        <v>217</v>
      </c>
      <c r="C594" t="s">
        <v>108</v>
      </c>
      <c r="D594" t="s">
        <v>70</v>
      </c>
      <c r="E594" s="5">
        <v>0.18</v>
      </c>
      <c r="F594" s="5">
        <v>0.17699999999999999</v>
      </c>
      <c r="G594" s="5">
        <v>0.22399999999999998</v>
      </c>
      <c r="H594" s="5">
        <v>0.23399999999999999</v>
      </c>
      <c r="I594" s="5">
        <v>0.23199999999999998</v>
      </c>
      <c r="J594" s="5">
        <v>0.223</v>
      </c>
      <c r="K594" s="5">
        <v>0.24100000000000002</v>
      </c>
      <c r="L594" s="5">
        <v>0.21299999999999999</v>
      </c>
      <c r="M594" s="5">
        <v>0.19899999999999998</v>
      </c>
      <c r="N594" s="5">
        <v>0.13200000000000001</v>
      </c>
    </row>
    <row r="595" spans="1:14" x14ac:dyDescent="0.25">
      <c r="A595">
        <v>2014</v>
      </c>
      <c r="B595">
        <v>217</v>
      </c>
      <c r="C595" t="s">
        <v>108</v>
      </c>
      <c r="D595" t="s">
        <v>69</v>
      </c>
      <c r="E595" s="5">
        <v>0.17800000000000002</v>
      </c>
      <c r="F595" s="5">
        <v>0.20199999999999999</v>
      </c>
      <c r="G595" s="5">
        <v>0.22600000000000001</v>
      </c>
      <c r="H595" s="5">
        <v>0.23499999999999999</v>
      </c>
      <c r="I595" s="5">
        <v>0.22399999999999998</v>
      </c>
      <c r="J595" s="5">
        <v>0.20899999999999999</v>
      </c>
      <c r="K595" s="5">
        <v>0.215</v>
      </c>
      <c r="L595" s="5">
        <v>0.20199999999999999</v>
      </c>
      <c r="M595" s="5">
        <v>0.185</v>
      </c>
      <c r="N595" s="5">
        <v>0.14599999999999999</v>
      </c>
    </row>
    <row r="596" spans="1:14" x14ac:dyDescent="0.25">
      <c r="A596">
        <v>2014</v>
      </c>
      <c r="B596">
        <v>217</v>
      </c>
      <c r="C596" t="s">
        <v>108</v>
      </c>
      <c r="D596" t="s">
        <v>68</v>
      </c>
      <c r="E596" s="5">
        <v>0.192</v>
      </c>
      <c r="F596" s="5">
        <v>0.18</v>
      </c>
      <c r="G596" s="5">
        <v>0.20300000000000001</v>
      </c>
      <c r="H596" s="5">
        <v>0.20100000000000001</v>
      </c>
      <c r="I596" s="5">
        <v>0.22899999999999998</v>
      </c>
      <c r="J596" s="5">
        <v>0.249</v>
      </c>
      <c r="K596" s="5">
        <v>0.23699999999999999</v>
      </c>
      <c r="L596" s="5">
        <v>0.23199999999999998</v>
      </c>
      <c r="M596" s="5">
        <v>0.20300000000000001</v>
      </c>
      <c r="N596" s="5">
        <v>0.14899999999999999</v>
      </c>
    </row>
    <row r="597" spans="1:14" x14ac:dyDescent="0.25">
      <c r="A597">
        <v>2014</v>
      </c>
      <c r="B597">
        <v>217</v>
      </c>
      <c r="C597" t="s">
        <v>108</v>
      </c>
      <c r="D597" t="s">
        <v>67</v>
      </c>
      <c r="E597" s="5">
        <v>0.21600000000000003</v>
      </c>
      <c r="F597" s="5">
        <v>0.214</v>
      </c>
      <c r="G597" s="5">
        <v>0.20600000000000002</v>
      </c>
      <c r="H597" s="5">
        <v>0.214</v>
      </c>
      <c r="I597" s="5">
        <v>0.22600000000000001</v>
      </c>
      <c r="J597" s="5">
        <v>0.20100000000000001</v>
      </c>
      <c r="K597" s="5">
        <v>0.19600000000000001</v>
      </c>
      <c r="L597" s="5">
        <v>0.21899999999999997</v>
      </c>
      <c r="M597" s="5">
        <v>0.193</v>
      </c>
      <c r="N597" s="5">
        <v>0.11900000000000001</v>
      </c>
    </row>
    <row r="598" spans="1:14" x14ac:dyDescent="0.25">
      <c r="A598">
        <v>2014</v>
      </c>
      <c r="B598">
        <v>217</v>
      </c>
      <c r="C598" t="s">
        <v>108</v>
      </c>
      <c r="D598" t="s">
        <v>66</v>
      </c>
      <c r="E598" s="5">
        <v>0.159</v>
      </c>
      <c r="F598" s="5">
        <v>0.16500000000000001</v>
      </c>
      <c r="G598" s="5">
        <v>0.251</v>
      </c>
      <c r="H598" s="5">
        <v>0.22</v>
      </c>
      <c r="I598" s="5">
        <v>0.23699999999999999</v>
      </c>
      <c r="J598" s="5">
        <v>0.23800000000000002</v>
      </c>
      <c r="K598" s="5">
        <v>0.22899999999999998</v>
      </c>
      <c r="L598" s="5">
        <v>0.17100000000000001</v>
      </c>
      <c r="M598" s="5">
        <v>0.151</v>
      </c>
      <c r="N598" s="5">
        <v>0.10199999999999999</v>
      </c>
    </row>
    <row r="599" spans="1:14" x14ac:dyDescent="0.25">
      <c r="A599">
        <v>2014</v>
      </c>
      <c r="B599">
        <v>217</v>
      </c>
      <c r="C599" t="s">
        <v>108</v>
      </c>
      <c r="D599" t="s">
        <v>65</v>
      </c>
      <c r="E599" s="5">
        <v>0.23699999999999999</v>
      </c>
      <c r="F599" s="5">
        <v>0.21100000000000002</v>
      </c>
      <c r="G599" s="5">
        <v>0.30599999999999999</v>
      </c>
      <c r="H599" s="5">
        <v>0.19899999999999998</v>
      </c>
      <c r="I599" s="5">
        <v>0.20399999999999999</v>
      </c>
      <c r="J599" s="5">
        <v>0.21199999999999999</v>
      </c>
      <c r="K599" s="5">
        <v>0.20300000000000001</v>
      </c>
      <c r="L599" s="5">
        <v>0.17699999999999999</v>
      </c>
      <c r="M599" s="5">
        <v>0.158</v>
      </c>
      <c r="N599" s="5">
        <v>0.106</v>
      </c>
    </row>
    <row r="600" spans="1:14" x14ac:dyDescent="0.25">
      <c r="A600">
        <v>2014</v>
      </c>
      <c r="B600">
        <v>217</v>
      </c>
      <c r="C600" t="s">
        <v>108</v>
      </c>
      <c r="D600" t="s">
        <v>71</v>
      </c>
      <c r="E600" s="5" t="s">
        <v>109</v>
      </c>
      <c r="F600" s="5">
        <v>0.20699999999999999</v>
      </c>
      <c r="G600" s="5">
        <v>0.24399999999999999</v>
      </c>
      <c r="H600" s="5">
        <v>0.247</v>
      </c>
      <c r="I600" s="5">
        <v>0.24299999999999999</v>
      </c>
      <c r="J600" s="5">
        <v>0.23</v>
      </c>
      <c r="K600" s="5">
        <v>0.19800000000000001</v>
      </c>
      <c r="L600" s="5">
        <v>0.17300000000000001</v>
      </c>
      <c r="M600" s="5">
        <v>0.20100000000000001</v>
      </c>
      <c r="N600" s="5">
        <v>0.12</v>
      </c>
    </row>
    <row r="601" spans="1:14" x14ac:dyDescent="0.25">
      <c r="A601">
        <v>2014</v>
      </c>
      <c r="B601">
        <v>217</v>
      </c>
      <c r="C601" t="s">
        <v>108</v>
      </c>
      <c r="D601" t="s">
        <v>74</v>
      </c>
      <c r="E601" s="5" t="s">
        <v>109</v>
      </c>
      <c r="F601" s="5">
        <v>0.17899999999999999</v>
      </c>
      <c r="G601" s="5">
        <v>0.19699999999999998</v>
      </c>
      <c r="H601" s="5">
        <v>0.215</v>
      </c>
      <c r="I601" s="5">
        <v>0.222</v>
      </c>
      <c r="J601" s="5">
        <v>0.19</v>
      </c>
      <c r="K601" s="5">
        <v>0.187</v>
      </c>
      <c r="L601" s="5">
        <v>0.19500000000000001</v>
      </c>
      <c r="M601" s="5">
        <v>0.17699999999999999</v>
      </c>
      <c r="N601" s="5">
        <v>0.128</v>
      </c>
    </row>
    <row r="602" spans="1:14" x14ac:dyDescent="0.25">
      <c r="A602">
        <v>2014</v>
      </c>
      <c r="B602">
        <v>217</v>
      </c>
      <c r="C602" t="s">
        <v>108</v>
      </c>
      <c r="D602" t="s">
        <v>75</v>
      </c>
      <c r="E602" s="5" t="s">
        <v>109</v>
      </c>
      <c r="F602" s="5">
        <v>0.193</v>
      </c>
      <c r="G602" s="5">
        <v>0.159</v>
      </c>
      <c r="H602" s="5">
        <v>0.24299999999999999</v>
      </c>
      <c r="I602" s="5">
        <v>0.22</v>
      </c>
      <c r="J602" s="5">
        <v>0.17499999999999999</v>
      </c>
      <c r="K602" s="5">
        <v>0.19399999999999998</v>
      </c>
      <c r="L602" s="5">
        <v>0.20499999999999999</v>
      </c>
      <c r="M602" s="5">
        <v>0.193</v>
      </c>
      <c r="N602" s="5">
        <v>0.13699999999999998</v>
      </c>
    </row>
    <row r="603" spans="1:14" x14ac:dyDescent="0.25">
      <c r="A603">
        <v>2014</v>
      </c>
      <c r="B603">
        <v>217</v>
      </c>
      <c r="C603" t="s">
        <v>108</v>
      </c>
      <c r="D603" t="s">
        <v>76</v>
      </c>
      <c r="E603" s="5" t="s">
        <v>109</v>
      </c>
      <c r="F603" s="5" t="s">
        <v>109</v>
      </c>
      <c r="G603" s="5">
        <v>0.17199999999999999</v>
      </c>
      <c r="H603" s="5">
        <v>0.19500000000000001</v>
      </c>
      <c r="I603" s="5">
        <v>0.24</v>
      </c>
      <c r="J603" s="5">
        <v>0.23300000000000001</v>
      </c>
      <c r="K603" s="5">
        <v>0.214</v>
      </c>
      <c r="L603" s="5">
        <v>0.22399999999999998</v>
      </c>
      <c r="M603" s="5">
        <v>0.20199999999999999</v>
      </c>
      <c r="N603" s="5">
        <v>0.14699999999999999</v>
      </c>
    </row>
    <row r="604" spans="1:14" x14ac:dyDescent="0.25">
      <c r="A604">
        <v>2014</v>
      </c>
      <c r="B604">
        <v>217</v>
      </c>
      <c r="C604" t="s">
        <v>108</v>
      </c>
      <c r="D604" t="s">
        <v>53</v>
      </c>
      <c r="E604" s="5">
        <v>0.23</v>
      </c>
      <c r="F604" s="5">
        <v>0.314</v>
      </c>
      <c r="G604" s="5">
        <v>0.217</v>
      </c>
      <c r="H604" s="5">
        <v>0.22699999999999998</v>
      </c>
      <c r="I604" s="5">
        <v>0.25600000000000001</v>
      </c>
      <c r="J604" s="5">
        <v>0.26300000000000001</v>
      </c>
      <c r="K604" s="5">
        <v>0.26899999999999996</v>
      </c>
      <c r="L604" s="5">
        <v>0.214</v>
      </c>
      <c r="M604" s="5">
        <v>0.21899999999999997</v>
      </c>
      <c r="N604" s="5">
        <v>0.126</v>
      </c>
    </row>
    <row r="605" spans="1:14" x14ac:dyDescent="0.25">
      <c r="A605">
        <v>2014</v>
      </c>
      <c r="B605">
        <v>217</v>
      </c>
      <c r="C605" t="s">
        <v>108</v>
      </c>
      <c r="D605" t="s">
        <v>77</v>
      </c>
      <c r="E605" s="5" t="s">
        <v>109</v>
      </c>
      <c r="F605" s="5">
        <v>0.23899999999999999</v>
      </c>
      <c r="G605" s="5">
        <v>0.26100000000000001</v>
      </c>
      <c r="H605" s="5">
        <v>0.22800000000000001</v>
      </c>
      <c r="I605" s="5">
        <v>0.22</v>
      </c>
      <c r="J605" s="5">
        <v>0.22500000000000001</v>
      </c>
      <c r="K605" s="5">
        <v>0.185</v>
      </c>
      <c r="L605" s="5">
        <v>0.19699999999999998</v>
      </c>
      <c r="M605" s="5">
        <v>0.14300000000000002</v>
      </c>
      <c r="N605" s="5">
        <v>0.09</v>
      </c>
    </row>
    <row r="606" spans="1:14" x14ac:dyDescent="0.25">
      <c r="A606">
        <v>2014</v>
      </c>
      <c r="B606">
        <v>217</v>
      </c>
      <c r="C606" t="s">
        <v>108</v>
      </c>
      <c r="D606" t="s">
        <v>73</v>
      </c>
      <c r="E606" s="5" t="s">
        <v>109</v>
      </c>
      <c r="F606" s="5">
        <v>0.188</v>
      </c>
      <c r="G606" s="5">
        <v>0.25</v>
      </c>
      <c r="H606" s="5">
        <v>0.26300000000000001</v>
      </c>
      <c r="I606" s="5">
        <v>0.20499999999999999</v>
      </c>
      <c r="J606" s="5">
        <v>0.22</v>
      </c>
      <c r="K606" s="5">
        <v>0.19699999999999998</v>
      </c>
      <c r="L606" s="5">
        <v>0.16800000000000001</v>
      </c>
      <c r="M606" s="5">
        <v>0.157</v>
      </c>
      <c r="N606" s="5">
        <v>7.400000000000001E-2</v>
      </c>
    </row>
    <row r="607" spans="1:14" x14ac:dyDescent="0.25">
      <c r="A607">
        <v>2014</v>
      </c>
      <c r="B607">
        <v>217</v>
      </c>
      <c r="C607" t="s">
        <v>108</v>
      </c>
      <c r="D607" t="s">
        <v>81</v>
      </c>
      <c r="E607" s="5" t="s">
        <v>109</v>
      </c>
      <c r="F607" s="5">
        <v>0.25600000000000001</v>
      </c>
      <c r="G607" s="5">
        <v>0.248</v>
      </c>
      <c r="H607" s="5">
        <v>0.25700000000000001</v>
      </c>
      <c r="I607" s="5">
        <v>0.26500000000000001</v>
      </c>
      <c r="J607" s="5">
        <v>0.20899999999999999</v>
      </c>
      <c r="K607" s="5">
        <v>0.182</v>
      </c>
      <c r="L607" s="5">
        <v>0.14400000000000002</v>
      </c>
      <c r="M607" s="5">
        <v>0.14400000000000002</v>
      </c>
      <c r="N607" s="5">
        <v>8.8000000000000009E-2</v>
      </c>
    </row>
    <row r="608" spans="1:14" x14ac:dyDescent="0.25">
      <c r="A608">
        <v>2014</v>
      </c>
      <c r="B608">
        <v>217</v>
      </c>
      <c r="C608" t="s">
        <v>108</v>
      </c>
      <c r="D608" t="s">
        <v>80</v>
      </c>
      <c r="E608" s="5" t="s">
        <v>109</v>
      </c>
      <c r="F608" s="5" t="s">
        <v>109</v>
      </c>
      <c r="G608" s="5">
        <v>0.21199999999999999</v>
      </c>
      <c r="H608" s="5">
        <v>0.24399999999999999</v>
      </c>
      <c r="I608" s="5">
        <v>0.23600000000000002</v>
      </c>
      <c r="J608" s="5">
        <v>0.222</v>
      </c>
      <c r="K608" s="5">
        <v>0.21199999999999999</v>
      </c>
      <c r="L608" s="5">
        <v>0.17399999999999999</v>
      </c>
      <c r="M608" s="5">
        <v>0.152</v>
      </c>
      <c r="N608" s="5">
        <v>0.1</v>
      </c>
    </row>
    <row r="609" spans="1:14" x14ac:dyDescent="0.25">
      <c r="A609">
        <v>2014</v>
      </c>
      <c r="B609">
        <v>217</v>
      </c>
      <c r="C609" t="s">
        <v>108</v>
      </c>
      <c r="D609" t="s">
        <v>79</v>
      </c>
      <c r="E609" s="5" t="s">
        <v>109</v>
      </c>
      <c r="F609" s="5" t="s">
        <v>109</v>
      </c>
      <c r="G609" s="5">
        <v>0.20199999999999999</v>
      </c>
      <c r="H609" s="5">
        <v>0.25</v>
      </c>
      <c r="I609" s="5">
        <v>0.26300000000000001</v>
      </c>
      <c r="J609" s="5">
        <v>0.26700000000000002</v>
      </c>
      <c r="K609" s="5">
        <v>0.22399999999999998</v>
      </c>
      <c r="L609" s="5">
        <v>0.184</v>
      </c>
      <c r="M609" s="5">
        <v>0.14499999999999999</v>
      </c>
      <c r="N609" s="5">
        <v>7.6999999999999999E-2</v>
      </c>
    </row>
    <row r="610" spans="1:14" x14ac:dyDescent="0.25">
      <c r="A610">
        <v>2014</v>
      </c>
      <c r="B610">
        <v>217</v>
      </c>
      <c r="C610" t="s">
        <v>108</v>
      </c>
      <c r="D610" t="s">
        <v>78</v>
      </c>
      <c r="E610" s="5" t="s">
        <v>109</v>
      </c>
      <c r="F610" s="5" t="s">
        <v>109</v>
      </c>
      <c r="G610" s="5">
        <v>0.20600000000000002</v>
      </c>
      <c r="H610" s="5">
        <v>0.218</v>
      </c>
      <c r="I610" s="5">
        <v>0.23</v>
      </c>
      <c r="J610" s="5">
        <v>0.21</v>
      </c>
      <c r="K610" s="5">
        <v>0.185</v>
      </c>
      <c r="L610" s="5">
        <v>0.158</v>
      </c>
      <c r="M610" s="5">
        <v>0.14499999999999999</v>
      </c>
      <c r="N610" s="5">
        <v>8.4000000000000005E-2</v>
      </c>
    </row>
    <row r="611" spans="1:14" x14ac:dyDescent="0.25">
      <c r="A611">
        <v>2014</v>
      </c>
      <c r="B611">
        <v>217</v>
      </c>
      <c r="C611" t="s">
        <v>108</v>
      </c>
      <c r="D611" t="s">
        <v>54</v>
      </c>
      <c r="E611" s="5" t="s">
        <v>109</v>
      </c>
      <c r="F611" s="5" t="s">
        <v>109</v>
      </c>
      <c r="G611" s="5">
        <v>0.21899999999999997</v>
      </c>
      <c r="H611" s="5">
        <v>0.20899999999999999</v>
      </c>
      <c r="I611" s="5">
        <v>0.22899999999999998</v>
      </c>
      <c r="J611" s="5">
        <v>0.217</v>
      </c>
      <c r="K611" s="5">
        <v>0.192</v>
      </c>
      <c r="L611" s="5">
        <v>0.188</v>
      </c>
      <c r="M611" s="5">
        <v>0.156</v>
      </c>
      <c r="N611" s="5">
        <v>6.8000000000000005E-2</v>
      </c>
    </row>
    <row r="612" spans="1:14" x14ac:dyDescent="0.25">
      <c r="A612">
        <v>2014</v>
      </c>
      <c r="B612">
        <v>223</v>
      </c>
      <c r="C612" t="s">
        <v>108</v>
      </c>
      <c r="D612" t="s">
        <v>51</v>
      </c>
      <c r="E612" s="5">
        <v>9.6000000000000002E-2</v>
      </c>
      <c r="F612" s="5">
        <v>0.115</v>
      </c>
      <c r="G612" s="5">
        <v>0.11699999999999999</v>
      </c>
      <c r="H612" s="5">
        <v>0.13</v>
      </c>
      <c r="I612" s="5">
        <v>0.14800000000000002</v>
      </c>
      <c r="J612" s="5">
        <v>0.16800000000000001</v>
      </c>
      <c r="K612" s="5">
        <v>0.183</v>
      </c>
      <c r="L612" s="5">
        <v>0.187</v>
      </c>
      <c r="M612" s="5">
        <v>0.16200000000000001</v>
      </c>
      <c r="N612" s="5">
        <v>6.4000000000000001E-2</v>
      </c>
    </row>
    <row r="613" spans="1:14" x14ac:dyDescent="0.25">
      <c r="A613">
        <v>2014</v>
      </c>
      <c r="B613">
        <v>223</v>
      </c>
      <c r="C613" t="s">
        <v>108</v>
      </c>
      <c r="D613" t="s">
        <v>55</v>
      </c>
      <c r="E613" s="5">
        <v>0.22</v>
      </c>
      <c r="F613" s="5">
        <v>0.14199999999999999</v>
      </c>
      <c r="G613" s="5">
        <v>0.11599999999999999</v>
      </c>
      <c r="H613" s="5">
        <v>0.121</v>
      </c>
      <c r="I613" s="5">
        <v>0.14000000000000001</v>
      </c>
      <c r="J613" s="5">
        <v>0.157</v>
      </c>
      <c r="K613" s="5">
        <v>0.17199999999999999</v>
      </c>
      <c r="L613" s="5">
        <v>0.188</v>
      </c>
      <c r="M613" s="5">
        <v>0.17699999999999999</v>
      </c>
      <c r="N613" s="5">
        <v>8.3000000000000004E-2</v>
      </c>
    </row>
    <row r="614" spans="1:14" x14ac:dyDescent="0.25">
      <c r="A614">
        <v>2014</v>
      </c>
      <c r="B614">
        <v>223</v>
      </c>
      <c r="C614" t="s">
        <v>108</v>
      </c>
      <c r="D614" t="s">
        <v>56</v>
      </c>
      <c r="E614" s="5">
        <v>0.13200000000000001</v>
      </c>
      <c r="F614" s="5">
        <v>0.17100000000000001</v>
      </c>
      <c r="G614" s="5">
        <v>0.19699999999999998</v>
      </c>
      <c r="H614" s="5">
        <v>0.19399999999999998</v>
      </c>
      <c r="I614" s="5">
        <v>0.17199999999999999</v>
      </c>
      <c r="J614" s="5">
        <v>0.16800000000000001</v>
      </c>
      <c r="K614" s="5">
        <v>0.17300000000000001</v>
      </c>
      <c r="L614" s="5">
        <v>0.19500000000000001</v>
      </c>
      <c r="M614" s="5">
        <v>0.24600000000000002</v>
      </c>
      <c r="N614" s="5">
        <v>0.14599999999999999</v>
      </c>
    </row>
    <row r="615" spans="1:14" x14ac:dyDescent="0.25">
      <c r="A615">
        <v>2014</v>
      </c>
      <c r="B615">
        <v>223</v>
      </c>
      <c r="C615" t="s">
        <v>108</v>
      </c>
      <c r="D615" t="s">
        <v>57</v>
      </c>
      <c r="E615" s="5" t="s">
        <v>109</v>
      </c>
      <c r="F615" s="5">
        <v>0.13600000000000001</v>
      </c>
      <c r="G615" s="5">
        <v>0.14099999999999999</v>
      </c>
      <c r="H615" s="5">
        <v>0.17600000000000002</v>
      </c>
      <c r="I615" s="5">
        <v>0.184</v>
      </c>
      <c r="J615" s="5">
        <v>0.17800000000000002</v>
      </c>
      <c r="K615" s="5">
        <v>0.18100000000000002</v>
      </c>
      <c r="L615" s="5">
        <v>0.17600000000000002</v>
      </c>
      <c r="M615" s="5">
        <v>0.14899999999999999</v>
      </c>
      <c r="N615" s="5">
        <v>8.1000000000000003E-2</v>
      </c>
    </row>
    <row r="616" spans="1:14" x14ac:dyDescent="0.25">
      <c r="A616">
        <v>2014</v>
      </c>
      <c r="B616">
        <v>223</v>
      </c>
      <c r="C616" t="s">
        <v>108</v>
      </c>
      <c r="D616" t="s">
        <v>58</v>
      </c>
      <c r="E616" s="5" t="s">
        <v>109</v>
      </c>
      <c r="F616" s="5" t="s">
        <v>109</v>
      </c>
      <c r="G616" s="5" t="s">
        <v>109</v>
      </c>
      <c r="H616" s="5">
        <v>0.247</v>
      </c>
      <c r="I616" s="5">
        <v>0.19500000000000001</v>
      </c>
      <c r="J616" s="5">
        <v>0.20100000000000001</v>
      </c>
      <c r="K616" s="5">
        <v>0.188</v>
      </c>
      <c r="L616" s="5">
        <v>0.19899999999999998</v>
      </c>
      <c r="M616" s="5">
        <v>0.21</v>
      </c>
      <c r="N616" s="5">
        <v>0.114</v>
      </c>
    </row>
    <row r="617" spans="1:14" x14ac:dyDescent="0.25">
      <c r="A617">
        <v>2014</v>
      </c>
      <c r="B617">
        <v>223</v>
      </c>
      <c r="C617" t="s">
        <v>108</v>
      </c>
      <c r="D617" t="s">
        <v>59</v>
      </c>
      <c r="E617" s="5" t="s">
        <v>109</v>
      </c>
      <c r="F617" s="5">
        <v>0.20100000000000001</v>
      </c>
      <c r="G617" s="5">
        <v>0.20600000000000002</v>
      </c>
      <c r="H617" s="5">
        <v>0.19699999999999998</v>
      </c>
      <c r="I617" s="5">
        <v>0.217</v>
      </c>
      <c r="J617" s="5">
        <v>0.19800000000000001</v>
      </c>
      <c r="K617" s="5">
        <v>0.18</v>
      </c>
      <c r="L617" s="5">
        <v>0.19399999999999998</v>
      </c>
      <c r="M617" s="5">
        <v>0.19</v>
      </c>
      <c r="N617" s="5">
        <v>7.0999999999999994E-2</v>
      </c>
    </row>
    <row r="618" spans="1:14" x14ac:dyDescent="0.25">
      <c r="A618">
        <v>2014</v>
      </c>
      <c r="B618">
        <v>223</v>
      </c>
      <c r="C618" t="s">
        <v>108</v>
      </c>
      <c r="D618" t="s">
        <v>64</v>
      </c>
      <c r="E618" s="5">
        <v>0.23800000000000002</v>
      </c>
      <c r="F618" s="5">
        <v>0.14800000000000002</v>
      </c>
      <c r="G618" s="5">
        <v>0.155</v>
      </c>
      <c r="H618" s="5">
        <v>0.247</v>
      </c>
      <c r="I618" s="5">
        <v>0.23600000000000002</v>
      </c>
      <c r="J618" s="5">
        <v>0.217</v>
      </c>
      <c r="K618" s="5">
        <v>0.22699999999999998</v>
      </c>
      <c r="L618" s="5">
        <v>0.22600000000000001</v>
      </c>
      <c r="M618" s="5">
        <v>0.183</v>
      </c>
      <c r="N618" s="5">
        <v>0.121</v>
      </c>
    </row>
    <row r="619" spans="1:14" x14ac:dyDescent="0.25">
      <c r="A619">
        <v>2014</v>
      </c>
      <c r="B619">
        <v>223</v>
      </c>
      <c r="C619" t="s">
        <v>108</v>
      </c>
      <c r="D619" t="s">
        <v>52</v>
      </c>
      <c r="E619" s="5">
        <v>0.15</v>
      </c>
      <c r="F619" s="5">
        <v>0.16500000000000001</v>
      </c>
      <c r="G619" s="5">
        <v>0.18</v>
      </c>
      <c r="H619" s="5">
        <v>0.19500000000000001</v>
      </c>
      <c r="I619" s="5">
        <v>0.21199999999999999</v>
      </c>
      <c r="J619" s="5">
        <v>0.24</v>
      </c>
      <c r="K619" s="5">
        <v>0.23699999999999999</v>
      </c>
      <c r="L619" s="5">
        <v>0.23</v>
      </c>
      <c r="M619" s="5">
        <v>0.20100000000000001</v>
      </c>
      <c r="N619" s="5">
        <v>0.13200000000000001</v>
      </c>
    </row>
    <row r="620" spans="1:14" x14ac:dyDescent="0.25">
      <c r="A620">
        <v>2014</v>
      </c>
      <c r="B620">
        <v>223</v>
      </c>
      <c r="C620" t="s">
        <v>108</v>
      </c>
      <c r="D620" t="s">
        <v>62</v>
      </c>
      <c r="E620" s="5">
        <v>0.17399999999999999</v>
      </c>
      <c r="F620" s="5">
        <v>0.14699999999999999</v>
      </c>
      <c r="G620" s="5">
        <v>0.16</v>
      </c>
      <c r="H620" s="5">
        <v>0.16899999999999998</v>
      </c>
      <c r="I620" s="5">
        <v>0.215</v>
      </c>
      <c r="J620" s="5">
        <v>0.22800000000000001</v>
      </c>
      <c r="K620" s="5">
        <v>0.255</v>
      </c>
      <c r="L620" s="5">
        <v>0.27100000000000002</v>
      </c>
      <c r="M620" s="5">
        <v>0.26</v>
      </c>
      <c r="N620" s="5">
        <v>0.14699999999999999</v>
      </c>
    </row>
    <row r="621" spans="1:14" x14ac:dyDescent="0.25">
      <c r="A621">
        <v>2014</v>
      </c>
      <c r="B621">
        <v>223</v>
      </c>
      <c r="C621" t="s">
        <v>108</v>
      </c>
      <c r="D621" t="s">
        <v>63</v>
      </c>
      <c r="E621" s="5">
        <v>0.17699999999999999</v>
      </c>
      <c r="F621" s="5">
        <v>0.158</v>
      </c>
      <c r="G621" s="5">
        <v>0.154</v>
      </c>
      <c r="H621" s="5">
        <v>0.192</v>
      </c>
      <c r="I621" s="5">
        <v>0.21899999999999997</v>
      </c>
      <c r="J621" s="5">
        <v>0.23399999999999999</v>
      </c>
      <c r="K621" s="5">
        <v>0.22600000000000001</v>
      </c>
      <c r="L621" s="5">
        <v>0.20199999999999999</v>
      </c>
      <c r="M621" s="5">
        <v>0.16899999999999998</v>
      </c>
      <c r="N621" s="5">
        <v>0.11599999999999999</v>
      </c>
    </row>
    <row r="622" spans="1:14" x14ac:dyDescent="0.25">
      <c r="A622">
        <v>2014</v>
      </c>
      <c r="B622">
        <v>223</v>
      </c>
      <c r="C622" t="s">
        <v>108</v>
      </c>
      <c r="D622" t="s">
        <v>61</v>
      </c>
      <c r="E622" s="5" t="s">
        <v>109</v>
      </c>
      <c r="F622" s="5">
        <v>0.32799999999999996</v>
      </c>
      <c r="G622" s="5">
        <v>0.27500000000000002</v>
      </c>
      <c r="H622" s="5">
        <v>0.19500000000000001</v>
      </c>
      <c r="I622" s="5">
        <v>0.20100000000000001</v>
      </c>
      <c r="J622" s="5">
        <v>0.20399999999999999</v>
      </c>
      <c r="K622" s="5">
        <v>0.17600000000000002</v>
      </c>
      <c r="L622" s="5">
        <v>0.223</v>
      </c>
      <c r="M622" s="5">
        <v>0.23499999999999999</v>
      </c>
      <c r="N622" s="5">
        <v>0.14699999999999999</v>
      </c>
    </row>
    <row r="623" spans="1:14" x14ac:dyDescent="0.25">
      <c r="A623">
        <v>2014</v>
      </c>
      <c r="B623">
        <v>223</v>
      </c>
      <c r="C623" t="s">
        <v>108</v>
      </c>
      <c r="D623" t="s">
        <v>60</v>
      </c>
      <c r="E623" s="5" t="s">
        <v>109</v>
      </c>
      <c r="F623" s="5" t="s">
        <v>109</v>
      </c>
      <c r="G623" s="5">
        <v>0.27200000000000002</v>
      </c>
      <c r="H623" s="5">
        <v>0.3</v>
      </c>
      <c r="I623" s="5">
        <v>0.221</v>
      </c>
      <c r="J623" s="5">
        <v>0.20899999999999999</v>
      </c>
      <c r="K623" s="5">
        <v>0.23</v>
      </c>
      <c r="L623" s="5">
        <v>0.21</v>
      </c>
      <c r="M623" s="5">
        <v>0.221</v>
      </c>
      <c r="N623" s="5">
        <v>0.155</v>
      </c>
    </row>
    <row r="624" spans="1:14" x14ac:dyDescent="0.25">
      <c r="A624">
        <v>2014</v>
      </c>
      <c r="B624">
        <v>223</v>
      </c>
      <c r="C624" t="s">
        <v>108</v>
      </c>
      <c r="D624" t="s">
        <v>29</v>
      </c>
      <c r="E624" s="5">
        <v>0.188</v>
      </c>
      <c r="F624" s="5">
        <v>0.187</v>
      </c>
      <c r="G624" s="5">
        <v>0.18600000000000003</v>
      </c>
      <c r="H624" s="5">
        <v>0.247</v>
      </c>
      <c r="I624" s="5">
        <v>0.21600000000000003</v>
      </c>
      <c r="J624" s="5">
        <v>0.26300000000000001</v>
      </c>
      <c r="K624" s="5">
        <v>0.252</v>
      </c>
      <c r="L624" s="5">
        <v>0.255</v>
      </c>
      <c r="M624" s="5">
        <v>0.24</v>
      </c>
      <c r="N624" s="5">
        <v>0.157</v>
      </c>
    </row>
    <row r="625" spans="1:14" x14ac:dyDescent="0.25">
      <c r="A625">
        <v>2014</v>
      </c>
      <c r="B625">
        <v>223</v>
      </c>
      <c r="C625" t="s">
        <v>108</v>
      </c>
      <c r="D625" t="s">
        <v>30</v>
      </c>
      <c r="E625" s="5">
        <v>0.187</v>
      </c>
      <c r="F625" s="5">
        <v>0.19500000000000001</v>
      </c>
      <c r="G625" s="5">
        <v>0.23100000000000001</v>
      </c>
      <c r="H625" s="5">
        <v>0.25600000000000001</v>
      </c>
      <c r="I625" s="5">
        <v>0.24</v>
      </c>
      <c r="J625" s="5">
        <v>0.23199999999999998</v>
      </c>
      <c r="K625" s="5">
        <v>0.248</v>
      </c>
      <c r="L625" s="5">
        <v>0.20100000000000001</v>
      </c>
      <c r="M625" s="5">
        <v>0.17100000000000001</v>
      </c>
      <c r="N625" s="5">
        <v>0.111</v>
      </c>
    </row>
    <row r="626" spans="1:14" x14ac:dyDescent="0.25">
      <c r="A626">
        <v>2014</v>
      </c>
      <c r="B626">
        <v>223</v>
      </c>
      <c r="C626" t="s">
        <v>108</v>
      </c>
      <c r="D626" t="s">
        <v>31</v>
      </c>
      <c r="E626" s="5">
        <v>0.191</v>
      </c>
      <c r="F626" s="5">
        <v>0.16600000000000001</v>
      </c>
      <c r="G626" s="5">
        <v>0.16399999999999998</v>
      </c>
      <c r="H626" s="5">
        <v>0.182</v>
      </c>
      <c r="I626" s="5">
        <v>0.23300000000000001</v>
      </c>
      <c r="J626" s="5">
        <v>0.22699999999999998</v>
      </c>
      <c r="K626" s="5">
        <v>0.218</v>
      </c>
      <c r="L626" s="5">
        <v>0.22399999999999998</v>
      </c>
      <c r="M626" s="5">
        <v>0.20699999999999999</v>
      </c>
      <c r="N626" s="5">
        <v>0.16</v>
      </c>
    </row>
    <row r="627" spans="1:14" x14ac:dyDescent="0.25">
      <c r="A627">
        <v>2014</v>
      </c>
      <c r="B627">
        <v>223</v>
      </c>
      <c r="C627" t="s">
        <v>108</v>
      </c>
      <c r="D627" t="s">
        <v>32</v>
      </c>
      <c r="E627" s="5">
        <v>0.25700000000000001</v>
      </c>
      <c r="F627" s="5">
        <v>0.19600000000000001</v>
      </c>
      <c r="G627" s="5">
        <v>0.215</v>
      </c>
      <c r="H627" s="5">
        <v>0.20800000000000002</v>
      </c>
      <c r="I627" s="5">
        <v>0.20300000000000001</v>
      </c>
      <c r="J627" s="5">
        <v>0.19800000000000001</v>
      </c>
      <c r="K627" s="5">
        <v>0.16399999999999998</v>
      </c>
      <c r="L627" s="5">
        <v>0.157</v>
      </c>
      <c r="M627" s="5">
        <v>0.18</v>
      </c>
      <c r="N627" s="5">
        <v>0.13500000000000001</v>
      </c>
    </row>
    <row r="628" spans="1:14" x14ac:dyDescent="0.25">
      <c r="A628">
        <v>2014</v>
      </c>
      <c r="B628">
        <v>223</v>
      </c>
      <c r="C628" t="s">
        <v>108</v>
      </c>
      <c r="D628" t="s">
        <v>33</v>
      </c>
      <c r="E628" s="5">
        <v>0.182</v>
      </c>
      <c r="F628" s="5">
        <v>0.17600000000000002</v>
      </c>
      <c r="G628" s="5">
        <v>0.18600000000000003</v>
      </c>
      <c r="H628" s="5">
        <v>0.187</v>
      </c>
      <c r="I628" s="5">
        <v>0.20899999999999999</v>
      </c>
      <c r="J628" s="5">
        <v>0.23899999999999999</v>
      </c>
      <c r="K628" s="5">
        <v>0.23600000000000002</v>
      </c>
      <c r="L628" s="5">
        <v>0.22399999999999998</v>
      </c>
      <c r="M628" s="5">
        <v>0.19</v>
      </c>
      <c r="N628" s="5">
        <v>0.14099999999999999</v>
      </c>
    </row>
    <row r="629" spans="1:14" x14ac:dyDescent="0.25">
      <c r="A629">
        <v>2014</v>
      </c>
      <c r="B629">
        <v>223</v>
      </c>
      <c r="C629" t="s">
        <v>108</v>
      </c>
      <c r="D629" t="s">
        <v>34</v>
      </c>
      <c r="E629" s="5">
        <v>0.21</v>
      </c>
      <c r="F629" s="5">
        <v>0.185</v>
      </c>
      <c r="G629" s="5">
        <v>0.26500000000000001</v>
      </c>
      <c r="H629" s="5">
        <v>0.27899999999999997</v>
      </c>
      <c r="I629" s="5">
        <v>0.23100000000000001</v>
      </c>
      <c r="J629" s="5">
        <v>0.22600000000000001</v>
      </c>
      <c r="K629" s="5">
        <v>0.21199999999999999</v>
      </c>
      <c r="L629" s="5">
        <v>0.2</v>
      </c>
      <c r="M629" s="5">
        <v>0.17</v>
      </c>
      <c r="N629" s="5">
        <v>7.8E-2</v>
      </c>
    </row>
    <row r="630" spans="1:14" x14ac:dyDescent="0.25">
      <c r="A630">
        <v>2014</v>
      </c>
      <c r="B630">
        <v>223</v>
      </c>
      <c r="C630" t="s">
        <v>108</v>
      </c>
      <c r="D630" t="s">
        <v>70</v>
      </c>
      <c r="E630" s="5">
        <v>0.191</v>
      </c>
      <c r="F630" s="5">
        <v>0.183</v>
      </c>
      <c r="G630" s="5">
        <v>0.22500000000000001</v>
      </c>
      <c r="H630" s="5">
        <v>0.248</v>
      </c>
      <c r="I630" s="5">
        <v>0.22899999999999998</v>
      </c>
      <c r="J630" s="5">
        <v>0.21899999999999997</v>
      </c>
      <c r="K630" s="5">
        <v>0.24100000000000002</v>
      </c>
      <c r="L630" s="5">
        <v>0.23499999999999999</v>
      </c>
      <c r="M630" s="5">
        <v>0.187</v>
      </c>
      <c r="N630" s="5">
        <v>0.13300000000000001</v>
      </c>
    </row>
    <row r="631" spans="1:14" x14ac:dyDescent="0.25">
      <c r="A631">
        <v>2014</v>
      </c>
      <c r="B631">
        <v>223</v>
      </c>
      <c r="C631" t="s">
        <v>108</v>
      </c>
      <c r="D631" t="s">
        <v>69</v>
      </c>
      <c r="E631" s="5">
        <v>0.185</v>
      </c>
      <c r="F631" s="5">
        <v>0.215</v>
      </c>
      <c r="G631" s="5">
        <v>0.23699999999999999</v>
      </c>
      <c r="H631" s="5">
        <v>0.23399999999999999</v>
      </c>
      <c r="I631" s="5">
        <v>0.24100000000000002</v>
      </c>
      <c r="J631" s="5">
        <v>0.218</v>
      </c>
      <c r="K631" s="5">
        <v>0.22399999999999998</v>
      </c>
      <c r="L631" s="5">
        <v>0.22</v>
      </c>
      <c r="M631" s="5">
        <v>0.191</v>
      </c>
      <c r="N631" s="5">
        <v>0.14599999999999999</v>
      </c>
    </row>
    <row r="632" spans="1:14" x14ac:dyDescent="0.25">
      <c r="A632">
        <v>2014</v>
      </c>
      <c r="B632">
        <v>223</v>
      </c>
      <c r="C632" t="s">
        <v>108</v>
      </c>
      <c r="D632" t="s">
        <v>68</v>
      </c>
      <c r="E632" s="5">
        <v>0.192</v>
      </c>
      <c r="F632" s="5">
        <v>0.185</v>
      </c>
      <c r="G632" s="5">
        <v>0.20899999999999999</v>
      </c>
      <c r="H632" s="5">
        <v>0.214</v>
      </c>
      <c r="I632" s="5">
        <v>0.22800000000000001</v>
      </c>
      <c r="J632" s="5">
        <v>0.26</v>
      </c>
      <c r="K632" s="5">
        <v>0.24199999999999999</v>
      </c>
      <c r="L632" s="5">
        <v>0.251</v>
      </c>
      <c r="M632" s="5">
        <v>0.2</v>
      </c>
      <c r="N632" s="5">
        <v>0.13600000000000001</v>
      </c>
    </row>
    <row r="633" spans="1:14" x14ac:dyDescent="0.25">
      <c r="A633">
        <v>2014</v>
      </c>
      <c r="B633">
        <v>223</v>
      </c>
      <c r="C633" t="s">
        <v>108</v>
      </c>
      <c r="D633" t="s">
        <v>67</v>
      </c>
      <c r="E633" s="5">
        <v>0.222</v>
      </c>
      <c r="F633" s="5">
        <v>0.22399999999999998</v>
      </c>
      <c r="G633" s="5">
        <v>0.214</v>
      </c>
      <c r="H633" s="5">
        <v>0.218</v>
      </c>
      <c r="I633" s="5">
        <v>0.23499999999999999</v>
      </c>
      <c r="J633" s="5">
        <v>0.20300000000000001</v>
      </c>
      <c r="K633" s="5">
        <v>0.19899999999999998</v>
      </c>
      <c r="L633" s="5">
        <v>0.22500000000000001</v>
      </c>
      <c r="M633" s="5">
        <v>0.19800000000000001</v>
      </c>
      <c r="N633" s="5">
        <v>0.11800000000000001</v>
      </c>
    </row>
    <row r="634" spans="1:14" x14ac:dyDescent="0.25">
      <c r="A634">
        <v>2014</v>
      </c>
      <c r="B634">
        <v>223</v>
      </c>
      <c r="C634" t="s">
        <v>108</v>
      </c>
      <c r="D634" t="s">
        <v>66</v>
      </c>
      <c r="E634" s="5">
        <v>0.16500000000000001</v>
      </c>
      <c r="F634" s="5">
        <v>0.18100000000000002</v>
      </c>
      <c r="G634" s="5">
        <v>0.26500000000000001</v>
      </c>
      <c r="H634" s="5">
        <v>0.21100000000000002</v>
      </c>
      <c r="I634" s="5">
        <v>0.22899999999999998</v>
      </c>
      <c r="J634" s="5">
        <v>0.23600000000000002</v>
      </c>
      <c r="K634" s="5">
        <v>0.22699999999999998</v>
      </c>
      <c r="L634" s="5">
        <v>0.19</v>
      </c>
      <c r="M634" s="5">
        <v>0.15</v>
      </c>
      <c r="N634" s="5">
        <v>0.107</v>
      </c>
    </row>
    <row r="635" spans="1:14" x14ac:dyDescent="0.25">
      <c r="A635">
        <v>2014</v>
      </c>
      <c r="B635">
        <v>223</v>
      </c>
      <c r="C635" t="s">
        <v>108</v>
      </c>
      <c r="D635" t="s">
        <v>65</v>
      </c>
      <c r="E635" s="5">
        <v>0.24199999999999999</v>
      </c>
      <c r="F635" s="5">
        <v>0.218</v>
      </c>
      <c r="G635" s="5">
        <v>0.314</v>
      </c>
      <c r="H635" s="5">
        <v>0.21600000000000003</v>
      </c>
      <c r="I635" s="5">
        <v>0.20300000000000001</v>
      </c>
      <c r="J635" s="5">
        <v>0.215</v>
      </c>
      <c r="K635" s="5">
        <v>0.2</v>
      </c>
      <c r="L635" s="5">
        <v>0.192</v>
      </c>
      <c r="M635" s="5">
        <v>0.159</v>
      </c>
      <c r="N635" s="5">
        <v>0.10099999999999999</v>
      </c>
    </row>
    <row r="636" spans="1:14" x14ac:dyDescent="0.25">
      <c r="A636">
        <v>2014</v>
      </c>
      <c r="B636">
        <v>223</v>
      </c>
      <c r="C636" t="s">
        <v>108</v>
      </c>
      <c r="D636" t="s">
        <v>71</v>
      </c>
      <c r="E636" s="5" t="s">
        <v>109</v>
      </c>
      <c r="F636" s="5">
        <v>0.223</v>
      </c>
      <c r="G636" s="5">
        <v>0.252</v>
      </c>
      <c r="H636" s="5">
        <v>0.252</v>
      </c>
      <c r="I636" s="5">
        <v>0.245</v>
      </c>
      <c r="J636" s="5">
        <v>0.222</v>
      </c>
      <c r="K636" s="5">
        <v>0.184</v>
      </c>
      <c r="L636" s="5">
        <v>0.17</v>
      </c>
      <c r="M636" s="5">
        <v>0.17499999999999999</v>
      </c>
      <c r="N636" s="5">
        <v>0.109</v>
      </c>
    </row>
    <row r="637" spans="1:14" x14ac:dyDescent="0.25">
      <c r="A637">
        <v>2014</v>
      </c>
      <c r="B637">
        <v>223</v>
      </c>
      <c r="C637" t="s">
        <v>108</v>
      </c>
      <c r="D637" t="s">
        <v>74</v>
      </c>
      <c r="E637" s="5" t="s">
        <v>109</v>
      </c>
      <c r="F637" s="5">
        <v>0.18600000000000003</v>
      </c>
      <c r="G637" s="5">
        <v>0.20399999999999999</v>
      </c>
      <c r="H637" s="5">
        <v>0.218</v>
      </c>
      <c r="I637" s="5">
        <v>0.22500000000000001</v>
      </c>
      <c r="J637" s="5">
        <v>0.19699999999999998</v>
      </c>
      <c r="K637" s="5">
        <v>0.19500000000000001</v>
      </c>
      <c r="L637" s="5">
        <v>0.21199999999999999</v>
      </c>
      <c r="M637" s="5">
        <v>0.18100000000000002</v>
      </c>
      <c r="N637" s="5">
        <v>0.126</v>
      </c>
    </row>
    <row r="638" spans="1:14" x14ac:dyDescent="0.25">
      <c r="A638">
        <v>2014</v>
      </c>
      <c r="B638">
        <v>223</v>
      </c>
      <c r="C638" t="s">
        <v>108</v>
      </c>
      <c r="D638" t="s">
        <v>75</v>
      </c>
      <c r="E638" s="5" t="s">
        <v>109</v>
      </c>
      <c r="F638" s="5">
        <v>0.19699999999999998</v>
      </c>
      <c r="G638" s="5">
        <v>0.16899999999999998</v>
      </c>
      <c r="H638" s="5">
        <v>0.23699999999999999</v>
      </c>
      <c r="I638" s="5">
        <v>0.24299999999999999</v>
      </c>
      <c r="J638" s="5">
        <v>0.17699999999999999</v>
      </c>
      <c r="K638" s="5">
        <v>0.20600000000000002</v>
      </c>
      <c r="L638" s="5">
        <v>0.218</v>
      </c>
      <c r="M638" s="5">
        <v>0.192</v>
      </c>
      <c r="N638" s="5">
        <v>0.13100000000000001</v>
      </c>
    </row>
    <row r="639" spans="1:14" x14ac:dyDescent="0.25">
      <c r="A639">
        <v>2014</v>
      </c>
      <c r="B639">
        <v>223</v>
      </c>
      <c r="C639" t="s">
        <v>108</v>
      </c>
      <c r="D639" t="s">
        <v>76</v>
      </c>
      <c r="E639" s="5">
        <v>0.192</v>
      </c>
      <c r="F639" s="5">
        <v>0.17499999999999999</v>
      </c>
      <c r="G639" s="5">
        <v>0.17899999999999999</v>
      </c>
      <c r="H639" s="5">
        <v>0.19699999999999998</v>
      </c>
      <c r="I639" s="5">
        <v>0.23399999999999999</v>
      </c>
      <c r="J639" s="5">
        <v>0.23600000000000002</v>
      </c>
      <c r="K639" s="5">
        <v>0.218</v>
      </c>
      <c r="L639" s="5">
        <v>0.24100000000000002</v>
      </c>
      <c r="M639" s="5">
        <v>0.20800000000000002</v>
      </c>
      <c r="N639" s="5">
        <v>0.155</v>
      </c>
    </row>
    <row r="640" spans="1:14" x14ac:dyDescent="0.25">
      <c r="A640">
        <v>2014</v>
      </c>
      <c r="B640">
        <v>223</v>
      </c>
      <c r="C640" t="s">
        <v>108</v>
      </c>
      <c r="D640" t="s">
        <v>53</v>
      </c>
      <c r="E640" s="5">
        <v>0.23699999999999999</v>
      </c>
      <c r="F640" s="5">
        <v>0.32700000000000001</v>
      </c>
      <c r="G640" s="5">
        <v>0.22800000000000001</v>
      </c>
      <c r="H640" s="5">
        <v>0.23499999999999999</v>
      </c>
      <c r="I640" s="5">
        <v>0.26500000000000001</v>
      </c>
      <c r="J640" s="5">
        <v>0.27699999999999997</v>
      </c>
      <c r="K640" s="5">
        <v>0.27800000000000002</v>
      </c>
      <c r="L640" s="5">
        <v>0.23100000000000001</v>
      </c>
      <c r="M640" s="5">
        <v>0.22699999999999998</v>
      </c>
      <c r="N640" s="5">
        <v>0.14199999999999999</v>
      </c>
    </row>
    <row r="641" spans="1:14" x14ac:dyDescent="0.25">
      <c r="A641">
        <v>2014</v>
      </c>
      <c r="B641">
        <v>223</v>
      </c>
      <c r="C641" t="s">
        <v>108</v>
      </c>
      <c r="D641" t="s">
        <v>77</v>
      </c>
      <c r="E641" s="5">
        <v>0.254</v>
      </c>
      <c r="F641" s="5">
        <v>0.252</v>
      </c>
      <c r="G641" s="5">
        <v>0.26700000000000002</v>
      </c>
      <c r="H641" s="5">
        <v>0.24100000000000002</v>
      </c>
      <c r="I641" s="5">
        <v>0.23300000000000001</v>
      </c>
      <c r="J641" s="5">
        <v>0.23899999999999999</v>
      </c>
      <c r="K641" s="5">
        <v>0.188</v>
      </c>
      <c r="L641" s="5">
        <v>0.19899999999999998</v>
      </c>
      <c r="M641" s="5">
        <v>0.191</v>
      </c>
      <c r="N641" s="5">
        <v>0.09</v>
      </c>
    </row>
    <row r="642" spans="1:14" x14ac:dyDescent="0.25">
      <c r="A642">
        <v>2014</v>
      </c>
      <c r="B642">
        <v>223</v>
      </c>
      <c r="C642" t="s">
        <v>108</v>
      </c>
      <c r="D642" t="s">
        <v>73</v>
      </c>
      <c r="E642" s="5" t="s">
        <v>109</v>
      </c>
      <c r="F642" s="5">
        <v>0.20199999999999999</v>
      </c>
      <c r="G642" s="5">
        <v>0.26</v>
      </c>
      <c r="H642" s="5">
        <v>0.27500000000000002</v>
      </c>
      <c r="I642" s="5">
        <v>0.22399999999999998</v>
      </c>
      <c r="J642" s="5">
        <v>0.22800000000000001</v>
      </c>
      <c r="K642" s="5">
        <v>0.20100000000000001</v>
      </c>
      <c r="L642" s="5">
        <v>0.17899999999999999</v>
      </c>
      <c r="M642" s="5">
        <v>0.17499999999999999</v>
      </c>
      <c r="N642" s="5">
        <v>7.0999999999999994E-2</v>
      </c>
    </row>
    <row r="643" spans="1:14" x14ac:dyDescent="0.25">
      <c r="A643">
        <v>2014</v>
      </c>
      <c r="B643">
        <v>223</v>
      </c>
      <c r="C643" t="s">
        <v>108</v>
      </c>
      <c r="D643" t="s">
        <v>81</v>
      </c>
      <c r="E643" s="5" t="s">
        <v>109</v>
      </c>
      <c r="F643" s="5" t="s">
        <v>109</v>
      </c>
      <c r="G643" s="5">
        <v>0.252</v>
      </c>
      <c r="H643" s="5">
        <v>0.255</v>
      </c>
      <c r="I643" s="5">
        <v>0.26</v>
      </c>
      <c r="J643" s="5">
        <v>0.20800000000000002</v>
      </c>
      <c r="K643" s="5">
        <v>0.187</v>
      </c>
      <c r="L643" s="5">
        <v>0.14899999999999999</v>
      </c>
      <c r="M643" s="5">
        <v>0.154</v>
      </c>
      <c r="N643" s="5">
        <v>8.199999999999999E-2</v>
      </c>
    </row>
    <row r="644" spans="1:14" x14ac:dyDescent="0.25">
      <c r="A644">
        <v>2014</v>
      </c>
      <c r="B644">
        <v>223</v>
      </c>
      <c r="C644" t="s">
        <v>108</v>
      </c>
      <c r="D644" t="s">
        <v>80</v>
      </c>
      <c r="E644" s="5" t="s">
        <v>109</v>
      </c>
      <c r="F644" s="5" t="s">
        <v>109</v>
      </c>
      <c r="G644" s="5">
        <v>0.222</v>
      </c>
      <c r="H644" s="5">
        <v>0.24600000000000002</v>
      </c>
      <c r="I644" s="5">
        <v>0.24299999999999999</v>
      </c>
      <c r="J644" s="5">
        <v>0.22399999999999998</v>
      </c>
      <c r="K644" s="5">
        <v>0.223</v>
      </c>
      <c r="L644" s="5">
        <v>0.19600000000000001</v>
      </c>
      <c r="M644" s="5">
        <v>0.16</v>
      </c>
      <c r="N644" s="5">
        <v>9.5000000000000001E-2</v>
      </c>
    </row>
    <row r="645" spans="1:14" x14ac:dyDescent="0.25">
      <c r="A645">
        <v>2014</v>
      </c>
      <c r="B645">
        <v>223</v>
      </c>
      <c r="C645" t="s">
        <v>108</v>
      </c>
      <c r="D645" t="s">
        <v>79</v>
      </c>
      <c r="E645" s="5" t="s">
        <v>109</v>
      </c>
      <c r="F645" s="5" t="s">
        <v>109</v>
      </c>
      <c r="G645" s="5">
        <v>0.21299999999999999</v>
      </c>
      <c r="H645" s="5">
        <v>0.247</v>
      </c>
      <c r="I645" s="5">
        <v>0.26300000000000001</v>
      </c>
      <c r="J645" s="5">
        <v>0.26300000000000001</v>
      </c>
      <c r="K645" s="5">
        <v>0.217</v>
      </c>
      <c r="L645" s="5">
        <v>0.20199999999999999</v>
      </c>
      <c r="M645" s="5">
        <v>0.17100000000000001</v>
      </c>
      <c r="N645" s="5">
        <v>7.9000000000000001E-2</v>
      </c>
    </row>
    <row r="646" spans="1:14" x14ac:dyDescent="0.25">
      <c r="A646">
        <v>2014</v>
      </c>
      <c r="B646">
        <v>223</v>
      </c>
      <c r="C646" t="s">
        <v>108</v>
      </c>
      <c r="D646" t="s">
        <v>78</v>
      </c>
      <c r="E646" s="5" t="s">
        <v>109</v>
      </c>
      <c r="F646" s="5" t="s">
        <v>109</v>
      </c>
      <c r="G646" s="5">
        <v>0.215</v>
      </c>
      <c r="H646" s="5">
        <v>0.217</v>
      </c>
      <c r="I646" s="5">
        <v>0.22899999999999998</v>
      </c>
      <c r="J646" s="5">
        <v>0.20499999999999999</v>
      </c>
      <c r="K646" s="5">
        <v>0.193</v>
      </c>
      <c r="L646" s="5">
        <v>0.16300000000000001</v>
      </c>
      <c r="M646" s="5">
        <v>0.151</v>
      </c>
      <c r="N646" s="5">
        <v>8.199999999999999E-2</v>
      </c>
    </row>
    <row r="647" spans="1:14" x14ac:dyDescent="0.25">
      <c r="A647">
        <v>2014</v>
      </c>
      <c r="B647">
        <v>223</v>
      </c>
      <c r="C647" t="s">
        <v>108</v>
      </c>
      <c r="D647" t="s">
        <v>54</v>
      </c>
      <c r="E647" s="5" t="s">
        <v>109</v>
      </c>
      <c r="F647" s="5" t="s">
        <v>109</v>
      </c>
      <c r="G647" s="5">
        <v>0.23199999999999998</v>
      </c>
      <c r="H647" s="5">
        <v>0.214</v>
      </c>
      <c r="I647" s="5">
        <v>0.24</v>
      </c>
      <c r="J647" s="5">
        <v>0.222</v>
      </c>
      <c r="K647" s="5">
        <v>0.192</v>
      </c>
      <c r="L647" s="5">
        <v>0.19</v>
      </c>
      <c r="M647" s="5">
        <v>0.18100000000000002</v>
      </c>
      <c r="N647" s="5">
        <v>7.4999999999999997E-2</v>
      </c>
    </row>
    <row r="648" spans="1:14" x14ac:dyDescent="0.25">
      <c r="A648">
        <v>2014</v>
      </c>
      <c r="B648">
        <v>223</v>
      </c>
      <c r="C648" t="s">
        <v>108</v>
      </c>
      <c r="D648" t="s">
        <v>35</v>
      </c>
      <c r="E648" s="5" t="s">
        <v>109</v>
      </c>
      <c r="F648" s="5">
        <v>0.23300000000000001</v>
      </c>
      <c r="G648" s="5">
        <v>0.21</v>
      </c>
      <c r="H648" s="5">
        <v>0.17100000000000001</v>
      </c>
      <c r="I648" s="5">
        <v>0.154</v>
      </c>
      <c r="J648" s="5">
        <v>0.158</v>
      </c>
      <c r="K648" s="5">
        <v>0.152</v>
      </c>
      <c r="L648" s="5">
        <v>0.17300000000000001</v>
      </c>
      <c r="M648" s="5">
        <v>0.16699999999999998</v>
      </c>
      <c r="N648" s="5">
        <v>0.105</v>
      </c>
    </row>
    <row r="649" spans="1:14" x14ac:dyDescent="0.25">
      <c r="A649">
        <v>2014</v>
      </c>
      <c r="B649">
        <v>223</v>
      </c>
      <c r="C649" t="s">
        <v>108</v>
      </c>
      <c r="D649" t="s">
        <v>37</v>
      </c>
      <c r="E649" s="5" t="s">
        <v>109</v>
      </c>
      <c r="F649" s="5">
        <v>0.24</v>
      </c>
      <c r="G649" s="5">
        <v>0.23899999999999999</v>
      </c>
      <c r="H649" s="5">
        <v>0.23600000000000002</v>
      </c>
      <c r="I649" s="5">
        <v>0.21</v>
      </c>
      <c r="J649" s="5">
        <v>0.19399999999999998</v>
      </c>
      <c r="K649" s="5">
        <v>0.17600000000000002</v>
      </c>
      <c r="L649" s="5">
        <v>0.16</v>
      </c>
      <c r="M649" s="5">
        <v>0.188</v>
      </c>
      <c r="N649" s="5">
        <v>0.16600000000000001</v>
      </c>
    </row>
    <row r="650" spans="1:14" x14ac:dyDescent="0.25">
      <c r="A650">
        <v>2014</v>
      </c>
      <c r="B650">
        <v>223</v>
      </c>
      <c r="C650" t="s">
        <v>108</v>
      </c>
      <c r="D650" t="s">
        <v>40</v>
      </c>
      <c r="E650" s="5">
        <v>0.19699999999999998</v>
      </c>
      <c r="F650" s="5">
        <v>0.19899999999999998</v>
      </c>
      <c r="G650" s="5">
        <v>0.21100000000000002</v>
      </c>
      <c r="H650" s="5">
        <v>0.21</v>
      </c>
      <c r="I650" s="5">
        <v>0.19899999999999998</v>
      </c>
      <c r="J650" s="5">
        <v>0.192</v>
      </c>
      <c r="K650" s="5">
        <v>0.16699999999999998</v>
      </c>
      <c r="L650" s="5">
        <v>0.151</v>
      </c>
      <c r="M650" s="5">
        <v>0.17600000000000002</v>
      </c>
      <c r="N650" s="5">
        <v>0.122</v>
      </c>
    </row>
    <row r="651" spans="1:14" x14ac:dyDescent="0.25">
      <c r="A651">
        <v>2014</v>
      </c>
      <c r="B651">
        <v>223</v>
      </c>
      <c r="C651" t="s">
        <v>108</v>
      </c>
      <c r="D651" t="s">
        <v>41</v>
      </c>
      <c r="E651" s="5">
        <v>0.24</v>
      </c>
      <c r="F651" s="5">
        <v>0.23</v>
      </c>
      <c r="G651" s="5">
        <v>0.24399999999999999</v>
      </c>
      <c r="H651" s="5">
        <v>0.19699999999999998</v>
      </c>
      <c r="I651" s="5">
        <v>0.18100000000000002</v>
      </c>
      <c r="J651" s="5">
        <v>0.18600000000000003</v>
      </c>
      <c r="K651" s="5">
        <v>0.20899999999999999</v>
      </c>
      <c r="L651" s="5">
        <v>0.18</v>
      </c>
      <c r="M651" s="5">
        <v>0.16500000000000001</v>
      </c>
      <c r="N651" s="5">
        <v>0.13100000000000001</v>
      </c>
    </row>
    <row r="652" spans="1:14" x14ac:dyDescent="0.25">
      <c r="A652">
        <v>2014</v>
      </c>
      <c r="B652">
        <v>223</v>
      </c>
      <c r="C652" t="s">
        <v>108</v>
      </c>
      <c r="D652" t="s">
        <v>43</v>
      </c>
      <c r="E652" s="5">
        <v>0.249</v>
      </c>
      <c r="F652" s="5">
        <v>0.222</v>
      </c>
      <c r="G652" s="5">
        <v>0.17800000000000002</v>
      </c>
      <c r="H652" s="5">
        <v>0.16800000000000001</v>
      </c>
      <c r="I652" s="5">
        <v>0.16200000000000001</v>
      </c>
      <c r="J652" s="5">
        <v>0.14899999999999999</v>
      </c>
      <c r="K652" s="5">
        <v>0.121</v>
      </c>
      <c r="L652" s="5">
        <v>0.11800000000000001</v>
      </c>
      <c r="M652" s="5">
        <v>0.13</v>
      </c>
      <c r="N652" s="5">
        <v>8.6999999999999994E-2</v>
      </c>
    </row>
    <row r="653" spans="1:14" x14ac:dyDescent="0.25">
      <c r="A653">
        <v>2014</v>
      </c>
      <c r="B653">
        <v>223</v>
      </c>
      <c r="C653" t="s">
        <v>108</v>
      </c>
      <c r="D653" t="s">
        <v>44</v>
      </c>
      <c r="E653" s="5">
        <v>0.23199999999999998</v>
      </c>
      <c r="F653" s="5">
        <v>0.22500000000000001</v>
      </c>
      <c r="G653" s="5">
        <v>0.16500000000000001</v>
      </c>
      <c r="H653" s="5">
        <v>0.153</v>
      </c>
      <c r="I653" s="5">
        <v>0.11699999999999999</v>
      </c>
      <c r="J653" s="5">
        <v>0.109</v>
      </c>
      <c r="K653" s="5">
        <v>9.8000000000000004E-2</v>
      </c>
      <c r="L653" s="5">
        <v>0.10199999999999999</v>
      </c>
      <c r="M653" s="5">
        <v>0.128</v>
      </c>
      <c r="N653" s="5">
        <v>7.9000000000000001E-2</v>
      </c>
    </row>
    <row r="654" spans="1:14" x14ac:dyDescent="0.25">
      <c r="A654">
        <v>2014</v>
      </c>
      <c r="B654">
        <v>223</v>
      </c>
      <c r="C654" t="s">
        <v>108</v>
      </c>
      <c r="D654" t="s">
        <v>38</v>
      </c>
      <c r="E654" s="5">
        <v>0.21299999999999999</v>
      </c>
      <c r="F654" s="5">
        <v>0.22699999999999998</v>
      </c>
      <c r="G654" s="5">
        <v>0.252</v>
      </c>
      <c r="H654" s="5">
        <v>0.252</v>
      </c>
      <c r="I654" s="5">
        <v>0.20499999999999999</v>
      </c>
      <c r="J654" s="5">
        <v>0.17399999999999999</v>
      </c>
      <c r="K654" s="5">
        <v>0.14699999999999999</v>
      </c>
      <c r="L654" s="5">
        <v>0.17399999999999999</v>
      </c>
      <c r="M654" s="5">
        <v>0.158</v>
      </c>
      <c r="N654" s="5">
        <v>0.10199999999999999</v>
      </c>
    </row>
    <row r="655" spans="1:14" x14ac:dyDescent="0.25">
      <c r="A655">
        <v>2014</v>
      </c>
      <c r="B655">
        <v>223</v>
      </c>
      <c r="C655" t="s">
        <v>108</v>
      </c>
      <c r="D655" t="s">
        <v>85</v>
      </c>
      <c r="E655" s="5">
        <v>0.21</v>
      </c>
      <c r="F655" s="5">
        <v>0.2</v>
      </c>
      <c r="G655" s="5">
        <v>0.22600000000000001</v>
      </c>
      <c r="H655" s="5">
        <v>0.24199999999999999</v>
      </c>
      <c r="I655" s="5">
        <v>0.23800000000000002</v>
      </c>
      <c r="J655" s="5">
        <v>0.21100000000000002</v>
      </c>
      <c r="K655" s="5">
        <v>0.184</v>
      </c>
      <c r="L655" s="5">
        <v>0.16800000000000001</v>
      </c>
      <c r="M655" s="5">
        <v>0.18100000000000002</v>
      </c>
      <c r="N655" s="5">
        <v>0.122</v>
      </c>
    </row>
    <row r="656" spans="1:14" x14ac:dyDescent="0.25">
      <c r="A656">
        <v>2014</v>
      </c>
      <c r="B656">
        <v>223</v>
      </c>
      <c r="C656" t="s">
        <v>108</v>
      </c>
      <c r="D656" t="s">
        <v>84</v>
      </c>
      <c r="E656" s="5" t="s">
        <v>109</v>
      </c>
      <c r="F656" s="5">
        <v>0.22899999999999998</v>
      </c>
      <c r="G656" s="5">
        <v>0.254</v>
      </c>
      <c r="H656" s="5">
        <v>0.251</v>
      </c>
      <c r="I656" s="5">
        <v>0.24</v>
      </c>
      <c r="J656" s="5">
        <v>0.223</v>
      </c>
      <c r="K656" s="5">
        <v>0.22399999999999998</v>
      </c>
      <c r="L656" s="5">
        <v>0.16399999999999998</v>
      </c>
      <c r="M656" s="5">
        <v>0.156</v>
      </c>
      <c r="N656" s="5">
        <v>0.105</v>
      </c>
    </row>
    <row r="657" spans="1:14" x14ac:dyDescent="0.25">
      <c r="A657">
        <v>2014</v>
      </c>
      <c r="B657">
        <v>223</v>
      </c>
      <c r="C657" t="s">
        <v>108</v>
      </c>
      <c r="D657" t="s">
        <v>42</v>
      </c>
      <c r="E657" s="5" t="s">
        <v>109</v>
      </c>
      <c r="F657" s="5">
        <v>0.23800000000000002</v>
      </c>
      <c r="G657" s="5">
        <v>0.23100000000000001</v>
      </c>
      <c r="H657" s="5">
        <v>0.249</v>
      </c>
      <c r="I657" s="5">
        <v>0.23600000000000002</v>
      </c>
      <c r="J657" s="5">
        <v>0.22899999999999998</v>
      </c>
      <c r="K657" s="5">
        <v>0.218</v>
      </c>
      <c r="L657" s="5">
        <v>0.182</v>
      </c>
      <c r="M657" s="5">
        <v>0.17600000000000002</v>
      </c>
      <c r="N657" s="5">
        <v>0.13100000000000001</v>
      </c>
    </row>
    <row r="658" spans="1:14" x14ac:dyDescent="0.25">
      <c r="A658">
        <v>2014</v>
      </c>
      <c r="B658">
        <v>223</v>
      </c>
      <c r="C658" t="s">
        <v>108</v>
      </c>
      <c r="D658" t="s">
        <v>83</v>
      </c>
      <c r="E658" s="5">
        <v>0.17399999999999999</v>
      </c>
      <c r="F658" s="5">
        <v>0.16800000000000001</v>
      </c>
      <c r="G658" s="5">
        <v>0.22600000000000001</v>
      </c>
      <c r="H658" s="5">
        <v>0.253</v>
      </c>
      <c r="I658" s="5">
        <v>0.21899999999999997</v>
      </c>
      <c r="J658" s="5">
        <v>0.17300000000000001</v>
      </c>
      <c r="K658" s="5">
        <v>0.126</v>
      </c>
      <c r="L658" s="5">
        <v>0.125</v>
      </c>
      <c r="M658" s="5">
        <v>0.13</v>
      </c>
      <c r="N658" s="5">
        <v>0.09</v>
      </c>
    </row>
    <row r="659" spans="1:14" x14ac:dyDescent="0.25">
      <c r="A659">
        <v>2014</v>
      </c>
      <c r="B659">
        <v>223</v>
      </c>
      <c r="C659" t="s">
        <v>108</v>
      </c>
      <c r="D659" t="s">
        <v>82</v>
      </c>
      <c r="E659" s="5">
        <v>0.17399999999999999</v>
      </c>
      <c r="F659" s="5">
        <v>0.17100000000000001</v>
      </c>
      <c r="G659" s="5">
        <v>0.16899999999999998</v>
      </c>
      <c r="H659" s="5">
        <v>0.215</v>
      </c>
      <c r="I659" s="5">
        <v>0.23699999999999999</v>
      </c>
      <c r="J659" s="5">
        <v>0.20100000000000001</v>
      </c>
      <c r="K659" s="5">
        <v>0.17100000000000001</v>
      </c>
      <c r="L659" s="5">
        <v>0.14499999999999999</v>
      </c>
      <c r="M659" s="5">
        <v>0.151</v>
      </c>
      <c r="N659" s="5">
        <v>0.111</v>
      </c>
    </row>
    <row r="660" spans="1:14" x14ac:dyDescent="0.25">
      <c r="A660">
        <v>2014</v>
      </c>
      <c r="B660">
        <v>223</v>
      </c>
      <c r="C660" t="s">
        <v>108</v>
      </c>
      <c r="D660" t="s">
        <v>72</v>
      </c>
      <c r="E660" s="5">
        <v>0.23199999999999998</v>
      </c>
      <c r="F660" s="5">
        <v>0.23100000000000001</v>
      </c>
      <c r="G660" s="5">
        <v>0.23300000000000001</v>
      </c>
      <c r="H660" s="5">
        <v>0.251</v>
      </c>
      <c r="I660" s="5">
        <v>0.21299999999999999</v>
      </c>
      <c r="J660" s="5">
        <v>0.15</v>
      </c>
      <c r="K660" s="5">
        <v>0.13900000000000001</v>
      </c>
      <c r="L660" s="5">
        <v>0.16800000000000001</v>
      </c>
      <c r="M660" s="5">
        <v>0.16500000000000001</v>
      </c>
      <c r="N660" s="5">
        <v>9.9000000000000005E-2</v>
      </c>
    </row>
    <row r="661" spans="1:14" x14ac:dyDescent="0.25">
      <c r="A661">
        <v>2014</v>
      </c>
      <c r="B661">
        <v>223</v>
      </c>
      <c r="C661" t="s">
        <v>108</v>
      </c>
      <c r="D661" t="s">
        <v>39</v>
      </c>
      <c r="E661" s="5">
        <v>0.19899999999999998</v>
      </c>
      <c r="F661" s="5">
        <v>0.19699999999999998</v>
      </c>
      <c r="G661" s="5">
        <v>0.19600000000000001</v>
      </c>
      <c r="H661" s="5">
        <v>0.24199999999999999</v>
      </c>
      <c r="I661" s="5">
        <v>0.23899999999999999</v>
      </c>
      <c r="J661" s="5">
        <v>0.20699999999999999</v>
      </c>
      <c r="K661" s="5">
        <v>0.21600000000000003</v>
      </c>
      <c r="L661" s="5">
        <v>0.19600000000000001</v>
      </c>
      <c r="M661" s="5">
        <v>0.185</v>
      </c>
      <c r="N661" s="5">
        <v>0.13300000000000001</v>
      </c>
    </row>
    <row r="662" spans="1:14" x14ac:dyDescent="0.25">
      <c r="A662">
        <v>2014</v>
      </c>
      <c r="B662">
        <v>223</v>
      </c>
      <c r="C662" t="s">
        <v>108</v>
      </c>
      <c r="D662" t="s">
        <v>86</v>
      </c>
      <c r="E662" s="5">
        <v>0.16699999999999998</v>
      </c>
      <c r="F662" s="5">
        <v>0.17899999999999999</v>
      </c>
      <c r="G662" s="5">
        <v>0.22399999999999998</v>
      </c>
      <c r="H662" s="5">
        <v>0.22899999999999998</v>
      </c>
      <c r="I662" s="5">
        <v>0.215</v>
      </c>
      <c r="J662" s="5">
        <v>0.184</v>
      </c>
      <c r="K662" s="5">
        <v>0.17600000000000002</v>
      </c>
      <c r="L662" s="5">
        <v>0.17699999999999999</v>
      </c>
      <c r="M662" s="5">
        <v>0.187</v>
      </c>
      <c r="N662" s="5">
        <v>0.11599999999999999</v>
      </c>
    </row>
    <row r="663" spans="1:14" x14ac:dyDescent="0.25">
      <c r="A663">
        <v>2014</v>
      </c>
      <c r="B663">
        <v>223</v>
      </c>
      <c r="C663" t="s">
        <v>108</v>
      </c>
      <c r="D663" t="s">
        <v>87</v>
      </c>
      <c r="E663" s="5" t="s">
        <v>109</v>
      </c>
      <c r="F663" s="5">
        <v>0.187</v>
      </c>
      <c r="G663" s="5">
        <v>0.21199999999999999</v>
      </c>
      <c r="H663" s="5">
        <v>0.25</v>
      </c>
      <c r="I663" s="5">
        <v>0.221</v>
      </c>
      <c r="J663" s="5">
        <v>0.20800000000000002</v>
      </c>
      <c r="K663" s="5">
        <v>0.192</v>
      </c>
      <c r="L663" s="5">
        <v>0.16399999999999998</v>
      </c>
      <c r="M663" s="5">
        <v>0.157</v>
      </c>
      <c r="N663" s="5">
        <v>0.115</v>
      </c>
    </row>
    <row r="664" spans="1:14" x14ac:dyDescent="0.25">
      <c r="A664">
        <v>2014</v>
      </c>
      <c r="B664">
        <v>223</v>
      </c>
      <c r="C664" t="s">
        <v>108</v>
      </c>
      <c r="D664" t="s">
        <v>88</v>
      </c>
      <c r="E664" s="5">
        <v>0.21899999999999997</v>
      </c>
      <c r="F664" s="5">
        <v>0.20600000000000002</v>
      </c>
      <c r="G664" s="5">
        <v>0.21600000000000003</v>
      </c>
      <c r="H664" s="5">
        <v>0.21600000000000003</v>
      </c>
      <c r="I664" s="5">
        <v>0.20399999999999999</v>
      </c>
      <c r="J664" s="5">
        <v>0.17399999999999999</v>
      </c>
      <c r="K664" s="5">
        <v>0.16399999999999998</v>
      </c>
      <c r="L664" s="5">
        <v>0.13300000000000001</v>
      </c>
      <c r="M664" s="5">
        <v>0.14099999999999999</v>
      </c>
      <c r="N664" s="5">
        <v>9.0999999999999998E-2</v>
      </c>
    </row>
    <row r="665" spans="1:14" x14ac:dyDescent="0.25">
      <c r="A665">
        <v>2014</v>
      </c>
      <c r="B665">
        <v>223</v>
      </c>
      <c r="C665" t="s">
        <v>108</v>
      </c>
      <c r="D665" t="s">
        <v>36</v>
      </c>
      <c r="E665" s="5">
        <v>0.155</v>
      </c>
      <c r="F665" s="5">
        <v>0.156</v>
      </c>
      <c r="G665" s="5">
        <v>0.17</v>
      </c>
      <c r="H665" s="5">
        <v>0.19600000000000001</v>
      </c>
      <c r="I665" s="5">
        <v>0.188</v>
      </c>
      <c r="J665" s="5">
        <v>0.16699999999999998</v>
      </c>
      <c r="K665" s="5">
        <v>0.14599999999999999</v>
      </c>
      <c r="L665" s="5">
        <v>0.14400000000000002</v>
      </c>
      <c r="M665" s="5">
        <v>0.14599999999999999</v>
      </c>
      <c r="N665" s="5">
        <v>9.0999999999999998E-2</v>
      </c>
    </row>
    <row r="666" spans="1:14" x14ac:dyDescent="0.25">
      <c r="A666">
        <v>2014</v>
      </c>
      <c r="B666">
        <v>223</v>
      </c>
      <c r="C666" t="s">
        <v>108</v>
      </c>
      <c r="D666" t="s">
        <v>94</v>
      </c>
      <c r="E666" s="5">
        <v>0.21600000000000003</v>
      </c>
      <c r="F666" s="5">
        <v>0.20800000000000002</v>
      </c>
      <c r="G666" s="5">
        <v>0.2</v>
      </c>
      <c r="H666" s="5">
        <v>0.19699999999999998</v>
      </c>
      <c r="I666" s="5">
        <v>0.16600000000000001</v>
      </c>
      <c r="J666" s="5">
        <v>0.129</v>
      </c>
      <c r="K666" s="5">
        <v>0.126</v>
      </c>
      <c r="L666" s="5">
        <v>0.153</v>
      </c>
      <c r="M666" s="5">
        <v>0.14000000000000001</v>
      </c>
      <c r="N666" s="5">
        <v>8.1000000000000003E-2</v>
      </c>
    </row>
    <row r="667" spans="1:14" x14ac:dyDescent="0.25">
      <c r="A667">
        <v>2014</v>
      </c>
      <c r="B667">
        <v>223</v>
      </c>
      <c r="C667" t="s">
        <v>108</v>
      </c>
      <c r="D667" t="s">
        <v>93</v>
      </c>
      <c r="E667" s="5">
        <v>0.20899999999999999</v>
      </c>
      <c r="F667" s="5">
        <v>0.21100000000000002</v>
      </c>
      <c r="G667" s="5">
        <v>0.19600000000000001</v>
      </c>
      <c r="H667" s="5">
        <v>0.17</v>
      </c>
      <c r="I667" s="5">
        <v>0.14099999999999999</v>
      </c>
      <c r="J667" s="5">
        <v>0.122</v>
      </c>
      <c r="K667" s="5">
        <v>0.114</v>
      </c>
      <c r="L667" s="5">
        <v>0.151</v>
      </c>
      <c r="M667" s="5">
        <v>0.157</v>
      </c>
      <c r="N667" s="5">
        <v>0.115</v>
      </c>
    </row>
    <row r="668" spans="1:14" x14ac:dyDescent="0.25">
      <c r="A668">
        <v>2014</v>
      </c>
      <c r="B668">
        <v>223</v>
      </c>
      <c r="C668" t="s">
        <v>108</v>
      </c>
      <c r="D668" t="s">
        <v>92</v>
      </c>
      <c r="E668" s="5">
        <v>0.19</v>
      </c>
      <c r="F668" s="5">
        <v>0.193</v>
      </c>
      <c r="G668" s="5">
        <v>0.21899999999999997</v>
      </c>
      <c r="H668" s="5">
        <v>0.18600000000000003</v>
      </c>
      <c r="I668" s="5">
        <v>0.17399999999999999</v>
      </c>
      <c r="J668" s="5">
        <v>0.161</v>
      </c>
      <c r="K668" s="5">
        <v>0.14499999999999999</v>
      </c>
      <c r="L668" s="5">
        <v>0.17300000000000001</v>
      </c>
      <c r="M668" s="5">
        <v>0.17800000000000002</v>
      </c>
      <c r="N668" s="5">
        <v>0.127</v>
      </c>
    </row>
    <row r="669" spans="1:14" x14ac:dyDescent="0.25">
      <c r="A669">
        <v>2014</v>
      </c>
      <c r="B669">
        <v>223</v>
      </c>
      <c r="C669" t="s">
        <v>108</v>
      </c>
      <c r="D669" t="s">
        <v>91</v>
      </c>
      <c r="E669" s="5">
        <v>0.157</v>
      </c>
      <c r="F669" s="5">
        <v>0.185</v>
      </c>
      <c r="G669" s="5">
        <v>0.24399999999999999</v>
      </c>
      <c r="H669" s="5">
        <v>0.25600000000000001</v>
      </c>
      <c r="I669" s="5">
        <v>0.24600000000000002</v>
      </c>
      <c r="J669" s="5">
        <v>0.24600000000000002</v>
      </c>
      <c r="K669" s="5">
        <v>0.19500000000000001</v>
      </c>
      <c r="L669" s="5">
        <v>0.19</v>
      </c>
      <c r="M669" s="5">
        <v>0.18100000000000002</v>
      </c>
      <c r="N669" s="5">
        <v>0.13699999999999998</v>
      </c>
    </row>
    <row r="670" spans="1:14" x14ac:dyDescent="0.25">
      <c r="A670">
        <v>2014</v>
      </c>
      <c r="B670">
        <v>223</v>
      </c>
      <c r="C670" t="s">
        <v>108</v>
      </c>
      <c r="D670" t="s">
        <v>90</v>
      </c>
      <c r="E670" s="5">
        <v>0.19699999999999998</v>
      </c>
      <c r="F670" s="5">
        <v>0.20100000000000001</v>
      </c>
      <c r="G670" s="5">
        <v>0.18899999999999997</v>
      </c>
      <c r="H670" s="5">
        <v>0.20800000000000002</v>
      </c>
      <c r="I670" s="5">
        <v>0.19699999999999998</v>
      </c>
      <c r="J670" s="5">
        <v>0.188</v>
      </c>
      <c r="K670" s="5">
        <v>0.192</v>
      </c>
      <c r="L670" s="5">
        <v>0.16399999999999998</v>
      </c>
      <c r="M670" s="5">
        <v>0.152</v>
      </c>
      <c r="N670" s="5">
        <v>9.4E-2</v>
      </c>
    </row>
    <row r="671" spans="1:14" x14ac:dyDescent="0.25">
      <c r="A671">
        <v>2014</v>
      </c>
      <c r="B671">
        <v>223</v>
      </c>
      <c r="C671" t="s">
        <v>108</v>
      </c>
      <c r="D671" t="s">
        <v>89</v>
      </c>
      <c r="E671" s="5">
        <v>0.17</v>
      </c>
      <c r="F671" s="5">
        <v>0.17300000000000001</v>
      </c>
      <c r="G671" s="5">
        <v>0.21</v>
      </c>
      <c r="H671" s="5">
        <v>0.23899999999999999</v>
      </c>
      <c r="I671" s="5">
        <v>0.23499999999999999</v>
      </c>
      <c r="J671" s="5">
        <v>0.20300000000000001</v>
      </c>
      <c r="K671" s="5">
        <v>0.193</v>
      </c>
      <c r="L671" s="5">
        <v>0.16500000000000001</v>
      </c>
      <c r="M671" s="5">
        <v>0.158</v>
      </c>
      <c r="N671" s="5">
        <v>0.10400000000000001</v>
      </c>
    </row>
    <row r="672" spans="1:14" x14ac:dyDescent="0.25">
      <c r="A672">
        <v>2014</v>
      </c>
      <c r="B672">
        <v>223</v>
      </c>
      <c r="C672" t="s">
        <v>108</v>
      </c>
      <c r="D672" t="s">
        <v>45</v>
      </c>
      <c r="E672" s="5">
        <v>0.222</v>
      </c>
      <c r="F672" s="5">
        <v>0.218</v>
      </c>
      <c r="G672" s="5">
        <v>0.215</v>
      </c>
      <c r="H672" s="5">
        <v>0.22600000000000001</v>
      </c>
      <c r="I672" s="5">
        <v>0.20499999999999999</v>
      </c>
      <c r="J672" s="5">
        <v>0.182</v>
      </c>
      <c r="K672" s="5">
        <v>0.16399999999999998</v>
      </c>
      <c r="L672" s="5">
        <v>0.16899999999999998</v>
      </c>
      <c r="M672" s="5">
        <v>0.16399999999999998</v>
      </c>
      <c r="N672" s="5">
        <v>9.8000000000000004E-2</v>
      </c>
    </row>
    <row r="673" spans="1:14" x14ac:dyDescent="0.25">
      <c r="A673">
        <v>2014</v>
      </c>
      <c r="B673">
        <v>223</v>
      </c>
      <c r="C673" t="s">
        <v>108</v>
      </c>
      <c r="D673" t="s">
        <v>46</v>
      </c>
      <c r="E673" s="5">
        <v>0.22500000000000001</v>
      </c>
      <c r="F673" s="5">
        <v>0.23199999999999998</v>
      </c>
      <c r="G673" s="5">
        <v>0.23699999999999999</v>
      </c>
      <c r="H673" s="5">
        <v>0.223</v>
      </c>
      <c r="I673" s="5">
        <v>0.20899999999999999</v>
      </c>
      <c r="J673" s="5">
        <v>0.20199999999999999</v>
      </c>
      <c r="K673" s="5">
        <v>0.19800000000000001</v>
      </c>
      <c r="L673" s="5">
        <v>0.19399999999999998</v>
      </c>
      <c r="M673" s="5">
        <v>0.17699999999999999</v>
      </c>
      <c r="N673" s="5">
        <v>0.109</v>
      </c>
    </row>
    <row r="674" spans="1:14" x14ac:dyDescent="0.25">
      <c r="A674">
        <v>2014</v>
      </c>
      <c r="B674">
        <v>223</v>
      </c>
      <c r="C674" t="s">
        <v>108</v>
      </c>
      <c r="D674" t="s">
        <v>47</v>
      </c>
      <c r="E674" s="5">
        <v>0.22500000000000001</v>
      </c>
      <c r="F674" s="5">
        <v>0.19699999999999998</v>
      </c>
      <c r="G674" s="5">
        <v>0.21</v>
      </c>
      <c r="H674" s="5">
        <v>0.19500000000000001</v>
      </c>
      <c r="I674" s="5">
        <v>0.17100000000000001</v>
      </c>
      <c r="J674" s="5">
        <v>0.17499999999999999</v>
      </c>
      <c r="K674" s="5">
        <v>0.16899999999999998</v>
      </c>
      <c r="L674" s="5">
        <v>0.17899999999999999</v>
      </c>
      <c r="M674" s="5">
        <v>0.16899999999999998</v>
      </c>
      <c r="N674" s="5">
        <v>0.10800000000000001</v>
      </c>
    </row>
    <row r="675" spans="1:14" x14ac:dyDescent="0.25">
      <c r="A675">
        <v>2014</v>
      </c>
      <c r="B675">
        <v>223</v>
      </c>
      <c r="C675" t="s">
        <v>108</v>
      </c>
      <c r="D675" t="s">
        <v>48</v>
      </c>
      <c r="E675" s="5">
        <v>0.14000000000000001</v>
      </c>
      <c r="F675" s="5">
        <v>0.127</v>
      </c>
      <c r="G675" s="5">
        <v>0.113</v>
      </c>
      <c r="H675" s="5">
        <v>0.10800000000000001</v>
      </c>
      <c r="I675" s="5">
        <v>9.1999999999999998E-2</v>
      </c>
      <c r="J675" s="5">
        <v>9.0999999999999998E-2</v>
      </c>
      <c r="K675" s="5">
        <v>9.6000000000000002E-2</v>
      </c>
      <c r="L675" s="5">
        <v>0.14800000000000002</v>
      </c>
      <c r="M675" s="5">
        <v>0.16899999999999998</v>
      </c>
      <c r="N675" s="5">
        <v>9.9000000000000005E-2</v>
      </c>
    </row>
    <row r="676" spans="1:14" x14ac:dyDescent="0.25">
      <c r="A676">
        <v>2014</v>
      </c>
      <c r="B676">
        <v>223</v>
      </c>
      <c r="C676" t="s">
        <v>108</v>
      </c>
      <c r="D676" t="s">
        <v>49</v>
      </c>
      <c r="E676" s="5">
        <v>0.17899999999999999</v>
      </c>
      <c r="F676" s="5">
        <v>0.20499999999999999</v>
      </c>
      <c r="G676" s="5">
        <v>0.221</v>
      </c>
      <c r="H676" s="5">
        <v>0.223</v>
      </c>
      <c r="I676" s="5">
        <v>0.19500000000000001</v>
      </c>
      <c r="J676" s="5">
        <v>0.16</v>
      </c>
      <c r="K676" s="5">
        <v>0.13699999999999998</v>
      </c>
      <c r="L676" s="5">
        <v>0.14899999999999999</v>
      </c>
      <c r="M676" s="5">
        <v>0.158</v>
      </c>
      <c r="N676" s="5">
        <v>0.10099999999999999</v>
      </c>
    </row>
    <row r="677" spans="1:14" x14ac:dyDescent="0.25">
      <c r="A677">
        <v>2014</v>
      </c>
      <c r="B677">
        <v>223</v>
      </c>
      <c r="C677" t="s">
        <v>108</v>
      </c>
      <c r="D677" t="s">
        <v>50</v>
      </c>
      <c r="E677" s="5">
        <v>0.192</v>
      </c>
      <c r="F677" s="5">
        <v>0.217</v>
      </c>
      <c r="G677" s="5">
        <v>0.19800000000000001</v>
      </c>
      <c r="H677" s="5">
        <v>0.17399999999999999</v>
      </c>
      <c r="I677" s="5">
        <v>0.159</v>
      </c>
      <c r="J677" s="5">
        <v>0.159</v>
      </c>
      <c r="K677" s="5">
        <v>0.14599999999999999</v>
      </c>
      <c r="L677" s="5">
        <v>0.14400000000000002</v>
      </c>
      <c r="M677" s="5">
        <v>0.15</v>
      </c>
      <c r="N677" s="5">
        <v>0.10400000000000001</v>
      </c>
    </row>
    <row r="678" spans="1:14" x14ac:dyDescent="0.25">
      <c r="A678">
        <v>2014</v>
      </c>
      <c r="B678">
        <v>230</v>
      </c>
      <c r="C678" t="s">
        <v>108</v>
      </c>
      <c r="D678" t="s">
        <v>51</v>
      </c>
      <c r="E678" s="5">
        <v>0.09</v>
      </c>
      <c r="F678" s="5">
        <v>0.105</v>
      </c>
      <c r="G678" s="5">
        <v>0.111</v>
      </c>
      <c r="H678" s="5">
        <v>0.11800000000000001</v>
      </c>
      <c r="I678" s="5">
        <v>0.14400000000000002</v>
      </c>
      <c r="J678" s="5">
        <v>0.16200000000000001</v>
      </c>
      <c r="K678" s="5">
        <v>0.17699999999999999</v>
      </c>
      <c r="L678" s="5">
        <v>0.17100000000000001</v>
      </c>
      <c r="M678" s="5">
        <v>0.154</v>
      </c>
      <c r="N678" s="5">
        <v>8.199999999999999E-2</v>
      </c>
    </row>
    <row r="679" spans="1:14" x14ac:dyDescent="0.25">
      <c r="A679">
        <v>2014</v>
      </c>
      <c r="B679">
        <v>230</v>
      </c>
      <c r="C679" t="s">
        <v>108</v>
      </c>
      <c r="D679" t="s">
        <v>55</v>
      </c>
      <c r="E679" s="5">
        <v>0.20899999999999999</v>
      </c>
      <c r="F679" s="5">
        <v>0.13600000000000001</v>
      </c>
      <c r="G679" s="5">
        <v>0.11</v>
      </c>
      <c r="H679" s="5">
        <v>0.11900000000000001</v>
      </c>
      <c r="I679" s="5">
        <v>0.13699999999999998</v>
      </c>
      <c r="J679" s="5">
        <v>0.14699999999999999</v>
      </c>
      <c r="K679" s="5">
        <v>0.16399999999999998</v>
      </c>
      <c r="L679" s="5">
        <v>0.17499999999999999</v>
      </c>
      <c r="M679" s="5">
        <v>0.158</v>
      </c>
      <c r="N679" s="5">
        <v>0.10800000000000001</v>
      </c>
    </row>
    <row r="680" spans="1:14" x14ac:dyDescent="0.25">
      <c r="A680">
        <v>2014</v>
      </c>
      <c r="B680">
        <v>230</v>
      </c>
      <c r="C680" t="s">
        <v>108</v>
      </c>
      <c r="D680" t="s">
        <v>56</v>
      </c>
      <c r="E680" s="5">
        <v>0.125</v>
      </c>
      <c r="F680" s="5">
        <v>0.16399999999999998</v>
      </c>
      <c r="G680" s="5">
        <v>0.19</v>
      </c>
      <c r="H680" s="5">
        <v>0.188</v>
      </c>
      <c r="I680" s="5">
        <v>0.156</v>
      </c>
      <c r="J680" s="5">
        <v>0.159</v>
      </c>
      <c r="K680" s="5">
        <v>0.16300000000000001</v>
      </c>
      <c r="L680" s="5">
        <v>0.18899999999999997</v>
      </c>
      <c r="M680" s="5">
        <v>0.20199999999999999</v>
      </c>
      <c r="N680" s="5">
        <v>0.12</v>
      </c>
    </row>
    <row r="681" spans="1:14" x14ac:dyDescent="0.25">
      <c r="A681">
        <v>2014</v>
      </c>
      <c r="B681">
        <v>230</v>
      </c>
      <c r="C681" t="s">
        <v>108</v>
      </c>
      <c r="D681" t="s">
        <v>57</v>
      </c>
      <c r="E681" s="5">
        <v>0.13800000000000001</v>
      </c>
      <c r="F681" s="5">
        <v>0.13699999999999998</v>
      </c>
      <c r="G681" s="5">
        <v>0.13500000000000001</v>
      </c>
      <c r="H681" s="5">
        <v>0.16899999999999998</v>
      </c>
      <c r="I681" s="5">
        <v>0.17300000000000001</v>
      </c>
      <c r="J681" s="5">
        <v>0.17100000000000001</v>
      </c>
      <c r="K681" s="5">
        <v>0.16899999999999998</v>
      </c>
      <c r="L681" s="5">
        <v>0.16500000000000001</v>
      </c>
      <c r="M681" s="5">
        <v>0.14699999999999999</v>
      </c>
      <c r="N681" s="5">
        <v>8.1000000000000003E-2</v>
      </c>
    </row>
    <row r="682" spans="1:14" x14ac:dyDescent="0.25">
      <c r="A682">
        <v>2014</v>
      </c>
      <c r="B682">
        <v>230</v>
      </c>
      <c r="C682" t="s">
        <v>108</v>
      </c>
      <c r="D682" t="s">
        <v>58</v>
      </c>
      <c r="E682" s="5" t="s">
        <v>109</v>
      </c>
      <c r="F682" s="5" t="s">
        <v>109</v>
      </c>
      <c r="G682" s="5" t="s">
        <v>109</v>
      </c>
      <c r="H682" s="5">
        <v>0.23499999999999999</v>
      </c>
      <c r="I682" s="5">
        <v>0.18600000000000003</v>
      </c>
      <c r="J682" s="5">
        <v>0.18899999999999997</v>
      </c>
      <c r="K682" s="5">
        <v>0.17800000000000002</v>
      </c>
      <c r="L682" s="5">
        <v>0.191</v>
      </c>
      <c r="M682" s="5">
        <v>0.20100000000000001</v>
      </c>
      <c r="N682" s="5">
        <v>0.128</v>
      </c>
    </row>
    <row r="683" spans="1:14" x14ac:dyDescent="0.25">
      <c r="A683">
        <v>2014</v>
      </c>
      <c r="B683">
        <v>230</v>
      </c>
      <c r="C683" t="s">
        <v>108</v>
      </c>
      <c r="D683" t="s">
        <v>59</v>
      </c>
      <c r="E683" s="5" t="s">
        <v>109</v>
      </c>
      <c r="F683" s="5">
        <v>0.19399999999999998</v>
      </c>
      <c r="G683" s="5">
        <v>0.193</v>
      </c>
      <c r="H683" s="5">
        <v>0.19</v>
      </c>
      <c r="I683" s="5">
        <v>0.19600000000000001</v>
      </c>
      <c r="J683" s="5">
        <v>0.18899999999999997</v>
      </c>
      <c r="K683" s="5">
        <v>0.16600000000000001</v>
      </c>
      <c r="L683" s="5">
        <v>0.19500000000000001</v>
      </c>
      <c r="M683" s="5">
        <v>0.17199999999999999</v>
      </c>
      <c r="N683" s="5">
        <v>8.5000000000000006E-2</v>
      </c>
    </row>
    <row r="684" spans="1:14" x14ac:dyDescent="0.25">
      <c r="A684">
        <v>2014</v>
      </c>
      <c r="B684">
        <v>230</v>
      </c>
      <c r="C684" t="s">
        <v>108</v>
      </c>
      <c r="D684" t="s">
        <v>64</v>
      </c>
      <c r="E684" s="5">
        <v>0.253</v>
      </c>
      <c r="F684" s="5">
        <v>0.14300000000000002</v>
      </c>
      <c r="G684" s="5">
        <v>0.14699999999999999</v>
      </c>
      <c r="H684" s="5">
        <v>0.23800000000000002</v>
      </c>
      <c r="I684" s="5">
        <v>0.21899999999999997</v>
      </c>
      <c r="J684" s="5">
        <v>0.20300000000000001</v>
      </c>
      <c r="K684" s="5">
        <v>0.22</v>
      </c>
      <c r="L684" s="5">
        <v>0.24199999999999999</v>
      </c>
      <c r="M684" s="5">
        <v>0.19399999999999998</v>
      </c>
      <c r="N684" s="5">
        <v>0.13200000000000001</v>
      </c>
    </row>
    <row r="685" spans="1:14" x14ac:dyDescent="0.25">
      <c r="A685">
        <v>2014</v>
      </c>
      <c r="B685">
        <v>230</v>
      </c>
      <c r="C685" t="s">
        <v>108</v>
      </c>
      <c r="D685" t="s">
        <v>52</v>
      </c>
      <c r="E685" s="5">
        <v>0.151</v>
      </c>
      <c r="F685" s="5">
        <v>0.155</v>
      </c>
      <c r="G685" s="5">
        <v>0.17600000000000002</v>
      </c>
      <c r="H685" s="5">
        <v>0.184</v>
      </c>
      <c r="I685" s="5">
        <v>0.20800000000000002</v>
      </c>
      <c r="J685" s="5">
        <v>0.23199999999999998</v>
      </c>
      <c r="K685" s="5">
        <v>0.22800000000000001</v>
      </c>
      <c r="L685" s="5">
        <v>0.22500000000000001</v>
      </c>
      <c r="M685" s="5">
        <v>0.17600000000000002</v>
      </c>
      <c r="N685" s="5">
        <v>0.14400000000000002</v>
      </c>
    </row>
    <row r="686" spans="1:14" x14ac:dyDescent="0.25">
      <c r="A686">
        <v>2014</v>
      </c>
      <c r="B686">
        <v>230</v>
      </c>
      <c r="C686" t="s">
        <v>108</v>
      </c>
      <c r="D686" t="s">
        <v>62</v>
      </c>
      <c r="E686" s="5">
        <v>0.17</v>
      </c>
      <c r="F686" s="5">
        <v>0.13699999999999998</v>
      </c>
      <c r="G686" s="5">
        <v>0.157</v>
      </c>
      <c r="H686" s="5">
        <v>0.16800000000000001</v>
      </c>
      <c r="I686" s="5">
        <v>0.20899999999999999</v>
      </c>
      <c r="J686" s="5">
        <v>0.21899999999999997</v>
      </c>
      <c r="K686" s="5">
        <v>0.23199999999999998</v>
      </c>
      <c r="L686" s="5">
        <v>0.249</v>
      </c>
      <c r="M686" s="5">
        <v>0.22800000000000001</v>
      </c>
      <c r="N686" s="5">
        <v>0.13300000000000001</v>
      </c>
    </row>
    <row r="687" spans="1:14" x14ac:dyDescent="0.25">
      <c r="A687">
        <v>2014</v>
      </c>
      <c r="B687">
        <v>230</v>
      </c>
      <c r="C687" t="s">
        <v>108</v>
      </c>
      <c r="D687" t="s">
        <v>63</v>
      </c>
      <c r="E687" s="5" t="s">
        <v>109</v>
      </c>
      <c r="F687" s="5">
        <v>0.161</v>
      </c>
      <c r="G687" s="5">
        <v>0.152</v>
      </c>
      <c r="H687" s="5">
        <v>0.18899999999999997</v>
      </c>
      <c r="I687" s="5">
        <v>0.21199999999999999</v>
      </c>
      <c r="J687" s="5">
        <v>0.221</v>
      </c>
      <c r="K687" s="5">
        <v>0.214</v>
      </c>
      <c r="L687" s="5">
        <v>0.18100000000000002</v>
      </c>
      <c r="M687" s="5">
        <v>0.188</v>
      </c>
      <c r="N687" s="5">
        <v>0.14499999999999999</v>
      </c>
    </row>
    <row r="688" spans="1:14" x14ac:dyDescent="0.25">
      <c r="A688">
        <v>2014</v>
      </c>
      <c r="B688">
        <v>230</v>
      </c>
      <c r="C688" t="s">
        <v>108</v>
      </c>
      <c r="D688" t="s">
        <v>61</v>
      </c>
      <c r="E688" s="5" t="s">
        <v>109</v>
      </c>
      <c r="F688" s="5">
        <v>0.317</v>
      </c>
      <c r="G688" s="5">
        <v>0.26800000000000002</v>
      </c>
      <c r="H688" s="5">
        <v>0.18100000000000002</v>
      </c>
      <c r="I688" s="5">
        <v>0.187</v>
      </c>
      <c r="J688" s="5">
        <v>0.191</v>
      </c>
      <c r="K688" s="5">
        <v>0.16800000000000001</v>
      </c>
      <c r="L688" s="5">
        <v>0.22</v>
      </c>
      <c r="M688" s="5">
        <v>0.22800000000000001</v>
      </c>
      <c r="N688" s="5">
        <v>0.151</v>
      </c>
    </row>
    <row r="689" spans="1:14" x14ac:dyDescent="0.25">
      <c r="A689">
        <v>2014</v>
      </c>
      <c r="B689">
        <v>230</v>
      </c>
      <c r="C689" t="s">
        <v>108</v>
      </c>
      <c r="D689" t="s">
        <v>60</v>
      </c>
      <c r="E689" s="5" t="s">
        <v>109</v>
      </c>
      <c r="F689" s="5" t="s">
        <v>109</v>
      </c>
      <c r="G689" s="5">
        <v>0.25800000000000001</v>
      </c>
      <c r="H689" s="5">
        <v>0.28699999999999998</v>
      </c>
      <c r="I689" s="5">
        <v>0.20499999999999999</v>
      </c>
      <c r="J689" s="5">
        <v>0.19500000000000001</v>
      </c>
      <c r="K689" s="5">
        <v>0.22800000000000001</v>
      </c>
      <c r="L689" s="5">
        <v>0.20499999999999999</v>
      </c>
      <c r="M689" s="5">
        <v>0.2</v>
      </c>
      <c r="N689" s="5">
        <v>0.13500000000000001</v>
      </c>
    </row>
    <row r="690" spans="1:14" x14ac:dyDescent="0.25">
      <c r="A690">
        <v>2014</v>
      </c>
      <c r="B690">
        <v>230</v>
      </c>
      <c r="C690" t="s">
        <v>108</v>
      </c>
      <c r="D690" t="s">
        <v>29</v>
      </c>
      <c r="E690" s="5">
        <v>0.183</v>
      </c>
      <c r="F690" s="5">
        <v>0.19</v>
      </c>
      <c r="G690" s="5">
        <v>0.17899999999999999</v>
      </c>
      <c r="H690" s="5">
        <v>0.22699999999999998</v>
      </c>
      <c r="I690" s="5">
        <v>0.21899999999999997</v>
      </c>
      <c r="J690" s="5">
        <v>0.245</v>
      </c>
      <c r="K690" s="5">
        <v>0.23899999999999999</v>
      </c>
      <c r="L690" s="5">
        <v>0.24600000000000002</v>
      </c>
      <c r="M690" s="5">
        <v>0.23100000000000001</v>
      </c>
      <c r="N690" s="5">
        <v>0.14699999999999999</v>
      </c>
    </row>
    <row r="691" spans="1:14" x14ac:dyDescent="0.25">
      <c r="A691">
        <v>2014</v>
      </c>
      <c r="B691">
        <v>230</v>
      </c>
      <c r="C691" t="s">
        <v>108</v>
      </c>
      <c r="D691" t="s">
        <v>30</v>
      </c>
      <c r="E691" s="5">
        <v>0.185</v>
      </c>
      <c r="F691" s="5">
        <v>0.183</v>
      </c>
      <c r="G691" s="5">
        <v>0.21899999999999997</v>
      </c>
      <c r="H691" s="5">
        <v>0.251</v>
      </c>
      <c r="I691" s="5">
        <v>0.23100000000000001</v>
      </c>
      <c r="J691" s="5">
        <v>0.22</v>
      </c>
      <c r="K691" s="5">
        <v>0.23800000000000002</v>
      </c>
      <c r="L691" s="5">
        <v>0.17899999999999999</v>
      </c>
      <c r="M691" s="5">
        <v>0.16200000000000001</v>
      </c>
      <c r="N691" s="5">
        <v>0.10800000000000001</v>
      </c>
    </row>
    <row r="692" spans="1:14" x14ac:dyDescent="0.25">
      <c r="A692">
        <v>2014</v>
      </c>
      <c r="B692">
        <v>230</v>
      </c>
      <c r="C692" t="s">
        <v>108</v>
      </c>
      <c r="D692" t="s">
        <v>31</v>
      </c>
      <c r="E692" s="5">
        <v>0.187</v>
      </c>
      <c r="F692" s="5">
        <v>0.158</v>
      </c>
      <c r="G692" s="5">
        <v>0.159</v>
      </c>
      <c r="H692" s="5">
        <v>0.17600000000000002</v>
      </c>
      <c r="I692" s="5">
        <v>0.22500000000000001</v>
      </c>
      <c r="J692" s="5">
        <v>0.22</v>
      </c>
      <c r="K692" s="5">
        <v>0.21</v>
      </c>
      <c r="L692" s="5">
        <v>0.20800000000000002</v>
      </c>
      <c r="M692" s="5">
        <v>0.20399999999999999</v>
      </c>
      <c r="N692" s="5">
        <v>0.158</v>
      </c>
    </row>
    <row r="693" spans="1:14" x14ac:dyDescent="0.25">
      <c r="A693">
        <v>2014</v>
      </c>
      <c r="B693">
        <v>230</v>
      </c>
      <c r="C693" t="s">
        <v>108</v>
      </c>
      <c r="D693" t="s">
        <v>32</v>
      </c>
      <c r="E693" s="5">
        <v>0.24299999999999999</v>
      </c>
      <c r="F693" s="5">
        <v>0.19600000000000001</v>
      </c>
      <c r="G693" s="5">
        <v>0.20800000000000002</v>
      </c>
      <c r="H693" s="5">
        <v>0.19500000000000001</v>
      </c>
      <c r="I693" s="5">
        <v>0.19600000000000001</v>
      </c>
      <c r="J693" s="5">
        <v>0.188</v>
      </c>
      <c r="K693" s="5">
        <v>0.159</v>
      </c>
      <c r="L693" s="5">
        <v>0.151</v>
      </c>
      <c r="M693" s="5">
        <v>0.19800000000000001</v>
      </c>
      <c r="N693" s="5">
        <v>0.13600000000000001</v>
      </c>
    </row>
    <row r="694" spans="1:14" x14ac:dyDescent="0.25">
      <c r="A694">
        <v>2014</v>
      </c>
      <c r="B694">
        <v>230</v>
      </c>
      <c r="C694" t="s">
        <v>108</v>
      </c>
      <c r="D694" t="s">
        <v>33</v>
      </c>
      <c r="E694" s="5">
        <v>0.17399999999999999</v>
      </c>
      <c r="F694" s="5">
        <v>0.17100000000000001</v>
      </c>
      <c r="G694" s="5">
        <v>0.18</v>
      </c>
      <c r="H694" s="5">
        <v>0.17899999999999999</v>
      </c>
      <c r="I694" s="5">
        <v>0.19800000000000001</v>
      </c>
      <c r="J694" s="5">
        <v>0.23199999999999998</v>
      </c>
      <c r="K694" s="5">
        <v>0.23600000000000002</v>
      </c>
      <c r="L694" s="5">
        <v>0.20300000000000001</v>
      </c>
      <c r="M694" s="5">
        <v>0.19600000000000001</v>
      </c>
      <c r="N694" s="5">
        <v>0.158</v>
      </c>
    </row>
    <row r="695" spans="1:14" x14ac:dyDescent="0.25">
      <c r="A695">
        <v>2014</v>
      </c>
      <c r="B695">
        <v>230</v>
      </c>
      <c r="C695" t="s">
        <v>108</v>
      </c>
      <c r="D695" t="s">
        <v>34</v>
      </c>
      <c r="E695" s="5">
        <v>0.2</v>
      </c>
      <c r="F695" s="5">
        <v>0.17899999999999999</v>
      </c>
      <c r="G695" s="5">
        <v>0.249</v>
      </c>
      <c r="H695" s="5">
        <v>0.27600000000000002</v>
      </c>
      <c r="I695" s="5">
        <v>0.21299999999999999</v>
      </c>
      <c r="J695" s="5">
        <v>0.21299999999999999</v>
      </c>
      <c r="K695" s="5">
        <v>0.20100000000000001</v>
      </c>
      <c r="L695" s="5">
        <v>0.192</v>
      </c>
      <c r="M695" s="5">
        <v>0.14699999999999999</v>
      </c>
      <c r="N695" s="5">
        <v>9.4E-2</v>
      </c>
    </row>
    <row r="696" spans="1:14" x14ac:dyDescent="0.25">
      <c r="A696">
        <v>2014</v>
      </c>
      <c r="B696">
        <v>230</v>
      </c>
      <c r="C696" t="s">
        <v>108</v>
      </c>
      <c r="D696" t="s">
        <v>70</v>
      </c>
      <c r="E696" s="5">
        <v>0.17800000000000002</v>
      </c>
      <c r="F696" s="5">
        <v>0.17300000000000001</v>
      </c>
      <c r="G696" s="5">
        <v>0.217</v>
      </c>
      <c r="H696" s="5">
        <v>0.22899999999999998</v>
      </c>
      <c r="I696" s="5">
        <v>0.221</v>
      </c>
      <c r="J696" s="5">
        <v>0.21</v>
      </c>
      <c r="K696" s="5">
        <v>0.24</v>
      </c>
      <c r="L696" s="5">
        <v>0.22</v>
      </c>
      <c r="M696" s="5">
        <v>0.20100000000000001</v>
      </c>
      <c r="N696" s="5">
        <v>0.14699999999999999</v>
      </c>
    </row>
    <row r="697" spans="1:14" x14ac:dyDescent="0.25">
      <c r="A697">
        <v>2014</v>
      </c>
      <c r="B697">
        <v>230</v>
      </c>
      <c r="C697" t="s">
        <v>108</v>
      </c>
      <c r="D697" t="s">
        <v>69</v>
      </c>
      <c r="E697" s="5">
        <v>0.17499999999999999</v>
      </c>
      <c r="F697" s="5">
        <v>0.20100000000000001</v>
      </c>
      <c r="G697" s="5">
        <v>0.22600000000000001</v>
      </c>
      <c r="H697" s="5">
        <v>0.23399999999999999</v>
      </c>
      <c r="I697" s="5">
        <v>0.22399999999999998</v>
      </c>
      <c r="J697" s="5">
        <v>0.20199999999999999</v>
      </c>
      <c r="K697" s="5">
        <v>0.21299999999999999</v>
      </c>
      <c r="L697" s="5">
        <v>0.20499999999999999</v>
      </c>
      <c r="M697" s="5">
        <v>0.18899999999999997</v>
      </c>
      <c r="N697" s="5">
        <v>0.14699999999999999</v>
      </c>
    </row>
    <row r="698" spans="1:14" x14ac:dyDescent="0.25">
      <c r="A698">
        <v>2014</v>
      </c>
      <c r="B698">
        <v>230</v>
      </c>
      <c r="C698" t="s">
        <v>108</v>
      </c>
      <c r="D698" t="s">
        <v>68</v>
      </c>
      <c r="E698" s="5">
        <v>0.19399999999999998</v>
      </c>
      <c r="F698" s="5">
        <v>0.183</v>
      </c>
      <c r="G698" s="5">
        <v>0.2</v>
      </c>
      <c r="H698" s="5">
        <v>0.19899999999999998</v>
      </c>
      <c r="I698" s="5">
        <v>0.22899999999999998</v>
      </c>
      <c r="J698" s="5">
        <v>0.24600000000000002</v>
      </c>
      <c r="K698" s="5">
        <v>0.22600000000000001</v>
      </c>
      <c r="L698" s="5">
        <v>0.21899999999999997</v>
      </c>
      <c r="M698" s="5">
        <v>0.18100000000000002</v>
      </c>
      <c r="N698" s="5">
        <v>0.13400000000000001</v>
      </c>
    </row>
    <row r="699" spans="1:14" x14ac:dyDescent="0.25">
      <c r="A699">
        <v>2014</v>
      </c>
      <c r="B699">
        <v>230</v>
      </c>
      <c r="C699" t="s">
        <v>108</v>
      </c>
      <c r="D699" t="s">
        <v>67</v>
      </c>
      <c r="E699" s="5">
        <v>0.218</v>
      </c>
      <c r="F699" s="5">
        <v>0.20800000000000002</v>
      </c>
      <c r="G699" s="5">
        <v>0.20499999999999999</v>
      </c>
      <c r="H699" s="5">
        <v>0.20699999999999999</v>
      </c>
      <c r="I699" s="5">
        <v>0.222</v>
      </c>
      <c r="J699" s="5">
        <v>0.193</v>
      </c>
      <c r="K699" s="5">
        <v>0.18899999999999997</v>
      </c>
      <c r="L699" s="5">
        <v>0.22</v>
      </c>
      <c r="M699" s="5">
        <v>0.19699999999999998</v>
      </c>
      <c r="N699" s="5">
        <v>0.14499999999999999</v>
      </c>
    </row>
    <row r="700" spans="1:14" x14ac:dyDescent="0.25">
      <c r="A700">
        <v>2014</v>
      </c>
      <c r="B700">
        <v>230</v>
      </c>
      <c r="C700" t="s">
        <v>108</v>
      </c>
      <c r="D700" t="s">
        <v>66</v>
      </c>
      <c r="E700" s="5">
        <v>0.16399999999999998</v>
      </c>
      <c r="F700" s="5">
        <v>0.161</v>
      </c>
      <c r="G700" s="5">
        <v>0.254</v>
      </c>
      <c r="H700" s="5">
        <v>0.21100000000000002</v>
      </c>
      <c r="I700" s="5">
        <v>0.22600000000000001</v>
      </c>
      <c r="J700" s="5">
        <v>0.221</v>
      </c>
      <c r="K700" s="5">
        <v>0.217</v>
      </c>
      <c r="L700" s="5">
        <v>0.16699999999999998</v>
      </c>
      <c r="M700" s="5">
        <v>0.157</v>
      </c>
      <c r="N700" s="5">
        <v>0.14099999999999999</v>
      </c>
    </row>
    <row r="701" spans="1:14" x14ac:dyDescent="0.25">
      <c r="A701">
        <v>2014</v>
      </c>
      <c r="B701">
        <v>230</v>
      </c>
      <c r="C701" t="s">
        <v>108</v>
      </c>
      <c r="D701" t="s">
        <v>65</v>
      </c>
      <c r="E701" s="5">
        <v>0.23699999999999999</v>
      </c>
      <c r="F701" s="5">
        <v>0.20399999999999999</v>
      </c>
      <c r="G701" s="5">
        <v>0.31</v>
      </c>
      <c r="H701" s="5">
        <v>0.19699999999999998</v>
      </c>
      <c r="I701" s="5">
        <v>0.19500000000000001</v>
      </c>
      <c r="J701" s="5">
        <v>0.19800000000000001</v>
      </c>
      <c r="K701" s="5">
        <v>0.192</v>
      </c>
      <c r="L701" s="5">
        <v>0.17800000000000002</v>
      </c>
      <c r="M701" s="5">
        <v>0.158</v>
      </c>
      <c r="N701" s="5">
        <v>0.11599999999999999</v>
      </c>
    </row>
    <row r="702" spans="1:14" x14ac:dyDescent="0.25">
      <c r="A702">
        <v>2014</v>
      </c>
      <c r="B702">
        <v>230</v>
      </c>
      <c r="C702" t="s">
        <v>108</v>
      </c>
      <c r="D702" t="s">
        <v>71</v>
      </c>
      <c r="E702" s="5" t="s">
        <v>109</v>
      </c>
      <c r="F702" s="5">
        <v>0.20899999999999999</v>
      </c>
      <c r="G702" s="5">
        <v>0.24399999999999999</v>
      </c>
      <c r="H702" s="5">
        <v>0.24299999999999999</v>
      </c>
      <c r="I702" s="5">
        <v>0.22699999999999998</v>
      </c>
      <c r="J702" s="5">
        <v>0.20300000000000001</v>
      </c>
      <c r="K702" s="5">
        <v>0.17899999999999999</v>
      </c>
      <c r="L702" s="5">
        <v>0.161</v>
      </c>
      <c r="M702" s="5">
        <v>0.16899999999999998</v>
      </c>
      <c r="N702" s="5">
        <v>0.109</v>
      </c>
    </row>
    <row r="703" spans="1:14" x14ac:dyDescent="0.25">
      <c r="A703">
        <v>2014</v>
      </c>
      <c r="B703">
        <v>230</v>
      </c>
      <c r="C703" t="s">
        <v>108</v>
      </c>
      <c r="D703" t="s">
        <v>74</v>
      </c>
      <c r="E703" s="5" t="s">
        <v>109</v>
      </c>
      <c r="F703" s="5">
        <v>0.17899999999999999</v>
      </c>
      <c r="G703" s="5">
        <v>0.19500000000000001</v>
      </c>
      <c r="H703" s="5">
        <v>0.20800000000000002</v>
      </c>
      <c r="I703" s="5">
        <v>0.21</v>
      </c>
      <c r="J703" s="5">
        <v>0.17899999999999999</v>
      </c>
      <c r="K703" s="5">
        <v>0.192</v>
      </c>
      <c r="L703" s="5">
        <v>0.23</v>
      </c>
      <c r="M703" s="5">
        <v>0.21199999999999999</v>
      </c>
      <c r="N703" s="5">
        <v>0.153</v>
      </c>
    </row>
    <row r="704" spans="1:14" x14ac:dyDescent="0.25">
      <c r="A704">
        <v>2014</v>
      </c>
      <c r="B704">
        <v>230</v>
      </c>
      <c r="C704" t="s">
        <v>108</v>
      </c>
      <c r="D704" t="s">
        <v>75</v>
      </c>
      <c r="E704" s="5" t="s">
        <v>109</v>
      </c>
      <c r="F704" s="5">
        <v>0.192</v>
      </c>
      <c r="G704" s="5">
        <v>0.161</v>
      </c>
      <c r="H704" s="5">
        <v>0.24100000000000002</v>
      </c>
      <c r="I704" s="5">
        <v>0.20600000000000002</v>
      </c>
      <c r="J704" s="5">
        <v>0.16600000000000001</v>
      </c>
      <c r="K704" s="5">
        <v>0.192</v>
      </c>
      <c r="L704" s="5">
        <v>0.20300000000000001</v>
      </c>
      <c r="M704" s="5">
        <v>0.19</v>
      </c>
      <c r="N704" s="5">
        <v>0.13</v>
      </c>
    </row>
    <row r="705" spans="1:14" x14ac:dyDescent="0.25">
      <c r="A705">
        <v>2014</v>
      </c>
      <c r="B705">
        <v>230</v>
      </c>
      <c r="C705" t="s">
        <v>108</v>
      </c>
      <c r="D705" t="s">
        <v>76</v>
      </c>
      <c r="E705" s="5">
        <v>0.191</v>
      </c>
      <c r="F705" s="5">
        <v>0.16899999999999998</v>
      </c>
      <c r="G705" s="5">
        <v>0.17</v>
      </c>
      <c r="H705" s="5">
        <v>0.19699999999999998</v>
      </c>
      <c r="I705" s="5">
        <v>0.22600000000000001</v>
      </c>
      <c r="J705" s="5">
        <v>0.217</v>
      </c>
      <c r="K705" s="5">
        <v>0.20399999999999999</v>
      </c>
      <c r="L705" s="5">
        <v>0.22800000000000001</v>
      </c>
      <c r="M705" s="5">
        <v>0.19800000000000001</v>
      </c>
      <c r="N705" s="5">
        <v>0.16300000000000001</v>
      </c>
    </row>
    <row r="706" spans="1:14" x14ac:dyDescent="0.25">
      <c r="A706">
        <v>2014</v>
      </c>
      <c r="B706">
        <v>230</v>
      </c>
      <c r="C706" t="s">
        <v>108</v>
      </c>
      <c r="D706" t="s">
        <v>53</v>
      </c>
      <c r="E706" s="5">
        <v>0.22600000000000001</v>
      </c>
      <c r="F706" s="5">
        <v>0.32100000000000001</v>
      </c>
      <c r="G706" s="5">
        <v>0.222</v>
      </c>
      <c r="H706" s="5">
        <v>0.22600000000000001</v>
      </c>
      <c r="I706" s="5">
        <v>0.25900000000000001</v>
      </c>
      <c r="J706" s="5">
        <v>0.26</v>
      </c>
      <c r="K706" s="5">
        <v>0.25700000000000001</v>
      </c>
      <c r="L706" s="5">
        <v>0.21199999999999999</v>
      </c>
      <c r="M706" s="5">
        <v>0.223</v>
      </c>
      <c r="N706" s="5">
        <v>0.13600000000000001</v>
      </c>
    </row>
    <row r="707" spans="1:14" x14ac:dyDescent="0.25">
      <c r="A707">
        <v>2014</v>
      </c>
      <c r="B707">
        <v>230</v>
      </c>
      <c r="C707" t="s">
        <v>108</v>
      </c>
      <c r="D707" t="s">
        <v>77</v>
      </c>
      <c r="E707" s="5">
        <v>0.252</v>
      </c>
      <c r="F707" s="5">
        <v>0.24399999999999999</v>
      </c>
      <c r="G707" s="5">
        <v>0.26300000000000001</v>
      </c>
      <c r="H707" s="5">
        <v>0.23</v>
      </c>
      <c r="I707" s="5">
        <v>0.22399999999999998</v>
      </c>
      <c r="J707" s="5">
        <v>0.22800000000000001</v>
      </c>
      <c r="K707" s="5">
        <v>0.18100000000000002</v>
      </c>
      <c r="L707" s="5">
        <v>0.2</v>
      </c>
      <c r="M707" s="5">
        <v>0.14800000000000002</v>
      </c>
      <c r="N707" s="5">
        <v>0.11699999999999999</v>
      </c>
    </row>
    <row r="708" spans="1:14" x14ac:dyDescent="0.25">
      <c r="A708">
        <v>2014</v>
      </c>
      <c r="B708">
        <v>230</v>
      </c>
      <c r="C708" t="s">
        <v>108</v>
      </c>
      <c r="D708" t="s">
        <v>73</v>
      </c>
      <c r="E708" s="5" t="s">
        <v>109</v>
      </c>
      <c r="F708" s="5">
        <v>0.184</v>
      </c>
      <c r="G708" s="5">
        <v>0.245</v>
      </c>
      <c r="H708" s="5">
        <v>0.25900000000000001</v>
      </c>
      <c r="I708" s="5">
        <v>0.20800000000000002</v>
      </c>
      <c r="J708" s="5">
        <v>0.221</v>
      </c>
      <c r="K708" s="5">
        <v>0.193</v>
      </c>
      <c r="L708" s="5">
        <v>0.16300000000000001</v>
      </c>
      <c r="M708" s="5">
        <v>0.153</v>
      </c>
      <c r="N708" s="5">
        <v>0.08</v>
      </c>
    </row>
    <row r="709" spans="1:14" x14ac:dyDescent="0.25">
      <c r="A709">
        <v>2014</v>
      </c>
      <c r="B709">
        <v>230</v>
      </c>
      <c r="C709" t="s">
        <v>108</v>
      </c>
      <c r="D709" t="s">
        <v>81</v>
      </c>
      <c r="E709" s="5" t="s">
        <v>109</v>
      </c>
      <c r="F709" s="5">
        <v>0.249</v>
      </c>
      <c r="G709" s="5">
        <v>0.251</v>
      </c>
      <c r="H709" s="5">
        <v>0.251</v>
      </c>
      <c r="I709" s="5">
        <v>0.23899999999999999</v>
      </c>
      <c r="J709" s="5">
        <v>0.2</v>
      </c>
      <c r="K709" s="5">
        <v>0.17800000000000002</v>
      </c>
      <c r="L709" s="5">
        <v>0.14000000000000001</v>
      </c>
      <c r="M709" s="5">
        <v>0.152</v>
      </c>
      <c r="N709" s="5">
        <v>9.4E-2</v>
      </c>
    </row>
    <row r="710" spans="1:14" x14ac:dyDescent="0.25">
      <c r="A710">
        <v>2014</v>
      </c>
      <c r="B710">
        <v>230</v>
      </c>
      <c r="C710" t="s">
        <v>108</v>
      </c>
      <c r="D710" t="s">
        <v>80</v>
      </c>
      <c r="E710" s="5" t="s">
        <v>109</v>
      </c>
      <c r="F710" s="5" t="s">
        <v>109</v>
      </c>
      <c r="G710" s="5">
        <v>0.21199999999999999</v>
      </c>
      <c r="H710" s="5">
        <v>0.23800000000000002</v>
      </c>
      <c r="I710" s="5">
        <v>0.22500000000000001</v>
      </c>
      <c r="J710" s="5">
        <v>0.21199999999999999</v>
      </c>
      <c r="K710" s="5">
        <v>0.21199999999999999</v>
      </c>
      <c r="L710" s="5">
        <v>0.17699999999999999</v>
      </c>
      <c r="M710" s="5">
        <v>0.153</v>
      </c>
      <c r="N710" s="5">
        <v>0.11</v>
      </c>
    </row>
    <row r="711" spans="1:14" x14ac:dyDescent="0.25">
      <c r="A711">
        <v>2014</v>
      </c>
      <c r="B711">
        <v>230</v>
      </c>
      <c r="C711" t="s">
        <v>108</v>
      </c>
      <c r="D711" t="s">
        <v>79</v>
      </c>
      <c r="E711" s="5" t="s">
        <v>109</v>
      </c>
      <c r="F711" s="5" t="s">
        <v>109</v>
      </c>
      <c r="G711" s="5">
        <v>0.20100000000000001</v>
      </c>
      <c r="H711" s="5">
        <v>0.23499999999999999</v>
      </c>
      <c r="I711" s="5">
        <v>0.23699999999999999</v>
      </c>
      <c r="J711" s="5">
        <v>0.22899999999999998</v>
      </c>
      <c r="K711" s="5">
        <v>0.20399999999999999</v>
      </c>
      <c r="L711" s="5">
        <v>0.19399999999999998</v>
      </c>
      <c r="M711" s="5">
        <v>0.14800000000000002</v>
      </c>
      <c r="N711" s="5">
        <v>9.8000000000000004E-2</v>
      </c>
    </row>
    <row r="712" spans="1:14" x14ac:dyDescent="0.25">
      <c r="A712">
        <v>2014</v>
      </c>
      <c r="B712">
        <v>230</v>
      </c>
      <c r="C712" t="s">
        <v>108</v>
      </c>
      <c r="D712" t="s">
        <v>78</v>
      </c>
      <c r="E712" s="5" t="s">
        <v>109</v>
      </c>
      <c r="F712" s="5" t="s">
        <v>109</v>
      </c>
      <c r="G712" s="5">
        <v>0.20899999999999999</v>
      </c>
      <c r="H712" s="5">
        <v>0.21</v>
      </c>
      <c r="I712" s="5">
        <v>0.21100000000000002</v>
      </c>
      <c r="J712" s="5">
        <v>0.191</v>
      </c>
      <c r="K712" s="5">
        <v>0.182</v>
      </c>
      <c r="L712" s="5">
        <v>0.16399999999999998</v>
      </c>
      <c r="M712" s="5">
        <v>0.151</v>
      </c>
      <c r="N712" s="5">
        <v>9.4E-2</v>
      </c>
    </row>
    <row r="713" spans="1:14" x14ac:dyDescent="0.25">
      <c r="A713">
        <v>2014</v>
      </c>
      <c r="B713">
        <v>230</v>
      </c>
      <c r="C713" t="s">
        <v>108</v>
      </c>
      <c r="D713" t="s">
        <v>54</v>
      </c>
      <c r="E713" s="5" t="s">
        <v>109</v>
      </c>
      <c r="F713" s="5" t="s">
        <v>109</v>
      </c>
      <c r="G713" s="5">
        <v>0.222</v>
      </c>
      <c r="H713" s="5">
        <v>0.21299999999999999</v>
      </c>
      <c r="I713" s="5">
        <v>0.22600000000000001</v>
      </c>
      <c r="J713" s="5">
        <v>0.20600000000000002</v>
      </c>
      <c r="K713" s="5">
        <v>0.182</v>
      </c>
      <c r="L713" s="5">
        <v>0.187</v>
      </c>
      <c r="M713" s="5">
        <v>0.156</v>
      </c>
      <c r="N713" s="5">
        <v>8.4000000000000005E-2</v>
      </c>
    </row>
    <row r="714" spans="1:14" x14ac:dyDescent="0.25">
      <c r="A714">
        <v>2014</v>
      </c>
      <c r="B714">
        <v>230</v>
      </c>
      <c r="C714" t="s">
        <v>108</v>
      </c>
      <c r="D714" t="s">
        <v>35</v>
      </c>
      <c r="E714" s="5" t="s">
        <v>109</v>
      </c>
      <c r="F714" s="5">
        <v>0.23399999999999999</v>
      </c>
      <c r="G714" s="5">
        <v>0.20800000000000002</v>
      </c>
      <c r="H714" s="5">
        <v>0.17199999999999999</v>
      </c>
      <c r="I714" s="5">
        <v>0.153</v>
      </c>
      <c r="J714" s="5">
        <v>0.16</v>
      </c>
      <c r="K714" s="5">
        <v>0.154</v>
      </c>
      <c r="L714" s="5">
        <v>0.17</v>
      </c>
      <c r="M714" s="5">
        <v>0.16500000000000001</v>
      </c>
      <c r="N714" s="5">
        <v>0.11800000000000001</v>
      </c>
    </row>
    <row r="715" spans="1:14" x14ac:dyDescent="0.25">
      <c r="A715">
        <v>2014</v>
      </c>
      <c r="B715">
        <v>230</v>
      </c>
      <c r="C715" t="s">
        <v>108</v>
      </c>
      <c r="D715" t="s">
        <v>37</v>
      </c>
      <c r="E715" s="5" t="s">
        <v>109</v>
      </c>
      <c r="F715" s="5">
        <v>0.23899999999999999</v>
      </c>
      <c r="G715" s="5">
        <v>0.23800000000000002</v>
      </c>
      <c r="H715" s="5">
        <v>0.23600000000000002</v>
      </c>
      <c r="I715" s="5">
        <v>0.19899999999999998</v>
      </c>
      <c r="J715" s="5">
        <v>0.193</v>
      </c>
      <c r="K715" s="5">
        <v>0.17300000000000001</v>
      </c>
      <c r="L715" s="5">
        <v>0.16</v>
      </c>
      <c r="M715" s="5">
        <v>0.183</v>
      </c>
      <c r="N715" s="5">
        <v>0.16399999999999998</v>
      </c>
    </row>
    <row r="716" spans="1:14" x14ac:dyDescent="0.25">
      <c r="A716">
        <v>2014</v>
      </c>
      <c r="B716">
        <v>230</v>
      </c>
      <c r="C716" t="s">
        <v>108</v>
      </c>
      <c r="D716" t="s">
        <v>40</v>
      </c>
      <c r="E716" s="5" t="s">
        <v>109</v>
      </c>
      <c r="F716" s="5">
        <v>0.19699999999999998</v>
      </c>
      <c r="G716" s="5">
        <v>0.214</v>
      </c>
      <c r="H716" s="5">
        <v>0.20699999999999999</v>
      </c>
      <c r="I716" s="5">
        <v>0.19699999999999998</v>
      </c>
      <c r="J716" s="5">
        <v>0.188</v>
      </c>
      <c r="K716" s="5">
        <v>0.17300000000000001</v>
      </c>
      <c r="L716" s="5">
        <v>0.14800000000000002</v>
      </c>
      <c r="M716" s="5">
        <v>0.17499999999999999</v>
      </c>
      <c r="N716" s="5">
        <v>0.13699999999999998</v>
      </c>
    </row>
    <row r="717" spans="1:14" x14ac:dyDescent="0.25">
      <c r="A717">
        <v>2014</v>
      </c>
      <c r="B717">
        <v>230</v>
      </c>
      <c r="C717" t="s">
        <v>108</v>
      </c>
      <c r="D717" t="s">
        <v>41</v>
      </c>
      <c r="E717" s="5" t="s">
        <v>109</v>
      </c>
      <c r="F717" s="5">
        <v>0.22899999999999998</v>
      </c>
      <c r="G717" s="5">
        <v>0.24199999999999999</v>
      </c>
      <c r="H717" s="5">
        <v>0.19600000000000001</v>
      </c>
      <c r="I717" s="5">
        <v>0.17899999999999999</v>
      </c>
      <c r="J717" s="5">
        <v>0.184</v>
      </c>
      <c r="K717" s="5">
        <v>0.20399999999999999</v>
      </c>
      <c r="L717" s="5">
        <v>0.18100000000000002</v>
      </c>
      <c r="M717" s="5">
        <v>0.16399999999999998</v>
      </c>
      <c r="N717" s="5">
        <v>0.14099999999999999</v>
      </c>
    </row>
    <row r="718" spans="1:14" x14ac:dyDescent="0.25">
      <c r="A718">
        <v>2014</v>
      </c>
      <c r="B718">
        <v>230</v>
      </c>
      <c r="C718" t="s">
        <v>108</v>
      </c>
      <c r="D718" t="s">
        <v>43</v>
      </c>
      <c r="E718" s="5" t="s">
        <v>109</v>
      </c>
      <c r="F718" s="5">
        <v>0.22399999999999998</v>
      </c>
      <c r="G718" s="5">
        <v>0.17499999999999999</v>
      </c>
      <c r="H718" s="5">
        <v>0.16500000000000001</v>
      </c>
      <c r="I718" s="5">
        <v>0.155</v>
      </c>
      <c r="J718" s="5">
        <v>0.14000000000000001</v>
      </c>
      <c r="K718" s="5">
        <v>0.12</v>
      </c>
      <c r="L718" s="5">
        <v>0.115</v>
      </c>
      <c r="M718" s="5">
        <v>0.13</v>
      </c>
      <c r="N718" s="5">
        <v>0.11</v>
      </c>
    </row>
    <row r="719" spans="1:14" x14ac:dyDescent="0.25">
      <c r="A719">
        <v>2014</v>
      </c>
      <c r="B719">
        <v>230</v>
      </c>
      <c r="C719" t="s">
        <v>108</v>
      </c>
      <c r="D719" t="s">
        <v>44</v>
      </c>
      <c r="E719" s="5">
        <v>0.22699999999999998</v>
      </c>
      <c r="F719" s="5">
        <v>0.222</v>
      </c>
      <c r="G719" s="5">
        <v>0.16200000000000001</v>
      </c>
      <c r="H719" s="5">
        <v>0.14300000000000002</v>
      </c>
      <c r="I719" s="5">
        <v>0.106</v>
      </c>
      <c r="J719" s="5">
        <v>0.10199999999999999</v>
      </c>
      <c r="K719" s="5">
        <v>9.6000000000000002E-2</v>
      </c>
      <c r="L719" s="5">
        <v>0.10199999999999999</v>
      </c>
      <c r="M719" s="5">
        <v>0.13100000000000001</v>
      </c>
      <c r="N719" s="5">
        <v>0.115</v>
      </c>
    </row>
    <row r="720" spans="1:14" x14ac:dyDescent="0.25">
      <c r="A720">
        <v>2014</v>
      </c>
      <c r="B720">
        <v>230</v>
      </c>
      <c r="C720" t="s">
        <v>108</v>
      </c>
      <c r="D720" t="s">
        <v>38</v>
      </c>
      <c r="E720" s="5" t="s">
        <v>109</v>
      </c>
      <c r="F720" s="5">
        <v>0.22399999999999998</v>
      </c>
      <c r="G720" s="5">
        <v>0.245</v>
      </c>
      <c r="H720" s="5">
        <v>0.23699999999999999</v>
      </c>
      <c r="I720" s="5">
        <v>0.19600000000000001</v>
      </c>
      <c r="J720" s="5">
        <v>0.17100000000000001</v>
      </c>
      <c r="K720" s="5">
        <v>0.14000000000000001</v>
      </c>
      <c r="L720" s="5">
        <v>0.17199999999999999</v>
      </c>
      <c r="M720" s="5">
        <v>0.161</v>
      </c>
      <c r="N720" s="5">
        <v>0.121</v>
      </c>
    </row>
    <row r="721" spans="1:14" x14ac:dyDescent="0.25">
      <c r="A721">
        <v>2014</v>
      </c>
      <c r="B721">
        <v>230</v>
      </c>
      <c r="C721" t="s">
        <v>108</v>
      </c>
      <c r="D721" t="s">
        <v>85</v>
      </c>
      <c r="E721" s="5">
        <v>0.20399999999999999</v>
      </c>
      <c r="F721" s="5">
        <v>0.19600000000000001</v>
      </c>
      <c r="G721" s="5">
        <v>0.22899999999999998</v>
      </c>
      <c r="H721" s="5">
        <v>0.24399999999999999</v>
      </c>
      <c r="I721" s="5">
        <v>0.23</v>
      </c>
      <c r="J721" s="5">
        <v>0.20399999999999999</v>
      </c>
      <c r="K721" s="5">
        <v>0.17899999999999999</v>
      </c>
      <c r="L721" s="5">
        <v>0.16399999999999998</v>
      </c>
      <c r="M721" s="5">
        <v>0.17300000000000001</v>
      </c>
      <c r="N721" s="5">
        <v>0.13600000000000001</v>
      </c>
    </row>
    <row r="722" spans="1:14" x14ac:dyDescent="0.25">
      <c r="A722">
        <v>2014</v>
      </c>
      <c r="B722">
        <v>230</v>
      </c>
      <c r="C722" t="s">
        <v>108</v>
      </c>
      <c r="D722" t="s">
        <v>84</v>
      </c>
      <c r="E722" s="5" t="s">
        <v>109</v>
      </c>
      <c r="F722" s="5">
        <v>0.22899999999999998</v>
      </c>
      <c r="G722" s="5">
        <v>0.252</v>
      </c>
      <c r="H722" s="5">
        <v>0.245</v>
      </c>
      <c r="I722" s="5">
        <v>0.23300000000000001</v>
      </c>
      <c r="J722" s="5">
        <v>0.215</v>
      </c>
      <c r="K722" s="5">
        <v>0.218</v>
      </c>
      <c r="L722" s="5">
        <v>0.159</v>
      </c>
      <c r="M722" s="5">
        <v>0.154</v>
      </c>
      <c r="N722" s="5">
        <v>0.12</v>
      </c>
    </row>
    <row r="723" spans="1:14" x14ac:dyDescent="0.25">
      <c r="A723">
        <v>2014</v>
      </c>
      <c r="B723">
        <v>230</v>
      </c>
      <c r="C723" t="s">
        <v>108</v>
      </c>
      <c r="D723" t="s">
        <v>42</v>
      </c>
      <c r="E723" s="5" t="s">
        <v>109</v>
      </c>
      <c r="F723" s="5">
        <v>0.23699999999999999</v>
      </c>
      <c r="G723" s="5">
        <v>0.23100000000000001</v>
      </c>
      <c r="H723" s="5">
        <v>0.245</v>
      </c>
      <c r="I723" s="5">
        <v>0.23199999999999998</v>
      </c>
      <c r="J723" s="5">
        <v>0.217</v>
      </c>
      <c r="K723" s="5">
        <v>0.21100000000000002</v>
      </c>
      <c r="L723" s="5">
        <v>0.17699999999999999</v>
      </c>
      <c r="M723" s="5">
        <v>0.18600000000000003</v>
      </c>
      <c r="N723" s="5">
        <v>0.14000000000000001</v>
      </c>
    </row>
    <row r="724" spans="1:14" x14ac:dyDescent="0.25">
      <c r="A724">
        <v>2014</v>
      </c>
      <c r="B724">
        <v>230</v>
      </c>
      <c r="C724" t="s">
        <v>108</v>
      </c>
      <c r="D724" t="s">
        <v>83</v>
      </c>
      <c r="E724" s="5">
        <v>0.17699999999999999</v>
      </c>
      <c r="F724" s="5">
        <v>0.16699999999999998</v>
      </c>
      <c r="G724" s="5">
        <v>0.218</v>
      </c>
      <c r="H724" s="5">
        <v>0.24</v>
      </c>
      <c r="I724" s="5">
        <v>0.20899999999999999</v>
      </c>
      <c r="J724" s="5">
        <v>0.16500000000000001</v>
      </c>
      <c r="K724" s="5">
        <v>0.124</v>
      </c>
      <c r="L724" s="5">
        <v>0.127</v>
      </c>
      <c r="M724" s="5">
        <v>0.129</v>
      </c>
      <c r="N724" s="5">
        <v>9.6999999999999989E-2</v>
      </c>
    </row>
    <row r="725" spans="1:14" x14ac:dyDescent="0.25">
      <c r="A725">
        <v>2014</v>
      </c>
      <c r="B725">
        <v>230</v>
      </c>
      <c r="C725" t="s">
        <v>108</v>
      </c>
      <c r="D725" t="s">
        <v>82</v>
      </c>
      <c r="E725" s="5" t="s">
        <v>109</v>
      </c>
      <c r="F725" s="5">
        <v>0.16699999999999998</v>
      </c>
      <c r="G725" s="5">
        <v>0.16600000000000001</v>
      </c>
      <c r="H725" s="5">
        <v>0.20300000000000001</v>
      </c>
      <c r="I725" s="5">
        <v>0.223</v>
      </c>
      <c r="J725" s="5">
        <v>0.19600000000000001</v>
      </c>
      <c r="K725" s="5">
        <v>0.17100000000000001</v>
      </c>
      <c r="L725" s="5">
        <v>0.14699999999999999</v>
      </c>
      <c r="M725" s="5">
        <v>0.14800000000000002</v>
      </c>
      <c r="N725" s="5">
        <v>0.125</v>
      </c>
    </row>
    <row r="726" spans="1:14" x14ac:dyDescent="0.25">
      <c r="A726">
        <v>2014</v>
      </c>
      <c r="B726">
        <v>230</v>
      </c>
      <c r="C726" t="s">
        <v>108</v>
      </c>
      <c r="D726" t="s">
        <v>72</v>
      </c>
      <c r="E726" s="5" t="s">
        <v>109</v>
      </c>
      <c r="F726" s="5">
        <v>0.23199999999999998</v>
      </c>
      <c r="G726" s="5">
        <v>0.23100000000000001</v>
      </c>
      <c r="H726" s="5">
        <v>0.23699999999999999</v>
      </c>
      <c r="I726" s="5">
        <v>0.20300000000000001</v>
      </c>
      <c r="J726" s="5">
        <v>0.14899999999999999</v>
      </c>
      <c r="K726" s="5">
        <v>0.13900000000000001</v>
      </c>
      <c r="L726" s="5">
        <v>0.16899999999999998</v>
      </c>
      <c r="M726" s="5">
        <v>0.17</v>
      </c>
      <c r="N726" s="5">
        <v>0.124</v>
      </c>
    </row>
    <row r="727" spans="1:14" x14ac:dyDescent="0.25">
      <c r="A727">
        <v>2014</v>
      </c>
      <c r="B727">
        <v>230</v>
      </c>
      <c r="C727" t="s">
        <v>108</v>
      </c>
      <c r="D727" t="s">
        <v>39</v>
      </c>
      <c r="E727" s="5">
        <v>0.2</v>
      </c>
      <c r="F727" s="5">
        <v>0.19800000000000001</v>
      </c>
      <c r="G727" s="5">
        <v>0.2</v>
      </c>
      <c r="H727" s="5">
        <v>0.24199999999999999</v>
      </c>
      <c r="I727" s="5">
        <v>0.23399999999999999</v>
      </c>
      <c r="J727" s="5">
        <v>0.20699999999999999</v>
      </c>
      <c r="K727" s="5">
        <v>0.21299999999999999</v>
      </c>
      <c r="L727" s="5">
        <v>0.192</v>
      </c>
      <c r="M727" s="5">
        <v>0.193</v>
      </c>
      <c r="N727" s="5">
        <v>0.156</v>
      </c>
    </row>
    <row r="728" spans="1:14" x14ac:dyDescent="0.25">
      <c r="A728">
        <v>2014</v>
      </c>
      <c r="B728">
        <v>230</v>
      </c>
      <c r="C728" t="s">
        <v>108</v>
      </c>
      <c r="D728" t="s">
        <v>86</v>
      </c>
      <c r="E728" s="5">
        <v>0.16500000000000001</v>
      </c>
      <c r="F728" s="5">
        <v>0.17300000000000001</v>
      </c>
      <c r="G728" s="5">
        <v>0.22800000000000001</v>
      </c>
      <c r="H728" s="5">
        <v>0.22600000000000001</v>
      </c>
      <c r="I728" s="5">
        <v>0.20699999999999999</v>
      </c>
      <c r="J728" s="5">
        <v>0.182</v>
      </c>
      <c r="K728" s="5">
        <v>0.17199999999999999</v>
      </c>
      <c r="L728" s="5">
        <v>0.17699999999999999</v>
      </c>
      <c r="M728" s="5">
        <v>0.187</v>
      </c>
      <c r="N728" s="5">
        <v>0.14800000000000002</v>
      </c>
    </row>
    <row r="729" spans="1:14" x14ac:dyDescent="0.25">
      <c r="A729">
        <v>2014</v>
      </c>
      <c r="B729">
        <v>230</v>
      </c>
      <c r="C729" t="s">
        <v>108</v>
      </c>
      <c r="D729" t="s">
        <v>87</v>
      </c>
      <c r="E729" s="5" t="s">
        <v>109</v>
      </c>
      <c r="F729" s="5">
        <v>0.183</v>
      </c>
      <c r="G729" s="5">
        <v>0.20600000000000002</v>
      </c>
      <c r="H729" s="5">
        <v>0.24600000000000002</v>
      </c>
      <c r="I729" s="5">
        <v>0.218</v>
      </c>
      <c r="J729" s="5">
        <v>0.19800000000000001</v>
      </c>
      <c r="K729" s="5">
        <v>0.187</v>
      </c>
      <c r="L729" s="5">
        <v>0.16699999999999998</v>
      </c>
      <c r="M729" s="5">
        <v>0.161</v>
      </c>
      <c r="N729" s="5">
        <v>0.14499999999999999</v>
      </c>
    </row>
    <row r="730" spans="1:14" x14ac:dyDescent="0.25">
      <c r="A730">
        <v>2014</v>
      </c>
      <c r="B730">
        <v>230</v>
      </c>
      <c r="C730" t="s">
        <v>108</v>
      </c>
      <c r="D730" t="s">
        <v>88</v>
      </c>
      <c r="E730" s="5">
        <v>0.215</v>
      </c>
      <c r="F730" s="5">
        <v>0.21</v>
      </c>
      <c r="G730" s="5">
        <v>0.21</v>
      </c>
      <c r="H730" s="5">
        <v>0.215</v>
      </c>
      <c r="I730" s="5">
        <v>0.19800000000000001</v>
      </c>
      <c r="J730" s="5">
        <v>0.17199999999999999</v>
      </c>
      <c r="K730" s="5">
        <v>0.161</v>
      </c>
      <c r="L730" s="5">
        <v>0.13500000000000001</v>
      </c>
      <c r="M730" s="5">
        <v>0.14499999999999999</v>
      </c>
      <c r="N730" s="5">
        <v>0.11199999999999999</v>
      </c>
    </row>
    <row r="731" spans="1:14" x14ac:dyDescent="0.25">
      <c r="A731">
        <v>2014</v>
      </c>
      <c r="B731">
        <v>230</v>
      </c>
      <c r="C731" t="s">
        <v>108</v>
      </c>
      <c r="D731" t="s">
        <v>36</v>
      </c>
      <c r="E731" s="5">
        <v>0.151</v>
      </c>
      <c r="F731" s="5">
        <v>0.155</v>
      </c>
      <c r="G731" s="5">
        <v>0.16699999999999998</v>
      </c>
      <c r="H731" s="5">
        <v>0.185</v>
      </c>
      <c r="I731" s="5">
        <v>0.183</v>
      </c>
      <c r="J731" s="5">
        <v>0.161</v>
      </c>
      <c r="K731" s="5">
        <v>0.14499999999999999</v>
      </c>
      <c r="L731" s="5">
        <v>0.14599999999999999</v>
      </c>
      <c r="M731" s="5">
        <v>0.14800000000000002</v>
      </c>
      <c r="N731" s="5">
        <v>0.109</v>
      </c>
    </row>
    <row r="732" spans="1:14" x14ac:dyDescent="0.25">
      <c r="A732">
        <v>2014</v>
      </c>
      <c r="B732">
        <v>230</v>
      </c>
      <c r="C732" t="s">
        <v>108</v>
      </c>
      <c r="D732" t="s">
        <v>94</v>
      </c>
      <c r="E732" s="5" t="s">
        <v>109</v>
      </c>
      <c r="F732" s="5">
        <v>0.19699999999999998</v>
      </c>
      <c r="G732" s="5">
        <v>0.19</v>
      </c>
      <c r="H732" s="5">
        <v>0.182</v>
      </c>
      <c r="I732" s="5">
        <v>0.16500000000000001</v>
      </c>
      <c r="J732" s="5">
        <v>0.124</v>
      </c>
      <c r="K732" s="5">
        <v>0.12</v>
      </c>
      <c r="L732" s="5">
        <v>0.14800000000000002</v>
      </c>
      <c r="M732" s="5">
        <v>0.14199999999999999</v>
      </c>
      <c r="N732" s="5">
        <v>0.10300000000000001</v>
      </c>
    </row>
    <row r="733" spans="1:14" x14ac:dyDescent="0.25">
      <c r="A733">
        <v>2014</v>
      </c>
      <c r="B733">
        <v>230</v>
      </c>
      <c r="C733" t="s">
        <v>108</v>
      </c>
      <c r="D733" t="s">
        <v>93</v>
      </c>
      <c r="E733" s="5">
        <v>0.20600000000000002</v>
      </c>
      <c r="F733" s="5">
        <v>0.20300000000000001</v>
      </c>
      <c r="G733" s="5">
        <v>0.187</v>
      </c>
      <c r="H733" s="5">
        <v>0.16699999999999998</v>
      </c>
      <c r="I733" s="5">
        <v>0.13800000000000001</v>
      </c>
      <c r="J733" s="5">
        <v>0.122</v>
      </c>
      <c r="K733" s="5">
        <v>0.114</v>
      </c>
      <c r="L733" s="5">
        <v>0.15</v>
      </c>
      <c r="M733" s="5">
        <v>0.17</v>
      </c>
      <c r="N733" s="5">
        <v>0.13900000000000001</v>
      </c>
    </row>
    <row r="734" spans="1:14" x14ac:dyDescent="0.25">
      <c r="A734">
        <v>2014</v>
      </c>
      <c r="B734">
        <v>230</v>
      </c>
      <c r="C734" t="s">
        <v>108</v>
      </c>
      <c r="D734" t="s">
        <v>92</v>
      </c>
      <c r="E734" s="5" t="s">
        <v>109</v>
      </c>
      <c r="F734" s="5">
        <v>0.187</v>
      </c>
      <c r="G734" s="5">
        <v>0.20100000000000001</v>
      </c>
      <c r="H734" s="5">
        <v>0.17399999999999999</v>
      </c>
      <c r="I734" s="5">
        <v>0.16200000000000001</v>
      </c>
      <c r="J734" s="5">
        <v>0.159</v>
      </c>
      <c r="K734" s="5">
        <v>0.13600000000000001</v>
      </c>
      <c r="L734" s="5">
        <v>0.16899999999999998</v>
      </c>
      <c r="M734" s="5">
        <v>0.17300000000000001</v>
      </c>
      <c r="N734" s="5">
        <v>0.13100000000000001</v>
      </c>
    </row>
    <row r="735" spans="1:14" x14ac:dyDescent="0.25">
      <c r="A735">
        <v>2014</v>
      </c>
      <c r="B735">
        <v>230</v>
      </c>
      <c r="C735" t="s">
        <v>108</v>
      </c>
      <c r="D735" t="s">
        <v>91</v>
      </c>
      <c r="E735" s="5">
        <v>0.157</v>
      </c>
      <c r="F735" s="5">
        <v>0.18600000000000003</v>
      </c>
      <c r="G735" s="5">
        <v>0.24199999999999999</v>
      </c>
      <c r="H735" s="5">
        <v>0.251</v>
      </c>
      <c r="I735" s="5">
        <v>0.23699999999999999</v>
      </c>
      <c r="J735" s="5">
        <v>0.23800000000000002</v>
      </c>
      <c r="K735" s="5">
        <v>0.193</v>
      </c>
      <c r="L735" s="5">
        <v>0.187</v>
      </c>
      <c r="M735" s="5">
        <v>0.18899999999999997</v>
      </c>
      <c r="N735" s="5">
        <v>0.14599999999999999</v>
      </c>
    </row>
    <row r="736" spans="1:14" x14ac:dyDescent="0.25">
      <c r="A736">
        <v>2014</v>
      </c>
      <c r="B736">
        <v>230</v>
      </c>
      <c r="C736" t="s">
        <v>108</v>
      </c>
      <c r="D736" t="s">
        <v>90</v>
      </c>
      <c r="E736" s="5">
        <v>0.19800000000000001</v>
      </c>
      <c r="F736" s="5">
        <v>0.19800000000000001</v>
      </c>
      <c r="G736" s="5">
        <v>0.185</v>
      </c>
      <c r="H736" s="5">
        <v>0.20899999999999999</v>
      </c>
      <c r="I736" s="5">
        <v>0.19</v>
      </c>
      <c r="J736" s="5">
        <v>0.18600000000000003</v>
      </c>
      <c r="K736" s="5">
        <v>0.192</v>
      </c>
      <c r="L736" s="5">
        <v>0.16</v>
      </c>
      <c r="M736" s="5">
        <v>0.14899999999999999</v>
      </c>
      <c r="N736" s="5">
        <v>9.5000000000000001E-2</v>
      </c>
    </row>
    <row r="737" spans="1:14" x14ac:dyDescent="0.25">
      <c r="A737">
        <v>2014</v>
      </c>
      <c r="B737">
        <v>230</v>
      </c>
      <c r="C737" t="s">
        <v>108</v>
      </c>
      <c r="D737" t="s">
        <v>89</v>
      </c>
      <c r="E737" s="5">
        <v>0.17</v>
      </c>
      <c r="F737" s="5">
        <v>0.17</v>
      </c>
      <c r="G737" s="5">
        <v>0.20199999999999999</v>
      </c>
      <c r="H737" s="5">
        <v>0.22899999999999998</v>
      </c>
      <c r="I737" s="5">
        <v>0.217</v>
      </c>
      <c r="J737" s="5">
        <v>0.20300000000000001</v>
      </c>
      <c r="K737" s="5">
        <v>0.192</v>
      </c>
      <c r="L737" s="5">
        <v>0.16699999999999998</v>
      </c>
      <c r="M737" s="5">
        <v>0.157</v>
      </c>
      <c r="N737" s="5">
        <v>0.114</v>
      </c>
    </row>
    <row r="738" spans="1:14" x14ac:dyDescent="0.25">
      <c r="A738">
        <v>2014</v>
      </c>
      <c r="B738">
        <v>230</v>
      </c>
      <c r="C738" t="s">
        <v>108</v>
      </c>
      <c r="D738" t="s">
        <v>45</v>
      </c>
      <c r="E738" s="5" t="s">
        <v>109</v>
      </c>
      <c r="F738" s="5">
        <v>0.217</v>
      </c>
      <c r="G738" s="5">
        <v>0.21299999999999999</v>
      </c>
      <c r="H738" s="5">
        <v>0.22399999999999998</v>
      </c>
      <c r="I738" s="5">
        <v>0.20699999999999999</v>
      </c>
      <c r="J738" s="5">
        <v>0.18100000000000002</v>
      </c>
      <c r="K738" s="5">
        <v>0.16699999999999998</v>
      </c>
      <c r="L738" s="5">
        <v>0.20300000000000001</v>
      </c>
      <c r="M738" s="5">
        <v>0.21100000000000002</v>
      </c>
      <c r="N738" s="5">
        <v>0.13400000000000001</v>
      </c>
    </row>
    <row r="739" spans="1:14" x14ac:dyDescent="0.25">
      <c r="A739">
        <v>2014</v>
      </c>
      <c r="B739">
        <v>230</v>
      </c>
      <c r="C739" t="s">
        <v>108</v>
      </c>
      <c r="D739" t="s">
        <v>46</v>
      </c>
      <c r="E739" s="5">
        <v>0.22899999999999998</v>
      </c>
      <c r="F739" s="5">
        <v>0.23100000000000001</v>
      </c>
      <c r="G739" s="5">
        <v>0.22800000000000001</v>
      </c>
      <c r="H739" s="5">
        <v>0.22399999999999998</v>
      </c>
      <c r="I739" s="5">
        <v>0.20199999999999999</v>
      </c>
      <c r="J739" s="5">
        <v>0.19699999999999998</v>
      </c>
      <c r="K739" s="5">
        <v>0.19899999999999998</v>
      </c>
      <c r="L739" s="5">
        <v>0.191</v>
      </c>
      <c r="M739" s="5">
        <v>0.17800000000000002</v>
      </c>
      <c r="N739" s="5">
        <v>0.13300000000000001</v>
      </c>
    </row>
    <row r="740" spans="1:14" x14ac:dyDescent="0.25">
      <c r="A740">
        <v>2014</v>
      </c>
      <c r="B740">
        <v>230</v>
      </c>
      <c r="C740" t="s">
        <v>108</v>
      </c>
      <c r="D740" t="s">
        <v>47</v>
      </c>
      <c r="E740" s="5">
        <v>0.217</v>
      </c>
      <c r="F740" s="5">
        <v>0.19600000000000001</v>
      </c>
      <c r="G740" s="5">
        <v>0.20300000000000001</v>
      </c>
      <c r="H740" s="5">
        <v>0.188</v>
      </c>
      <c r="I740" s="5">
        <v>0.17600000000000002</v>
      </c>
      <c r="J740" s="5">
        <v>0.16800000000000001</v>
      </c>
      <c r="K740" s="5">
        <v>0.17</v>
      </c>
      <c r="L740" s="5">
        <v>0.17899999999999999</v>
      </c>
      <c r="M740" s="5">
        <v>0.17</v>
      </c>
      <c r="N740" s="5">
        <v>0.13</v>
      </c>
    </row>
    <row r="741" spans="1:14" x14ac:dyDescent="0.25">
      <c r="A741">
        <v>2014</v>
      </c>
      <c r="B741">
        <v>230</v>
      </c>
      <c r="C741" t="s">
        <v>108</v>
      </c>
      <c r="D741" t="s">
        <v>48</v>
      </c>
      <c r="E741" s="5">
        <v>0.13600000000000001</v>
      </c>
      <c r="F741" s="5">
        <v>0.129</v>
      </c>
      <c r="G741" s="5">
        <v>0.113</v>
      </c>
      <c r="H741" s="5">
        <v>0.10099999999999999</v>
      </c>
      <c r="I741" s="5">
        <v>8.6999999999999994E-2</v>
      </c>
      <c r="J741" s="5">
        <v>8.6999999999999994E-2</v>
      </c>
      <c r="K741" s="5">
        <v>9.3000000000000013E-2</v>
      </c>
      <c r="L741" s="5">
        <v>0.14499999999999999</v>
      </c>
      <c r="M741" s="5">
        <v>0.185</v>
      </c>
      <c r="N741" s="5">
        <v>0.14699999999999999</v>
      </c>
    </row>
    <row r="742" spans="1:14" x14ac:dyDescent="0.25">
      <c r="A742">
        <v>2014</v>
      </c>
      <c r="B742">
        <v>230</v>
      </c>
      <c r="C742" t="s">
        <v>108</v>
      </c>
      <c r="D742" t="s">
        <v>49</v>
      </c>
      <c r="E742" s="5">
        <v>0.17499999999999999</v>
      </c>
      <c r="F742" s="5">
        <v>0.20199999999999999</v>
      </c>
      <c r="G742" s="5">
        <v>0.22</v>
      </c>
      <c r="H742" s="5">
        <v>0.221</v>
      </c>
      <c r="I742" s="5">
        <v>0.187</v>
      </c>
      <c r="J742" s="5">
        <v>0.156</v>
      </c>
      <c r="K742" s="5">
        <v>0.13699999999999998</v>
      </c>
      <c r="L742" s="5">
        <v>0.14800000000000002</v>
      </c>
      <c r="M742" s="5">
        <v>0.16500000000000001</v>
      </c>
      <c r="N742" s="5">
        <v>0.13</v>
      </c>
    </row>
    <row r="743" spans="1:14" x14ac:dyDescent="0.25">
      <c r="A743">
        <v>2014</v>
      </c>
      <c r="B743">
        <v>230</v>
      </c>
      <c r="C743" t="s">
        <v>108</v>
      </c>
      <c r="D743" t="s">
        <v>50</v>
      </c>
      <c r="E743" s="5">
        <v>0.193</v>
      </c>
      <c r="F743" s="5">
        <v>0.21299999999999999</v>
      </c>
      <c r="G743" s="5">
        <v>0.19399999999999998</v>
      </c>
      <c r="H743" s="5">
        <v>0.17399999999999999</v>
      </c>
      <c r="I743" s="5">
        <v>0.151</v>
      </c>
      <c r="J743" s="5">
        <v>0.154</v>
      </c>
      <c r="K743" s="5">
        <v>0.14499999999999999</v>
      </c>
      <c r="L743" s="5">
        <v>0.13900000000000001</v>
      </c>
      <c r="M743" s="5">
        <v>0.157</v>
      </c>
      <c r="N743" s="5">
        <v>0.11800000000000001</v>
      </c>
    </row>
    <row r="744" spans="1:14" x14ac:dyDescent="0.25">
      <c r="A744">
        <v>2014</v>
      </c>
      <c r="B744">
        <v>237</v>
      </c>
      <c r="C744" t="s">
        <v>108</v>
      </c>
      <c r="D744" t="s">
        <v>51</v>
      </c>
      <c r="E744" s="5">
        <v>8.8000000000000009E-2</v>
      </c>
      <c r="F744" s="5">
        <v>0.106</v>
      </c>
      <c r="G744" s="5">
        <v>0.114</v>
      </c>
      <c r="H744" s="5">
        <v>0.11800000000000001</v>
      </c>
      <c r="I744" s="5">
        <v>0.14199999999999999</v>
      </c>
      <c r="J744" s="5">
        <v>0.16600000000000001</v>
      </c>
      <c r="K744" s="5">
        <v>0.17600000000000002</v>
      </c>
      <c r="L744" s="5">
        <v>0.17600000000000002</v>
      </c>
      <c r="M744" s="5">
        <v>0.153</v>
      </c>
      <c r="N744" s="5">
        <v>7.4999999999999997E-2</v>
      </c>
    </row>
    <row r="745" spans="1:14" x14ac:dyDescent="0.25">
      <c r="A745">
        <v>2014</v>
      </c>
      <c r="B745">
        <v>237</v>
      </c>
      <c r="C745" t="s">
        <v>108</v>
      </c>
      <c r="D745" t="s">
        <v>55</v>
      </c>
      <c r="E745" s="5">
        <v>0.20100000000000001</v>
      </c>
      <c r="F745" s="5">
        <v>0.13699999999999998</v>
      </c>
      <c r="G745" s="5">
        <v>0.11</v>
      </c>
      <c r="H745" s="5">
        <v>0.11800000000000001</v>
      </c>
      <c r="I745" s="5">
        <v>0.13600000000000001</v>
      </c>
      <c r="J745" s="5">
        <v>0.153</v>
      </c>
      <c r="K745" s="5">
        <v>0.16300000000000001</v>
      </c>
      <c r="L745" s="5">
        <v>0.19</v>
      </c>
      <c r="M745" s="5">
        <v>0.156</v>
      </c>
      <c r="N745" s="5">
        <v>9.5000000000000001E-2</v>
      </c>
    </row>
    <row r="746" spans="1:14" x14ac:dyDescent="0.25">
      <c r="A746">
        <v>2014</v>
      </c>
      <c r="B746">
        <v>237</v>
      </c>
      <c r="C746" t="s">
        <v>108</v>
      </c>
      <c r="D746" t="s">
        <v>56</v>
      </c>
      <c r="E746" s="5">
        <v>0.129</v>
      </c>
      <c r="F746" s="5">
        <v>0.16399999999999998</v>
      </c>
      <c r="G746" s="5">
        <v>0.187</v>
      </c>
      <c r="H746" s="5">
        <v>0.17199999999999999</v>
      </c>
      <c r="I746" s="5">
        <v>0.161</v>
      </c>
      <c r="J746" s="5">
        <v>0.16200000000000001</v>
      </c>
      <c r="K746" s="5">
        <v>0.16600000000000001</v>
      </c>
      <c r="L746" s="5">
        <v>0.188</v>
      </c>
      <c r="M746" s="5">
        <v>0.18100000000000002</v>
      </c>
      <c r="N746" s="5">
        <v>9.4E-2</v>
      </c>
    </row>
    <row r="747" spans="1:14" x14ac:dyDescent="0.25">
      <c r="A747">
        <v>2014</v>
      </c>
      <c r="B747">
        <v>237</v>
      </c>
      <c r="C747" t="s">
        <v>108</v>
      </c>
      <c r="D747" t="s">
        <v>57</v>
      </c>
      <c r="E747" s="5">
        <v>0.13400000000000001</v>
      </c>
      <c r="F747" s="5">
        <v>0.13300000000000001</v>
      </c>
      <c r="G747" s="5">
        <v>0.13500000000000001</v>
      </c>
      <c r="H747" s="5">
        <v>0.16899999999999998</v>
      </c>
      <c r="I747" s="5">
        <v>0.17</v>
      </c>
      <c r="J747" s="5">
        <v>0.16300000000000001</v>
      </c>
      <c r="K747" s="5">
        <v>0.16500000000000001</v>
      </c>
      <c r="L747" s="5">
        <v>0.16500000000000001</v>
      </c>
      <c r="M747" s="5">
        <v>0.14499999999999999</v>
      </c>
      <c r="N747" s="5">
        <v>8.199999999999999E-2</v>
      </c>
    </row>
    <row r="748" spans="1:14" x14ac:dyDescent="0.25">
      <c r="A748">
        <v>2014</v>
      </c>
      <c r="B748">
        <v>237</v>
      </c>
      <c r="C748" t="s">
        <v>108</v>
      </c>
      <c r="D748" t="s">
        <v>58</v>
      </c>
      <c r="E748" s="5" t="s">
        <v>109</v>
      </c>
      <c r="F748" s="5" t="s">
        <v>109</v>
      </c>
      <c r="G748" s="5" t="s">
        <v>109</v>
      </c>
      <c r="H748" s="5">
        <v>0.23199999999999998</v>
      </c>
      <c r="I748" s="5">
        <v>0.185</v>
      </c>
      <c r="J748" s="5">
        <v>0.193</v>
      </c>
      <c r="K748" s="5">
        <v>0.17499999999999999</v>
      </c>
      <c r="L748" s="5">
        <v>0.19500000000000001</v>
      </c>
      <c r="M748" s="5">
        <v>0.20399999999999999</v>
      </c>
      <c r="N748" s="5">
        <v>0.12</v>
      </c>
    </row>
    <row r="749" spans="1:14" x14ac:dyDescent="0.25">
      <c r="A749">
        <v>2014</v>
      </c>
      <c r="B749">
        <v>237</v>
      </c>
      <c r="C749" t="s">
        <v>108</v>
      </c>
      <c r="D749" t="s">
        <v>59</v>
      </c>
      <c r="E749" s="5" t="s">
        <v>109</v>
      </c>
      <c r="F749" s="5">
        <v>0.2</v>
      </c>
      <c r="G749" s="5">
        <v>0.19699999999999998</v>
      </c>
      <c r="H749" s="5">
        <v>0.19399999999999998</v>
      </c>
      <c r="I749" s="5">
        <v>0.19800000000000001</v>
      </c>
      <c r="J749" s="5">
        <v>0.182</v>
      </c>
      <c r="K749" s="5">
        <v>0.161</v>
      </c>
      <c r="L749" s="5">
        <v>0.192</v>
      </c>
      <c r="M749" s="5">
        <v>0.17899999999999999</v>
      </c>
      <c r="N749" s="5">
        <v>0.10800000000000001</v>
      </c>
    </row>
    <row r="750" spans="1:14" x14ac:dyDescent="0.25">
      <c r="A750">
        <v>2014</v>
      </c>
      <c r="B750">
        <v>237</v>
      </c>
      <c r="C750" t="s">
        <v>108</v>
      </c>
      <c r="D750" t="s">
        <v>64</v>
      </c>
      <c r="E750" s="5">
        <v>0.23699999999999999</v>
      </c>
      <c r="F750" s="5">
        <v>0.14899999999999999</v>
      </c>
      <c r="G750" s="5">
        <v>0.15</v>
      </c>
      <c r="H750" s="5">
        <v>0.24</v>
      </c>
      <c r="I750" s="5">
        <v>0.214</v>
      </c>
      <c r="J750" s="5">
        <v>0.20899999999999999</v>
      </c>
      <c r="K750" s="5">
        <v>0.22</v>
      </c>
      <c r="L750" s="5">
        <v>0.215</v>
      </c>
      <c r="M750" s="5">
        <v>0.19500000000000001</v>
      </c>
      <c r="N750" s="5">
        <v>0.14699999999999999</v>
      </c>
    </row>
    <row r="751" spans="1:14" x14ac:dyDescent="0.25">
      <c r="A751">
        <v>2014</v>
      </c>
      <c r="B751">
        <v>237</v>
      </c>
      <c r="C751" t="s">
        <v>108</v>
      </c>
      <c r="D751" t="s">
        <v>52</v>
      </c>
      <c r="E751" s="5">
        <v>0.152</v>
      </c>
      <c r="F751" s="5">
        <v>0.159</v>
      </c>
      <c r="G751" s="5">
        <v>0.17800000000000002</v>
      </c>
      <c r="H751" s="5">
        <v>0.182</v>
      </c>
      <c r="I751" s="5">
        <v>0.20199999999999999</v>
      </c>
      <c r="J751" s="5">
        <v>0.23</v>
      </c>
      <c r="K751" s="5">
        <v>0.22899999999999998</v>
      </c>
      <c r="L751" s="5">
        <v>0.22600000000000001</v>
      </c>
      <c r="M751" s="5">
        <v>0.20199999999999999</v>
      </c>
      <c r="N751" s="5">
        <v>0.16300000000000001</v>
      </c>
    </row>
    <row r="752" spans="1:14" x14ac:dyDescent="0.25">
      <c r="A752">
        <v>2014</v>
      </c>
      <c r="B752">
        <v>237</v>
      </c>
      <c r="C752" t="s">
        <v>108</v>
      </c>
      <c r="D752" t="s">
        <v>62</v>
      </c>
      <c r="E752" s="5">
        <v>0.16800000000000001</v>
      </c>
      <c r="F752" s="5">
        <v>0.14300000000000002</v>
      </c>
      <c r="G752" s="5">
        <v>0.154</v>
      </c>
      <c r="H752" s="5">
        <v>0.16200000000000001</v>
      </c>
      <c r="I752" s="5">
        <v>0.20300000000000001</v>
      </c>
      <c r="J752" s="5">
        <v>0.218</v>
      </c>
      <c r="K752" s="5">
        <v>0.23199999999999998</v>
      </c>
      <c r="L752" s="5">
        <v>0.22899999999999998</v>
      </c>
      <c r="M752" s="5">
        <v>0.20600000000000002</v>
      </c>
      <c r="N752" s="5">
        <v>0.12300000000000001</v>
      </c>
    </row>
    <row r="753" spans="1:14" x14ac:dyDescent="0.25">
      <c r="A753">
        <v>2014</v>
      </c>
      <c r="B753">
        <v>237</v>
      </c>
      <c r="C753" t="s">
        <v>108</v>
      </c>
      <c r="D753" t="s">
        <v>63</v>
      </c>
      <c r="E753" s="5" t="s">
        <v>109</v>
      </c>
      <c r="F753" s="5">
        <v>0.158</v>
      </c>
      <c r="G753" s="5">
        <v>0.155</v>
      </c>
      <c r="H753" s="5">
        <v>0.185</v>
      </c>
      <c r="I753" s="5">
        <v>0.21600000000000003</v>
      </c>
      <c r="J753" s="5">
        <v>0.21899999999999997</v>
      </c>
      <c r="K753" s="5">
        <v>0.218</v>
      </c>
      <c r="L753" s="5">
        <v>0.187</v>
      </c>
      <c r="M753" s="5">
        <v>0.20499999999999999</v>
      </c>
      <c r="N753" s="5">
        <v>0.14800000000000002</v>
      </c>
    </row>
    <row r="754" spans="1:14" x14ac:dyDescent="0.25">
      <c r="A754">
        <v>2014</v>
      </c>
      <c r="B754">
        <v>237</v>
      </c>
      <c r="C754" t="s">
        <v>108</v>
      </c>
      <c r="D754" t="s">
        <v>61</v>
      </c>
      <c r="E754" s="5" t="s">
        <v>109</v>
      </c>
      <c r="F754" s="5">
        <v>0.315</v>
      </c>
      <c r="G754" s="5">
        <v>0.27100000000000002</v>
      </c>
      <c r="H754" s="5">
        <v>0.18899999999999997</v>
      </c>
      <c r="I754" s="5">
        <v>0.18600000000000003</v>
      </c>
      <c r="J754" s="5">
        <v>0.191</v>
      </c>
      <c r="K754" s="5">
        <v>0.16300000000000001</v>
      </c>
      <c r="L754" s="5">
        <v>0.223</v>
      </c>
      <c r="M754" s="5">
        <v>0.248</v>
      </c>
      <c r="N754" s="5">
        <v>0.161</v>
      </c>
    </row>
    <row r="755" spans="1:14" x14ac:dyDescent="0.25">
      <c r="A755">
        <v>2014</v>
      </c>
      <c r="B755">
        <v>237</v>
      </c>
      <c r="C755" t="s">
        <v>108</v>
      </c>
      <c r="D755" t="s">
        <v>60</v>
      </c>
      <c r="E755" s="5" t="s">
        <v>109</v>
      </c>
      <c r="F755" s="5" t="s">
        <v>109</v>
      </c>
      <c r="G755" s="5">
        <v>0.26700000000000002</v>
      </c>
      <c r="H755" s="5">
        <v>0.28800000000000003</v>
      </c>
      <c r="I755" s="5">
        <v>0.2</v>
      </c>
      <c r="J755" s="5">
        <v>0.19500000000000001</v>
      </c>
      <c r="K755" s="5">
        <v>0.22699999999999998</v>
      </c>
      <c r="L755" s="5">
        <v>0.20399999999999999</v>
      </c>
      <c r="M755" s="5">
        <v>0.218</v>
      </c>
      <c r="N755" s="5">
        <v>0.157</v>
      </c>
    </row>
    <row r="756" spans="1:14" x14ac:dyDescent="0.25">
      <c r="A756">
        <v>2014</v>
      </c>
      <c r="B756">
        <v>237</v>
      </c>
      <c r="C756" t="s">
        <v>108</v>
      </c>
      <c r="D756" t="s">
        <v>29</v>
      </c>
      <c r="E756" s="5">
        <v>0.183</v>
      </c>
      <c r="F756" s="5">
        <v>0.193</v>
      </c>
      <c r="G756" s="5">
        <v>0.17199999999999999</v>
      </c>
      <c r="H756" s="5">
        <v>0.22500000000000001</v>
      </c>
      <c r="I756" s="5">
        <v>0.21299999999999999</v>
      </c>
      <c r="J756" s="5">
        <v>0.24399999999999999</v>
      </c>
      <c r="K756" s="5">
        <v>0.23899999999999999</v>
      </c>
      <c r="L756" s="5">
        <v>0.26600000000000001</v>
      </c>
      <c r="M756" s="5">
        <v>0.245</v>
      </c>
      <c r="N756" s="5">
        <v>0.16500000000000001</v>
      </c>
    </row>
    <row r="757" spans="1:14" x14ac:dyDescent="0.25">
      <c r="A757">
        <v>2014</v>
      </c>
      <c r="B757">
        <v>237</v>
      </c>
      <c r="C757" t="s">
        <v>108</v>
      </c>
      <c r="D757" t="s">
        <v>30</v>
      </c>
      <c r="E757" s="5">
        <v>0.185</v>
      </c>
      <c r="F757" s="5">
        <v>0.19</v>
      </c>
      <c r="G757" s="5">
        <v>0.222</v>
      </c>
      <c r="H757" s="5">
        <v>0.245</v>
      </c>
      <c r="I757" s="5">
        <v>0.22899999999999998</v>
      </c>
      <c r="J757" s="5">
        <v>0.22399999999999998</v>
      </c>
      <c r="K757" s="5">
        <v>0.23899999999999999</v>
      </c>
      <c r="L757" s="5">
        <v>0.17800000000000002</v>
      </c>
      <c r="M757" s="5">
        <v>0.159</v>
      </c>
      <c r="N757" s="5">
        <v>0.11199999999999999</v>
      </c>
    </row>
    <row r="758" spans="1:14" x14ac:dyDescent="0.25">
      <c r="A758">
        <v>2014</v>
      </c>
      <c r="B758">
        <v>237</v>
      </c>
      <c r="C758" t="s">
        <v>108</v>
      </c>
      <c r="D758" t="s">
        <v>31</v>
      </c>
      <c r="E758" s="5">
        <v>0.185</v>
      </c>
      <c r="F758" s="5">
        <v>0.16</v>
      </c>
      <c r="G758" s="5">
        <v>0.161</v>
      </c>
      <c r="H758" s="5">
        <v>0.17399999999999999</v>
      </c>
      <c r="I758" s="5">
        <v>0.221</v>
      </c>
      <c r="J758" s="5">
        <v>0.218</v>
      </c>
      <c r="K758" s="5">
        <v>0.20699999999999999</v>
      </c>
      <c r="L758" s="5">
        <v>0.20800000000000002</v>
      </c>
      <c r="M758" s="5">
        <v>0.22</v>
      </c>
      <c r="N758" s="5">
        <v>0.161</v>
      </c>
    </row>
    <row r="759" spans="1:14" x14ac:dyDescent="0.25">
      <c r="A759">
        <v>2014</v>
      </c>
      <c r="B759">
        <v>237</v>
      </c>
      <c r="C759" t="s">
        <v>108</v>
      </c>
      <c r="D759" t="s">
        <v>32</v>
      </c>
      <c r="E759" s="5">
        <v>0.252</v>
      </c>
      <c r="F759" s="5">
        <v>0.193</v>
      </c>
      <c r="G759" s="5">
        <v>0.214</v>
      </c>
      <c r="H759" s="5">
        <v>0.19699999999999998</v>
      </c>
      <c r="I759" s="5">
        <v>0.19600000000000001</v>
      </c>
      <c r="J759" s="5">
        <v>0.19399999999999998</v>
      </c>
      <c r="K759" s="5">
        <v>0.156</v>
      </c>
      <c r="L759" s="5">
        <v>0.151</v>
      </c>
      <c r="M759" s="5">
        <v>0.21899999999999997</v>
      </c>
      <c r="N759" s="5">
        <v>0.14199999999999999</v>
      </c>
    </row>
    <row r="760" spans="1:14" x14ac:dyDescent="0.25">
      <c r="A760">
        <v>2014</v>
      </c>
      <c r="B760">
        <v>237</v>
      </c>
      <c r="C760" t="s">
        <v>108</v>
      </c>
      <c r="D760" t="s">
        <v>33</v>
      </c>
      <c r="E760" s="5">
        <v>0.17600000000000002</v>
      </c>
      <c r="F760" s="5">
        <v>0.16800000000000001</v>
      </c>
      <c r="G760" s="5">
        <v>0.17699999999999999</v>
      </c>
      <c r="H760" s="5">
        <v>0.17899999999999999</v>
      </c>
      <c r="I760" s="5">
        <v>0.19800000000000001</v>
      </c>
      <c r="J760" s="5">
        <v>0.23100000000000001</v>
      </c>
      <c r="K760" s="5">
        <v>0.22800000000000001</v>
      </c>
      <c r="L760" s="5">
        <v>0.20699999999999999</v>
      </c>
      <c r="M760" s="5">
        <v>0.19</v>
      </c>
      <c r="N760" s="5">
        <v>0.16</v>
      </c>
    </row>
    <row r="761" spans="1:14" x14ac:dyDescent="0.25">
      <c r="A761">
        <v>2014</v>
      </c>
      <c r="B761">
        <v>237</v>
      </c>
      <c r="C761" t="s">
        <v>108</v>
      </c>
      <c r="D761" t="s">
        <v>34</v>
      </c>
      <c r="E761" s="5">
        <v>0.2</v>
      </c>
      <c r="F761" s="5">
        <v>0.17800000000000002</v>
      </c>
      <c r="G761" s="5">
        <v>0.253</v>
      </c>
      <c r="H761" s="5">
        <v>0.27600000000000002</v>
      </c>
      <c r="I761" s="5">
        <v>0.217</v>
      </c>
      <c r="J761" s="5">
        <v>0.21100000000000002</v>
      </c>
      <c r="K761" s="5">
        <v>0.2</v>
      </c>
      <c r="L761" s="5">
        <v>0.19500000000000001</v>
      </c>
      <c r="M761" s="5">
        <v>0.151</v>
      </c>
      <c r="N761" s="5">
        <v>0.10199999999999999</v>
      </c>
    </row>
    <row r="762" spans="1:14" x14ac:dyDescent="0.25">
      <c r="A762">
        <v>2014</v>
      </c>
      <c r="B762">
        <v>237</v>
      </c>
      <c r="C762" t="s">
        <v>108</v>
      </c>
      <c r="D762" t="s">
        <v>70</v>
      </c>
      <c r="E762" s="5">
        <v>0.17899999999999999</v>
      </c>
      <c r="F762" s="5">
        <v>0.17899999999999999</v>
      </c>
      <c r="G762" s="5">
        <v>0.21899999999999997</v>
      </c>
      <c r="H762" s="5">
        <v>0.23</v>
      </c>
      <c r="I762" s="5">
        <v>0.215</v>
      </c>
      <c r="J762" s="5">
        <v>0.21100000000000002</v>
      </c>
      <c r="K762" s="5">
        <v>0.22899999999999998</v>
      </c>
      <c r="L762" s="5">
        <v>0.24399999999999999</v>
      </c>
      <c r="M762" s="5">
        <v>0.22899999999999998</v>
      </c>
      <c r="N762" s="5">
        <v>0.18100000000000002</v>
      </c>
    </row>
    <row r="763" spans="1:14" x14ac:dyDescent="0.25">
      <c r="A763">
        <v>2014</v>
      </c>
      <c r="B763">
        <v>237</v>
      </c>
      <c r="C763" t="s">
        <v>108</v>
      </c>
      <c r="D763" t="s">
        <v>69</v>
      </c>
      <c r="E763" s="5">
        <v>0.183</v>
      </c>
      <c r="F763" s="5">
        <v>0.20499999999999999</v>
      </c>
      <c r="G763" s="5">
        <v>0.23399999999999999</v>
      </c>
      <c r="H763" s="5">
        <v>0.22800000000000001</v>
      </c>
      <c r="I763" s="5">
        <v>0.22399999999999998</v>
      </c>
      <c r="J763" s="5">
        <v>0.21199999999999999</v>
      </c>
      <c r="K763" s="5">
        <v>0.214</v>
      </c>
      <c r="L763" s="5">
        <v>0.20300000000000001</v>
      </c>
      <c r="M763" s="5">
        <v>0.20800000000000002</v>
      </c>
      <c r="N763" s="5">
        <v>0.14199999999999999</v>
      </c>
    </row>
    <row r="764" spans="1:14" x14ac:dyDescent="0.25">
      <c r="A764">
        <v>2014</v>
      </c>
      <c r="B764">
        <v>237</v>
      </c>
      <c r="C764" t="s">
        <v>108</v>
      </c>
      <c r="D764" t="s">
        <v>68</v>
      </c>
      <c r="E764" s="5">
        <v>0.19500000000000001</v>
      </c>
      <c r="F764" s="5">
        <v>0.183</v>
      </c>
      <c r="G764" s="5">
        <v>0.19800000000000001</v>
      </c>
      <c r="H764" s="5">
        <v>0.20300000000000001</v>
      </c>
      <c r="I764" s="5">
        <v>0.22800000000000001</v>
      </c>
      <c r="J764" s="5">
        <v>0.245</v>
      </c>
      <c r="K764" s="5">
        <v>0.22500000000000001</v>
      </c>
      <c r="L764" s="5">
        <v>0.218</v>
      </c>
      <c r="M764" s="5">
        <v>0.183</v>
      </c>
      <c r="N764" s="5">
        <v>0.13500000000000001</v>
      </c>
    </row>
    <row r="765" spans="1:14" x14ac:dyDescent="0.25">
      <c r="A765">
        <v>2014</v>
      </c>
      <c r="B765">
        <v>237</v>
      </c>
      <c r="C765" t="s">
        <v>108</v>
      </c>
      <c r="D765" t="s">
        <v>67</v>
      </c>
      <c r="E765" s="5">
        <v>0.22399999999999998</v>
      </c>
      <c r="F765" s="5">
        <v>0.21</v>
      </c>
      <c r="G765" s="5">
        <v>0.20499999999999999</v>
      </c>
      <c r="H765" s="5">
        <v>0.21199999999999999</v>
      </c>
      <c r="I765" s="5">
        <v>0.221</v>
      </c>
      <c r="J765" s="5">
        <v>0.19</v>
      </c>
      <c r="K765" s="5">
        <v>0.18600000000000003</v>
      </c>
      <c r="L765" s="5">
        <v>0.23</v>
      </c>
      <c r="M765" s="5">
        <v>0.23199999999999998</v>
      </c>
      <c r="N765" s="5">
        <v>0.16200000000000001</v>
      </c>
    </row>
    <row r="766" spans="1:14" x14ac:dyDescent="0.25">
      <c r="A766">
        <v>2014</v>
      </c>
      <c r="B766">
        <v>237</v>
      </c>
      <c r="C766" t="s">
        <v>108</v>
      </c>
      <c r="D766" t="s">
        <v>66</v>
      </c>
      <c r="E766" s="5">
        <v>0.16200000000000001</v>
      </c>
      <c r="F766" s="5">
        <v>0.16600000000000001</v>
      </c>
      <c r="G766" s="5">
        <v>0.25900000000000001</v>
      </c>
      <c r="H766" s="5">
        <v>0.20800000000000002</v>
      </c>
      <c r="I766" s="5">
        <v>0.21899999999999997</v>
      </c>
      <c r="J766" s="5">
        <v>0.22399999999999998</v>
      </c>
      <c r="K766" s="5">
        <v>0.215</v>
      </c>
      <c r="L766" s="5">
        <v>0.17300000000000001</v>
      </c>
      <c r="M766" s="5">
        <v>0.17100000000000001</v>
      </c>
      <c r="N766" s="5">
        <v>0.14800000000000002</v>
      </c>
    </row>
    <row r="767" spans="1:14" x14ac:dyDescent="0.25">
      <c r="A767">
        <v>2014</v>
      </c>
      <c r="B767">
        <v>237</v>
      </c>
      <c r="C767" t="s">
        <v>108</v>
      </c>
      <c r="D767" t="s">
        <v>65</v>
      </c>
      <c r="E767" s="5">
        <v>0.24100000000000002</v>
      </c>
      <c r="F767" s="5">
        <v>0.21299999999999999</v>
      </c>
      <c r="G767" s="5">
        <v>0.313</v>
      </c>
      <c r="H767" s="5">
        <v>0.193</v>
      </c>
      <c r="I767" s="5">
        <v>0.193</v>
      </c>
      <c r="J767" s="5">
        <v>0.19500000000000001</v>
      </c>
      <c r="K767" s="5">
        <v>0.19600000000000001</v>
      </c>
      <c r="L767" s="5">
        <v>0.187</v>
      </c>
      <c r="M767" s="5">
        <v>0.17499999999999999</v>
      </c>
      <c r="N767" s="5">
        <v>0.13600000000000001</v>
      </c>
    </row>
    <row r="768" spans="1:14" x14ac:dyDescent="0.25">
      <c r="A768">
        <v>2014</v>
      </c>
      <c r="B768">
        <v>237</v>
      </c>
      <c r="C768" t="s">
        <v>108</v>
      </c>
      <c r="D768" t="s">
        <v>71</v>
      </c>
      <c r="E768" s="5">
        <v>0.20100000000000001</v>
      </c>
      <c r="F768" s="5">
        <v>0.20399999999999999</v>
      </c>
      <c r="G768" s="5">
        <v>0.247</v>
      </c>
      <c r="H768" s="5">
        <v>0.251</v>
      </c>
      <c r="I768" s="5">
        <v>0.221</v>
      </c>
      <c r="J768" s="5">
        <v>0.21</v>
      </c>
      <c r="K768" s="5">
        <v>0.17800000000000002</v>
      </c>
      <c r="L768" s="5">
        <v>0.159</v>
      </c>
      <c r="M768" s="5">
        <v>0.20499999999999999</v>
      </c>
      <c r="N768" s="5">
        <v>0.14000000000000001</v>
      </c>
    </row>
    <row r="769" spans="1:14" x14ac:dyDescent="0.25">
      <c r="A769">
        <v>2014</v>
      </c>
      <c r="B769">
        <v>237</v>
      </c>
      <c r="C769" t="s">
        <v>108</v>
      </c>
      <c r="D769" t="s">
        <v>74</v>
      </c>
      <c r="E769" s="5" t="s">
        <v>109</v>
      </c>
      <c r="F769" s="5">
        <v>0.16899999999999998</v>
      </c>
      <c r="G769" s="5">
        <v>0.191</v>
      </c>
      <c r="H769" s="5">
        <v>0.20499999999999999</v>
      </c>
      <c r="I769" s="5">
        <v>0.20399999999999999</v>
      </c>
      <c r="J769" s="5">
        <v>0.18100000000000002</v>
      </c>
      <c r="K769" s="5">
        <v>0.188</v>
      </c>
      <c r="L769" s="5">
        <v>0.221</v>
      </c>
      <c r="M769" s="5">
        <v>0.215</v>
      </c>
      <c r="N769" s="5">
        <v>0.152</v>
      </c>
    </row>
    <row r="770" spans="1:14" x14ac:dyDescent="0.25">
      <c r="A770">
        <v>2014</v>
      </c>
      <c r="B770">
        <v>237</v>
      </c>
      <c r="C770" t="s">
        <v>108</v>
      </c>
      <c r="D770" t="s">
        <v>75</v>
      </c>
      <c r="E770" s="5" t="s">
        <v>109</v>
      </c>
      <c r="F770" s="5">
        <v>0.19500000000000001</v>
      </c>
      <c r="G770" s="5">
        <v>0.161</v>
      </c>
      <c r="H770" s="5">
        <v>0.23699999999999999</v>
      </c>
      <c r="I770" s="5">
        <v>0.19600000000000001</v>
      </c>
      <c r="J770" s="5">
        <v>0.16699999999999998</v>
      </c>
      <c r="K770" s="5">
        <v>0.19600000000000001</v>
      </c>
      <c r="L770" s="5">
        <v>0.20699999999999999</v>
      </c>
      <c r="M770" s="5">
        <v>0.19399999999999998</v>
      </c>
      <c r="N770" s="5">
        <v>0.154</v>
      </c>
    </row>
    <row r="771" spans="1:14" x14ac:dyDescent="0.25">
      <c r="A771">
        <v>2014</v>
      </c>
      <c r="B771">
        <v>237</v>
      </c>
      <c r="C771" t="s">
        <v>108</v>
      </c>
      <c r="D771" t="s">
        <v>76</v>
      </c>
      <c r="E771" s="5">
        <v>0.192</v>
      </c>
      <c r="F771" s="5">
        <v>0.16699999999999998</v>
      </c>
      <c r="G771" s="5">
        <v>0.17300000000000001</v>
      </c>
      <c r="H771" s="5">
        <v>0.192</v>
      </c>
      <c r="I771" s="5">
        <v>0.22500000000000001</v>
      </c>
      <c r="J771" s="5">
        <v>0.21899999999999997</v>
      </c>
      <c r="K771" s="5">
        <v>0.20300000000000001</v>
      </c>
      <c r="L771" s="5">
        <v>0.22399999999999998</v>
      </c>
      <c r="M771" s="5">
        <v>0.218</v>
      </c>
      <c r="N771" s="5">
        <v>0.16899999999999998</v>
      </c>
    </row>
    <row r="772" spans="1:14" x14ac:dyDescent="0.25">
      <c r="A772">
        <v>2014</v>
      </c>
      <c r="B772">
        <v>237</v>
      </c>
      <c r="C772" t="s">
        <v>108</v>
      </c>
      <c r="D772" t="s">
        <v>53</v>
      </c>
      <c r="E772" s="5">
        <v>0.23800000000000002</v>
      </c>
      <c r="F772" s="5">
        <v>0.317</v>
      </c>
      <c r="G772" s="5">
        <v>0.22600000000000001</v>
      </c>
      <c r="H772" s="5">
        <v>0.23399999999999999</v>
      </c>
      <c r="I772" s="5">
        <v>0.25900000000000001</v>
      </c>
      <c r="J772" s="5">
        <v>0.25600000000000001</v>
      </c>
      <c r="K772" s="5">
        <v>0.255</v>
      </c>
      <c r="L772" s="5">
        <v>0.21299999999999999</v>
      </c>
      <c r="M772" s="5">
        <v>0.23100000000000001</v>
      </c>
      <c r="N772" s="5">
        <v>0.14699999999999999</v>
      </c>
    </row>
    <row r="773" spans="1:14" x14ac:dyDescent="0.25">
      <c r="A773">
        <v>2014</v>
      </c>
      <c r="B773">
        <v>237</v>
      </c>
      <c r="C773" t="s">
        <v>108</v>
      </c>
      <c r="D773" t="s">
        <v>77</v>
      </c>
      <c r="E773" s="5">
        <v>0.253</v>
      </c>
      <c r="F773" s="5">
        <v>0.25</v>
      </c>
      <c r="G773" s="5">
        <v>0.26500000000000001</v>
      </c>
      <c r="H773" s="5">
        <v>0.22800000000000001</v>
      </c>
      <c r="I773" s="5">
        <v>0.222</v>
      </c>
      <c r="J773" s="5">
        <v>0.22800000000000001</v>
      </c>
      <c r="K773" s="5">
        <v>0.17699999999999999</v>
      </c>
      <c r="L773" s="5">
        <v>0.20300000000000001</v>
      </c>
      <c r="M773" s="5">
        <v>0.17600000000000002</v>
      </c>
      <c r="N773" s="5">
        <v>0.13800000000000001</v>
      </c>
    </row>
    <row r="774" spans="1:14" x14ac:dyDescent="0.25">
      <c r="A774">
        <v>2014</v>
      </c>
      <c r="B774">
        <v>237</v>
      </c>
      <c r="C774" t="s">
        <v>108</v>
      </c>
      <c r="D774" t="s">
        <v>73</v>
      </c>
      <c r="E774" s="5" t="s">
        <v>109</v>
      </c>
      <c r="F774" s="5">
        <v>0.185</v>
      </c>
      <c r="G774" s="5">
        <v>0.255</v>
      </c>
      <c r="H774" s="5">
        <v>0.26800000000000002</v>
      </c>
      <c r="I774" s="5">
        <v>0.21299999999999999</v>
      </c>
      <c r="J774" s="5">
        <v>0.214</v>
      </c>
      <c r="K774" s="5">
        <v>0.19699999999999998</v>
      </c>
      <c r="L774" s="5">
        <v>0.16800000000000001</v>
      </c>
      <c r="M774" s="5">
        <v>0.152</v>
      </c>
      <c r="N774" s="5">
        <v>7.6999999999999999E-2</v>
      </c>
    </row>
    <row r="775" spans="1:14" x14ac:dyDescent="0.25">
      <c r="A775">
        <v>2014</v>
      </c>
      <c r="B775">
        <v>237</v>
      </c>
      <c r="C775" t="s">
        <v>108</v>
      </c>
      <c r="D775" t="s">
        <v>81</v>
      </c>
      <c r="E775" s="5" t="s">
        <v>109</v>
      </c>
      <c r="F775" s="5" t="s">
        <v>109</v>
      </c>
      <c r="G775" s="5">
        <v>0.252</v>
      </c>
      <c r="H775" s="5">
        <v>0.245</v>
      </c>
      <c r="I775" s="5">
        <v>0.23800000000000002</v>
      </c>
      <c r="J775" s="5">
        <v>0.19600000000000001</v>
      </c>
      <c r="K775" s="5">
        <v>0.18100000000000002</v>
      </c>
      <c r="L775" s="5">
        <v>0.15</v>
      </c>
      <c r="M775" s="5">
        <v>0.17100000000000001</v>
      </c>
      <c r="N775" s="5">
        <v>0.1</v>
      </c>
    </row>
    <row r="776" spans="1:14" x14ac:dyDescent="0.25">
      <c r="A776">
        <v>2014</v>
      </c>
      <c r="B776">
        <v>237</v>
      </c>
      <c r="C776" t="s">
        <v>108</v>
      </c>
      <c r="D776" t="s">
        <v>80</v>
      </c>
      <c r="E776" s="5" t="s">
        <v>109</v>
      </c>
      <c r="F776" s="5" t="s">
        <v>109</v>
      </c>
      <c r="G776" s="5">
        <v>0.21299999999999999</v>
      </c>
      <c r="H776" s="5">
        <v>0.24399999999999999</v>
      </c>
      <c r="I776" s="5">
        <v>0.221</v>
      </c>
      <c r="J776" s="5">
        <v>0.215</v>
      </c>
      <c r="K776" s="5">
        <v>0.21100000000000002</v>
      </c>
      <c r="L776" s="5">
        <v>0.17800000000000002</v>
      </c>
      <c r="M776" s="5">
        <v>0.154</v>
      </c>
      <c r="N776" s="5">
        <v>0.10400000000000001</v>
      </c>
    </row>
    <row r="777" spans="1:14" x14ac:dyDescent="0.25">
      <c r="A777">
        <v>2014</v>
      </c>
      <c r="B777">
        <v>237</v>
      </c>
      <c r="C777" t="s">
        <v>108</v>
      </c>
      <c r="D777" t="s">
        <v>79</v>
      </c>
      <c r="E777" s="5" t="s">
        <v>109</v>
      </c>
      <c r="F777" s="5" t="s">
        <v>109</v>
      </c>
      <c r="G777" s="5">
        <v>0.19800000000000001</v>
      </c>
      <c r="H777" s="5">
        <v>0.23199999999999998</v>
      </c>
      <c r="I777" s="5">
        <v>0.22899999999999998</v>
      </c>
      <c r="J777" s="5">
        <v>0.22600000000000001</v>
      </c>
      <c r="K777" s="5">
        <v>0.20499999999999999</v>
      </c>
      <c r="L777" s="5">
        <v>0.18899999999999997</v>
      </c>
      <c r="M777" s="5">
        <v>0.15</v>
      </c>
      <c r="N777" s="5">
        <v>8.6999999999999994E-2</v>
      </c>
    </row>
    <row r="778" spans="1:14" x14ac:dyDescent="0.25">
      <c r="A778">
        <v>2014</v>
      </c>
      <c r="B778">
        <v>237</v>
      </c>
      <c r="C778" t="s">
        <v>108</v>
      </c>
      <c r="D778" t="s">
        <v>78</v>
      </c>
      <c r="E778" s="5" t="s">
        <v>109</v>
      </c>
      <c r="F778" s="5" t="s">
        <v>109</v>
      </c>
      <c r="G778" s="5">
        <v>0.21</v>
      </c>
      <c r="H778" s="5">
        <v>0.20499999999999999</v>
      </c>
      <c r="I778" s="5">
        <v>0.20399999999999999</v>
      </c>
      <c r="J778" s="5">
        <v>0.192</v>
      </c>
      <c r="K778" s="5">
        <v>0.187</v>
      </c>
      <c r="L778" s="5">
        <v>0.161</v>
      </c>
      <c r="M778" s="5">
        <v>0.14899999999999999</v>
      </c>
      <c r="N778" s="5">
        <v>8.6999999999999994E-2</v>
      </c>
    </row>
    <row r="779" spans="1:14" x14ac:dyDescent="0.25">
      <c r="A779">
        <v>2014</v>
      </c>
      <c r="B779">
        <v>237</v>
      </c>
      <c r="C779" t="s">
        <v>108</v>
      </c>
      <c r="D779" t="s">
        <v>54</v>
      </c>
      <c r="E779" s="5" t="s">
        <v>109</v>
      </c>
      <c r="F779" s="5" t="s">
        <v>109</v>
      </c>
      <c r="G779" s="5">
        <v>0.22600000000000001</v>
      </c>
      <c r="H779" s="5">
        <v>0.21</v>
      </c>
      <c r="I779" s="5">
        <v>0.217</v>
      </c>
      <c r="J779" s="5">
        <v>0.20199999999999999</v>
      </c>
      <c r="K779" s="5">
        <v>0.187</v>
      </c>
      <c r="L779" s="5">
        <v>0.19399999999999998</v>
      </c>
      <c r="M779" s="5">
        <v>0.16</v>
      </c>
      <c r="N779" s="5">
        <v>8.8000000000000009E-2</v>
      </c>
    </row>
    <row r="780" spans="1:14" x14ac:dyDescent="0.25">
      <c r="A780">
        <v>2014</v>
      </c>
      <c r="B780">
        <v>237</v>
      </c>
      <c r="C780" t="s">
        <v>108</v>
      </c>
      <c r="D780" t="s">
        <v>35</v>
      </c>
      <c r="E780" s="5" t="s">
        <v>109</v>
      </c>
      <c r="F780" s="5">
        <v>0.23</v>
      </c>
      <c r="G780" s="5">
        <v>0.20800000000000002</v>
      </c>
      <c r="H780" s="5">
        <v>0.17199999999999999</v>
      </c>
      <c r="I780" s="5">
        <v>0.152</v>
      </c>
      <c r="J780" s="5">
        <v>0.159</v>
      </c>
      <c r="K780" s="5">
        <v>0.15</v>
      </c>
      <c r="L780" s="5">
        <v>0.17</v>
      </c>
      <c r="M780" s="5">
        <v>0.192</v>
      </c>
      <c r="N780" s="5">
        <v>0.154</v>
      </c>
    </row>
    <row r="781" spans="1:14" x14ac:dyDescent="0.25">
      <c r="A781">
        <v>2014</v>
      </c>
      <c r="B781">
        <v>237</v>
      </c>
      <c r="C781" t="s">
        <v>108</v>
      </c>
      <c r="D781" t="s">
        <v>37</v>
      </c>
      <c r="E781" s="5" t="s">
        <v>109</v>
      </c>
      <c r="F781" s="5">
        <v>0.23699999999999999</v>
      </c>
      <c r="G781" s="5">
        <v>0.23699999999999999</v>
      </c>
      <c r="H781" s="5">
        <v>0.22600000000000001</v>
      </c>
      <c r="I781" s="5">
        <v>0.19800000000000001</v>
      </c>
      <c r="J781" s="5">
        <v>0.188</v>
      </c>
      <c r="K781" s="5">
        <v>0.17199999999999999</v>
      </c>
      <c r="L781" s="5">
        <v>0.16</v>
      </c>
      <c r="M781" s="5">
        <v>0.18100000000000002</v>
      </c>
      <c r="N781" s="5">
        <v>0.17699999999999999</v>
      </c>
    </row>
    <row r="782" spans="1:14" x14ac:dyDescent="0.25">
      <c r="A782">
        <v>2014</v>
      </c>
      <c r="B782">
        <v>237</v>
      </c>
      <c r="C782" t="s">
        <v>108</v>
      </c>
      <c r="D782" t="s">
        <v>40</v>
      </c>
      <c r="E782" s="5" t="s">
        <v>109</v>
      </c>
      <c r="F782" s="5">
        <v>0.19500000000000001</v>
      </c>
      <c r="G782" s="5">
        <v>0.215</v>
      </c>
      <c r="H782" s="5">
        <v>0.20199999999999999</v>
      </c>
      <c r="I782" s="5">
        <v>0.19399999999999998</v>
      </c>
      <c r="J782" s="5">
        <v>0.18899999999999997</v>
      </c>
      <c r="K782" s="5">
        <v>0.17</v>
      </c>
      <c r="L782" s="5">
        <v>0.14899999999999999</v>
      </c>
      <c r="M782" s="5">
        <v>0.18</v>
      </c>
      <c r="N782" s="5">
        <v>0.14599999999999999</v>
      </c>
    </row>
    <row r="783" spans="1:14" x14ac:dyDescent="0.25">
      <c r="A783">
        <v>2014</v>
      </c>
      <c r="B783">
        <v>237</v>
      </c>
      <c r="C783" t="s">
        <v>108</v>
      </c>
      <c r="D783" t="s">
        <v>41</v>
      </c>
      <c r="E783" s="5" t="s">
        <v>109</v>
      </c>
      <c r="F783" s="5">
        <v>0.22699999999999998</v>
      </c>
      <c r="G783" s="5">
        <v>0.24399999999999999</v>
      </c>
      <c r="H783" s="5">
        <v>0.19800000000000001</v>
      </c>
      <c r="I783" s="5">
        <v>0.17300000000000001</v>
      </c>
      <c r="J783" s="5">
        <v>0.18</v>
      </c>
      <c r="K783" s="5">
        <v>0.19899999999999998</v>
      </c>
      <c r="L783" s="5">
        <v>0.18</v>
      </c>
      <c r="M783" s="5">
        <v>0.17800000000000002</v>
      </c>
      <c r="N783" s="5">
        <v>0.16500000000000001</v>
      </c>
    </row>
    <row r="784" spans="1:14" x14ac:dyDescent="0.25">
      <c r="A784">
        <v>2014</v>
      </c>
      <c r="B784">
        <v>237</v>
      </c>
      <c r="C784" t="s">
        <v>108</v>
      </c>
      <c r="D784" t="s">
        <v>43</v>
      </c>
      <c r="E784" s="5">
        <v>0.24600000000000002</v>
      </c>
      <c r="F784" s="5">
        <v>0.222</v>
      </c>
      <c r="G784" s="5">
        <v>0.17499999999999999</v>
      </c>
      <c r="H784" s="5">
        <v>0.16500000000000001</v>
      </c>
      <c r="I784" s="5">
        <v>0.154</v>
      </c>
      <c r="J784" s="5">
        <v>0.14099999999999999</v>
      </c>
      <c r="K784" s="5">
        <v>0.11900000000000001</v>
      </c>
      <c r="L784" s="5">
        <v>0.11199999999999999</v>
      </c>
      <c r="M784" s="5">
        <v>0.13699999999999998</v>
      </c>
      <c r="N784" s="5">
        <v>0.122</v>
      </c>
    </row>
    <row r="785" spans="1:14" x14ac:dyDescent="0.25">
      <c r="A785">
        <v>2014</v>
      </c>
      <c r="B785">
        <v>237</v>
      </c>
      <c r="C785" t="s">
        <v>108</v>
      </c>
      <c r="D785" t="s">
        <v>44</v>
      </c>
      <c r="E785" s="5" t="s">
        <v>109</v>
      </c>
      <c r="F785" s="5">
        <v>0.221</v>
      </c>
      <c r="G785" s="5">
        <v>0.16200000000000001</v>
      </c>
      <c r="H785" s="5">
        <v>0.13500000000000001</v>
      </c>
      <c r="I785" s="5">
        <v>0.107</v>
      </c>
      <c r="J785" s="5">
        <v>0.1</v>
      </c>
      <c r="K785" s="5">
        <v>9.9000000000000005E-2</v>
      </c>
      <c r="L785" s="5">
        <v>0.10099999999999999</v>
      </c>
      <c r="M785" s="5">
        <v>0.14099999999999999</v>
      </c>
      <c r="N785" s="5">
        <v>0.13200000000000001</v>
      </c>
    </row>
    <row r="786" spans="1:14" x14ac:dyDescent="0.25">
      <c r="A786">
        <v>2014</v>
      </c>
      <c r="B786">
        <v>237</v>
      </c>
      <c r="C786" t="s">
        <v>108</v>
      </c>
      <c r="D786" t="s">
        <v>38</v>
      </c>
      <c r="E786" s="5" t="s">
        <v>109</v>
      </c>
      <c r="F786" s="5">
        <v>0.22399999999999998</v>
      </c>
      <c r="G786" s="5">
        <v>0.245</v>
      </c>
      <c r="H786" s="5">
        <v>0.23399999999999999</v>
      </c>
      <c r="I786" s="5">
        <v>0.191</v>
      </c>
      <c r="J786" s="5">
        <v>0.17</v>
      </c>
      <c r="K786" s="5">
        <v>0.14400000000000002</v>
      </c>
      <c r="L786" s="5">
        <v>0.17499999999999999</v>
      </c>
      <c r="M786" s="5">
        <v>0.17499999999999999</v>
      </c>
      <c r="N786" s="5">
        <v>0.153</v>
      </c>
    </row>
    <row r="787" spans="1:14" x14ac:dyDescent="0.25">
      <c r="A787">
        <v>2014</v>
      </c>
      <c r="B787">
        <v>237</v>
      </c>
      <c r="C787" t="s">
        <v>108</v>
      </c>
      <c r="D787" t="s">
        <v>85</v>
      </c>
      <c r="E787" s="5">
        <v>0.20100000000000001</v>
      </c>
      <c r="F787" s="5">
        <v>0.19800000000000001</v>
      </c>
      <c r="G787" s="5">
        <v>0.22600000000000001</v>
      </c>
      <c r="H787" s="5">
        <v>0.23699999999999999</v>
      </c>
      <c r="I787" s="5">
        <v>0.22800000000000001</v>
      </c>
      <c r="J787" s="5">
        <v>0.19600000000000001</v>
      </c>
      <c r="K787" s="5">
        <v>0.17899999999999999</v>
      </c>
      <c r="L787" s="5">
        <v>0.16399999999999998</v>
      </c>
      <c r="M787" s="5">
        <v>0.183</v>
      </c>
      <c r="N787" s="5">
        <v>0.14699999999999999</v>
      </c>
    </row>
    <row r="788" spans="1:14" x14ac:dyDescent="0.25">
      <c r="A788">
        <v>2014</v>
      </c>
      <c r="B788">
        <v>237</v>
      </c>
      <c r="C788" t="s">
        <v>108</v>
      </c>
      <c r="D788" t="s">
        <v>84</v>
      </c>
      <c r="E788" s="5" t="s">
        <v>109</v>
      </c>
      <c r="F788" s="5">
        <v>0.22600000000000001</v>
      </c>
      <c r="G788" s="5">
        <v>0.25600000000000001</v>
      </c>
      <c r="H788" s="5">
        <v>0.24399999999999999</v>
      </c>
      <c r="I788" s="5">
        <v>0.23199999999999998</v>
      </c>
      <c r="J788" s="5">
        <v>0.214</v>
      </c>
      <c r="K788" s="5">
        <v>0.21600000000000003</v>
      </c>
      <c r="L788" s="5">
        <v>0.161</v>
      </c>
      <c r="M788" s="5">
        <v>0.16</v>
      </c>
      <c r="N788" s="5">
        <v>0.14099999999999999</v>
      </c>
    </row>
    <row r="789" spans="1:14" x14ac:dyDescent="0.25">
      <c r="A789">
        <v>2014</v>
      </c>
      <c r="B789">
        <v>237</v>
      </c>
      <c r="C789" t="s">
        <v>108</v>
      </c>
      <c r="D789" t="s">
        <v>42</v>
      </c>
      <c r="E789" s="5" t="s">
        <v>109</v>
      </c>
      <c r="F789" s="5">
        <v>0.23199999999999998</v>
      </c>
      <c r="G789" s="5">
        <v>0.23199999999999998</v>
      </c>
      <c r="H789" s="5">
        <v>0.23899999999999999</v>
      </c>
      <c r="I789" s="5">
        <v>0.22399999999999998</v>
      </c>
      <c r="J789" s="5">
        <v>0.21199999999999999</v>
      </c>
      <c r="K789" s="5">
        <v>0.20499999999999999</v>
      </c>
      <c r="L789" s="5">
        <v>0.17899999999999999</v>
      </c>
      <c r="M789" s="5">
        <v>0.20399999999999999</v>
      </c>
      <c r="N789" s="5">
        <v>0.15</v>
      </c>
    </row>
    <row r="790" spans="1:14" x14ac:dyDescent="0.25">
      <c r="A790">
        <v>2014</v>
      </c>
      <c r="B790">
        <v>237</v>
      </c>
      <c r="C790" t="s">
        <v>108</v>
      </c>
      <c r="D790" t="s">
        <v>83</v>
      </c>
      <c r="E790" s="5">
        <v>0.17199999999999999</v>
      </c>
      <c r="F790" s="5">
        <v>0.16200000000000001</v>
      </c>
      <c r="G790" s="5">
        <v>0.214</v>
      </c>
      <c r="H790" s="5">
        <v>0.22800000000000001</v>
      </c>
      <c r="I790" s="5">
        <v>0.20100000000000001</v>
      </c>
      <c r="J790" s="5">
        <v>0.16300000000000001</v>
      </c>
      <c r="K790" s="5">
        <v>0.12300000000000001</v>
      </c>
      <c r="L790" s="5">
        <v>0.124</v>
      </c>
      <c r="M790" s="5">
        <v>0.13300000000000001</v>
      </c>
      <c r="N790" s="5">
        <v>0.10800000000000001</v>
      </c>
    </row>
    <row r="791" spans="1:14" x14ac:dyDescent="0.25">
      <c r="A791">
        <v>2014</v>
      </c>
      <c r="B791">
        <v>237</v>
      </c>
      <c r="C791" t="s">
        <v>108</v>
      </c>
      <c r="D791" t="s">
        <v>82</v>
      </c>
      <c r="E791" s="5">
        <v>0.17300000000000001</v>
      </c>
      <c r="F791" s="5">
        <v>0.16600000000000001</v>
      </c>
      <c r="G791" s="5">
        <v>0.16500000000000001</v>
      </c>
      <c r="H791" s="5">
        <v>0.19600000000000001</v>
      </c>
      <c r="I791" s="5">
        <v>0.22</v>
      </c>
      <c r="J791" s="5">
        <v>0.19899999999999998</v>
      </c>
      <c r="K791" s="5">
        <v>0.17</v>
      </c>
      <c r="L791" s="5">
        <v>0.14499999999999999</v>
      </c>
      <c r="M791" s="5">
        <v>0.16500000000000001</v>
      </c>
      <c r="N791" s="5">
        <v>0.155</v>
      </c>
    </row>
    <row r="792" spans="1:14" x14ac:dyDescent="0.25">
      <c r="A792">
        <v>2014</v>
      </c>
      <c r="B792">
        <v>237</v>
      </c>
      <c r="C792" t="s">
        <v>108</v>
      </c>
      <c r="D792" t="s">
        <v>72</v>
      </c>
      <c r="E792" s="5" t="s">
        <v>109</v>
      </c>
      <c r="F792" s="5">
        <v>0.22800000000000001</v>
      </c>
      <c r="G792" s="5">
        <v>0.23199999999999998</v>
      </c>
      <c r="H792" s="5">
        <v>0.22600000000000001</v>
      </c>
      <c r="I792" s="5">
        <v>0.18600000000000003</v>
      </c>
      <c r="J792" s="5">
        <v>0.14800000000000002</v>
      </c>
      <c r="K792" s="5">
        <v>0.13800000000000001</v>
      </c>
      <c r="L792" s="5">
        <v>0.16500000000000001</v>
      </c>
      <c r="M792" s="5">
        <v>0.17699999999999999</v>
      </c>
      <c r="N792" s="5">
        <v>0.157</v>
      </c>
    </row>
    <row r="793" spans="1:14" x14ac:dyDescent="0.25">
      <c r="A793">
        <v>2014</v>
      </c>
      <c r="B793">
        <v>237</v>
      </c>
      <c r="C793" t="s">
        <v>108</v>
      </c>
      <c r="D793" t="s">
        <v>39</v>
      </c>
      <c r="E793" s="5">
        <v>0.19899999999999998</v>
      </c>
      <c r="F793" s="5">
        <v>0.2</v>
      </c>
      <c r="G793" s="5">
        <v>0.193</v>
      </c>
      <c r="H793" s="5">
        <v>0.23699999999999999</v>
      </c>
      <c r="I793" s="5">
        <v>0.22699999999999998</v>
      </c>
      <c r="J793" s="5">
        <v>0.20499999999999999</v>
      </c>
      <c r="K793" s="5">
        <v>0.20899999999999999</v>
      </c>
      <c r="L793" s="5">
        <v>0.19699999999999998</v>
      </c>
      <c r="M793" s="5">
        <v>0.19500000000000001</v>
      </c>
      <c r="N793" s="5">
        <v>0.16699999999999998</v>
      </c>
    </row>
    <row r="794" spans="1:14" x14ac:dyDescent="0.25">
      <c r="A794">
        <v>2014</v>
      </c>
      <c r="B794">
        <v>237</v>
      </c>
      <c r="C794" t="s">
        <v>108</v>
      </c>
      <c r="D794" t="s">
        <v>86</v>
      </c>
      <c r="E794" s="5">
        <v>0.16699999999999998</v>
      </c>
      <c r="F794" s="5">
        <v>0.17</v>
      </c>
      <c r="G794" s="5">
        <v>0.21899999999999997</v>
      </c>
      <c r="H794" s="5">
        <v>0.221</v>
      </c>
      <c r="I794" s="5">
        <v>0.21</v>
      </c>
      <c r="J794" s="5">
        <v>0.17800000000000002</v>
      </c>
      <c r="K794" s="5">
        <v>0.17</v>
      </c>
      <c r="L794" s="5">
        <v>0.17499999999999999</v>
      </c>
      <c r="M794" s="5">
        <v>0.188</v>
      </c>
      <c r="N794" s="5">
        <v>0.16500000000000001</v>
      </c>
    </row>
    <row r="795" spans="1:14" x14ac:dyDescent="0.25">
      <c r="A795">
        <v>2014</v>
      </c>
      <c r="B795">
        <v>237</v>
      </c>
      <c r="C795" t="s">
        <v>108</v>
      </c>
      <c r="D795" t="s">
        <v>87</v>
      </c>
      <c r="E795" s="5" t="s">
        <v>109</v>
      </c>
      <c r="F795" s="5">
        <v>0.184</v>
      </c>
      <c r="G795" s="5">
        <v>0.20600000000000002</v>
      </c>
      <c r="H795" s="5">
        <v>0.24399999999999999</v>
      </c>
      <c r="I795" s="5">
        <v>0.217</v>
      </c>
      <c r="J795" s="5">
        <v>0.19899999999999998</v>
      </c>
      <c r="K795" s="5">
        <v>0.191</v>
      </c>
      <c r="L795" s="5">
        <v>0.16600000000000001</v>
      </c>
      <c r="M795" s="5">
        <v>0.188</v>
      </c>
      <c r="N795" s="5">
        <v>0.159</v>
      </c>
    </row>
    <row r="796" spans="1:14" x14ac:dyDescent="0.25">
      <c r="A796">
        <v>2014</v>
      </c>
      <c r="B796">
        <v>237</v>
      </c>
      <c r="C796" t="s">
        <v>108</v>
      </c>
      <c r="D796" t="s">
        <v>88</v>
      </c>
      <c r="E796" s="5">
        <v>0.217</v>
      </c>
      <c r="F796" s="5">
        <v>0.20100000000000001</v>
      </c>
      <c r="G796" s="5">
        <v>0.20699999999999999</v>
      </c>
      <c r="H796" s="5">
        <v>0.21100000000000002</v>
      </c>
      <c r="I796" s="5">
        <v>0.193</v>
      </c>
      <c r="J796" s="5">
        <v>0.17300000000000001</v>
      </c>
      <c r="K796" s="5">
        <v>0.16399999999999998</v>
      </c>
      <c r="L796" s="5">
        <v>0.13900000000000001</v>
      </c>
      <c r="M796" s="5">
        <v>0.14899999999999999</v>
      </c>
      <c r="N796" s="5">
        <v>0.122</v>
      </c>
    </row>
    <row r="797" spans="1:14" x14ac:dyDescent="0.25">
      <c r="A797">
        <v>2014</v>
      </c>
      <c r="B797">
        <v>237</v>
      </c>
      <c r="C797" t="s">
        <v>108</v>
      </c>
      <c r="D797" t="s">
        <v>36</v>
      </c>
      <c r="E797" s="5">
        <v>0.151</v>
      </c>
      <c r="F797" s="5">
        <v>0.15</v>
      </c>
      <c r="G797" s="5">
        <v>0.16200000000000001</v>
      </c>
      <c r="H797" s="5">
        <v>0.17699999999999999</v>
      </c>
      <c r="I797" s="5">
        <v>0.18</v>
      </c>
      <c r="J797" s="5">
        <v>0.16300000000000001</v>
      </c>
      <c r="K797" s="5">
        <v>0.14599999999999999</v>
      </c>
      <c r="L797" s="5">
        <v>0.14400000000000002</v>
      </c>
      <c r="M797" s="5">
        <v>0.16500000000000001</v>
      </c>
      <c r="N797" s="5">
        <v>0.14000000000000001</v>
      </c>
    </row>
    <row r="798" spans="1:14" x14ac:dyDescent="0.25">
      <c r="A798">
        <v>2014</v>
      </c>
      <c r="B798">
        <v>237</v>
      </c>
      <c r="C798" t="s">
        <v>108</v>
      </c>
      <c r="D798" t="s">
        <v>94</v>
      </c>
      <c r="E798" s="5" t="s">
        <v>109</v>
      </c>
      <c r="F798" s="5">
        <v>0.193</v>
      </c>
      <c r="G798" s="5">
        <v>0.188</v>
      </c>
      <c r="H798" s="5">
        <v>0.17800000000000002</v>
      </c>
      <c r="I798" s="5">
        <v>0.161</v>
      </c>
      <c r="J798" s="5">
        <v>0.12300000000000001</v>
      </c>
      <c r="K798" s="5">
        <v>0.12300000000000001</v>
      </c>
      <c r="L798" s="5">
        <v>0.14699999999999999</v>
      </c>
      <c r="M798" s="5">
        <v>0.14499999999999999</v>
      </c>
      <c r="N798" s="5">
        <v>0.114</v>
      </c>
    </row>
    <row r="799" spans="1:14" x14ac:dyDescent="0.25">
      <c r="A799">
        <v>2014</v>
      </c>
      <c r="B799">
        <v>237</v>
      </c>
      <c r="C799" t="s">
        <v>108</v>
      </c>
      <c r="D799" t="s">
        <v>93</v>
      </c>
      <c r="E799" s="5">
        <v>0.20300000000000001</v>
      </c>
      <c r="F799" s="5">
        <v>0.19800000000000001</v>
      </c>
      <c r="G799" s="5">
        <v>0.184</v>
      </c>
      <c r="H799" s="5">
        <v>0.16500000000000001</v>
      </c>
      <c r="I799" s="5">
        <v>0.13100000000000001</v>
      </c>
      <c r="J799" s="5">
        <v>0.12300000000000001</v>
      </c>
      <c r="K799" s="5">
        <v>0.113</v>
      </c>
      <c r="L799" s="5">
        <v>0.14800000000000002</v>
      </c>
      <c r="M799" s="5">
        <v>0.16500000000000001</v>
      </c>
      <c r="N799" s="5">
        <v>0.13300000000000001</v>
      </c>
    </row>
    <row r="800" spans="1:14" x14ac:dyDescent="0.25">
      <c r="A800">
        <v>2014</v>
      </c>
      <c r="B800">
        <v>237</v>
      </c>
      <c r="C800" t="s">
        <v>108</v>
      </c>
      <c r="D800" t="s">
        <v>92</v>
      </c>
      <c r="E800" s="5" t="s">
        <v>109</v>
      </c>
      <c r="F800" s="5">
        <v>0.18600000000000003</v>
      </c>
      <c r="G800" s="5">
        <v>0.191</v>
      </c>
      <c r="H800" s="5">
        <v>0.17</v>
      </c>
      <c r="I800" s="5">
        <v>0.16300000000000001</v>
      </c>
      <c r="J800" s="5">
        <v>0.154</v>
      </c>
      <c r="K800" s="5">
        <v>0.13800000000000001</v>
      </c>
      <c r="L800" s="5">
        <v>0.16800000000000001</v>
      </c>
      <c r="M800" s="5">
        <v>0.17499999999999999</v>
      </c>
      <c r="N800" s="5">
        <v>0.13900000000000001</v>
      </c>
    </row>
    <row r="801" spans="1:14" x14ac:dyDescent="0.25">
      <c r="A801">
        <v>2014</v>
      </c>
      <c r="B801">
        <v>237</v>
      </c>
      <c r="C801" t="s">
        <v>108</v>
      </c>
      <c r="D801" t="s">
        <v>91</v>
      </c>
      <c r="E801" s="5">
        <v>0.155</v>
      </c>
      <c r="F801" s="5">
        <v>0.182</v>
      </c>
      <c r="G801" s="5">
        <v>0.24</v>
      </c>
      <c r="H801" s="5">
        <v>0.24299999999999999</v>
      </c>
      <c r="I801" s="5">
        <v>0.23800000000000002</v>
      </c>
      <c r="J801" s="5">
        <v>0.23499999999999999</v>
      </c>
      <c r="K801" s="5">
        <v>0.191</v>
      </c>
      <c r="L801" s="5">
        <v>0.18600000000000003</v>
      </c>
      <c r="M801" s="5">
        <v>0.193</v>
      </c>
      <c r="N801" s="5">
        <v>0.16800000000000001</v>
      </c>
    </row>
    <row r="802" spans="1:14" x14ac:dyDescent="0.25">
      <c r="A802">
        <v>2014</v>
      </c>
      <c r="B802">
        <v>237</v>
      </c>
      <c r="C802" t="s">
        <v>108</v>
      </c>
      <c r="D802" t="s">
        <v>90</v>
      </c>
      <c r="E802" s="5" t="s">
        <v>109</v>
      </c>
      <c r="F802" s="5">
        <v>0.19800000000000001</v>
      </c>
      <c r="G802" s="5">
        <v>0.188</v>
      </c>
      <c r="H802" s="5">
        <v>0.20199999999999999</v>
      </c>
      <c r="I802" s="5">
        <v>0.184</v>
      </c>
      <c r="J802" s="5">
        <v>0.182</v>
      </c>
      <c r="K802" s="5">
        <v>0.19500000000000001</v>
      </c>
      <c r="L802" s="5">
        <v>0.16200000000000001</v>
      </c>
      <c r="M802" s="5">
        <v>0.154</v>
      </c>
      <c r="N802" s="5">
        <v>0.11800000000000001</v>
      </c>
    </row>
    <row r="803" spans="1:14" x14ac:dyDescent="0.25">
      <c r="A803">
        <v>2014</v>
      </c>
      <c r="B803">
        <v>237</v>
      </c>
      <c r="C803" t="s">
        <v>108</v>
      </c>
      <c r="D803" t="s">
        <v>89</v>
      </c>
      <c r="E803" s="5">
        <v>0.16699999999999998</v>
      </c>
      <c r="F803" s="5">
        <v>0.17</v>
      </c>
      <c r="G803" s="5">
        <v>0.19800000000000001</v>
      </c>
      <c r="H803" s="5">
        <v>0.215</v>
      </c>
      <c r="I803" s="5">
        <v>0.21</v>
      </c>
      <c r="J803" s="5">
        <v>0.19800000000000001</v>
      </c>
      <c r="K803" s="5">
        <v>0.191</v>
      </c>
      <c r="L803" s="5">
        <v>0.16300000000000001</v>
      </c>
      <c r="M803" s="5">
        <v>0.16800000000000001</v>
      </c>
      <c r="N803" s="5">
        <v>0.14400000000000002</v>
      </c>
    </row>
    <row r="804" spans="1:14" x14ac:dyDescent="0.25">
      <c r="A804">
        <v>2014</v>
      </c>
      <c r="B804">
        <v>237</v>
      </c>
      <c r="C804" t="s">
        <v>108</v>
      </c>
      <c r="D804" t="s">
        <v>45</v>
      </c>
      <c r="E804" s="5" t="s">
        <v>109</v>
      </c>
      <c r="F804" s="5">
        <v>0.218</v>
      </c>
      <c r="G804" s="5">
        <v>0.21899999999999997</v>
      </c>
      <c r="H804" s="5">
        <v>0.221</v>
      </c>
      <c r="I804" s="5">
        <v>0.20899999999999999</v>
      </c>
      <c r="J804" s="5">
        <v>0.183</v>
      </c>
      <c r="K804" s="5">
        <v>0.17399999999999999</v>
      </c>
      <c r="L804" s="5">
        <v>0.185</v>
      </c>
      <c r="M804" s="5">
        <v>0.20199999999999999</v>
      </c>
      <c r="N804" s="5">
        <v>0.157</v>
      </c>
    </row>
    <row r="805" spans="1:14" x14ac:dyDescent="0.25">
      <c r="A805">
        <v>2014</v>
      </c>
      <c r="B805">
        <v>237</v>
      </c>
      <c r="C805" t="s">
        <v>108</v>
      </c>
      <c r="D805" t="s">
        <v>46</v>
      </c>
      <c r="E805" s="5">
        <v>0.22800000000000001</v>
      </c>
      <c r="F805" s="5">
        <v>0.22800000000000001</v>
      </c>
      <c r="G805" s="5">
        <v>0.22899999999999998</v>
      </c>
      <c r="H805" s="5">
        <v>0.21899999999999997</v>
      </c>
      <c r="I805" s="5">
        <v>0.19699999999999998</v>
      </c>
      <c r="J805" s="5">
        <v>0.2</v>
      </c>
      <c r="K805" s="5">
        <v>0.19899999999999998</v>
      </c>
      <c r="L805" s="5">
        <v>0.191</v>
      </c>
      <c r="M805" s="5">
        <v>0.17699999999999999</v>
      </c>
      <c r="N805" s="5">
        <v>0.127</v>
      </c>
    </row>
    <row r="806" spans="1:14" x14ac:dyDescent="0.25">
      <c r="A806">
        <v>2014</v>
      </c>
      <c r="B806">
        <v>237</v>
      </c>
      <c r="C806" t="s">
        <v>108</v>
      </c>
      <c r="D806" t="s">
        <v>47</v>
      </c>
      <c r="E806" s="5" t="s">
        <v>109</v>
      </c>
      <c r="F806" s="5">
        <v>0.19600000000000001</v>
      </c>
      <c r="G806" s="5">
        <v>0.2</v>
      </c>
      <c r="H806" s="5">
        <v>0.18899999999999997</v>
      </c>
      <c r="I806" s="5">
        <v>0.16899999999999998</v>
      </c>
      <c r="J806" s="5">
        <v>0.17</v>
      </c>
      <c r="K806" s="5">
        <v>0.16800000000000001</v>
      </c>
      <c r="L806" s="5">
        <v>0.18</v>
      </c>
      <c r="M806" s="5">
        <v>0.16899999999999998</v>
      </c>
      <c r="N806" s="5">
        <v>0.11800000000000001</v>
      </c>
    </row>
    <row r="807" spans="1:14" x14ac:dyDescent="0.25">
      <c r="A807">
        <v>2014</v>
      </c>
      <c r="B807">
        <v>237</v>
      </c>
      <c r="C807" t="s">
        <v>108</v>
      </c>
      <c r="D807" t="s">
        <v>48</v>
      </c>
      <c r="E807" s="5">
        <v>0.13600000000000001</v>
      </c>
      <c r="F807" s="5">
        <v>0.125</v>
      </c>
      <c r="G807" s="5">
        <v>0.109</v>
      </c>
      <c r="H807" s="5">
        <v>0.10199999999999999</v>
      </c>
      <c r="I807" s="5">
        <v>8.4000000000000005E-2</v>
      </c>
      <c r="J807" s="5">
        <v>8.5000000000000006E-2</v>
      </c>
      <c r="K807" s="5">
        <v>9.1999999999999998E-2</v>
      </c>
      <c r="L807" s="5">
        <v>0.14899999999999999</v>
      </c>
      <c r="M807" s="5">
        <v>0.192</v>
      </c>
      <c r="N807" s="5">
        <v>0.158</v>
      </c>
    </row>
    <row r="808" spans="1:14" x14ac:dyDescent="0.25">
      <c r="A808">
        <v>2014</v>
      </c>
      <c r="B808">
        <v>237</v>
      </c>
      <c r="C808" t="s">
        <v>108</v>
      </c>
      <c r="D808" t="s">
        <v>49</v>
      </c>
      <c r="E808" s="5">
        <v>0.17600000000000002</v>
      </c>
      <c r="F808" s="5">
        <v>0.20300000000000001</v>
      </c>
      <c r="G808" s="5">
        <v>0.21600000000000003</v>
      </c>
      <c r="H808" s="5">
        <v>0.21600000000000003</v>
      </c>
      <c r="I808" s="5">
        <v>0.18</v>
      </c>
      <c r="J808" s="5">
        <v>0.157</v>
      </c>
      <c r="K808" s="5">
        <v>0.13600000000000001</v>
      </c>
      <c r="L808" s="5">
        <v>0.14199999999999999</v>
      </c>
      <c r="M808" s="5">
        <v>0.16300000000000001</v>
      </c>
      <c r="N808" s="5">
        <v>0.128</v>
      </c>
    </row>
    <row r="809" spans="1:14" x14ac:dyDescent="0.25">
      <c r="A809">
        <v>2014</v>
      </c>
      <c r="B809">
        <v>237</v>
      </c>
      <c r="C809" t="s">
        <v>108</v>
      </c>
      <c r="D809" t="s">
        <v>50</v>
      </c>
      <c r="E809" s="5">
        <v>0.193</v>
      </c>
      <c r="F809" s="5">
        <v>0.215</v>
      </c>
      <c r="G809" s="5">
        <v>0.19</v>
      </c>
      <c r="H809" s="5">
        <v>0.17100000000000001</v>
      </c>
      <c r="I809" s="5">
        <v>0.14800000000000002</v>
      </c>
      <c r="J809" s="5">
        <v>0.151</v>
      </c>
      <c r="K809" s="5">
        <v>0.14599999999999999</v>
      </c>
      <c r="L809" s="5">
        <v>0.14499999999999999</v>
      </c>
      <c r="M809" s="5">
        <v>0.17899999999999999</v>
      </c>
      <c r="N809" s="5">
        <v>0.14599999999999999</v>
      </c>
    </row>
    <row r="810" spans="1:14" x14ac:dyDescent="0.25">
      <c r="A810">
        <v>2014</v>
      </c>
      <c r="B810">
        <v>245</v>
      </c>
      <c r="C810" t="s">
        <v>108</v>
      </c>
      <c r="D810" t="s">
        <v>35</v>
      </c>
      <c r="E810" s="5" t="s">
        <v>109</v>
      </c>
      <c r="F810" s="5">
        <v>0.253</v>
      </c>
      <c r="G810" s="5">
        <v>0.23100000000000001</v>
      </c>
      <c r="H810" s="5">
        <v>0.182</v>
      </c>
      <c r="I810" s="5">
        <v>0.16500000000000001</v>
      </c>
      <c r="J810" s="5">
        <v>0.16300000000000001</v>
      </c>
      <c r="K810" s="5">
        <v>0.17499999999999999</v>
      </c>
      <c r="L810" s="5">
        <v>0.17899999999999999</v>
      </c>
      <c r="M810" s="5">
        <v>0.18899999999999997</v>
      </c>
      <c r="N810" s="5">
        <v>0.126</v>
      </c>
    </row>
    <row r="811" spans="1:14" x14ac:dyDescent="0.25">
      <c r="A811">
        <v>2014</v>
      </c>
      <c r="B811">
        <v>245</v>
      </c>
      <c r="C811" t="s">
        <v>108</v>
      </c>
      <c r="D811" t="s">
        <v>37</v>
      </c>
      <c r="E811" s="5" t="s">
        <v>109</v>
      </c>
      <c r="F811" s="5">
        <v>0.25800000000000001</v>
      </c>
      <c r="G811" s="5">
        <v>0.25600000000000001</v>
      </c>
      <c r="H811" s="5">
        <v>0.24</v>
      </c>
      <c r="I811" s="5">
        <v>0.21100000000000002</v>
      </c>
      <c r="J811" s="5">
        <v>0.2</v>
      </c>
      <c r="K811" s="5">
        <v>0.193</v>
      </c>
      <c r="L811" s="5">
        <v>0.161</v>
      </c>
      <c r="M811" s="5">
        <v>0.18100000000000002</v>
      </c>
      <c r="N811" s="5">
        <v>0.14400000000000002</v>
      </c>
    </row>
    <row r="812" spans="1:14" x14ac:dyDescent="0.25">
      <c r="A812">
        <v>2014</v>
      </c>
      <c r="B812">
        <v>245</v>
      </c>
      <c r="C812" t="s">
        <v>108</v>
      </c>
      <c r="D812" t="s">
        <v>40</v>
      </c>
      <c r="E812" s="5" t="s">
        <v>109</v>
      </c>
      <c r="F812" s="5">
        <v>0.217</v>
      </c>
      <c r="G812" s="5">
        <v>0.22</v>
      </c>
      <c r="H812" s="5">
        <v>0.21299999999999999</v>
      </c>
      <c r="I812" s="5">
        <v>0.19800000000000001</v>
      </c>
      <c r="J812" s="5">
        <v>0.192</v>
      </c>
      <c r="K812" s="5">
        <v>0.20300000000000001</v>
      </c>
      <c r="L812" s="5">
        <v>0.159</v>
      </c>
      <c r="M812" s="5">
        <v>0.187</v>
      </c>
      <c r="N812" s="5">
        <v>0.121</v>
      </c>
    </row>
    <row r="813" spans="1:14" x14ac:dyDescent="0.25">
      <c r="A813">
        <v>2014</v>
      </c>
      <c r="B813">
        <v>245</v>
      </c>
      <c r="C813" t="s">
        <v>108</v>
      </c>
      <c r="D813" t="s">
        <v>41</v>
      </c>
      <c r="E813" s="5" t="s">
        <v>109</v>
      </c>
      <c r="F813" s="5">
        <v>0.252</v>
      </c>
      <c r="G813" s="5">
        <v>0.26700000000000002</v>
      </c>
      <c r="H813" s="5">
        <v>0.222</v>
      </c>
      <c r="I813" s="5">
        <v>0.19</v>
      </c>
      <c r="J813" s="5">
        <v>0.188</v>
      </c>
      <c r="K813" s="5">
        <v>0.20899999999999999</v>
      </c>
      <c r="L813" s="5">
        <v>0.2</v>
      </c>
      <c r="M813" s="5">
        <v>0.17399999999999999</v>
      </c>
      <c r="N813" s="5">
        <v>0.128</v>
      </c>
    </row>
    <row r="814" spans="1:14" x14ac:dyDescent="0.25">
      <c r="A814">
        <v>2014</v>
      </c>
      <c r="B814">
        <v>245</v>
      </c>
      <c r="C814" t="s">
        <v>108</v>
      </c>
      <c r="D814" t="s">
        <v>43</v>
      </c>
      <c r="E814" s="5">
        <v>0.26300000000000001</v>
      </c>
      <c r="F814" s="5">
        <v>0.25700000000000001</v>
      </c>
      <c r="G814" s="5">
        <v>0.19500000000000001</v>
      </c>
      <c r="H814" s="5">
        <v>0.17300000000000001</v>
      </c>
      <c r="I814" s="5">
        <v>0.17300000000000001</v>
      </c>
      <c r="J814" s="5">
        <v>0.153</v>
      </c>
      <c r="K814" s="5">
        <v>0.13200000000000001</v>
      </c>
      <c r="L814" s="5">
        <v>0.122</v>
      </c>
      <c r="M814" s="5">
        <v>0.14199999999999999</v>
      </c>
      <c r="N814" s="5">
        <v>0.10099999999999999</v>
      </c>
    </row>
    <row r="815" spans="1:14" x14ac:dyDescent="0.25">
      <c r="A815">
        <v>2014</v>
      </c>
      <c r="B815">
        <v>245</v>
      </c>
      <c r="C815" t="s">
        <v>108</v>
      </c>
      <c r="D815" t="s">
        <v>44</v>
      </c>
      <c r="E815" s="5" t="s">
        <v>109</v>
      </c>
      <c r="F815" s="5">
        <v>0.22800000000000001</v>
      </c>
      <c r="G815" s="5">
        <v>0.17800000000000002</v>
      </c>
      <c r="H815" s="5">
        <v>0.13800000000000001</v>
      </c>
      <c r="I815" s="5">
        <v>0.114</v>
      </c>
      <c r="J815" s="5">
        <v>0.111</v>
      </c>
      <c r="K815" s="5">
        <v>0.10400000000000001</v>
      </c>
      <c r="L815" s="5">
        <v>0.11199999999999999</v>
      </c>
      <c r="M815" s="5">
        <v>0.14199999999999999</v>
      </c>
      <c r="N815" s="5">
        <v>9.8000000000000004E-2</v>
      </c>
    </row>
    <row r="816" spans="1:14" x14ac:dyDescent="0.25">
      <c r="A816">
        <v>2014</v>
      </c>
      <c r="B816">
        <v>245</v>
      </c>
      <c r="C816" t="s">
        <v>108</v>
      </c>
      <c r="D816" t="s">
        <v>38</v>
      </c>
      <c r="E816" s="5">
        <v>0.23100000000000001</v>
      </c>
      <c r="F816" s="5">
        <v>0.24199999999999999</v>
      </c>
      <c r="G816" s="5">
        <v>0.254</v>
      </c>
      <c r="H816" s="5">
        <v>0.254</v>
      </c>
      <c r="I816" s="5">
        <v>0.217</v>
      </c>
      <c r="J816" s="5">
        <v>0.19500000000000001</v>
      </c>
      <c r="K816" s="5">
        <v>0.159</v>
      </c>
      <c r="L816" s="5">
        <v>0.182</v>
      </c>
      <c r="M816" s="5">
        <v>0.19800000000000001</v>
      </c>
      <c r="N816" s="5">
        <v>0.157</v>
      </c>
    </row>
    <row r="817" spans="1:14" x14ac:dyDescent="0.25">
      <c r="A817">
        <v>2014</v>
      </c>
      <c r="B817">
        <v>245</v>
      </c>
      <c r="C817" t="s">
        <v>108</v>
      </c>
      <c r="D817" t="s">
        <v>85</v>
      </c>
      <c r="E817" s="5">
        <v>0.223</v>
      </c>
      <c r="F817" s="5">
        <v>0.21600000000000003</v>
      </c>
      <c r="G817" s="5">
        <v>0.23699999999999999</v>
      </c>
      <c r="H817" s="5">
        <v>0.255</v>
      </c>
      <c r="I817" s="5">
        <v>0.23899999999999999</v>
      </c>
      <c r="J817" s="5">
        <v>0.22500000000000001</v>
      </c>
      <c r="K817" s="5">
        <v>0.20499999999999999</v>
      </c>
      <c r="L817" s="5">
        <v>0.17300000000000001</v>
      </c>
      <c r="M817" s="5">
        <v>0.19699999999999998</v>
      </c>
      <c r="N817" s="5">
        <v>0.13400000000000001</v>
      </c>
    </row>
    <row r="818" spans="1:14" x14ac:dyDescent="0.25">
      <c r="A818">
        <v>2014</v>
      </c>
      <c r="B818">
        <v>245</v>
      </c>
      <c r="C818" t="s">
        <v>108</v>
      </c>
      <c r="D818" t="s">
        <v>84</v>
      </c>
      <c r="E818" s="5" t="s">
        <v>109</v>
      </c>
      <c r="F818" s="5">
        <v>0.24600000000000002</v>
      </c>
      <c r="G818" s="5">
        <v>0.26</v>
      </c>
      <c r="H818" s="5">
        <v>0.26600000000000001</v>
      </c>
      <c r="I818" s="5">
        <v>0.248</v>
      </c>
      <c r="J818" s="5">
        <v>0.23699999999999999</v>
      </c>
      <c r="K818" s="5">
        <v>0.23499999999999999</v>
      </c>
      <c r="L818" s="5">
        <v>0.18100000000000002</v>
      </c>
      <c r="M818" s="5">
        <v>0.17300000000000001</v>
      </c>
      <c r="N818" s="5">
        <v>0.128</v>
      </c>
    </row>
    <row r="819" spans="1:14" x14ac:dyDescent="0.25">
      <c r="A819">
        <v>2014</v>
      </c>
      <c r="B819">
        <v>245</v>
      </c>
      <c r="C819" t="s">
        <v>108</v>
      </c>
      <c r="D819" t="s">
        <v>42</v>
      </c>
      <c r="E819" s="5" t="s">
        <v>109</v>
      </c>
      <c r="F819" s="5">
        <v>0.253</v>
      </c>
      <c r="G819" s="5">
        <v>0.245</v>
      </c>
      <c r="H819" s="5">
        <v>0.26100000000000001</v>
      </c>
      <c r="I819" s="5">
        <v>0.23600000000000002</v>
      </c>
      <c r="J819" s="5">
        <v>0.245</v>
      </c>
      <c r="K819" s="5">
        <v>0.21899999999999997</v>
      </c>
      <c r="L819" s="5">
        <v>0.20199999999999999</v>
      </c>
      <c r="M819" s="5">
        <v>0.20499999999999999</v>
      </c>
      <c r="N819" s="5">
        <v>0.153</v>
      </c>
    </row>
    <row r="820" spans="1:14" x14ac:dyDescent="0.25">
      <c r="A820">
        <v>2014</v>
      </c>
      <c r="B820">
        <v>245</v>
      </c>
      <c r="C820" t="s">
        <v>108</v>
      </c>
      <c r="D820" t="s">
        <v>83</v>
      </c>
      <c r="E820" s="5">
        <v>0.18899999999999997</v>
      </c>
      <c r="F820" s="5">
        <v>0.16699999999999998</v>
      </c>
      <c r="G820" s="5">
        <v>0.20100000000000001</v>
      </c>
      <c r="H820" s="5">
        <v>0.23499999999999999</v>
      </c>
      <c r="I820" s="5">
        <v>0.21100000000000002</v>
      </c>
      <c r="J820" s="5">
        <v>0.18899999999999997</v>
      </c>
      <c r="K820" s="5">
        <v>0.14300000000000002</v>
      </c>
      <c r="L820" s="5">
        <v>0.13500000000000001</v>
      </c>
      <c r="M820" s="5">
        <v>0.14800000000000002</v>
      </c>
      <c r="N820" s="5">
        <v>0.105</v>
      </c>
    </row>
    <row r="821" spans="1:14" x14ac:dyDescent="0.25">
      <c r="A821">
        <v>2014</v>
      </c>
      <c r="B821">
        <v>245</v>
      </c>
      <c r="C821" t="s">
        <v>108</v>
      </c>
      <c r="D821" t="s">
        <v>82</v>
      </c>
      <c r="E821" s="5">
        <v>0.192</v>
      </c>
      <c r="F821" s="5">
        <v>0.18100000000000002</v>
      </c>
      <c r="G821" s="5">
        <v>0.17100000000000001</v>
      </c>
      <c r="H821" s="5">
        <v>0.19699999999999998</v>
      </c>
      <c r="I821" s="5">
        <v>0.23300000000000001</v>
      </c>
      <c r="J821" s="5">
        <v>0.23100000000000001</v>
      </c>
      <c r="K821" s="5">
        <v>0.19</v>
      </c>
      <c r="L821" s="5">
        <v>0.16699999999999998</v>
      </c>
      <c r="M821" s="5">
        <v>0.17</v>
      </c>
      <c r="N821" s="5">
        <v>0.14199999999999999</v>
      </c>
    </row>
    <row r="822" spans="1:14" x14ac:dyDescent="0.25">
      <c r="A822">
        <v>2014</v>
      </c>
      <c r="B822">
        <v>245</v>
      </c>
      <c r="C822" t="s">
        <v>108</v>
      </c>
      <c r="D822" t="s">
        <v>72</v>
      </c>
      <c r="E822" s="5" t="s">
        <v>109</v>
      </c>
      <c r="F822" s="5">
        <v>0.247</v>
      </c>
      <c r="G822" s="5">
        <v>0.23199999999999998</v>
      </c>
      <c r="H822" s="5">
        <v>0.223</v>
      </c>
      <c r="I822" s="5">
        <v>0.214</v>
      </c>
      <c r="J822" s="5">
        <v>0.16699999999999998</v>
      </c>
      <c r="K822" s="5">
        <v>0.14800000000000002</v>
      </c>
      <c r="L822" s="5">
        <v>0.18100000000000002</v>
      </c>
      <c r="M822" s="5">
        <v>0.191</v>
      </c>
      <c r="N822" s="5">
        <v>0.14899999999999999</v>
      </c>
    </row>
    <row r="823" spans="1:14" x14ac:dyDescent="0.25">
      <c r="A823">
        <v>2014</v>
      </c>
      <c r="B823">
        <v>245</v>
      </c>
      <c r="C823" t="s">
        <v>108</v>
      </c>
      <c r="D823" t="s">
        <v>39</v>
      </c>
      <c r="E823" s="5">
        <v>0.22</v>
      </c>
      <c r="F823" s="5">
        <v>0.222</v>
      </c>
      <c r="G823" s="5">
        <v>0.20300000000000001</v>
      </c>
      <c r="H823" s="5">
        <v>0.247</v>
      </c>
      <c r="I823" s="5">
        <v>0.25</v>
      </c>
      <c r="J823" s="5">
        <v>0.223</v>
      </c>
      <c r="K823" s="5">
        <v>0.23199999999999998</v>
      </c>
      <c r="L823" s="5">
        <v>0.22</v>
      </c>
      <c r="M823" s="5">
        <v>0.222</v>
      </c>
      <c r="N823" s="5">
        <v>0.159</v>
      </c>
    </row>
    <row r="824" spans="1:14" x14ac:dyDescent="0.25">
      <c r="A824">
        <v>2014</v>
      </c>
      <c r="B824">
        <v>245</v>
      </c>
      <c r="C824" t="s">
        <v>108</v>
      </c>
      <c r="D824" t="s">
        <v>86</v>
      </c>
      <c r="E824" s="5">
        <v>0.18100000000000002</v>
      </c>
      <c r="F824" s="5">
        <v>0.18600000000000003</v>
      </c>
      <c r="G824" s="5">
        <v>0.23399999999999999</v>
      </c>
      <c r="H824" s="5">
        <v>0.23499999999999999</v>
      </c>
      <c r="I824" s="5">
        <v>0.22600000000000001</v>
      </c>
      <c r="J824" s="5">
        <v>0.19500000000000001</v>
      </c>
      <c r="K824" s="5">
        <v>0.19</v>
      </c>
      <c r="L824" s="5">
        <v>0.19399999999999998</v>
      </c>
      <c r="M824" s="5">
        <v>0.20100000000000001</v>
      </c>
      <c r="N824" s="5">
        <v>0.15</v>
      </c>
    </row>
    <row r="825" spans="1:14" x14ac:dyDescent="0.25">
      <c r="A825">
        <v>2014</v>
      </c>
      <c r="B825">
        <v>245</v>
      </c>
      <c r="C825" t="s">
        <v>108</v>
      </c>
      <c r="D825" t="s">
        <v>87</v>
      </c>
      <c r="E825" s="5" t="s">
        <v>109</v>
      </c>
      <c r="F825" s="5">
        <v>0.20199999999999999</v>
      </c>
      <c r="G825" s="5">
        <v>0.21</v>
      </c>
      <c r="H825" s="5">
        <v>0.26400000000000001</v>
      </c>
      <c r="I825" s="5">
        <v>0.248</v>
      </c>
      <c r="J825" s="5">
        <v>0.215</v>
      </c>
      <c r="K825" s="5">
        <v>0.21199999999999999</v>
      </c>
      <c r="L825" s="5">
        <v>0.188</v>
      </c>
      <c r="M825" s="5">
        <v>0.19800000000000001</v>
      </c>
      <c r="N825" s="5">
        <v>0.152</v>
      </c>
    </row>
    <row r="826" spans="1:14" x14ac:dyDescent="0.25">
      <c r="A826">
        <v>2014</v>
      </c>
      <c r="B826">
        <v>245</v>
      </c>
      <c r="C826" t="s">
        <v>108</v>
      </c>
      <c r="D826" t="s">
        <v>88</v>
      </c>
      <c r="E826" s="5">
        <v>0.23399999999999999</v>
      </c>
      <c r="F826" s="5">
        <v>0.22699999999999998</v>
      </c>
      <c r="G826" s="5">
        <v>0.222</v>
      </c>
      <c r="H826" s="5">
        <v>0.222</v>
      </c>
      <c r="I826" s="5">
        <v>0.20600000000000002</v>
      </c>
      <c r="J826" s="5">
        <v>0.191</v>
      </c>
      <c r="K826" s="5">
        <v>0.182</v>
      </c>
      <c r="L826" s="5">
        <v>0.153</v>
      </c>
      <c r="M826" s="5">
        <v>0.157</v>
      </c>
      <c r="N826" s="5">
        <v>0.11800000000000001</v>
      </c>
    </row>
    <row r="827" spans="1:14" x14ac:dyDescent="0.25">
      <c r="A827">
        <v>2014</v>
      </c>
      <c r="B827">
        <v>245</v>
      </c>
      <c r="C827" t="s">
        <v>108</v>
      </c>
      <c r="D827" t="s">
        <v>36</v>
      </c>
      <c r="E827" s="5">
        <v>0.16399999999999998</v>
      </c>
      <c r="F827" s="5">
        <v>0.16699999999999998</v>
      </c>
      <c r="G827" s="5">
        <v>0.16</v>
      </c>
      <c r="H827" s="5">
        <v>0.183</v>
      </c>
      <c r="I827" s="5">
        <v>0.19699999999999998</v>
      </c>
      <c r="J827" s="5">
        <v>0.19</v>
      </c>
      <c r="K827" s="5">
        <v>0.161</v>
      </c>
      <c r="L827" s="5">
        <v>0.16200000000000001</v>
      </c>
      <c r="M827" s="5">
        <v>0.17300000000000001</v>
      </c>
      <c r="N827" s="5">
        <v>0.114</v>
      </c>
    </row>
    <row r="828" spans="1:14" x14ac:dyDescent="0.25">
      <c r="A828">
        <v>2014</v>
      </c>
      <c r="B828">
        <v>245</v>
      </c>
      <c r="C828" t="s">
        <v>108</v>
      </c>
      <c r="D828" t="s">
        <v>94</v>
      </c>
      <c r="E828" s="5" t="s">
        <v>109</v>
      </c>
      <c r="F828" s="5">
        <v>0.22500000000000001</v>
      </c>
      <c r="G828" s="5">
        <v>0.19899999999999998</v>
      </c>
      <c r="H828" s="5">
        <v>0.193</v>
      </c>
      <c r="I828" s="5">
        <v>0.17800000000000002</v>
      </c>
      <c r="J828" s="5">
        <v>0.14899999999999999</v>
      </c>
      <c r="K828" s="5">
        <v>0.129</v>
      </c>
      <c r="L828" s="5">
        <v>0.158</v>
      </c>
      <c r="M828" s="5">
        <v>0.161</v>
      </c>
      <c r="N828" s="5">
        <v>0.111</v>
      </c>
    </row>
    <row r="829" spans="1:14" x14ac:dyDescent="0.25">
      <c r="A829">
        <v>2014</v>
      </c>
      <c r="B829">
        <v>245</v>
      </c>
      <c r="C829" t="s">
        <v>108</v>
      </c>
      <c r="D829" t="s">
        <v>93</v>
      </c>
      <c r="E829" s="5">
        <v>0.214</v>
      </c>
      <c r="F829" s="5">
        <v>0.21</v>
      </c>
      <c r="G829" s="5">
        <v>0.193</v>
      </c>
      <c r="H829" s="5">
        <v>0.17300000000000001</v>
      </c>
      <c r="I829" s="5">
        <v>0.152</v>
      </c>
      <c r="J829" s="5">
        <v>0.13400000000000001</v>
      </c>
      <c r="K829" s="5">
        <v>0.124</v>
      </c>
      <c r="L829" s="5">
        <v>0.157</v>
      </c>
      <c r="M829" s="5">
        <v>0.18</v>
      </c>
      <c r="N829" s="5">
        <v>0.126</v>
      </c>
    </row>
    <row r="830" spans="1:14" x14ac:dyDescent="0.25">
      <c r="A830">
        <v>2014</v>
      </c>
      <c r="B830">
        <v>245</v>
      </c>
      <c r="C830" t="s">
        <v>108</v>
      </c>
      <c r="D830" t="s">
        <v>92</v>
      </c>
      <c r="E830" s="5" t="s">
        <v>109</v>
      </c>
      <c r="F830" s="5">
        <v>0.20399999999999999</v>
      </c>
      <c r="G830" s="5">
        <v>0.19899999999999998</v>
      </c>
      <c r="H830" s="5">
        <v>0.17699999999999999</v>
      </c>
      <c r="I830" s="5">
        <v>0.17399999999999999</v>
      </c>
      <c r="J830" s="5">
        <v>0.17899999999999999</v>
      </c>
      <c r="K830" s="5">
        <v>0.156</v>
      </c>
      <c r="L830" s="5">
        <v>0.17499999999999999</v>
      </c>
      <c r="M830" s="5">
        <v>0.184</v>
      </c>
      <c r="N830" s="5">
        <v>0.13</v>
      </c>
    </row>
    <row r="831" spans="1:14" x14ac:dyDescent="0.25">
      <c r="A831">
        <v>2014</v>
      </c>
      <c r="B831">
        <v>245</v>
      </c>
      <c r="C831" t="s">
        <v>108</v>
      </c>
      <c r="D831" t="s">
        <v>91</v>
      </c>
      <c r="E831" s="5">
        <v>0.17100000000000001</v>
      </c>
      <c r="F831" s="5">
        <v>0.18600000000000003</v>
      </c>
      <c r="G831" s="5">
        <v>0.252</v>
      </c>
      <c r="H831" s="5">
        <v>0.26500000000000001</v>
      </c>
      <c r="I831" s="5">
        <v>0.25800000000000001</v>
      </c>
      <c r="J831" s="5">
        <v>0.25700000000000001</v>
      </c>
      <c r="K831" s="5">
        <v>0.22899999999999998</v>
      </c>
      <c r="L831" s="5">
        <v>0.19600000000000001</v>
      </c>
      <c r="M831" s="5">
        <v>0.19800000000000001</v>
      </c>
      <c r="N831" s="5">
        <v>0.14699999999999999</v>
      </c>
    </row>
    <row r="832" spans="1:14" x14ac:dyDescent="0.25">
      <c r="A832">
        <v>2014</v>
      </c>
      <c r="B832">
        <v>245</v>
      </c>
      <c r="C832" t="s">
        <v>108</v>
      </c>
      <c r="D832" t="s">
        <v>90</v>
      </c>
      <c r="E832" s="5">
        <v>0.21299999999999999</v>
      </c>
      <c r="F832" s="5">
        <v>0.21199999999999999</v>
      </c>
      <c r="G832" s="5">
        <v>0.21100000000000002</v>
      </c>
      <c r="H832" s="5">
        <v>0.20499999999999999</v>
      </c>
      <c r="I832" s="5">
        <v>0.20399999999999999</v>
      </c>
      <c r="J832" s="5">
        <v>0.2</v>
      </c>
      <c r="K832" s="5">
        <v>0.20399999999999999</v>
      </c>
      <c r="L832" s="5">
        <v>0.18600000000000003</v>
      </c>
      <c r="M832" s="5">
        <v>0.16800000000000001</v>
      </c>
      <c r="N832" s="5">
        <v>0.114</v>
      </c>
    </row>
    <row r="833" spans="1:14" x14ac:dyDescent="0.25">
      <c r="A833">
        <v>2014</v>
      </c>
      <c r="B833">
        <v>245</v>
      </c>
      <c r="C833" t="s">
        <v>108</v>
      </c>
      <c r="D833" t="s">
        <v>89</v>
      </c>
      <c r="E833" s="5">
        <v>0.18100000000000002</v>
      </c>
      <c r="F833" s="5">
        <v>0.182</v>
      </c>
      <c r="G833" s="5">
        <v>0.20100000000000001</v>
      </c>
      <c r="H833" s="5">
        <v>0.22500000000000001</v>
      </c>
      <c r="I833" s="5">
        <v>0.22500000000000001</v>
      </c>
      <c r="J833" s="5">
        <v>0.221</v>
      </c>
      <c r="K833" s="5">
        <v>0.20899999999999999</v>
      </c>
      <c r="L833" s="5">
        <v>0.184</v>
      </c>
      <c r="M833" s="5">
        <v>0.18</v>
      </c>
      <c r="N833" s="5">
        <v>0.126</v>
      </c>
    </row>
    <row r="834" spans="1:14" x14ac:dyDescent="0.25">
      <c r="A834">
        <v>2014</v>
      </c>
      <c r="B834">
        <v>245</v>
      </c>
      <c r="C834" t="s">
        <v>108</v>
      </c>
      <c r="D834" t="s">
        <v>45</v>
      </c>
      <c r="E834" s="5" t="s">
        <v>109</v>
      </c>
      <c r="F834" s="5">
        <v>0.23499999999999999</v>
      </c>
      <c r="G834" s="5">
        <v>0.23199999999999998</v>
      </c>
      <c r="H834" s="5">
        <v>0.24100000000000002</v>
      </c>
      <c r="I834" s="5">
        <v>0.22699999999999998</v>
      </c>
      <c r="J834" s="5">
        <v>0.19899999999999998</v>
      </c>
      <c r="K834" s="5">
        <v>0.19</v>
      </c>
      <c r="L834" s="5">
        <v>0.187</v>
      </c>
      <c r="M834" s="5">
        <v>0.185</v>
      </c>
      <c r="N834" s="5">
        <v>0.121</v>
      </c>
    </row>
    <row r="835" spans="1:14" x14ac:dyDescent="0.25">
      <c r="A835">
        <v>2014</v>
      </c>
      <c r="B835">
        <v>245</v>
      </c>
      <c r="C835" t="s">
        <v>108</v>
      </c>
      <c r="D835" t="s">
        <v>46</v>
      </c>
      <c r="E835" s="5">
        <v>0.245</v>
      </c>
      <c r="F835" s="5">
        <v>0.25</v>
      </c>
      <c r="G835" s="5">
        <v>0.24100000000000002</v>
      </c>
      <c r="H835" s="5">
        <v>0.23199999999999998</v>
      </c>
      <c r="I835" s="5">
        <v>0.214</v>
      </c>
      <c r="J835" s="5">
        <v>0.21</v>
      </c>
      <c r="K835" s="5">
        <v>0.21600000000000003</v>
      </c>
      <c r="L835" s="5">
        <v>0.20600000000000002</v>
      </c>
      <c r="M835" s="5">
        <v>0.18899999999999997</v>
      </c>
      <c r="N835" s="5">
        <v>0.11599999999999999</v>
      </c>
    </row>
    <row r="836" spans="1:14" x14ac:dyDescent="0.25">
      <c r="A836">
        <v>2014</v>
      </c>
      <c r="B836">
        <v>245</v>
      </c>
      <c r="C836" t="s">
        <v>108</v>
      </c>
      <c r="D836" t="s">
        <v>47</v>
      </c>
      <c r="E836" s="5" t="s">
        <v>109</v>
      </c>
      <c r="F836" s="5">
        <v>0.20399999999999999</v>
      </c>
      <c r="G836" s="5">
        <v>0.215</v>
      </c>
      <c r="H836" s="5">
        <v>0.18899999999999997</v>
      </c>
      <c r="I836" s="5">
        <v>0.17699999999999999</v>
      </c>
      <c r="J836" s="5">
        <v>0.17699999999999999</v>
      </c>
      <c r="K836" s="5">
        <v>0.18100000000000002</v>
      </c>
      <c r="L836" s="5">
        <v>0.188</v>
      </c>
      <c r="M836" s="5">
        <v>0.17699999999999999</v>
      </c>
      <c r="N836" s="5">
        <v>0.109</v>
      </c>
    </row>
    <row r="837" spans="1:14" x14ac:dyDescent="0.25">
      <c r="A837">
        <v>2014</v>
      </c>
      <c r="B837">
        <v>245</v>
      </c>
      <c r="C837" t="s">
        <v>108</v>
      </c>
      <c r="D837" t="s">
        <v>48</v>
      </c>
      <c r="E837" s="5">
        <v>0.152</v>
      </c>
      <c r="F837" s="5">
        <v>0.13900000000000001</v>
      </c>
      <c r="G837" s="5">
        <v>0.11900000000000001</v>
      </c>
      <c r="H837" s="5">
        <v>0.107</v>
      </c>
      <c r="I837" s="5">
        <v>9.5000000000000001E-2</v>
      </c>
      <c r="J837" s="5">
        <v>0.09</v>
      </c>
      <c r="K837" s="5">
        <v>9.8000000000000004E-2</v>
      </c>
      <c r="L837" s="5">
        <v>0.14899999999999999</v>
      </c>
      <c r="M837" s="5">
        <v>0.18100000000000002</v>
      </c>
      <c r="N837" s="5">
        <v>0.109</v>
      </c>
    </row>
    <row r="838" spans="1:14" x14ac:dyDescent="0.25">
      <c r="A838">
        <v>2014</v>
      </c>
      <c r="B838">
        <v>245</v>
      </c>
      <c r="C838" t="s">
        <v>108</v>
      </c>
      <c r="D838" t="s">
        <v>49</v>
      </c>
      <c r="E838" s="5">
        <v>0.18899999999999997</v>
      </c>
      <c r="F838" s="5">
        <v>0.20899999999999999</v>
      </c>
      <c r="G838" s="5">
        <v>0.22800000000000001</v>
      </c>
      <c r="H838" s="5">
        <v>0.223</v>
      </c>
      <c r="I838" s="5">
        <v>0.187</v>
      </c>
      <c r="J838" s="5">
        <v>0.17399999999999999</v>
      </c>
      <c r="K838" s="5">
        <v>0.154</v>
      </c>
      <c r="L838" s="5">
        <v>0.154</v>
      </c>
      <c r="M838" s="5">
        <v>0.17199999999999999</v>
      </c>
      <c r="N838" s="5">
        <v>0.10800000000000001</v>
      </c>
    </row>
    <row r="839" spans="1:14" x14ac:dyDescent="0.25">
      <c r="A839">
        <v>2014</v>
      </c>
      <c r="B839">
        <v>245</v>
      </c>
      <c r="C839" t="s">
        <v>108</v>
      </c>
      <c r="D839" t="s">
        <v>50</v>
      </c>
      <c r="E839" s="5">
        <v>0.20600000000000002</v>
      </c>
      <c r="F839" s="5">
        <v>0.217</v>
      </c>
      <c r="G839" s="5">
        <v>0.20800000000000002</v>
      </c>
      <c r="H839" s="5">
        <v>0.183</v>
      </c>
      <c r="I839" s="5">
        <v>0.155</v>
      </c>
      <c r="J839" s="5">
        <v>0.161</v>
      </c>
      <c r="K839" s="5">
        <v>0.156</v>
      </c>
      <c r="L839" s="5">
        <v>0.14899999999999999</v>
      </c>
      <c r="M839" s="5">
        <v>0.16500000000000001</v>
      </c>
      <c r="N839" s="5">
        <v>0.105</v>
      </c>
    </row>
    <row r="840" spans="1:14" x14ac:dyDescent="0.25">
      <c r="A840">
        <v>2014</v>
      </c>
      <c r="B840">
        <v>258</v>
      </c>
      <c r="C840" t="s">
        <v>108</v>
      </c>
      <c r="D840" t="s">
        <v>51</v>
      </c>
      <c r="E840" s="5" t="s">
        <v>109</v>
      </c>
      <c r="F840" s="5">
        <v>0.1057268603407714</v>
      </c>
      <c r="G840" s="5">
        <v>0.10893053896057606</v>
      </c>
      <c r="H840" s="5">
        <v>0.12014341412989235</v>
      </c>
      <c r="I840" s="5">
        <v>0.14256916446852505</v>
      </c>
      <c r="J840" s="5">
        <v>0.17140227204676695</v>
      </c>
      <c r="K840" s="5">
        <v>0.18742066514579026</v>
      </c>
      <c r="L840" s="5">
        <v>0.18581882583588796</v>
      </c>
      <c r="M840" s="5">
        <v>0.16499491480715764</v>
      </c>
      <c r="N840" s="5">
        <v>0.13135628929920867</v>
      </c>
    </row>
    <row r="841" spans="1:14" x14ac:dyDescent="0.25">
      <c r="A841">
        <v>2014</v>
      </c>
      <c r="B841">
        <v>258</v>
      </c>
      <c r="C841" t="s">
        <v>108</v>
      </c>
      <c r="D841" t="s">
        <v>55</v>
      </c>
      <c r="E841" s="5">
        <v>0.16659675411706001</v>
      </c>
      <c r="F841" s="5">
        <v>0.13295812860911102</v>
      </c>
      <c r="G841" s="5">
        <v>0.10732869965067372</v>
      </c>
      <c r="H841" s="5">
        <v>0.12014341412989235</v>
      </c>
      <c r="I841" s="5">
        <v>0.13616180722891566</v>
      </c>
      <c r="J841" s="5">
        <v>0.15538387894774364</v>
      </c>
      <c r="K841" s="5">
        <v>0.17300411135666929</v>
      </c>
      <c r="L841" s="5">
        <v>0.18902250445569263</v>
      </c>
      <c r="M841" s="5">
        <v>0.18421698652598562</v>
      </c>
      <c r="N841" s="5">
        <v>0.13455996791901337</v>
      </c>
    </row>
    <row r="842" spans="1:14" x14ac:dyDescent="0.25">
      <c r="A842">
        <v>2014</v>
      </c>
      <c r="B842">
        <v>258</v>
      </c>
      <c r="C842" t="s">
        <v>108</v>
      </c>
      <c r="D842" t="s">
        <v>56</v>
      </c>
      <c r="E842" s="5">
        <v>0.13295812860911102</v>
      </c>
      <c r="F842" s="5">
        <v>0.15858755756754836</v>
      </c>
      <c r="G842" s="5">
        <v>0.17140227204676695</v>
      </c>
      <c r="H842" s="5">
        <v>0.161791236187353</v>
      </c>
      <c r="I842" s="5">
        <v>0.152180200327939</v>
      </c>
      <c r="J842" s="5">
        <v>0.16659675411706001</v>
      </c>
      <c r="K842" s="5">
        <v>0.16980043273686465</v>
      </c>
      <c r="L842" s="5">
        <v>0.18101330790618098</v>
      </c>
      <c r="M842" s="5">
        <v>0.19703170100520428</v>
      </c>
      <c r="N842" s="5">
        <v>0.152180200327939</v>
      </c>
    </row>
    <row r="843" spans="1:14" x14ac:dyDescent="0.25">
      <c r="A843">
        <v>2014</v>
      </c>
      <c r="B843">
        <v>258</v>
      </c>
      <c r="C843" t="s">
        <v>108</v>
      </c>
      <c r="D843" t="s">
        <v>57</v>
      </c>
      <c r="E843" s="5" t="s">
        <v>109</v>
      </c>
      <c r="F843" s="5">
        <v>0.13616180722891566</v>
      </c>
      <c r="G843" s="5">
        <v>0.13776364653881804</v>
      </c>
      <c r="H843" s="5">
        <v>0.14737468239823198</v>
      </c>
      <c r="I843" s="5">
        <v>0.1505783610180367</v>
      </c>
      <c r="J843" s="5">
        <v>0.15378203963784134</v>
      </c>
      <c r="K843" s="5">
        <v>0.161791236187353</v>
      </c>
      <c r="L843" s="5">
        <v>0.17300411135666929</v>
      </c>
      <c r="M843" s="5">
        <v>0.152180200327939</v>
      </c>
      <c r="N843" s="5">
        <v>0.14256916446852505</v>
      </c>
    </row>
    <row r="844" spans="1:14" x14ac:dyDescent="0.25">
      <c r="A844">
        <v>2014</v>
      </c>
      <c r="B844">
        <v>258</v>
      </c>
      <c r="C844" t="s">
        <v>108</v>
      </c>
      <c r="D844" t="s">
        <v>58</v>
      </c>
      <c r="E844" s="5" t="s">
        <v>109</v>
      </c>
      <c r="F844" s="5" t="s">
        <v>109</v>
      </c>
      <c r="G844" s="5">
        <v>0.20183721893491127</v>
      </c>
      <c r="H844" s="5">
        <v>0.17460595066657167</v>
      </c>
      <c r="I844" s="5">
        <v>0.17460595066657167</v>
      </c>
      <c r="J844" s="5">
        <v>0.18261514721608332</v>
      </c>
      <c r="K844" s="5">
        <v>0.20183721893491127</v>
      </c>
      <c r="L844" s="5">
        <v>0.2226611299636416</v>
      </c>
      <c r="M844" s="5">
        <v>0.16499491480715764</v>
      </c>
      <c r="N844" s="5">
        <v>0.16659675411706001</v>
      </c>
    </row>
    <row r="845" spans="1:14" x14ac:dyDescent="0.25">
      <c r="A845">
        <v>2014</v>
      </c>
      <c r="B845">
        <v>258</v>
      </c>
      <c r="C845" t="s">
        <v>108</v>
      </c>
      <c r="D845" t="s">
        <v>59</v>
      </c>
      <c r="E845" s="5" t="s">
        <v>109</v>
      </c>
      <c r="F845" s="5">
        <v>0.19863354031510663</v>
      </c>
      <c r="G845" s="5">
        <v>0.19382802238539962</v>
      </c>
      <c r="H845" s="5">
        <v>0.18101330790618098</v>
      </c>
      <c r="I845" s="5">
        <v>0.18101330790618098</v>
      </c>
      <c r="J845" s="5">
        <v>0.16018939687745065</v>
      </c>
      <c r="K845" s="5">
        <v>0.16018939687745065</v>
      </c>
      <c r="L845" s="5">
        <v>0.18742066514579026</v>
      </c>
      <c r="M845" s="5">
        <v>0.19062434376559498</v>
      </c>
      <c r="N845" s="5">
        <v>0.14897652170813433</v>
      </c>
    </row>
    <row r="846" spans="1:14" x14ac:dyDescent="0.25">
      <c r="A846">
        <v>2014</v>
      </c>
      <c r="B846">
        <v>258</v>
      </c>
      <c r="C846" t="s">
        <v>108</v>
      </c>
      <c r="D846" t="s">
        <v>64</v>
      </c>
      <c r="E846" s="5">
        <v>0.22586480858344626</v>
      </c>
      <c r="F846" s="5">
        <v>0.152180200327939</v>
      </c>
      <c r="G846" s="5">
        <v>0.15378203963784134</v>
      </c>
      <c r="H846" s="5">
        <v>0.23547584444286021</v>
      </c>
      <c r="I846" s="5">
        <v>0.21144825479432527</v>
      </c>
      <c r="J846" s="5">
        <v>0.21465193341412994</v>
      </c>
      <c r="K846" s="5">
        <v>0.2274666478933485</v>
      </c>
      <c r="L846" s="5">
        <v>0.24508688030227418</v>
      </c>
      <c r="M846" s="5">
        <v>0.20343905824481362</v>
      </c>
      <c r="N846" s="5">
        <v>0.13616180722891566</v>
      </c>
    </row>
    <row r="847" spans="1:14" x14ac:dyDescent="0.25">
      <c r="A847">
        <v>2014</v>
      </c>
      <c r="B847">
        <v>258</v>
      </c>
      <c r="C847" t="s">
        <v>108</v>
      </c>
      <c r="D847" t="s">
        <v>52</v>
      </c>
      <c r="E847" s="5">
        <v>0.15538387894774364</v>
      </c>
      <c r="F847" s="5">
        <v>0.16659675411706001</v>
      </c>
      <c r="G847" s="5">
        <v>0.17620778997647396</v>
      </c>
      <c r="H847" s="5">
        <v>0.18261514721608332</v>
      </c>
      <c r="I847" s="5">
        <v>0.20023537962500892</v>
      </c>
      <c r="J847" s="5">
        <v>0.23387400513295795</v>
      </c>
      <c r="K847" s="5">
        <v>0.2402813623725672</v>
      </c>
      <c r="L847" s="5">
        <v>0.26110527340129752</v>
      </c>
      <c r="M847" s="5">
        <v>0.21945745134383693</v>
      </c>
      <c r="N847" s="5">
        <v>0.12975444998930638</v>
      </c>
    </row>
    <row r="848" spans="1:14" x14ac:dyDescent="0.25">
      <c r="A848">
        <v>2014</v>
      </c>
      <c r="B848">
        <v>258</v>
      </c>
      <c r="C848" t="s">
        <v>108</v>
      </c>
      <c r="D848" t="s">
        <v>62</v>
      </c>
      <c r="E848" s="5" t="s">
        <v>109</v>
      </c>
      <c r="F848" s="5">
        <v>0.14577284308832969</v>
      </c>
      <c r="G848" s="5">
        <v>0.15858755756754836</v>
      </c>
      <c r="H848" s="5">
        <v>0.16499491480715764</v>
      </c>
      <c r="I848" s="5">
        <v>0.20343905824481362</v>
      </c>
      <c r="J848" s="5">
        <v>0.20504089755471594</v>
      </c>
      <c r="K848" s="5">
        <v>0.21305009410422759</v>
      </c>
      <c r="L848" s="5">
        <v>0.2226611299636416</v>
      </c>
      <c r="M848" s="5">
        <v>0.23227216582305552</v>
      </c>
      <c r="N848" s="5">
        <v>0.15378203963784134</v>
      </c>
    </row>
    <row r="849" spans="1:14" x14ac:dyDescent="0.25">
      <c r="A849">
        <v>2014</v>
      </c>
      <c r="B849">
        <v>258</v>
      </c>
      <c r="C849" t="s">
        <v>108</v>
      </c>
      <c r="D849" t="s">
        <v>63</v>
      </c>
      <c r="E849" s="5" t="s">
        <v>109</v>
      </c>
      <c r="F849" s="5">
        <v>0.17140227204676695</v>
      </c>
      <c r="G849" s="5">
        <v>0.14897652170813433</v>
      </c>
      <c r="H849" s="5">
        <v>0.17140227204676695</v>
      </c>
      <c r="I849" s="5">
        <v>0.19703170100520428</v>
      </c>
      <c r="J849" s="5">
        <v>0.20023537962500892</v>
      </c>
      <c r="K849" s="5">
        <v>0.22105929065373928</v>
      </c>
      <c r="L849" s="5">
        <v>0.23067032651315325</v>
      </c>
      <c r="M849" s="5">
        <v>0.20824457617452058</v>
      </c>
      <c r="N849" s="5">
        <v>0.13135628929920867</v>
      </c>
    </row>
    <row r="850" spans="1:14" x14ac:dyDescent="0.25">
      <c r="A850">
        <v>2014</v>
      </c>
      <c r="B850">
        <v>258</v>
      </c>
      <c r="C850" t="s">
        <v>108</v>
      </c>
      <c r="D850" t="s">
        <v>61</v>
      </c>
      <c r="E850" s="5" t="s">
        <v>109</v>
      </c>
      <c r="F850" s="5" t="s">
        <v>109</v>
      </c>
      <c r="G850" s="5">
        <v>0.27231814857061382</v>
      </c>
      <c r="H850" s="5">
        <v>0.17140227204676695</v>
      </c>
      <c r="I850" s="5">
        <v>0.17460595066657167</v>
      </c>
      <c r="J850" s="5">
        <v>0.19062434376559498</v>
      </c>
      <c r="K850" s="5">
        <v>0.16980043273686465</v>
      </c>
      <c r="L850" s="5">
        <v>0.23067032651315325</v>
      </c>
      <c r="M850" s="5">
        <v>0.2402813623725672</v>
      </c>
      <c r="N850" s="5">
        <v>0.1505783610180367</v>
      </c>
    </row>
    <row r="851" spans="1:14" x14ac:dyDescent="0.25">
      <c r="A851">
        <v>2014</v>
      </c>
      <c r="B851">
        <v>258</v>
      </c>
      <c r="C851" t="s">
        <v>108</v>
      </c>
      <c r="D851" t="s">
        <v>60</v>
      </c>
      <c r="E851" s="5" t="s">
        <v>109</v>
      </c>
      <c r="F851" s="5" t="s">
        <v>109</v>
      </c>
      <c r="G851" s="5">
        <v>0.2707163092607115</v>
      </c>
      <c r="H851" s="5">
        <v>0.29474389890924646</v>
      </c>
      <c r="I851" s="5">
        <v>0.21305009410422759</v>
      </c>
      <c r="J851" s="5">
        <v>0.20023537962500892</v>
      </c>
      <c r="K851" s="5">
        <v>0.2274666478933485</v>
      </c>
      <c r="L851" s="5">
        <v>0.20824457617452058</v>
      </c>
      <c r="M851" s="5">
        <v>0.21465193341412994</v>
      </c>
      <c r="N851" s="5">
        <v>0.152180200327939</v>
      </c>
    </row>
    <row r="852" spans="1:14" x14ac:dyDescent="0.25">
      <c r="A852">
        <v>2014</v>
      </c>
      <c r="B852">
        <v>258</v>
      </c>
      <c r="C852" t="s">
        <v>108</v>
      </c>
      <c r="D852" t="s">
        <v>29</v>
      </c>
      <c r="E852" s="5">
        <v>0.18742066514579026</v>
      </c>
      <c r="F852" s="5">
        <v>0.20664273686461829</v>
      </c>
      <c r="G852" s="5">
        <v>0.17140227204676695</v>
      </c>
      <c r="H852" s="5">
        <v>0.22906848720325093</v>
      </c>
      <c r="I852" s="5">
        <v>0.23227216582305552</v>
      </c>
      <c r="J852" s="5">
        <v>0.28032734512012553</v>
      </c>
      <c r="K852" s="5">
        <v>0.27552182719041851</v>
      </c>
      <c r="L852" s="5">
        <v>0.27712366650032083</v>
      </c>
      <c r="M852" s="5">
        <v>0.24668871961217653</v>
      </c>
      <c r="N852" s="5">
        <v>0.15538387894774364</v>
      </c>
    </row>
    <row r="853" spans="1:14" x14ac:dyDescent="0.25">
      <c r="A853">
        <v>2014</v>
      </c>
      <c r="B853">
        <v>258</v>
      </c>
      <c r="C853" t="s">
        <v>108</v>
      </c>
      <c r="D853" t="s">
        <v>30</v>
      </c>
      <c r="E853" s="5">
        <v>0.19703170100520428</v>
      </c>
      <c r="F853" s="5">
        <v>0.20023537962500892</v>
      </c>
      <c r="G853" s="5">
        <v>0.22906848720325093</v>
      </c>
      <c r="H853" s="5">
        <v>0.24668871961217653</v>
      </c>
      <c r="I853" s="5">
        <v>0.2274666478933485</v>
      </c>
      <c r="J853" s="5">
        <v>0.22586480858344626</v>
      </c>
      <c r="K853" s="5">
        <v>0.2402813623725672</v>
      </c>
      <c r="L853" s="5">
        <v>0.20183721893491127</v>
      </c>
      <c r="M853" s="5">
        <v>0.20183721893491127</v>
      </c>
      <c r="N853" s="5">
        <v>0.12174525343979471</v>
      </c>
    </row>
    <row r="854" spans="1:14" x14ac:dyDescent="0.25">
      <c r="A854">
        <v>2014</v>
      </c>
      <c r="B854">
        <v>258</v>
      </c>
      <c r="C854" t="s">
        <v>108</v>
      </c>
      <c r="D854" t="s">
        <v>31</v>
      </c>
      <c r="E854" s="5">
        <v>0.18581882583588796</v>
      </c>
      <c r="F854" s="5">
        <v>0.16819859342696231</v>
      </c>
      <c r="G854" s="5">
        <v>0.16659675411706001</v>
      </c>
      <c r="H854" s="5">
        <v>0.17620778997647396</v>
      </c>
      <c r="I854" s="5">
        <v>0.22105929065373928</v>
      </c>
      <c r="J854" s="5">
        <v>0.22105929065373928</v>
      </c>
      <c r="K854" s="5">
        <v>0.23707768375276253</v>
      </c>
      <c r="L854" s="5">
        <v>0.24508688030227418</v>
      </c>
      <c r="M854" s="5">
        <v>0.23067032651315325</v>
      </c>
      <c r="N854" s="5">
        <v>0.15378203963784134</v>
      </c>
    </row>
    <row r="855" spans="1:14" x14ac:dyDescent="0.25">
      <c r="A855">
        <v>2014</v>
      </c>
      <c r="B855">
        <v>258</v>
      </c>
      <c r="C855" t="s">
        <v>108</v>
      </c>
      <c r="D855" t="s">
        <v>32</v>
      </c>
      <c r="E855" s="5">
        <v>0.23867952306266496</v>
      </c>
      <c r="F855" s="5">
        <v>0.20343905824481362</v>
      </c>
      <c r="G855" s="5">
        <v>0.21465193341412994</v>
      </c>
      <c r="H855" s="5">
        <v>0.20664273686461829</v>
      </c>
      <c r="I855" s="5">
        <v>0.20343905824481362</v>
      </c>
      <c r="J855" s="5">
        <v>0.20023537962500892</v>
      </c>
      <c r="K855" s="5">
        <v>0.18261514721608332</v>
      </c>
      <c r="L855" s="5">
        <v>0.19542986169530191</v>
      </c>
      <c r="M855" s="5">
        <v>0.22426296927354394</v>
      </c>
      <c r="N855" s="5">
        <v>0.14737468239823198</v>
      </c>
    </row>
    <row r="856" spans="1:14" x14ac:dyDescent="0.25">
      <c r="A856">
        <v>2014</v>
      </c>
      <c r="B856">
        <v>258</v>
      </c>
      <c r="C856" t="s">
        <v>108</v>
      </c>
      <c r="D856" t="s">
        <v>33</v>
      </c>
      <c r="E856" s="5">
        <v>0.18742066514579026</v>
      </c>
      <c r="F856" s="5">
        <v>0.17460595066657167</v>
      </c>
      <c r="G856" s="5">
        <v>0.17300411135666929</v>
      </c>
      <c r="H856" s="5">
        <v>0.16659675411706001</v>
      </c>
      <c r="I856" s="5">
        <v>0.18902250445569263</v>
      </c>
      <c r="J856" s="5">
        <v>0.2274666478933485</v>
      </c>
      <c r="K856" s="5">
        <v>0.2274666478933485</v>
      </c>
      <c r="L856" s="5">
        <v>0.22105929065373928</v>
      </c>
      <c r="M856" s="5">
        <v>0.21945745134383693</v>
      </c>
      <c r="N856" s="5">
        <v>0.16339307549725529</v>
      </c>
    </row>
    <row r="857" spans="1:14" x14ac:dyDescent="0.25">
      <c r="A857">
        <v>2014</v>
      </c>
      <c r="B857">
        <v>258</v>
      </c>
      <c r="C857" t="s">
        <v>108</v>
      </c>
      <c r="D857" t="s">
        <v>34</v>
      </c>
      <c r="E857" s="5">
        <v>0.21465193341412994</v>
      </c>
      <c r="F857" s="5">
        <v>0.18902250445569263</v>
      </c>
      <c r="G857" s="5">
        <v>0.25950343409139515</v>
      </c>
      <c r="H857" s="5">
        <v>0.26110527340129752</v>
      </c>
      <c r="I857" s="5">
        <v>0.20664273686461829</v>
      </c>
      <c r="J857" s="5">
        <v>0.20023537962500892</v>
      </c>
      <c r="K857" s="5">
        <v>0.20023537962500892</v>
      </c>
      <c r="L857" s="5">
        <v>0.20183721893491127</v>
      </c>
      <c r="M857" s="5">
        <v>0.17140227204676695</v>
      </c>
      <c r="N857" s="5">
        <v>0.13455996791901337</v>
      </c>
    </row>
    <row r="858" spans="1:14" x14ac:dyDescent="0.25">
      <c r="A858">
        <v>2014</v>
      </c>
      <c r="B858">
        <v>258</v>
      </c>
      <c r="C858" t="s">
        <v>108</v>
      </c>
      <c r="D858" t="s">
        <v>70</v>
      </c>
      <c r="E858" s="5" t="s">
        <v>109</v>
      </c>
      <c r="F858" s="5">
        <v>0.1794114685962786</v>
      </c>
      <c r="G858" s="5">
        <v>0.21785561203393461</v>
      </c>
      <c r="H858" s="5">
        <v>0.23707768375276253</v>
      </c>
      <c r="I858" s="5">
        <v>0.22105929065373928</v>
      </c>
      <c r="J858" s="5">
        <v>0.21625377272403226</v>
      </c>
      <c r="K858" s="5">
        <v>0.24829055892207885</v>
      </c>
      <c r="L858" s="5">
        <v>0.27552182719041851</v>
      </c>
      <c r="M858" s="5">
        <v>0.23067032651315325</v>
      </c>
      <c r="N858" s="5">
        <v>0.17140227204676695</v>
      </c>
    </row>
    <row r="859" spans="1:14" x14ac:dyDescent="0.25">
      <c r="A859">
        <v>2014</v>
      </c>
      <c r="B859">
        <v>258</v>
      </c>
      <c r="C859" t="s">
        <v>108</v>
      </c>
      <c r="D859" t="s">
        <v>69</v>
      </c>
      <c r="E859" s="5">
        <v>0.18101330790618098</v>
      </c>
      <c r="F859" s="5">
        <v>0.19703170100520428</v>
      </c>
      <c r="G859" s="5">
        <v>0.23547584444286021</v>
      </c>
      <c r="H859" s="5">
        <v>0.22586480858344626</v>
      </c>
      <c r="I859" s="5">
        <v>0.22906848720325093</v>
      </c>
      <c r="J859" s="5">
        <v>0.21465193341412994</v>
      </c>
      <c r="K859" s="5">
        <v>0.2226611299636416</v>
      </c>
      <c r="L859" s="5">
        <v>0.22906848720325093</v>
      </c>
      <c r="M859" s="5">
        <v>0.21465193341412994</v>
      </c>
      <c r="N859" s="5">
        <v>0.14737468239823198</v>
      </c>
    </row>
    <row r="860" spans="1:14" x14ac:dyDescent="0.25">
      <c r="A860">
        <v>2014</v>
      </c>
      <c r="B860">
        <v>258</v>
      </c>
      <c r="C860" t="s">
        <v>108</v>
      </c>
      <c r="D860" t="s">
        <v>68</v>
      </c>
      <c r="E860" s="5">
        <v>0.20183721893491127</v>
      </c>
      <c r="F860" s="5">
        <v>0.18902250445569263</v>
      </c>
      <c r="G860" s="5">
        <v>0.20343905824481362</v>
      </c>
      <c r="H860" s="5">
        <v>0.20824457617452058</v>
      </c>
      <c r="I860" s="5">
        <v>0.2226611299636416</v>
      </c>
      <c r="J860" s="5">
        <v>0.2402813623725672</v>
      </c>
      <c r="K860" s="5">
        <v>0.23707768375276253</v>
      </c>
      <c r="L860" s="5">
        <v>0.24348504099237187</v>
      </c>
      <c r="M860" s="5">
        <v>0.21945745134383693</v>
      </c>
      <c r="N860" s="5">
        <v>0.15698571825764598</v>
      </c>
    </row>
    <row r="861" spans="1:14" x14ac:dyDescent="0.25">
      <c r="A861">
        <v>2014</v>
      </c>
      <c r="B861">
        <v>258</v>
      </c>
      <c r="C861" t="s">
        <v>108</v>
      </c>
      <c r="D861" t="s">
        <v>67</v>
      </c>
      <c r="E861" s="5">
        <v>0.23547584444286021</v>
      </c>
      <c r="F861" s="5">
        <v>0.21945745134383693</v>
      </c>
      <c r="G861" s="5">
        <v>0.20504089755471594</v>
      </c>
      <c r="H861" s="5">
        <v>0.20664273686461829</v>
      </c>
      <c r="I861" s="5">
        <v>0.20824457617452058</v>
      </c>
      <c r="J861" s="5">
        <v>0.18101330790618098</v>
      </c>
      <c r="K861" s="5">
        <v>0.19542986169530191</v>
      </c>
      <c r="L861" s="5">
        <v>0.2402813623725672</v>
      </c>
      <c r="M861" s="5">
        <v>0.22586480858344626</v>
      </c>
      <c r="N861" s="5">
        <v>0.14577284308832969</v>
      </c>
    </row>
    <row r="862" spans="1:14" x14ac:dyDescent="0.25">
      <c r="A862">
        <v>2014</v>
      </c>
      <c r="B862">
        <v>258</v>
      </c>
      <c r="C862" t="s">
        <v>108</v>
      </c>
      <c r="D862" t="s">
        <v>66</v>
      </c>
      <c r="E862" s="5">
        <v>0.16659675411706001</v>
      </c>
      <c r="F862" s="5">
        <v>0.16659675411706001</v>
      </c>
      <c r="G862" s="5">
        <v>0.26270711271119984</v>
      </c>
      <c r="H862" s="5">
        <v>0.19863354031510663</v>
      </c>
      <c r="I862" s="5">
        <v>0.20824457617452058</v>
      </c>
      <c r="J862" s="5">
        <v>0.22105929065373928</v>
      </c>
      <c r="K862" s="5">
        <v>0.21305009410422759</v>
      </c>
      <c r="L862" s="5">
        <v>0.18421698652598562</v>
      </c>
      <c r="M862" s="5">
        <v>0.19062434376559498</v>
      </c>
      <c r="N862" s="5">
        <v>0.13616180722891566</v>
      </c>
    </row>
    <row r="863" spans="1:14" x14ac:dyDescent="0.25">
      <c r="A863">
        <v>2014</v>
      </c>
      <c r="B863">
        <v>258</v>
      </c>
      <c r="C863" t="s">
        <v>108</v>
      </c>
      <c r="D863" t="s">
        <v>65</v>
      </c>
      <c r="E863" s="5">
        <v>0.24829055892207885</v>
      </c>
      <c r="F863" s="5">
        <v>0.20824457617452058</v>
      </c>
      <c r="G863" s="5">
        <v>0.31236413131817214</v>
      </c>
      <c r="H863" s="5">
        <v>0.18421698652598562</v>
      </c>
      <c r="I863" s="5">
        <v>0.17300411135666929</v>
      </c>
      <c r="J863" s="5">
        <v>0.19222618307549727</v>
      </c>
      <c r="K863" s="5">
        <v>0.20183721893491127</v>
      </c>
      <c r="L863" s="5">
        <v>0.19542986169530191</v>
      </c>
      <c r="M863" s="5">
        <v>0.18581882583588796</v>
      </c>
      <c r="N863" s="5">
        <v>0.13776364653881804</v>
      </c>
    </row>
    <row r="864" spans="1:14" x14ac:dyDescent="0.25">
      <c r="A864">
        <v>2014</v>
      </c>
      <c r="B864">
        <v>258</v>
      </c>
      <c r="C864" t="s">
        <v>108</v>
      </c>
      <c r="D864" t="s">
        <v>71</v>
      </c>
      <c r="E864" s="5" t="s">
        <v>109</v>
      </c>
      <c r="F864" s="5">
        <v>0.21785561203393461</v>
      </c>
      <c r="G864" s="5">
        <v>0.25629975547159051</v>
      </c>
      <c r="H864" s="5">
        <v>0.2498923982319812</v>
      </c>
      <c r="I864" s="5">
        <v>0.21785561203393461</v>
      </c>
      <c r="J864" s="5">
        <v>0.21305009410422759</v>
      </c>
      <c r="K864" s="5">
        <v>0.1794114685962786</v>
      </c>
      <c r="L864" s="5">
        <v>0.20664273686461829</v>
      </c>
      <c r="M864" s="5">
        <v>0.21945745134383693</v>
      </c>
      <c r="N864" s="5">
        <v>0.13776364653881804</v>
      </c>
    </row>
    <row r="865" spans="1:14" x14ac:dyDescent="0.25">
      <c r="A865">
        <v>2014</v>
      </c>
      <c r="B865">
        <v>258</v>
      </c>
      <c r="C865" t="s">
        <v>108</v>
      </c>
      <c r="D865" t="s">
        <v>35</v>
      </c>
      <c r="E865" s="5" t="s">
        <v>109</v>
      </c>
      <c r="F865" s="5">
        <v>0.22899999999999998</v>
      </c>
      <c r="G865" s="5">
        <v>0.20499999999999999</v>
      </c>
      <c r="H865" s="5">
        <v>0.16600000000000001</v>
      </c>
      <c r="I865" s="5">
        <v>0.152</v>
      </c>
      <c r="J865" s="5">
        <v>0.16</v>
      </c>
      <c r="K865" s="5">
        <v>0.155</v>
      </c>
      <c r="L865" s="5">
        <v>0.17399999999999999</v>
      </c>
      <c r="M865" s="5">
        <v>0.193</v>
      </c>
      <c r="N865" s="5">
        <v>0.14599999999999999</v>
      </c>
    </row>
    <row r="866" spans="1:14" x14ac:dyDescent="0.25">
      <c r="A866">
        <v>2014</v>
      </c>
      <c r="B866">
        <v>258</v>
      </c>
      <c r="C866" t="s">
        <v>108</v>
      </c>
      <c r="D866" t="s">
        <v>37</v>
      </c>
      <c r="E866" s="5" t="s">
        <v>109</v>
      </c>
      <c r="F866" s="5">
        <v>0.23199999999999998</v>
      </c>
      <c r="G866" s="5">
        <v>0.23</v>
      </c>
      <c r="H866" s="5">
        <v>0.21199999999999999</v>
      </c>
      <c r="I866" s="5">
        <v>0.183</v>
      </c>
      <c r="J866" s="5">
        <v>0.18100000000000002</v>
      </c>
      <c r="K866" s="5">
        <v>0.16699999999999998</v>
      </c>
      <c r="L866" s="5">
        <v>0.16699999999999998</v>
      </c>
      <c r="M866" s="5">
        <v>0.20800000000000002</v>
      </c>
      <c r="N866" s="5">
        <v>0.161</v>
      </c>
    </row>
    <row r="867" spans="1:14" x14ac:dyDescent="0.25">
      <c r="A867">
        <v>2014</v>
      </c>
      <c r="B867">
        <v>258</v>
      </c>
      <c r="C867" t="s">
        <v>108</v>
      </c>
      <c r="D867" t="s">
        <v>40</v>
      </c>
      <c r="E867" s="5" t="s">
        <v>109</v>
      </c>
      <c r="F867" s="5">
        <v>0.19899999999999998</v>
      </c>
      <c r="G867" s="5">
        <v>0.20100000000000001</v>
      </c>
      <c r="H867" s="5">
        <v>0.18899999999999997</v>
      </c>
      <c r="I867" s="5">
        <v>0.182</v>
      </c>
      <c r="J867" s="5">
        <v>0.185</v>
      </c>
      <c r="K867" s="5">
        <v>0.16500000000000001</v>
      </c>
      <c r="L867" s="5">
        <v>0.151</v>
      </c>
      <c r="M867" s="5">
        <v>0.20300000000000001</v>
      </c>
      <c r="N867" s="5">
        <v>0.16500000000000001</v>
      </c>
    </row>
    <row r="868" spans="1:14" x14ac:dyDescent="0.25">
      <c r="A868">
        <v>2014</v>
      </c>
      <c r="B868">
        <v>258</v>
      </c>
      <c r="C868" t="s">
        <v>108</v>
      </c>
      <c r="D868" t="s">
        <v>41</v>
      </c>
      <c r="E868" s="5">
        <v>0.23899999999999999</v>
      </c>
      <c r="F868" s="5">
        <v>0.23100000000000001</v>
      </c>
      <c r="G868" s="5">
        <v>0.23800000000000002</v>
      </c>
      <c r="H868" s="5">
        <v>0.19399999999999998</v>
      </c>
      <c r="I868" s="5">
        <v>0.17199999999999999</v>
      </c>
      <c r="J868" s="5">
        <v>0.17300000000000001</v>
      </c>
      <c r="K868" s="5">
        <v>0.188</v>
      </c>
      <c r="L868" s="5">
        <v>0.183</v>
      </c>
      <c r="M868" s="5">
        <v>0.191</v>
      </c>
      <c r="N868" s="5">
        <v>0.16300000000000001</v>
      </c>
    </row>
    <row r="869" spans="1:14" x14ac:dyDescent="0.25">
      <c r="A869">
        <v>2014</v>
      </c>
      <c r="B869">
        <v>258</v>
      </c>
      <c r="C869" t="s">
        <v>108</v>
      </c>
      <c r="D869" t="s">
        <v>43</v>
      </c>
      <c r="E869" s="5">
        <v>0.24399999999999999</v>
      </c>
      <c r="F869" s="5">
        <v>0.222</v>
      </c>
      <c r="G869" s="5">
        <v>0.16800000000000001</v>
      </c>
      <c r="H869" s="5">
        <v>0.157</v>
      </c>
      <c r="I869" s="5">
        <v>0.14199999999999999</v>
      </c>
      <c r="J869" s="5">
        <v>0.127</v>
      </c>
      <c r="K869" s="5">
        <v>0.11599999999999999</v>
      </c>
      <c r="L869" s="5">
        <v>0.11599999999999999</v>
      </c>
      <c r="M869" s="5">
        <v>0.156</v>
      </c>
      <c r="N869" s="5">
        <v>0.13100000000000001</v>
      </c>
    </row>
    <row r="870" spans="1:14" x14ac:dyDescent="0.25">
      <c r="A870">
        <v>2014</v>
      </c>
      <c r="B870">
        <v>258</v>
      </c>
      <c r="C870" t="s">
        <v>108</v>
      </c>
      <c r="D870" t="s">
        <v>44</v>
      </c>
      <c r="E870" s="5" t="s">
        <v>109</v>
      </c>
      <c r="F870" s="5">
        <v>0.24</v>
      </c>
      <c r="G870" s="5">
        <v>0.13900000000000001</v>
      </c>
      <c r="H870" s="5">
        <v>0.11199999999999999</v>
      </c>
      <c r="I870" s="5">
        <v>0.10099999999999999</v>
      </c>
      <c r="J870" s="5">
        <v>0.1</v>
      </c>
      <c r="K870" s="5">
        <v>9.6999999999999989E-2</v>
      </c>
      <c r="L870" s="5">
        <v>0.105</v>
      </c>
      <c r="M870" s="5">
        <v>0.155</v>
      </c>
      <c r="N870" s="5">
        <v>0.13100000000000001</v>
      </c>
    </row>
    <row r="871" spans="1:14" x14ac:dyDescent="0.25">
      <c r="A871">
        <v>2014</v>
      </c>
      <c r="B871">
        <v>258</v>
      </c>
      <c r="C871" t="s">
        <v>108</v>
      </c>
      <c r="D871" t="s">
        <v>38</v>
      </c>
      <c r="E871" s="5">
        <v>0.215</v>
      </c>
      <c r="F871" s="5">
        <v>0.21899999999999997</v>
      </c>
      <c r="G871" s="5">
        <v>0.23300000000000001</v>
      </c>
      <c r="H871" s="5">
        <v>0.22699999999999998</v>
      </c>
      <c r="I871" s="5">
        <v>0.18899999999999997</v>
      </c>
      <c r="J871" s="5">
        <v>0.17</v>
      </c>
      <c r="K871" s="5">
        <v>0.14599999999999999</v>
      </c>
      <c r="L871" s="5">
        <v>0.17600000000000002</v>
      </c>
      <c r="M871" s="5">
        <v>0.184</v>
      </c>
      <c r="N871" s="5">
        <v>0.156</v>
      </c>
    </row>
    <row r="872" spans="1:14" x14ac:dyDescent="0.25">
      <c r="A872">
        <v>2014</v>
      </c>
      <c r="B872">
        <v>258</v>
      </c>
      <c r="C872" t="s">
        <v>108</v>
      </c>
      <c r="D872" t="s">
        <v>85</v>
      </c>
      <c r="E872" s="5">
        <v>0.20699999999999999</v>
      </c>
      <c r="F872" s="5">
        <v>0.2</v>
      </c>
      <c r="G872" s="5">
        <v>0.22600000000000001</v>
      </c>
      <c r="H872" s="5">
        <v>0.23899999999999999</v>
      </c>
      <c r="I872" s="5">
        <v>0.214</v>
      </c>
      <c r="J872" s="5">
        <v>0.19</v>
      </c>
      <c r="K872" s="5">
        <v>0.18</v>
      </c>
      <c r="L872" s="5">
        <v>0.161</v>
      </c>
      <c r="M872" s="5">
        <v>0.19800000000000001</v>
      </c>
      <c r="N872" s="5">
        <v>0.151</v>
      </c>
    </row>
    <row r="873" spans="1:14" x14ac:dyDescent="0.25">
      <c r="A873">
        <v>2014</v>
      </c>
      <c r="B873">
        <v>258</v>
      </c>
      <c r="C873" t="s">
        <v>108</v>
      </c>
      <c r="D873" t="s">
        <v>84</v>
      </c>
      <c r="E873" s="5" t="s">
        <v>109</v>
      </c>
      <c r="F873" s="5">
        <v>0.22800000000000001</v>
      </c>
      <c r="G873" s="5">
        <v>0.251</v>
      </c>
      <c r="H873" s="5">
        <v>0.23800000000000002</v>
      </c>
      <c r="I873" s="5">
        <v>0.22399999999999998</v>
      </c>
      <c r="J873" s="5">
        <v>0.21600000000000003</v>
      </c>
      <c r="K873" s="5">
        <v>0.218</v>
      </c>
      <c r="L873" s="5">
        <v>0.16500000000000001</v>
      </c>
      <c r="M873" s="5">
        <v>0.17600000000000002</v>
      </c>
      <c r="N873" s="5">
        <v>0.13800000000000001</v>
      </c>
    </row>
    <row r="874" spans="1:14" x14ac:dyDescent="0.25">
      <c r="A874">
        <v>2014</v>
      </c>
      <c r="B874">
        <v>258</v>
      </c>
      <c r="C874" t="s">
        <v>108</v>
      </c>
      <c r="D874" t="s">
        <v>42</v>
      </c>
      <c r="E874" s="5" t="s">
        <v>109</v>
      </c>
      <c r="F874" s="5">
        <v>0.23300000000000001</v>
      </c>
      <c r="G874" s="5">
        <v>0.222</v>
      </c>
      <c r="H874" s="5">
        <v>0.23399999999999999</v>
      </c>
      <c r="I874" s="5">
        <v>0.21600000000000003</v>
      </c>
      <c r="J874" s="5">
        <v>0.20899999999999999</v>
      </c>
      <c r="K874" s="5">
        <v>0.20699999999999999</v>
      </c>
      <c r="L874" s="5">
        <v>0.20800000000000002</v>
      </c>
      <c r="M874" s="5">
        <v>0.19800000000000001</v>
      </c>
      <c r="N874" s="5">
        <v>0.14599999999999999</v>
      </c>
    </row>
    <row r="875" spans="1:14" x14ac:dyDescent="0.25">
      <c r="A875">
        <v>2014</v>
      </c>
      <c r="B875">
        <v>258</v>
      </c>
      <c r="C875" t="s">
        <v>108</v>
      </c>
      <c r="D875" t="s">
        <v>83</v>
      </c>
      <c r="E875" s="5">
        <v>0.161</v>
      </c>
      <c r="F875" s="5">
        <v>0.14400000000000002</v>
      </c>
      <c r="G875" s="5">
        <v>0.17399999999999999</v>
      </c>
      <c r="H875" s="5">
        <v>0.20100000000000001</v>
      </c>
      <c r="I875" s="5">
        <v>0.17600000000000002</v>
      </c>
      <c r="J875" s="5">
        <v>0.154</v>
      </c>
      <c r="K875" s="5">
        <v>0.124</v>
      </c>
      <c r="L875" s="5">
        <v>0.129</v>
      </c>
      <c r="M875" s="5">
        <v>0.153</v>
      </c>
      <c r="N875" s="5">
        <v>0.12300000000000001</v>
      </c>
    </row>
    <row r="876" spans="1:14" x14ac:dyDescent="0.25">
      <c r="A876">
        <v>2014</v>
      </c>
      <c r="B876">
        <v>258</v>
      </c>
      <c r="C876" t="s">
        <v>108</v>
      </c>
      <c r="D876" t="s">
        <v>82</v>
      </c>
      <c r="E876" s="5">
        <v>0.191</v>
      </c>
      <c r="F876" s="5">
        <v>0.16</v>
      </c>
      <c r="G876" s="5">
        <v>0.14499999999999999</v>
      </c>
      <c r="H876" s="5">
        <v>0.17800000000000002</v>
      </c>
      <c r="I876" s="5">
        <v>0.21199999999999999</v>
      </c>
      <c r="J876" s="5">
        <v>0.19500000000000001</v>
      </c>
      <c r="K876" s="5">
        <v>0.16899999999999998</v>
      </c>
      <c r="L876" s="5">
        <v>0.14400000000000002</v>
      </c>
      <c r="M876" s="5">
        <v>0.159</v>
      </c>
      <c r="N876" s="5">
        <v>0.13800000000000001</v>
      </c>
    </row>
    <row r="877" spans="1:14" x14ac:dyDescent="0.25">
      <c r="A877">
        <v>2014</v>
      </c>
      <c r="B877">
        <v>258</v>
      </c>
      <c r="C877" t="s">
        <v>108</v>
      </c>
      <c r="D877" t="s">
        <v>72</v>
      </c>
      <c r="E877" s="5" t="s">
        <v>109</v>
      </c>
      <c r="F877" s="5">
        <v>0.249</v>
      </c>
      <c r="G877" s="5">
        <v>0.20899999999999999</v>
      </c>
      <c r="H877" s="5">
        <v>0.19500000000000001</v>
      </c>
      <c r="I877" s="5">
        <v>0.183</v>
      </c>
      <c r="J877" s="5">
        <v>0.14599999999999999</v>
      </c>
      <c r="K877" s="5">
        <v>0.13600000000000001</v>
      </c>
      <c r="L877" s="5">
        <v>0.16800000000000001</v>
      </c>
      <c r="M877" s="5">
        <v>0.192</v>
      </c>
      <c r="N877" s="5">
        <v>0.14699999999999999</v>
      </c>
    </row>
    <row r="878" spans="1:14" x14ac:dyDescent="0.25">
      <c r="A878">
        <v>2014</v>
      </c>
      <c r="B878">
        <v>258</v>
      </c>
      <c r="C878" t="s">
        <v>108</v>
      </c>
      <c r="D878" t="s">
        <v>39</v>
      </c>
      <c r="E878" s="5">
        <v>0.20199999999999999</v>
      </c>
      <c r="F878" s="5">
        <v>0.20100000000000001</v>
      </c>
      <c r="G878" s="5">
        <v>0.19</v>
      </c>
      <c r="H878" s="5">
        <v>0.23</v>
      </c>
      <c r="I878" s="5">
        <v>0.215</v>
      </c>
      <c r="J878" s="5">
        <v>0.20199999999999999</v>
      </c>
      <c r="K878" s="5">
        <v>0.23699999999999999</v>
      </c>
      <c r="L878" s="5">
        <v>0.23100000000000001</v>
      </c>
      <c r="M878" s="5">
        <v>0.20699999999999999</v>
      </c>
      <c r="N878" s="5">
        <v>0.13699999999999998</v>
      </c>
    </row>
    <row r="879" spans="1:14" x14ac:dyDescent="0.25">
      <c r="A879">
        <v>2014</v>
      </c>
      <c r="B879">
        <v>258</v>
      </c>
      <c r="C879" t="s">
        <v>108</v>
      </c>
      <c r="D879" t="s">
        <v>86</v>
      </c>
      <c r="E879" s="5">
        <v>0.16699999999999998</v>
      </c>
      <c r="F879" s="5">
        <v>0.17300000000000001</v>
      </c>
      <c r="G879" s="5">
        <v>0.215</v>
      </c>
      <c r="H879" s="5">
        <v>0.214</v>
      </c>
      <c r="I879" s="5">
        <v>0.19800000000000001</v>
      </c>
      <c r="J879" s="5">
        <v>0.17399999999999999</v>
      </c>
      <c r="K879" s="5">
        <v>0.17399999999999999</v>
      </c>
      <c r="L879" s="5">
        <v>0.17699999999999999</v>
      </c>
      <c r="M879" s="5">
        <v>0.20499999999999999</v>
      </c>
      <c r="N879" s="5">
        <v>0.158</v>
      </c>
    </row>
    <row r="880" spans="1:14" x14ac:dyDescent="0.25">
      <c r="A880">
        <v>2014</v>
      </c>
      <c r="B880">
        <v>258</v>
      </c>
      <c r="C880" t="s">
        <v>108</v>
      </c>
      <c r="D880" t="s">
        <v>87</v>
      </c>
      <c r="E880" s="5" t="s">
        <v>109</v>
      </c>
      <c r="F880" s="5">
        <v>0.185</v>
      </c>
      <c r="G880" s="5">
        <v>0.20600000000000002</v>
      </c>
      <c r="H880" s="5">
        <v>0.23399999999999999</v>
      </c>
      <c r="I880" s="5">
        <v>0.20499999999999999</v>
      </c>
      <c r="J880" s="5">
        <v>0.193</v>
      </c>
      <c r="K880" s="5">
        <v>0.188</v>
      </c>
      <c r="L880" s="5">
        <v>0.17</v>
      </c>
      <c r="M880" s="5">
        <v>0.182</v>
      </c>
      <c r="N880" s="5">
        <v>0.14000000000000001</v>
      </c>
    </row>
    <row r="881" spans="1:14" x14ac:dyDescent="0.25">
      <c r="A881">
        <v>2014</v>
      </c>
      <c r="B881">
        <v>258</v>
      </c>
      <c r="C881" t="s">
        <v>108</v>
      </c>
      <c r="D881" t="s">
        <v>88</v>
      </c>
      <c r="E881" s="5">
        <v>0.21100000000000002</v>
      </c>
      <c r="F881" s="5">
        <v>0.19699999999999998</v>
      </c>
      <c r="G881" s="5">
        <v>0.19500000000000001</v>
      </c>
      <c r="H881" s="5">
        <v>0.193</v>
      </c>
      <c r="I881" s="5">
        <v>0.17899999999999999</v>
      </c>
      <c r="J881" s="5">
        <v>0.16800000000000001</v>
      </c>
      <c r="K881" s="5">
        <v>0.16200000000000001</v>
      </c>
      <c r="L881" s="5">
        <v>0.13800000000000001</v>
      </c>
      <c r="M881" s="5">
        <v>0.16200000000000001</v>
      </c>
      <c r="N881" s="5">
        <v>0.126</v>
      </c>
    </row>
    <row r="882" spans="1:14" x14ac:dyDescent="0.25">
      <c r="A882">
        <v>2014</v>
      </c>
      <c r="B882">
        <v>258</v>
      </c>
      <c r="C882" t="s">
        <v>108</v>
      </c>
      <c r="D882" t="s">
        <v>36</v>
      </c>
      <c r="E882" s="5">
        <v>0.14000000000000001</v>
      </c>
      <c r="F882" s="5">
        <v>0.14000000000000001</v>
      </c>
      <c r="G882" s="5">
        <v>0.13699999999999998</v>
      </c>
      <c r="H882" s="5">
        <v>0.157</v>
      </c>
      <c r="I882" s="5">
        <v>0.17300000000000001</v>
      </c>
      <c r="J882" s="5">
        <v>0.16399999999999998</v>
      </c>
      <c r="K882" s="5">
        <v>0.15</v>
      </c>
      <c r="L882" s="5">
        <v>0.14800000000000002</v>
      </c>
      <c r="M882" s="5">
        <v>0.16699999999999998</v>
      </c>
      <c r="N882" s="5">
        <v>0.12</v>
      </c>
    </row>
    <row r="883" spans="1:14" x14ac:dyDescent="0.25">
      <c r="A883">
        <v>2014</v>
      </c>
      <c r="B883">
        <v>258</v>
      </c>
      <c r="C883" t="s">
        <v>108</v>
      </c>
      <c r="D883" t="s">
        <v>94</v>
      </c>
      <c r="E883" s="5" t="s">
        <v>109</v>
      </c>
      <c r="F883" s="5">
        <v>0.185</v>
      </c>
      <c r="G883" s="5">
        <v>0.16600000000000001</v>
      </c>
      <c r="H883" s="5">
        <v>0.16500000000000001</v>
      </c>
      <c r="I883" s="5">
        <v>0.161</v>
      </c>
      <c r="J883" s="5">
        <v>0.126</v>
      </c>
      <c r="K883" s="5">
        <v>0.125</v>
      </c>
      <c r="L883" s="5">
        <v>0.14899999999999999</v>
      </c>
      <c r="M883" s="5">
        <v>0.16399999999999998</v>
      </c>
      <c r="N883" s="5">
        <v>0.13200000000000001</v>
      </c>
    </row>
    <row r="884" spans="1:14" x14ac:dyDescent="0.25">
      <c r="A884">
        <v>2014</v>
      </c>
      <c r="B884">
        <v>258</v>
      </c>
      <c r="C884" t="s">
        <v>108</v>
      </c>
      <c r="D884" t="s">
        <v>93</v>
      </c>
      <c r="E884" s="5">
        <v>0.18899999999999997</v>
      </c>
      <c r="F884" s="5">
        <v>0.17899999999999999</v>
      </c>
      <c r="G884" s="5">
        <v>0.157</v>
      </c>
      <c r="H884" s="5">
        <v>0.15</v>
      </c>
      <c r="I884" s="5">
        <v>0.13500000000000001</v>
      </c>
      <c r="J884" s="5">
        <v>0.12</v>
      </c>
      <c r="K884" s="5">
        <v>0.114</v>
      </c>
      <c r="L884" s="5">
        <v>0.14599999999999999</v>
      </c>
      <c r="M884" s="5">
        <v>0.16399999999999998</v>
      </c>
      <c r="N884" s="5">
        <v>0.13600000000000001</v>
      </c>
    </row>
    <row r="885" spans="1:14" x14ac:dyDescent="0.25">
      <c r="A885">
        <v>2014</v>
      </c>
      <c r="B885">
        <v>258</v>
      </c>
      <c r="C885" t="s">
        <v>108</v>
      </c>
      <c r="D885" t="s">
        <v>92</v>
      </c>
      <c r="E885" s="5" t="s">
        <v>109</v>
      </c>
      <c r="F885" s="5">
        <v>0.17699999999999999</v>
      </c>
      <c r="G885" s="5">
        <v>0.17399999999999999</v>
      </c>
      <c r="H885" s="5">
        <v>0.16</v>
      </c>
      <c r="I885" s="5">
        <v>0.158</v>
      </c>
      <c r="J885" s="5">
        <v>0.156</v>
      </c>
      <c r="K885" s="5">
        <v>0.13699999999999998</v>
      </c>
      <c r="L885" s="5">
        <v>0.16600000000000001</v>
      </c>
      <c r="M885" s="5">
        <v>0.183</v>
      </c>
      <c r="N885" s="5">
        <v>0.14000000000000001</v>
      </c>
    </row>
    <row r="886" spans="1:14" x14ac:dyDescent="0.25">
      <c r="A886">
        <v>2014</v>
      </c>
      <c r="B886">
        <v>258</v>
      </c>
      <c r="C886" t="s">
        <v>108</v>
      </c>
      <c r="D886" t="s">
        <v>91</v>
      </c>
      <c r="E886" s="5">
        <v>0.153</v>
      </c>
      <c r="F886" s="5">
        <v>0.17899999999999999</v>
      </c>
      <c r="G886" s="5">
        <v>0.24199999999999999</v>
      </c>
      <c r="H886" s="5">
        <v>0.247</v>
      </c>
      <c r="I886" s="5">
        <v>0.22800000000000001</v>
      </c>
      <c r="J886" s="5">
        <v>0.217</v>
      </c>
      <c r="K886" s="5">
        <v>0.19500000000000001</v>
      </c>
      <c r="L886" s="5">
        <v>0.193</v>
      </c>
      <c r="M886" s="5">
        <v>0.19899999999999998</v>
      </c>
      <c r="N886" s="5">
        <v>0.14499999999999999</v>
      </c>
    </row>
    <row r="887" spans="1:14" x14ac:dyDescent="0.25">
      <c r="A887">
        <v>2014</v>
      </c>
      <c r="B887">
        <v>258</v>
      </c>
      <c r="C887" t="s">
        <v>108</v>
      </c>
      <c r="D887" t="s">
        <v>90</v>
      </c>
      <c r="E887" s="5">
        <v>0.191</v>
      </c>
      <c r="F887" s="5">
        <v>0.19699999999999998</v>
      </c>
      <c r="G887" s="5">
        <v>0.17899999999999999</v>
      </c>
      <c r="H887" s="5">
        <v>0.18100000000000002</v>
      </c>
      <c r="I887" s="5">
        <v>0.18100000000000002</v>
      </c>
      <c r="J887" s="5">
        <v>0.18600000000000003</v>
      </c>
      <c r="K887" s="5">
        <v>0.19899999999999998</v>
      </c>
      <c r="L887" s="5">
        <v>0.16800000000000001</v>
      </c>
      <c r="M887" s="5">
        <v>0.17800000000000002</v>
      </c>
      <c r="N887" s="5">
        <v>0.12</v>
      </c>
    </row>
    <row r="888" spans="1:14" x14ac:dyDescent="0.25">
      <c r="A888">
        <v>2014</v>
      </c>
      <c r="B888">
        <v>258</v>
      </c>
      <c r="C888" t="s">
        <v>108</v>
      </c>
      <c r="D888" t="s">
        <v>89</v>
      </c>
      <c r="E888" s="5">
        <v>0.16200000000000001</v>
      </c>
      <c r="F888" s="5">
        <v>0.16500000000000001</v>
      </c>
      <c r="G888" s="5">
        <v>0.17499999999999999</v>
      </c>
      <c r="H888" s="5">
        <v>0.185</v>
      </c>
      <c r="I888" s="5">
        <v>0.19699999999999998</v>
      </c>
      <c r="J888" s="5">
        <v>0.192</v>
      </c>
      <c r="K888" s="5">
        <v>0.193</v>
      </c>
      <c r="L888" s="5">
        <v>0.17100000000000001</v>
      </c>
      <c r="M888" s="5">
        <v>0.16</v>
      </c>
      <c r="N888" s="5">
        <v>0.13600000000000001</v>
      </c>
    </row>
    <row r="889" spans="1:14" x14ac:dyDescent="0.25">
      <c r="A889">
        <v>2014</v>
      </c>
      <c r="B889">
        <v>258</v>
      </c>
      <c r="C889" t="s">
        <v>108</v>
      </c>
      <c r="D889" t="s">
        <v>45</v>
      </c>
      <c r="E889" s="5" t="s">
        <v>109</v>
      </c>
      <c r="F889" s="5">
        <v>0.22</v>
      </c>
      <c r="G889" s="5">
        <v>0.215</v>
      </c>
      <c r="H889" s="5">
        <v>0.22399999999999998</v>
      </c>
      <c r="I889" s="5">
        <v>0.20399999999999999</v>
      </c>
      <c r="J889" s="5">
        <v>0.17600000000000002</v>
      </c>
      <c r="K889" s="5">
        <v>0.16699999999999998</v>
      </c>
      <c r="L889" s="5">
        <v>0.17699999999999999</v>
      </c>
      <c r="M889" s="5">
        <v>0.19800000000000001</v>
      </c>
      <c r="N889" s="5">
        <v>0.14899999999999999</v>
      </c>
    </row>
    <row r="890" spans="1:14" x14ac:dyDescent="0.25">
      <c r="A890">
        <v>2014</v>
      </c>
      <c r="B890">
        <v>258</v>
      </c>
      <c r="C890" t="s">
        <v>108</v>
      </c>
      <c r="D890" t="s">
        <v>46</v>
      </c>
      <c r="E890" s="5">
        <v>0.22699999999999998</v>
      </c>
      <c r="F890" s="5">
        <v>0.23100000000000001</v>
      </c>
      <c r="G890" s="5">
        <v>0.22600000000000001</v>
      </c>
      <c r="H890" s="5">
        <v>0.20699999999999999</v>
      </c>
      <c r="I890" s="5">
        <v>0.192</v>
      </c>
      <c r="J890" s="5">
        <v>0.19800000000000001</v>
      </c>
      <c r="K890" s="5">
        <v>0.19600000000000001</v>
      </c>
      <c r="L890" s="5">
        <v>0.20399999999999999</v>
      </c>
      <c r="M890" s="5">
        <v>0.215</v>
      </c>
      <c r="N890" s="5">
        <v>0.16600000000000001</v>
      </c>
    </row>
    <row r="891" spans="1:14" x14ac:dyDescent="0.25">
      <c r="A891">
        <v>2014</v>
      </c>
      <c r="B891">
        <v>258</v>
      </c>
      <c r="C891" t="s">
        <v>108</v>
      </c>
      <c r="D891" t="s">
        <v>47</v>
      </c>
      <c r="E891" s="5">
        <v>0.21299999999999999</v>
      </c>
      <c r="F891" s="5">
        <v>0.19</v>
      </c>
      <c r="G891" s="5">
        <v>0.191</v>
      </c>
      <c r="H891" s="5">
        <v>0.17</v>
      </c>
      <c r="I891" s="5">
        <v>0.16</v>
      </c>
      <c r="J891" s="5">
        <v>0.16699999999999998</v>
      </c>
      <c r="K891" s="5">
        <v>0.16800000000000001</v>
      </c>
      <c r="L891" s="5">
        <v>0.191</v>
      </c>
      <c r="M891" s="5">
        <v>0.222</v>
      </c>
      <c r="N891" s="5">
        <v>0.158</v>
      </c>
    </row>
    <row r="892" spans="1:14" x14ac:dyDescent="0.25">
      <c r="A892">
        <v>2014</v>
      </c>
      <c r="B892">
        <v>258</v>
      </c>
      <c r="C892" t="s">
        <v>108</v>
      </c>
      <c r="D892" t="s">
        <v>48</v>
      </c>
      <c r="E892" s="5">
        <v>0.13200000000000001</v>
      </c>
      <c r="F892" s="5">
        <v>0.121</v>
      </c>
      <c r="G892" s="5">
        <v>9.9000000000000005E-2</v>
      </c>
      <c r="H892" s="5">
        <v>9.4E-2</v>
      </c>
      <c r="I892" s="5">
        <v>7.9000000000000001E-2</v>
      </c>
      <c r="J892" s="5">
        <v>8.5999999999999993E-2</v>
      </c>
      <c r="K892" s="5">
        <v>0.128</v>
      </c>
      <c r="L892" s="5">
        <v>0.192</v>
      </c>
      <c r="M892" s="5">
        <v>0.20699999999999999</v>
      </c>
      <c r="N892" s="5">
        <v>0.14800000000000002</v>
      </c>
    </row>
    <row r="893" spans="1:14" x14ac:dyDescent="0.25">
      <c r="A893">
        <v>2014</v>
      </c>
      <c r="B893">
        <v>258</v>
      </c>
      <c r="C893" t="s">
        <v>108</v>
      </c>
      <c r="D893" t="s">
        <v>49</v>
      </c>
      <c r="E893" s="5">
        <v>0.17199999999999999</v>
      </c>
      <c r="F893" s="5">
        <v>0.2</v>
      </c>
      <c r="G893" s="5">
        <v>0.20800000000000002</v>
      </c>
      <c r="H893" s="5">
        <v>0.19699999999999998</v>
      </c>
      <c r="I893" s="5">
        <v>0.16699999999999998</v>
      </c>
      <c r="J893" s="5">
        <v>0.154</v>
      </c>
      <c r="K893" s="5">
        <v>0.13600000000000001</v>
      </c>
      <c r="L893" s="5">
        <v>0.14599999999999999</v>
      </c>
      <c r="M893" s="5">
        <v>0.185</v>
      </c>
      <c r="N893" s="5">
        <v>0.14899999999999999</v>
      </c>
    </row>
    <row r="894" spans="1:14" x14ac:dyDescent="0.25">
      <c r="A894">
        <v>2014</v>
      </c>
      <c r="B894">
        <v>258</v>
      </c>
      <c r="C894" t="s">
        <v>108</v>
      </c>
      <c r="D894" t="s">
        <v>50</v>
      </c>
      <c r="E894" s="5">
        <v>0.188</v>
      </c>
      <c r="F894" s="5">
        <v>0.21299999999999999</v>
      </c>
      <c r="G894" s="5">
        <v>0.182</v>
      </c>
      <c r="H894" s="5">
        <v>0.16300000000000001</v>
      </c>
      <c r="I894" s="5">
        <v>0.14400000000000002</v>
      </c>
      <c r="J894" s="5">
        <v>0.14400000000000002</v>
      </c>
      <c r="K894" s="5">
        <v>0.14400000000000002</v>
      </c>
      <c r="L894" s="5">
        <v>0.14899999999999999</v>
      </c>
      <c r="M894" s="5">
        <v>0.185</v>
      </c>
      <c r="N894" s="5">
        <v>0.13400000000000001</v>
      </c>
    </row>
    <row r="895" spans="1:14" x14ac:dyDescent="0.25">
      <c r="A895">
        <v>2014</v>
      </c>
      <c r="B895">
        <v>259</v>
      </c>
      <c r="C895" t="s">
        <v>108</v>
      </c>
      <c r="D895" t="s">
        <v>74</v>
      </c>
      <c r="E895" s="5">
        <v>0.17780962928637631</v>
      </c>
      <c r="F895" s="5">
        <v>0.17620778997647396</v>
      </c>
      <c r="G895" s="5">
        <v>0.19062434376559498</v>
      </c>
      <c r="H895" s="5">
        <v>0.18421698652598562</v>
      </c>
      <c r="I895" s="5">
        <v>0.19542986169530191</v>
      </c>
      <c r="J895" s="5">
        <v>0.17300411135666929</v>
      </c>
      <c r="K895" s="5">
        <v>0.19382802238539962</v>
      </c>
      <c r="L895" s="5">
        <v>0.22105929065373928</v>
      </c>
      <c r="M895" s="5">
        <v>0.20664273686461829</v>
      </c>
      <c r="N895" s="5">
        <v>0.13616180722891566</v>
      </c>
    </row>
    <row r="896" spans="1:14" x14ac:dyDescent="0.25">
      <c r="A896">
        <v>2014</v>
      </c>
      <c r="B896">
        <v>259</v>
      </c>
      <c r="C896" t="s">
        <v>108</v>
      </c>
      <c r="D896" t="s">
        <v>75</v>
      </c>
      <c r="E896" s="5">
        <v>0.20183721893491127</v>
      </c>
      <c r="F896" s="5">
        <v>0.16980043273686465</v>
      </c>
      <c r="G896" s="5">
        <v>0.16980043273686465</v>
      </c>
      <c r="H896" s="5">
        <v>0.18261514721608332</v>
      </c>
      <c r="I896" s="5">
        <v>0.20824457617452058</v>
      </c>
      <c r="J896" s="5">
        <v>0.21785561203393461</v>
      </c>
      <c r="K896" s="5">
        <v>0.20824457617452058</v>
      </c>
      <c r="L896" s="5">
        <v>0.2402813623725672</v>
      </c>
      <c r="M896" s="5">
        <v>0.2226611299636416</v>
      </c>
      <c r="N896" s="5">
        <v>0.14897652170813433</v>
      </c>
    </row>
    <row r="897" spans="1:14" x14ac:dyDescent="0.25">
      <c r="A897">
        <v>2014</v>
      </c>
      <c r="B897">
        <v>259</v>
      </c>
      <c r="C897" t="s">
        <v>108</v>
      </c>
      <c r="D897" t="s">
        <v>76</v>
      </c>
      <c r="E897" s="5" t="s">
        <v>109</v>
      </c>
      <c r="F897" s="5">
        <v>0.32678068510729313</v>
      </c>
      <c r="G897" s="5">
        <v>0.23387400513295795</v>
      </c>
      <c r="H897" s="5">
        <v>0.23387400513295795</v>
      </c>
      <c r="I897" s="5">
        <v>0.26270711271119984</v>
      </c>
      <c r="J897" s="5">
        <v>0.23707768375276253</v>
      </c>
      <c r="K897" s="5">
        <v>0.25309607685178587</v>
      </c>
      <c r="L897" s="5">
        <v>0.2274666478933485</v>
      </c>
      <c r="M897" s="5">
        <v>0.23547584444286021</v>
      </c>
      <c r="N897" s="5">
        <v>0.13455996791901337</v>
      </c>
    </row>
    <row r="898" spans="1:14" x14ac:dyDescent="0.25">
      <c r="A898">
        <v>2014</v>
      </c>
      <c r="B898">
        <v>259</v>
      </c>
      <c r="C898" t="s">
        <v>108</v>
      </c>
      <c r="D898" t="s">
        <v>53</v>
      </c>
      <c r="E898" s="5" t="s">
        <v>109</v>
      </c>
      <c r="F898" s="5" t="s">
        <v>109</v>
      </c>
      <c r="G898" s="5">
        <v>0.28353102373993017</v>
      </c>
      <c r="H898" s="5">
        <v>0.23707768375276253</v>
      </c>
      <c r="I898" s="5">
        <v>0.21625377272403226</v>
      </c>
      <c r="J898" s="5">
        <v>0.20984641548442295</v>
      </c>
      <c r="K898" s="5">
        <v>0.17460595066657167</v>
      </c>
      <c r="L898" s="5">
        <v>0.20343905824481362</v>
      </c>
      <c r="M898" s="5">
        <v>0.17620778997647396</v>
      </c>
      <c r="N898" s="5">
        <v>0.12174525343979471</v>
      </c>
    </row>
    <row r="899" spans="1:14" x14ac:dyDescent="0.25">
      <c r="A899">
        <v>2014</v>
      </c>
      <c r="B899">
        <v>259</v>
      </c>
      <c r="C899" t="s">
        <v>108</v>
      </c>
      <c r="D899" t="s">
        <v>77</v>
      </c>
      <c r="E899" s="5" t="s">
        <v>109</v>
      </c>
      <c r="F899" s="5" t="s">
        <v>109</v>
      </c>
      <c r="G899" s="5" t="s">
        <v>109</v>
      </c>
      <c r="H899" s="5">
        <v>0.19382802238539962</v>
      </c>
      <c r="I899" s="5">
        <v>0.18421698652598562</v>
      </c>
      <c r="J899" s="5">
        <v>0.18902250445569263</v>
      </c>
      <c r="K899" s="5">
        <v>0.18421698652598562</v>
      </c>
      <c r="L899" s="5">
        <v>0.19382802238539962</v>
      </c>
      <c r="M899" s="5">
        <v>0.16659675411706001</v>
      </c>
      <c r="N899" s="5">
        <v>0.10732869965067372</v>
      </c>
    </row>
    <row r="900" spans="1:14" x14ac:dyDescent="0.25">
      <c r="A900">
        <v>2014</v>
      </c>
      <c r="B900">
        <v>259</v>
      </c>
      <c r="C900" t="s">
        <v>108</v>
      </c>
      <c r="D900" t="s">
        <v>73</v>
      </c>
      <c r="E900" s="5" t="s">
        <v>109</v>
      </c>
      <c r="F900" s="5">
        <v>0.20984641548442295</v>
      </c>
      <c r="G900" s="5">
        <v>0.25790159478149288</v>
      </c>
      <c r="H900" s="5">
        <v>0.27391998788051614</v>
      </c>
      <c r="I900" s="5">
        <v>0.21305009410422759</v>
      </c>
      <c r="J900" s="5">
        <v>0.21305009410422759</v>
      </c>
      <c r="K900" s="5">
        <v>0.20023537962500892</v>
      </c>
      <c r="L900" s="5">
        <v>0.18101330790618098</v>
      </c>
      <c r="M900" s="5">
        <v>0.16980043273686465</v>
      </c>
      <c r="N900" s="5">
        <v>0.12494893205959937</v>
      </c>
    </row>
    <row r="901" spans="1:14" x14ac:dyDescent="0.25">
      <c r="A901">
        <v>2014</v>
      </c>
      <c r="B901">
        <v>259</v>
      </c>
      <c r="C901" t="s">
        <v>108</v>
      </c>
      <c r="D901" t="s">
        <v>81</v>
      </c>
      <c r="E901" s="5" t="s">
        <v>109</v>
      </c>
      <c r="F901" s="5" t="s">
        <v>109</v>
      </c>
      <c r="G901" s="5">
        <v>0.25629975547159051</v>
      </c>
      <c r="H901" s="5">
        <v>0.23067032651315325</v>
      </c>
      <c r="I901" s="5">
        <v>0.21785561203393461</v>
      </c>
      <c r="J901" s="5">
        <v>0.19382802238539962</v>
      </c>
      <c r="K901" s="5">
        <v>0.18261514721608332</v>
      </c>
      <c r="L901" s="5">
        <v>0.15538387894774364</v>
      </c>
      <c r="M901" s="5">
        <v>0.17460595066657167</v>
      </c>
      <c r="N901" s="5">
        <v>0.13616180722891566</v>
      </c>
    </row>
    <row r="902" spans="1:14" x14ac:dyDescent="0.25">
      <c r="A902">
        <v>2014</v>
      </c>
      <c r="B902">
        <v>259</v>
      </c>
      <c r="C902" t="s">
        <v>108</v>
      </c>
      <c r="D902" t="s">
        <v>80</v>
      </c>
      <c r="E902" s="5" t="s">
        <v>109</v>
      </c>
      <c r="F902" s="5" t="s">
        <v>109</v>
      </c>
      <c r="G902" s="5">
        <v>0.21144825479432527</v>
      </c>
      <c r="H902" s="5">
        <v>0.23387400513295795</v>
      </c>
      <c r="I902" s="5">
        <v>0.21305009410422759</v>
      </c>
      <c r="J902" s="5">
        <v>0.21305009410422759</v>
      </c>
      <c r="K902" s="5">
        <v>0.2274666478933485</v>
      </c>
      <c r="L902" s="5">
        <v>0.20183721893491127</v>
      </c>
      <c r="M902" s="5">
        <v>0.18421698652598562</v>
      </c>
      <c r="N902" s="5">
        <v>0.15538387894774364</v>
      </c>
    </row>
    <row r="903" spans="1:14" x14ac:dyDescent="0.25">
      <c r="A903">
        <v>2014</v>
      </c>
      <c r="B903">
        <v>259</v>
      </c>
      <c r="C903" t="s">
        <v>108</v>
      </c>
      <c r="D903" t="s">
        <v>79</v>
      </c>
      <c r="E903" s="5" t="s">
        <v>109</v>
      </c>
      <c r="F903" s="5" t="s">
        <v>109</v>
      </c>
      <c r="G903" s="5">
        <v>0.18421698652598562</v>
      </c>
      <c r="H903" s="5">
        <v>0.18902250445569263</v>
      </c>
      <c r="I903" s="5">
        <v>0.20183721893491127</v>
      </c>
      <c r="J903" s="5">
        <v>0.21945745134383693</v>
      </c>
      <c r="K903" s="5">
        <v>0.20504089755471594</v>
      </c>
      <c r="L903" s="5">
        <v>0.21144825479432527</v>
      </c>
      <c r="M903" s="5">
        <v>0.161791236187353</v>
      </c>
      <c r="N903" s="5">
        <v>0.13776364653881804</v>
      </c>
    </row>
    <row r="904" spans="1:14" x14ac:dyDescent="0.25">
      <c r="A904">
        <v>2014</v>
      </c>
      <c r="B904">
        <v>259</v>
      </c>
      <c r="C904" t="s">
        <v>108</v>
      </c>
      <c r="D904" t="s">
        <v>78</v>
      </c>
      <c r="E904" s="5" t="s">
        <v>109</v>
      </c>
      <c r="F904" s="5" t="s">
        <v>109</v>
      </c>
      <c r="G904" s="5">
        <v>0.18101330790618098</v>
      </c>
      <c r="H904" s="5">
        <v>0.17780962928637631</v>
      </c>
      <c r="I904" s="5">
        <v>0.19222618307549727</v>
      </c>
      <c r="J904" s="5">
        <v>0.19222618307549727</v>
      </c>
      <c r="K904" s="5">
        <v>0.18742066514579026</v>
      </c>
      <c r="L904" s="5">
        <v>0.17140227204676695</v>
      </c>
      <c r="M904" s="5">
        <v>0.16018939687745065</v>
      </c>
      <c r="N904" s="5">
        <v>0.12174525343979471</v>
      </c>
    </row>
    <row r="905" spans="1:14" x14ac:dyDescent="0.25">
      <c r="A905">
        <v>2014</v>
      </c>
      <c r="B905">
        <v>259</v>
      </c>
      <c r="C905" t="s">
        <v>108</v>
      </c>
      <c r="D905" t="s">
        <v>54</v>
      </c>
      <c r="E905" s="5" t="s">
        <v>109</v>
      </c>
      <c r="F905" s="5" t="s">
        <v>109</v>
      </c>
      <c r="G905" s="5">
        <v>0.18101330790618098</v>
      </c>
      <c r="H905" s="5">
        <v>0.18101330790618098</v>
      </c>
      <c r="I905" s="5">
        <v>0.18101330790618098</v>
      </c>
      <c r="J905" s="5">
        <v>0.18101330790618098</v>
      </c>
      <c r="K905" s="5">
        <v>0.18101330790618098</v>
      </c>
      <c r="L905" s="5">
        <v>0.18101330790618098</v>
      </c>
      <c r="M905" s="5">
        <v>0.18101330790618098</v>
      </c>
      <c r="N905" s="5">
        <v>0.18101330790618098</v>
      </c>
    </row>
    <row r="906" spans="1:14" x14ac:dyDescent="0.25">
      <c r="A906">
        <v>2014</v>
      </c>
      <c r="B906">
        <v>265</v>
      </c>
      <c r="C906" t="s">
        <v>108</v>
      </c>
      <c r="D906" t="s">
        <v>51</v>
      </c>
      <c r="E906" s="5">
        <v>0.16300000000000001</v>
      </c>
      <c r="F906" s="5">
        <v>0.187</v>
      </c>
      <c r="G906" s="5">
        <v>0.19699999999999998</v>
      </c>
      <c r="H906" s="5">
        <v>0.21100000000000002</v>
      </c>
      <c r="I906" s="5">
        <v>0.24600000000000002</v>
      </c>
      <c r="J906" s="5">
        <v>0.29499999999999998</v>
      </c>
      <c r="K906" s="5">
        <v>0.32100000000000001</v>
      </c>
      <c r="L906" s="5">
        <v>0.309</v>
      </c>
      <c r="M906" s="5">
        <v>0.28199999999999997</v>
      </c>
      <c r="N906" s="5">
        <v>0.192</v>
      </c>
    </row>
    <row r="907" spans="1:14" x14ac:dyDescent="0.25">
      <c r="A907">
        <v>2014</v>
      </c>
      <c r="B907">
        <v>265</v>
      </c>
      <c r="C907" t="s">
        <v>108</v>
      </c>
      <c r="D907" t="s">
        <v>55</v>
      </c>
      <c r="E907" s="5">
        <v>0.28000000000000003</v>
      </c>
      <c r="F907" s="5">
        <v>0.22</v>
      </c>
      <c r="G907" s="5">
        <v>0.184</v>
      </c>
      <c r="H907" s="5">
        <v>0.22</v>
      </c>
      <c r="I907" s="5">
        <v>0.245</v>
      </c>
      <c r="J907" s="5">
        <v>0.27100000000000002</v>
      </c>
      <c r="K907" s="5">
        <v>0.29899999999999999</v>
      </c>
      <c r="L907" s="5">
        <v>0.31900000000000001</v>
      </c>
      <c r="M907" s="5">
        <v>0.29199999999999998</v>
      </c>
      <c r="N907" s="5">
        <v>0.182</v>
      </c>
    </row>
    <row r="908" spans="1:14" x14ac:dyDescent="0.25">
      <c r="A908">
        <v>2014</v>
      </c>
      <c r="B908">
        <v>265</v>
      </c>
      <c r="C908" t="s">
        <v>108</v>
      </c>
      <c r="D908" t="s">
        <v>56</v>
      </c>
      <c r="E908" s="5">
        <v>0.221</v>
      </c>
      <c r="F908" s="5">
        <v>0.27100000000000002</v>
      </c>
      <c r="G908" s="5">
        <v>0.28699999999999998</v>
      </c>
      <c r="H908" s="5">
        <v>0.27399999999999997</v>
      </c>
      <c r="I908" s="5">
        <v>0.253</v>
      </c>
      <c r="J908" s="5">
        <v>0.28399999999999997</v>
      </c>
      <c r="K908" s="5">
        <v>0.29299999999999998</v>
      </c>
      <c r="L908" s="5">
        <v>0.312</v>
      </c>
      <c r="M908" s="5">
        <v>0.315</v>
      </c>
      <c r="N908" s="5">
        <v>0.20100000000000001</v>
      </c>
    </row>
    <row r="909" spans="1:14" x14ac:dyDescent="0.25">
      <c r="A909">
        <v>2014</v>
      </c>
      <c r="B909">
        <v>265</v>
      </c>
      <c r="C909" t="s">
        <v>108</v>
      </c>
      <c r="D909" t="s">
        <v>57</v>
      </c>
      <c r="E909" s="5" t="s">
        <v>109</v>
      </c>
      <c r="F909" s="5">
        <v>0.24</v>
      </c>
      <c r="G909" s="5">
        <v>0.23600000000000002</v>
      </c>
      <c r="H909" s="5">
        <v>0.23600000000000002</v>
      </c>
      <c r="I909" s="5">
        <v>0.249</v>
      </c>
      <c r="J909" s="5">
        <v>0.26200000000000001</v>
      </c>
      <c r="K909" s="5">
        <v>0.27899999999999997</v>
      </c>
      <c r="L909" s="5">
        <v>0.28000000000000003</v>
      </c>
      <c r="M909" s="5">
        <v>0.26800000000000002</v>
      </c>
      <c r="N909" s="5">
        <v>0.21199999999999999</v>
      </c>
    </row>
    <row r="910" spans="1:14" x14ac:dyDescent="0.25">
      <c r="A910">
        <v>2014</v>
      </c>
      <c r="B910">
        <v>265</v>
      </c>
      <c r="C910" t="s">
        <v>108</v>
      </c>
      <c r="D910" t="s">
        <v>58</v>
      </c>
      <c r="E910" s="5" t="s">
        <v>109</v>
      </c>
      <c r="F910" s="5" t="s">
        <v>109</v>
      </c>
      <c r="G910" s="5" t="s">
        <v>109</v>
      </c>
      <c r="H910" s="5">
        <v>0.308</v>
      </c>
      <c r="I910" s="5">
        <v>0.28800000000000003</v>
      </c>
      <c r="J910" s="5">
        <v>0.29600000000000004</v>
      </c>
      <c r="K910" s="5">
        <v>0.313</v>
      </c>
      <c r="L910" s="5">
        <v>0.33399999999999996</v>
      </c>
      <c r="M910" s="5">
        <v>0.35299999999999998</v>
      </c>
      <c r="N910" s="5">
        <v>0.223</v>
      </c>
    </row>
    <row r="911" spans="1:14" x14ac:dyDescent="0.25">
      <c r="A911">
        <v>2014</v>
      </c>
      <c r="B911">
        <v>265</v>
      </c>
      <c r="C911" t="s">
        <v>108</v>
      </c>
      <c r="D911" t="s">
        <v>59</v>
      </c>
      <c r="E911" s="5" t="s">
        <v>109</v>
      </c>
      <c r="F911" s="5">
        <v>0.33100000000000002</v>
      </c>
      <c r="G911" s="5">
        <v>0.30599999999999999</v>
      </c>
      <c r="H911" s="5">
        <v>0.29799999999999999</v>
      </c>
      <c r="I911" s="5">
        <v>0.28899999999999998</v>
      </c>
      <c r="J911" s="5">
        <v>0.26300000000000001</v>
      </c>
      <c r="K911" s="5">
        <v>0.26899999999999996</v>
      </c>
      <c r="L911" s="5">
        <v>0.33899999999999997</v>
      </c>
      <c r="M911" s="5">
        <v>0.308</v>
      </c>
      <c r="N911" s="5">
        <v>0.2</v>
      </c>
    </row>
    <row r="912" spans="1:14" x14ac:dyDescent="0.25">
      <c r="A912">
        <v>2014</v>
      </c>
      <c r="B912">
        <v>265</v>
      </c>
      <c r="C912" t="s">
        <v>108</v>
      </c>
      <c r="D912" t="s">
        <v>64</v>
      </c>
      <c r="E912" s="5">
        <v>0.38100000000000001</v>
      </c>
      <c r="F912" s="5">
        <v>0.26300000000000001</v>
      </c>
      <c r="G912" s="5">
        <v>0.28499999999999998</v>
      </c>
      <c r="H912" s="5">
        <v>0.39299999999999996</v>
      </c>
      <c r="I912" s="5">
        <v>0.34200000000000003</v>
      </c>
      <c r="J912" s="5">
        <v>0.35799999999999998</v>
      </c>
      <c r="K912" s="5">
        <v>0.37</v>
      </c>
      <c r="L912" s="5">
        <v>0.33700000000000002</v>
      </c>
      <c r="M912" s="5">
        <v>0.28000000000000003</v>
      </c>
      <c r="N912" s="5">
        <v>0.187</v>
      </c>
    </row>
    <row r="913" spans="1:14" x14ac:dyDescent="0.25">
      <c r="A913">
        <v>2014</v>
      </c>
      <c r="B913">
        <v>265</v>
      </c>
      <c r="C913" t="s">
        <v>108</v>
      </c>
      <c r="D913" t="s">
        <v>52</v>
      </c>
      <c r="E913" s="5">
        <v>0.26800000000000002</v>
      </c>
      <c r="F913" s="5">
        <v>0.27800000000000002</v>
      </c>
      <c r="G913" s="5">
        <v>0.29100000000000004</v>
      </c>
      <c r="H913" s="5">
        <v>0.29299999999999998</v>
      </c>
      <c r="I913" s="5">
        <v>0.33600000000000002</v>
      </c>
      <c r="J913" s="5">
        <v>0.38400000000000001</v>
      </c>
      <c r="K913" s="5">
        <v>0.39500000000000002</v>
      </c>
      <c r="L913" s="5">
        <v>0.39100000000000001</v>
      </c>
      <c r="M913" s="5">
        <v>0.30499999999999999</v>
      </c>
      <c r="N913" s="5">
        <v>0.18</v>
      </c>
    </row>
    <row r="914" spans="1:14" x14ac:dyDescent="0.25">
      <c r="A914">
        <v>2014</v>
      </c>
      <c r="B914">
        <v>265</v>
      </c>
      <c r="C914" t="s">
        <v>108</v>
      </c>
      <c r="D914" t="s">
        <v>62</v>
      </c>
      <c r="E914" s="5" t="s">
        <v>109</v>
      </c>
      <c r="F914" s="5">
        <v>0.252</v>
      </c>
      <c r="G914" s="5">
        <v>0.27</v>
      </c>
      <c r="H914" s="5">
        <v>0.27500000000000002</v>
      </c>
      <c r="I914" s="5">
        <v>0.33299999999999996</v>
      </c>
      <c r="J914" s="5">
        <v>0.34499999999999997</v>
      </c>
      <c r="K914" s="5">
        <v>0.34600000000000003</v>
      </c>
      <c r="L914" s="5">
        <v>0.35700000000000004</v>
      </c>
      <c r="M914" s="5">
        <v>0.32400000000000001</v>
      </c>
      <c r="N914" s="5">
        <v>0.19500000000000001</v>
      </c>
    </row>
    <row r="915" spans="1:14" x14ac:dyDescent="0.25">
      <c r="A915">
        <v>2014</v>
      </c>
      <c r="B915">
        <v>265</v>
      </c>
      <c r="C915" t="s">
        <v>108</v>
      </c>
      <c r="D915" t="s">
        <v>63</v>
      </c>
      <c r="E915" s="5" t="s">
        <v>109</v>
      </c>
      <c r="F915" s="5">
        <v>0.27500000000000002</v>
      </c>
      <c r="G915" s="5">
        <v>0.25</v>
      </c>
      <c r="H915" s="5">
        <v>0.26700000000000002</v>
      </c>
      <c r="I915" s="5">
        <v>0.308</v>
      </c>
      <c r="J915" s="5">
        <v>0.317</v>
      </c>
      <c r="K915" s="5">
        <v>0.34799999999999998</v>
      </c>
      <c r="L915" s="5">
        <v>0.32899999999999996</v>
      </c>
      <c r="M915" s="5">
        <v>0.29299999999999998</v>
      </c>
      <c r="N915" s="5">
        <v>0.2</v>
      </c>
    </row>
    <row r="916" spans="1:14" x14ac:dyDescent="0.25">
      <c r="A916">
        <v>2014</v>
      </c>
      <c r="B916">
        <v>265</v>
      </c>
      <c r="C916" t="s">
        <v>108</v>
      </c>
      <c r="D916" t="s">
        <v>61</v>
      </c>
      <c r="E916" s="5" t="s">
        <v>109</v>
      </c>
      <c r="F916" s="5">
        <v>0.53400000000000003</v>
      </c>
      <c r="G916" s="5">
        <v>0.39200000000000002</v>
      </c>
      <c r="H916" s="5">
        <v>0.26899999999999996</v>
      </c>
      <c r="I916" s="5">
        <v>0.28800000000000003</v>
      </c>
      <c r="J916" s="5">
        <v>0.30299999999999999</v>
      </c>
      <c r="K916" s="5">
        <v>0.28999999999999998</v>
      </c>
      <c r="L916" s="5">
        <v>0.374</v>
      </c>
      <c r="M916" s="5">
        <v>0.35899999999999999</v>
      </c>
      <c r="N916" s="5">
        <v>0.20100000000000001</v>
      </c>
    </row>
    <row r="917" spans="1:14" x14ac:dyDescent="0.25">
      <c r="A917">
        <v>2014</v>
      </c>
      <c r="B917">
        <v>265</v>
      </c>
      <c r="C917" t="s">
        <v>108</v>
      </c>
      <c r="D917" t="s">
        <v>60</v>
      </c>
      <c r="E917" s="5" t="s">
        <v>109</v>
      </c>
      <c r="F917" s="5" t="s">
        <v>109</v>
      </c>
      <c r="G917" s="5">
        <v>0.44400000000000001</v>
      </c>
      <c r="H917" s="5">
        <v>0.47399999999999998</v>
      </c>
      <c r="I917" s="5">
        <v>0.32299999999999995</v>
      </c>
      <c r="J917" s="5">
        <v>0.34600000000000003</v>
      </c>
      <c r="K917" s="5">
        <v>0.374</v>
      </c>
      <c r="L917" s="5">
        <v>0.34899999999999998</v>
      </c>
      <c r="M917" s="5">
        <v>0.309</v>
      </c>
      <c r="N917" s="5">
        <v>0.21100000000000002</v>
      </c>
    </row>
    <row r="918" spans="1:14" x14ac:dyDescent="0.25">
      <c r="A918">
        <v>2014</v>
      </c>
      <c r="B918">
        <v>265</v>
      </c>
      <c r="C918" t="s">
        <v>108</v>
      </c>
      <c r="D918" t="s">
        <v>29</v>
      </c>
      <c r="E918" s="5">
        <v>0.33600000000000002</v>
      </c>
      <c r="F918" s="5">
        <v>0.308</v>
      </c>
      <c r="G918" s="5">
        <v>0.33500000000000002</v>
      </c>
      <c r="H918" s="5">
        <v>0.38700000000000001</v>
      </c>
      <c r="I918" s="5">
        <v>0.39200000000000002</v>
      </c>
      <c r="J918" s="5">
        <v>0.442</v>
      </c>
      <c r="K918" s="5">
        <v>0.41299999999999998</v>
      </c>
      <c r="L918" s="5">
        <v>0.41100000000000003</v>
      </c>
      <c r="M918" s="5">
        <v>0.34200000000000003</v>
      </c>
      <c r="N918" s="5">
        <v>0.20100000000000001</v>
      </c>
    </row>
    <row r="919" spans="1:14" x14ac:dyDescent="0.25">
      <c r="A919">
        <v>2014</v>
      </c>
      <c r="B919">
        <v>265</v>
      </c>
      <c r="C919" t="s">
        <v>108</v>
      </c>
      <c r="D919" t="s">
        <v>30</v>
      </c>
      <c r="E919" s="5">
        <v>0.32799999999999996</v>
      </c>
      <c r="F919" s="5">
        <v>0.32100000000000001</v>
      </c>
      <c r="G919" s="5">
        <v>0.39799999999999996</v>
      </c>
      <c r="H919" s="5">
        <v>0.40600000000000003</v>
      </c>
      <c r="I919" s="5">
        <v>0.38400000000000001</v>
      </c>
      <c r="J919" s="5">
        <v>0.37200000000000005</v>
      </c>
      <c r="K919" s="5">
        <v>0.39</v>
      </c>
      <c r="L919" s="5">
        <v>0.313</v>
      </c>
      <c r="M919" s="5">
        <v>0.28000000000000003</v>
      </c>
      <c r="N919" s="5">
        <v>0.16899999999999998</v>
      </c>
    </row>
    <row r="920" spans="1:14" x14ac:dyDescent="0.25">
      <c r="A920">
        <v>2014</v>
      </c>
      <c r="B920">
        <v>265</v>
      </c>
      <c r="C920" t="s">
        <v>108</v>
      </c>
      <c r="D920" t="s">
        <v>31</v>
      </c>
      <c r="E920" s="5">
        <v>0.33</v>
      </c>
      <c r="F920" s="5">
        <v>0.28499999999999998</v>
      </c>
      <c r="G920" s="5">
        <v>0.28499999999999998</v>
      </c>
      <c r="H920" s="5">
        <v>0.30199999999999999</v>
      </c>
      <c r="I920" s="5">
        <v>0.36899999999999999</v>
      </c>
      <c r="J920" s="5">
        <v>0.35600000000000004</v>
      </c>
      <c r="K920" s="5">
        <v>0.36799999999999999</v>
      </c>
      <c r="L920" s="5">
        <v>0.36499999999999999</v>
      </c>
      <c r="M920" s="5">
        <v>0.311</v>
      </c>
      <c r="N920" s="5">
        <v>0.20699999999999999</v>
      </c>
    </row>
    <row r="921" spans="1:14" x14ac:dyDescent="0.25">
      <c r="A921">
        <v>2014</v>
      </c>
      <c r="B921">
        <v>265</v>
      </c>
      <c r="C921" t="s">
        <v>108</v>
      </c>
      <c r="D921" t="s">
        <v>32</v>
      </c>
      <c r="E921" s="5">
        <v>0.40299999999999997</v>
      </c>
      <c r="F921" s="5">
        <v>0.34600000000000003</v>
      </c>
      <c r="G921" s="5">
        <v>0.376</v>
      </c>
      <c r="H921" s="5">
        <v>0.35100000000000003</v>
      </c>
      <c r="I921" s="5">
        <v>0.33200000000000002</v>
      </c>
      <c r="J921" s="5">
        <v>0.31</v>
      </c>
      <c r="K921" s="5">
        <v>0.29499999999999998</v>
      </c>
      <c r="L921" s="5">
        <v>0.28600000000000003</v>
      </c>
      <c r="M921" s="5">
        <v>0.31900000000000001</v>
      </c>
      <c r="N921" s="5">
        <v>0.218</v>
      </c>
    </row>
    <row r="922" spans="1:14" x14ac:dyDescent="0.25">
      <c r="A922">
        <v>2014</v>
      </c>
      <c r="B922">
        <v>265</v>
      </c>
      <c r="C922" t="s">
        <v>108</v>
      </c>
      <c r="D922" t="s">
        <v>33</v>
      </c>
      <c r="E922" s="5">
        <v>0.31</v>
      </c>
      <c r="F922" s="5">
        <v>0.29600000000000004</v>
      </c>
      <c r="G922" s="5">
        <v>0.28600000000000003</v>
      </c>
      <c r="H922" s="5">
        <v>0.27500000000000002</v>
      </c>
      <c r="I922" s="5">
        <v>0.32799999999999996</v>
      </c>
      <c r="J922" s="5">
        <v>0.35600000000000004</v>
      </c>
      <c r="K922" s="5">
        <v>0.38900000000000001</v>
      </c>
      <c r="L922" s="5">
        <v>0.34499999999999997</v>
      </c>
      <c r="M922" s="5">
        <v>0.314</v>
      </c>
      <c r="N922" s="5">
        <v>0.218</v>
      </c>
    </row>
    <row r="923" spans="1:14" x14ac:dyDescent="0.25">
      <c r="A923">
        <v>2014</v>
      </c>
      <c r="B923">
        <v>265</v>
      </c>
      <c r="C923" t="s">
        <v>108</v>
      </c>
      <c r="D923" t="s">
        <v>34</v>
      </c>
      <c r="E923" s="5">
        <v>0.35200000000000004</v>
      </c>
      <c r="F923" s="5">
        <v>0.33600000000000002</v>
      </c>
      <c r="G923" s="5">
        <v>0.40500000000000003</v>
      </c>
      <c r="H923" s="5">
        <v>0.39799999999999996</v>
      </c>
      <c r="I923" s="5">
        <v>0.32600000000000001</v>
      </c>
      <c r="J923" s="5">
        <v>0.33600000000000002</v>
      </c>
      <c r="K923" s="5">
        <v>0.34100000000000003</v>
      </c>
      <c r="L923" s="5">
        <v>0.34799999999999998</v>
      </c>
      <c r="M923" s="5">
        <v>0.28100000000000003</v>
      </c>
      <c r="N923" s="5">
        <v>0.192</v>
      </c>
    </row>
    <row r="924" spans="1:14" x14ac:dyDescent="0.25">
      <c r="A924">
        <v>2014</v>
      </c>
      <c r="B924">
        <v>265</v>
      </c>
      <c r="C924" t="s">
        <v>108</v>
      </c>
      <c r="D924" t="s">
        <v>70</v>
      </c>
      <c r="E924" s="5">
        <v>0.32100000000000001</v>
      </c>
      <c r="F924" s="5">
        <v>0.32</v>
      </c>
      <c r="G924" s="5">
        <v>0.377</v>
      </c>
      <c r="H924" s="5">
        <v>0.38100000000000001</v>
      </c>
      <c r="I924" s="5">
        <v>0.36</v>
      </c>
      <c r="J924" s="5">
        <v>0.34600000000000003</v>
      </c>
      <c r="K924" s="5">
        <v>0.40700000000000003</v>
      </c>
      <c r="L924" s="5">
        <v>0.38600000000000001</v>
      </c>
      <c r="M924" s="5">
        <v>0.32200000000000001</v>
      </c>
      <c r="N924" s="5">
        <v>0.23899999999999999</v>
      </c>
    </row>
    <row r="925" spans="1:14" x14ac:dyDescent="0.25">
      <c r="A925">
        <v>2014</v>
      </c>
      <c r="B925">
        <v>265</v>
      </c>
      <c r="C925" t="s">
        <v>108</v>
      </c>
      <c r="D925" t="s">
        <v>69</v>
      </c>
      <c r="E925" s="5">
        <v>0.314</v>
      </c>
      <c r="F925" s="5">
        <v>0.35700000000000004</v>
      </c>
      <c r="G925" s="5">
        <v>0.36799999999999999</v>
      </c>
      <c r="H925" s="5">
        <v>0.36700000000000005</v>
      </c>
      <c r="I925" s="5">
        <v>0.377</v>
      </c>
      <c r="J925" s="5">
        <v>0.35100000000000003</v>
      </c>
      <c r="K925" s="5">
        <v>0.37</v>
      </c>
      <c r="L925" s="5">
        <v>0.34200000000000003</v>
      </c>
      <c r="M925" s="5">
        <v>0.316</v>
      </c>
      <c r="N925" s="5">
        <v>0.22</v>
      </c>
    </row>
    <row r="926" spans="1:14" x14ac:dyDescent="0.25">
      <c r="A926">
        <v>2014</v>
      </c>
      <c r="B926">
        <v>265</v>
      </c>
      <c r="C926" t="s">
        <v>108</v>
      </c>
      <c r="D926" t="s">
        <v>68</v>
      </c>
      <c r="E926" s="5">
        <v>0.33700000000000002</v>
      </c>
      <c r="F926" s="5">
        <v>0.33100000000000002</v>
      </c>
      <c r="G926" s="5">
        <v>0.35200000000000004</v>
      </c>
      <c r="H926" s="5">
        <v>0.35700000000000004</v>
      </c>
      <c r="I926" s="5">
        <v>0.39</v>
      </c>
      <c r="J926" s="5">
        <v>0.38299999999999995</v>
      </c>
      <c r="K926" s="5">
        <v>0.39200000000000002</v>
      </c>
      <c r="L926" s="5">
        <v>0.374</v>
      </c>
      <c r="M926" s="5">
        <v>0.32200000000000001</v>
      </c>
      <c r="N926" s="5">
        <v>0.21600000000000003</v>
      </c>
    </row>
    <row r="927" spans="1:14" x14ac:dyDescent="0.25">
      <c r="A927">
        <v>2014</v>
      </c>
      <c r="B927">
        <v>265</v>
      </c>
      <c r="C927" t="s">
        <v>108</v>
      </c>
      <c r="D927" t="s">
        <v>67</v>
      </c>
      <c r="E927" s="5">
        <v>0.36399999999999999</v>
      </c>
      <c r="F927" s="5">
        <v>0.36499999999999999</v>
      </c>
      <c r="G927" s="5">
        <v>0.32700000000000001</v>
      </c>
      <c r="H927" s="5">
        <v>0.32899999999999996</v>
      </c>
      <c r="I927" s="5">
        <v>0.32700000000000001</v>
      </c>
      <c r="J927" s="5">
        <v>0.29499999999999998</v>
      </c>
      <c r="K927" s="5">
        <v>0.32700000000000001</v>
      </c>
      <c r="L927" s="5">
        <v>0.38400000000000001</v>
      </c>
      <c r="M927" s="5">
        <v>0.31</v>
      </c>
      <c r="N927" s="5">
        <v>0.21</v>
      </c>
    </row>
    <row r="928" spans="1:14" x14ac:dyDescent="0.25">
      <c r="A928">
        <v>2014</v>
      </c>
      <c r="B928">
        <v>265</v>
      </c>
      <c r="C928" t="s">
        <v>108</v>
      </c>
      <c r="D928" t="s">
        <v>66</v>
      </c>
      <c r="E928" s="5">
        <v>0.28399999999999997</v>
      </c>
      <c r="F928" s="5">
        <v>0.313</v>
      </c>
      <c r="G928" s="5">
        <v>0.374</v>
      </c>
      <c r="H928" s="5">
        <v>0.33399999999999996</v>
      </c>
      <c r="I928" s="5">
        <v>0.35899999999999999</v>
      </c>
      <c r="J928" s="5">
        <v>0.36399999999999999</v>
      </c>
      <c r="K928" s="5">
        <v>0.35600000000000004</v>
      </c>
      <c r="L928" s="5">
        <v>0.3</v>
      </c>
      <c r="M928" s="5">
        <v>0.27800000000000002</v>
      </c>
      <c r="N928" s="5">
        <v>0.20399999999999999</v>
      </c>
    </row>
    <row r="929" spans="1:14" x14ac:dyDescent="0.25">
      <c r="A929">
        <v>2014</v>
      </c>
      <c r="B929">
        <v>265</v>
      </c>
      <c r="C929" t="s">
        <v>108</v>
      </c>
      <c r="D929" t="s">
        <v>65</v>
      </c>
      <c r="E929" s="5" t="s">
        <v>109</v>
      </c>
      <c r="F929" s="5">
        <v>0.36499999999999999</v>
      </c>
      <c r="G929" s="5">
        <v>0.48399999999999999</v>
      </c>
      <c r="H929" s="5">
        <v>0.28899999999999998</v>
      </c>
      <c r="I929" s="5">
        <v>0.29199999999999998</v>
      </c>
      <c r="J929" s="5">
        <v>0.314</v>
      </c>
      <c r="K929" s="5">
        <v>0.33200000000000002</v>
      </c>
      <c r="L929" s="5">
        <v>0.32100000000000001</v>
      </c>
      <c r="M929" s="5">
        <v>0.27800000000000002</v>
      </c>
      <c r="N929" s="5">
        <v>0.19</v>
      </c>
    </row>
    <row r="930" spans="1:14" x14ac:dyDescent="0.25">
      <c r="A930">
        <v>2014</v>
      </c>
      <c r="B930">
        <v>265</v>
      </c>
      <c r="C930" t="s">
        <v>108</v>
      </c>
      <c r="D930" t="s">
        <v>71</v>
      </c>
      <c r="E930" s="5" t="s">
        <v>109</v>
      </c>
      <c r="F930" s="5">
        <v>0.38299999999999995</v>
      </c>
      <c r="G930" s="5">
        <v>0.42299999999999999</v>
      </c>
      <c r="H930" s="5">
        <v>0.40200000000000002</v>
      </c>
      <c r="I930" s="5">
        <v>0.34600000000000003</v>
      </c>
      <c r="J930" s="5">
        <v>0.34799999999999998</v>
      </c>
      <c r="K930" s="5">
        <v>0.29899999999999999</v>
      </c>
      <c r="L930" s="5">
        <v>0.313</v>
      </c>
      <c r="M930" s="5">
        <v>0.3</v>
      </c>
      <c r="N930" s="5">
        <v>0.20300000000000001</v>
      </c>
    </row>
    <row r="931" spans="1:14" x14ac:dyDescent="0.25">
      <c r="A931">
        <v>2014</v>
      </c>
      <c r="B931">
        <v>265</v>
      </c>
      <c r="C931" t="s">
        <v>108</v>
      </c>
      <c r="D931" t="s">
        <v>74</v>
      </c>
      <c r="E931" s="5" t="s">
        <v>109</v>
      </c>
      <c r="F931" s="5" t="s">
        <v>109</v>
      </c>
      <c r="G931" s="5">
        <v>0.307</v>
      </c>
      <c r="H931" s="5">
        <v>0.309</v>
      </c>
      <c r="I931" s="5">
        <v>0.32</v>
      </c>
      <c r="J931" s="5">
        <v>0.27600000000000002</v>
      </c>
      <c r="K931" s="5">
        <v>0.33700000000000002</v>
      </c>
      <c r="L931" s="5">
        <v>0.34600000000000003</v>
      </c>
      <c r="M931" s="5">
        <v>0.29600000000000004</v>
      </c>
      <c r="N931" s="5">
        <v>0.20100000000000001</v>
      </c>
    </row>
    <row r="932" spans="1:14" x14ac:dyDescent="0.25">
      <c r="A932">
        <v>2014</v>
      </c>
      <c r="B932">
        <v>265</v>
      </c>
      <c r="C932" t="s">
        <v>108</v>
      </c>
      <c r="D932" t="s">
        <v>75</v>
      </c>
      <c r="E932" s="5" t="s">
        <v>109</v>
      </c>
      <c r="F932" s="5" t="s">
        <v>109</v>
      </c>
      <c r="G932" s="5">
        <v>0.29100000000000004</v>
      </c>
      <c r="H932" s="5">
        <v>0.39500000000000002</v>
      </c>
      <c r="I932" s="5">
        <v>0.28600000000000003</v>
      </c>
      <c r="J932" s="5">
        <v>0.28699999999999998</v>
      </c>
      <c r="K932" s="5">
        <v>0.34100000000000003</v>
      </c>
      <c r="L932" s="5">
        <v>0.35100000000000003</v>
      </c>
      <c r="M932" s="5">
        <v>0.33299999999999996</v>
      </c>
      <c r="N932" s="5">
        <v>0.22399999999999998</v>
      </c>
    </row>
    <row r="933" spans="1:14" x14ac:dyDescent="0.25">
      <c r="A933">
        <v>2014</v>
      </c>
      <c r="B933">
        <v>265</v>
      </c>
      <c r="C933" t="s">
        <v>108</v>
      </c>
      <c r="D933" t="s">
        <v>76</v>
      </c>
      <c r="E933" s="5">
        <v>0.30099999999999999</v>
      </c>
      <c r="F933" s="5">
        <v>0.28699999999999998</v>
      </c>
      <c r="G933" s="5">
        <v>0.28899999999999998</v>
      </c>
      <c r="H933" s="5">
        <v>0.31</v>
      </c>
      <c r="I933" s="5">
        <v>0.34</v>
      </c>
      <c r="J933" s="5">
        <v>0.35399999999999998</v>
      </c>
      <c r="K933" s="5">
        <v>0.35200000000000004</v>
      </c>
      <c r="L933" s="5">
        <v>0.379</v>
      </c>
      <c r="M933" s="5">
        <v>0.32700000000000001</v>
      </c>
      <c r="N933" s="5">
        <v>0.23100000000000001</v>
      </c>
    </row>
    <row r="934" spans="1:14" x14ac:dyDescent="0.25">
      <c r="A934">
        <v>2014</v>
      </c>
      <c r="B934">
        <v>265</v>
      </c>
      <c r="C934" t="s">
        <v>108</v>
      </c>
      <c r="D934" t="s">
        <v>53</v>
      </c>
      <c r="E934" s="5" t="s">
        <v>109</v>
      </c>
      <c r="F934" s="5">
        <v>0.53500000000000003</v>
      </c>
      <c r="G934" s="5">
        <v>0.35600000000000004</v>
      </c>
      <c r="H934" s="5">
        <v>0.379</v>
      </c>
      <c r="I934" s="5">
        <v>0.39899999999999997</v>
      </c>
      <c r="J934" s="5">
        <v>0.38100000000000001</v>
      </c>
      <c r="K934" s="5">
        <v>0.40100000000000002</v>
      </c>
      <c r="L934" s="5">
        <v>0.35200000000000004</v>
      </c>
      <c r="M934" s="5">
        <v>0.34100000000000003</v>
      </c>
      <c r="N934" s="5">
        <v>0.21899999999999997</v>
      </c>
    </row>
    <row r="935" spans="1:14" x14ac:dyDescent="0.25">
      <c r="A935">
        <v>2014</v>
      </c>
      <c r="B935">
        <v>265</v>
      </c>
      <c r="C935" t="s">
        <v>108</v>
      </c>
      <c r="D935" t="s">
        <v>77</v>
      </c>
      <c r="E935" s="5" t="s">
        <v>109</v>
      </c>
      <c r="F935" s="5">
        <v>0.45100000000000001</v>
      </c>
      <c r="G935" s="5">
        <v>0.42499999999999999</v>
      </c>
      <c r="H935" s="5">
        <v>0.38400000000000001</v>
      </c>
      <c r="I935" s="5">
        <v>0.33899999999999997</v>
      </c>
      <c r="J935" s="5">
        <v>0.33799999999999997</v>
      </c>
      <c r="K935" s="5">
        <v>0.29899999999999999</v>
      </c>
      <c r="L935" s="5">
        <v>0.35100000000000003</v>
      </c>
      <c r="M935" s="5">
        <v>0.28600000000000003</v>
      </c>
      <c r="N935" s="5">
        <v>0.187</v>
      </c>
    </row>
    <row r="936" spans="1:14" x14ac:dyDescent="0.25">
      <c r="A936">
        <v>2014</v>
      </c>
      <c r="B936">
        <v>265</v>
      </c>
      <c r="C936" t="s">
        <v>108</v>
      </c>
      <c r="D936" t="s">
        <v>73</v>
      </c>
      <c r="E936" s="5" t="s">
        <v>109</v>
      </c>
      <c r="F936" s="5">
        <v>0.34499999999999997</v>
      </c>
      <c r="G936" s="5">
        <v>0.42599999999999999</v>
      </c>
      <c r="H936" s="5">
        <v>0.442</v>
      </c>
      <c r="I936" s="5">
        <v>0.33100000000000002</v>
      </c>
      <c r="J936" s="5">
        <v>0.36599999999999999</v>
      </c>
      <c r="K936" s="5">
        <v>0.32400000000000001</v>
      </c>
      <c r="L936" s="5">
        <v>0.30299999999999999</v>
      </c>
      <c r="M936" s="5">
        <v>0.28100000000000003</v>
      </c>
      <c r="N936" s="5">
        <v>0.19600000000000001</v>
      </c>
    </row>
    <row r="937" spans="1:14" x14ac:dyDescent="0.25">
      <c r="A937">
        <v>2014</v>
      </c>
      <c r="B937">
        <v>265</v>
      </c>
      <c r="C937" t="s">
        <v>108</v>
      </c>
      <c r="D937" t="s">
        <v>81</v>
      </c>
      <c r="E937" s="5" t="s">
        <v>109</v>
      </c>
      <c r="F937" s="5" t="s">
        <v>109</v>
      </c>
      <c r="G937" s="5">
        <v>0.39500000000000002</v>
      </c>
      <c r="H937" s="5">
        <v>0.375</v>
      </c>
      <c r="I937" s="5">
        <v>0.35499999999999998</v>
      </c>
      <c r="J937" s="5">
        <v>0.33100000000000002</v>
      </c>
      <c r="K937" s="5">
        <v>0.30099999999999999</v>
      </c>
      <c r="L937" s="5">
        <v>0.26</v>
      </c>
      <c r="M937" s="5">
        <v>0.27800000000000002</v>
      </c>
      <c r="N937" s="5">
        <v>0.18600000000000003</v>
      </c>
    </row>
    <row r="938" spans="1:14" x14ac:dyDescent="0.25">
      <c r="A938">
        <v>2014</v>
      </c>
      <c r="B938">
        <v>265</v>
      </c>
      <c r="C938" t="s">
        <v>108</v>
      </c>
      <c r="D938" t="s">
        <v>80</v>
      </c>
      <c r="E938" s="5" t="s">
        <v>109</v>
      </c>
      <c r="F938" s="5" t="s">
        <v>109</v>
      </c>
      <c r="G938" s="5">
        <v>0.35499999999999998</v>
      </c>
      <c r="H938" s="5">
        <v>0.37799999999999995</v>
      </c>
      <c r="I938" s="5">
        <v>0.34100000000000003</v>
      </c>
      <c r="J938" s="5">
        <v>0.36599999999999999</v>
      </c>
      <c r="K938" s="5">
        <v>0.375</v>
      </c>
      <c r="L938" s="5">
        <v>0.314</v>
      </c>
      <c r="M938" s="5">
        <v>0.29399999999999998</v>
      </c>
      <c r="N938" s="5">
        <v>0.217</v>
      </c>
    </row>
    <row r="939" spans="1:14" x14ac:dyDescent="0.25">
      <c r="A939">
        <v>2014</v>
      </c>
      <c r="B939">
        <v>265</v>
      </c>
      <c r="C939" t="s">
        <v>108</v>
      </c>
      <c r="D939" t="s">
        <v>79</v>
      </c>
      <c r="E939" s="5" t="s">
        <v>109</v>
      </c>
      <c r="F939" s="5" t="s">
        <v>109</v>
      </c>
      <c r="G939" s="5">
        <v>0.29600000000000004</v>
      </c>
      <c r="H939" s="5">
        <v>0.30399999999999999</v>
      </c>
      <c r="I939" s="5">
        <v>0.34499999999999997</v>
      </c>
      <c r="J939" s="5">
        <v>0.37</v>
      </c>
      <c r="K939" s="5">
        <v>0.35200000000000004</v>
      </c>
      <c r="L939" s="5">
        <v>0.33600000000000002</v>
      </c>
      <c r="M939" s="5">
        <v>0.27699999999999997</v>
      </c>
      <c r="N939" s="5">
        <v>0.19600000000000001</v>
      </c>
    </row>
    <row r="940" spans="1:14" x14ac:dyDescent="0.25">
      <c r="A940">
        <v>2014</v>
      </c>
      <c r="B940">
        <v>265</v>
      </c>
      <c r="C940" t="s">
        <v>108</v>
      </c>
      <c r="D940" t="s">
        <v>78</v>
      </c>
      <c r="E940" s="5" t="s">
        <v>109</v>
      </c>
      <c r="F940" s="5">
        <v>0.35399999999999998</v>
      </c>
      <c r="G940" s="5">
        <v>0.29600000000000004</v>
      </c>
      <c r="H940" s="5">
        <v>0.30399999999999999</v>
      </c>
      <c r="I940" s="5">
        <v>0.32100000000000001</v>
      </c>
      <c r="J940" s="5">
        <v>0.32600000000000001</v>
      </c>
      <c r="K940" s="5">
        <v>0.31</v>
      </c>
      <c r="L940" s="5">
        <v>0.29199999999999998</v>
      </c>
      <c r="M940" s="5">
        <v>0.26800000000000002</v>
      </c>
      <c r="N940" s="5">
        <v>0.191</v>
      </c>
    </row>
    <row r="941" spans="1:14" x14ac:dyDescent="0.25">
      <c r="A941">
        <v>2014</v>
      </c>
      <c r="B941">
        <v>265</v>
      </c>
      <c r="C941" t="s">
        <v>108</v>
      </c>
      <c r="D941" t="s">
        <v>54</v>
      </c>
      <c r="E941" s="5" t="s">
        <v>109</v>
      </c>
      <c r="F941" s="5" t="s">
        <v>109</v>
      </c>
      <c r="G941" s="5">
        <v>0.34600000000000003</v>
      </c>
      <c r="H941" s="5">
        <v>0.32</v>
      </c>
      <c r="I941" s="5">
        <v>0.30599999999999999</v>
      </c>
      <c r="J941" s="5">
        <v>0.32200000000000001</v>
      </c>
      <c r="K941" s="5">
        <v>0.313</v>
      </c>
      <c r="L941" s="5">
        <v>0.33700000000000002</v>
      </c>
      <c r="M941" s="5">
        <v>0.27600000000000002</v>
      </c>
      <c r="N941" s="5">
        <v>0.159</v>
      </c>
    </row>
    <row r="942" spans="1:14" x14ac:dyDescent="0.25">
      <c r="A942">
        <v>2014</v>
      </c>
      <c r="B942">
        <v>265</v>
      </c>
      <c r="C942" t="s">
        <v>108</v>
      </c>
      <c r="D942" t="s">
        <v>35</v>
      </c>
      <c r="E942" s="5" t="s">
        <v>109</v>
      </c>
      <c r="F942" s="5" t="s">
        <v>109</v>
      </c>
      <c r="G942" s="5">
        <v>0.19699999999999998</v>
      </c>
      <c r="H942" s="5">
        <v>0.16399999999999998</v>
      </c>
      <c r="I942" s="5">
        <v>0.153</v>
      </c>
      <c r="J942" s="5">
        <v>0.14899999999999999</v>
      </c>
      <c r="K942" s="5">
        <v>0.153</v>
      </c>
      <c r="L942" s="5">
        <v>0.156</v>
      </c>
      <c r="M942" s="5">
        <v>0.17199999999999999</v>
      </c>
      <c r="N942" s="5">
        <v>0.106</v>
      </c>
    </row>
    <row r="943" spans="1:14" x14ac:dyDescent="0.25">
      <c r="A943">
        <v>2014</v>
      </c>
      <c r="B943">
        <v>265</v>
      </c>
      <c r="C943" t="s">
        <v>108</v>
      </c>
      <c r="D943" t="s">
        <v>37</v>
      </c>
      <c r="E943" s="5" t="s">
        <v>109</v>
      </c>
      <c r="F943" s="5" t="s">
        <v>109</v>
      </c>
      <c r="G943" s="5">
        <v>0.22399999999999998</v>
      </c>
      <c r="H943" s="5">
        <v>0.21299999999999999</v>
      </c>
      <c r="I943" s="5">
        <v>0.21100000000000002</v>
      </c>
      <c r="J943" s="5">
        <v>0.188</v>
      </c>
      <c r="K943" s="5">
        <v>0.17399999999999999</v>
      </c>
      <c r="L943" s="5">
        <v>0.16899999999999998</v>
      </c>
      <c r="M943" s="5">
        <v>0.14400000000000002</v>
      </c>
      <c r="N943" s="5">
        <v>0.17100000000000001</v>
      </c>
    </row>
    <row r="944" spans="1:14" x14ac:dyDescent="0.25">
      <c r="A944">
        <v>2014</v>
      </c>
      <c r="B944">
        <v>265</v>
      </c>
      <c r="C944" t="s">
        <v>108</v>
      </c>
      <c r="D944" t="s">
        <v>40</v>
      </c>
      <c r="E944" s="5" t="s">
        <v>109</v>
      </c>
      <c r="F944" s="5">
        <v>0.193</v>
      </c>
      <c r="G944" s="5">
        <v>0.19699999999999998</v>
      </c>
      <c r="H944" s="5">
        <v>0.191</v>
      </c>
      <c r="I944" s="5">
        <v>0.17499999999999999</v>
      </c>
      <c r="J944" s="5">
        <v>0.16899999999999998</v>
      </c>
      <c r="K944" s="5">
        <v>0.17300000000000001</v>
      </c>
      <c r="L944" s="5">
        <v>0.13500000000000001</v>
      </c>
      <c r="M944" s="5">
        <v>0.17100000000000001</v>
      </c>
      <c r="N944" s="5">
        <v>0.122</v>
      </c>
    </row>
    <row r="945" spans="1:14" x14ac:dyDescent="0.25">
      <c r="A945">
        <v>2014</v>
      </c>
      <c r="B945">
        <v>265</v>
      </c>
      <c r="C945" t="s">
        <v>108</v>
      </c>
      <c r="D945" t="s">
        <v>41</v>
      </c>
      <c r="E945" s="5" t="s">
        <v>109</v>
      </c>
      <c r="F945" s="5">
        <v>0.23199999999999998</v>
      </c>
      <c r="G945" s="5">
        <v>0.24</v>
      </c>
      <c r="H945" s="5">
        <v>0.20399999999999999</v>
      </c>
      <c r="I945" s="5">
        <v>0.16600000000000001</v>
      </c>
      <c r="J945" s="5">
        <v>0.16</v>
      </c>
      <c r="K945" s="5">
        <v>0.185</v>
      </c>
      <c r="L945" s="5">
        <v>0.182</v>
      </c>
      <c r="M945" s="5">
        <v>0.155</v>
      </c>
      <c r="N945" s="5">
        <v>0.11699999999999999</v>
      </c>
    </row>
    <row r="946" spans="1:14" x14ac:dyDescent="0.25">
      <c r="A946">
        <v>2014</v>
      </c>
      <c r="B946">
        <v>265</v>
      </c>
      <c r="C946" t="s">
        <v>108</v>
      </c>
      <c r="D946" t="s">
        <v>43</v>
      </c>
      <c r="E946" s="5" t="s">
        <v>109</v>
      </c>
      <c r="F946" s="5">
        <v>0.22699999999999998</v>
      </c>
      <c r="G946" s="5">
        <v>0.16800000000000001</v>
      </c>
      <c r="H946" s="5">
        <v>0.14899999999999999</v>
      </c>
      <c r="I946" s="5">
        <v>0.14300000000000002</v>
      </c>
      <c r="J946" s="5">
        <v>0.12300000000000001</v>
      </c>
      <c r="K946" s="5">
        <v>0.115</v>
      </c>
      <c r="L946" s="5">
        <v>0.11</v>
      </c>
      <c r="M946" s="5">
        <v>0.126</v>
      </c>
      <c r="N946" s="5">
        <v>8.900000000000001E-2</v>
      </c>
    </row>
    <row r="947" spans="1:14" x14ac:dyDescent="0.25">
      <c r="A947">
        <v>2014</v>
      </c>
      <c r="B947">
        <v>265</v>
      </c>
      <c r="C947" t="s">
        <v>108</v>
      </c>
      <c r="D947" t="s">
        <v>44</v>
      </c>
      <c r="E947" s="5" t="s">
        <v>109</v>
      </c>
      <c r="F947" s="5">
        <v>0.20800000000000002</v>
      </c>
      <c r="G947" s="5">
        <v>0.14499999999999999</v>
      </c>
      <c r="H947" s="5">
        <v>0.113</v>
      </c>
      <c r="I947" s="5">
        <v>0.1</v>
      </c>
      <c r="J947" s="5">
        <v>9.5000000000000001E-2</v>
      </c>
      <c r="K947" s="5">
        <v>9.0999999999999998E-2</v>
      </c>
      <c r="L947" s="5">
        <v>9.6000000000000002E-2</v>
      </c>
      <c r="M947" s="5">
        <v>0.11699999999999999</v>
      </c>
      <c r="N947" s="5">
        <v>9.6999999999999989E-2</v>
      </c>
    </row>
    <row r="948" spans="1:14" x14ac:dyDescent="0.25">
      <c r="A948">
        <v>2014</v>
      </c>
      <c r="B948">
        <v>265</v>
      </c>
      <c r="C948" t="s">
        <v>108</v>
      </c>
      <c r="D948" t="s">
        <v>38</v>
      </c>
      <c r="E948" s="5" t="s">
        <v>109</v>
      </c>
      <c r="F948" s="5">
        <v>0.21899999999999997</v>
      </c>
      <c r="G948" s="5">
        <v>0.21899999999999997</v>
      </c>
      <c r="H948" s="5">
        <v>0.21</v>
      </c>
      <c r="I948" s="5">
        <v>0.19</v>
      </c>
      <c r="J948" s="5">
        <v>0.17399999999999999</v>
      </c>
      <c r="K948" s="5">
        <v>0.14400000000000002</v>
      </c>
      <c r="L948" s="5">
        <v>0.157</v>
      </c>
      <c r="M948" s="5">
        <v>0.16899999999999998</v>
      </c>
      <c r="N948" s="5">
        <v>0.105</v>
      </c>
    </row>
    <row r="949" spans="1:14" x14ac:dyDescent="0.25">
      <c r="A949">
        <v>2014</v>
      </c>
      <c r="B949">
        <v>265</v>
      </c>
      <c r="C949" t="s">
        <v>108</v>
      </c>
      <c r="D949" t="s">
        <v>85</v>
      </c>
      <c r="E949" s="5">
        <v>0.20300000000000001</v>
      </c>
      <c r="F949" s="5">
        <v>0.19699999999999998</v>
      </c>
      <c r="G949" s="5">
        <v>0.21899999999999997</v>
      </c>
      <c r="H949" s="5">
        <v>0.23300000000000001</v>
      </c>
      <c r="I949" s="5">
        <v>0.20499999999999999</v>
      </c>
      <c r="J949" s="5">
        <v>0.193</v>
      </c>
      <c r="K949" s="5">
        <v>0.17899999999999999</v>
      </c>
      <c r="L949" s="5">
        <v>0.154</v>
      </c>
      <c r="M949" s="5">
        <v>0.16800000000000001</v>
      </c>
      <c r="N949" s="5">
        <v>0.106</v>
      </c>
    </row>
    <row r="950" spans="1:14" x14ac:dyDescent="0.25">
      <c r="A950">
        <v>2014</v>
      </c>
      <c r="B950">
        <v>265</v>
      </c>
      <c r="C950" t="s">
        <v>108</v>
      </c>
      <c r="D950" t="s">
        <v>84</v>
      </c>
      <c r="E950" s="5" t="s">
        <v>109</v>
      </c>
      <c r="F950" s="5">
        <v>0.22600000000000001</v>
      </c>
      <c r="G950" s="5">
        <v>0.23600000000000002</v>
      </c>
      <c r="H950" s="5">
        <v>0.23699999999999999</v>
      </c>
      <c r="I950" s="5">
        <v>0.21299999999999999</v>
      </c>
      <c r="J950" s="5">
        <v>0.21199999999999999</v>
      </c>
      <c r="K950" s="5">
        <v>0.20899999999999999</v>
      </c>
      <c r="L950" s="5">
        <v>0.18</v>
      </c>
      <c r="M950" s="5">
        <v>0.14699999999999999</v>
      </c>
      <c r="N950" s="5">
        <v>9.8000000000000004E-2</v>
      </c>
    </row>
    <row r="951" spans="1:14" x14ac:dyDescent="0.25">
      <c r="A951">
        <v>2014</v>
      </c>
      <c r="B951">
        <v>265</v>
      </c>
      <c r="C951" t="s">
        <v>108</v>
      </c>
      <c r="D951" t="s">
        <v>42</v>
      </c>
      <c r="E951" s="5" t="s">
        <v>109</v>
      </c>
      <c r="F951" s="5">
        <v>0.223</v>
      </c>
      <c r="G951" s="5">
        <v>0.21100000000000002</v>
      </c>
      <c r="H951" s="5">
        <v>0.222</v>
      </c>
      <c r="I951" s="5">
        <v>0.20199999999999999</v>
      </c>
      <c r="J951" s="5">
        <v>0.21100000000000002</v>
      </c>
      <c r="K951" s="5">
        <v>0.19699999999999998</v>
      </c>
      <c r="L951" s="5">
        <v>0.19500000000000001</v>
      </c>
      <c r="M951" s="5">
        <v>0.16600000000000001</v>
      </c>
      <c r="N951" s="5">
        <v>0.1</v>
      </c>
    </row>
    <row r="952" spans="1:14" x14ac:dyDescent="0.25">
      <c r="A952">
        <v>2014</v>
      </c>
      <c r="B952">
        <v>265</v>
      </c>
      <c r="C952" t="s">
        <v>108</v>
      </c>
      <c r="D952" t="s">
        <v>83</v>
      </c>
      <c r="E952" s="5">
        <v>0.158</v>
      </c>
      <c r="F952" s="5">
        <v>0.13900000000000001</v>
      </c>
      <c r="G952" s="5">
        <v>0.154</v>
      </c>
      <c r="H952" s="5">
        <v>0.185</v>
      </c>
      <c r="I952" s="5">
        <v>0.17499999999999999</v>
      </c>
      <c r="J952" s="5">
        <v>0.16</v>
      </c>
      <c r="K952" s="5">
        <v>0.121</v>
      </c>
      <c r="L952" s="5">
        <v>0.12</v>
      </c>
      <c r="M952" s="5">
        <v>0.129</v>
      </c>
      <c r="N952" s="5">
        <v>9.1999999999999998E-2</v>
      </c>
    </row>
    <row r="953" spans="1:14" x14ac:dyDescent="0.25">
      <c r="A953">
        <v>2014</v>
      </c>
      <c r="B953">
        <v>265</v>
      </c>
      <c r="C953" t="s">
        <v>108</v>
      </c>
      <c r="D953" t="s">
        <v>82</v>
      </c>
      <c r="E953" s="5" t="s">
        <v>109</v>
      </c>
      <c r="F953" s="5">
        <v>0.152</v>
      </c>
      <c r="G953" s="5">
        <v>0.13100000000000001</v>
      </c>
      <c r="H953" s="5">
        <v>0.14899999999999999</v>
      </c>
      <c r="I953" s="5">
        <v>0.193</v>
      </c>
      <c r="J953" s="5">
        <v>0.2</v>
      </c>
      <c r="K953" s="5">
        <v>0.16600000000000001</v>
      </c>
      <c r="L953" s="5">
        <v>0.151</v>
      </c>
      <c r="M953" s="5">
        <v>0.13100000000000001</v>
      </c>
      <c r="N953" s="5">
        <v>0.106</v>
      </c>
    </row>
    <row r="954" spans="1:14" x14ac:dyDescent="0.25">
      <c r="A954">
        <v>2014</v>
      </c>
      <c r="B954">
        <v>265</v>
      </c>
      <c r="C954" t="s">
        <v>108</v>
      </c>
      <c r="D954" t="s">
        <v>72</v>
      </c>
      <c r="E954" s="5" t="s">
        <v>109</v>
      </c>
      <c r="F954" s="5">
        <v>0.24399999999999999</v>
      </c>
      <c r="G954" s="5">
        <v>0.187</v>
      </c>
      <c r="H954" s="5">
        <v>0.17600000000000002</v>
      </c>
      <c r="I954" s="5">
        <v>0.17800000000000002</v>
      </c>
      <c r="J954" s="5">
        <v>0.14899999999999999</v>
      </c>
      <c r="K954" s="5">
        <v>0.13100000000000001</v>
      </c>
      <c r="L954" s="5">
        <v>0.152</v>
      </c>
      <c r="M954" s="5">
        <v>0.16899999999999998</v>
      </c>
      <c r="N954" s="5">
        <v>0.11199999999999999</v>
      </c>
    </row>
    <row r="955" spans="1:14" x14ac:dyDescent="0.25">
      <c r="A955">
        <v>2014</v>
      </c>
      <c r="B955">
        <v>265</v>
      </c>
      <c r="C955" t="s">
        <v>108</v>
      </c>
      <c r="D955" t="s">
        <v>39</v>
      </c>
      <c r="E955" s="5">
        <v>0.19800000000000001</v>
      </c>
      <c r="F955" s="5">
        <v>0.20199999999999999</v>
      </c>
      <c r="G955" s="5">
        <v>0.182</v>
      </c>
      <c r="H955" s="5">
        <v>0.21100000000000002</v>
      </c>
      <c r="I955" s="5">
        <v>0.22</v>
      </c>
      <c r="J955" s="5">
        <v>0.19699999999999998</v>
      </c>
      <c r="K955" s="5">
        <v>0.221</v>
      </c>
      <c r="L955" s="5">
        <v>0.20600000000000002</v>
      </c>
      <c r="M955" s="5">
        <v>0.185</v>
      </c>
      <c r="N955" s="5">
        <v>0.105</v>
      </c>
    </row>
    <row r="956" spans="1:14" x14ac:dyDescent="0.25">
      <c r="A956">
        <v>2014</v>
      </c>
      <c r="B956">
        <v>265</v>
      </c>
      <c r="C956" t="s">
        <v>108</v>
      </c>
      <c r="D956" t="s">
        <v>86</v>
      </c>
      <c r="E956" s="5" t="s">
        <v>109</v>
      </c>
      <c r="F956" s="5">
        <v>0.16899999999999998</v>
      </c>
      <c r="G956" s="5">
        <v>0.21100000000000002</v>
      </c>
      <c r="H956" s="5">
        <v>0.21</v>
      </c>
      <c r="I956" s="5">
        <v>0.192</v>
      </c>
      <c r="J956" s="5">
        <v>0.16899999999999998</v>
      </c>
      <c r="K956" s="5">
        <v>0.16600000000000001</v>
      </c>
      <c r="L956" s="5">
        <v>0.17</v>
      </c>
      <c r="M956" s="5">
        <v>0.17800000000000002</v>
      </c>
      <c r="N956" s="5">
        <v>0.11599999999999999</v>
      </c>
    </row>
    <row r="957" spans="1:14" x14ac:dyDescent="0.25">
      <c r="A957">
        <v>2014</v>
      </c>
      <c r="B957">
        <v>265</v>
      </c>
      <c r="C957" t="s">
        <v>108</v>
      </c>
      <c r="D957" t="s">
        <v>87</v>
      </c>
      <c r="E957" s="5" t="s">
        <v>109</v>
      </c>
      <c r="F957" s="5">
        <v>0.18100000000000002</v>
      </c>
      <c r="G957" s="5">
        <v>0.184</v>
      </c>
      <c r="H957" s="5">
        <v>0.214</v>
      </c>
      <c r="I957" s="5">
        <v>0.20699999999999999</v>
      </c>
      <c r="J957" s="5">
        <v>0.18100000000000002</v>
      </c>
      <c r="K957" s="5">
        <v>0.18</v>
      </c>
      <c r="L957" s="5">
        <v>0.16200000000000001</v>
      </c>
      <c r="M957" s="5">
        <v>0.14800000000000002</v>
      </c>
      <c r="N957" s="5">
        <v>0.105</v>
      </c>
    </row>
    <row r="958" spans="1:14" x14ac:dyDescent="0.25">
      <c r="A958">
        <v>2014</v>
      </c>
      <c r="B958">
        <v>265</v>
      </c>
      <c r="C958" t="s">
        <v>108</v>
      </c>
      <c r="D958" t="s">
        <v>88</v>
      </c>
      <c r="E958" s="5" t="s">
        <v>109</v>
      </c>
      <c r="F958" s="5">
        <v>0.19</v>
      </c>
      <c r="G958" s="5">
        <v>0.17800000000000002</v>
      </c>
      <c r="H958" s="5">
        <v>0.17600000000000002</v>
      </c>
      <c r="I958" s="5">
        <v>0.16800000000000001</v>
      </c>
      <c r="J958" s="5">
        <v>0.16899999999999998</v>
      </c>
      <c r="K958" s="5">
        <v>0.16500000000000001</v>
      </c>
      <c r="L958" s="5">
        <v>0.13699999999999998</v>
      </c>
      <c r="M958" s="5">
        <v>0.14000000000000001</v>
      </c>
      <c r="N958" s="5">
        <v>9.1999999999999998E-2</v>
      </c>
    </row>
    <row r="959" spans="1:14" x14ac:dyDescent="0.25">
      <c r="A959">
        <v>2014</v>
      </c>
      <c r="B959">
        <v>265</v>
      </c>
      <c r="C959" t="s">
        <v>108</v>
      </c>
      <c r="D959" t="s">
        <v>36</v>
      </c>
      <c r="E959" s="5" t="s">
        <v>109</v>
      </c>
      <c r="F959" s="5">
        <v>0.128</v>
      </c>
      <c r="G959" s="5">
        <v>0.122</v>
      </c>
      <c r="H959" s="5">
        <v>0.14199999999999999</v>
      </c>
      <c r="I959" s="5">
        <v>0.16300000000000001</v>
      </c>
      <c r="J959" s="5">
        <v>0.16399999999999998</v>
      </c>
      <c r="K959" s="5">
        <v>0.14300000000000002</v>
      </c>
      <c r="L959" s="5">
        <v>0.14699999999999999</v>
      </c>
      <c r="M959" s="5">
        <v>0.14499999999999999</v>
      </c>
      <c r="N959" s="5">
        <v>8.6999999999999994E-2</v>
      </c>
    </row>
    <row r="960" spans="1:14" x14ac:dyDescent="0.25">
      <c r="A960">
        <v>2014</v>
      </c>
      <c r="B960">
        <v>265</v>
      </c>
      <c r="C960" t="s">
        <v>108</v>
      </c>
      <c r="D960" t="s">
        <v>94</v>
      </c>
      <c r="E960" s="5" t="s">
        <v>109</v>
      </c>
      <c r="F960" s="5">
        <v>0.18100000000000002</v>
      </c>
      <c r="G960" s="5">
        <v>0.156</v>
      </c>
      <c r="H960" s="5">
        <v>0.155</v>
      </c>
      <c r="I960" s="5">
        <v>0.153</v>
      </c>
      <c r="J960" s="5">
        <v>0.13200000000000001</v>
      </c>
      <c r="K960" s="5">
        <v>0.11800000000000001</v>
      </c>
      <c r="L960" s="5">
        <v>0.14000000000000001</v>
      </c>
      <c r="M960" s="5">
        <v>0.14899999999999999</v>
      </c>
      <c r="N960" s="5">
        <v>9.6000000000000002E-2</v>
      </c>
    </row>
    <row r="961" spans="1:14" x14ac:dyDescent="0.25">
      <c r="A961">
        <v>2014</v>
      </c>
      <c r="B961">
        <v>265</v>
      </c>
      <c r="C961" t="s">
        <v>108</v>
      </c>
      <c r="D961" t="s">
        <v>93</v>
      </c>
      <c r="E961" s="5" t="s">
        <v>109</v>
      </c>
      <c r="F961" s="5">
        <v>0.17300000000000001</v>
      </c>
      <c r="G961" s="5">
        <v>0.14699999999999999</v>
      </c>
      <c r="H961" s="5">
        <v>0.13900000000000001</v>
      </c>
      <c r="I961" s="5">
        <v>0.13300000000000001</v>
      </c>
      <c r="J961" s="5">
        <v>0.11900000000000001</v>
      </c>
      <c r="K961" s="5">
        <v>0.105</v>
      </c>
      <c r="L961" s="5">
        <v>0.13200000000000001</v>
      </c>
      <c r="M961" s="5">
        <v>0.152</v>
      </c>
      <c r="N961" s="5">
        <v>0.10800000000000001</v>
      </c>
    </row>
    <row r="962" spans="1:14" x14ac:dyDescent="0.25">
      <c r="A962">
        <v>2014</v>
      </c>
      <c r="B962">
        <v>265</v>
      </c>
      <c r="C962" t="s">
        <v>108</v>
      </c>
      <c r="D962" t="s">
        <v>92</v>
      </c>
      <c r="E962" s="5" t="s">
        <v>109</v>
      </c>
      <c r="F962" s="5">
        <v>0.16899999999999998</v>
      </c>
      <c r="G962" s="5">
        <v>0.16</v>
      </c>
      <c r="H962" s="5">
        <v>0.14899999999999999</v>
      </c>
      <c r="I962" s="5">
        <v>0.14899999999999999</v>
      </c>
      <c r="J962" s="5">
        <v>0.151</v>
      </c>
      <c r="K962" s="5">
        <v>0.13100000000000001</v>
      </c>
      <c r="L962" s="5">
        <v>0.14699999999999999</v>
      </c>
      <c r="M962" s="5">
        <v>0.16600000000000001</v>
      </c>
      <c r="N962" s="5">
        <v>0.107</v>
      </c>
    </row>
    <row r="963" spans="1:14" x14ac:dyDescent="0.25">
      <c r="A963">
        <v>2014</v>
      </c>
      <c r="B963">
        <v>265</v>
      </c>
      <c r="C963" t="s">
        <v>108</v>
      </c>
      <c r="D963" t="s">
        <v>91</v>
      </c>
      <c r="E963" s="5">
        <v>0.154</v>
      </c>
      <c r="F963" s="5">
        <v>0.17399999999999999</v>
      </c>
      <c r="G963" s="5">
        <v>0.223</v>
      </c>
      <c r="H963" s="5">
        <v>0.23699999999999999</v>
      </c>
      <c r="I963" s="5">
        <v>0.20800000000000002</v>
      </c>
      <c r="J963" s="5">
        <v>0.20800000000000002</v>
      </c>
      <c r="K963" s="5">
        <v>0.188</v>
      </c>
      <c r="L963" s="5">
        <v>0.16699999999999998</v>
      </c>
      <c r="M963" s="5">
        <v>0.17600000000000002</v>
      </c>
      <c r="N963" s="5">
        <v>0.109</v>
      </c>
    </row>
    <row r="964" spans="1:14" x14ac:dyDescent="0.25">
      <c r="A964">
        <v>2014</v>
      </c>
      <c r="B964">
        <v>265</v>
      </c>
      <c r="C964" t="s">
        <v>108</v>
      </c>
      <c r="D964" t="s">
        <v>90</v>
      </c>
      <c r="E964" s="5" t="s">
        <v>109</v>
      </c>
      <c r="F964" s="5">
        <v>0.185</v>
      </c>
      <c r="G964" s="5">
        <v>0.17100000000000001</v>
      </c>
      <c r="H964" s="5">
        <v>0.16600000000000001</v>
      </c>
      <c r="I964" s="5">
        <v>0.16899999999999998</v>
      </c>
      <c r="J964" s="5">
        <v>0.17699999999999999</v>
      </c>
      <c r="K964" s="5">
        <v>0.188</v>
      </c>
      <c r="L964" s="5">
        <v>0.17499999999999999</v>
      </c>
      <c r="M964" s="5">
        <v>0.153</v>
      </c>
      <c r="N964" s="5">
        <v>9.0999999999999998E-2</v>
      </c>
    </row>
    <row r="965" spans="1:14" x14ac:dyDescent="0.25">
      <c r="A965">
        <v>2014</v>
      </c>
      <c r="B965">
        <v>265</v>
      </c>
      <c r="C965" t="s">
        <v>108</v>
      </c>
      <c r="D965" t="s">
        <v>89</v>
      </c>
      <c r="E965" s="5">
        <v>0.159</v>
      </c>
      <c r="F965" s="5">
        <v>0.158</v>
      </c>
      <c r="G965" s="5">
        <v>0.156</v>
      </c>
      <c r="H965" s="5">
        <v>0.16300000000000001</v>
      </c>
      <c r="I965" s="5">
        <v>0.184</v>
      </c>
      <c r="J965" s="5">
        <v>0.191</v>
      </c>
      <c r="K965" s="5">
        <v>0.18600000000000003</v>
      </c>
      <c r="L965" s="5">
        <v>0.17</v>
      </c>
      <c r="M965" s="5">
        <v>0.154</v>
      </c>
      <c r="N965" s="5">
        <v>0.10099999999999999</v>
      </c>
    </row>
    <row r="966" spans="1:14" x14ac:dyDescent="0.25">
      <c r="A966">
        <v>2014</v>
      </c>
      <c r="B966">
        <v>265</v>
      </c>
      <c r="C966" t="s">
        <v>108</v>
      </c>
      <c r="D966" t="s">
        <v>45</v>
      </c>
      <c r="E966" s="5" t="s">
        <v>109</v>
      </c>
      <c r="F966" s="5">
        <v>0.217</v>
      </c>
      <c r="G966" s="5">
        <v>0.21199999999999999</v>
      </c>
      <c r="H966" s="5">
        <v>0.218</v>
      </c>
      <c r="I966" s="5">
        <v>0.20499999999999999</v>
      </c>
      <c r="J966" s="5">
        <v>0.18</v>
      </c>
      <c r="K966" s="5">
        <v>0.16500000000000001</v>
      </c>
      <c r="L966" s="5">
        <v>0.16699999999999998</v>
      </c>
      <c r="M966" s="5">
        <v>0.16300000000000001</v>
      </c>
      <c r="N966" s="5">
        <v>9.8000000000000004E-2</v>
      </c>
    </row>
    <row r="967" spans="1:14" x14ac:dyDescent="0.25">
      <c r="A967">
        <v>2014</v>
      </c>
      <c r="B967">
        <v>265</v>
      </c>
      <c r="C967" t="s">
        <v>108</v>
      </c>
      <c r="D967" t="s">
        <v>46</v>
      </c>
      <c r="E967" s="5">
        <v>0.223</v>
      </c>
      <c r="F967" s="5">
        <v>0.23</v>
      </c>
      <c r="G967" s="5">
        <v>0.22</v>
      </c>
      <c r="H967" s="5">
        <v>0.21</v>
      </c>
      <c r="I967" s="5">
        <v>0.193</v>
      </c>
      <c r="J967" s="5">
        <v>0.188</v>
      </c>
      <c r="K967" s="5">
        <v>0.19399999999999998</v>
      </c>
      <c r="L967" s="5">
        <v>0.19</v>
      </c>
      <c r="M967" s="5">
        <v>0.18600000000000003</v>
      </c>
      <c r="N967" s="5">
        <v>0.11800000000000001</v>
      </c>
    </row>
    <row r="968" spans="1:14" x14ac:dyDescent="0.25">
      <c r="A968">
        <v>2014</v>
      </c>
      <c r="B968">
        <v>265</v>
      </c>
      <c r="C968" t="s">
        <v>108</v>
      </c>
      <c r="D968" t="s">
        <v>47</v>
      </c>
      <c r="E968" s="5">
        <v>0.21899999999999997</v>
      </c>
      <c r="F968" s="5">
        <v>0.183</v>
      </c>
      <c r="G968" s="5">
        <v>0.191</v>
      </c>
      <c r="H968" s="5">
        <v>0.17</v>
      </c>
      <c r="I968" s="5">
        <v>0.158</v>
      </c>
      <c r="J968" s="5">
        <v>0.16500000000000001</v>
      </c>
      <c r="K968" s="5">
        <v>0.16399999999999998</v>
      </c>
      <c r="L968" s="5">
        <v>0.17</v>
      </c>
      <c r="M968" s="5">
        <v>0.17899999999999999</v>
      </c>
      <c r="N968" s="5">
        <v>0.114</v>
      </c>
    </row>
    <row r="969" spans="1:14" x14ac:dyDescent="0.25">
      <c r="A969">
        <v>2014</v>
      </c>
      <c r="B969">
        <v>265</v>
      </c>
      <c r="C969" t="s">
        <v>108</v>
      </c>
      <c r="D969" t="s">
        <v>48</v>
      </c>
      <c r="E969" s="5">
        <v>0.127</v>
      </c>
      <c r="F969" s="5">
        <v>0.114</v>
      </c>
      <c r="G969" s="5">
        <v>0.10199999999999999</v>
      </c>
      <c r="H969" s="5">
        <v>9.1999999999999998E-2</v>
      </c>
      <c r="I969" s="5">
        <v>0.08</v>
      </c>
      <c r="J969" s="5">
        <v>8.1000000000000003E-2</v>
      </c>
      <c r="K969" s="5">
        <v>0.10099999999999999</v>
      </c>
      <c r="L969" s="5">
        <v>0.14300000000000002</v>
      </c>
      <c r="M969" s="5">
        <v>0.16800000000000001</v>
      </c>
      <c r="N969" s="5">
        <v>0.10099999999999999</v>
      </c>
    </row>
    <row r="970" spans="1:14" x14ac:dyDescent="0.25">
      <c r="A970">
        <v>2014</v>
      </c>
      <c r="B970">
        <v>265</v>
      </c>
      <c r="C970" t="s">
        <v>108</v>
      </c>
      <c r="D970" t="s">
        <v>49</v>
      </c>
      <c r="E970" s="5">
        <v>0.16899999999999998</v>
      </c>
      <c r="F970" s="5">
        <v>0.188</v>
      </c>
      <c r="G970" s="5">
        <v>0.20100000000000001</v>
      </c>
      <c r="H970" s="5">
        <v>0.19800000000000001</v>
      </c>
      <c r="I970" s="5">
        <v>0.16800000000000001</v>
      </c>
      <c r="J970" s="5">
        <v>0.154</v>
      </c>
      <c r="K970" s="5">
        <v>0.13800000000000001</v>
      </c>
      <c r="L970" s="5">
        <v>0.13900000000000001</v>
      </c>
      <c r="M970" s="5">
        <v>0.16200000000000001</v>
      </c>
      <c r="N970" s="5">
        <v>0.107</v>
      </c>
    </row>
    <row r="971" spans="1:14" x14ac:dyDescent="0.25">
      <c r="A971">
        <v>2014</v>
      </c>
      <c r="B971">
        <v>265</v>
      </c>
      <c r="C971" t="s">
        <v>108</v>
      </c>
      <c r="D971" t="s">
        <v>50</v>
      </c>
      <c r="E971" s="5">
        <v>0.184</v>
      </c>
      <c r="F971" s="5">
        <v>0.20100000000000001</v>
      </c>
      <c r="G971" s="5">
        <v>0.184</v>
      </c>
      <c r="H971" s="5">
        <v>0.161</v>
      </c>
      <c r="I971" s="5">
        <v>0.13400000000000001</v>
      </c>
      <c r="J971" s="5">
        <v>0.14000000000000001</v>
      </c>
      <c r="K971" s="5">
        <v>0.14000000000000001</v>
      </c>
      <c r="L971" s="5">
        <v>0.13600000000000001</v>
      </c>
      <c r="M971" s="5">
        <v>0.14599999999999999</v>
      </c>
      <c r="N971" s="5">
        <v>0.10199999999999999</v>
      </c>
    </row>
    <row r="972" spans="1:14" x14ac:dyDescent="0.25">
      <c r="A972">
        <v>2014</v>
      </c>
      <c r="B972">
        <v>274</v>
      </c>
      <c r="C972" t="s">
        <v>108</v>
      </c>
      <c r="D972" t="s">
        <v>51</v>
      </c>
      <c r="E972" s="5">
        <v>8.4000000000000005E-2</v>
      </c>
      <c r="F972" s="5">
        <v>0.09</v>
      </c>
      <c r="G972" s="5">
        <v>0.1</v>
      </c>
      <c r="H972" s="5">
        <v>0.115</v>
      </c>
      <c r="I972" s="5">
        <v>0.14099999999999999</v>
      </c>
      <c r="J972" s="5">
        <v>0.16800000000000001</v>
      </c>
      <c r="K972" s="5">
        <v>0.18</v>
      </c>
      <c r="L972" s="5">
        <v>0.19</v>
      </c>
      <c r="M972" s="5">
        <v>0.19800000000000001</v>
      </c>
      <c r="N972" s="5">
        <v>0.14000000000000001</v>
      </c>
    </row>
    <row r="973" spans="1:14" x14ac:dyDescent="0.25">
      <c r="A973">
        <v>2014</v>
      </c>
      <c r="B973">
        <v>274</v>
      </c>
      <c r="C973" t="s">
        <v>108</v>
      </c>
      <c r="D973" t="s">
        <v>55</v>
      </c>
      <c r="E973" s="5">
        <v>0.15</v>
      </c>
      <c r="F973" s="5">
        <v>0.11599999999999999</v>
      </c>
      <c r="G973" s="5">
        <v>9.1999999999999998E-2</v>
      </c>
      <c r="H973" s="5">
        <v>0.12</v>
      </c>
      <c r="I973" s="5">
        <v>0.13500000000000001</v>
      </c>
      <c r="J973" s="5">
        <v>0.152</v>
      </c>
      <c r="K973" s="5">
        <v>0.17199999999999999</v>
      </c>
      <c r="L973" s="5">
        <v>0.17699999999999999</v>
      </c>
      <c r="M973" s="5">
        <v>0.153</v>
      </c>
      <c r="N973" s="5">
        <v>0.114</v>
      </c>
    </row>
    <row r="974" spans="1:14" x14ac:dyDescent="0.25">
      <c r="A974">
        <v>2014</v>
      </c>
      <c r="B974">
        <v>274</v>
      </c>
      <c r="C974" t="s">
        <v>108</v>
      </c>
      <c r="D974" t="s">
        <v>56</v>
      </c>
      <c r="E974" s="5">
        <v>0.122</v>
      </c>
      <c r="F974" s="5">
        <v>0.151</v>
      </c>
      <c r="G974" s="5">
        <v>0.14300000000000002</v>
      </c>
      <c r="H974" s="5">
        <v>0.13800000000000001</v>
      </c>
      <c r="I974" s="5">
        <v>0.14099999999999999</v>
      </c>
      <c r="J974" s="5">
        <v>0.152</v>
      </c>
      <c r="K974" s="5">
        <v>0.16200000000000001</v>
      </c>
      <c r="L974" s="5">
        <v>0.17</v>
      </c>
      <c r="M974" s="5">
        <v>0.16600000000000001</v>
      </c>
      <c r="N974" s="5">
        <v>0.13500000000000001</v>
      </c>
    </row>
    <row r="975" spans="1:14" x14ac:dyDescent="0.25">
      <c r="A975">
        <v>2014</v>
      </c>
      <c r="B975">
        <v>274</v>
      </c>
      <c r="C975" t="s">
        <v>108</v>
      </c>
      <c r="D975" t="s">
        <v>57</v>
      </c>
      <c r="E975" s="5">
        <v>0.13800000000000001</v>
      </c>
      <c r="F975" s="5">
        <v>0.127</v>
      </c>
      <c r="G975" s="5">
        <v>0.126</v>
      </c>
      <c r="H975" s="5">
        <v>0.12300000000000001</v>
      </c>
      <c r="I975" s="5">
        <v>0.12300000000000001</v>
      </c>
      <c r="J975" s="5">
        <v>0.14499999999999999</v>
      </c>
      <c r="K975" s="5">
        <v>0.154</v>
      </c>
      <c r="L975" s="5">
        <v>0.14899999999999999</v>
      </c>
      <c r="M975" s="5">
        <v>0.14499999999999999</v>
      </c>
      <c r="N975" s="5">
        <v>0.106</v>
      </c>
    </row>
    <row r="976" spans="1:14" x14ac:dyDescent="0.25">
      <c r="A976">
        <v>2014</v>
      </c>
      <c r="B976">
        <v>274</v>
      </c>
      <c r="C976" t="s">
        <v>108</v>
      </c>
      <c r="D976" t="s">
        <v>58</v>
      </c>
      <c r="E976" s="5" t="s">
        <v>109</v>
      </c>
      <c r="F976" s="5" t="s">
        <v>109</v>
      </c>
      <c r="G976" s="5" t="s">
        <v>109</v>
      </c>
      <c r="H976" s="5">
        <v>0.157</v>
      </c>
      <c r="I976" s="5">
        <v>0.151</v>
      </c>
      <c r="J976" s="5">
        <v>0.16</v>
      </c>
      <c r="K976" s="5">
        <v>0.17300000000000001</v>
      </c>
      <c r="L976" s="5">
        <v>0.18899999999999997</v>
      </c>
      <c r="M976" s="5">
        <v>0.188</v>
      </c>
      <c r="N976" s="5">
        <v>0.12</v>
      </c>
    </row>
    <row r="977" spans="1:14" x14ac:dyDescent="0.25">
      <c r="A977">
        <v>2014</v>
      </c>
      <c r="B977">
        <v>274</v>
      </c>
      <c r="C977" t="s">
        <v>108</v>
      </c>
      <c r="D977" t="s">
        <v>59</v>
      </c>
      <c r="E977" s="5" t="s">
        <v>109</v>
      </c>
      <c r="F977" s="5">
        <v>0.17399999999999999</v>
      </c>
      <c r="G977" s="5">
        <v>0.16399999999999998</v>
      </c>
      <c r="H977" s="5">
        <v>0.154</v>
      </c>
      <c r="I977" s="5">
        <v>0.14499999999999999</v>
      </c>
      <c r="J977" s="5">
        <v>0.14400000000000002</v>
      </c>
      <c r="K977" s="5">
        <v>0.14599999999999999</v>
      </c>
      <c r="L977" s="5">
        <v>0.193</v>
      </c>
      <c r="M977" s="5">
        <v>0.16600000000000001</v>
      </c>
      <c r="N977" s="5">
        <v>0.11699999999999999</v>
      </c>
    </row>
    <row r="978" spans="1:14" x14ac:dyDescent="0.25">
      <c r="A978">
        <v>2014</v>
      </c>
      <c r="B978">
        <v>274</v>
      </c>
      <c r="C978" t="s">
        <v>108</v>
      </c>
      <c r="D978" t="s">
        <v>64</v>
      </c>
      <c r="E978" s="5">
        <v>0.215</v>
      </c>
      <c r="F978" s="5">
        <v>0.14000000000000001</v>
      </c>
      <c r="G978" s="5">
        <v>0.16200000000000001</v>
      </c>
      <c r="H978" s="5">
        <v>0.21299999999999999</v>
      </c>
      <c r="I978" s="5">
        <v>0.18600000000000003</v>
      </c>
      <c r="J978" s="5">
        <v>0.19800000000000001</v>
      </c>
      <c r="K978" s="5">
        <v>0.19699999999999998</v>
      </c>
      <c r="L978" s="5">
        <v>0.16399999999999998</v>
      </c>
      <c r="M978" s="5">
        <v>0.13900000000000001</v>
      </c>
      <c r="N978" s="5">
        <v>0.11800000000000001</v>
      </c>
    </row>
    <row r="979" spans="1:14" x14ac:dyDescent="0.25">
      <c r="A979">
        <v>2014</v>
      </c>
      <c r="B979">
        <v>274</v>
      </c>
      <c r="C979" t="s">
        <v>108</v>
      </c>
      <c r="D979" t="s">
        <v>52</v>
      </c>
      <c r="E979" s="5">
        <v>0.14800000000000002</v>
      </c>
      <c r="F979" s="5">
        <v>0.151</v>
      </c>
      <c r="G979" s="5">
        <v>0.15</v>
      </c>
      <c r="H979" s="5">
        <v>0.154</v>
      </c>
      <c r="I979" s="5">
        <v>0.188</v>
      </c>
      <c r="J979" s="5">
        <v>0.21199999999999999</v>
      </c>
      <c r="K979" s="5">
        <v>0.217</v>
      </c>
      <c r="L979" s="5">
        <v>0.21100000000000002</v>
      </c>
      <c r="M979" s="5">
        <v>0.14599999999999999</v>
      </c>
      <c r="N979" s="5">
        <v>0.10800000000000001</v>
      </c>
    </row>
    <row r="980" spans="1:14" x14ac:dyDescent="0.25">
      <c r="A980">
        <v>2014</v>
      </c>
      <c r="B980">
        <v>274</v>
      </c>
      <c r="C980" t="s">
        <v>108</v>
      </c>
      <c r="D980" t="s">
        <v>62</v>
      </c>
      <c r="E980" s="5">
        <v>0.155</v>
      </c>
      <c r="F980" s="5">
        <v>0.14000000000000001</v>
      </c>
      <c r="G980" s="5">
        <v>0.14199999999999999</v>
      </c>
      <c r="H980" s="5">
        <v>0.156</v>
      </c>
      <c r="I980" s="5">
        <v>0.18</v>
      </c>
      <c r="J980" s="5">
        <v>0.183</v>
      </c>
      <c r="K980" s="5">
        <v>0.18899999999999997</v>
      </c>
      <c r="L980" s="5">
        <v>0.19899999999999998</v>
      </c>
      <c r="M980" s="5">
        <v>0.17199999999999999</v>
      </c>
      <c r="N980" s="5">
        <v>0.13200000000000001</v>
      </c>
    </row>
    <row r="981" spans="1:14" x14ac:dyDescent="0.25">
      <c r="A981">
        <v>2014</v>
      </c>
      <c r="B981">
        <v>274</v>
      </c>
      <c r="C981" t="s">
        <v>108</v>
      </c>
      <c r="D981" t="s">
        <v>63</v>
      </c>
      <c r="E981" s="5">
        <v>0.18899999999999997</v>
      </c>
      <c r="F981" s="5">
        <v>0.14599999999999999</v>
      </c>
      <c r="G981" s="5">
        <v>0.11599999999999999</v>
      </c>
      <c r="H981" s="5">
        <v>0.14000000000000001</v>
      </c>
      <c r="I981" s="5">
        <v>0.159</v>
      </c>
      <c r="J981" s="5">
        <v>0.16600000000000001</v>
      </c>
      <c r="K981" s="5">
        <v>0.19399999999999998</v>
      </c>
      <c r="L981" s="5">
        <v>0.16699999999999998</v>
      </c>
      <c r="M981" s="5">
        <v>0.15</v>
      </c>
      <c r="N981" s="5">
        <v>0.13</v>
      </c>
    </row>
    <row r="982" spans="1:14" x14ac:dyDescent="0.25">
      <c r="A982">
        <v>2014</v>
      </c>
      <c r="B982">
        <v>274</v>
      </c>
      <c r="C982" t="s">
        <v>108</v>
      </c>
      <c r="D982" t="s">
        <v>61</v>
      </c>
      <c r="E982" s="5" t="s">
        <v>109</v>
      </c>
      <c r="F982" s="5">
        <v>0.317</v>
      </c>
      <c r="G982" s="5">
        <v>0.20699999999999999</v>
      </c>
      <c r="H982" s="5">
        <v>0.13800000000000001</v>
      </c>
      <c r="I982" s="5">
        <v>0.14800000000000002</v>
      </c>
      <c r="J982" s="5">
        <v>0.157</v>
      </c>
      <c r="K982" s="5">
        <v>0.16</v>
      </c>
      <c r="L982" s="5">
        <v>0.215</v>
      </c>
      <c r="M982" s="5">
        <v>0.17899999999999999</v>
      </c>
      <c r="N982" s="5">
        <v>0.127</v>
      </c>
    </row>
    <row r="983" spans="1:14" x14ac:dyDescent="0.25">
      <c r="A983">
        <v>2014</v>
      </c>
      <c r="B983">
        <v>274</v>
      </c>
      <c r="C983" t="s">
        <v>108</v>
      </c>
      <c r="D983" t="s">
        <v>60</v>
      </c>
      <c r="E983" s="5" t="s">
        <v>109</v>
      </c>
      <c r="F983" s="5" t="s">
        <v>109</v>
      </c>
      <c r="G983" s="5">
        <v>0.25900000000000001</v>
      </c>
      <c r="H983" s="5">
        <v>0.25800000000000001</v>
      </c>
      <c r="I983" s="5">
        <v>0.16600000000000001</v>
      </c>
      <c r="J983" s="5">
        <v>0.193</v>
      </c>
      <c r="K983" s="5">
        <v>0.20499999999999999</v>
      </c>
      <c r="L983" s="5">
        <v>0.218</v>
      </c>
      <c r="M983" s="5">
        <v>0.20899999999999999</v>
      </c>
      <c r="N983" s="5">
        <v>0.13800000000000001</v>
      </c>
    </row>
    <row r="984" spans="1:14" x14ac:dyDescent="0.25">
      <c r="A984">
        <v>2014</v>
      </c>
      <c r="B984">
        <v>274</v>
      </c>
      <c r="C984" t="s">
        <v>108</v>
      </c>
      <c r="D984" t="s">
        <v>29</v>
      </c>
      <c r="E984" s="5">
        <v>0.20399999999999999</v>
      </c>
      <c r="F984" s="5">
        <v>0.17199999999999999</v>
      </c>
      <c r="G984" s="5">
        <v>0.19500000000000001</v>
      </c>
      <c r="H984" s="5">
        <v>0.20199999999999999</v>
      </c>
      <c r="I984" s="5">
        <v>0.218</v>
      </c>
      <c r="J984" s="5">
        <v>0.23300000000000001</v>
      </c>
      <c r="K984" s="5">
        <v>0.20800000000000002</v>
      </c>
      <c r="L984" s="5">
        <v>0.20300000000000001</v>
      </c>
      <c r="M984" s="5">
        <v>0.16399999999999998</v>
      </c>
      <c r="N984" s="5">
        <v>0.115</v>
      </c>
    </row>
    <row r="985" spans="1:14" x14ac:dyDescent="0.25">
      <c r="A985">
        <v>2014</v>
      </c>
      <c r="B985">
        <v>274</v>
      </c>
      <c r="C985" t="s">
        <v>108</v>
      </c>
      <c r="D985" t="s">
        <v>30</v>
      </c>
      <c r="E985" s="5">
        <v>0.184</v>
      </c>
      <c r="F985" s="5">
        <v>0.18600000000000003</v>
      </c>
      <c r="G985" s="5">
        <v>0.22</v>
      </c>
      <c r="H985" s="5">
        <v>0.221</v>
      </c>
      <c r="I985" s="5">
        <v>0.20499999999999999</v>
      </c>
      <c r="J985" s="5">
        <v>0.20899999999999999</v>
      </c>
      <c r="K985" s="5">
        <v>0.223</v>
      </c>
      <c r="L985" s="5">
        <v>0.16</v>
      </c>
      <c r="M985" s="5">
        <v>0.13400000000000001</v>
      </c>
      <c r="N985" s="5">
        <v>0.10300000000000001</v>
      </c>
    </row>
    <row r="986" spans="1:14" x14ac:dyDescent="0.25">
      <c r="A986">
        <v>2014</v>
      </c>
      <c r="B986">
        <v>274</v>
      </c>
      <c r="C986" t="s">
        <v>108</v>
      </c>
      <c r="D986" t="s">
        <v>31</v>
      </c>
      <c r="E986" s="5">
        <v>0.184</v>
      </c>
      <c r="F986" s="5">
        <v>0.158</v>
      </c>
      <c r="G986" s="5">
        <v>0.156</v>
      </c>
      <c r="H986" s="5">
        <v>0.16800000000000001</v>
      </c>
      <c r="I986" s="5">
        <v>0.20199999999999999</v>
      </c>
      <c r="J986" s="5">
        <v>0.19399999999999998</v>
      </c>
      <c r="K986" s="5">
        <v>0.193</v>
      </c>
      <c r="L986" s="5">
        <v>0.17800000000000002</v>
      </c>
      <c r="M986" s="5">
        <v>0.155</v>
      </c>
      <c r="N986" s="5">
        <v>0.127</v>
      </c>
    </row>
    <row r="987" spans="1:14" x14ac:dyDescent="0.25">
      <c r="A987">
        <v>2014</v>
      </c>
      <c r="B987">
        <v>274</v>
      </c>
      <c r="C987" t="s">
        <v>108</v>
      </c>
      <c r="D987" t="s">
        <v>32</v>
      </c>
      <c r="E987" s="5">
        <v>0.22899999999999998</v>
      </c>
      <c r="F987" s="5">
        <v>0.187</v>
      </c>
      <c r="G987" s="5">
        <v>0.215</v>
      </c>
      <c r="H987" s="5">
        <v>0.18899999999999997</v>
      </c>
      <c r="I987" s="5">
        <v>0.17499999999999999</v>
      </c>
      <c r="J987" s="5">
        <v>0.16300000000000001</v>
      </c>
      <c r="K987" s="5">
        <v>0.14099999999999999</v>
      </c>
      <c r="L987" s="5">
        <v>0.14199999999999999</v>
      </c>
      <c r="M987" s="5">
        <v>0.16800000000000001</v>
      </c>
      <c r="N987" s="5">
        <v>0.13200000000000001</v>
      </c>
    </row>
    <row r="988" spans="1:14" x14ac:dyDescent="0.25">
      <c r="A988">
        <v>2014</v>
      </c>
      <c r="B988">
        <v>274</v>
      </c>
      <c r="C988" t="s">
        <v>108</v>
      </c>
      <c r="D988" t="s">
        <v>33</v>
      </c>
      <c r="E988" s="5">
        <v>0.16800000000000001</v>
      </c>
      <c r="F988" s="5">
        <v>0.16500000000000001</v>
      </c>
      <c r="G988" s="5">
        <v>0.16500000000000001</v>
      </c>
      <c r="H988" s="5">
        <v>0.14599999999999999</v>
      </c>
      <c r="I988" s="5">
        <v>0.17499999999999999</v>
      </c>
      <c r="J988" s="5">
        <v>0.191</v>
      </c>
      <c r="K988" s="5">
        <v>0.22399999999999998</v>
      </c>
      <c r="L988" s="5">
        <v>0.19800000000000001</v>
      </c>
      <c r="M988" s="5">
        <v>0.16200000000000001</v>
      </c>
      <c r="N988" s="5">
        <v>0.109</v>
      </c>
    </row>
    <row r="989" spans="1:14" x14ac:dyDescent="0.25">
      <c r="A989">
        <v>2014</v>
      </c>
      <c r="B989">
        <v>274</v>
      </c>
      <c r="C989" t="s">
        <v>108</v>
      </c>
      <c r="D989" t="s">
        <v>34</v>
      </c>
      <c r="E989" s="5">
        <v>0.19699999999999998</v>
      </c>
      <c r="F989" s="5">
        <v>0.19399999999999998</v>
      </c>
      <c r="G989" s="5">
        <v>0.22500000000000001</v>
      </c>
      <c r="H989" s="5">
        <v>0.20199999999999999</v>
      </c>
      <c r="I989" s="5">
        <v>0.17100000000000001</v>
      </c>
      <c r="J989" s="5">
        <v>0.185</v>
      </c>
      <c r="K989" s="5">
        <v>0.188</v>
      </c>
      <c r="L989" s="5">
        <v>0.18600000000000003</v>
      </c>
      <c r="M989" s="5">
        <v>0.14499999999999999</v>
      </c>
      <c r="N989" s="5">
        <v>0.13300000000000001</v>
      </c>
    </row>
    <row r="990" spans="1:14" x14ac:dyDescent="0.25">
      <c r="A990">
        <v>2014</v>
      </c>
      <c r="B990">
        <v>274</v>
      </c>
      <c r="C990" t="s">
        <v>108</v>
      </c>
      <c r="D990" t="s">
        <v>70</v>
      </c>
      <c r="E990" s="5">
        <v>0.183</v>
      </c>
      <c r="F990" s="5">
        <v>0.17800000000000002</v>
      </c>
      <c r="G990" s="5">
        <v>0.214</v>
      </c>
      <c r="H990" s="5">
        <v>0.21</v>
      </c>
      <c r="I990" s="5">
        <v>0.19699999999999998</v>
      </c>
      <c r="J990" s="5">
        <v>0.19699999999999998</v>
      </c>
      <c r="K990" s="5">
        <v>0.218</v>
      </c>
      <c r="L990" s="5">
        <v>0.193</v>
      </c>
      <c r="M990" s="5">
        <v>0.16899999999999998</v>
      </c>
      <c r="N990" s="5">
        <v>0.125</v>
      </c>
    </row>
    <row r="991" spans="1:14" x14ac:dyDescent="0.25">
      <c r="A991">
        <v>2014</v>
      </c>
      <c r="B991">
        <v>274</v>
      </c>
      <c r="C991" t="s">
        <v>108</v>
      </c>
      <c r="D991" t="s">
        <v>69</v>
      </c>
      <c r="E991" s="5">
        <v>0.17</v>
      </c>
      <c r="F991" s="5">
        <v>0.20100000000000001</v>
      </c>
      <c r="G991" s="5">
        <v>0.20100000000000001</v>
      </c>
      <c r="H991" s="5">
        <v>0.2</v>
      </c>
      <c r="I991" s="5">
        <v>0.20100000000000001</v>
      </c>
      <c r="J991" s="5">
        <v>0.20199999999999999</v>
      </c>
      <c r="K991" s="5">
        <v>0.20499999999999999</v>
      </c>
      <c r="L991" s="5">
        <v>0.18600000000000003</v>
      </c>
      <c r="M991" s="5">
        <v>0.17</v>
      </c>
      <c r="N991" s="5">
        <v>0.14199999999999999</v>
      </c>
    </row>
    <row r="992" spans="1:14" x14ac:dyDescent="0.25">
      <c r="A992">
        <v>2014</v>
      </c>
      <c r="B992">
        <v>274</v>
      </c>
      <c r="C992" t="s">
        <v>108</v>
      </c>
      <c r="D992" t="s">
        <v>68</v>
      </c>
      <c r="E992" s="5">
        <v>0.185</v>
      </c>
      <c r="F992" s="5">
        <v>0.185</v>
      </c>
      <c r="G992" s="5">
        <v>0.20300000000000001</v>
      </c>
      <c r="H992" s="5">
        <v>0.19399999999999998</v>
      </c>
      <c r="I992" s="5">
        <v>0.21100000000000002</v>
      </c>
      <c r="J992" s="5">
        <v>0.20800000000000002</v>
      </c>
      <c r="K992" s="5">
        <v>0.22800000000000001</v>
      </c>
      <c r="L992" s="5">
        <v>0.19800000000000001</v>
      </c>
      <c r="M992" s="5">
        <v>0.17100000000000001</v>
      </c>
      <c r="N992" s="5">
        <v>0.13800000000000001</v>
      </c>
    </row>
    <row r="993" spans="1:14" x14ac:dyDescent="0.25">
      <c r="A993">
        <v>2014</v>
      </c>
      <c r="B993">
        <v>274</v>
      </c>
      <c r="C993" t="s">
        <v>108</v>
      </c>
      <c r="D993" t="s">
        <v>67</v>
      </c>
      <c r="E993" s="5">
        <v>0.18600000000000003</v>
      </c>
      <c r="F993" s="5">
        <v>0.19399999999999998</v>
      </c>
      <c r="G993" s="5">
        <v>0.17</v>
      </c>
      <c r="H993" s="5">
        <v>0.16500000000000001</v>
      </c>
      <c r="I993" s="5">
        <v>0.17</v>
      </c>
      <c r="J993" s="5">
        <v>0.151</v>
      </c>
      <c r="K993" s="5">
        <v>0.19</v>
      </c>
      <c r="L993" s="5">
        <v>0.21</v>
      </c>
      <c r="M993" s="5">
        <v>0.16500000000000001</v>
      </c>
      <c r="N993" s="5">
        <v>0.128</v>
      </c>
    </row>
    <row r="994" spans="1:14" x14ac:dyDescent="0.25">
      <c r="A994">
        <v>2014</v>
      </c>
      <c r="B994">
        <v>274</v>
      </c>
      <c r="C994" t="s">
        <v>108</v>
      </c>
      <c r="D994" t="s">
        <v>66</v>
      </c>
      <c r="E994" s="5">
        <v>0.14400000000000002</v>
      </c>
      <c r="F994" s="5">
        <v>0.185</v>
      </c>
      <c r="G994" s="5">
        <v>0.19500000000000001</v>
      </c>
      <c r="H994" s="5">
        <v>0.184</v>
      </c>
      <c r="I994" s="5">
        <v>0.19800000000000001</v>
      </c>
      <c r="J994" s="5">
        <v>0.2</v>
      </c>
      <c r="K994" s="5">
        <v>0.19399999999999998</v>
      </c>
      <c r="L994" s="5">
        <v>0.151</v>
      </c>
      <c r="M994" s="5">
        <v>0.14800000000000002</v>
      </c>
      <c r="N994" s="5">
        <v>0.14499999999999999</v>
      </c>
    </row>
    <row r="995" spans="1:14" x14ac:dyDescent="0.25">
      <c r="A995">
        <v>2014</v>
      </c>
      <c r="B995">
        <v>274</v>
      </c>
      <c r="C995" t="s">
        <v>108</v>
      </c>
      <c r="D995" t="s">
        <v>65</v>
      </c>
      <c r="E995" s="5">
        <v>0.20300000000000001</v>
      </c>
      <c r="F995" s="5">
        <v>0.20899999999999999</v>
      </c>
      <c r="G995" s="5">
        <v>0.25800000000000001</v>
      </c>
      <c r="H995" s="5">
        <v>0.14800000000000002</v>
      </c>
      <c r="I995" s="5">
        <v>0.155</v>
      </c>
      <c r="J995" s="5">
        <v>0.17100000000000001</v>
      </c>
      <c r="K995" s="5">
        <v>0.18100000000000002</v>
      </c>
      <c r="L995" s="5">
        <v>0.17199999999999999</v>
      </c>
      <c r="M995" s="5">
        <v>0.15</v>
      </c>
      <c r="N995" s="5">
        <v>0.12300000000000001</v>
      </c>
    </row>
    <row r="996" spans="1:14" x14ac:dyDescent="0.25">
      <c r="A996">
        <v>2014</v>
      </c>
      <c r="B996">
        <v>274</v>
      </c>
      <c r="C996" t="s">
        <v>108</v>
      </c>
      <c r="D996" t="s">
        <v>71</v>
      </c>
      <c r="E996" s="5" t="s">
        <v>109</v>
      </c>
      <c r="F996" s="5">
        <v>0.22399999999999998</v>
      </c>
      <c r="G996" s="5">
        <v>0.24199999999999999</v>
      </c>
      <c r="H996" s="5">
        <v>0.214</v>
      </c>
      <c r="I996" s="5">
        <v>0.19600000000000001</v>
      </c>
      <c r="J996" s="5">
        <v>0.192</v>
      </c>
      <c r="K996" s="5">
        <v>0.156</v>
      </c>
      <c r="L996" s="5">
        <v>0.14899999999999999</v>
      </c>
      <c r="M996" s="5">
        <v>0.153</v>
      </c>
      <c r="N996" s="5">
        <v>0.11699999999999999</v>
      </c>
    </row>
    <row r="997" spans="1:14" x14ac:dyDescent="0.25">
      <c r="A997">
        <v>2014</v>
      </c>
      <c r="B997">
        <v>274</v>
      </c>
      <c r="C997" t="s">
        <v>108</v>
      </c>
      <c r="D997" t="s">
        <v>74</v>
      </c>
      <c r="E997" s="5" t="s">
        <v>109</v>
      </c>
      <c r="F997" s="5">
        <v>0.16600000000000001</v>
      </c>
      <c r="G997" s="5">
        <v>0.16800000000000001</v>
      </c>
      <c r="H997" s="5">
        <v>0.16399999999999998</v>
      </c>
      <c r="I997" s="5">
        <v>0.17100000000000001</v>
      </c>
      <c r="J997" s="5">
        <v>0.14499999999999999</v>
      </c>
      <c r="K997" s="5">
        <v>0.18600000000000003</v>
      </c>
      <c r="L997" s="5">
        <v>0.18100000000000002</v>
      </c>
      <c r="M997" s="5">
        <v>0.159</v>
      </c>
      <c r="N997" s="5">
        <v>0.151</v>
      </c>
    </row>
    <row r="998" spans="1:14" x14ac:dyDescent="0.25">
      <c r="A998">
        <v>2014</v>
      </c>
      <c r="B998">
        <v>274</v>
      </c>
      <c r="C998" t="s">
        <v>108</v>
      </c>
      <c r="D998" t="s">
        <v>75</v>
      </c>
      <c r="E998" s="5" t="s">
        <v>109</v>
      </c>
      <c r="F998" s="5">
        <v>0.188</v>
      </c>
      <c r="G998" s="5">
        <v>0.161</v>
      </c>
      <c r="H998" s="5">
        <v>0.22800000000000001</v>
      </c>
      <c r="I998" s="5">
        <v>0.14599999999999999</v>
      </c>
      <c r="J998" s="5">
        <v>0.155</v>
      </c>
      <c r="K998" s="5">
        <v>0.19500000000000001</v>
      </c>
      <c r="L998" s="5">
        <v>0.18100000000000002</v>
      </c>
      <c r="M998" s="5">
        <v>0.17199999999999999</v>
      </c>
      <c r="N998" s="5">
        <v>0.125</v>
      </c>
    </row>
    <row r="999" spans="1:14" x14ac:dyDescent="0.25">
      <c r="A999">
        <v>2014</v>
      </c>
      <c r="B999">
        <v>274</v>
      </c>
      <c r="C999" t="s">
        <v>108</v>
      </c>
      <c r="D999" t="s">
        <v>76</v>
      </c>
      <c r="E999" s="5">
        <v>0.156</v>
      </c>
      <c r="F999" s="5">
        <v>0.153</v>
      </c>
      <c r="G999" s="5">
        <v>0.14800000000000002</v>
      </c>
      <c r="H999" s="5">
        <v>0.158</v>
      </c>
      <c r="I999" s="5">
        <v>0.18</v>
      </c>
      <c r="J999" s="5">
        <v>0.188</v>
      </c>
      <c r="K999" s="5">
        <v>0.19600000000000001</v>
      </c>
      <c r="L999" s="5">
        <v>0.20699999999999999</v>
      </c>
      <c r="M999" s="5">
        <v>0.17499999999999999</v>
      </c>
      <c r="N999" s="5">
        <v>0.14000000000000001</v>
      </c>
    </row>
    <row r="1000" spans="1:14" x14ac:dyDescent="0.25">
      <c r="A1000">
        <v>2014</v>
      </c>
      <c r="B1000">
        <v>274</v>
      </c>
      <c r="C1000" t="s">
        <v>108</v>
      </c>
      <c r="D1000" t="s">
        <v>53</v>
      </c>
      <c r="E1000" s="5" t="s">
        <v>109</v>
      </c>
      <c r="F1000" s="5">
        <v>0.312</v>
      </c>
      <c r="G1000" s="5">
        <v>0.19500000000000001</v>
      </c>
      <c r="H1000" s="5">
        <v>0.214</v>
      </c>
      <c r="I1000" s="5">
        <v>0.214</v>
      </c>
      <c r="J1000" s="5">
        <v>0.20699999999999999</v>
      </c>
      <c r="K1000" s="5">
        <v>0.22</v>
      </c>
      <c r="L1000" s="5">
        <v>0.188</v>
      </c>
      <c r="M1000" s="5">
        <v>0.18</v>
      </c>
      <c r="N1000" s="5">
        <v>0.14400000000000002</v>
      </c>
    </row>
    <row r="1001" spans="1:14" x14ac:dyDescent="0.25">
      <c r="A1001">
        <v>2014</v>
      </c>
      <c r="B1001">
        <v>274</v>
      </c>
      <c r="C1001" t="s">
        <v>108</v>
      </c>
      <c r="D1001" t="s">
        <v>77</v>
      </c>
      <c r="E1001" s="5" t="s">
        <v>109</v>
      </c>
      <c r="F1001" s="5">
        <v>0.28999999999999998</v>
      </c>
      <c r="G1001" s="5">
        <v>0.253</v>
      </c>
      <c r="H1001" s="5">
        <v>0.20600000000000002</v>
      </c>
      <c r="I1001" s="5">
        <v>0.182</v>
      </c>
      <c r="J1001" s="5">
        <v>0.17499999999999999</v>
      </c>
      <c r="K1001" s="5">
        <v>0.17</v>
      </c>
      <c r="L1001" s="5">
        <v>0.20399999999999999</v>
      </c>
      <c r="M1001" s="5">
        <v>0.152</v>
      </c>
      <c r="N1001" s="5">
        <v>0.114</v>
      </c>
    </row>
    <row r="1002" spans="1:14" x14ac:dyDescent="0.25">
      <c r="A1002">
        <v>2014</v>
      </c>
      <c r="B1002">
        <v>274</v>
      </c>
      <c r="C1002" t="s">
        <v>108</v>
      </c>
      <c r="D1002" t="s">
        <v>73</v>
      </c>
      <c r="E1002" s="5" t="s">
        <v>109</v>
      </c>
      <c r="F1002" s="5">
        <v>0.22</v>
      </c>
      <c r="G1002" s="5">
        <v>0.249</v>
      </c>
      <c r="H1002" s="5">
        <v>0.249</v>
      </c>
      <c r="I1002" s="5">
        <v>0.17600000000000002</v>
      </c>
      <c r="J1002" s="5">
        <v>0.20600000000000002</v>
      </c>
      <c r="K1002" s="5">
        <v>0.18600000000000003</v>
      </c>
      <c r="L1002" s="5">
        <v>0.16699999999999998</v>
      </c>
      <c r="M1002" s="5">
        <v>0.151</v>
      </c>
      <c r="N1002" s="5">
        <v>0.12</v>
      </c>
    </row>
    <row r="1003" spans="1:14" x14ac:dyDescent="0.25">
      <c r="A1003">
        <v>2014</v>
      </c>
      <c r="B1003">
        <v>274</v>
      </c>
      <c r="C1003" t="s">
        <v>108</v>
      </c>
      <c r="D1003" t="s">
        <v>81</v>
      </c>
      <c r="E1003" s="5" t="s">
        <v>109</v>
      </c>
      <c r="F1003" s="5">
        <v>0.24199999999999999</v>
      </c>
      <c r="G1003" s="5">
        <v>0.21600000000000003</v>
      </c>
      <c r="H1003" s="5">
        <v>0.19399999999999998</v>
      </c>
      <c r="I1003" s="5">
        <v>0.19899999999999998</v>
      </c>
      <c r="J1003" s="5">
        <v>0.187</v>
      </c>
      <c r="K1003" s="5">
        <v>0.16</v>
      </c>
      <c r="L1003" s="5">
        <v>0.14400000000000002</v>
      </c>
      <c r="M1003" s="5">
        <v>0.14599999999999999</v>
      </c>
      <c r="N1003" s="5">
        <v>0.12300000000000001</v>
      </c>
    </row>
    <row r="1004" spans="1:14" x14ac:dyDescent="0.25">
      <c r="A1004">
        <v>2014</v>
      </c>
      <c r="B1004">
        <v>274</v>
      </c>
      <c r="C1004" t="s">
        <v>108</v>
      </c>
      <c r="D1004" t="s">
        <v>80</v>
      </c>
      <c r="E1004" s="5" t="s">
        <v>109</v>
      </c>
      <c r="F1004" s="5" t="s">
        <v>109</v>
      </c>
      <c r="G1004" s="5">
        <v>0.193</v>
      </c>
      <c r="H1004" s="5">
        <v>0.20199999999999999</v>
      </c>
      <c r="I1004" s="5">
        <v>0.19</v>
      </c>
      <c r="J1004" s="5">
        <v>0.21</v>
      </c>
      <c r="K1004" s="5">
        <v>0.214</v>
      </c>
      <c r="L1004" s="5">
        <v>0.16699999999999998</v>
      </c>
      <c r="M1004" s="5">
        <v>0.158</v>
      </c>
      <c r="N1004" s="5">
        <v>0.13699999999999998</v>
      </c>
    </row>
    <row r="1005" spans="1:14" x14ac:dyDescent="0.25">
      <c r="A1005">
        <v>2014</v>
      </c>
      <c r="B1005">
        <v>274</v>
      </c>
      <c r="C1005" t="s">
        <v>108</v>
      </c>
      <c r="D1005" t="s">
        <v>79</v>
      </c>
      <c r="E1005" s="5" t="s">
        <v>109</v>
      </c>
      <c r="F1005" s="5">
        <v>0.16200000000000001</v>
      </c>
      <c r="G1005" s="5">
        <v>0.151</v>
      </c>
      <c r="H1005" s="5">
        <v>0.16600000000000001</v>
      </c>
      <c r="I1005" s="5">
        <v>0.191</v>
      </c>
      <c r="J1005" s="5">
        <v>0.20399999999999999</v>
      </c>
      <c r="K1005" s="5">
        <v>0.19399999999999998</v>
      </c>
      <c r="L1005" s="5">
        <v>0.18600000000000003</v>
      </c>
      <c r="M1005" s="5">
        <v>0.16699999999999998</v>
      </c>
      <c r="N1005" s="5">
        <v>0.13699999999999998</v>
      </c>
    </row>
    <row r="1006" spans="1:14" x14ac:dyDescent="0.25">
      <c r="A1006">
        <v>2014</v>
      </c>
      <c r="B1006">
        <v>274</v>
      </c>
      <c r="C1006" t="s">
        <v>108</v>
      </c>
      <c r="D1006" t="s">
        <v>78</v>
      </c>
      <c r="E1006" s="5" t="s">
        <v>109</v>
      </c>
      <c r="F1006" s="5">
        <v>0.192</v>
      </c>
      <c r="G1006" s="5">
        <v>0.157</v>
      </c>
      <c r="H1006" s="5">
        <v>0.16699999999999998</v>
      </c>
      <c r="I1006" s="5">
        <v>0.18100000000000002</v>
      </c>
      <c r="J1006" s="5">
        <v>0.18</v>
      </c>
      <c r="K1006" s="5">
        <v>0.17899999999999999</v>
      </c>
      <c r="L1006" s="5">
        <v>0.161</v>
      </c>
      <c r="M1006" s="5">
        <v>0.152</v>
      </c>
      <c r="N1006" s="5">
        <v>0.11800000000000001</v>
      </c>
    </row>
    <row r="1007" spans="1:14" x14ac:dyDescent="0.25">
      <c r="A1007">
        <v>2014</v>
      </c>
      <c r="B1007">
        <v>274</v>
      </c>
      <c r="C1007" t="s">
        <v>108</v>
      </c>
      <c r="D1007" t="s">
        <v>54</v>
      </c>
      <c r="E1007" s="5" t="s">
        <v>109</v>
      </c>
      <c r="F1007" s="5" t="s">
        <v>109</v>
      </c>
      <c r="G1007" s="5">
        <v>0.18</v>
      </c>
      <c r="H1007" s="5">
        <v>0.16200000000000001</v>
      </c>
      <c r="I1007" s="5">
        <v>0.16500000000000001</v>
      </c>
      <c r="J1007" s="5">
        <v>0.17499999999999999</v>
      </c>
      <c r="K1007" s="5">
        <v>0.17800000000000002</v>
      </c>
      <c r="L1007" s="5">
        <v>0.187</v>
      </c>
      <c r="M1007" s="5">
        <v>0.14899999999999999</v>
      </c>
      <c r="N1007" s="5">
        <v>8.900000000000001E-2</v>
      </c>
    </row>
    <row r="1008" spans="1:14" x14ac:dyDescent="0.25">
      <c r="A1008">
        <v>2014</v>
      </c>
      <c r="B1008">
        <v>274</v>
      </c>
      <c r="C1008" t="s">
        <v>108</v>
      </c>
      <c r="D1008" t="s">
        <v>35</v>
      </c>
      <c r="E1008" s="5" t="s">
        <v>109</v>
      </c>
      <c r="F1008" s="5">
        <v>0.21899999999999997</v>
      </c>
      <c r="G1008" s="5">
        <v>0.17499999999999999</v>
      </c>
      <c r="H1008" s="5">
        <v>0.14800000000000002</v>
      </c>
      <c r="I1008" s="5">
        <v>0.14599999999999999</v>
      </c>
      <c r="J1008" s="5">
        <v>0.155</v>
      </c>
      <c r="K1008" s="5">
        <v>0.14699999999999999</v>
      </c>
      <c r="L1008" s="5">
        <v>0.16600000000000001</v>
      </c>
      <c r="M1008" s="5">
        <v>0.14800000000000002</v>
      </c>
      <c r="N1008" s="5">
        <v>0.12</v>
      </c>
    </row>
    <row r="1009" spans="1:14" x14ac:dyDescent="0.25">
      <c r="A1009">
        <v>2014</v>
      </c>
      <c r="B1009">
        <v>274</v>
      </c>
      <c r="C1009" t="s">
        <v>108</v>
      </c>
      <c r="D1009" t="s">
        <v>37</v>
      </c>
      <c r="E1009" s="5" t="s">
        <v>109</v>
      </c>
      <c r="F1009" s="5">
        <v>0.23</v>
      </c>
      <c r="G1009" s="5">
        <v>0.22</v>
      </c>
      <c r="H1009" s="5">
        <v>0.18600000000000003</v>
      </c>
      <c r="I1009" s="5">
        <v>0.16899999999999998</v>
      </c>
      <c r="J1009" s="5">
        <v>0.16899999999999998</v>
      </c>
      <c r="K1009" s="5">
        <v>0.156</v>
      </c>
      <c r="L1009" s="5">
        <v>0.14000000000000001</v>
      </c>
      <c r="M1009" s="5">
        <v>0.156</v>
      </c>
      <c r="N1009" s="5">
        <v>0.158</v>
      </c>
    </row>
    <row r="1010" spans="1:14" x14ac:dyDescent="0.25">
      <c r="A1010">
        <v>2014</v>
      </c>
      <c r="B1010">
        <v>274</v>
      </c>
      <c r="C1010" t="s">
        <v>108</v>
      </c>
      <c r="D1010" t="s">
        <v>40</v>
      </c>
      <c r="E1010" s="5" t="s">
        <v>109</v>
      </c>
      <c r="F1010" s="5">
        <v>0.188</v>
      </c>
      <c r="G1010" s="5">
        <v>0.192</v>
      </c>
      <c r="H1010" s="5">
        <v>0.17100000000000001</v>
      </c>
      <c r="I1010" s="5">
        <v>0.16800000000000001</v>
      </c>
      <c r="J1010" s="5">
        <v>0.17699999999999999</v>
      </c>
      <c r="K1010" s="5">
        <v>0.157</v>
      </c>
      <c r="L1010" s="5">
        <v>0.14099999999999999</v>
      </c>
      <c r="M1010" s="5">
        <v>0.16899999999999998</v>
      </c>
      <c r="N1010" s="5">
        <v>0.154</v>
      </c>
    </row>
    <row r="1011" spans="1:14" x14ac:dyDescent="0.25">
      <c r="A1011">
        <v>2014</v>
      </c>
      <c r="B1011">
        <v>274</v>
      </c>
      <c r="C1011" t="s">
        <v>108</v>
      </c>
      <c r="D1011" t="s">
        <v>41</v>
      </c>
      <c r="E1011" s="5" t="s">
        <v>109</v>
      </c>
      <c r="F1011" s="5">
        <v>0.22600000000000001</v>
      </c>
      <c r="G1011" s="5">
        <v>0.23399999999999999</v>
      </c>
      <c r="H1011" s="5">
        <v>0.184</v>
      </c>
      <c r="I1011" s="5">
        <v>0.154</v>
      </c>
      <c r="J1011" s="5">
        <v>0.157</v>
      </c>
      <c r="K1011" s="5">
        <v>0.17899999999999999</v>
      </c>
      <c r="L1011" s="5">
        <v>0.16300000000000001</v>
      </c>
      <c r="M1011" s="5">
        <v>0.15</v>
      </c>
      <c r="N1011" s="5">
        <v>0.13500000000000001</v>
      </c>
    </row>
    <row r="1012" spans="1:14" x14ac:dyDescent="0.25">
      <c r="A1012">
        <v>2014</v>
      </c>
      <c r="B1012">
        <v>274</v>
      </c>
      <c r="C1012" t="s">
        <v>108</v>
      </c>
      <c r="D1012" t="s">
        <v>43</v>
      </c>
      <c r="E1012" s="5" t="s">
        <v>109</v>
      </c>
      <c r="F1012" s="5">
        <v>0.19800000000000001</v>
      </c>
      <c r="G1012" s="5">
        <v>0.153</v>
      </c>
      <c r="H1012" s="5">
        <v>0.14699999999999999</v>
      </c>
      <c r="I1012" s="5">
        <v>0.12300000000000001</v>
      </c>
      <c r="J1012" s="5">
        <v>0.107</v>
      </c>
      <c r="K1012" s="5">
        <v>0.10800000000000001</v>
      </c>
      <c r="L1012" s="5">
        <v>0.10800000000000001</v>
      </c>
      <c r="M1012" s="5">
        <v>0.128</v>
      </c>
      <c r="N1012" s="5">
        <v>0.115</v>
      </c>
    </row>
    <row r="1013" spans="1:14" x14ac:dyDescent="0.25">
      <c r="A1013">
        <v>2014</v>
      </c>
      <c r="B1013">
        <v>274</v>
      </c>
      <c r="C1013" t="s">
        <v>108</v>
      </c>
      <c r="D1013" t="s">
        <v>44</v>
      </c>
      <c r="E1013" s="5" t="s">
        <v>109</v>
      </c>
      <c r="F1013" s="5">
        <v>0.17199999999999999</v>
      </c>
      <c r="G1013" s="5">
        <v>0.11599999999999999</v>
      </c>
      <c r="H1013" s="5">
        <v>0.10400000000000001</v>
      </c>
      <c r="I1013" s="5">
        <v>9.0999999999999998E-2</v>
      </c>
      <c r="J1013" s="5">
        <v>8.6999999999999994E-2</v>
      </c>
      <c r="K1013" s="5">
        <v>8.6999999999999994E-2</v>
      </c>
      <c r="L1013" s="5">
        <v>9.8000000000000004E-2</v>
      </c>
      <c r="M1013" s="5">
        <v>0.127</v>
      </c>
      <c r="N1013" s="5">
        <v>0.11800000000000001</v>
      </c>
    </row>
    <row r="1014" spans="1:14" x14ac:dyDescent="0.25">
      <c r="A1014">
        <v>2014</v>
      </c>
      <c r="B1014">
        <v>274</v>
      </c>
      <c r="C1014" t="s">
        <v>108</v>
      </c>
      <c r="D1014" t="s">
        <v>38</v>
      </c>
      <c r="E1014" s="5" t="s">
        <v>109</v>
      </c>
      <c r="F1014" s="5">
        <v>0.21</v>
      </c>
      <c r="G1014" s="5">
        <v>0.20899999999999999</v>
      </c>
      <c r="H1014" s="5">
        <v>0.191</v>
      </c>
      <c r="I1014" s="5">
        <v>0.17100000000000001</v>
      </c>
      <c r="J1014" s="5">
        <v>0.155</v>
      </c>
      <c r="K1014" s="5">
        <v>0.13500000000000001</v>
      </c>
      <c r="L1014" s="5">
        <v>0.16899999999999998</v>
      </c>
      <c r="M1014" s="5">
        <v>0.14300000000000002</v>
      </c>
      <c r="N1014" s="5">
        <v>0.121</v>
      </c>
    </row>
    <row r="1015" spans="1:14" x14ac:dyDescent="0.25">
      <c r="A1015">
        <v>2014</v>
      </c>
      <c r="B1015">
        <v>274</v>
      </c>
      <c r="C1015" t="s">
        <v>108</v>
      </c>
      <c r="D1015" t="s">
        <v>85</v>
      </c>
      <c r="E1015" s="5">
        <v>0.20100000000000001</v>
      </c>
      <c r="F1015" s="5">
        <v>0.19399999999999998</v>
      </c>
      <c r="G1015" s="5">
        <v>0.222</v>
      </c>
      <c r="H1015" s="5">
        <v>0.223</v>
      </c>
      <c r="I1015" s="5">
        <v>0.2</v>
      </c>
      <c r="J1015" s="5">
        <v>0.17399999999999999</v>
      </c>
      <c r="K1015" s="5">
        <v>0.161</v>
      </c>
      <c r="L1015" s="5">
        <v>0.158</v>
      </c>
      <c r="M1015" s="5">
        <v>0.16</v>
      </c>
      <c r="N1015" s="5">
        <v>0.13800000000000001</v>
      </c>
    </row>
    <row r="1016" spans="1:14" x14ac:dyDescent="0.25">
      <c r="A1016">
        <v>2014</v>
      </c>
      <c r="B1016">
        <v>274</v>
      </c>
      <c r="C1016" t="s">
        <v>108</v>
      </c>
      <c r="D1016" t="s">
        <v>84</v>
      </c>
      <c r="E1016" s="5" t="s">
        <v>109</v>
      </c>
      <c r="F1016" s="5">
        <v>0.22</v>
      </c>
      <c r="G1016" s="5">
        <v>0.24100000000000002</v>
      </c>
      <c r="H1016" s="5">
        <v>0.21</v>
      </c>
      <c r="I1016" s="5">
        <v>0.21</v>
      </c>
      <c r="J1016" s="5">
        <v>0.20399999999999999</v>
      </c>
      <c r="K1016" s="5">
        <v>0.20699999999999999</v>
      </c>
      <c r="L1016" s="5">
        <v>0.151</v>
      </c>
      <c r="M1016" s="5">
        <v>0.14499999999999999</v>
      </c>
      <c r="N1016" s="5">
        <v>0.11900000000000001</v>
      </c>
    </row>
    <row r="1017" spans="1:14" x14ac:dyDescent="0.25">
      <c r="A1017">
        <v>2014</v>
      </c>
      <c r="B1017">
        <v>274</v>
      </c>
      <c r="C1017" t="s">
        <v>108</v>
      </c>
      <c r="D1017" t="s">
        <v>42</v>
      </c>
      <c r="E1017" s="5" t="s">
        <v>109</v>
      </c>
      <c r="F1017" s="5">
        <v>0.21899999999999997</v>
      </c>
      <c r="G1017" s="5">
        <v>0.20699999999999999</v>
      </c>
      <c r="H1017" s="5">
        <v>0.19899999999999998</v>
      </c>
      <c r="I1017" s="5">
        <v>0.20399999999999999</v>
      </c>
      <c r="J1017" s="5">
        <v>0.187</v>
      </c>
      <c r="K1017" s="5">
        <v>0.19</v>
      </c>
      <c r="L1017" s="5">
        <v>0.158</v>
      </c>
      <c r="M1017" s="5">
        <v>0.154</v>
      </c>
      <c r="N1017" s="5">
        <v>0.13100000000000001</v>
      </c>
    </row>
    <row r="1018" spans="1:14" x14ac:dyDescent="0.25">
      <c r="A1018">
        <v>2014</v>
      </c>
      <c r="B1018">
        <v>274</v>
      </c>
      <c r="C1018" t="s">
        <v>108</v>
      </c>
      <c r="D1018" t="s">
        <v>83</v>
      </c>
      <c r="E1018" s="5">
        <v>0.14899999999999999</v>
      </c>
      <c r="F1018" s="5">
        <v>0.125</v>
      </c>
      <c r="G1018" s="5">
        <v>0.156</v>
      </c>
      <c r="H1018" s="5">
        <v>0.17699999999999999</v>
      </c>
      <c r="I1018" s="5">
        <v>0.16399999999999998</v>
      </c>
      <c r="J1018" s="5">
        <v>0.14000000000000001</v>
      </c>
      <c r="K1018" s="5">
        <v>0.113</v>
      </c>
      <c r="L1018" s="5">
        <v>0.122</v>
      </c>
      <c r="M1018" s="5">
        <v>0.128</v>
      </c>
      <c r="N1018" s="5">
        <v>0.125</v>
      </c>
    </row>
    <row r="1019" spans="1:14" x14ac:dyDescent="0.25">
      <c r="A1019">
        <v>2014</v>
      </c>
      <c r="B1019">
        <v>274</v>
      </c>
      <c r="C1019" t="s">
        <v>108</v>
      </c>
      <c r="D1019" t="s">
        <v>82</v>
      </c>
      <c r="E1019" s="5">
        <v>0.17</v>
      </c>
      <c r="F1019" s="5">
        <v>0.13900000000000001</v>
      </c>
      <c r="G1019" s="5">
        <v>0.128</v>
      </c>
      <c r="H1019" s="5">
        <v>0.161</v>
      </c>
      <c r="I1019" s="5">
        <v>0.192</v>
      </c>
      <c r="J1019" s="5">
        <v>0.183</v>
      </c>
      <c r="K1019" s="5">
        <v>0.152</v>
      </c>
      <c r="L1019" s="5">
        <v>0.13</v>
      </c>
      <c r="M1019" s="5">
        <v>0.13699999999999998</v>
      </c>
      <c r="N1019" s="5">
        <v>0.11699999999999999</v>
      </c>
    </row>
    <row r="1020" spans="1:14" x14ac:dyDescent="0.25">
      <c r="A1020">
        <v>2014</v>
      </c>
      <c r="B1020">
        <v>274</v>
      </c>
      <c r="C1020" t="s">
        <v>108</v>
      </c>
      <c r="D1020" t="s">
        <v>72</v>
      </c>
      <c r="E1020" s="5" t="s">
        <v>109</v>
      </c>
      <c r="F1020" s="5">
        <v>0.215</v>
      </c>
      <c r="G1020" s="5">
        <v>0.16800000000000001</v>
      </c>
      <c r="H1020" s="5">
        <v>0.17</v>
      </c>
      <c r="I1020" s="5">
        <v>0.158</v>
      </c>
      <c r="J1020" s="5">
        <v>0.13100000000000001</v>
      </c>
      <c r="K1020" s="5">
        <v>0.13</v>
      </c>
      <c r="L1020" s="5">
        <v>0.16</v>
      </c>
      <c r="M1020" s="5">
        <v>0.156</v>
      </c>
      <c r="N1020" s="5">
        <v>0.13900000000000001</v>
      </c>
    </row>
    <row r="1021" spans="1:14" x14ac:dyDescent="0.25">
      <c r="A1021">
        <v>2014</v>
      </c>
      <c r="B1021">
        <v>274</v>
      </c>
      <c r="C1021" t="s">
        <v>108</v>
      </c>
      <c r="D1021" t="s">
        <v>39</v>
      </c>
      <c r="E1021" s="5" t="s">
        <v>109</v>
      </c>
      <c r="F1021" s="5">
        <v>0.18899999999999997</v>
      </c>
      <c r="G1021" s="5">
        <v>0.188</v>
      </c>
      <c r="H1021" s="5">
        <v>0.21100000000000002</v>
      </c>
      <c r="I1021" s="5">
        <v>0.19800000000000001</v>
      </c>
      <c r="J1021" s="5">
        <v>0.188</v>
      </c>
      <c r="K1021" s="5">
        <v>0.20199999999999999</v>
      </c>
      <c r="L1021" s="5">
        <v>0.188</v>
      </c>
      <c r="M1021" s="5">
        <v>0.152</v>
      </c>
      <c r="N1021" s="5">
        <v>0.14699999999999999</v>
      </c>
    </row>
    <row r="1022" spans="1:14" x14ac:dyDescent="0.25">
      <c r="A1022">
        <v>2014</v>
      </c>
      <c r="B1022">
        <v>274</v>
      </c>
      <c r="C1022" t="s">
        <v>108</v>
      </c>
      <c r="D1022" t="s">
        <v>86</v>
      </c>
      <c r="E1022" s="5" t="s">
        <v>109</v>
      </c>
      <c r="F1022" s="5">
        <v>0.17399999999999999</v>
      </c>
      <c r="G1022" s="5">
        <v>0.20899999999999999</v>
      </c>
      <c r="H1022" s="5">
        <v>0.192</v>
      </c>
      <c r="I1022" s="5">
        <v>0.17699999999999999</v>
      </c>
      <c r="J1022" s="5">
        <v>0.161</v>
      </c>
      <c r="K1022" s="5">
        <v>0.158</v>
      </c>
      <c r="L1022" s="5">
        <v>0.16800000000000001</v>
      </c>
      <c r="M1022" s="5">
        <v>0.16699999999999998</v>
      </c>
      <c r="N1022" s="5">
        <v>0.14300000000000002</v>
      </c>
    </row>
    <row r="1023" spans="1:14" x14ac:dyDescent="0.25">
      <c r="A1023">
        <v>2014</v>
      </c>
      <c r="B1023">
        <v>274</v>
      </c>
      <c r="C1023" t="s">
        <v>108</v>
      </c>
      <c r="D1023" t="s">
        <v>87</v>
      </c>
      <c r="E1023" s="5" t="s">
        <v>109</v>
      </c>
      <c r="F1023" s="5">
        <v>0.18</v>
      </c>
      <c r="G1023" s="5">
        <v>0.192</v>
      </c>
      <c r="H1023" s="5">
        <v>0.2</v>
      </c>
      <c r="I1023" s="5">
        <v>0.17300000000000001</v>
      </c>
      <c r="J1023" s="5">
        <v>0.17300000000000001</v>
      </c>
      <c r="K1023" s="5">
        <v>0.17300000000000001</v>
      </c>
      <c r="L1023" s="5">
        <v>0.15</v>
      </c>
      <c r="M1023" s="5">
        <v>0.14400000000000002</v>
      </c>
      <c r="N1023" s="5">
        <v>0.13600000000000001</v>
      </c>
    </row>
    <row r="1024" spans="1:14" x14ac:dyDescent="0.25">
      <c r="A1024">
        <v>2014</v>
      </c>
      <c r="B1024">
        <v>274</v>
      </c>
      <c r="C1024" t="s">
        <v>108</v>
      </c>
      <c r="D1024" t="s">
        <v>88</v>
      </c>
      <c r="E1024" s="5" t="s">
        <v>109</v>
      </c>
      <c r="F1024" s="5">
        <v>0.17600000000000002</v>
      </c>
      <c r="G1024" s="5">
        <v>0.16200000000000001</v>
      </c>
      <c r="H1024" s="5">
        <v>0.158</v>
      </c>
      <c r="I1024" s="5">
        <v>0.16399999999999998</v>
      </c>
      <c r="J1024" s="5">
        <v>0.158</v>
      </c>
      <c r="K1024" s="5">
        <v>0.155</v>
      </c>
      <c r="L1024" s="5">
        <v>0.13</v>
      </c>
      <c r="M1024" s="5">
        <v>0.14099999999999999</v>
      </c>
      <c r="N1024" s="5">
        <v>0.13100000000000001</v>
      </c>
    </row>
    <row r="1025" spans="1:14" x14ac:dyDescent="0.25">
      <c r="A1025">
        <v>2014</v>
      </c>
      <c r="B1025">
        <v>274</v>
      </c>
      <c r="C1025" t="s">
        <v>108</v>
      </c>
      <c r="D1025" t="s">
        <v>36</v>
      </c>
      <c r="E1025" s="5">
        <v>0.11900000000000001</v>
      </c>
      <c r="F1025" s="5">
        <v>0.11800000000000001</v>
      </c>
      <c r="G1025" s="5">
        <v>0.121</v>
      </c>
      <c r="H1025" s="5">
        <v>0.14800000000000002</v>
      </c>
      <c r="I1025" s="5">
        <v>0.156</v>
      </c>
      <c r="J1025" s="5">
        <v>0.14499999999999999</v>
      </c>
      <c r="K1025" s="5">
        <v>0.13900000000000001</v>
      </c>
      <c r="L1025" s="5">
        <v>0.13800000000000001</v>
      </c>
      <c r="M1025" s="5">
        <v>0.14400000000000002</v>
      </c>
      <c r="N1025" s="5">
        <v>0.14099999999999999</v>
      </c>
    </row>
    <row r="1026" spans="1:14" x14ac:dyDescent="0.25">
      <c r="A1026">
        <v>2014</v>
      </c>
      <c r="B1026">
        <v>274</v>
      </c>
      <c r="C1026" t="s">
        <v>108</v>
      </c>
      <c r="D1026" t="s">
        <v>94</v>
      </c>
      <c r="E1026" s="5" t="s">
        <v>109</v>
      </c>
      <c r="F1026" s="5">
        <v>0.153</v>
      </c>
      <c r="G1026" s="5">
        <v>0.13800000000000001</v>
      </c>
      <c r="H1026" s="5">
        <v>0.14899999999999999</v>
      </c>
      <c r="I1026" s="5">
        <v>0.14400000000000002</v>
      </c>
      <c r="J1026" s="5">
        <v>0.115</v>
      </c>
      <c r="K1026" s="5">
        <v>0.12</v>
      </c>
      <c r="L1026" s="5">
        <v>0.14300000000000002</v>
      </c>
      <c r="M1026" s="5">
        <v>0.13400000000000001</v>
      </c>
      <c r="N1026" s="5">
        <v>0.13200000000000001</v>
      </c>
    </row>
    <row r="1027" spans="1:14" x14ac:dyDescent="0.25">
      <c r="A1027">
        <v>2014</v>
      </c>
      <c r="B1027">
        <v>274</v>
      </c>
      <c r="C1027" t="s">
        <v>108</v>
      </c>
      <c r="D1027" t="s">
        <v>93</v>
      </c>
      <c r="E1027" s="5">
        <v>0.17100000000000001</v>
      </c>
      <c r="F1027" s="5">
        <v>0.154</v>
      </c>
      <c r="G1027" s="5">
        <v>0.13800000000000001</v>
      </c>
      <c r="H1027" s="5">
        <v>0.13699999999999998</v>
      </c>
      <c r="I1027" s="5">
        <v>0.11900000000000001</v>
      </c>
      <c r="J1027" s="5">
        <v>0.111</v>
      </c>
      <c r="K1027" s="5">
        <v>0.107</v>
      </c>
      <c r="L1027" s="5">
        <v>0.14000000000000001</v>
      </c>
      <c r="M1027" s="5">
        <v>0.14499999999999999</v>
      </c>
      <c r="N1027" s="5">
        <v>0.15</v>
      </c>
    </row>
    <row r="1028" spans="1:14" x14ac:dyDescent="0.25">
      <c r="A1028">
        <v>2014</v>
      </c>
      <c r="B1028">
        <v>274</v>
      </c>
      <c r="C1028" t="s">
        <v>108</v>
      </c>
      <c r="D1028" t="s">
        <v>92</v>
      </c>
      <c r="E1028" s="5" t="s">
        <v>109</v>
      </c>
      <c r="F1028" s="5">
        <v>0.156</v>
      </c>
      <c r="G1028" s="5">
        <v>0.14199999999999999</v>
      </c>
      <c r="H1028" s="5">
        <v>0.14499999999999999</v>
      </c>
      <c r="I1028" s="5">
        <v>0.14400000000000002</v>
      </c>
      <c r="J1028" s="5">
        <v>0.13600000000000001</v>
      </c>
      <c r="K1028" s="5">
        <v>0.13100000000000001</v>
      </c>
      <c r="L1028" s="5">
        <v>0.16</v>
      </c>
      <c r="M1028" s="5">
        <v>0.155</v>
      </c>
      <c r="N1028" s="5">
        <v>0.14599999999999999</v>
      </c>
    </row>
    <row r="1029" spans="1:14" x14ac:dyDescent="0.25">
      <c r="A1029">
        <v>2014</v>
      </c>
      <c r="B1029">
        <v>274</v>
      </c>
      <c r="C1029" t="s">
        <v>108</v>
      </c>
      <c r="D1029" t="s">
        <v>91</v>
      </c>
      <c r="E1029" s="5">
        <v>0.14899999999999999</v>
      </c>
      <c r="F1029" s="5">
        <v>0.17600000000000002</v>
      </c>
      <c r="G1029" s="5">
        <v>0.22800000000000001</v>
      </c>
      <c r="H1029" s="5">
        <v>0.21100000000000002</v>
      </c>
      <c r="I1029" s="5">
        <v>0.192</v>
      </c>
      <c r="J1029" s="5">
        <v>0.191</v>
      </c>
      <c r="K1029" s="5">
        <v>0.16699999999999998</v>
      </c>
      <c r="L1029" s="5">
        <v>0.17499999999999999</v>
      </c>
      <c r="M1029" s="5">
        <v>0.157</v>
      </c>
      <c r="N1029" s="5">
        <v>0.13800000000000001</v>
      </c>
    </row>
    <row r="1030" spans="1:14" x14ac:dyDescent="0.25">
      <c r="A1030">
        <v>2014</v>
      </c>
      <c r="B1030">
        <v>274</v>
      </c>
      <c r="C1030" t="s">
        <v>108</v>
      </c>
      <c r="D1030" t="s">
        <v>90</v>
      </c>
      <c r="E1030" s="5">
        <v>0.184</v>
      </c>
      <c r="F1030" s="5">
        <v>0.17800000000000002</v>
      </c>
      <c r="G1030" s="5">
        <v>0.151</v>
      </c>
      <c r="H1030" s="5">
        <v>0.156</v>
      </c>
      <c r="I1030" s="5">
        <v>0.16500000000000001</v>
      </c>
      <c r="J1030" s="5">
        <v>0.17300000000000001</v>
      </c>
      <c r="K1030" s="5">
        <v>0.18600000000000003</v>
      </c>
      <c r="L1030" s="5">
        <v>0.153</v>
      </c>
      <c r="M1030" s="5">
        <v>0.14000000000000001</v>
      </c>
      <c r="N1030" s="5">
        <v>0.126</v>
      </c>
    </row>
    <row r="1031" spans="1:14" x14ac:dyDescent="0.25">
      <c r="A1031">
        <v>2014</v>
      </c>
      <c r="B1031">
        <v>274</v>
      </c>
      <c r="C1031" t="s">
        <v>108</v>
      </c>
      <c r="D1031" t="s">
        <v>89</v>
      </c>
      <c r="E1031" s="5">
        <v>0.159</v>
      </c>
      <c r="F1031" s="5">
        <v>0.15</v>
      </c>
      <c r="G1031" s="5">
        <v>0.14699999999999999</v>
      </c>
      <c r="H1031" s="5">
        <v>0.157</v>
      </c>
      <c r="I1031" s="5">
        <v>0.17600000000000002</v>
      </c>
      <c r="J1031" s="5">
        <v>0.18</v>
      </c>
      <c r="K1031" s="5">
        <v>0.17600000000000002</v>
      </c>
      <c r="L1031" s="5">
        <v>0.154</v>
      </c>
      <c r="M1031" s="5">
        <v>0.14899999999999999</v>
      </c>
      <c r="N1031" s="5">
        <v>0.14099999999999999</v>
      </c>
    </row>
    <row r="1032" spans="1:14" x14ac:dyDescent="0.25">
      <c r="A1032">
        <v>2014</v>
      </c>
      <c r="B1032">
        <v>274</v>
      </c>
      <c r="C1032" t="s">
        <v>108</v>
      </c>
      <c r="D1032" t="s">
        <v>45</v>
      </c>
      <c r="E1032" s="5" t="s">
        <v>109</v>
      </c>
      <c r="F1032" s="5">
        <v>0.214</v>
      </c>
      <c r="G1032" s="5">
        <v>0.215</v>
      </c>
      <c r="H1032" s="5">
        <v>0.21600000000000003</v>
      </c>
      <c r="I1032" s="5">
        <v>0.19</v>
      </c>
      <c r="J1032" s="5">
        <v>0.16800000000000001</v>
      </c>
      <c r="K1032" s="5">
        <v>0.156</v>
      </c>
      <c r="L1032" s="5">
        <v>0.156</v>
      </c>
      <c r="M1032" s="5">
        <v>0.151</v>
      </c>
      <c r="N1032" s="5">
        <v>0.14000000000000001</v>
      </c>
    </row>
    <row r="1033" spans="1:14" x14ac:dyDescent="0.25">
      <c r="A1033">
        <v>2014</v>
      </c>
      <c r="B1033">
        <v>274</v>
      </c>
      <c r="C1033" t="s">
        <v>108</v>
      </c>
      <c r="D1033" t="s">
        <v>46</v>
      </c>
      <c r="E1033" s="5">
        <v>0.22399999999999998</v>
      </c>
      <c r="F1033" s="5">
        <v>0.221</v>
      </c>
      <c r="G1033" s="5">
        <v>0.20699999999999999</v>
      </c>
      <c r="H1033" s="5">
        <v>0.192</v>
      </c>
      <c r="I1033" s="5">
        <v>0.184</v>
      </c>
      <c r="J1033" s="5">
        <v>0.19</v>
      </c>
      <c r="K1033" s="5">
        <v>0.18600000000000003</v>
      </c>
      <c r="L1033" s="5">
        <v>0.18100000000000002</v>
      </c>
      <c r="M1033" s="5">
        <v>0.16399999999999998</v>
      </c>
      <c r="N1033" s="5">
        <v>0.14099999999999999</v>
      </c>
    </row>
    <row r="1034" spans="1:14" x14ac:dyDescent="0.25">
      <c r="A1034">
        <v>2014</v>
      </c>
      <c r="B1034">
        <v>274</v>
      </c>
      <c r="C1034" t="s">
        <v>108</v>
      </c>
      <c r="D1034" t="s">
        <v>47</v>
      </c>
      <c r="E1034" s="5">
        <v>0.19500000000000001</v>
      </c>
      <c r="F1034" s="5">
        <v>0.18100000000000002</v>
      </c>
      <c r="G1034" s="5">
        <v>0.17399999999999999</v>
      </c>
      <c r="H1034" s="5">
        <v>0.16</v>
      </c>
      <c r="I1034" s="5">
        <v>0.154</v>
      </c>
      <c r="J1034" s="5">
        <v>0.159</v>
      </c>
      <c r="K1034" s="5">
        <v>0.16</v>
      </c>
      <c r="L1034" s="5">
        <v>0.17499999999999999</v>
      </c>
      <c r="M1034" s="5">
        <v>0.16399999999999998</v>
      </c>
      <c r="N1034" s="5">
        <v>0.13500000000000001</v>
      </c>
    </row>
    <row r="1035" spans="1:14" x14ac:dyDescent="0.25">
      <c r="A1035">
        <v>2014</v>
      </c>
      <c r="B1035">
        <v>274</v>
      </c>
      <c r="C1035" t="s">
        <v>108</v>
      </c>
      <c r="D1035" t="s">
        <v>48</v>
      </c>
      <c r="E1035" s="5">
        <v>0.12300000000000001</v>
      </c>
      <c r="F1035" s="5">
        <v>0.11199999999999999</v>
      </c>
      <c r="G1035" s="5">
        <v>9.4E-2</v>
      </c>
      <c r="H1035" s="5">
        <v>8.5999999999999993E-2</v>
      </c>
      <c r="I1035" s="5">
        <v>7.2999999999999995E-2</v>
      </c>
      <c r="J1035" s="5">
        <v>8.3000000000000004E-2</v>
      </c>
      <c r="K1035" s="5">
        <v>9.3000000000000013E-2</v>
      </c>
      <c r="L1035" s="5">
        <v>0.14599999999999999</v>
      </c>
      <c r="M1035" s="5">
        <v>0.157</v>
      </c>
      <c r="N1035" s="5">
        <v>0.13500000000000001</v>
      </c>
    </row>
    <row r="1036" spans="1:14" x14ac:dyDescent="0.25">
      <c r="A1036">
        <v>2014</v>
      </c>
      <c r="B1036">
        <v>274</v>
      </c>
      <c r="C1036" t="s">
        <v>108</v>
      </c>
      <c r="D1036" t="s">
        <v>49</v>
      </c>
      <c r="E1036" s="5">
        <v>0.16699999999999998</v>
      </c>
      <c r="F1036" s="5">
        <v>0.191</v>
      </c>
      <c r="G1036" s="5">
        <v>0.192</v>
      </c>
      <c r="H1036" s="5">
        <v>0.17600000000000002</v>
      </c>
      <c r="I1036" s="5">
        <v>0.154</v>
      </c>
      <c r="J1036" s="5">
        <v>0.14599999999999999</v>
      </c>
      <c r="K1036" s="5">
        <v>0.13</v>
      </c>
      <c r="L1036" s="5">
        <v>0.14199999999999999</v>
      </c>
      <c r="M1036" s="5">
        <v>0.155</v>
      </c>
      <c r="N1036" s="5">
        <v>0.128</v>
      </c>
    </row>
    <row r="1037" spans="1:14" x14ac:dyDescent="0.25">
      <c r="A1037">
        <v>2014</v>
      </c>
      <c r="B1037">
        <v>274</v>
      </c>
      <c r="C1037" t="s">
        <v>108</v>
      </c>
      <c r="D1037" t="s">
        <v>50</v>
      </c>
      <c r="E1037" s="5">
        <v>0.17600000000000002</v>
      </c>
      <c r="F1037" s="5">
        <v>0.19</v>
      </c>
      <c r="G1037" s="5">
        <v>0.16300000000000001</v>
      </c>
      <c r="H1037" s="5">
        <v>0.13800000000000001</v>
      </c>
      <c r="I1037" s="5">
        <v>0.13100000000000001</v>
      </c>
      <c r="J1037" s="5">
        <v>0.13600000000000001</v>
      </c>
      <c r="K1037" s="5">
        <v>0.13400000000000001</v>
      </c>
      <c r="L1037" s="5">
        <v>0.13400000000000001</v>
      </c>
      <c r="M1037" s="5">
        <v>0.14199999999999999</v>
      </c>
      <c r="N1037" s="5">
        <v>0.13500000000000001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E9" sqref="E9"/>
    </sheetView>
  </sheetViews>
  <sheetFormatPr defaultRowHeight="15" x14ac:dyDescent="0.25"/>
  <cols>
    <col min="2" max="3" width="10.28515625" bestFit="1" customWidth="1"/>
  </cols>
  <sheetData>
    <row r="1" spans="1:6" x14ac:dyDescent="0.25">
      <c r="B1" t="s">
        <v>25</v>
      </c>
      <c r="C1" t="s">
        <v>26</v>
      </c>
    </row>
    <row r="2" spans="1:6" x14ac:dyDescent="0.25">
      <c r="A2" t="s">
        <v>1</v>
      </c>
      <c r="B2">
        <v>9939</v>
      </c>
      <c r="C2">
        <v>12621</v>
      </c>
      <c r="E2">
        <f>ABS((B2-$B$20)/B2*100)</f>
        <v>2.0952812154140252</v>
      </c>
      <c r="F2">
        <f>ABS((C2-$C$20)/C2*100)</f>
        <v>1.7224379121217708</v>
      </c>
    </row>
    <row r="3" spans="1:6" x14ac:dyDescent="0.25">
      <c r="A3" t="s">
        <v>2</v>
      </c>
      <c r="B3">
        <v>9893</v>
      </c>
      <c r="C3">
        <v>12940</v>
      </c>
      <c r="E3">
        <f t="shared" ref="E3:E19" si="0">ABS((B3-$B$20)/B3*100)</f>
        <v>1.6400485191549581</v>
      </c>
      <c r="F3">
        <f t="shared" ref="F3:F19" si="1">ABS((C3-$C$20)/C3*100)</f>
        <v>0.78524815387257585</v>
      </c>
    </row>
    <row r="4" spans="1:6" x14ac:dyDescent="0.25">
      <c r="A4" t="s">
        <v>5</v>
      </c>
      <c r="C4">
        <v>13163</v>
      </c>
      <c r="F4">
        <f t="shared" si="1"/>
        <v>2.4660876024546936</v>
      </c>
    </row>
    <row r="5" spans="1:6" x14ac:dyDescent="0.25">
      <c r="A5" t="s">
        <v>6</v>
      </c>
      <c r="B5">
        <v>9967</v>
      </c>
      <c r="C5">
        <v>12788</v>
      </c>
      <c r="E5">
        <f t="shared" si="0"/>
        <v>2.3703220628072641</v>
      </c>
      <c r="F5">
        <f t="shared" si="1"/>
        <v>0.3940326000069494</v>
      </c>
    </row>
    <row r="6" spans="1:6" x14ac:dyDescent="0.25">
      <c r="A6" t="s">
        <v>7</v>
      </c>
      <c r="B6">
        <v>9745</v>
      </c>
      <c r="C6">
        <v>12633</v>
      </c>
      <c r="E6">
        <f t="shared" si="0"/>
        <v>0.14622883530015393</v>
      </c>
      <c r="F6">
        <f t="shared" si="1"/>
        <v>1.6258124664678912</v>
      </c>
    </row>
    <row r="7" spans="1:6" x14ac:dyDescent="0.25">
      <c r="A7" t="s">
        <v>8</v>
      </c>
      <c r="B7">
        <v>10132</v>
      </c>
      <c r="C7">
        <v>12771</v>
      </c>
      <c r="E7">
        <f t="shared" si="0"/>
        <v>3.9602250296091595</v>
      </c>
      <c r="F7">
        <f t="shared" si="1"/>
        <v>0.52767119950582331</v>
      </c>
    </row>
    <row r="8" spans="1:6" x14ac:dyDescent="0.25">
      <c r="A8" t="s">
        <v>9</v>
      </c>
      <c r="B8">
        <v>9829</v>
      </c>
      <c r="C8">
        <v>12689</v>
      </c>
      <c r="E8">
        <f t="shared" si="0"/>
        <v>0.99959304100111912</v>
      </c>
      <c r="F8">
        <f t="shared" si="1"/>
        <v>1.1773101811717919</v>
      </c>
    </row>
    <row r="9" spans="1:6" x14ac:dyDescent="0.25">
      <c r="A9" t="s">
        <v>10</v>
      </c>
      <c r="B9">
        <v>10045</v>
      </c>
      <c r="C9">
        <v>12958</v>
      </c>
      <c r="E9">
        <f t="shared" si="0"/>
        <v>3.1284221005475366</v>
      </c>
      <c r="F9">
        <f t="shared" si="1"/>
        <v>0.92306768877227441</v>
      </c>
    </row>
    <row r="10" spans="1:6" x14ac:dyDescent="0.25">
      <c r="A10" t="s">
        <v>11</v>
      </c>
      <c r="B10">
        <v>9777</v>
      </c>
      <c r="C10">
        <v>12941</v>
      </c>
      <c r="E10">
        <f t="shared" si="0"/>
        <v>0.47304899253349703</v>
      </c>
      <c r="F10">
        <f t="shared" si="1"/>
        <v>0.79291485287930841</v>
      </c>
    </row>
    <row r="11" spans="1:6" x14ac:dyDescent="0.25">
      <c r="A11" t="s">
        <v>12</v>
      </c>
      <c r="B11">
        <v>10321</v>
      </c>
      <c r="C11">
        <v>13207</v>
      </c>
      <c r="E11">
        <f t="shared" si="0"/>
        <v>5.718922585020831</v>
      </c>
      <c r="F11">
        <f t="shared" si="1"/>
        <v>2.791028326729093</v>
      </c>
    </row>
    <row r="12" spans="1:6" x14ac:dyDescent="0.25">
      <c r="A12" t="s">
        <v>13</v>
      </c>
      <c r="B12">
        <v>9956</v>
      </c>
      <c r="C12">
        <v>12931</v>
      </c>
      <c r="E12">
        <f t="shared" si="0"/>
        <v>2.2624548011249499</v>
      </c>
      <c r="F12">
        <f t="shared" si="1"/>
        <v>0.7161945024446007</v>
      </c>
    </row>
    <row r="13" spans="1:6" x14ac:dyDescent="0.25">
      <c r="A13" t="s">
        <v>14</v>
      </c>
      <c r="B13">
        <v>10172</v>
      </c>
      <c r="C13">
        <v>12983</v>
      </c>
      <c r="E13">
        <f t="shared" si="0"/>
        <v>4.3378883208808494</v>
      </c>
      <c r="F13">
        <f t="shared" si="1"/>
        <v>1.1138497351237102</v>
      </c>
    </row>
    <row r="14" spans="1:6" x14ac:dyDescent="0.25">
      <c r="A14" t="s">
        <v>15</v>
      </c>
      <c r="B14">
        <v>10078</v>
      </c>
      <c r="C14">
        <v>12953</v>
      </c>
      <c r="E14">
        <f t="shared" si="0"/>
        <v>3.4456241317721772</v>
      </c>
      <c r="F14">
        <f t="shared" si="1"/>
        <v>0.88482290674833097</v>
      </c>
    </row>
    <row r="15" spans="1:6" x14ac:dyDescent="0.25">
      <c r="A15" t="s">
        <v>16</v>
      </c>
      <c r="C15">
        <v>12106</v>
      </c>
      <c r="F15">
        <f t="shared" si="1"/>
        <v>6.0498008333792228</v>
      </c>
    </row>
    <row r="16" spans="1:6" x14ac:dyDescent="0.25">
      <c r="A16" t="s">
        <v>20</v>
      </c>
      <c r="B16">
        <v>9758</v>
      </c>
      <c r="C16">
        <v>12847</v>
      </c>
      <c r="E16">
        <f t="shared" si="0"/>
        <v>0.27925804468128718</v>
      </c>
      <c r="F16">
        <f t="shared" si="1"/>
        <v>6.7028186433496631E-2</v>
      </c>
    </row>
    <row r="17" spans="1:6" x14ac:dyDescent="0.25">
      <c r="A17" t="s">
        <v>21</v>
      </c>
      <c r="B17" s="3">
        <v>6336</v>
      </c>
      <c r="C17">
        <v>12949</v>
      </c>
      <c r="E17">
        <f t="shared" si="0"/>
        <v>53.578756313131315</v>
      </c>
      <c r="F17">
        <f t="shared" si="1"/>
        <v>0.85420581597892742</v>
      </c>
    </row>
    <row r="18" spans="1:6" x14ac:dyDescent="0.25">
      <c r="A18" t="s">
        <v>22</v>
      </c>
      <c r="B18">
        <v>9999</v>
      </c>
      <c r="C18">
        <v>12978</v>
      </c>
      <c r="E18">
        <f t="shared" si="0"/>
        <v>2.6827682768276828</v>
      </c>
      <c r="F18">
        <f t="shared" si="1"/>
        <v>1.0757521275320643</v>
      </c>
    </row>
    <row r="19" spans="1:6" x14ac:dyDescent="0.25">
      <c r="A19" t="s">
        <v>23</v>
      </c>
      <c r="B19">
        <v>9745</v>
      </c>
      <c r="C19">
        <v>12633</v>
      </c>
      <c r="E19">
        <f t="shared" si="0"/>
        <v>0.14622883530015393</v>
      </c>
      <c r="F19">
        <f t="shared" si="1"/>
        <v>1.6258124664678912</v>
      </c>
    </row>
    <row r="20" spans="1:6" x14ac:dyDescent="0.25">
      <c r="B20">
        <f>AVERAGE(B2:B19)</f>
        <v>9730.75</v>
      </c>
      <c r="C20">
        <f>AVERAGE(C2:C19)</f>
        <v>12838.388888888889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3"/>
  <sheetViews>
    <sheetView topLeftCell="Q1" workbookViewId="0">
      <selection activeCell="U42" sqref="U42:AE53"/>
    </sheetView>
  </sheetViews>
  <sheetFormatPr defaultRowHeight="15" x14ac:dyDescent="0.25"/>
  <sheetData>
    <row r="1" spans="1:8" x14ac:dyDescent="0.25">
      <c r="A1">
        <v>23</v>
      </c>
      <c r="B1" t="s">
        <v>3</v>
      </c>
      <c r="C1">
        <v>6114</v>
      </c>
      <c r="D1" t="s">
        <v>4</v>
      </c>
      <c r="E1">
        <v>9939</v>
      </c>
      <c r="F1">
        <v>0</v>
      </c>
      <c r="G1">
        <v>10</v>
      </c>
      <c r="H1">
        <v>1624</v>
      </c>
    </row>
    <row r="2" spans="1:8" x14ac:dyDescent="0.25">
      <c r="A2">
        <v>22</v>
      </c>
      <c r="B2">
        <v>0</v>
      </c>
      <c r="C2">
        <v>13</v>
      </c>
      <c r="D2">
        <v>12</v>
      </c>
      <c r="E2">
        <v>3</v>
      </c>
      <c r="F2">
        <v>22.469000000000001</v>
      </c>
      <c r="G2">
        <v>-5.875</v>
      </c>
      <c r="H2">
        <v>1371</v>
      </c>
    </row>
    <row r="3" spans="1:8" x14ac:dyDescent="0.25">
      <c r="A3">
        <v>21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1238</v>
      </c>
    </row>
    <row r="4" spans="1:8" x14ac:dyDescent="0.25">
      <c r="A4">
        <v>20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1325</v>
      </c>
    </row>
    <row r="5" spans="1:8" x14ac:dyDescent="0.25">
      <c r="A5">
        <v>19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1337</v>
      </c>
    </row>
    <row r="6" spans="1:8" x14ac:dyDescent="0.25">
      <c r="A6">
        <v>18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1505</v>
      </c>
    </row>
    <row r="7" spans="1:8" x14ac:dyDescent="0.25">
      <c r="A7">
        <v>17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1505</v>
      </c>
    </row>
    <row r="8" spans="1:8" x14ac:dyDescent="0.25">
      <c r="A8">
        <v>16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1505</v>
      </c>
    </row>
    <row r="9" spans="1:8" x14ac:dyDescent="0.25">
      <c r="A9">
        <v>15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1505</v>
      </c>
    </row>
    <row r="10" spans="1:8" x14ac:dyDescent="0.25">
      <c r="A10">
        <v>14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1505</v>
      </c>
    </row>
    <row r="11" spans="1:8" x14ac:dyDescent="0.25">
      <c r="A11">
        <v>13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1505</v>
      </c>
    </row>
    <row r="12" spans="1:8" x14ac:dyDescent="0.25">
      <c r="A12">
        <v>12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1544</v>
      </c>
    </row>
    <row r="13" spans="1:8" x14ac:dyDescent="0.25">
      <c r="A13">
        <v>11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1544</v>
      </c>
    </row>
    <row r="14" spans="1:8" x14ac:dyDescent="0.25">
      <c r="A14">
        <v>10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1544</v>
      </c>
    </row>
    <row r="15" spans="1:8" x14ac:dyDescent="0.25">
      <c r="A15">
        <v>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1505</v>
      </c>
    </row>
    <row r="16" spans="1:8" x14ac:dyDescent="0.25">
      <c r="A16">
        <v>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1505</v>
      </c>
    </row>
    <row r="17" spans="1:31" x14ac:dyDescent="0.25">
      <c r="A17">
        <v>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1505</v>
      </c>
      <c r="T17" t="s">
        <v>0</v>
      </c>
      <c r="U17" t="s">
        <v>28</v>
      </c>
      <c r="V17">
        <v>190</v>
      </c>
      <c r="W17">
        <v>170</v>
      </c>
      <c r="X17">
        <v>150</v>
      </c>
      <c r="Y17">
        <v>130</v>
      </c>
      <c r="Z17">
        <v>110</v>
      </c>
      <c r="AA17">
        <v>90</v>
      </c>
      <c r="AB17">
        <v>70</v>
      </c>
      <c r="AC17">
        <v>50</v>
      </c>
      <c r="AD17">
        <v>30</v>
      </c>
      <c r="AE17">
        <v>10</v>
      </c>
    </row>
    <row r="18" spans="1:31" x14ac:dyDescent="0.25">
      <c r="A18">
        <v>6</v>
      </c>
      <c r="B18">
        <v>455</v>
      </c>
      <c r="C18">
        <v>13</v>
      </c>
      <c r="D18">
        <v>0</v>
      </c>
      <c r="E18">
        <v>14</v>
      </c>
      <c r="F18">
        <v>5</v>
      </c>
      <c r="G18">
        <v>27</v>
      </c>
      <c r="H18">
        <v>6</v>
      </c>
      <c r="I18">
        <v>56</v>
      </c>
      <c r="J18">
        <v>20.7</v>
      </c>
      <c r="K18">
        <v>17.5</v>
      </c>
      <c r="L18">
        <v>23</v>
      </c>
      <c r="M18">
        <v>23.6</v>
      </c>
      <c r="N18">
        <v>26.8</v>
      </c>
      <c r="O18">
        <v>27.6</v>
      </c>
      <c r="P18">
        <v>27.6</v>
      </c>
      <c r="Q18">
        <v>27.9</v>
      </c>
      <c r="R18">
        <v>23.8</v>
      </c>
      <c r="S18">
        <v>9.1</v>
      </c>
      <c r="T18">
        <f>C18</f>
        <v>13</v>
      </c>
      <c r="U18" t="s">
        <v>29</v>
      </c>
      <c r="V18">
        <f>IF(J18&lt;0,"",J18/100)</f>
        <v>0.20699999999999999</v>
      </c>
      <c r="W18">
        <f t="shared" ref="W18:AE18" si="0">IF(K18&lt;0,"",K18/100)</f>
        <v>0.17499999999999999</v>
      </c>
      <c r="X18">
        <f t="shared" si="0"/>
        <v>0.23</v>
      </c>
      <c r="Y18">
        <f t="shared" si="0"/>
        <v>0.23600000000000002</v>
      </c>
      <c r="Z18">
        <f t="shared" si="0"/>
        <v>0.26800000000000002</v>
      </c>
      <c r="AA18">
        <f t="shared" si="0"/>
        <v>0.27600000000000002</v>
      </c>
      <c r="AB18">
        <f t="shared" si="0"/>
        <v>0.27600000000000002</v>
      </c>
      <c r="AC18">
        <f t="shared" si="0"/>
        <v>0.27899999999999997</v>
      </c>
      <c r="AD18">
        <f t="shared" si="0"/>
        <v>0.23800000000000002</v>
      </c>
      <c r="AE18">
        <f t="shared" si="0"/>
        <v>9.0999999999999998E-2</v>
      </c>
    </row>
    <row r="19" spans="1:31" x14ac:dyDescent="0.25">
      <c r="A19">
        <v>5</v>
      </c>
      <c r="B19">
        <v>454</v>
      </c>
      <c r="C19">
        <v>14</v>
      </c>
      <c r="D19">
        <v>0</v>
      </c>
      <c r="E19">
        <v>14</v>
      </c>
      <c r="F19">
        <v>5</v>
      </c>
      <c r="G19">
        <v>27</v>
      </c>
      <c r="H19">
        <v>7</v>
      </c>
      <c r="I19">
        <v>1</v>
      </c>
      <c r="J19">
        <v>-5.9</v>
      </c>
      <c r="K19">
        <v>-5.9</v>
      </c>
      <c r="L19">
        <v>-5.9</v>
      </c>
      <c r="M19">
        <v>27.6</v>
      </c>
      <c r="N19">
        <v>25.7</v>
      </c>
      <c r="O19">
        <v>24.9</v>
      </c>
      <c r="P19">
        <v>25.6</v>
      </c>
      <c r="Q19">
        <v>30.2</v>
      </c>
      <c r="R19">
        <v>23.9</v>
      </c>
      <c r="S19">
        <v>21.6</v>
      </c>
      <c r="T19">
        <f t="shared" ref="T19:T23" si="1">C19</f>
        <v>14</v>
      </c>
      <c r="U19" t="s">
        <v>30</v>
      </c>
      <c r="V19" t="str">
        <f t="shared" ref="V19:V23" si="2">IF(J19&lt;0,"",J19/100)</f>
        <v/>
      </c>
      <c r="W19" t="str">
        <f t="shared" ref="W19:W23" si="3">IF(K19&lt;0,"",K19/100)</f>
        <v/>
      </c>
      <c r="X19" t="str">
        <f t="shared" ref="X19:X23" si="4">IF(L19&lt;0,"",L19/100)</f>
        <v/>
      </c>
      <c r="Y19">
        <f t="shared" ref="Y19:Y23" si="5">IF(M19&lt;0,"",M19/100)</f>
        <v>0.27600000000000002</v>
      </c>
      <c r="Z19">
        <f t="shared" ref="Z19:Z23" si="6">IF(N19&lt;0,"",N19/100)</f>
        <v>0.25700000000000001</v>
      </c>
      <c r="AA19">
        <f t="shared" ref="AA19:AA23" si="7">IF(O19&lt;0,"",O19/100)</f>
        <v>0.249</v>
      </c>
      <c r="AB19">
        <f t="shared" ref="AB19:AB23" si="8">IF(P19&lt;0,"",P19/100)</f>
        <v>0.25600000000000001</v>
      </c>
      <c r="AC19">
        <f t="shared" ref="AC19:AC23" si="9">IF(Q19&lt;0,"",Q19/100)</f>
        <v>0.30199999999999999</v>
      </c>
      <c r="AD19">
        <f t="shared" ref="AD19:AD23" si="10">IF(R19&lt;0,"",R19/100)</f>
        <v>0.23899999999999999</v>
      </c>
      <c r="AE19">
        <f t="shared" ref="AE19:AE23" si="11">IF(S19&lt;0,"",S19/100)</f>
        <v>0.21600000000000003</v>
      </c>
    </row>
    <row r="20" spans="1:31" x14ac:dyDescent="0.25">
      <c r="A20">
        <v>4</v>
      </c>
      <c r="B20">
        <v>453</v>
      </c>
      <c r="C20">
        <v>15</v>
      </c>
      <c r="D20">
        <v>0</v>
      </c>
      <c r="E20">
        <v>14</v>
      </c>
      <c r="F20">
        <v>5</v>
      </c>
      <c r="G20">
        <v>27</v>
      </c>
      <c r="H20">
        <v>7</v>
      </c>
      <c r="I20">
        <v>4</v>
      </c>
      <c r="J20">
        <v>17</v>
      </c>
      <c r="K20">
        <v>16.899999999999999</v>
      </c>
      <c r="L20">
        <v>17.5</v>
      </c>
      <c r="M20">
        <v>20.100000000000001</v>
      </c>
      <c r="N20">
        <v>26</v>
      </c>
      <c r="O20">
        <v>26.4</v>
      </c>
      <c r="P20">
        <v>26.3</v>
      </c>
      <c r="Q20">
        <v>23.5</v>
      </c>
      <c r="R20">
        <v>22.9</v>
      </c>
      <c r="S20">
        <v>12</v>
      </c>
      <c r="T20">
        <f t="shared" si="1"/>
        <v>15</v>
      </c>
      <c r="U20" t="s">
        <v>31</v>
      </c>
      <c r="V20">
        <f t="shared" si="2"/>
        <v>0.17</v>
      </c>
      <c r="W20">
        <f t="shared" si="3"/>
        <v>0.16899999999999998</v>
      </c>
      <c r="X20">
        <f t="shared" si="4"/>
        <v>0.17499999999999999</v>
      </c>
      <c r="Y20">
        <f t="shared" si="5"/>
        <v>0.20100000000000001</v>
      </c>
      <c r="Z20">
        <f t="shared" si="6"/>
        <v>0.26</v>
      </c>
      <c r="AA20">
        <f t="shared" si="7"/>
        <v>0.26400000000000001</v>
      </c>
      <c r="AB20">
        <f t="shared" si="8"/>
        <v>0.26300000000000001</v>
      </c>
      <c r="AC20">
        <f t="shared" si="9"/>
        <v>0.23499999999999999</v>
      </c>
      <c r="AD20">
        <f t="shared" si="10"/>
        <v>0.22899999999999998</v>
      </c>
      <c r="AE20">
        <f t="shared" si="11"/>
        <v>0.12</v>
      </c>
    </row>
    <row r="21" spans="1:31" x14ac:dyDescent="0.25">
      <c r="A21">
        <v>3</v>
      </c>
      <c r="B21">
        <v>452</v>
      </c>
      <c r="C21">
        <v>16</v>
      </c>
      <c r="D21">
        <v>0</v>
      </c>
      <c r="E21">
        <v>14</v>
      </c>
      <c r="F21">
        <v>5</v>
      </c>
      <c r="G21">
        <v>27</v>
      </c>
      <c r="H21">
        <v>7</v>
      </c>
      <c r="I21">
        <v>0</v>
      </c>
      <c r="J21">
        <v>-5.9</v>
      </c>
      <c r="K21">
        <v>-5.9</v>
      </c>
      <c r="L21">
        <v>23.4</v>
      </c>
      <c r="M21">
        <v>21.3</v>
      </c>
      <c r="N21">
        <v>22.3</v>
      </c>
      <c r="O21">
        <v>20.399999999999999</v>
      </c>
      <c r="P21">
        <v>18.899999999999999</v>
      </c>
      <c r="Q21">
        <v>20.3</v>
      </c>
      <c r="R21">
        <v>23.8</v>
      </c>
      <c r="S21">
        <v>9.5</v>
      </c>
      <c r="T21">
        <f t="shared" si="1"/>
        <v>16</v>
      </c>
      <c r="U21" t="s">
        <v>32</v>
      </c>
      <c r="V21" t="str">
        <f t="shared" si="2"/>
        <v/>
      </c>
      <c r="W21" t="str">
        <f t="shared" si="3"/>
        <v/>
      </c>
      <c r="X21">
        <f t="shared" si="4"/>
        <v>0.23399999999999999</v>
      </c>
      <c r="Y21">
        <f t="shared" si="5"/>
        <v>0.21299999999999999</v>
      </c>
      <c r="Z21">
        <f t="shared" si="6"/>
        <v>0.223</v>
      </c>
      <c r="AA21">
        <f t="shared" si="7"/>
        <v>0.20399999999999999</v>
      </c>
      <c r="AB21">
        <f t="shared" si="8"/>
        <v>0.18899999999999997</v>
      </c>
      <c r="AC21">
        <f t="shared" si="9"/>
        <v>0.20300000000000001</v>
      </c>
      <c r="AD21">
        <f t="shared" si="10"/>
        <v>0.23800000000000002</v>
      </c>
      <c r="AE21">
        <f t="shared" si="11"/>
        <v>9.5000000000000001E-2</v>
      </c>
    </row>
    <row r="22" spans="1:31" x14ac:dyDescent="0.25">
      <c r="A22">
        <v>2</v>
      </c>
      <c r="B22">
        <v>451</v>
      </c>
      <c r="C22">
        <v>17</v>
      </c>
      <c r="D22">
        <v>0</v>
      </c>
      <c r="E22">
        <v>14</v>
      </c>
      <c r="F22">
        <v>5</v>
      </c>
      <c r="G22">
        <v>27</v>
      </c>
      <c r="H22">
        <v>7</v>
      </c>
      <c r="I22">
        <v>11</v>
      </c>
      <c r="J22" s="1">
        <v>-5.9</v>
      </c>
      <c r="K22" s="1">
        <v>19.8</v>
      </c>
      <c r="L22" s="1">
        <v>19.7</v>
      </c>
      <c r="M22" s="1">
        <v>20.399999999999999</v>
      </c>
      <c r="N22" s="1">
        <v>24.3</v>
      </c>
      <c r="O22" s="1">
        <v>26.9</v>
      </c>
      <c r="P22" s="1">
        <v>29.2</v>
      </c>
      <c r="Q22" s="1">
        <v>25.2</v>
      </c>
      <c r="R22" s="1">
        <v>23.5</v>
      </c>
      <c r="S22" s="1">
        <v>12.4</v>
      </c>
      <c r="T22">
        <f t="shared" si="1"/>
        <v>17</v>
      </c>
      <c r="U22" t="s">
        <v>33</v>
      </c>
      <c r="V22" t="str">
        <f t="shared" si="2"/>
        <v/>
      </c>
      <c r="W22">
        <f t="shared" si="3"/>
        <v>0.19800000000000001</v>
      </c>
      <c r="X22">
        <f t="shared" si="4"/>
        <v>0.19699999999999998</v>
      </c>
      <c r="Y22">
        <f t="shared" si="5"/>
        <v>0.20399999999999999</v>
      </c>
      <c r="Z22">
        <f t="shared" si="6"/>
        <v>0.24299999999999999</v>
      </c>
      <c r="AA22">
        <f t="shared" si="7"/>
        <v>0.26899999999999996</v>
      </c>
      <c r="AB22">
        <f t="shared" si="8"/>
        <v>0.29199999999999998</v>
      </c>
      <c r="AC22">
        <f t="shared" si="9"/>
        <v>0.252</v>
      </c>
      <c r="AD22">
        <f t="shared" si="10"/>
        <v>0.23499999999999999</v>
      </c>
      <c r="AE22">
        <f t="shared" si="11"/>
        <v>0.124</v>
      </c>
    </row>
    <row r="23" spans="1:31" x14ac:dyDescent="0.25">
      <c r="A23">
        <v>1</v>
      </c>
      <c r="B23">
        <v>450</v>
      </c>
      <c r="C23">
        <v>18</v>
      </c>
      <c r="D23">
        <v>0</v>
      </c>
      <c r="E23">
        <v>14</v>
      </c>
      <c r="F23">
        <v>5</v>
      </c>
      <c r="G23">
        <v>27</v>
      </c>
      <c r="H23">
        <v>7</v>
      </c>
      <c r="I23">
        <v>23</v>
      </c>
      <c r="J23">
        <v>-5.9</v>
      </c>
      <c r="K23">
        <v>23.8</v>
      </c>
      <c r="L23">
        <v>25.1</v>
      </c>
      <c r="M23">
        <v>27.6</v>
      </c>
      <c r="N23">
        <v>24.4</v>
      </c>
      <c r="O23">
        <v>25.8</v>
      </c>
      <c r="P23">
        <v>24.6</v>
      </c>
      <c r="Q23">
        <v>23.2</v>
      </c>
      <c r="R23">
        <v>20.5</v>
      </c>
      <c r="S23">
        <v>8.1999999999999993</v>
      </c>
      <c r="T23">
        <f t="shared" si="1"/>
        <v>18</v>
      </c>
      <c r="U23" t="s">
        <v>34</v>
      </c>
      <c r="V23" t="str">
        <f t="shared" si="2"/>
        <v/>
      </c>
      <c r="W23">
        <f t="shared" si="3"/>
        <v>0.23800000000000002</v>
      </c>
      <c r="X23">
        <f t="shared" si="4"/>
        <v>0.251</v>
      </c>
      <c r="Y23">
        <f t="shared" si="5"/>
        <v>0.27600000000000002</v>
      </c>
      <c r="Z23">
        <f t="shared" si="6"/>
        <v>0.24399999999999999</v>
      </c>
      <c r="AA23">
        <f t="shared" si="7"/>
        <v>0.25800000000000001</v>
      </c>
      <c r="AB23">
        <f t="shared" si="8"/>
        <v>0.24600000000000002</v>
      </c>
      <c r="AC23">
        <f t="shared" si="9"/>
        <v>0.23199999999999998</v>
      </c>
      <c r="AD23">
        <f t="shared" si="10"/>
        <v>0.20499999999999999</v>
      </c>
      <c r="AE23">
        <f t="shared" si="11"/>
        <v>8.199999999999999E-2</v>
      </c>
    </row>
    <row r="25" spans="1:31" x14ac:dyDescent="0.25">
      <c r="A25">
        <v>29</v>
      </c>
      <c r="B25" t="s">
        <v>3</v>
      </c>
      <c r="C25">
        <v>6116</v>
      </c>
      <c r="D25" t="s">
        <v>4</v>
      </c>
      <c r="E25">
        <v>12621</v>
      </c>
      <c r="F25">
        <v>0</v>
      </c>
      <c r="G25">
        <v>10</v>
      </c>
      <c r="H25">
        <v>1662</v>
      </c>
    </row>
    <row r="26" spans="1:31" x14ac:dyDescent="0.25">
      <c r="A26">
        <v>28</v>
      </c>
      <c r="B26">
        <v>0</v>
      </c>
      <c r="C26">
        <v>11</v>
      </c>
      <c r="D26">
        <v>8</v>
      </c>
      <c r="E26">
        <v>25</v>
      </c>
      <c r="F26">
        <v>21.641999999999999</v>
      </c>
      <c r="G26">
        <v>-4.968</v>
      </c>
      <c r="H26">
        <v>1378</v>
      </c>
    </row>
    <row r="27" spans="1:31" x14ac:dyDescent="0.25">
      <c r="A27">
        <v>27</v>
      </c>
      <c r="B27">
        <v>1</v>
      </c>
      <c r="C27">
        <v>95</v>
      </c>
      <c r="D27">
        <v>36280</v>
      </c>
      <c r="E27">
        <v>72</v>
      </c>
      <c r="F27">
        <v>0</v>
      </c>
      <c r="G27">
        <v>0</v>
      </c>
      <c r="H27">
        <v>1502</v>
      </c>
    </row>
    <row r="28" spans="1:31" x14ac:dyDescent="0.25">
      <c r="A28">
        <v>26</v>
      </c>
      <c r="B28">
        <v>2</v>
      </c>
      <c r="C28">
        <v>95</v>
      </c>
      <c r="D28">
        <v>36280</v>
      </c>
      <c r="E28">
        <v>72</v>
      </c>
      <c r="F28">
        <v>0</v>
      </c>
      <c r="G28">
        <v>0</v>
      </c>
      <c r="H28">
        <v>1502</v>
      </c>
    </row>
    <row r="29" spans="1:31" x14ac:dyDescent="0.25">
      <c r="A29">
        <v>25</v>
      </c>
      <c r="B29">
        <v>3</v>
      </c>
      <c r="C29">
        <v>95</v>
      </c>
      <c r="D29">
        <v>36280</v>
      </c>
      <c r="E29">
        <v>72</v>
      </c>
      <c r="F29">
        <v>0</v>
      </c>
      <c r="G29">
        <v>0</v>
      </c>
      <c r="H29">
        <v>1502</v>
      </c>
    </row>
    <row r="30" spans="1:31" x14ac:dyDescent="0.25">
      <c r="A30">
        <v>24</v>
      </c>
      <c r="B30">
        <v>4</v>
      </c>
      <c r="C30">
        <v>95</v>
      </c>
      <c r="D30">
        <v>36280</v>
      </c>
      <c r="E30">
        <v>72</v>
      </c>
      <c r="F30">
        <v>0</v>
      </c>
      <c r="G30">
        <v>0</v>
      </c>
      <c r="H30">
        <v>1502</v>
      </c>
    </row>
    <row r="31" spans="1:31" x14ac:dyDescent="0.25">
      <c r="A31">
        <v>23</v>
      </c>
      <c r="B31">
        <v>5</v>
      </c>
      <c r="C31">
        <v>95</v>
      </c>
      <c r="D31">
        <v>36280</v>
      </c>
      <c r="E31">
        <v>72</v>
      </c>
      <c r="F31">
        <v>0</v>
      </c>
      <c r="G31">
        <v>0</v>
      </c>
      <c r="H31">
        <v>1502</v>
      </c>
    </row>
    <row r="32" spans="1:31" x14ac:dyDescent="0.25">
      <c r="A32">
        <v>22</v>
      </c>
      <c r="B32">
        <v>6</v>
      </c>
      <c r="C32">
        <v>95</v>
      </c>
      <c r="D32">
        <v>36280</v>
      </c>
      <c r="E32">
        <v>72</v>
      </c>
      <c r="F32">
        <v>0</v>
      </c>
      <c r="G32">
        <v>0</v>
      </c>
      <c r="H32">
        <v>1502</v>
      </c>
    </row>
    <row r="33" spans="1:31" x14ac:dyDescent="0.25">
      <c r="A33">
        <v>21</v>
      </c>
      <c r="B33">
        <v>7</v>
      </c>
      <c r="C33">
        <v>95</v>
      </c>
      <c r="D33">
        <v>36280</v>
      </c>
      <c r="E33">
        <v>72</v>
      </c>
      <c r="F33">
        <v>0</v>
      </c>
      <c r="G33">
        <v>0</v>
      </c>
      <c r="H33">
        <v>1502</v>
      </c>
    </row>
    <row r="34" spans="1:31" x14ac:dyDescent="0.25">
      <c r="A34">
        <v>20</v>
      </c>
      <c r="B34">
        <v>8</v>
      </c>
      <c r="C34">
        <v>95</v>
      </c>
      <c r="D34">
        <v>36280</v>
      </c>
      <c r="E34">
        <v>72</v>
      </c>
      <c r="F34">
        <v>0</v>
      </c>
      <c r="G34">
        <v>0</v>
      </c>
      <c r="H34">
        <v>1502</v>
      </c>
    </row>
    <row r="35" spans="1:31" x14ac:dyDescent="0.25">
      <c r="A35">
        <v>19</v>
      </c>
      <c r="B35">
        <v>9</v>
      </c>
      <c r="C35">
        <v>95</v>
      </c>
      <c r="D35">
        <v>36280</v>
      </c>
      <c r="E35">
        <v>72</v>
      </c>
      <c r="F35">
        <v>0</v>
      </c>
      <c r="G35">
        <v>0</v>
      </c>
      <c r="H35">
        <v>1511</v>
      </c>
    </row>
    <row r="36" spans="1:31" x14ac:dyDescent="0.25">
      <c r="A36">
        <v>18</v>
      </c>
      <c r="B36">
        <v>10</v>
      </c>
      <c r="C36">
        <v>95</v>
      </c>
      <c r="D36">
        <v>36280</v>
      </c>
      <c r="E36">
        <v>72</v>
      </c>
      <c r="F36">
        <v>0</v>
      </c>
      <c r="G36">
        <v>0</v>
      </c>
      <c r="H36">
        <v>1550</v>
      </c>
    </row>
    <row r="37" spans="1:31" x14ac:dyDescent="0.25">
      <c r="A37">
        <v>17</v>
      </c>
      <c r="B37">
        <v>11</v>
      </c>
      <c r="C37">
        <v>95</v>
      </c>
      <c r="D37">
        <v>36280</v>
      </c>
      <c r="E37">
        <v>72</v>
      </c>
      <c r="F37">
        <v>0</v>
      </c>
      <c r="G37">
        <v>0</v>
      </c>
      <c r="H37">
        <v>1550</v>
      </c>
    </row>
    <row r="38" spans="1:31" x14ac:dyDescent="0.25">
      <c r="A38">
        <v>16</v>
      </c>
      <c r="B38">
        <v>12</v>
      </c>
      <c r="C38">
        <v>95</v>
      </c>
      <c r="D38">
        <v>36280</v>
      </c>
      <c r="E38">
        <v>72</v>
      </c>
      <c r="F38">
        <v>0</v>
      </c>
      <c r="G38">
        <v>0</v>
      </c>
      <c r="H38">
        <v>1550</v>
      </c>
    </row>
    <row r="39" spans="1:31" x14ac:dyDescent="0.25">
      <c r="A39">
        <v>15</v>
      </c>
      <c r="B39">
        <v>13</v>
      </c>
      <c r="C39">
        <v>95</v>
      </c>
      <c r="D39">
        <v>36280</v>
      </c>
      <c r="E39">
        <v>72</v>
      </c>
      <c r="F39">
        <v>0</v>
      </c>
      <c r="G39">
        <v>0</v>
      </c>
      <c r="H39">
        <v>1550</v>
      </c>
    </row>
    <row r="40" spans="1:31" x14ac:dyDescent="0.25">
      <c r="A40">
        <v>14</v>
      </c>
      <c r="B40">
        <v>14</v>
      </c>
      <c r="C40">
        <v>95</v>
      </c>
      <c r="D40">
        <v>36280</v>
      </c>
      <c r="E40">
        <v>72</v>
      </c>
      <c r="F40">
        <v>0</v>
      </c>
      <c r="G40">
        <v>0</v>
      </c>
      <c r="H40">
        <v>1550</v>
      </c>
    </row>
    <row r="41" spans="1:31" x14ac:dyDescent="0.25">
      <c r="A41">
        <v>13</v>
      </c>
      <c r="B41">
        <v>15</v>
      </c>
      <c r="C41">
        <v>95</v>
      </c>
      <c r="D41">
        <v>36280</v>
      </c>
      <c r="E41">
        <v>72</v>
      </c>
      <c r="F41">
        <v>0</v>
      </c>
      <c r="G41">
        <v>0</v>
      </c>
      <c r="H41">
        <v>1550</v>
      </c>
      <c r="T41" t="s">
        <v>0</v>
      </c>
      <c r="U41" t="s">
        <v>28</v>
      </c>
      <c r="V41">
        <v>190</v>
      </c>
      <c r="W41">
        <v>170</v>
      </c>
      <c r="X41">
        <v>150</v>
      </c>
      <c r="Y41">
        <v>130</v>
      </c>
      <c r="Z41">
        <v>110</v>
      </c>
      <c r="AA41">
        <v>90</v>
      </c>
      <c r="AB41">
        <v>70</v>
      </c>
      <c r="AC41">
        <v>50</v>
      </c>
      <c r="AD41">
        <v>30</v>
      </c>
      <c r="AE41">
        <v>10</v>
      </c>
    </row>
    <row r="42" spans="1:31" x14ac:dyDescent="0.25">
      <c r="A42">
        <v>12</v>
      </c>
      <c r="B42">
        <v>455</v>
      </c>
      <c r="C42">
        <v>37</v>
      </c>
      <c r="D42">
        <v>0</v>
      </c>
      <c r="E42">
        <v>14</v>
      </c>
      <c r="F42">
        <v>5</v>
      </c>
      <c r="G42">
        <v>27</v>
      </c>
      <c r="H42">
        <v>7</v>
      </c>
      <c r="I42">
        <v>43</v>
      </c>
      <c r="J42">
        <v>-5</v>
      </c>
      <c r="K42">
        <v>24.1</v>
      </c>
      <c r="L42">
        <v>22</v>
      </c>
      <c r="M42">
        <v>19.399999999999999</v>
      </c>
      <c r="N42">
        <v>16.7</v>
      </c>
      <c r="O42">
        <v>16.899999999999999</v>
      </c>
      <c r="P42">
        <v>16.899999999999999</v>
      </c>
      <c r="Q42">
        <v>22.1</v>
      </c>
      <c r="R42">
        <v>22.4</v>
      </c>
      <c r="S42">
        <v>11.1</v>
      </c>
      <c r="T42">
        <f>C42</f>
        <v>37</v>
      </c>
      <c r="U42" t="s">
        <v>35</v>
      </c>
      <c r="V42" t="str">
        <f>IF(J42&lt;0,"",J42/100)</f>
        <v/>
      </c>
      <c r="W42">
        <f t="shared" ref="W42:W47" si="12">IF(K42&lt;0,"",K42/100)</f>
        <v>0.24100000000000002</v>
      </c>
      <c r="X42">
        <f t="shared" ref="X42:X47" si="13">IF(L42&lt;0,"",L42/100)</f>
        <v>0.22</v>
      </c>
      <c r="Y42">
        <f t="shared" ref="Y42:Y47" si="14">IF(M42&lt;0,"",M42/100)</f>
        <v>0.19399999999999998</v>
      </c>
      <c r="Z42">
        <f t="shared" ref="Z42:Z47" si="15">IF(N42&lt;0,"",N42/100)</f>
        <v>0.16699999999999998</v>
      </c>
      <c r="AA42">
        <f t="shared" ref="AA42:AA47" si="16">IF(O42&lt;0,"",O42/100)</f>
        <v>0.16899999999999998</v>
      </c>
      <c r="AB42">
        <f t="shared" ref="AB42:AB47" si="17">IF(P42&lt;0,"",P42/100)</f>
        <v>0.16899999999999998</v>
      </c>
      <c r="AC42">
        <f t="shared" ref="AC42:AC47" si="18">IF(Q42&lt;0,"",Q42/100)</f>
        <v>0.221</v>
      </c>
      <c r="AD42">
        <f t="shared" ref="AD42:AD47" si="19">IF(R42&lt;0,"",R42/100)</f>
        <v>0.22399999999999998</v>
      </c>
      <c r="AE42">
        <f t="shared" ref="AE42:AE47" si="20">IF(S42&lt;0,"",S42/100)</f>
        <v>0.111</v>
      </c>
    </row>
    <row r="43" spans="1:31" x14ac:dyDescent="0.25">
      <c r="A43">
        <v>11</v>
      </c>
      <c r="B43">
        <v>454</v>
      </c>
      <c r="C43">
        <v>38</v>
      </c>
      <c r="D43">
        <v>0</v>
      </c>
      <c r="E43">
        <v>14</v>
      </c>
      <c r="F43">
        <v>5</v>
      </c>
      <c r="G43">
        <v>27</v>
      </c>
      <c r="H43">
        <v>7</v>
      </c>
      <c r="I43">
        <v>47</v>
      </c>
      <c r="J43">
        <v>-5</v>
      </c>
      <c r="K43">
        <v>25.1</v>
      </c>
      <c r="L43">
        <v>25.2</v>
      </c>
      <c r="M43">
        <v>24.8</v>
      </c>
      <c r="N43">
        <v>24.2</v>
      </c>
      <c r="O43">
        <v>25.3</v>
      </c>
      <c r="P43">
        <v>22.5</v>
      </c>
      <c r="Q43">
        <v>20.5</v>
      </c>
      <c r="R43">
        <v>23</v>
      </c>
      <c r="S43">
        <v>13.1</v>
      </c>
      <c r="T43">
        <f t="shared" ref="T43:T53" si="21">C43</f>
        <v>38</v>
      </c>
      <c r="U43" t="s">
        <v>37</v>
      </c>
      <c r="V43" t="str">
        <f t="shared" ref="V43:V47" si="22">IF(J43&lt;0,"",J43/100)</f>
        <v/>
      </c>
      <c r="W43">
        <f t="shared" si="12"/>
        <v>0.251</v>
      </c>
      <c r="X43">
        <f t="shared" si="13"/>
        <v>0.252</v>
      </c>
      <c r="Y43">
        <f t="shared" si="14"/>
        <v>0.248</v>
      </c>
      <c r="Z43">
        <f t="shared" si="15"/>
        <v>0.24199999999999999</v>
      </c>
      <c r="AA43">
        <f t="shared" si="16"/>
        <v>0.253</v>
      </c>
      <c r="AB43">
        <f t="shared" si="17"/>
        <v>0.22500000000000001</v>
      </c>
      <c r="AC43">
        <f t="shared" si="18"/>
        <v>0.20499999999999999</v>
      </c>
      <c r="AD43">
        <f t="shared" si="19"/>
        <v>0.23</v>
      </c>
      <c r="AE43">
        <f t="shared" si="20"/>
        <v>0.13100000000000001</v>
      </c>
    </row>
    <row r="44" spans="1:31" x14ac:dyDescent="0.25">
      <c r="A44">
        <v>10</v>
      </c>
      <c r="B44">
        <v>453</v>
      </c>
      <c r="C44">
        <v>39</v>
      </c>
      <c r="D44">
        <v>0</v>
      </c>
      <c r="E44">
        <v>14</v>
      </c>
      <c r="F44">
        <v>5</v>
      </c>
      <c r="G44">
        <v>27</v>
      </c>
      <c r="H44">
        <v>7</v>
      </c>
      <c r="I44">
        <v>51</v>
      </c>
      <c r="J44">
        <v>-5</v>
      </c>
      <c r="K44">
        <v>-5</v>
      </c>
      <c r="L44">
        <v>-5</v>
      </c>
      <c r="M44">
        <v>22.9</v>
      </c>
      <c r="N44">
        <v>22.5</v>
      </c>
      <c r="O44">
        <v>20.7</v>
      </c>
      <c r="P44">
        <v>18.5</v>
      </c>
      <c r="Q44">
        <v>18.8</v>
      </c>
      <c r="R44">
        <v>23.3</v>
      </c>
      <c r="S44">
        <v>10.199999999999999</v>
      </c>
      <c r="T44">
        <f t="shared" si="21"/>
        <v>39</v>
      </c>
      <c r="U44" t="s">
        <v>40</v>
      </c>
      <c r="V44" t="str">
        <f t="shared" si="22"/>
        <v/>
      </c>
      <c r="W44" t="str">
        <f t="shared" si="12"/>
        <v/>
      </c>
      <c r="X44" t="str">
        <f t="shared" si="13"/>
        <v/>
      </c>
      <c r="Y44">
        <f t="shared" si="14"/>
        <v>0.22899999999999998</v>
      </c>
      <c r="Z44">
        <f t="shared" si="15"/>
        <v>0.22500000000000001</v>
      </c>
      <c r="AA44">
        <f t="shared" si="16"/>
        <v>0.20699999999999999</v>
      </c>
      <c r="AB44">
        <f t="shared" si="17"/>
        <v>0.185</v>
      </c>
      <c r="AC44">
        <f t="shared" si="18"/>
        <v>0.188</v>
      </c>
      <c r="AD44">
        <f t="shared" si="19"/>
        <v>0.23300000000000001</v>
      </c>
      <c r="AE44">
        <f t="shared" si="20"/>
        <v>0.10199999999999999</v>
      </c>
    </row>
    <row r="45" spans="1:31" x14ac:dyDescent="0.25">
      <c r="A45">
        <v>9</v>
      </c>
      <c r="B45">
        <v>452</v>
      </c>
      <c r="C45">
        <v>40</v>
      </c>
      <c r="D45">
        <v>0</v>
      </c>
      <c r="E45">
        <v>14</v>
      </c>
      <c r="F45">
        <v>5</v>
      </c>
      <c r="G45">
        <v>27</v>
      </c>
      <c r="H45">
        <v>7</v>
      </c>
      <c r="I45">
        <v>56</v>
      </c>
      <c r="J45">
        <v>-5</v>
      </c>
      <c r="K45">
        <v>26.2</v>
      </c>
      <c r="L45">
        <v>25.2</v>
      </c>
      <c r="M45">
        <v>20.8</v>
      </c>
      <c r="N45">
        <v>20.2</v>
      </c>
      <c r="O45">
        <v>21.9</v>
      </c>
      <c r="P45">
        <v>24.7</v>
      </c>
      <c r="Q45">
        <v>22.9</v>
      </c>
      <c r="R45">
        <v>20.8</v>
      </c>
      <c r="S45">
        <v>12.1</v>
      </c>
      <c r="T45">
        <f t="shared" si="21"/>
        <v>40</v>
      </c>
      <c r="U45" t="s">
        <v>41</v>
      </c>
      <c r="V45" t="str">
        <f t="shared" si="22"/>
        <v/>
      </c>
      <c r="W45">
        <f t="shared" si="12"/>
        <v>0.26200000000000001</v>
      </c>
      <c r="X45">
        <f t="shared" si="13"/>
        <v>0.252</v>
      </c>
      <c r="Y45">
        <f t="shared" si="14"/>
        <v>0.20800000000000002</v>
      </c>
      <c r="Z45">
        <f t="shared" si="15"/>
        <v>0.20199999999999999</v>
      </c>
      <c r="AA45">
        <f t="shared" si="16"/>
        <v>0.21899999999999997</v>
      </c>
      <c r="AB45">
        <f t="shared" si="17"/>
        <v>0.247</v>
      </c>
      <c r="AC45">
        <f t="shared" si="18"/>
        <v>0.22899999999999998</v>
      </c>
      <c r="AD45">
        <f t="shared" si="19"/>
        <v>0.20800000000000002</v>
      </c>
      <c r="AE45">
        <f t="shared" si="20"/>
        <v>0.121</v>
      </c>
    </row>
    <row r="46" spans="1:31" x14ac:dyDescent="0.25">
      <c r="A46">
        <v>8</v>
      </c>
      <c r="B46">
        <v>451</v>
      </c>
      <c r="C46">
        <v>41</v>
      </c>
      <c r="D46">
        <v>0</v>
      </c>
      <c r="E46">
        <v>14</v>
      </c>
      <c r="F46">
        <v>5</v>
      </c>
      <c r="G46">
        <v>27</v>
      </c>
      <c r="H46">
        <v>8</v>
      </c>
      <c r="I46">
        <v>0</v>
      </c>
      <c r="J46">
        <v>-5</v>
      </c>
      <c r="K46">
        <v>23.6</v>
      </c>
      <c r="L46">
        <v>18.600000000000001</v>
      </c>
      <c r="M46">
        <v>18.600000000000001</v>
      </c>
      <c r="N46">
        <v>17.3</v>
      </c>
      <c r="O46">
        <v>17.2</v>
      </c>
      <c r="P46">
        <v>16.2</v>
      </c>
      <c r="Q46">
        <v>16.600000000000001</v>
      </c>
      <c r="R46">
        <v>20</v>
      </c>
      <c r="S46">
        <v>11</v>
      </c>
      <c r="T46">
        <f t="shared" si="21"/>
        <v>41</v>
      </c>
      <c r="U46" t="s">
        <v>43</v>
      </c>
      <c r="V46" t="str">
        <f t="shared" si="22"/>
        <v/>
      </c>
      <c r="W46">
        <f t="shared" si="12"/>
        <v>0.23600000000000002</v>
      </c>
      <c r="X46">
        <f t="shared" si="13"/>
        <v>0.18600000000000003</v>
      </c>
      <c r="Y46">
        <f t="shared" si="14"/>
        <v>0.18600000000000003</v>
      </c>
      <c r="Z46">
        <f t="shared" si="15"/>
        <v>0.17300000000000001</v>
      </c>
      <c r="AA46">
        <f t="shared" si="16"/>
        <v>0.17199999999999999</v>
      </c>
      <c r="AB46">
        <f t="shared" si="17"/>
        <v>0.16200000000000001</v>
      </c>
      <c r="AC46">
        <f t="shared" si="18"/>
        <v>0.16600000000000001</v>
      </c>
      <c r="AD46">
        <f t="shared" si="19"/>
        <v>0.2</v>
      </c>
      <c r="AE46">
        <f t="shared" si="20"/>
        <v>0.11</v>
      </c>
    </row>
    <row r="47" spans="1:31" x14ac:dyDescent="0.25">
      <c r="A47">
        <v>7</v>
      </c>
      <c r="B47">
        <v>450</v>
      </c>
      <c r="C47">
        <v>42</v>
      </c>
      <c r="D47">
        <v>0</v>
      </c>
      <c r="E47">
        <v>14</v>
      </c>
      <c r="F47">
        <v>5</v>
      </c>
      <c r="G47">
        <v>27</v>
      </c>
      <c r="H47">
        <v>8</v>
      </c>
      <c r="I47">
        <v>4</v>
      </c>
      <c r="J47">
        <v>-5</v>
      </c>
      <c r="K47">
        <v>20.3</v>
      </c>
      <c r="L47">
        <v>18.100000000000001</v>
      </c>
      <c r="M47">
        <v>16.5</v>
      </c>
      <c r="N47">
        <v>14.7</v>
      </c>
      <c r="O47">
        <v>13.6</v>
      </c>
      <c r="P47">
        <v>13.6</v>
      </c>
      <c r="Q47">
        <v>14.6</v>
      </c>
      <c r="R47">
        <v>19.100000000000001</v>
      </c>
      <c r="S47">
        <v>10.5</v>
      </c>
      <c r="T47">
        <f t="shared" si="21"/>
        <v>42</v>
      </c>
      <c r="U47" t="s">
        <v>44</v>
      </c>
      <c r="V47" t="str">
        <f t="shared" si="22"/>
        <v/>
      </c>
      <c r="W47">
        <f t="shared" si="12"/>
        <v>0.20300000000000001</v>
      </c>
      <c r="X47">
        <f t="shared" si="13"/>
        <v>0.18100000000000002</v>
      </c>
      <c r="Y47">
        <f t="shared" si="14"/>
        <v>0.16500000000000001</v>
      </c>
      <c r="Z47">
        <f t="shared" si="15"/>
        <v>0.14699999999999999</v>
      </c>
      <c r="AA47">
        <f t="shared" si="16"/>
        <v>0.13600000000000001</v>
      </c>
      <c r="AB47">
        <f t="shared" si="17"/>
        <v>0.13600000000000001</v>
      </c>
      <c r="AC47">
        <f t="shared" si="18"/>
        <v>0.14599999999999999</v>
      </c>
      <c r="AD47">
        <f t="shared" si="19"/>
        <v>0.191</v>
      </c>
      <c r="AE47">
        <f t="shared" si="20"/>
        <v>0.105</v>
      </c>
    </row>
    <row r="48" spans="1:31" x14ac:dyDescent="0.25">
      <c r="A48">
        <v>6</v>
      </c>
      <c r="B48">
        <v>449</v>
      </c>
      <c r="C48">
        <v>61</v>
      </c>
      <c r="D48">
        <v>0</v>
      </c>
      <c r="E48">
        <v>14</v>
      </c>
      <c r="F48">
        <v>5</v>
      </c>
      <c r="G48">
        <v>27</v>
      </c>
      <c r="H48">
        <v>9</v>
      </c>
      <c r="I48">
        <v>50</v>
      </c>
      <c r="J48">
        <v>-5</v>
      </c>
      <c r="K48">
        <v>23.9</v>
      </c>
      <c r="L48">
        <v>23.3</v>
      </c>
      <c r="M48">
        <v>24.6</v>
      </c>
      <c r="N48">
        <v>22.9</v>
      </c>
      <c r="O48">
        <v>18.5</v>
      </c>
      <c r="P48">
        <v>17.5</v>
      </c>
      <c r="Q48">
        <v>19</v>
      </c>
      <c r="R48">
        <v>22.5</v>
      </c>
      <c r="S48">
        <v>9.8000000000000007</v>
      </c>
      <c r="T48">
        <f>C48</f>
        <v>61</v>
      </c>
      <c r="U48" t="s">
        <v>45</v>
      </c>
      <c r="V48" t="str">
        <f t="shared" ref="V48:V53" si="23">IF(J48&lt;0,"",J48/100)</f>
        <v/>
      </c>
      <c r="W48">
        <f t="shared" ref="W48:W53" si="24">IF(K48&lt;0,"",K48/100)</f>
        <v>0.23899999999999999</v>
      </c>
      <c r="X48">
        <f t="shared" ref="X48:X53" si="25">IF(L48&lt;0,"",L48/100)</f>
        <v>0.23300000000000001</v>
      </c>
      <c r="Y48">
        <f t="shared" ref="Y48:Y53" si="26">IF(M48&lt;0,"",M48/100)</f>
        <v>0.24600000000000002</v>
      </c>
      <c r="Z48">
        <f t="shared" ref="Z48:Z53" si="27">IF(N48&lt;0,"",N48/100)</f>
        <v>0.22899999999999998</v>
      </c>
      <c r="AA48">
        <f t="shared" ref="AA48:AA53" si="28">IF(O48&lt;0,"",O48/100)</f>
        <v>0.185</v>
      </c>
      <c r="AB48">
        <f t="shared" ref="AB48:AB53" si="29">IF(P48&lt;0,"",P48/100)</f>
        <v>0.17499999999999999</v>
      </c>
      <c r="AC48">
        <f t="shared" ref="AC48:AC53" si="30">IF(Q48&lt;0,"",Q48/100)</f>
        <v>0.19</v>
      </c>
      <c r="AD48">
        <f t="shared" ref="AD48:AD53" si="31">IF(R48&lt;0,"",R48/100)</f>
        <v>0.22500000000000001</v>
      </c>
      <c r="AE48">
        <f t="shared" ref="AE48:AE53" si="32">IF(S48&lt;0,"",S48/100)</f>
        <v>9.8000000000000004E-2</v>
      </c>
    </row>
    <row r="49" spans="1:31" x14ac:dyDescent="0.25">
      <c r="A49">
        <v>5</v>
      </c>
      <c r="B49">
        <v>448</v>
      </c>
      <c r="C49">
        <v>62</v>
      </c>
      <c r="D49">
        <v>0</v>
      </c>
      <c r="E49">
        <v>14</v>
      </c>
      <c r="F49">
        <v>5</v>
      </c>
      <c r="G49">
        <v>27</v>
      </c>
      <c r="H49">
        <v>10</v>
      </c>
      <c r="I49">
        <v>3</v>
      </c>
      <c r="J49">
        <v>-5</v>
      </c>
      <c r="K49">
        <v>-5</v>
      </c>
      <c r="L49">
        <v>25.3</v>
      </c>
      <c r="M49">
        <v>25.8</v>
      </c>
      <c r="N49">
        <v>24.7</v>
      </c>
      <c r="O49">
        <v>22.9</v>
      </c>
      <c r="P49">
        <v>24.2</v>
      </c>
      <c r="Q49">
        <v>24.3</v>
      </c>
      <c r="R49">
        <v>23.1</v>
      </c>
      <c r="S49">
        <v>10.3</v>
      </c>
      <c r="T49">
        <f t="shared" si="21"/>
        <v>62</v>
      </c>
      <c r="U49" t="s">
        <v>46</v>
      </c>
      <c r="V49" t="str">
        <f t="shared" si="23"/>
        <v/>
      </c>
      <c r="W49" t="str">
        <f t="shared" si="24"/>
        <v/>
      </c>
      <c r="X49">
        <f t="shared" si="25"/>
        <v>0.253</v>
      </c>
      <c r="Y49">
        <f t="shared" si="26"/>
        <v>0.25800000000000001</v>
      </c>
      <c r="Z49">
        <f t="shared" si="27"/>
        <v>0.247</v>
      </c>
      <c r="AA49">
        <f t="shared" si="28"/>
        <v>0.22899999999999998</v>
      </c>
      <c r="AB49">
        <f t="shared" si="29"/>
        <v>0.24199999999999999</v>
      </c>
      <c r="AC49">
        <f t="shared" si="30"/>
        <v>0.24299999999999999</v>
      </c>
      <c r="AD49">
        <f t="shared" si="31"/>
        <v>0.23100000000000001</v>
      </c>
      <c r="AE49">
        <f t="shared" si="32"/>
        <v>0.10300000000000001</v>
      </c>
    </row>
    <row r="50" spans="1:31" x14ac:dyDescent="0.25">
      <c r="A50">
        <v>4</v>
      </c>
      <c r="B50">
        <v>447</v>
      </c>
      <c r="C50">
        <v>63</v>
      </c>
      <c r="D50">
        <v>0</v>
      </c>
      <c r="E50">
        <v>14</v>
      </c>
      <c r="F50">
        <v>5</v>
      </c>
      <c r="G50">
        <v>27</v>
      </c>
      <c r="H50">
        <v>10</v>
      </c>
      <c r="I50">
        <v>7</v>
      </c>
      <c r="J50">
        <v>-5</v>
      </c>
      <c r="K50">
        <v>-5</v>
      </c>
      <c r="L50">
        <v>22.7</v>
      </c>
      <c r="M50">
        <v>22.8</v>
      </c>
      <c r="N50">
        <v>21.3</v>
      </c>
      <c r="O50">
        <v>20.399999999999999</v>
      </c>
      <c r="P50">
        <v>18.399999999999999</v>
      </c>
      <c r="Q50">
        <v>24.3</v>
      </c>
      <c r="R50">
        <v>23.3</v>
      </c>
      <c r="S50">
        <v>13.1</v>
      </c>
      <c r="T50">
        <f t="shared" si="21"/>
        <v>63</v>
      </c>
      <c r="U50" t="s">
        <v>47</v>
      </c>
      <c r="V50" t="str">
        <f t="shared" si="23"/>
        <v/>
      </c>
      <c r="W50" t="str">
        <f t="shared" si="24"/>
        <v/>
      </c>
      <c r="X50">
        <f t="shared" si="25"/>
        <v>0.22699999999999998</v>
      </c>
      <c r="Y50">
        <f t="shared" si="26"/>
        <v>0.22800000000000001</v>
      </c>
      <c r="Z50">
        <f t="shared" si="27"/>
        <v>0.21299999999999999</v>
      </c>
      <c r="AA50">
        <f t="shared" si="28"/>
        <v>0.20399999999999999</v>
      </c>
      <c r="AB50">
        <f t="shared" si="29"/>
        <v>0.184</v>
      </c>
      <c r="AC50">
        <f t="shared" si="30"/>
        <v>0.24299999999999999</v>
      </c>
      <c r="AD50">
        <f t="shared" si="31"/>
        <v>0.23300000000000001</v>
      </c>
      <c r="AE50">
        <f t="shared" si="32"/>
        <v>0.13100000000000001</v>
      </c>
    </row>
    <row r="51" spans="1:31" x14ac:dyDescent="0.25">
      <c r="A51">
        <v>3</v>
      </c>
      <c r="B51">
        <v>446</v>
      </c>
      <c r="C51">
        <v>64</v>
      </c>
      <c r="D51">
        <v>0</v>
      </c>
      <c r="E51">
        <v>14</v>
      </c>
      <c r="F51">
        <v>5</v>
      </c>
      <c r="G51">
        <v>27</v>
      </c>
      <c r="H51">
        <v>10</v>
      </c>
      <c r="I51">
        <v>16</v>
      </c>
      <c r="J51">
        <v>-5</v>
      </c>
      <c r="K51">
        <v>15.4</v>
      </c>
      <c r="L51">
        <v>13.1</v>
      </c>
      <c r="M51">
        <v>12.7</v>
      </c>
      <c r="N51">
        <v>11.4</v>
      </c>
      <c r="O51">
        <v>11.5</v>
      </c>
      <c r="P51">
        <v>13.4</v>
      </c>
      <c r="Q51">
        <v>19.8</v>
      </c>
      <c r="R51">
        <v>22.4</v>
      </c>
      <c r="S51">
        <v>11.5</v>
      </c>
      <c r="T51">
        <f t="shared" si="21"/>
        <v>64</v>
      </c>
      <c r="U51" t="s">
        <v>48</v>
      </c>
      <c r="V51" t="str">
        <f t="shared" si="23"/>
        <v/>
      </c>
      <c r="W51">
        <f t="shared" si="24"/>
        <v>0.154</v>
      </c>
      <c r="X51">
        <f t="shared" si="25"/>
        <v>0.13100000000000001</v>
      </c>
      <c r="Y51">
        <f t="shared" si="26"/>
        <v>0.127</v>
      </c>
      <c r="Z51">
        <f t="shared" si="27"/>
        <v>0.114</v>
      </c>
      <c r="AA51">
        <f t="shared" si="28"/>
        <v>0.115</v>
      </c>
      <c r="AB51">
        <f t="shared" si="29"/>
        <v>0.13400000000000001</v>
      </c>
      <c r="AC51">
        <f t="shared" si="30"/>
        <v>0.19800000000000001</v>
      </c>
      <c r="AD51">
        <f t="shared" si="31"/>
        <v>0.22399999999999998</v>
      </c>
      <c r="AE51">
        <f t="shared" si="32"/>
        <v>0.115</v>
      </c>
    </row>
    <row r="52" spans="1:31" x14ac:dyDescent="0.25">
      <c r="A52">
        <v>2</v>
      </c>
      <c r="B52">
        <v>445</v>
      </c>
      <c r="C52">
        <v>65</v>
      </c>
      <c r="D52">
        <v>0</v>
      </c>
      <c r="E52">
        <v>14</v>
      </c>
      <c r="F52">
        <v>5</v>
      </c>
      <c r="G52">
        <v>27</v>
      </c>
      <c r="H52">
        <v>10</v>
      </c>
      <c r="I52">
        <v>21</v>
      </c>
      <c r="J52">
        <v>-5</v>
      </c>
      <c r="K52">
        <v>-5</v>
      </c>
      <c r="L52">
        <v>24.6</v>
      </c>
      <c r="M52">
        <v>24.2</v>
      </c>
      <c r="N52">
        <v>23.1</v>
      </c>
      <c r="O52">
        <v>20.8</v>
      </c>
      <c r="P52">
        <v>15.7</v>
      </c>
      <c r="Q52">
        <v>18.5</v>
      </c>
      <c r="R52">
        <v>21.3</v>
      </c>
      <c r="S52">
        <v>11</v>
      </c>
      <c r="T52">
        <f t="shared" si="21"/>
        <v>65</v>
      </c>
      <c r="U52" t="s">
        <v>49</v>
      </c>
      <c r="V52" t="str">
        <f t="shared" si="23"/>
        <v/>
      </c>
      <c r="W52" t="str">
        <f t="shared" si="24"/>
        <v/>
      </c>
      <c r="X52">
        <f t="shared" si="25"/>
        <v>0.24600000000000002</v>
      </c>
      <c r="Y52">
        <f t="shared" si="26"/>
        <v>0.24199999999999999</v>
      </c>
      <c r="Z52">
        <f t="shared" si="27"/>
        <v>0.23100000000000001</v>
      </c>
      <c r="AA52">
        <f t="shared" si="28"/>
        <v>0.20800000000000002</v>
      </c>
      <c r="AB52">
        <f t="shared" si="29"/>
        <v>0.157</v>
      </c>
      <c r="AC52">
        <f t="shared" si="30"/>
        <v>0.185</v>
      </c>
      <c r="AD52">
        <f t="shared" si="31"/>
        <v>0.21299999999999999</v>
      </c>
      <c r="AE52">
        <f t="shared" si="32"/>
        <v>0.11</v>
      </c>
    </row>
    <row r="53" spans="1:31" x14ac:dyDescent="0.25">
      <c r="A53">
        <v>1</v>
      </c>
      <c r="B53">
        <v>444</v>
      </c>
      <c r="C53">
        <v>66</v>
      </c>
      <c r="D53">
        <v>0</v>
      </c>
      <c r="E53">
        <v>14</v>
      </c>
      <c r="F53">
        <v>5</v>
      </c>
      <c r="G53">
        <v>27</v>
      </c>
      <c r="H53">
        <v>10</v>
      </c>
      <c r="I53">
        <v>40</v>
      </c>
      <c r="J53">
        <v>-5</v>
      </c>
      <c r="K53">
        <v>-5</v>
      </c>
      <c r="L53">
        <v>20.9</v>
      </c>
      <c r="M53">
        <v>18.3</v>
      </c>
      <c r="N53">
        <v>16.399999999999999</v>
      </c>
      <c r="O53">
        <v>16.8</v>
      </c>
      <c r="P53">
        <v>17.2</v>
      </c>
      <c r="Q53">
        <v>19.7</v>
      </c>
      <c r="R53">
        <v>21.2</v>
      </c>
      <c r="S53">
        <v>13</v>
      </c>
      <c r="T53">
        <f t="shared" si="21"/>
        <v>66</v>
      </c>
      <c r="U53" t="s">
        <v>50</v>
      </c>
      <c r="V53" t="str">
        <f t="shared" si="23"/>
        <v/>
      </c>
      <c r="W53" t="str">
        <f t="shared" si="24"/>
        <v/>
      </c>
      <c r="X53">
        <f t="shared" si="25"/>
        <v>0.20899999999999999</v>
      </c>
      <c r="Y53">
        <f t="shared" si="26"/>
        <v>0.183</v>
      </c>
      <c r="Z53">
        <f t="shared" si="27"/>
        <v>0.16399999999999998</v>
      </c>
      <c r="AA53">
        <f t="shared" si="28"/>
        <v>0.16800000000000001</v>
      </c>
      <c r="AB53">
        <f t="shared" si="29"/>
        <v>0.17199999999999999</v>
      </c>
      <c r="AC53">
        <f t="shared" si="30"/>
        <v>0.19699999999999998</v>
      </c>
      <c r="AD53">
        <f t="shared" si="31"/>
        <v>0.21199999999999999</v>
      </c>
      <c r="AE53">
        <f t="shared" si="32"/>
        <v>0.13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2"/>
  <sheetViews>
    <sheetView topLeftCell="N40" workbookViewId="0">
      <selection activeCell="T86" sqref="T86:AD102"/>
    </sheetView>
  </sheetViews>
  <sheetFormatPr defaultRowHeight="15" x14ac:dyDescent="0.25"/>
  <sheetData>
    <row r="1" spans="1:6" x14ac:dyDescent="0.25">
      <c r="A1" s="2">
        <v>41799</v>
      </c>
    </row>
    <row r="2" spans="1:6" x14ac:dyDescent="0.25">
      <c r="A2" t="s">
        <v>3</v>
      </c>
      <c r="B2">
        <v>6114</v>
      </c>
      <c r="C2" t="s">
        <v>4</v>
      </c>
      <c r="D2">
        <v>9893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9</v>
      </c>
      <c r="G19">
        <v>8</v>
      </c>
      <c r="H19">
        <v>22</v>
      </c>
      <c r="I19">
        <v>13.1</v>
      </c>
      <c r="J19">
        <v>15.4</v>
      </c>
      <c r="K19">
        <v>16.3</v>
      </c>
      <c r="L19">
        <v>18.5</v>
      </c>
      <c r="M19">
        <v>20.399999999999999</v>
      </c>
      <c r="N19">
        <v>21.9</v>
      </c>
      <c r="O19">
        <v>23.9</v>
      </c>
      <c r="P19">
        <v>23.8</v>
      </c>
      <c r="Q19">
        <v>22.4</v>
      </c>
      <c r="R19">
        <v>12.5</v>
      </c>
      <c r="S19">
        <f>B19</f>
        <v>1</v>
      </c>
      <c r="T19" t="s">
        <v>51</v>
      </c>
      <c r="U19">
        <f>IF(I19&lt;0,"",I19/100)</f>
        <v>0.13100000000000001</v>
      </c>
      <c r="V19">
        <f t="shared" ref="V19:AD24" si="0">IF(J19&lt;0,"",J19/100)</f>
        <v>0.154</v>
      </c>
      <c r="W19">
        <f t="shared" si="0"/>
        <v>0.16300000000000001</v>
      </c>
      <c r="X19">
        <f t="shared" si="0"/>
        <v>0.185</v>
      </c>
      <c r="Y19">
        <f t="shared" si="0"/>
        <v>0.20399999999999999</v>
      </c>
      <c r="Z19">
        <f t="shared" si="0"/>
        <v>0.21899999999999997</v>
      </c>
      <c r="AA19">
        <f t="shared" si="0"/>
        <v>0.23899999999999999</v>
      </c>
      <c r="AB19">
        <f t="shared" si="0"/>
        <v>0.23800000000000002</v>
      </c>
      <c r="AC19">
        <f t="shared" si="0"/>
        <v>0.22399999999999998</v>
      </c>
      <c r="AD19">
        <f t="shared" si="0"/>
        <v>0.125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9</v>
      </c>
      <c r="G20">
        <v>8</v>
      </c>
      <c r="H20">
        <v>27</v>
      </c>
      <c r="I20">
        <v>22.3</v>
      </c>
      <c r="J20">
        <v>15</v>
      </c>
      <c r="K20">
        <v>13.5</v>
      </c>
      <c r="L20">
        <v>17.8</v>
      </c>
      <c r="M20">
        <v>18.600000000000001</v>
      </c>
      <c r="N20">
        <v>20.100000000000001</v>
      </c>
      <c r="O20">
        <v>24.8</v>
      </c>
      <c r="P20">
        <v>26</v>
      </c>
      <c r="Q20">
        <v>20.2</v>
      </c>
      <c r="R20">
        <v>11.1</v>
      </c>
      <c r="S20">
        <f t="shared" ref="S20:S66" si="1">B20</f>
        <v>2</v>
      </c>
      <c r="T20" t="s">
        <v>55</v>
      </c>
      <c r="U20">
        <f t="shared" ref="U20:U66" si="2">IF(I20&lt;0,"",I20/100)</f>
        <v>0.223</v>
      </c>
      <c r="V20">
        <f t="shared" ref="V20:V66" si="3">IF(J20&lt;0,"",J20/100)</f>
        <v>0.15</v>
      </c>
      <c r="W20">
        <f t="shared" ref="W20:W66" si="4">IF(K20&lt;0,"",K20/100)</f>
        <v>0.13500000000000001</v>
      </c>
      <c r="X20">
        <f t="shared" ref="X20:X66" si="5">IF(L20&lt;0,"",L20/100)</f>
        <v>0.17800000000000002</v>
      </c>
      <c r="Y20">
        <f t="shared" ref="Y20:Y66" si="6">IF(M20&lt;0,"",M20/100)</f>
        <v>0.18600000000000003</v>
      </c>
      <c r="Z20">
        <f t="shared" ref="Z20:Z66" si="7">IF(N20&lt;0,"",N20/100)</f>
        <v>0.20100000000000001</v>
      </c>
      <c r="AA20">
        <f t="shared" ref="AA20:AA66" si="8">IF(O20&lt;0,"",O20/100)</f>
        <v>0.248</v>
      </c>
      <c r="AB20">
        <f t="shared" ref="AB20:AB66" si="9">IF(P20&lt;0,"",P20/100)</f>
        <v>0.26</v>
      </c>
      <c r="AC20">
        <f t="shared" ref="AC20:AC66" si="10">IF(Q20&lt;0,"",Q20/100)</f>
        <v>0.20199999999999999</v>
      </c>
      <c r="AD20">
        <f t="shared" ref="AD20:AD66" si="11">IF(R20&lt;0,"",R20/100)</f>
        <v>0.111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9</v>
      </c>
      <c r="G21">
        <v>8</v>
      </c>
      <c r="H21">
        <v>31</v>
      </c>
      <c r="I21">
        <v>13.1</v>
      </c>
      <c r="J21">
        <v>18.8</v>
      </c>
      <c r="K21">
        <v>21.2</v>
      </c>
      <c r="L21">
        <v>22.5</v>
      </c>
      <c r="M21">
        <v>22.6</v>
      </c>
      <c r="N21">
        <v>21.2</v>
      </c>
      <c r="O21">
        <v>20.9</v>
      </c>
      <c r="P21">
        <v>25.1</v>
      </c>
      <c r="Q21">
        <v>24.6</v>
      </c>
      <c r="R21">
        <v>12.8</v>
      </c>
      <c r="S21">
        <f t="shared" si="1"/>
        <v>3</v>
      </c>
      <c r="T21" t="s">
        <v>56</v>
      </c>
      <c r="U21">
        <f t="shared" si="2"/>
        <v>0.13100000000000001</v>
      </c>
      <c r="V21">
        <f t="shared" si="3"/>
        <v>0.188</v>
      </c>
      <c r="W21">
        <f t="shared" si="4"/>
        <v>0.21199999999999999</v>
      </c>
      <c r="X21">
        <f t="shared" si="5"/>
        <v>0.22500000000000001</v>
      </c>
      <c r="Y21">
        <f t="shared" si="6"/>
        <v>0.22600000000000001</v>
      </c>
      <c r="Z21">
        <f t="shared" si="7"/>
        <v>0.21199999999999999</v>
      </c>
      <c r="AA21">
        <f t="shared" si="8"/>
        <v>0.20899999999999999</v>
      </c>
      <c r="AB21">
        <f t="shared" si="9"/>
        <v>0.251</v>
      </c>
      <c r="AC21">
        <f t="shared" si="10"/>
        <v>0.24600000000000002</v>
      </c>
      <c r="AD21">
        <f t="shared" si="11"/>
        <v>0.128</v>
      </c>
    </row>
    <row r="22" spans="1:30" x14ac:dyDescent="0.25">
      <c r="A22">
        <v>452</v>
      </c>
      <c r="B22">
        <v>5</v>
      </c>
      <c r="C22">
        <v>0</v>
      </c>
      <c r="D22">
        <v>14</v>
      </c>
      <c r="E22">
        <v>6</v>
      </c>
      <c r="F22">
        <v>9</v>
      </c>
      <c r="G22">
        <v>8</v>
      </c>
      <c r="H22">
        <v>36</v>
      </c>
      <c r="I22">
        <v>13.8</v>
      </c>
      <c r="J22">
        <v>14.2</v>
      </c>
      <c r="K22">
        <v>17.100000000000001</v>
      </c>
      <c r="L22">
        <v>19.600000000000001</v>
      </c>
      <c r="M22">
        <v>19.899999999999999</v>
      </c>
      <c r="N22">
        <v>22.2</v>
      </c>
      <c r="O22">
        <v>23.3</v>
      </c>
      <c r="P22">
        <v>22.7</v>
      </c>
      <c r="Q22">
        <v>22.6</v>
      </c>
      <c r="R22">
        <v>13.5</v>
      </c>
      <c r="S22">
        <f t="shared" si="1"/>
        <v>5</v>
      </c>
      <c r="T22" t="s">
        <v>57</v>
      </c>
      <c r="U22">
        <f t="shared" si="2"/>
        <v>0.13800000000000001</v>
      </c>
      <c r="V22">
        <f t="shared" si="3"/>
        <v>0.14199999999999999</v>
      </c>
      <c r="W22">
        <f t="shared" si="4"/>
        <v>0.17100000000000001</v>
      </c>
      <c r="X22">
        <f t="shared" si="5"/>
        <v>0.19600000000000001</v>
      </c>
      <c r="Y22">
        <f t="shared" si="6"/>
        <v>0.19899999999999998</v>
      </c>
      <c r="Z22">
        <f t="shared" si="7"/>
        <v>0.222</v>
      </c>
      <c r="AA22">
        <f t="shared" si="8"/>
        <v>0.23300000000000001</v>
      </c>
      <c r="AB22">
        <f t="shared" si="9"/>
        <v>0.22699999999999998</v>
      </c>
      <c r="AC22">
        <f t="shared" si="10"/>
        <v>0.22600000000000001</v>
      </c>
      <c r="AD22">
        <f t="shared" si="11"/>
        <v>0.13500000000000001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9</v>
      </c>
      <c r="G23">
        <v>8</v>
      </c>
      <c r="H23">
        <v>40</v>
      </c>
      <c r="I23">
        <v>-5.9</v>
      </c>
      <c r="J23">
        <v>-5.9</v>
      </c>
      <c r="K23">
        <v>20.5</v>
      </c>
      <c r="L23">
        <v>24</v>
      </c>
      <c r="M23">
        <v>21.7</v>
      </c>
      <c r="N23">
        <v>22.7</v>
      </c>
      <c r="O23">
        <v>25.3</v>
      </c>
      <c r="P23">
        <v>27.3</v>
      </c>
      <c r="Q23">
        <v>26.3</v>
      </c>
      <c r="R23">
        <v>17.7</v>
      </c>
      <c r="S23">
        <f t="shared" si="1"/>
        <v>5</v>
      </c>
      <c r="T23" t="s">
        <v>58</v>
      </c>
      <c r="U23" t="str">
        <f t="shared" si="2"/>
        <v/>
      </c>
      <c r="V23" t="str">
        <f t="shared" si="3"/>
        <v/>
      </c>
      <c r="W23">
        <f t="shared" si="4"/>
        <v>0.20499999999999999</v>
      </c>
      <c r="X23">
        <f t="shared" si="5"/>
        <v>0.24</v>
      </c>
      <c r="Y23">
        <f t="shared" si="6"/>
        <v>0.217</v>
      </c>
      <c r="Z23">
        <f t="shared" si="7"/>
        <v>0.22699999999999998</v>
      </c>
      <c r="AA23">
        <f t="shared" si="8"/>
        <v>0.253</v>
      </c>
      <c r="AB23">
        <f t="shared" si="9"/>
        <v>0.27300000000000002</v>
      </c>
      <c r="AC23">
        <f t="shared" si="10"/>
        <v>0.26300000000000001</v>
      </c>
      <c r="AD23">
        <f t="shared" si="11"/>
        <v>0.17699999999999999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9</v>
      </c>
      <c r="G24">
        <v>8</v>
      </c>
      <c r="H24">
        <v>44</v>
      </c>
      <c r="I24">
        <v>20.8</v>
      </c>
      <c r="J24">
        <v>20.100000000000001</v>
      </c>
      <c r="K24">
        <v>20.7</v>
      </c>
      <c r="L24">
        <v>22</v>
      </c>
      <c r="M24">
        <v>21.8</v>
      </c>
      <c r="N24">
        <v>22.6</v>
      </c>
      <c r="O24">
        <v>23.2</v>
      </c>
      <c r="P24">
        <v>28.7</v>
      </c>
      <c r="Q24">
        <v>24.3</v>
      </c>
      <c r="R24">
        <v>14.4</v>
      </c>
      <c r="S24">
        <f t="shared" si="1"/>
        <v>6</v>
      </c>
      <c r="T24" t="s">
        <v>59</v>
      </c>
      <c r="U24">
        <f t="shared" si="2"/>
        <v>0.20800000000000002</v>
      </c>
      <c r="V24">
        <f t="shared" si="3"/>
        <v>0.20100000000000001</v>
      </c>
      <c r="W24">
        <f t="shared" si="4"/>
        <v>0.20699999999999999</v>
      </c>
      <c r="X24">
        <f t="shared" si="5"/>
        <v>0.22</v>
      </c>
      <c r="Y24">
        <f t="shared" si="6"/>
        <v>0.218</v>
      </c>
      <c r="Z24">
        <f t="shared" si="7"/>
        <v>0.22600000000000001</v>
      </c>
      <c r="AA24">
        <f t="shared" si="8"/>
        <v>0.23199999999999998</v>
      </c>
      <c r="AB24">
        <f t="shared" si="9"/>
        <v>0.28699999999999998</v>
      </c>
      <c r="AC24">
        <f t="shared" si="10"/>
        <v>0.24299999999999999</v>
      </c>
      <c r="AD24">
        <f t="shared" si="11"/>
        <v>0.14400000000000002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6</v>
      </c>
      <c r="F25">
        <v>9</v>
      </c>
      <c r="G25">
        <v>8</v>
      </c>
      <c r="H25">
        <v>50</v>
      </c>
      <c r="I25">
        <v>-5.9</v>
      </c>
      <c r="J25">
        <v>25.6</v>
      </c>
      <c r="K25">
        <v>28.8</v>
      </c>
      <c r="L25">
        <v>28.4</v>
      </c>
      <c r="M25">
        <v>20.2</v>
      </c>
      <c r="N25">
        <v>22.3</v>
      </c>
      <c r="O25">
        <v>22.3</v>
      </c>
      <c r="P25">
        <v>21.6</v>
      </c>
      <c r="Q25">
        <v>23.6</v>
      </c>
      <c r="R25">
        <v>16.600000000000001</v>
      </c>
      <c r="S25">
        <f t="shared" si="1"/>
        <v>7</v>
      </c>
      <c r="T25" t="s">
        <v>60</v>
      </c>
      <c r="U25" t="str">
        <f t="shared" si="2"/>
        <v/>
      </c>
      <c r="V25">
        <f t="shared" si="3"/>
        <v>0.25600000000000001</v>
      </c>
      <c r="W25">
        <f t="shared" si="4"/>
        <v>0.28800000000000003</v>
      </c>
      <c r="X25">
        <f t="shared" si="5"/>
        <v>0.28399999999999997</v>
      </c>
      <c r="Y25">
        <f t="shared" si="6"/>
        <v>0.20199999999999999</v>
      </c>
      <c r="Z25">
        <f t="shared" si="7"/>
        <v>0.223</v>
      </c>
      <c r="AA25">
        <f t="shared" si="8"/>
        <v>0.223</v>
      </c>
      <c r="AB25">
        <f t="shared" si="9"/>
        <v>0.21600000000000003</v>
      </c>
      <c r="AC25">
        <f t="shared" si="10"/>
        <v>0.23600000000000002</v>
      </c>
      <c r="AD25">
        <f t="shared" si="11"/>
        <v>0.16600000000000001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6</v>
      </c>
      <c r="F26">
        <v>9</v>
      </c>
      <c r="G26">
        <v>8</v>
      </c>
      <c r="H26">
        <v>54</v>
      </c>
      <c r="I26">
        <v>-5.9</v>
      </c>
      <c r="J26">
        <v>32.6</v>
      </c>
      <c r="K26">
        <v>25.4</v>
      </c>
      <c r="L26">
        <v>20.9</v>
      </c>
      <c r="M26">
        <v>22.5</v>
      </c>
      <c r="N26">
        <v>23</v>
      </c>
      <c r="O26">
        <v>24.6</v>
      </c>
      <c r="P26">
        <v>29.9</v>
      </c>
      <c r="Q26">
        <v>27.4</v>
      </c>
      <c r="R26">
        <v>18.2</v>
      </c>
      <c r="S26">
        <f t="shared" si="1"/>
        <v>8</v>
      </c>
      <c r="T26" t="s">
        <v>61</v>
      </c>
      <c r="U26" t="str">
        <f t="shared" si="2"/>
        <v/>
      </c>
      <c r="V26">
        <f t="shared" si="3"/>
        <v>0.32600000000000001</v>
      </c>
      <c r="W26">
        <f t="shared" si="4"/>
        <v>0.254</v>
      </c>
      <c r="X26">
        <f t="shared" si="5"/>
        <v>0.20899999999999999</v>
      </c>
      <c r="Y26">
        <f t="shared" si="6"/>
        <v>0.22500000000000001</v>
      </c>
      <c r="Z26">
        <f t="shared" si="7"/>
        <v>0.23</v>
      </c>
      <c r="AA26">
        <f t="shared" si="8"/>
        <v>0.24600000000000002</v>
      </c>
      <c r="AB26">
        <f t="shared" si="9"/>
        <v>0.29899999999999999</v>
      </c>
      <c r="AC26">
        <f t="shared" si="10"/>
        <v>0.27399999999999997</v>
      </c>
      <c r="AD26">
        <f t="shared" si="11"/>
        <v>0.182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6</v>
      </c>
      <c r="F27">
        <v>9</v>
      </c>
      <c r="G27">
        <v>8</v>
      </c>
      <c r="H27">
        <v>50</v>
      </c>
      <c r="I27">
        <v>18.100000000000001</v>
      </c>
      <c r="J27">
        <v>16.899999999999999</v>
      </c>
      <c r="K27">
        <v>17.899999999999999</v>
      </c>
      <c r="L27">
        <v>22.6</v>
      </c>
      <c r="M27">
        <v>25.4</v>
      </c>
      <c r="N27">
        <v>26.8</v>
      </c>
      <c r="O27">
        <v>29.2</v>
      </c>
      <c r="P27">
        <v>24.5</v>
      </c>
      <c r="Q27">
        <v>23.9</v>
      </c>
      <c r="R27">
        <v>16.7</v>
      </c>
      <c r="S27">
        <f t="shared" si="1"/>
        <v>9</v>
      </c>
      <c r="T27" t="s">
        <v>63</v>
      </c>
      <c r="U27">
        <f t="shared" si="2"/>
        <v>0.18100000000000002</v>
      </c>
      <c r="V27">
        <f t="shared" si="3"/>
        <v>0.16899999999999998</v>
      </c>
      <c r="W27">
        <f t="shared" si="4"/>
        <v>0.17899999999999999</v>
      </c>
      <c r="X27">
        <f t="shared" si="5"/>
        <v>0.22600000000000001</v>
      </c>
      <c r="Y27">
        <f t="shared" si="6"/>
        <v>0.254</v>
      </c>
      <c r="Z27">
        <f t="shared" si="7"/>
        <v>0.26800000000000002</v>
      </c>
      <c r="AA27">
        <f t="shared" si="8"/>
        <v>0.29199999999999998</v>
      </c>
      <c r="AB27">
        <f t="shared" si="9"/>
        <v>0.245</v>
      </c>
      <c r="AC27">
        <f t="shared" si="10"/>
        <v>0.23899999999999999</v>
      </c>
      <c r="AD27">
        <f t="shared" si="11"/>
        <v>0.16699999999999998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6</v>
      </c>
      <c r="F28">
        <v>9</v>
      </c>
      <c r="G28">
        <v>9</v>
      </c>
      <c r="H28">
        <v>2</v>
      </c>
      <c r="I28">
        <v>17</v>
      </c>
      <c r="J28">
        <v>15</v>
      </c>
      <c r="K28">
        <v>16.399999999999999</v>
      </c>
      <c r="L28">
        <v>19.399999999999999</v>
      </c>
      <c r="M28">
        <v>22.6</v>
      </c>
      <c r="N28">
        <v>22.5</v>
      </c>
      <c r="O28">
        <v>22.4</v>
      </c>
      <c r="P28">
        <v>25</v>
      </c>
      <c r="Q28">
        <v>24.2</v>
      </c>
      <c r="R28">
        <v>16.3</v>
      </c>
      <c r="S28">
        <f t="shared" si="1"/>
        <v>10</v>
      </c>
      <c r="T28" t="s">
        <v>62</v>
      </c>
      <c r="U28">
        <f t="shared" si="2"/>
        <v>0.17</v>
      </c>
      <c r="V28">
        <f t="shared" si="3"/>
        <v>0.15</v>
      </c>
      <c r="W28">
        <f t="shared" si="4"/>
        <v>0.16399999999999998</v>
      </c>
      <c r="X28">
        <f t="shared" si="5"/>
        <v>0.19399999999999998</v>
      </c>
      <c r="Y28">
        <f t="shared" si="6"/>
        <v>0.22600000000000001</v>
      </c>
      <c r="Z28">
        <f t="shared" si="7"/>
        <v>0.22500000000000001</v>
      </c>
      <c r="AA28">
        <f t="shared" si="8"/>
        <v>0.22399999999999998</v>
      </c>
      <c r="AB28">
        <f t="shared" si="9"/>
        <v>0.25</v>
      </c>
      <c r="AC28">
        <f t="shared" si="10"/>
        <v>0.24199999999999999</v>
      </c>
      <c r="AD28">
        <f t="shared" si="11"/>
        <v>0.16300000000000001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6</v>
      </c>
      <c r="F29">
        <v>9</v>
      </c>
      <c r="G29">
        <v>9</v>
      </c>
      <c r="H29">
        <v>6</v>
      </c>
      <c r="I29">
        <v>15.7</v>
      </c>
      <c r="J29">
        <v>18</v>
      </c>
      <c r="K29">
        <v>19.899999999999999</v>
      </c>
      <c r="L29">
        <v>22.7</v>
      </c>
      <c r="M29">
        <v>26.6</v>
      </c>
      <c r="N29">
        <v>29.3</v>
      </c>
      <c r="O29">
        <v>31.4</v>
      </c>
      <c r="P29">
        <v>31.7</v>
      </c>
      <c r="Q29">
        <v>26</v>
      </c>
      <c r="R29">
        <v>18.7</v>
      </c>
      <c r="S29">
        <f t="shared" si="1"/>
        <v>11</v>
      </c>
      <c r="T29" t="s">
        <v>52</v>
      </c>
      <c r="U29">
        <f t="shared" si="2"/>
        <v>0.157</v>
      </c>
      <c r="V29">
        <f t="shared" si="3"/>
        <v>0.18</v>
      </c>
      <c r="W29">
        <f t="shared" si="4"/>
        <v>0.19899999999999998</v>
      </c>
      <c r="X29">
        <f t="shared" si="5"/>
        <v>0.22699999999999998</v>
      </c>
      <c r="Y29">
        <f t="shared" si="6"/>
        <v>0.26600000000000001</v>
      </c>
      <c r="Z29">
        <f t="shared" si="7"/>
        <v>0.29299999999999998</v>
      </c>
      <c r="AA29">
        <f t="shared" si="8"/>
        <v>0.314</v>
      </c>
      <c r="AB29">
        <f t="shared" si="9"/>
        <v>0.317</v>
      </c>
      <c r="AC29">
        <f t="shared" si="10"/>
        <v>0.26</v>
      </c>
      <c r="AD29">
        <f t="shared" si="11"/>
        <v>0.187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6</v>
      </c>
      <c r="F30">
        <v>9</v>
      </c>
      <c r="G30">
        <v>9</v>
      </c>
      <c r="H30">
        <v>10</v>
      </c>
      <c r="I30">
        <v>23.2</v>
      </c>
      <c r="J30">
        <v>14.9</v>
      </c>
      <c r="K30">
        <v>18.899999999999999</v>
      </c>
      <c r="L30">
        <v>27</v>
      </c>
      <c r="M30">
        <v>25.3</v>
      </c>
      <c r="N30">
        <v>25.8</v>
      </c>
      <c r="O30">
        <v>28.4</v>
      </c>
      <c r="P30">
        <v>25.5</v>
      </c>
      <c r="Q30">
        <v>23.3</v>
      </c>
      <c r="R30">
        <v>15.9</v>
      </c>
      <c r="S30">
        <f t="shared" si="1"/>
        <v>12</v>
      </c>
      <c r="T30" t="s">
        <v>64</v>
      </c>
      <c r="U30">
        <f t="shared" si="2"/>
        <v>0.23199999999999998</v>
      </c>
      <c r="V30">
        <f t="shared" si="3"/>
        <v>0.14899999999999999</v>
      </c>
      <c r="W30">
        <f t="shared" si="4"/>
        <v>0.18899999999999997</v>
      </c>
      <c r="X30">
        <f t="shared" si="5"/>
        <v>0.27</v>
      </c>
      <c r="Y30">
        <f t="shared" si="6"/>
        <v>0.253</v>
      </c>
      <c r="Z30">
        <f t="shared" si="7"/>
        <v>0.25800000000000001</v>
      </c>
      <c r="AA30">
        <f t="shared" si="8"/>
        <v>0.28399999999999997</v>
      </c>
      <c r="AB30">
        <f t="shared" si="9"/>
        <v>0.255</v>
      </c>
      <c r="AC30">
        <f t="shared" si="10"/>
        <v>0.23300000000000001</v>
      </c>
      <c r="AD30">
        <f t="shared" si="11"/>
        <v>0.159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6</v>
      </c>
      <c r="F31">
        <v>9</v>
      </c>
      <c r="G31">
        <v>9</v>
      </c>
      <c r="H31">
        <v>15</v>
      </c>
      <c r="I31">
        <v>21.3</v>
      </c>
      <c r="J31">
        <v>17.600000000000001</v>
      </c>
      <c r="K31">
        <v>22.7</v>
      </c>
      <c r="L31">
        <v>23.6</v>
      </c>
      <c r="M31">
        <v>26.8</v>
      </c>
      <c r="N31">
        <v>27.7</v>
      </c>
      <c r="O31">
        <v>27.6</v>
      </c>
      <c r="P31">
        <v>27.7</v>
      </c>
      <c r="Q31">
        <v>22.8</v>
      </c>
      <c r="R31">
        <v>12.6</v>
      </c>
      <c r="S31">
        <f t="shared" si="1"/>
        <v>13</v>
      </c>
      <c r="T31" t="s">
        <v>29</v>
      </c>
      <c r="U31">
        <f t="shared" si="2"/>
        <v>0.21299999999999999</v>
      </c>
      <c r="V31">
        <f t="shared" si="3"/>
        <v>0.17600000000000002</v>
      </c>
      <c r="W31">
        <f t="shared" si="4"/>
        <v>0.22699999999999998</v>
      </c>
      <c r="X31">
        <f t="shared" si="5"/>
        <v>0.23600000000000002</v>
      </c>
      <c r="Y31">
        <f t="shared" si="6"/>
        <v>0.26800000000000002</v>
      </c>
      <c r="Z31">
        <f t="shared" si="7"/>
        <v>0.27699999999999997</v>
      </c>
      <c r="AA31">
        <f t="shared" si="8"/>
        <v>0.27600000000000002</v>
      </c>
      <c r="AB31">
        <f t="shared" si="9"/>
        <v>0.27699999999999997</v>
      </c>
      <c r="AC31">
        <f t="shared" si="10"/>
        <v>0.22800000000000001</v>
      </c>
      <c r="AD31">
        <f t="shared" si="11"/>
        <v>0.126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6</v>
      </c>
      <c r="F32">
        <v>9</v>
      </c>
      <c r="G32">
        <v>9</v>
      </c>
      <c r="H32">
        <v>21</v>
      </c>
      <c r="I32">
        <v>19.2</v>
      </c>
      <c r="J32">
        <v>20.100000000000001</v>
      </c>
      <c r="K32">
        <v>24.7</v>
      </c>
      <c r="L32">
        <v>25.9</v>
      </c>
      <c r="M32">
        <v>25.2</v>
      </c>
      <c r="N32">
        <v>26.8</v>
      </c>
      <c r="O32">
        <v>30.6</v>
      </c>
      <c r="P32">
        <v>23.4</v>
      </c>
      <c r="Q32">
        <v>19.399999999999999</v>
      </c>
      <c r="R32">
        <v>10.7</v>
      </c>
      <c r="S32">
        <f t="shared" si="1"/>
        <v>14</v>
      </c>
      <c r="T32" t="s">
        <v>30</v>
      </c>
      <c r="U32">
        <f t="shared" si="2"/>
        <v>0.192</v>
      </c>
      <c r="V32">
        <f t="shared" si="3"/>
        <v>0.20100000000000001</v>
      </c>
      <c r="W32">
        <f t="shared" si="4"/>
        <v>0.247</v>
      </c>
      <c r="X32">
        <f t="shared" si="5"/>
        <v>0.25900000000000001</v>
      </c>
      <c r="Y32">
        <f t="shared" si="6"/>
        <v>0.252</v>
      </c>
      <c r="Z32">
        <f t="shared" si="7"/>
        <v>0.26800000000000002</v>
      </c>
      <c r="AA32">
        <f t="shared" si="8"/>
        <v>0.30599999999999999</v>
      </c>
      <c r="AB32">
        <f t="shared" si="9"/>
        <v>0.23399999999999999</v>
      </c>
      <c r="AC32">
        <f t="shared" si="10"/>
        <v>0.19399999999999998</v>
      </c>
      <c r="AD32">
        <f t="shared" si="11"/>
        <v>0.107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6</v>
      </c>
      <c r="F33">
        <v>9</v>
      </c>
      <c r="G33">
        <v>9</v>
      </c>
      <c r="H33">
        <v>25</v>
      </c>
      <c r="I33">
        <v>19</v>
      </c>
      <c r="J33">
        <v>16.600000000000001</v>
      </c>
      <c r="K33">
        <v>17.7</v>
      </c>
      <c r="L33">
        <v>20.2</v>
      </c>
      <c r="M33">
        <v>26.3</v>
      </c>
      <c r="N33">
        <v>26.8</v>
      </c>
      <c r="O33">
        <v>26.8</v>
      </c>
      <c r="P33">
        <v>23.3</v>
      </c>
      <c r="Q33">
        <v>21.6</v>
      </c>
      <c r="R33">
        <v>13.4</v>
      </c>
      <c r="S33">
        <f t="shared" si="1"/>
        <v>15</v>
      </c>
      <c r="T33" t="s">
        <v>31</v>
      </c>
      <c r="U33">
        <f t="shared" si="2"/>
        <v>0.19</v>
      </c>
      <c r="V33">
        <f t="shared" si="3"/>
        <v>0.16600000000000001</v>
      </c>
      <c r="W33">
        <f t="shared" si="4"/>
        <v>0.17699999999999999</v>
      </c>
      <c r="X33">
        <f t="shared" si="5"/>
        <v>0.20199999999999999</v>
      </c>
      <c r="Y33">
        <f t="shared" si="6"/>
        <v>0.26300000000000001</v>
      </c>
      <c r="Z33">
        <f t="shared" si="7"/>
        <v>0.26800000000000002</v>
      </c>
      <c r="AA33">
        <f t="shared" si="8"/>
        <v>0.26800000000000002</v>
      </c>
      <c r="AB33">
        <f t="shared" si="9"/>
        <v>0.23300000000000001</v>
      </c>
      <c r="AC33">
        <f t="shared" si="10"/>
        <v>0.21600000000000003</v>
      </c>
      <c r="AD33">
        <f t="shared" si="11"/>
        <v>0.13400000000000001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6</v>
      </c>
      <c r="F34">
        <v>9</v>
      </c>
      <c r="G34">
        <v>9</v>
      </c>
      <c r="H34">
        <v>30</v>
      </c>
      <c r="I34">
        <v>24.6</v>
      </c>
      <c r="J34">
        <v>19.399999999999999</v>
      </c>
      <c r="K34">
        <v>23.1</v>
      </c>
      <c r="L34">
        <v>21.6</v>
      </c>
      <c r="M34">
        <v>22.3</v>
      </c>
      <c r="N34">
        <v>20.5</v>
      </c>
      <c r="O34">
        <v>18.8</v>
      </c>
      <c r="P34">
        <v>20.6</v>
      </c>
      <c r="Q34">
        <v>23.1</v>
      </c>
      <c r="R34">
        <v>13.1</v>
      </c>
      <c r="S34">
        <f t="shared" si="1"/>
        <v>16</v>
      </c>
      <c r="T34" t="s">
        <v>32</v>
      </c>
      <c r="U34">
        <f t="shared" si="2"/>
        <v>0.24600000000000002</v>
      </c>
      <c r="V34">
        <f t="shared" si="3"/>
        <v>0.19399999999999998</v>
      </c>
      <c r="W34">
        <f t="shared" si="4"/>
        <v>0.23100000000000001</v>
      </c>
      <c r="X34">
        <f t="shared" si="5"/>
        <v>0.21600000000000003</v>
      </c>
      <c r="Y34">
        <f t="shared" si="6"/>
        <v>0.223</v>
      </c>
      <c r="Z34">
        <f t="shared" si="7"/>
        <v>0.20499999999999999</v>
      </c>
      <c r="AA34">
        <f t="shared" si="8"/>
        <v>0.188</v>
      </c>
      <c r="AB34">
        <f t="shared" si="9"/>
        <v>0.20600000000000002</v>
      </c>
      <c r="AC34">
        <f t="shared" si="10"/>
        <v>0.23100000000000001</v>
      </c>
      <c r="AD34">
        <f t="shared" si="11"/>
        <v>0.13100000000000001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6</v>
      </c>
      <c r="F35">
        <v>9</v>
      </c>
      <c r="G35">
        <v>9</v>
      </c>
      <c r="H35">
        <v>34</v>
      </c>
      <c r="I35">
        <v>18.2</v>
      </c>
      <c r="J35">
        <v>18.600000000000001</v>
      </c>
      <c r="K35">
        <v>19.7</v>
      </c>
      <c r="L35">
        <v>20.8</v>
      </c>
      <c r="M35">
        <v>24.9</v>
      </c>
      <c r="N35">
        <v>27</v>
      </c>
      <c r="O35">
        <v>29.4</v>
      </c>
      <c r="P35">
        <v>25.6</v>
      </c>
      <c r="Q35">
        <v>22.7</v>
      </c>
      <c r="R35">
        <v>14.6</v>
      </c>
      <c r="S35">
        <f t="shared" si="1"/>
        <v>17</v>
      </c>
      <c r="T35" t="s">
        <v>33</v>
      </c>
      <c r="U35">
        <f t="shared" si="2"/>
        <v>0.182</v>
      </c>
      <c r="V35">
        <f t="shared" si="3"/>
        <v>0.18600000000000003</v>
      </c>
      <c r="W35">
        <f t="shared" si="4"/>
        <v>0.19699999999999998</v>
      </c>
      <c r="X35">
        <f t="shared" si="5"/>
        <v>0.20800000000000002</v>
      </c>
      <c r="Y35">
        <f t="shared" si="6"/>
        <v>0.249</v>
      </c>
      <c r="Z35">
        <f t="shared" si="7"/>
        <v>0.27</v>
      </c>
      <c r="AA35">
        <f t="shared" si="8"/>
        <v>0.29399999999999998</v>
      </c>
      <c r="AB35">
        <f t="shared" si="9"/>
        <v>0.25600000000000001</v>
      </c>
      <c r="AC35">
        <f t="shared" si="10"/>
        <v>0.22699999999999998</v>
      </c>
      <c r="AD35">
        <f t="shared" si="11"/>
        <v>0.14599999999999999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6</v>
      </c>
      <c r="F36">
        <v>9</v>
      </c>
      <c r="G36">
        <v>9</v>
      </c>
      <c r="H36">
        <v>30</v>
      </c>
      <c r="I36">
        <v>21.2</v>
      </c>
      <c r="J36">
        <v>21</v>
      </c>
      <c r="K36">
        <v>25.3</v>
      </c>
      <c r="L36">
        <v>27.9</v>
      </c>
      <c r="M36">
        <v>24.7</v>
      </c>
      <c r="N36">
        <v>25.4</v>
      </c>
      <c r="O36">
        <v>24.7</v>
      </c>
      <c r="P36">
        <v>23.8</v>
      </c>
      <c r="Q36">
        <v>19.7</v>
      </c>
      <c r="R36">
        <v>11.3</v>
      </c>
      <c r="S36">
        <f t="shared" si="1"/>
        <v>18</v>
      </c>
      <c r="T36" t="s">
        <v>34</v>
      </c>
      <c r="U36">
        <f t="shared" si="2"/>
        <v>0.21199999999999999</v>
      </c>
      <c r="V36">
        <f t="shared" si="3"/>
        <v>0.21</v>
      </c>
      <c r="W36">
        <f t="shared" si="4"/>
        <v>0.253</v>
      </c>
      <c r="X36">
        <f t="shared" si="5"/>
        <v>0.27899999999999997</v>
      </c>
      <c r="Y36">
        <f t="shared" si="6"/>
        <v>0.247</v>
      </c>
      <c r="Z36">
        <f t="shared" si="7"/>
        <v>0.254</v>
      </c>
      <c r="AA36">
        <f t="shared" si="8"/>
        <v>0.247</v>
      </c>
      <c r="AB36">
        <f t="shared" si="9"/>
        <v>0.23800000000000002</v>
      </c>
      <c r="AC36">
        <f t="shared" si="10"/>
        <v>0.19699999999999998</v>
      </c>
      <c r="AD36">
        <f t="shared" si="11"/>
        <v>0.113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6</v>
      </c>
      <c r="F37">
        <v>9</v>
      </c>
      <c r="G37">
        <v>9</v>
      </c>
      <c r="H37">
        <v>44</v>
      </c>
      <c r="I37">
        <v>22.4</v>
      </c>
      <c r="J37">
        <v>23.9</v>
      </c>
      <c r="K37">
        <v>30.8</v>
      </c>
      <c r="L37">
        <v>21</v>
      </c>
      <c r="M37">
        <v>23.4</v>
      </c>
      <c r="N37">
        <v>24.8</v>
      </c>
      <c r="O37">
        <v>24.3</v>
      </c>
      <c r="P37">
        <v>23.9</v>
      </c>
      <c r="Q37">
        <v>23.5</v>
      </c>
      <c r="R37">
        <v>16.2</v>
      </c>
      <c r="S37">
        <f t="shared" si="1"/>
        <v>19</v>
      </c>
      <c r="T37" t="s">
        <v>65</v>
      </c>
      <c r="U37">
        <f t="shared" si="2"/>
        <v>0.22399999999999998</v>
      </c>
      <c r="V37">
        <f t="shared" si="3"/>
        <v>0.23899999999999999</v>
      </c>
      <c r="W37">
        <f t="shared" si="4"/>
        <v>0.308</v>
      </c>
      <c r="X37">
        <f t="shared" si="5"/>
        <v>0.21</v>
      </c>
      <c r="Y37">
        <f t="shared" si="6"/>
        <v>0.23399999999999999</v>
      </c>
      <c r="Z37">
        <f t="shared" si="7"/>
        <v>0.248</v>
      </c>
      <c r="AA37">
        <f t="shared" si="8"/>
        <v>0.24299999999999999</v>
      </c>
      <c r="AB37">
        <f t="shared" si="9"/>
        <v>0.23899999999999999</v>
      </c>
      <c r="AC37">
        <f t="shared" si="10"/>
        <v>0.23499999999999999</v>
      </c>
      <c r="AD37">
        <f t="shared" si="11"/>
        <v>0.16200000000000001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6</v>
      </c>
      <c r="F38">
        <v>9</v>
      </c>
      <c r="G38">
        <v>9</v>
      </c>
      <c r="H38">
        <v>40</v>
      </c>
      <c r="I38">
        <v>22.8</v>
      </c>
      <c r="J38">
        <v>32.200000000000003</v>
      </c>
      <c r="K38">
        <v>24.3</v>
      </c>
      <c r="L38">
        <v>26.2</v>
      </c>
      <c r="M38">
        <v>26.7</v>
      </c>
      <c r="N38">
        <v>25.3</v>
      </c>
      <c r="O38">
        <v>22.3</v>
      </c>
      <c r="P38">
        <v>22.4</v>
      </c>
      <c r="Q38">
        <v>24.1</v>
      </c>
      <c r="R38">
        <v>16.2</v>
      </c>
      <c r="S38">
        <f t="shared" si="1"/>
        <v>20</v>
      </c>
      <c r="T38" t="s">
        <v>66</v>
      </c>
      <c r="U38">
        <f t="shared" si="2"/>
        <v>0.22800000000000001</v>
      </c>
      <c r="V38">
        <f t="shared" si="3"/>
        <v>0.32200000000000001</v>
      </c>
      <c r="W38">
        <f t="shared" si="4"/>
        <v>0.24299999999999999</v>
      </c>
      <c r="X38">
        <f t="shared" si="5"/>
        <v>0.26200000000000001</v>
      </c>
      <c r="Y38">
        <f t="shared" si="6"/>
        <v>0.26700000000000002</v>
      </c>
      <c r="Z38">
        <f t="shared" si="7"/>
        <v>0.253</v>
      </c>
      <c r="AA38">
        <f t="shared" si="8"/>
        <v>0.223</v>
      </c>
      <c r="AB38">
        <f t="shared" si="9"/>
        <v>0.22399999999999998</v>
      </c>
      <c r="AC38">
        <f t="shared" si="10"/>
        <v>0.24100000000000002</v>
      </c>
      <c r="AD38">
        <f t="shared" si="11"/>
        <v>0.16200000000000001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6</v>
      </c>
      <c r="F39">
        <v>9</v>
      </c>
      <c r="G39">
        <v>9</v>
      </c>
      <c r="H39">
        <v>52</v>
      </c>
      <c r="I39">
        <v>21.9</v>
      </c>
      <c r="J39">
        <v>23.9</v>
      </c>
      <c r="K39">
        <v>22.5</v>
      </c>
      <c r="L39">
        <v>24.4</v>
      </c>
      <c r="M39">
        <v>26.5</v>
      </c>
      <c r="N39">
        <v>25.6</v>
      </c>
      <c r="O39">
        <v>28.6</v>
      </c>
      <c r="P39">
        <v>30.2</v>
      </c>
      <c r="Q39">
        <v>26.2</v>
      </c>
      <c r="R39">
        <v>19.100000000000001</v>
      </c>
      <c r="S39">
        <f t="shared" si="1"/>
        <v>21</v>
      </c>
      <c r="T39" t="s">
        <v>67</v>
      </c>
      <c r="U39">
        <f t="shared" si="2"/>
        <v>0.21899999999999997</v>
      </c>
      <c r="V39">
        <f t="shared" si="3"/>
        <v>0.23899999999999999</v>
      </c>
      <c r="W39">
        <f t="shared" si="4"/>
        <v>0.22500000000000001</v>
      </c>
      <c r="X39">
        <f t="shared" si="5"/>
        <v>0.24399999999999999</v>
      </c>
      <c r="Y39">
        <f t="shared" si="6"/>
        <v>0.26500000000000001</v>
      </c>
      <c r="Z39">
        <f t="shared" si="7"/>
        <v>0.25600000000000001</v>
      </c>
      <c r="AA39">
        <f t="shared" si="8"/>
        <v>0.28600000000000003</v>
      </c>
      <c r="AB39">
        <f t="shared" si="9"/>
        <v>0.30199999999999999</v>
      </c>
      <c r="AC39">
        <f t="shared" si="10"/>
        <v>0.26200000000000001</v>
      </c>
      <c r="AD39">
        <f t="shared" si="11"/>
        <v>0.191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6</v>
      </c>
      <c r="F40">
        <v>9</v>
      </c>
      <c r="G40">
        <v>9</v>
      </c>
      <c r="H40">
        <v>57</v>
      </c>
      <c r="I40">
        <v>19.3</v>
      </c>
      <c r="J40">
        <v>19.100000000000001</v>
      </c>
      <c r="K40">
        <v>20.5</v>
      </c>
      <c r="L40">
        <v>21</v>
      </c>
      <c r="M40">
        <v>25.2</v>
      </c>
      <c r="N40">
        <v>27.2</v>
      </c>
      <c r="O40">
        <v>30.4</v>
      </c>
      <c r="P40">
        <v>27.1</v>
      </c>
      <c r="Q40">
        <v>26.9</v>
      </c>
      <c r="R40">
        <v>19.100000000000001</v>
      </c>
      <c r="S40">
        <f t="shared" si="1"/>
        <v>22</v>
      </c>
      <c r="T40" t="s">
        <v>68</v>
      </c>
      <c r="U40">
        <f t="shared" si="2"/>
        <v>0.193</v>
      </c>
      <c r="V40">
        <f t="shared" si="3"/>
        <v>0.191</v>
      </c>
      <c r="W40">
        <f t="shared" si="4"/>
        <v>0.20499999999999999</v>
      </c>
      <c r="X40">
        <f t="shared" si="5"/>
        <v>0.21</v>
      </c>
      <c r="Y40">
        <f t="shared" si="6"/>
        <v>0.252</v>
      </c>
      <c r="Z40">
        <f t="shared" si="7"/>
        <v>0.27200000000000002</v>
      </c>
      <c r="AA40">
        <f t="shared" si="8"/>
        <v>0.30399999999999999</v>
      </c>
      <c r="AB40">
        <f t="shared" si="9"/>
        <v>0.27100000000000002</v>
      </c>
      <c r="AC40">
        <f t="shared" si="10"/>
        <v>0.26899999999999996</v>
      </c>
      <c r="AD40">
        <f t="shared" si="11"/>
        <v>0.191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6</v>
      </c>
      <c r="F41">
        <v>9</v>
      </c>
      <c r="G41">
        <v>10</v>
      </c>
      <c r="H41">
        <v>1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29.2</v>
      </c>
      <c r="O41">
        <v>29.9</v>
      </c>
      <c r="P41">
        <v>26.8</v>
      </c>
      <c r="Q41">
        <v>26.2</v>
      </c>
      <c r="R41">
        <v>19.399999999999999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3"/>
        <v/>
      </c>
      <c r="W41" t="str">
        <f t="shared" si="4"/>
        <v/>
      </c>
      <c r="X41" t="str">
        <f t="shared" si="5"/>
        <v/>
      </c>
      <c r="Y41" t="str">
        <f t="shared" si="6"/>
        <v/>
      </c>
      <c r="Z41">
        <f t="shared" si="7"/>
        <v>0.29199999999999998</v>
      </c>
      <c r="AA41">
        <f t="shared" si="8"/>
        <v>0.29899999999999999</v>
      </c>
      <c r="AB41">
        <f t="shared" si="9"/>
        <v>0.26800000000000002</v>
      </c>
      <c r="AC41">
        <f t="shared" si="10"/>
        <v>0.26200000000000001</v>
      </c>
      <c r="AD41">
        <f t="shared" si="11"/>
        <v>0.19399999999999998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6</v>
      </c>
      <c r="F42">
        <v>9</v>
      </c>
      <c r="G42">
        <v>10</v>
      </c>
      <c r="H42">
        <v>4</v>
      </c>
      <c r="I42">
        <v>18.399999999999999</v>
      </c>
      <c r="J42">
        <v>18.3</v>
      </c>
      <c r="K42">
        <v>22.3</v>
      </c>
      <c r="L42">
        <v>23.7</v>
      </c>
      <c r="M42">
        <v>25.2</v>
      </c>
      <c r="N42">
        <v>27.9</v>
      </c>
      <c r="O42">
        <v>32.700000000000003</v>
      </c>
      <c r="P42">
        <v>29</v>
      </c>
      <c r="Q42">
        <v>26.5</v>
      </c>
      <c r="R42">
        <v>20.7</v>
      </c>
      <c r="S42">
        <f t="shared" si="1"/>
        <v>24</v>
      </c>
      <c r="T42" t="s">
        <v>70</v>
      </c>
      <c r="U42">
        <f t="shared" si="2"/>
        <v>0.184</v>
      </c>
      <c r="V42">
        <f t="shared" si="3"/>
        <v>0.183</v>
      </c>
      <c r="W42">
        <f t="shared" si="4"/>
        <v>0.223</v>
      </c>
      <c r="X42">
        <f t="shared" si="5"/>
        <v>0.23699999999999999</v>
      </c>
      <c r="Y42">
        <f t="shared" si="6"/>
        <v>0.252</v>
      </c>
      <c r="Z42">
        <f t="shared" si="7"/>
        <v>0.27899999999999997</v>
      </c>
      <c r="AA42">
        <f t="shared" si="8"/>
        <v>0.32700000000000001</v>
      </c>
      <c r="AB42">
        <f t="shared" si="9"/>
        <v>0.28999999999999998</v>
      </c>
      <c r="AC42">
        <f t="shared" si="10"/>
        <v>0.26500000000000001</v>
      </c>
      <c r="AD42">
        <f t="shared" si="11"/>
        <v>0.20699999999999999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6</v>
      </c>
      <c r="F43">
        <v>9</v>
      </c>
      <c r="G43">
        <v>10</v>
      </c>
      <c r="H43">
        <v>10</v>
      </c>
      <c r="I43">
        <v>21.5</v>
      </c>
      <c r="J43">
        <v>23.4</v>
      </c>
      <c r="K43">
        <v>25.7</v>
      </c>
      <c r="L43">
        <v>25.4</v>
      </c>
      <c r="M43">
        <v>26.8</v>
      </c>
      <c r="N43">
        <v>28.5</v>
      </c>
      <c r="O43">
        <v>23.6</v>
      </c>
      <c r="P43">
        <v>23.9</v>
      </c>
      <c r="Q43">
        <v>26.3</v>
      </c>
      <c r="R43">
        <v>19.2</v>
      </c>
      <c r="S43">
        <f t="shared" si="1"/>
        <v>25</v>
      </c>
      <c r="T43" t="s">
        <v>71</v>
      </c>
      <c r="U43">
        <f t="shared" si="2"/>
        <v>0.215</v>
      </c>
      <c r="V43">
        <f t="shared" si="3"/>
        <v>0.23399999999999999</v>
      </c>
      <c r="W43">
        <f t="shared" si="4"/>
        <v>0.25700000000000001</v>
      </c>
      <c r="X43">
        <f t="shared" si="5"/>
        <v>0.254</v>
      </c>
      <c r="Y43">
        <f t="shared" si="6"/>
        <v>0.26800000000000002</v>
      </c>
      <c r="Z43">
        <f t="shared" si="7"/>
        <v>0.28499999999999998</v>
      </c>
      <c r="AA43">
        <f t="shared" si="8"/>
        <v>0.23600000000000002</v>
      </c>
      <c r="AB43">
        <f t="shared" si="9"/>
        <v>0.23899999999999999</v>
      </c>
      <c r="AC43">
        <f t="shared" si="10"/>
        <v>0.26300000000000001</v>
      </c>
      <c r="AD43">
        <f t="shared" si="11"/>
        <v>0.192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6</v>
      </c>
      <c r="F44">
        <v>9</v>
      </c>
      <c r="G44">
        <v>10</v>
      </c>
      <c r="H44">
        <v>21</v>
      </c>
      <c r="I44">
        <v>18.899999999999999</v>
      </c>
      <c r="J44">
        <v>18.8</v>
      </c>
      <c r="K44">
        <v>22.1</v>
      </c>
      <c r="L44">
        <v>23.6</v>
      </c>
      <c r="M44">
        <v>25.3</v>
      </c>
      <c r="N44">
        <v>21.5</v>
      </c>
      <c r="O44">
        <v>24.6</v>
      </c>
      <c r="P44">
        <v>25</v>
      </c>
      <c r="Q44">
        <v>25.7</v>
      </c>
      <c r="R44">
        <v>20</v>
      </c>
      <c r="S44">
        <f t="shared" si="1"/>
        <v>26</v>
      </c>
      <c r="T44" t="s">
        <v>74</v>
      </c>
      <c r="U44">
        <f t="shared" si="2"/>
        <v>0.18899999999999997</v>
      </c>
      <c r="V44">
        <f t="shared" si="3"/>
        <v>0.188</v>
      </c>
      <c r="W44">
        <f t="shared" si="4"/>
        <v>0.221</v>
      </c>
      <c r="X44">
        <f t="shared" si="5"/>
        <v>0.23600000000000002</v>
      </c>
      <c r="Y44">
        <f t="shared" si="6"/>
        <v>0.253</v>
      </c>
      <c r="Z44">
        <f t="shared" si="7"/>
        <v>0.215</v>
      </c>
      <c r="AA44">
        <f t="shared" si="8"/>
        <v>0.24600000000000002</v>
      </c>
      <c r="AB44">
        <f t="shared" si="9"/>
        <v>0.25</v>
      </c>
      <c r="AC44">
        <f t="shared" si="10"/>
        <v>0.25700000000000001</v>
      </c>
      <c r="AD44">
        <f t="shared" si="11"/>
        <v>0.2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6</v>
      </c>
      <c r="F45">
        <v>9</v>
      </c>
      <c r="G45">
        <v>10</v>
      </c>
      <c r="H45">
        <v>34</v>
      </c>
      <c r="I45">
        <v>19.899999999999999</v>
      </c>
      <c r="J45">
        <v>19.7</v>
      </c>
      <c r="K45">
        <v>18</v>
      </c>
      <c r="L45">
        <v>28</v>
      </c>
      <c r="M45">
        <v>22.7</v>
      </c>
      <c r="N45">
        <v>26.9</v>
      </c>
      <c r="O45">
        <v>29.8</v>
      </c>
      <c r="P45">
        <v>27</v>
      </c>
      <c r="Q45">
        <v>26.2</v>
      </c>
      <c r="R45">
        <v>20.2</v>
      </c>
      <c r="S45">
        <f t="shared" si="1"/>
        <v>27</v>
      </c>
      <c r="T45" t="s">
        <v>75</v>
      </c>
      <c r="U45">
        <f t="shared" si="2"/>
        <v>0.19899999999999998</v>
      </c>
      <c r="V45">
        <f t="shared" si="3"/>
        <v>0.19699999999999998</v>
      </c>
      <c r="W45">
        <f t="shared" si="4"/>
        <v>0.18</v>
      </c>
      <c r="X45">
        <f t="shared" si="5"/>
        <v>0.28000000000000003</v>
      </c>
      <c r="Y45">
        <f t="shared" si="6"/>
        <v>0.22699999999999998</v>
      </c>
      <c r="Z45">
        <f t="shared" si="7"/>
        <v>0.26899999999999996</v>
      </c>
      <c r="AA45">
        <f t="shared" si="8"/>
        <v>0.29799999999999999</v>
      </c>
      <c r="AB45">
        <f t="shared" si="9"/>
        <v>0.27</v>
      </c>
      <c r="AC45">
        <f t="shared" si="10"/>
        <v>0.26200000000000001</v>
      </c>
      <c r="AD45">
        <f t="shared" si="11"/>
        <v>0.20199999999999999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6</v>
      </c>
      <c r="F46">
        <v>9</v>
      </c>
      <c r="G46">
        <v>10</v>
      </c>
      <c r="H46">
        <v>30</v>
      </c>
      <c r="I46">
        <v>18</v>
      </c>
      <c r="J46">
        <v>18</v>
      </c>
      <c r="K46">
        <v>19.399999999999999</v>
      </c>
      <c r="L46">
        <v>22.1</v>
      </c>
      <c r="M46">
        <v>26.6</v>
      </c>
      <c r="N46">
        <v>27</v>
      </c>
      <c r="O46">
        <v>28.7</v>
      </c>
      <c r="P46">
        <v>28.6</v>
      </c>
      <c r="Q46">
        <v>25.7</v>
      </c>
      <c r="R46">
        <v>19.899999999999999</v>
      </c>
      <c r="S46">
        <f t="shared" si="1"/>
        <v>28</v>
      </c>
      <c r="T46" t="s">
        <v>76</v>
      </c>
      <c r="U46">
        <f t="shared" si="2"/>
        <v>0.18</v>
      </c>
      <c r="V46">
        <f t="shared" si="3"/>
        <v>0.18</v>
      </c>
      <c r="W46">
        <f t="shared" si="4"/>
        <v>0.19399999999999998</v>
      </c>
      <c r="X46">
        <f t="shared" si="5"/>
        <v>0.221</v>
      </c>
      <c r="Y46">
        <f t="shared" si="6"/>
        <v>0.26600000000000001</v>
      </c>
      <c r="Z46">
        <f t="shared" si="7"/>
        <v>0.27</v>
      </c>
      <c r="AA46">
        <f t="shared" si="8"/>
        <v>0.28699999999999998</v>
      </c>
      <c r="AB46">
        <f t="shared" si="9"/>
        <v>0.28600000000000003</v>
      </c>
      <c r="AC46">
        <f t="shared" si="10"/>
        <v>0.25700000000000001</v>
      </c>
      <c r="AD46">
        <f t="shared" si="11"/>
        <v>0.19899999999999998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6</v>
      </c>
      <c r="F47">
        <v>9</v>
      </c>
      <c r="G47">
        <v>10</v>
      </c>
      <c r="H47">
        <v>42</v>
      </c>
      <c r="I47">
        <v>32.5</v>
      </c>
      <c r="J47">
        <v>32.1</v>
      </c>
      <c r="K47">
        <v>21.5</v>
      </c>
      <c r="L47">
        <v>25.2</v>
      </c>
      <c r="M47">
        <v>27.4</v>
      </c>
      <c r="N47">
        <v>28.6</v>
      </c>
      <c r="O47">
        <v>31</v>
      </c>
      <c r="P47">
        <v>27.1</v>
      </c>
      <c r="Q47">
        <v>27.2</v>
      </c>
      <c r="R47">
        <v>19.2</v>
      </c>
      <c r="S47">
        <f t="shared" si="1"/>
        <v>29</v>
      </c>
      <c r="T47" t="s">
        <v>53</v>
      </c>
      <c r="U47">
        <f t="shared" si="2"/>
        <v>0.32500000000000001</v>
      </c>
      <c r="V47">
        <f t="shared" si="3"/>
        <v>0.32100000000000001</v>
      </c>
      <c r="W47">
        <f t="shared" si="4"/>
        <v>0.215</v>
      </c>
      <c r="X47">
        <f t="shared" si="5"/>
        <v>0.252</v>
      </c>
      <c r="Y47">
        <f t="shared" si="6"/>
        <v>0.27399999999999997</v>
      </c>
      <c r="Z47">
        <f t="shared" si="7"/>
        <v>0.28600000000000003</v>
      </c>
      <c r="AA47">
        <f t="shared" si="8"/>
        <v>0.31</v>
      </c>
      <c r="AB47">
        <f t="shared" si="9"/>
        <v>0.27100000000000002</v>
      </c>
      <c r="AC47">
        <f t="shared" si="10"/>
        <v>0.27200000000000002</v>
      </c>
      <c r="AD47">
        <f t="shared" si="11"/>
        <v>0.192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6</v>
      </c>
      <c r="F48">
        <v>9</v>
      </c>
      <c r="G48">
        <v>10</v>
      </c>
      <c r="H48">
        <v>46</v>
      </c>
      <c r="I48">
        <v>25.8</v>
      </c>
      <c r="J48">
        <v>29.6</v>
      </c>
      <c r="K48">
        <v>24.9</v>
      </c>
      <c r="L48">
        <v>23.3</v>
      </c>
      <c r="M48">
        <v>23.5</v>
      </c>
      <c r="N48">
        <v>22.7</v>
      </c>
      <c r="O48">
        <v>19.899999999999999</v>
      </c>
      <c r="P48">
        <v>25.8</v>
      </c>
      <c r="Q48">
        <v>24.9</v>
      </c>
      <c r="R48">
        <v>18.100000000000001</v>
      </c>
      <c r="S48">
        <f t="shared" si="1"/>
        <v>30</v>
      </c>
      <c r="T48" t="s">
        <v>77</v>
      </c>
      <c r="U48">
        <f t="shared" si="2"/>
        <v>0.25800000000000001</v>
      </c>
      <c r="V48">
        <f t="shared" si="3"/>
        <v>0.29600000000000004</v>
      </c>
      <c r="W48">
        <f t="shared" si="4"/>
        <v>0.249</v>
      </c>
      <c r="X48">
        <f t="shared" si="5"/>
        <v>0.23300000000000001</v>
      </c>
      <c r="Y48">
        <f t="shared" si="6"/>
        <v>0.23499999999999999</v>
      </c>
      <c r="Z48">
        <f t="shared" si="7"/>
        <v>0.22699999999999998</v>
      </c>
      <c r="AA48">
        <f t="shared" si="8"/>
        <v>0.19899999999999998</v>
      </c>
      <c r="AB48">
        <f t="shared" si="9"/>
        <v>0.25800000000000001</v>
      </c>
      <c r="AC48">
        <f t="shared" si="10"/>
        <v>0.249</v>
      </c>
      <c r="AD48">
        <f t="shared" si="11"/>
        <v>0.18100000000000002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6</v>
      </c>
      <c r="F49">
        <v>9</v>
      </c>
      <c r="G49">
        <v>10</v>
      </c>
      <c r="H49">
        <v>51</v>
      </c>
      <c r="I49">
        <v>-5.9</v>
      </c>
      <c r="J49">
        <v>23.2</v>
      </c>
      <c r="K49">
        <v>22.2</v>
      </c>
      <c r="L49">
        <v>22.6</v>
      </c>
      <c r="M49">
        <v>24.1</v>
      </c>
      <c r="N49">
        <v>23.4</v>
      </c>
      <c r="O49">
        <v>23.1</v>
      </c>
      <c r="P49">
        <v>26</v>
      </c>
      <c r="Q49">
        <v>23.7</v>
      </c>
      <c r="R49">
        <v>14</v>
      </c>
      <c r="S49">
        <f t="shared" si="1"/>
        <v>31</v>
      </c>
      <c r="T49" t="s">
        <v>54</v>
      </c>
      <c r="U49" t="str">
        <f t="shared" si="2"/>
        <v/>
      </c>
      <c r="V49">
        <f t="shared" si="3"/>
        <v>0.23199999999999998</v>
      </c>
      <c r="W49">
        <f t="shared" si="4"/>
        <v>0.222</v>
      </c>
      <c r="X49">
        <f t="shared" si="5"/>
        <v>0.22600000000000001</v>
      </c>
      <c r="Y49">
        <f t="shared" si="6"/>
        <v>0.24100000000000002</v>
      </c>
      <c r="Z49">
        <f t="shared" si="7"/>
        <v>0.23399999999999999</v>
      </c>
      <c r="AA49">
        <f t="shared" si="8"/>
        <v>0.23100000000000001</v>
      </c>
      <c r="AB49">
        <f t="shared" si="9"/>
        <v>0.26</v>
      </c>
      <c r="AC49">
        <f t="shared" si="10"/>
        <v>0.23699999999999999</v>
      </c>
      <c r="AD49">
        <f t="shared" si="11"/>
        <v>0.14000000000000001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6</v>
      </c>
      <c r="F50">
        <v>9</v>
      </c>
      <c r="G50">
        <v>10</v>
      </c>
      <c r="H50">
        <v>55</v>
      </c>
      <c r="I50">
        <v>-5.9</v>
      </c>
      <c r="J50">
        <v>23.9</v>
      </c>
      <c r="K50">
        <v>22.5</v>
      </c>
      <c r="L50">
        <v>24.8</v>
      </c>
      <c r="M50">
        <v>27.1</v>
      </c>
      <c r="N50">
        <v>27.8</v>
      </c>
      <c r="O50">
        <v>27.6</v>
      </c>
      <c r="P50">
        <v>24.7</v>
      </c>
      <c r="Q50">
        <v>22.9</v>
      </c>
      <c r="R50">
        <v>15.8</v>
      </c>
      <c r="S50">
        <f t="shared" si="1"/>
        <v>32</v>
      </c>
      <c r="T50" t="s">
        <v>78</v>
      </c>
      <c r="U50" t="str">
        <f t="shared" si="2"/>
        <v/>
      </c>
      <c r="V50">
        <f t="shared" si="3"/>
        <v>0.23899999999999999</v>
      </c>
      <c r="W50">
        <f t="shared" si="4"/>
        <v>0.22500000000000001</v>
      </c>
      <c r="X50">
        <f t="shared" si="5"/>
        <v>0.248</v>
      </c>
      <c r="Y50">
        <f t="shared" si="6"/>
        <v>0.27100000000000002</v>
      </c>
      <c r="Z50">
        <f t="shared" si="7"/>
        <v>0.27800000000000002</v>
      </c>
      <c r="AA50">
        <f t="shared" si="8"/>
        <v>0.27600000000000002</v>
      </c>
      <c r="AB50">
        <f t="shared" si="9"/>
        <v>0.247</v>
      </c>
      <c r="AC50">
        <f t="shared" si="10"/>
        <v>0.22899999999999998</v>
      </c>
      <c r="AD50">
        <f t="shared" si="11"/>
        <v>0.158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6</v>
      </c>
      <c r="F51">
        <v>9</v>
      </c>
      <c r="G51">
        <v>10</v>
      </c>
      <c r="H51">
        <v>50</v>
      </c>
      <c r="I51">
        <v>-5.9</v>
      </c>
      <c r="J51">
        <v>21.9</v>
      </c>
      <c r="K51">
        <v>22.9</v>
      </c>
      <c r="L51">
        <v>27.6</v>
      </c>
      <c r="M51">
        <v>29.7</v>
      </c>
      <c r="N51">
        <v>30.9</v>
      </c>
      <c r="O51">
        <v>29.8</v>
      </c>
      <c r="P51">
        <v>26.3</v>
      </c>
      <c r="Q51">
        <v>23</v>
      </c>
      <c r="R51">
        <v>16.8</v>
      </c>
      <c r="S51">
        <f t="shared" si="1"/>
        <v>33</v>
      </c>
      <c r="T51" t="s">
        <v>79</v>
      </c>
      <c r="U51" t="str">
        <f t="shared" si="2"/>
        <v/>
      </c>
      <c r="V51">
        <f t="shared" si="3"/>
        <v>0.21899999999999997</v>
      </c>
      <c r="W51">
        <f t="shared" si="4"/>
        <v>0.22899999999999998</v>
      </c>
      <c r="X51">
        <f t="shared" si="5"/>
        <v>0.27600000000000002</v>
      </c>
      <c r="Y51">
        <f t="shared" si="6"/>
        <v>0.29699999999999999</v>
      </c>
      <c r="Z51">
        <f t="shared" si="7"/>
        <v>0.309</v>
      </c>
      <c r="AA51">
        <f t="shared" si="8"/>
        <v>0.29799999999999999</v>
      </c>
      <c r="AB51">
        <f t="shared" si="9"/>
        <v>0.26300000000000001</v>
      </c>
      <c r="AC51">
        <f t="shared" si="10"/>
        <v>0.23</v>
      </c>
      <c r="AD51">
        <f t="shared" si="11"/>
        <v>0.16800000000000001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6</v>
      </c>
      <c r="F52">
        <v>9</v>
      </c>
      <c r="G52">
        <v>11</v>
      </c>
      <c r="H52">
        <v>2</v>
      </c>
      <c r="I52">
        <v>-5.9</v>
      </c>
      <c r="J52">
        <v>22.3</v>
      </c>
      <c r="K52">
        <v>24.6</v>
      </c>
      <c r="L52">
        <v>26.5</v>
      </c>
      <c r="M52">
        <v>27.8</v>
      </c>
      <c r="N52">
        <v>29.3</v>
      </c>
      <c r="O52">
        <v>30.3</v>
      </c>
      <c r="P52">
        <v>24.4</v>
      </c>
      <c r="Q52">
        <v>23.3</v>
      </c>
      <c r="R52">
        <v>17.8</v>
      </c>
      <c r="S52">
        <f t="shared" si="1"/>
        <v>34</v>
      </c>
      <c r="T52" t="s">
        <v>80</v>
      </c>
      <c r="U52" t="str">
        <f t="shared" si="2"/>
        <v/>
      </c>
      <c r="V52">
        <f t="shared" si="3"/>
        <v>0.223</v>
      </c>
      <c r="W52">
        <f t="shared" si="4"/>
        <v>0.24600000000000002</v>
      </c>
      <c r="X52">
        <f t="shared" si="5"/>
        <v>0.26500000000000001</v>
      </c>
      <c r="Y52">
        <f t="shared" si="6"/>
        <v>0.27800000000000002</v>
      </c>
      <c r="Z52">
        <f t="shared" si="7"/>
        <v>0.29299999999999998</v>
      </c>
      <c r="AA52">
        <f t="shared" si="8"/>
        <v>0.30299999999999999</v>
      </c>
      <c r="AB52">
        <f t="shared" si="9"/>
        <v>0.24399999999999999</v>
      </c>
      <c r="AC52">
        <f t="shared" si="10"/>
        <v>0.23300000000000001</v>
      </c>
      <c r="AD52">
        <f t="shared" si="11"/>
        <v>0.17800000000000002</v>
      </c>
    </row>
    <row r="53" spans="1:30" x14ac:dyDescent="0.25">
      <c r="A53">
        <v>420</v>
      </c>
      <c r="B53">
        <v>35</v>
      </c>
      <c r="C53">
        <v>0</v>
      </c>
      <c r="D53">
        <v>14</v>
      </c>
      <c r="E53">
        <v>6</v>
      </c>
      <c r="F53">
        <v>9</v>
      </c>
      <c r="G53">
        <v>11</v>
      </c>
      <c r="H53">
        <v>7</v>
      </c>
      <c r="I53">
        <v>-5.9</v>
      </c>
      <c r="J53">
        <v>27.3</v>
      </c>
      <c r="K53">
        <v>26.5</v>
      </c>
      <c r="L53">
        <v>28.7</v>
      </c>
      <c r="M53">
        <v>30</v>
      </c>
      <c r="N53">
        <v>28.8</v>
      </c>
      <c r="O53">
        <v>24.2</v>
      </c>
      <c r="P53">
        <v>22.5</v>
      </c>
      <c r="Q53">
        <v>24.7</v>
      </c>
      <c r="R53">
        <v>15.5</v>
      </c>
      <c r="S53">
        <f t="shared" si="1"/>
        <v>35</v>
      </c>
      <c r="T53" t="s">
        <v>81</v>
      </c>
      <c r="U53" t="str">
        <f t="shared" si="2"/>
        <v/>
      </c>
      <c r="V53">
        <f t="shared" si="3"/>
        <v>0.27300000000000002</v>
      </c>
      <c r="W53">
        <f t="shared" si="4"/>
        <v>0.26500000000000001</v>
      </c>
      <c r="X53">
        <f t="shared" si="5"/>
        <v>0.28699999999999998</v>
      </c>
      <c r="Y53">
        <f t="shared" si="6"/>
        <v>0.3</v>
      </c>
      <c r="Z53">
        <f t="shared" si="7"/>
        <v>0.28800000000000003</v>
      </c>
      <c r="AA53">
        <f t="shared" si="8"/>
        <v>0.24199999999999999</v>
      </c>
      <c r="AB53">
        <f t="shared" si="9"/>
        <v>0.22500000000000001</v>
      </c>
      <c r="AC53">
        <f t="shared" si="10"/>
        <v>0.247</v>
      </c>
      <c r="AD53">
        <f t="shared" si="11"/>
        <v>0.155</v>
      </c>
    </row>
    <row r="54" spans="1:30" x14ac:dyDescent="0.25">
      <c r="A54">
        <v>419</v>
      </c>
      <c r="B54">
        <v>36</v>
      </c>
      <c r="C54">
        <v>0</v>
      </c>
      <c r="D54">
        <v>14</v>
      </c>
      <c r="E54">
        <v>6</v>
      </c>
      <c r="F54">
        <v>9</v>
      </c>
      <c r="G54">
        <v>11</v>
      </c>
      <c r="H54">
        <v>12</v>
      </c>
      <c r="I54">
        <v>19</v>
      </c>
      <c r="J54">
        <v>22.5</v>
      </c>
      <c r="K54">
        <v>26.5</v>
      </c>
      <c r="L54">
        <v>25.9</v>
      </c>
      <c r="M54">
        <v>22.5</v>
      </c>
      <c r="N54">
        <v>23.2</v>
      </c>
      <c r="O54">
        <v>20.100000000000001</v>
      </c>
      <c r="P54">
        <v>20</v>
      </c>
      <c r="Q54">
        <v>20.7</v>
      </c>
      <c r="R54">
        <v>14.2</v>
      </c>
      <c r="S54">
        <f t="shared" si="1"/>
        <v>36</v>
      </c>
      <c r="T54" t="s">
        <v>73</v>
      </c>
      <c r="U54">
        <f t="shared" si="2"/>
        <v>0.19</v>
      </c>
      <c r="V54">
        <f t="shared" si="3"/>
        <v>0.22500000000000001</v>
      </c>
      <c r="W54">
        <f t="shared" si="4"/>
        <v>0.26500000000000001</v>
      </c>
      <c r="X54">
        <f t="shared" si="5"/>
        <v>0.25900000000000001</v>
      </c>
      <c r="Y54">
        <f t="shared" si="6"/>
        <v>0.22500000000000001</v>
      </c>
      <c r="Z54">
        <f t="shared" si="7"/>
        <v>0.23199999999999998</v>
      </c>
      <c r="AA54">
        <f t="shared" si="8"/>
        <v>0.20100000000000001</v>
      </c>
      <c r="AB54">
        <f t="shared" si="9"/>
        <v>0.2</v>
      </c>
      <c r="AC54">
        <f t="shared" si="10"/>
        <v>0.20699999999999999</v>
      </c>
      <c r="AD54">
        <f t="shared" si="11"/>
        <v>0.14199999999999999</v>
      </c>
    </row>
    <row r="55" spans="1:30" x14ac:dyDescent="0.25">
      <c r="A55">
        <v>438</v>
      </c>
      <c r="B55">
        <v>54</v>
      </c>
      <c r="C55">
        <v>0</v>
      </c>
      <c r="D55">
        <v>14</v>
      </c>
      <c r="E55">
        <v>6</v>
      </c>
      <c r="F55">
        <v>10</v>
      </c>
      <c r="G55">
        <v>8</v>
      </c>
      <c r="H55">
        <v>20</v>
      </c>
      <c r="I55">
        <v>15.7</v>
      </c>
      <c r="J55">
        <v>15.7</v>
      </c>
      <c r="K55">
        <v>18.399999999999999</v>
      </c>
      <c r="L55">
        <v>22.4</v>
      </c>
      <c r="M55">
        <v>23</v>
      </c>
      <c r="N55">
        <v>18.7</v>
      </c>
      <c r="O55">
        <v>17.5</v>
      </c>
      <c r="P55">
        <v>19</v>
      </c>
      <c r="Q55">
        <v>20.5</v>
      </c>
      <c r="R55">
        <v>14.2</v>
      </c>
      <c r="S55">
        <f t="shared" si="1"/>
        <v>54</v>
      </c>
      <c r="T55" t="s">
        <v>36</v>
      </c>
      <c r="U55">
        <f t="shared" si="2"/>
        <v>0.157</v>
      </c>
      <c r="V55">
        <f t="shared" si="3"/>
        <v>0.157</v>
      </c>
      <c r="W55">
        <f t="shared" si="4"/>
        <v>0.184</v>
      </c>
      <c r="X55">
        <f t="shared" si="5"/>
        <v>0.22399999999999998</v>
      </c>
      <c r="Y55">
        <f t="shared" si="6"/>
        <v>0.23</v>
      </c>
      <c r="Z55">
        <f t="shared" si="7"/>
        <v>0.187</v>
      </c>
      <c r="AA55">
        <f t="shared" si="8"/>
        <v>0.17499999999999999</v>
      </c>
      <c r="AB55">
        <f t="shared" si="9"/>
        <v>0.19</v>
      </c>
      <c r="AC55">
        <f t="shared" si="10"/>
        <v>0.20499999999999999</v>
      </c>
      <c r="AD55">
        <f t="shared" si="11"/>
        <v>0.14199999999999999</v>
      </c>
    </row>
    <row r="56" spans="1:30" x14ac:dyDescent="0.25">
      <c r="A56">
        <v>437</v>
      </c>
      <c r="B56">
        <v>55</v>
      </c>
      <c r="C56">
        <v>0</v>
      </c>
      <c r="D56">
        <v>14</v>
      </c>
      <c r="E56">
        <v>6</v>
      </c>
      <c r="F56">
        <v>10</v>
      </c>
      <c r="G56">
        <v>8</v>
      </c>
      <c r="H56">
        <v>25</v>
      </c>
      <c r="I56">
        <v>16.8</v>
      </c>
      <c r="J56">
        <v>17.899999999999999</v>
      </c>
      <c r="K56">
        <v>21.8</v>
      </c>
      <c r="L56">
        <v>24.1</v>
      </c>
      <c r="M56">
        <v>24</v>
      </c>
      <c r="N56">
        <v>22.1</v>
      </c>
      <c r="O56">
        <v>20.9</v>
      </c>
      <c r="P56">
        <v>20.9</v>
      </c>
      <c r="Q56">
        <v>22.6</v>
      </c>
      <c r="R56">
        <v>18.2</v>
      </c>
      <c r="S56">
        <f t="shared" si="1"/>
        <v>55</v>
      </c>
      <c r="T56" t="s">
        <v>89</v>
      </c>
      <c r="U56">
        <f t="shared" si="2"/>
        <v>0.16800000000000001</v>
      </c>
      <c r="V56">
        <f t="shared" si="3"/>
        <v>0.17899999999999999</v>
      </c>
      <c r="W56">
        <f t="shared" si="4"/>
        <v>0.218</v>
      </c>
      <c r="X56">
        <f t="shared" si="5"/>
        <v>0.24100000000000002</v>
      </c>
      <c r="Y56">
        <f t="shared" si="6"/>
        <v>0.24</v>
      </c>
      <c r="Z56">
        <f t="shared" si="7"/>
        <v>0.221</v>
      </c>
      <c r="AA56">
        <f t="shared" si="8"/>
        <v>0.20899999999999999</v>
      </c>
      <c r="AB56">
        <f t="shared" si="9"/>
        <v>0.20899999999999999</v>
      </c>
      <c r="AC56">
        <f t="shared" si="10"/>
        <v>0.22600000000000001</v>
      </c>
      <c r="AD56">
        <f t="shared" si="11"/>
        <v>0.182</v>
      </c>
    </row>
    <row r="57" spans="1:30" x14ac:dyDescent="0.25">
      <c r="A57">
        <v>436</v>
      </c>
      <c r="B57">
        <v>56</v>
      </c>
      <c r="C57">
        <v>0</v>
      </c>
      <c r="D57">
        <v>14</v>
      </c>
      <c r="E57">
        <v>6</v>
      </c>
      <c r="F57">
        <v>10</v>
      </c>
      <c r="G57">
        <v>8</v>
      </c>
      <c r="H57">
        <v>30</v>
      </c>
      <c r="I57">
        <v>19.600000000000001</v>
      </c>
      <c r="J57">
        <v>20.100000000000001</v>
      </c>
      <c r="K57">
        <v>19</v>
      </c>
      <c r="L57">
        <v>21.9</v>
      </c>
      <c r="M57">
        <v>22.8</v>
      </c>
      <c r="N57">
        <v>22.5</v>
      </c>
      <c r="O57">
        <v>22.5</v>
      </c>
      <c r="P57">
        <v>22.3</v>
      </c>
      <c r="Q57">
        <v>22.2</v>
      </c>
      <c r="R57">
        <v>16.899999999999999</v>
      </c>
      <c r="S57">
        <f t="shared" si="1"/>
        <v>56</v>
      </c>
      <c r="T57" t="s">
        <v>90</v>
      </c>
      <c r="U57">
        <f t="shared" si="2"/>
        <v>0.19600000000000001</v>
      </c>
      <c r="V57">
        <f t="shared" si="3"/>
        <v>0.20100000000000001</v>
      </c>
      <c r="W57">
        <f t="shared" si="4"/>
        <v>0.19</v>
      </c>
      <c r="X57">
        <f t="shared" si="5"/>
        <v>0.21899999999999997</v>
      </c>
      <c r="Y57">
        <f t="shared" si="6"/>
        <v>0.22800000000000001</v>
      </c>
      <c r="Z57">
        <f t="shared" si="7"/>
        <v>0.22500000000000001</v>
      </c>
      <c r="AA57">
        <f t="shared" si="8"/>
        <v>0.22500000000000001</v>
      </c>
      <c r="AB57">
        <f t="shared" si="9"/>
        <v>0.223</v>
      </c>
      <c r="AC57">
        <f t="shared" si="10"/>
        <v>0.222</v>
      </c>
      <c r="AD57">
        <f t="shared" si="11"/>
        <v>0.16899999999999998</v>
      </c>
    </row>
    <row r="58" spans="1:30" x14ac:dyDescent="0.25">
      <c r="A58">
        <v>434</v>
      </c>
      <c r="B58">
        <v>57</v>
      </c>
      <c r="C58">
        <v>0</v>
      </c>
      <c r="D58">
        <v>14</v>
      </c>
      <c r="E58">
        <v>6</v>
      </c>
      <c r="F58">
        <v>10</v>
      </c>
      <c r="G58">
        <v>8</v>
      </c>
      <c r="H58">
        <v>37</v>
      </c>
      <c r="I58">
        <v>16.7</v>
      </c>
      <c r="J58">
        <v>20.2</v>
      </c>
      <c r="K58">
        <v>25.3</v>
      </c>
      <c r="L58">
        <v>26.5</v>
      </c>
      <c r="M58">
        <v>25.7</v>
      </c>
      <c r="N58">
        <v>26.6</v>
      </c>
      <c r="O58">
        <v>25.2</v>
      </c>
      <c r="P58">
        <v>23.6</v>
      </c>
      <c r="Q58">
        <v>25</v>
      </c>
      <c r="R58">
        <v>20</v>
      </c>
      <c r="S58">
        <f t="shared" si="1"/>
        <v>57</v>
      </c>
      <c r="T58" t="s">
        <v>91</v>
      </c>
      <c r="U58">
        <f t="shared" si="2"/>
        <v>0.16699999999999998</v>
      </c>
      <c r="V58">
        <f t="shared" si="3"/>
        <v>0.20199999999999999</v>
      </c>
      <c r="W58">
        <f t="shared" si="4"/>
        <v>0.253</v>
      </c>
      <c r="X58">
        <f t="shared" si="5"/>
        <v>0.26500000000000001</v>
      </c>
      <c r="Y58">
        <f t="shared" si="6"/>
        <v>0.25700000000000001</v>
      </c>
      <c r="Z58">
        <f t="shared" si="7"/>
        <v>0.26600000000000001</v>
      </c>
      <c r="AA58">
        <f t="shared" si="8"/>
        <v>0.252</v>
      </c>
      <c r="AB58">
        <f t="shared" si="9"/>
        <v>0.23600000000000002</v>
      </c>
      <c r="AC58">
        <f t="shared" si="10"/>
        <v>0.25</v>
      </c>
      <c r="AD58">
        <f t="shared" si="11"/>
        <v>0.2</v>
      </c>
    </row>
    <row r="59" spans="1:30" x14ac:dyDescent="0.25">
      <c r="A59">
        <v>432</v>
      </c>
      <c r="B59">
        <v>58</v>
      </c>
      <c r="C59">
        <v>0</v>
      </c>
      <c r="D59">
        <v>14</v>
      </c>
      <c r="E59">
        <v>6</v>
      </c>
      <c r="F59">
        <v>10</v>
      </c>
      <c r="G59">
        <v>8</v>
      </c>
      <c r="H59">
        <v>47</v>
      </c>
      <c r="I59">
        <v>21.9</v>
      </c>
      <c r="J59">
        <v>22</v>
      </c>
      <c r="K59">
        <v>22.9</v>
      </c>
      <c r="L59">
        <v>23</v>
      </c>
      <c r="M59">
        <v>20.6</v>
      </c>
      <c r="N59">
        <v>16.5</v>
      </c>
      <c r="O59">
        <v>14.7</v>
      </c>
      <c r="P59">
        <v>19.5</v>
      </c>
      <c r="Q59">
        <v>21.5</v>
      </c>
      <c r="R59">
        <v>18</v>
      </c>
      <c r="S59">
        <f t="shared" si="1"/>
        <v>58</v>
      </c>
      <c r="T59" t="s">
        <v>92</v>
      </c>
      <c r="U59">
        <f t="shared" si="2"/>
        <v>0.21899999999999997</v>
      </c>
      <c r="V59">
        <f t="shared" si="3"/>
        <v>0.22</v>
      </c>
      <c r="W59">
        <f t="shared" si="4"/>
        <v>0.22899999999999998</v>
      </c>
      <c r="X59">
        <f t="shared" si="5"/>
        <v>0.23</v>
      </c>
      <c r="Y59">
        <f t="shared" si="6"/>
        <v>0.20600000000000002</v>
      </c>
      <c r="Z59">
        <f t="shared" si="7"/>
        <v>0.16500000000000001</v>
      </c>
      <c r="AA59">
        <f t="shared" si="8"/>
        <v>0.14699999999999999</v>
      </c>
      <c r="AB59">
        <f t="shared" si="9"/>
        <v>0.19500000000000001</v>
      </c>
      <c r="AC59">
        <f t="shared" si="10"/>
        <v>0.215</v>
      </c>
      <c r="AD59">
        <f t="shared" si="11"/>
        <v>0.18</v>
      </c>
    </row>
    <row r="60" spans="1:30" x14ac:dyDescent="0.25">
      <c r="A60">
        <v>431</v>
      </c>
      <c r="B60">
        <v>60</v>
      </c>
      <c r="C60">
        <v>0</v>
      </c>
      <c r="D60">
        <v>14</v>
      </c>
      <c r="E60">
        <v>6</v>
      </c>
      <c r="F60">
        <v>10</v>
      </c>
      <c r="G60">
        <v>8</v>
      </c>
      <c r="H60">
        <v>52</v>
      </c>
      <c r="I60">
        <v>-5</v>
      </c>
      <c r="J60">
        <v>20.9</v>
      </c>
      <c r="K60">
        <v>21.6</v>
      </c>
      <c r="L60">
        <v>21.6</v>
      </c>
      <c r="M60">
        <v>19</v>
      </c>
      <c r="N60">
        <v>13.1</v>
      </c>
      <c r="O60">
        <v>14</v>
      </c>
      <c r="P60">
        <v>18.3</v>
      </c>
      <c r="Q60">
        <v>20.6</v>
      </c>
      <c r="R60">
        <v>14.9</v>
      </c>
      <c r="S60">
        <f t="shared" si="1"/>
        <v>60</v>
      </c>
      <c r="T60" t="s">
        <v>94</v>
      </c>
      <c r="U60" t="str">
        <f t="shared" si="2"/>
        <v/>
      </c>
      <c r="V60">
        <f t="shared" si="3"/>
        <v>0.20899999999999999</v>
      </c>
      <c r="W60">
        <f t="shared" si="4"/>
        <v>0.21600000000000003</v>
      </c>
      <c r="X60">
        <f t="shared" si="5"/>
        <v>0.21600000000000003</v>
      </c>
      <c r="Y60">
        <f t="shared" si="6"/>
        <v>0.19</v>
      </c>
      <c r="Z60">
        <f t="shared" si="7"/>
        <v>0.13100000000000001</v>
      </c>
      <c r="AA60">
        <f t="shared" si="8"/>
        <v>0.14000000000000001</v>
      </c>
      <c r="AB60">
        <f t="shared" si="9"/>
        <v>0.183</v>
      </c>
      <c r="AC60">
        <f t="shared" si="10"/>
        <v>0.20600000000000002</v>
      </c>
      <c r="AD60">
        <f t="shared" si="11"/>
        <v>0.14899999999999999</v>
      </c>
    </row>
    <row r="61" spans="1:30" x14ac:dyDescent="0.25">
      <c r="A61">
        <v>430</v>
      </c>
      <c r="B61">
        <v>61</v>
      </c>
      <c r="C61">
        <v>0</v>
      </c>
      <c r="D61">
        <v>14</v>
      </c>
      <c r="E61">
        <v>6</v>
      </c>
      <c r="F61">
        <v>10</v>
      </c>
      <c r="G61">
        <v>9</v>
      </c>
      <c r="H61">
        <v>3</v>
      </c>
      <c r="I61">
        <v>-5</v>
      </c>
      <c r="J61">
        <v>22.3</v>
      </c>
      <c r="K61">
        <v>22.3</v>
      </c>
      <c r="L61">
        <v>23.2</v>
      </c>
      <c r="M61">
        <v>22.4</v>
      </c>
      <c r="N61">
        <v>18.8</v>
      </c>
      <c r="O61">
        <v>17.8</v>
      </c>
      <c r="P61">
        <v>20.2</v>
      </c>
      <c r="Q61">
        <v>22.2</v>
      </c>
      <c r="R61">
        <v>15.8</v>
      </c>
      <c r="S61">
        <f t="shared" si="1"/>
        <v>61</v>
      </c>
      <c r="T61" t="s">
        <v>45</v>
      </c>
      <c r="U61" t="str">
        <f t="shared" si="2"/>
        <v/>
      </c>
      <c r="V61">
        <f t="shared" si="3"/>
        <v>0.223</v>
      </c>
      <c r="W61">
        <f t="shared" si="4"/>
        <v>0.223</v>
      </c>
      <c r="X61">
        <f t="shared" si="5"/>
        <v>0.23199999999999998</v>
      </c>
      <c r="Y61">
        <f t="shared" si="6"/>
        <v>0.22399999999999998</v>
      </c>
      <c r="Z61">
        <f t="shared" si="7"/>
        <v>0.188</v>
      </c>
      <c r="AA61">
        <f t="shared" si="8"/>
        <v>0.17800000000000002</v>
      </c>
      <c r="AB61">
        <f t="shared" si="9"/>
        <v>0.20199999999999999</v>
      </c>
      <c r="AC61">
        <f t="shared" si="10"/>
        <v>0.222</v>
      </c>
      <c r="AD61">
        <f t="shared" si="11"/>
        <v>0.158</v>
      </c>
    </row>
    <row r="62" spans="1:30" x14ac:dyDescent="0.25">
      <c r="A62">
        <v>429</v>
      </c>
      <c r="B62">
        <v>62</v>
      </c>
      <c r="C62">
        <v>0</v>
      </c>
      <c r="D62">
        <v>14</v>
      </c>
      <c r="E62">
        <v>6</v>
      </c>
      <c r="F62">
        <v>10</v>
      </c>
      <c r="G62">
        <v>9</v>
      </c>
      <c r="H62">
        <v>7</v>
      </c>
      <c r="I62">
        <v>23.1</v>
      </c>
      <c r="J62">
        <v>23.3</v>
      </c>
      <c r="K62">
        <v>23.8</v>
      </c>
      <c r="L62">
        <v>24.9</v>
      </c>
      <c r="M62">
        <v>24.2</v>
      </c>
      <c r="N62">
        <v>23.5</v>
      </c>
      <c r="O62">
        <v>24</v>
      </c>
      <c r="P62">
        <v>23.3</v>
      </c>
      <c r="Q62">
        <v>20.8</v>
      </c>
      <c r="R62">
        <v>13.7</v>
      </c>
      <c r="S62">
        <f t="shared" si="1"/>
        <v>62</v>
      </c>
      <c r="T62" t="s">
        <v>46</v>
      </c>
      <c r="U62">
        <f t="shared" si="2"/>
        <v>0.23100000000000001</v>
      </c>
      <c r="V62">
        <f t="shared" si="3"/>
        <v>0.23300000000000001</v>
      </c>
      <c r="W62">
        <f t="shared" si="4"/>
        <v>0.23800000000000002</v>
      </c>
      <c r="X62">
        <f t="shared" si="5"/>
        <v>0.249</v>
      </c>
      <c r="Y62">
        <f t="shared" si="6"/>
        <v>0.24199999999999999</v>
      </c>
      <c r="Z62">
        <f t="shared" si="7"/>
        <v>0.23499999999999999</v>
      </c>
      <c r="AA62">
        <f t="shared" si="8"/>
        <v>0.24</v>
      </c>
      <c r="AB62">
        <f t="shared" si="9"/>
        <v>0.23300000000000001</v>
      </c>
      <c r="AC62">
        <f t="shared" si="10"/>
        <v>0.20800000000000002</v>
      </c>
      <c r="AD62">
        <f t="shared" si="11"/>
        <v>0.13699999999999998</v>
      </c>
    </row>
    <row r="63" spans="1:30" x14ac:dyDescent="0.25">
      <c r="A63">
        <v>428</v>
      </c>
      <c r="B63">
        <v>63</v>
      </c>
      <c r="C63">
        <v>0</v>
      </c>
      <c r="D63">
        <v>14</v>
      </c>
      <c r="E63">
        <v>6</v>
      </c>
      <c r="F63">
        <v>10</v>
      </c>
      <c r="G63">
        <v>9</v>
      </c>
      <c r="H63">
        <v>12</v>
      </c>
      <c r="I63">
        <v>19.5</v>
      </c>
      <c r="J63">
        <v>19.8</v>
      </c>
      <c r="K63">
        <v>21.1</v>
      </c>
      <c r="L63">
        <v>22.5</v>
      </c>
      <c r="M63">
        <v>21.8</v>
      </c>
      <c r="N63">
        <v>21.2</v>
      </c>
      <c r="O63">
        <v>17.8</v>
      </c>
      <c r="P63">
        <v>23.4</v>
      </c>
      <c r="Q63">
        <v>20.9</v>
      </c>
      <c r="R63">
        <v>13.3</v>
      </c>
      <c r="S63">
        <f t="shared" si="1"/>
        <v>63</v>
      </c>
      <c r="T63" t="s">
        <v>47</v>
      </c>
      <c r="U63">
        <f t="shared" si="2"/>
        <v>0.19500000000000001</v>
      </c>
      <c r="V63">
        <f t="shared" si="3"/>
        <v>0.19800000000000001</v>
      </c>
      <c r="W63">
        <f t="shared" si="4"/>
        <v>0.21100000000000002</v>
      </c>
      <c r="X63">
        <f t="shared" si="5"/>
        <v>0.22500000000000001</v>
      </c>
      <c r="Y63">
        <f t="shared" si="6"/>
        <v>0.218</v>
      </c>
      <c r="Z63">
        <f t="shared" si="7"/>
        <v>0.21199999999999999</v>
      </c>
      <c r="AA63">
        <f t="shared" si="8"/>
        <v>0.17800000000000002</v>
      </c>
      <c r="AB63">
        <f t="shared" si="9"/>
        <v>0.23399999999999999</v>
      </c>
      <c r="AC63">
        <f t="shared" si="10"/>
        <v>0.20899999999999999</v>
      </c>
      <c r="AD63">
        <f t="shared" si="11"/>
        <v>0.13300000000000001</v>
      </c>
    </row>
    <row r="64" spans="1:30" x14ac:dyDescent="0.25">
      <c r="A64">
        <v>427</v>
      </c>
      <c r="B64">
        <v>64</v>
      </c>
      <c r="C64">
        <v>0</v>
      </c>
      <c r="D64">
        <v>14</v>
      </c>
      <c r="E64">
        <v>6</v>
      </c>
      <c r="F64">
        <v>10</v>
      </c>
      <c r="G64">
        <v>9</v>
      </c>
      <c r="H64">
        <v>17</v>
      </c>
      <c r="I64">
        <v>14.4</v>
      </c>
      <c r="J64">
        <v>13.7</v>
      </c>
      <c r="K64">
        <v>12.8</v>
      </c>
      <c r="L64">
        <v>12.4</v>
      </c>
      <c r="M64">
        <v>11.2</v>
      </c>
      <c r="N64">
        <v>11.4</v>
      </c>
      <c r="O64">
        <v>13.6</v>
      </c>
      <c r="P64">
        <v>19.5</v>
      </c>
      <c r="Q64">
        <v>21.1</v>
      </c>
      <c r="R64">
        <v>13.1</v>
      </c>
      <c r="S64">
        <f t="shared" si="1"/>
        <v>64</v>
      </c>
      <c r="T64" t="s">
        <v>48</v>
      </c>
      <c r="U64">
        <f t="shared" si="2"/>
        <v>0.14400000000000002</v>
      </c>
      <c r="V64">
        <f t="shared" si="3"/>
        <v>0.13699999999999998</v>
      </c>
      <c r="W64">
        <f t="shared" si="4"/>
        <v>0.128</v>
      </c>
      <c r="X64">
        <f t="shared" si="5"/>
        <v>0.124</v>
      </c>
      <c r="Y64">
        <f t="shared" si="6"/>
        <v>0.11199999999999999</v>
      </c>
      <c r="Z64">
        <f t="shared" si="7"/>
        <v>0.114</v>
      </c>
      <c r="AA64">
        <f t="shared" si="8"/>
        <v>0.13600000000000001</v>
      </c>
      <c r="AB64">
        <f t="shared" si="9"/>
        <v>0.19500000000000001</v>
      </c>
      <c r="AC64">
        <f t="shared" si="10"/>
        <v>0.21100000000000002</v>
      </c>
      <c r="AD64">
        <f t="shared" si="11"/>
        <v>0.13100000000000001</v>
      </c>
    </row>
    <row r="65" spans="1:30" x14ac:dyDescent="0.25">
      <c r="A65">
        <v>426</v>
      </c>
      <c r="B65">
        <v>65</v>
      </c>
      <c r="C65">
        <v>0</v>
      </c>
      <c r="D65">
        <v>14</v>
      </c>
      <c r="E65">
        <v>6</v>
      </c>
      <c r="F65">
        <v>10</v>
      </c>
      <c r="G65">
        <v>9</v>
      </c>
      <c r="H65">
        <v>22</v>
      </c>
      <c r="I65">
        <v>18.2</v>
      </c>
      <c r="J65">
        <v>21.5</v>
      </c>
      <c r="K65">
        <v>23.1</v>
      </c>
      <c r="L65">
        <v>23.1</v>
      </c>
      <c r="M65">
        <v>23.3</v>
      </c>
      <c r="N65">
        <v>20.9</v>
      </c>
      <c r="O65">
        <v>16.600000000000001</v>
      </c>
      <c r="P65">
        <v>17.399999999999999</v>
      </c>
      <c r="Q65">
        <v>20.2</v>
      </c>
      <c r="R65">
        <v>14.7</v>
      </c>
      <c r="S65">
        <f t="shared" si="1"/>
        <v>65</v>
      </c>
      <c r="T65" t="s">
        <v>49</v>
      </c>
      <c r="U65">
        <f t="shared" si="2"/>
        <v>0.182</v>
      </c>
      <c r="V65">
        <f t="shared" si="3"/>
        <v>0.215</v>
      </c>
      <c r="W65">
        <f t="shared" si="4"/>
        <v>0.23100000000000001</v>
      </c>
      <c r="X65">
        <f t="shared" si="5"/>
        <v>0.23100000000000001</v>
      </c>
      <c r="Y65">
        <f t="shared" si="6"/>
        <v>0.23300000000000001</v>
      </c>
      <c r="Z65">
        <f t="shared" si="7"/>
        <v>0.20899999999999999</v>
      </c>
      <c r="AA65">
        <f t="shared" si="8"/>
        <v>0.16600000000000001</v>
      </c>
      <c r="AB65">
        <f t="shared" si="9"/>
        <v>0.17399999999999999</v>
      </c>
      <c r="AC65">
        <f t="shared" si="10"/>
        <v>0.20199999999999999</v>
      </c>
      <c r="AD65">
        <f t="shared" si="11"/>
        <v>0.14699999999999999</v>
      </c>
    </row>
    <row r="66" spans="1:30" x14ac:dyDescent="0.25">
      <c r="A66">
        <v>425</v>
      </c>
      <c r="B66">
        <v>66</v>
      </c>
      <c r="C66">
        <v>0</v>
      </c>
      <c r="D66">
        <v>14</v>
      </c>
      <c r="E66">
        <v>6</v>
      </c>
      <c r="F66">
        <v>10</v>
      </c>
      <c r="G66">
        <v>9</v>
      </c>
      <c r="H66">
        <v>27</v>
      </c>
      <c r="I66">
        <v>19.399999999999999</v>
      </c>
      <c r="J66">
        <v>21.6</v>
      </c>
      <c r="K66">
        <v>20.3</v>
      </c>
      <c r="L66">
        <v>17.899999999999999</v>
      </c>
      <c r="M66">
        <v>16</v>
      </c>
      <c r="N66">
        <v>16.8</v>
      </c>
      <c r="O66">
        <v>17.7</v>
      </c>
      <c r="P66">
        <v>20.9</v>
      </c>
      <c r="Q66">
        <v>22.6</v>
      </c>
      <c r="R66">
        <v>16.2</v>
      </c>
      <c r="S66">
        <f t="shared" si="1"/>
        <v>66</v>
      </c>
      <c r="T66" t="s">
        <v>50</v>
      </c>
      <c r="U66">
        <f t="shared" si="2"/>
        <v>0.19399999999999998</v>
      </c>
      <c r="V66">
        <f t="shared" si="3"/>
        <v>0.21600000000000003</v>
      </c>
      <c r="W66">
        <f t="shared" si="4"/>
        <v>0.20300000000000001</v>
      </c>
      <c r="X66">
        <f t="shared" si="5"/>
        <v>0.17899999999999999</v>
      </c>
      <c r="Y66">
        <f t="shared" si="6"/>
        <v>0.16</v>
      </c>
      <c r="Z66">
        <f t="shared" si="7"/>
        <v>0.16800000000000001</v>
      </c>
      <c r="AA66">
        <f t="shared" si="8"/>
        <v>0.17699999999999999</v>
      </c>
      <c r="AB66">
        <f t="shared" si="9"/>
        <v>0.20899999999999999</v>
      </c>
      <c r="AC66">
        <f t="shared" si="10"/>
        <v>0.22600000000000001</v>
      </c>
      <c r="AD66">
        <f t="shared" si="11"/>
        <v>0.16200000000000001</v>
      </c>
    </row>
    <row r="68" spans="1:30" x14ac:dyDescent="0.25">
      <c r="A68" s="2">
        <v>41800</v>
      </c>
    </row>
    <row r="69" spans="1:30" x14ac:dyDescent="0.25">
      <c r="A69" t="s">
        <v>3</v>
      </c>
      <c r="B69">
        <v>6116</v>
      </c>
      <c r="C69" t="s">
        <v>4</v>
      </c>
      <c r="D69">
        <v>12940</v>
      </c>
      <c r="E69">
        <v>0</v>
      </c>
      <c r="F69">
        <v>10</v>
      </c>
    </row>
    <row r="70" spans="1:30" x14ac:dyDescent="0.25">
      <c r="A70">
        <v>0</v>
      </c>
      <c r="B70">
        <v>11</v>
      </c>
      <c r="C70">
        <v>8</v>
      </c>
      <c r="D70">
        <v>25</v>
      </c>
      <c r="E70">
        <v>21.641999999999999</v>
      </c>
      <c r="F70">
        <v>-4.968</v>
      </c>
    </row>
    <row r="71" spans="1:30" x14ac:dyDescent="0.25">
      <c r="A71">
        <v>1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2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3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4</v>
      </c>
      <c r="B74">
        <v>95</v>
      </c>
      <c r="C74">
        <v>36280</v>
      </c>
      <c r="D74">
        <v>72</v>
      </c>
      <c r="E74">
        <v>0</v>
      </c>
      <c r="F74">
        <v>0</v>
      </c>
    </row>
    <row r="75" spans="1:30" x14ac:dyDescent="0.25">
      <c r="A75">
        <v>5</v>
      </c>
      <c r="B75">
        <v>95</v>
      </c>
      <c r="C75">
        <v>36280</v>
      </c>
      <c r="D75">
        <v>72</v>
      </c>
      <c r="E75">
        <v>0</v>
      </c>
      <c r="F75">
        <v>0</v>
      </c>
    </row>
    <row r="76" spans="1:30" x14ac:dyDescent="0.25">
      <c r="A76">
        <v>6</v>
      </c>
      <c r="B76">
        <v>95</v>
      </c>
      <c r="C76">
        <v>36280</v>
      </c>
      <c r="D76">
        <v>72</v>
      </c>
      <c r="E76">
        <v>0</v>
      </c>
      <c r="F76">
        <v>0</v>
      </c>
    </row>
    <row r="77" spans="1:30" x14ac:dyDescent="0.25">
      <c r="A77">
        <v>7</v>
      </c>
      <c r="B77">
        <v>95</v>
      </c>
      <c r="C77">
        <v>36280</v>
      </c>
      <c r="D77">
        <v>72</v>
      </c>
      <c r="E77">
        <v>0</v>
      </c>
      <c r="F77">
        <v>0</v>
      </c>
    </row>
    <row r="78" spans="1:30" x14ac:dyDescent="0.25">
      <c r="A78">
        <v>8</v>
      </c>
      <c r="B78">
        <v>95</v>
      </c>
      <c r="C78">
        <v>36280</v>
      </c>
      <c r="D78">
        <v>72</v>
      </c>
      <c r="E78">
        <v>0</v>
      </c>
      <c r="F78">
        <v>0</v>
      </c>
    </row>
    <row r="79" spans="1:30" x14ac:dyDescent="0.25">
      <c r="A79">
        <v>9</v>
      </c>
      <c r="B79">
        <v>95</v>
      </c>
      <c r="C79">
        <v>36280</v>
      </c>
      <c r="D79">
        <v>72</v>
      </c>
      <c r="E79">
        <v>0</v>
      </c>
      <c r="F79">
        <v>0</v>
      </c>
    </row>
    <row r="80" spans="1:30" x14ac:dyDescent="0.25">
      <c r="A80">
        <v>10</v>
      </c>
      <c r="B80">
        <v>95</v>
      </c>
      <c r="C80">
        <v>36280</v>
      </c>
      <c r="D80">
        <v>72</v>
      </c>
      <c r="E80">
        <v>0</v>
      </c>
      <c r="F80">
        <v>0</v>
      </c>
    </row>
    <row r="81" spans="1:30" x14ac:dyDescent="0.25">
      <c r="A81">
        <v>11</v>
      </c>
      <c r="B81">
        <v>95</v>
      </c>
      <c r="C81">
        <v>36280</v>
      </c>
      <c r="D81">
        <v>72</v>
      </c>
      <c r="E81">
        <v>0</v>
      </c>
      <c r="F81">
        <v>0</v>
      </c>
    </row>
    <row r="82" spans="1:30" x14ac:dyDescent="0.25">
      <c r="A82">
        <v>12</v>
      </c>
      <c r="B82">
        <v>95</v>
      </c>
      <c r="C82">
        <v>36280</v>
      </c>
      <c r="D82">
        <v>72</v>
      </c>
      <c r="E82">
        <v>0</v>
      </c>
      <c r="F82">
        <v>0</v>
      </c>
    </row>
    <row r="83" spans="1:30" x14ac:dyDescent="0.25">
      <c r="A83">
        <v>13</v>
      </c>
      <c r="B83">
        <v>95</v>
      </c>
      <c r="C83">
        <v>36280</v>
      </c>
      <c r="D83">
        <v>72</v>
      </c>
      <c r="E83">
        <v>0</v>
      </c>
      <c r="F83">
        <v>0</v>
      </c>
    </row>
    <row r="84" spans="1:30" x14ac:dyDescent="0.25">
      <c r="A84">
        <v>14</v>
      </c>
      <c r="B84">
        <v>95</v>
      </c>
      <c r="C84">
        <v>36280</v>
      </c>
      <c r="D84">
        <v>72</v>
      </c>
      <c r="E84">
        <v>0</v>
      </c>
      <c r="F84">
        <v>0</v>
      </c>
    </row>
    <row r="85" spans="1:30" x14ac:dyDescent="0.25">
      <c r="A85">
        <v>15</v>
      </c>
      <c r="B85">
        <v>95</v>
      </c>
      <c r="C85">
        <v>36280</v>
      </c>
      <c r="D85">
        <v>72</v>
      </c>
      <c r="E85">
        <v>0</v>
      </c>
      <c r="F85">
        <v>0</v>
      </c>
      <c r="S85" t="s">
        <v>0</v>
      </c>
      <c r="T85" t="s">
        <v>28</v>
      </c>
      <c r="U85">
        <v>190</v>
      </c>
      <c r="V85">
        <v>170</v>
      </c>
      <c r="W85">
        <v>150</v>
      </c>
      <c r="X85">
        <v>130</v>
      </c>
      <c r="Y85">
        <v>110</v>
      </c>
      <c r="Z85">
        <v>90</v>
      </c>
      <c r="AA85">
        <v>70</v>
      </c>
      <c r="AB85">
        <v>50</v>
      </c>
      <c r="AC85">
        <v>30</v>
      </c>
      <c r="AD85">
        <v>10</v>
      </c>
    </row>
    <row r="86" spans="1:30" x14ac:dyDescent="0.25">
      <c r="A86">
        <v>455</v>
      </c>
      <c r="B86">
        <v>37</v>
      </c>
      <c r="C86">
        <v>0</v>
      </c>
      <c r="D86">
        <v>14</v>
      </c>
      <c r="E86">
        <v>6</v>
      </c>
      <c r="F86">
        <v>10</v>
      </c>
      <c r="G86">
        <v>6</v>
      </c>
      <c r="H86">
        <v>34</v>
      </c>
      <c r="I86">
        <v>-5</v>
      </c>
      <c r="J86">
        <v>23.4</v>
      </c>
      <c r="K86">
        <v>21.3</v>
      </c>
      <c r="L86">
        <v>18.600000000000001</v>
      </c>
      <c r="M86">
        <v>16.600000000000001</v>
      </c>
      <c r="N86">
        <v>16.7</v>
      </c>
      <c r="O86">
        <v>16.600000000000001</v>
      </c>
      <c r="P86">
        <v>20.8</v>
      </c>
      <c r="Q86">
        <v>21</v>
      </c>
      <c r="R86">
        <v>13.4</v>
      </c>
      <c r="S86">
        <f>B86</f>
        <v>37</v>
      </c>
      <c r="T86" t="s">
        <v>35</v>
      </c>
      <c r="U86" t="str">
        <f>IF(I86&lt;0,"",I86/100)</f>
        <v/>
      </c>
      <c r="V86">
        <f t="shared" ref="V86:V88" si="12">IF(J86&lt;0,"",J86/100)</f>
        <v>0.23399999999999999</v>
      </c>
      <c r="W86">
        <f t="shared" ref="W86:W88" si="13">IF(K86&lt;0,"",K86/100)</f>
        <v>0.21299999999999999</v>
      </c>
      <c r="X86">
        <f t="shared" ref="X86:X88" si="14">IF(L86&lt;0,"",L86/100)</f>
        <v>0.18600000000000003</v>
      </c>
      <c r="Y86">
        <f t="shared" ref="Y86:Y88" si="15">IF(M86&lt;0,"",M86/100)</f>
        <v>0.16600000000000001</v>
      </c>
      <c r="Z86">
        <f t="shared" ref="Z86:Z88" si="16">IF(N86&lt;0,"",N86/100)</f>
        <v>0.16699999999999998</v>
      </c>
      <c r="AA86">
        <f t="shared" ref="AA86:AA88" si="17">IF(O86&lt;0,"",O86/100)</f>
        <v>0.16600000000000001</v>
      </c>
      <c r="AB86">
        <f t="shared" ref="AB86:AB88" si="18">IF(P86&lt;0,"",P86/100)</f>
        <v>0.20800000000000002</v>
      </c>
      <c r="AC86">
        <f t="shared" ref="AC86:AC88" si="19">IF(Q86&lt;0,"",Q86/100)</f>
        <v>0.21</v>
      </c>
      <c r="AD86">
        <f t="shared" ref="AD86:AD88" si="20">IF(R86&lt;0,"",R86/100)</f>
        <v>0.13400000000000001</v>
      </c>
    </row>
    <row r="87" spans="1:30" x14ac:dyDescent="0.25">
      <c r="A87">
        <v>454</v>
      </c>
      <c r="B87">
        <v>38</v>
      </c>
      <c r="C87">
        <v>0</v>
      </c>
      <c r="D87">
        <v>14</v>
      </c>
      <c r="E87">
        <v>6</v>
      </c>
      <c r="F87">
        <v>10</v>
      </c>
      <c r="G87">
        <v>6</v>
      </c>
      <c r="H87">
        <v>30</v>
      </c>
      <c r="I87">
        <v>23.9</v>
      </c>
      <c r="J87">
        <v>23.8</v>
      </c>
      <c r="K87">
        <v>24.4</v>
      </c>
      <c r="L87">
        <v>24.4</v>
      </c>
      <c r="M87">
        <v>23.5</v>
      </c>
      <c r="N87">
        <v>24.2</v>
      </c>
      <c r="O87">
        <v>21.9</v>
      </c>
      <c r="P87">
        <v>20.100000000000001</v>
      </c>
      <c r="Q87">
        <v>22.3</v>
      </c>
      <c r="R87">
        <v>16.5</v>
      </c>
      <c r="S87">
        <f t="shared" ref="S87:S102" si="21">B87</f>
        <v>38</v>
      </c>
      <c r="T87" t="s">
        <v>37</v>
      </c>
      <c r="U87">
        <f t="shared" ref="U87:U88" si="22">IF(I87&lt;0,"",I87/100)</f>
        <v>0.23899999999999999</v>
      </c>
      <c r="V87">
        <f t="shared" si="12"/>
        <v>0.23800000000000002</v>
      </c>
      <c r="W87">
        <f t="shared" si="13"/>
        <v>0.24399999999999999</v>
      </c>
      <c r="X87">
        <f t="shared" si="14"/>
        <v>0.24399999999999999</v>
      </c>
      <c r="Y87">
        <f t="shared" si="15"/>
        <v>0.23499999999999999</v>
      </c>
      <c r="Z87">
        <f t="shared" si="16"/>
        <v>0.24199999999999999</v>
      </c>
      <c r="AA87">
        <f t="shared" si="17"/>
        <v>0.21899999999999997</v>
      </c>
      <c r="AB87">
        <f t="shared" si="18"/>
        <v>0.20100000000000001</v>
      </c>
      <c r="AC87">
        <f t="shared" si="19"/>
        <v>0.223</v>
      </c>
      <c r="AD87">
        <f t="shared" si="20"/>
        <v>0.16500000000000001</v>
      </c>
    </row>
    <row r="88" spans="1:30" x14ac:dyDescent="0.25">
      <c r="A88">
        <v>453</v>
      </c>
      <c r="B88">
        <v>39</v>
      </c>
      <c r="C88">
        <v>0</v>
      </c>
      <c r="D88">
        <v>14</v>
      </c>
      <c r="E88">
        <v>6</v>
      </c>
      <c r="F88">
        <v>10</v>
      </c>
      <c r="G88">
        <v>6</v>
      </c>
      <c r="H88">
        <v>43</v>
      </c>
      <c r="I88">
        <v>20.2</v>
      </c>
      <c r="J88">
        <v>20.2</v>
      </c>
      <c r="K88">
        <v>21.6</v>
      </c>
      <c r="L88">
        <v>22.1</v>
      </c>
      <c r="M88">
        <v>22.4</v>
      </c>
      <c r="N88">
        <v>20.5</v>
      </c>
      <c r="O88">
        <v>18.399999999999999</v>
      </c>
      <c r="P88">
        <v>18.3</v>
      </c>
      <c r="Q88">
        <v>22.2</v>
      </c>
      <c r="R88">
        <v>15.6</v>
      </c>
      <c r="S88">
        <f t="shared" si="21"/>
        <v>39</v>
      </c>
      <c r="T88" t="s">
        <v>40</v>
      </c>
      <c r="U88">
        <f t="shared" si="22"/>
        <v>0.20199999999999999</v>
      </c>
      <c r="V88">
        <f t="shared" si="12"/>
        <v>0.20199999999999999</v>
      </c>
      <c r="W88">
        <f t="shared" si="13"/>
        <v>0.21600000000000003</v>
      </c>
      <c r="X88">
        <f t="shared" si="14"/>
        <v>0.221</v>
      </c>
      <c r="Y88">
        <f t="shared" si="15"/>
        <v>0.22399999999999998</v>
      </c>
      <c r="Z88">
        <f t="shared" si="16"/>
        <v>0.20499999999999999</v>
      </c>
      <c r="AA88">
        <f t="shared" si="17"/>
        <v>0.184</v>
      </c>
      <c r="AB88">
        <f t="shared" si="18"/>
        <v>0.183</v>
      </c>
      <c r="AC88">
        <f t="shared" si="19"/>
        <v>0.222</v>
      </c>
      <c r="AD88">
        <f t="shared" si="20"/>
        <v>0.156</v>
      </c>
    </row>
    <row r="89" spans="1:30" x14ac:dyDescent="0.25">
      <c r="A89">
        <v>452</v>
      </c>
      <c r="B89">
        <v>40</v>
      </c>
      <c r="C89">
        <v>0</v>
      </c>
      <c r="D89">
        <v>14</v>
      </c>
      <c r="E89">
        <v>6</v>
      </c>
      <c r="F89">
        <v>10</v>
      </c>
      <c r="G89">
        <v>6</v>
      </c>
      <c r="H89">
        <v>47</v>
      </c>
      <c r="I89">
        <v>24.3</v>
      </c>
      <c r="J89">
        <v>23.4</v>
      </c>
      <c r="K89">
        <v>24.9</v>
      </c>
      <c r="L89">
        <v>20.100000000000001</v>
      </c>
      <c r="M89">
        <v>19.8</v>
      </c>
      <c r="N89">
        <v>21.2</v>
      </c>
      <c r="O89">
        <v>23.9</v>
      </c>
      <c r="P89">
        <v>22.6</v>
      </c>
      <c r="Q89">
        <v>20.8</v>
      </c>
      <c r="R89">
        <v>15.5</v>
      </c>
      <c r="S89">
        <f t="shared" si="21"/>
        <v>40</v>
      </c>
      <c r="T89" t="s">
        <v>41</v>
      </c>
      <c r="U89">
        <f t="shared" ref="U89:U102" si="23">IF(I89&lt;0,"",I89/100)</f>
        <v>0.24299999999999999</v>
      </c>
      <c r="V89">
        <f t="shared" ref="V89:V102" si="24">IF(J89&lt;0,"",J89/100)</f>
        <v>0.23399999999999999</v>
      </c>
      <c r="W89">
        <f t="shared" ref="W89:W102" si="25">IF(K89&lt;0,"",K89/100)</f>
        <v>0.249</v>
      </c>
      <c r="X89">
        <f t="shared" ref="X89:X102" si="26">IF(L89&lt;0,"",L89/100)</f>
        <v>0.20100000000000001</v>
      </c>
      <c r="Y89">
        <f t="shared" ref="Y89:Y102" si="27">IF(M89&lt;0,"",M89/100)</f>
        <v>0.19800000000000001</v>
      </c>
      <c r="Z89">
        <f t="shared" ref="Z89:Z102" si="28">IF(N89&lt;0,"",N89/100)</f>
        <v>0.21199999999999999</v>
      </c>
      <c r="AA89">
        <f t="shared" ref="AA89:AA102" si="29">IF(O89&lt;0,"",O89/100)</f>
        <v>0.23899999999999999</v>
      </c>
      <c r="AB89">
        <f t="shared" ref="AB89:AB102" si="30">IF(P89&lt;0,"",P89/100)</f>
        <v>0.22600000000000001</v>
      </c>
      <c r="AC89">
        <f t="shared" ref="AC89:AC102" si="31">IF(Q89&lt;0,"",Q89/100)</f>
        <v>0.20800000000000002</v>
      </c>
      <c r="AD89">
        <f t="shared" ref="AD89:AD102" si="32">IF(R89&lt;0,"",R89/100)</f>
        <v>0.155</v>
      </c>
    </row>
    <row r="90" spans="1:30" x14ac:dyDescent="0.25">
      <c r="A90">
        <v>451</v>
      </c>
      <c r="B90">
        <v>41</v>
      </c>
      <c r="C90">
        <v>0</v>
      </c>
      <c r="D90">
        <v>14</v>
      </c>
      <c r="E90">
        <v>6</v>
      </c>
      <c r="F90">
        <v>10</v>
      </c>
      <c r="G90">
        <v>6</v>
      </c>
      <c r="H90">
        <v>51</v>
      </c>
      <c r="I90">
        <v>24.9</v>
      </c>
      <c r="J90">
        <v>22.5</v>
      </c>
      <c r="K90">
        <v>18</v>
      </c>
      <c r="L90">
        <v>17.5</v>
      </c>
      <c r="M90">
        <v>16.899999999999999</v>
      </c>
      <c r="N90">
        <v>16.5</v>
      </c>
      <c r="O90">
        <v>15.7</v>
      </c>
      <c r="P90">
        <v>16.399999999999999</v>
      </c>
      <c r="Q90">
        <v>19.600000000000001</v>
      </c>
      <c r="R90">
        <v>13.8</v>
      </c>
      <c r="S90">
        <f t="shared" si="21"/>
        <v>41</v>
      </c>
      <c r="T90" t="s">
        <v>43</v>
      </c>
      <c r="U90">
        <f t="shared" si="23"/>
        <v>0.249</v>
      </c>
      <c r="V90">
        <f t="shared" si="24"/>
        <v>0.22500000000000001</v>
      </c>
      <c r="W90">
        <f t="shared" si="25"/>
        <v>0.18</v>
      </c>
      <c r="X90">
        <f t="shared" si="26"/>
        <v>0.17499999999999999</v>
      </c>
      <c r="Y90">
        <f t="shared" si="27"/>
        <v>0.16899999999999998</v>
      </c>
      <c r="Z90">
        <f t="shared" si="28"/>
        <v>0.16500000000000001</v>
      </c>
      <c r="AA90">
        <f t="shared" si="29"/>
        <v>0.157</v>
      </c>
      <c r="AB90">
        <f t="shared" si="30"/>
        <v>0.16399999999999998</v>
      </c>
      <c r="AC90">
        <f t="shared" si="31"/>
        <v>0.19600000000000001</v>
      </c>
      <c r="AD90">
        <f t="shared" si="32"/>
        <v>0.13800000000000001</v>
      </c>
    </row>
    <row r="91" spans="1:30" x14ac:dyDescent="0.25">
      <c r="A91">
        <v>450</v>
      </c>
      <c r="B91">
        <v>42</v>
      </c>
      <c r="C91">
        <v>0</v>
      </c>
      <c r="D91">
        <v>14</v>
      </c>
      <c r="E91">
        <v>6</v>
      </c>
      <c r="F91">
        <v>10</v>
      </c>
      <c r="G91">
        <v>6</v>
      </c>
      <c r="H91">
        <v>55</v>
      </c>
      <c r="I91">
        <v>23.1</v>
      </c>
      <c r="J91">
        <v>21.6</v>
      </c>
      <c r="K91">
        <v>17</v>
      </c>
      <c r="L91">
        <v>16.3</v>
      </c>
      <c r="M91">
        <v>14</v>
      </c>
      <c r="N91">
        <v>13.5</v>
      </c>
      <c r="O91">
        <v>13.1</v>
      </c>
      <c r="P91">
        <v>14.3</v>
      </c>
      <c r="Q91">
        <v>18.7</v>
      </c>
      <c r="R91">
        <v>12</v>
      </c>
      <c r="S91">
        <f t="shared" si="21"/>
        <v>42</v>
      </c>
      <c r="T91" t="s">
        <v>44</v>
      </c>
      <c r="U91">
        <f t="shared" si="23"/>
        <v>0.23100000000000001</v>
      </c>
      <c r="V91">
        <f t="shared" si="24"/>
        <v>0.21600000000000003</v>
      </c>
      <c r="W91">
        <f t="shared" si="25"/>
        <v>0.17</v>
      </c>
      <c r="X91">
        <f t="shared" si="26"/>
        <v>0.16300000000000001</v>
      </c>
      <c r="Y91">
        <f t="shared" si="27"/>
        <v>0.14000000000000001</v>
      </c>
      <c r="Z91">
        <f t="shared" si="28"/>
        <v>0.13500000000000001</v>
      </c>
      <c r="AA91">
        <f t="shared" si="29"/>
        <v>0.13100000000000001</v>
      </c>
      <c r="AB91">
        <f t="shared" si="30"/>
        <v>0.14300000000000002</v>
      </c>
      <c r="AC91">
        <f t="shared" si="31"/>
        <v>0.187</v>
      </c>
      <c r="AD91">
        <f t="shared" si="32"/>
        <v>0.12</v>
      </c>
    </row>
    <row r="92" spans="1:30" x14ac:dyDescent="0.25">
      <c r="A92">
        <v>449</v>
      </c>
      <c r="B92">
        <v>43</v>
      </c>
      <c r="C92">
        <v>0</v>
      </c>
      <c r="D92">
        <v>14</v>
      </c>
      <c r="E92">
        <v>6</v>
      </c>
      <c r="F92">
        <v>10</v>
      </c>
      <c r="G92">
        <v>7</v>
      </c>
      <c r="H92">
        <v>0</v>
      </c>
      <c r="I92">
        <v>16.7</v>
      </c>
      <c r="J92">
        <v>16.600000000000001</v>
      </c>
      <c r="K92">
        <v>17.600000000000001</v>
      </c>
      <c r="L92">
        <v>23.6</v>
      </c>
      <c r="M92">
        <v>25.7</v>
      </c>
      <c r="N92">
        <v>23.4</v>
      </c>
      <c r="O92">
        <v>22.8</v>
      </c>
      <c r="P92">
        <v>21.2</v>
      </c>
      <c r="Q92">
        <v>22.3</v>
      </c>
      <c r="R92">
        <v>15.7</v>
      </c>
      <c r="S92">
        <f t="shared" si="21"/>
        <v>43</v>
      </c>
      <c r="T92" t="s">
        <v>82</v>
      </c>
      <c r="U92">
        <f t="shared" si="23"/>
        <v>0.16699999999999998</v>
      </c>
      <c r="V92">
        <f t="shared" si="24"/>
        <v>0.16600000000000001</v>
      </c>
      <c r="W92">
        <f t="shared" si="25"/>
        <v>0.17600000000000002</v>
      </c>
      <c r="X92">
        <f t="shared" si="26"/>
        <v>0.23600000000000002</v>
      </c>
      <c r="Y92">
        <f t="shared" si="27"/>
        <v>0.25700000000000001</v>
      </c>
      <c r="Z92">
        <f t="shared" si="28"/>
        <v>0.23399999999999999</v>
      </c>
      <c r="AA92">
        <f t="shared" si="29"/>
        <v>0.22800000000000001</v>
      </c>
      <c r="AB92">
        <f t="shared" si="30"/>
        <v>0.21199999999999999</v>
      </c>
      <c r="AC92">
        <f t="shared" si="31"/>
        <v>0.223</v>
      </c>
      <c r="AD92">
        <f t="shared" si="32"/>
        <v>0.157</v>
      </c>
    </row>
    <row r="93" spans="1:30" x14ac:dyDescent="0.25">
      <c r="A93">
        <v>448</v>
      </c>
      <c r="B93">
        <v>44</v>
      </c>
      <c r="C93">
        <v>0</v>
      </c>
      <c r="D93">
        <v>14</v>
      </c>
      <c r="E93">
        <v>6</v>
      </c>
      <c r="F93">
        <v>10</v>
      </c>
      <c r="G93">
        <v>7</v>
      </c>
      <c r="H93">
        <v>4</v>
      </c>
      <c r="I93">
        <v>17.899999999999999</v>
      </c>
      <c r="J93">
        <v>18.8</v>
      </c>
      <c r="K93">
        <v>25.3</v>
      </c>
      <c r="L93">
        <v>27.7</v>
      </c>
      <c r="M93">
        <v>25.7</v>
      </c>
      <c r="N93">
        <v>22.4</v>
      </c>
      <c r="O93">
        <v>19.5</v>
      </c>
      <c r="P93">
        <v>19.8</v>
      </c>
      <c r="Q93">
        <v>21</v>
      </c>
      <c r="R93">
        <v>15.2</v>
      </c>
      <c r="S93">
        <f t="shared" si="21"/>
        <v>44</v>
      </c>
      <c r="T93" t="s">
        <v>83</v>
      </c>
      <c r="U93">
        <f t="shared" si="23"/>
        <v>0.17899999999999999</v>
      </c>
      <c r="V93">
        <f t="shared" si="24"/>
        <v>0.188</v>
      </c>
      <c r="W93">
        <f t="shared" si="25"/>
        <v>0.253</v>
      </c>
      <c r="X93">
        <f t="shared" si="26"/>
        <v>0.27699999999999997</v>
      </c>
      <c r="Y93">
        <f t="shared" si="27"/>
        <v>0.25700000000000001</v>
      </c>
      <c r="Z93">
        <f t="shared" si="28"/>
        <v>0.22399999999999998</v>
      </c>
      <c r="AA93">
        <f t="shared" si="29"/>
        <v>0.19500000000000001</v>
      </c>
      <c r="AB93">
        <f t="shared" si="30"/>
        <v>0.19800000000000001</v>
      </c>
      <c r="AC93">
        <f t="shared" si="31"/>
        <v>0.21</v>
      </c>
      <c r="AD93">
        <f t="shared" si="32"/>
        <v>0.152</v>
      </c>
    </row>
    <row r="94" spans="1:30" x14ac:dyDescent="0.25">
      <c r="A94">
        <v>447</v>
      </c>
      <c r="B94">
        <v>45</v>
      </c>
      <c r="C94">
        <v>0</v>
      </c>
      <c r="D94">
        <v>14</v>
      </c>
      <c r="E94">
        <v>6</v>
      </c>
      <c r="F94">
        <v>10</v>
      </c>
      <c r="G94">
        <v>7</v>
      </c>
      <c r="H94">
        <v>0</v>
      </c>
      <c r="I94">
        <v>23.7</v>
      </c>
      <c r="J94">
        <v>23.6</v>
      </c>
      <c r="K94">
        <v>23.6</v>
      </c>
      <c r="L94">
        <v>25.3</v>
      </c>
      <c r="M94">
        <v>25.9</v>
      </c>
      <c r="N94">
        <v>26.3</v>
      </c>
      <c r="O94">
        <v>26.5</v>
      </c>
      <c r="P94">
        <v>23.2</v>
      </c>
      <c r="Q94">
        <v>22.6</v>
      </c>
      <c r="R94">
        <v>16.2</v>
      </c>
      <c r="S94">
        <f t="shared" si="21"/>
        <v>45</v>
      </c>
      <c r="T94" t="s">
        <v>42</v>
      </c>
      <c r="U94">
        <f t="shared" si="23"/>
        <v>0.23699999999999999</v>
      </c>
      <c r="V94">
        <f t="shared" si="24"/>
        <v>0.23600000000000002</v>
      </c>
      <c r="W94">
        <f t="shared" si="25"/>
        <v>0.23600000000000002</v>
      </c>
      <c r="X94">
        <f t="shared" si="26"/>
        <v>0.253</v>
      </c>
      <c r="Y94">
        <f t="shared" si="27"/>
        <v>0.25900000000000001</v>
      </c>
      <c r="Z94">
        <f t="shared" si="28"/>
        <v>0.26300000000000001</v>
      </c>
      <c r="AA94">
        <f t="shared" si="29"/>
        <v>0.26500000000000001</v>
      </c>
      <c r="AB94">
        <f t="shared" si="30"/>
        <v>0.23199999999999998</v>
      </c>
      <c r="AC94">
        <f t="shared" si="31"/>
        <v>0.22600000000000001</v>
      </c>
      <c r="AD94">
        <f t="shared" si="32"/>
        <v>0.16200000000000001</v>
      </c>
    </row>
    <row r="95" spans="1:30" x14ac:dyDescent="0.25">
      <c r="A95">
        <v>446</v>
      </c>
      <c r="B95">
        <v>46</v>
      </c>
      <c r="C95">
        <v>0</v>
      </c>
      <c r="D95">
        <v>14</v>
      </c>
      <c r="E95">
        <v>6</v>
      </c>
      <c r="F95">
        <v>10</v>
      </c>
      <c r="G95">
        <v>7</v>
      </c>
      <c r="H95">
        <v>12</v>
      </c>
      <c r="I95">
        <v>22.3</v>
      </c>
      <c r="J95">
        <v>22.7</v>
      </c>
      <c r="K95">
        <v>25.7</v>
      </c>
      <c r="L95">
        <v>25.2</v>
      </c>
      <c r="M95">
        <v>26.2</v>
      </c>
      <c r="N95">
        <v>25.9</v>
      </c>
      <c r="O95">
        <v>27.5</v>
      </c>
      <c r="P95">
        <v>22</v>
      </c>
      <c r="Q95">
        <v>23.2</v>
      </c>
      <c r="R95">
        <v>17.7</v>
      </c>
      <c r="S95">
        <f t="shared" si="21"/>
        <v>46</v>
      </c>
      <c r="T95" t="s">
        <v>84</v>
      </c>
      <c r="U95">
        <f t="shared" si="23"/>
        <v>0.223</v>
      </c>
      <c r="V95">
        <f t="shared" si="24"/>
        <v>0.22699999999999998</v>
      </c>
      <c r="W95">
        <f t="shared" si="25"/>
        <v>0.25700000000000001</v>
      </c>
      <c r="X95">
        <f t="shared" si="26"/>
        <v>0.252</v>
      </c>
      <c r="Y95">
        <f t="shared" si="27"/>
        <v>0.26200000000000001</v>
      </c>
      <c r="Z95">
        <f t="shared" si="28"/>
        <v>0.25900000000000001</v>
      </c>
      <c r="AA95">
        <f t="shared" si="29"/>
        <v>0.27500000000000002</v>
      </c>
      <c r="AB95">
        <f t="shared" si="30"/>
        <v>0.22</v>
      </c>
      <c r="AC95">
        <f t="shared" si="31"/>
        <v>0.23199999999999998</v>
      </c>
      <c r="AD95">
        <f t="shared" si="32"/>
        <v>0.17699999999999999</v>
      </c>
    </row>
    <row r="96" spans="1:30" x14ac:dyDescent="0.25">
      <c r="A96">
        <v>445</v>
      </c>
      <c r="B96">
        <v>47</v>
      </c>
      <c r="C96">
        <v>0</v>
      </c>
      <c r="D96">
        <v>14</v>
      </c>
      <c r="E96">
        <v>6</v>
      </c>
      <c r="F96">
        <v>10</v>
      </c>
      <c r="G96">
        <v>7</v>
      </c>
      <c r="H96">
        <v>17</v>
      </c>
      <c r="I96">
        <v>20.399999999999999</v>
      </c>
      <c r="J96">
        <v>19.899999999999999</v>
      </c>
      <c r="K96">
        <v>22.6</v>
      </c>
      <c r="L96">
        <v>24</v>
      </c>
      <c r="M96">
        <v>24.3</v>
      </c>
      <c r="N96">
        <v>21.7</v>
      </c>
      <c r="O96">
        <v>21.5</v>
      </c>
      <c r="P96">
        <v>21.6</v>
      </c>
      <c r="Q96">
        <v>24.3</v>
      </c>
      <c r="R96">
        <v>17.7</v>
      </c>
      <c r="S96">
        <f t="shared" si="21"/>
        <v>47</v>
      </c>
      <c r="T96" t="s">
        <v>85</v>
      </c>
      <c r="U96">
        <f t="shared" si="23"/>
        <v>0.20399999999999999</v>
      </c>
      <c r="V96">
        <f t="shared" si="24"/>
        <v>0.19899999999999998</v>
      </c>
      <c r="W96">
        <f t="shared" si="25"/>
        <v>0.22600000000000001</v>
      </c>
      <c r="X96">
        <f t="shared" si="26"/>
        <v>0.24</v>
      </c>
      <c r="Y96">
        <f t="shared" si="27"/>
        <v>0.24299999999999999</v>
      </c>
      <c r="Z96">
        <f t="shared" si="28"/>
        <v>0.217</v>
      </c>
      <c r="AA96">
        <f t="shared" si="29"/>
        <v>0.215</v>
      </c>
      <c r="AB96">
        <f t="shared" si="30"/>
        <v>0.21600000000000003</v>
      </c>
      <c r="AC96">
        <f t="shared" si="31"/>
        <v>0.24299999999999999</v>
      </c>
      <c r="AD96">
        <f t="shared" si="32"/>
        <v>0.17699999999999999</v>
      </c>
    </row>
    <row r="97" spans="1:30" x14ac:dyDescent="0.25">
      <c r="A97">
        <v>444</v>
      </c>
      <c r="B97">
        <v>48</v>
      </c>
      <c r="C97">
        <v>0</v>
      </c>
      <c r="D97">
        <v>14</v>
      </c>
      <c r="E97">
        <v>6</v>
      </c>
      <c r="F97">
        <v>10</v>
      </c>
      <c r="G97">
        <v>7</v>
      </c>
      <c r="H97">
        <v>21</v>
      </c>
      <c r="I97">
        <v>22</v>
      </c>
      <c r="J97">
        <v>23.3</v>
      </c>
      <c r="K97">
        <v>26.1</v>
      </c>
      <c r="L97">
        <v>27</v>
      </c>
      <c r="M97">
        <v>24.8</v>
      </c>
      <c r="N97">
        <v>21.8</v>
      </c>
      <c r="O97">
        <v>19.7</v>
      </c>
      <c r="P97">
        <v>24</v>
      </c>
      <c r="Q97">
        <v>24.1</v>
      </c>
      <c r="R97">
        <v>17.8</v>
      </c>
      <c r="S97">
        <f t="shared" si="21"/>
        <v>48</v>
      </c>
      <c r="T97" t="s">
        <v>38</v>
      </c>
      <c r="U97">
        <f t="shared" si="23"/>
        <v>0.22</v>
      </c>
      <c r="V97">
        <f t="shared" si="24"/>
        <v>0.23300000000000001</v>
      </c>
      <c r="W97">
        <f t="shared" si="25"/>
        <v>0.26100000000000001</v>
      </c>
      <c r="X97">
        <f t="shared" si="26"/>
        <v>0.27</v>
      </c>
      <c r="Y97">
        <f t="shared" si="27"/>
        <v>0.248</v>
      </c>
      <c r="Z97">
        <f t="shared" si="28"/>
        <v>0.218</v>
      </c>
      <c r="AA97">
        <f t="shared" si="29"/>
        <v>0.19699999999999998</v>
      </c>
      <c r="AB97">
        <f t="shared" si="30"/>
        <v>0.24</v>
      </c>
      <c r="AC97">
        <f t="shared" si="31"/>
        <v>0.24100000000000002</v>
      </c>
      <c r="AD97">
        <f t="shared" si="32"/>
        <v>0.17800000000000002</v>
      </c>
    </row>
    <row r="98" spans="1:30" x14ac:dyDescent="0.25">
      <c r="A98">
        <v>443</v>
      </c>
      <c r="B98">
        <v>49</v>
      </c>
      <c r="C98">
        <v>0</v>
      </c>
      <c r="D98">
        <v>14</v>
      </c>
      <c r="E98">
        <v>6</v>
      </c>
      <c r="F98">
        <v>10</v>
      </c>
      <c r="G98">
        <v>7</v>
      </c>
      <c r="H98">
        <v>26</v>
      </c>
      <c r="I98">
        <v>23.2</v>
      </c>
      <c r="J98">
        <v>23.2</v>
      </c>
      <c r="K98">
        <v>24.1</v>
      </c>
      <c r="L98">
        <v>26.3</v>
      </c>
      <c r="M98">
        <v>22.8</v>
      </c>
      <c r="N98">
        <v>15.3</v>
      </c>
      <c r="O98">
        <v>14.5</v>
      </c>
      <c r="P98">
        <v>18.5</v>
      </c>
      <c r="Q98">
        <v>22.8</v>
      </c>
      <c r="R98">
        <v>16.7</v>
      </c>
      <c r="S98">
        <f t="shared" si="21"/>
        <v>49</v>
      </c>
      <c r="T98" t="s">
        <v>72</v>
      </c>
      <c r="U98">
        <f t="shared" si="23"/>
        <v>0.23199999999999998</v>
      </c>
      <c r="V98">
        <f t="shared" si="24"/>
        <v>0.23199999999999998</v>
      </c>
      <c r="W98">
        <f t="shared" si="25"/>
        <v>0.24100000000000002</v>
      </c>
      <c r="X98">
        <f t="shared" si="26"/>
        <v>0.26300000000000001</v>
      </c>
      <c r="Y98">
        <f t="shared" si="27"/>
        <v>0.22800000000000001</v>
      </c>
      <c r="Z98">
        <f t="shared" si="28"/>
        <v>0.153</v>
      </c>
      <c r="AA98">
        <f t="shared" si="29"/>
        <v>0.14499999999999999</v>
      </c>
      <c r="AB98">
        <f t="shared" si="30"/>
        <v>0.185</v>
      </c>
      <c r="AC98">
        <f t="shared" si="31"/>
        <v>0.22800000000000001</v>
      </c>
      <c r="AD98">
        <f t="shared" si="32"/>
        <v>0.16699999999999998</v>
      </c>
    </row>
    <row r="99" spans="1:30" x14ac:dyDescent="0.25">
      <c r="A99">
        <v>442</v>
      </c>
      <c r="B99">
        <v>50</v>
      </c>
      <c r="C99">
        <v>0</v>
      </c>
      <c r="D99">
        <v>14</v>
      </c>
      <c r="E99">
        <v>6</v>
      </c>
      <c r="F99">
        <v>10</v>
      </c>
      <c r="G99">
        <v>8</v>
      </c>
      <c r="H99">
        <v>2</v>
      </c>
      <c r="I99">
        <v>-5</v>
      </c>
      <c r="J99">
        <v>19.8</v>
      </c>
      <c r="K99">
        <v>20.7</v>
      </c>
      <c r="L99">
        <v>24.9</v>
      </c>
      <c r="M99">
        <v>25</v>
      </c>
      <c r="N99">
        <v>21.9</v>
      </c>
      <c r="O99">
        <v>22.8</v>
      </c>
      <c r="P99">
        <v>24.1</v>
      </c>
      <c r="Q99">
        <v>24.2</v>
      </c>
      <c r="R99">
        <v>18.3</v>
      </c>
      <c r="S99">
        <f t="shared" si="21"/>
        <v>50</v>
      </c>
      <c r="T99" t="s">
        <v>39</v>
      </c>
      <c r="U99" t="str">
        <f t="shared" si="23"/>
        <v/>
      </c>
      <c r="V99">
        <f t="shared" si="24"/>
        <v>0.19800000000000001</v>
      </c>
      <c r="W99">
        <f t="shared" si="25"/>
        <v>0.20699999999999999</v>
      </c>
      <c r="X99">
        <f t="shared" si="26"/>
        <v>0.249</v>
      </c>
      <c r="Y99">
        <f t="shared" si="27"/>
        <v>0.25</v>
      </c>
      <c r="Z99">
        <f t="shared" si="28"/>
        <v>0.21899999999999997</v>
      </c>
      <c r="AA99">
        <f t="shared" si="29"/>
        <v>0.22800000000000001</v>
      </c>
      <c r="AB99">
        <f t="shared" si="30"/>
        <v>0.24100000000000002</v>
      </c>
      <c r="AC99">
        <f t="shared" si="31"/>
        <v>0.24199999999999999</v>
      </c>
      <c r="AD99">
        <f t="shared" si="32"/>
        <v>0.183</v>
      </c>
    </row>
    <row r="100" spans="1:30" x14ac:dyDescent="0.25">
      <c r="A100">
        <v>441</v>
      </c>
      <c r="B100">
        <v>51</v>
      </c>
      <c r="C100">
        <v>0</v>
      </c>
      <c r="D100">
        <v>14</v>
      </c>
      <c r="E100">
        <v>6</v>
      </c>
      <c r="F100">
        <v>10</v>
      </c>
      <c r="G100">
        <v>8</v>
      </c>
      <c r="H100">
        <v>7</v>
      </c>
      <c r="I100">
        <v>16.7</v>
      </c>
      <c r="J100">
        <v>18</v>
      </c>
      <c r="K100">
        <v>23.1</v>
      </c>
      <c r="L100">
        <v>23.4</v>
      </c>
      <c r="M100">
        <v>24.1</v>
      </c>
      <c r="N100">
        <v>20.3</v>
      </c>
      <c r="O100">
        <v>20.9</v>
      </c>
      <c r="P100">
        <v>22.1</v>
      </c>
      <c r="Q100">
        <v>24.3</v>
      </c>
      <c r="R100">
        <v>18.7</v>
      </c>
      <c r="S100">
        <f t="shared" si="21"/>
        <v>51</v>
      </c>
      <c r="T100" t="s">
        <v>86</v>
      </c>
      <c r="U100">
        <f t="shared" si="23"/>
        <v>0.16699999999999998</v>
      </c>
      <c r="V100">
        <f t="shared" si="24"/>
        <v>0.18</v>
      </c>
      <c r="W100">
        <f t="shared" si="25"/>
        <v>0.23100000000000001</v>
      </c>
      <c r="X100">
        <f t="shared" si="26"/>
        <v>0.23399999999999999</v>
      </c>
      <c r="Y100">
        <f t="shared" si="27"/>
        <v>0.24100000000000002</v>
      </c>
      <c r="Z100">
        <f t="shared" si="28"/>
        <v>0.20300000000000001</v>
      </c>
      <c r="AA100">
        <f t="shared" si="29"/>
        <v>0.20899999999999999</v>
      </c>
      <c r="AB100">
        <f t="shared" si="30"/>
        <v>0.221</v>
      </c>
      <c r="AC100">
        <f t="shared" si="31"/>
        <v>0.24299999999999999</v>
      </c>
      <c r="AD100">
        <f t="shared" si="32"/>
        <v>0.187</v>
      </c>
    </row>
    <row r="101" spans="1:30" x14ac:dyDescent="0.25">
      <c r="A101">
        <v>440</v>
      </c>
      <c r="B101">
        <v>52</v>
      </c>
      <c r="C101">
        <v>0</v>
      </c>
      <c r="D101">
        <v>14</v>
      </c>
      <c r="E101">
        <v>6</v>
      </c>
      <c r="F101">
        <v>10</v>
      </c>
      <c r="G101">
        <v>8</v>
      </c>
      <c r="H101">
        <v>11</v>
      </c>
      <c r="I101">
        <v>-5</v>
      </c>
      <c r="J101">
        <v>19</v>
      </c>
      <c r="K101">
        <v>22</v>
      </c>
      <c r="L101">
        <v>25.8</v>
      </c>
      <c r="M101">
        <v>24.1</v>
      </c>
      <c r="N101">
        <v>24.9</v>
      </c>
      <c r="O101">
        <v>25</v>
      </c>
      <c r="P101">
        <v>23.1</v>
      </c>
      <c r="Q101">
        <v>22</v>
      </c>
      <c r="R101">
        <v>16.3</v>
      </c>
      <c r="S101">
        <f t="shared" si="21"/>
        <v>52</v>
      </c>
      <c r="T101" t="s">
        <v>87</v>
      </c>
      <c r="U101" t="str">
        <f t="shared" si="23"/>
        <v/>
      </c>
      <c r="V101">
        <f t="shared" si="24"/>
        <v>0.19</v>
      </c>
      <c r="W101">
        <f t="shared" si="25"/>
        <v>0.22</v>
      </c>
      <c r="X101">
        <f t="shared" si="26"/>
        <v>0.25800000000000001</v>
      </c>
      <c r="Y101">
        <f t="shared" si="27"/>
        <v>0.24100000000000002</v>
      </c>
      <c r="Z101">
        <f t="shared" si="28"/>
        <v>0.249</v>
      </c>
      <c r="AA101">
        <f t="shared" si="29"/>
        <v>0.25</v>
      </c>
      <c r="AB101">
        <f t="shared" si="30"/>
        <v>0.23100000000000001</v>
      </c>
      <c r="AC101">
        <f t="shared" si="31"/>
        <v>0.22</v>
      </c>
      <c r="AD101">
        <f t="shared" si="32"/>
        <v>0.16300000000000001</v>
      </c>
    </row>
    <row r="102" spans="1:30" x14ac:dyDescent="0.25">
      <c r="A102">
        <v>439</v>
      </c>
      <c r="B102">
        <v>53</v>
      </c>
      <c r="C102">
        <v>0</v>
      </c>
      <c r="D102">
        <v>14</v>
      </c>
      <c r="E102">
        <v>6</v>
      </c>
      <c r="F102">
        <v>10</v>
      </c>
      <c r="G102">
        <v>8</v>
      </c>
      <c r="H102">
        <v>16</v>
      </c>
      <c r="I102">
        <v>-5</v>
      </c>
      <c r="J102">
        <v>21.5</v>
      </c>
      <c r="K102">
        <v>21.8</v>
      </c>
      <c r="L102">
        <v>22.2</v>
      </c>
      <c r="M102">
        <v>23.2</v>
      </c>
      <c r="N102">
        <v>24</v>
      </c>
      <c r="O102">
        <v>24</v>
      </c>
      <c r="P102">
        <v>19.899999999999999</v>
      </c>
      <c r="Q102">
        <v>21.1</v>
      </c>
      <c r="R102">
        <v>16.600000000000001</v>
      </c>
      <c r="S102">
        <f t="shared" si="21"/>
        <v>53</v>
      </c>
      <c r="T102" t="s">
        <v>88</v>
      </c>
      <c r="U102" t="str">
        <f t="shared" si="23"/>
        <v/>
      </c>
      <c r="V102">
        <f t="shared" si="24"/>
        <v>0.215</v>
      </c>
      <c r="W102">
        <f t="shared" si="25"/>
        <v>0.218</v>
      </c>
      <c r="X102">
        <f t="shared" si="26"/>
        <v>0.222</v>
      </c>
      <c r="Y102">
        <f t="shared" si="27"/>
        <v>0.23199999999999998</v>
      </c>
      <c r="Z102">
        <f t="shared" si="28"/>
        <v>0.24</v>
      </c>
      <c r="AA102">
        <f t="shared" si="29"/>
        <v>0.24</v>
      </c>
      <c r="AB102">
        <f t="shared" si="30"/>
        <v>0.19899999999999998</v>
      </c>
      <c r="AC102">
        <f t="shared" si="31"/>
        <v>0.21100000000000002</v>
      </c>
      <c r="AD102">
        <f t="shared" si="32"/>
        <v>0.16600000000000001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88"/>
  <sheetViews>
    <sheetView topLeftCell="N25" workbookViewId="0">
      <selection activeCell="T59" sqref="T59:AD88"/>
    </sheetView>
  </sheetViews>
  <sheetFormatPr defaultRowHeight="15" x14ac:dyDescent="0.25"/>
  <sheetData>
    <row r="1" spans="1:7" x14ac:dyDescent="0.25">
      <c r="A1" s="2">
        <v>41806</v>
      </c>
    </row>
    <row r="2" spans="1:7" x14ac:dyDescent="0.25">
      <c r="A2" t="s">
        <v>3</v>
      </c>
      <c r="B2">
        <v>6116</v>
      </c>
      <c r="C2" t="s">
        <v>4</v>
      </c>
      <c r="D2">
        <v>13163</v>
      </c>
      <c r="E2">
        <v>0</v>
      </c>
      <c r="F2">
        <v>10</v>
      </c>
    </row>
    <row r="3" spans="1:7" x14ac:dyDescent="0.25">
      <c r="A3">
        <v>0</v>
      </c>
      <c r="B3">
        <v>11</v>
      </c>
      <c r="C3">
        <v>8</v>
      </c>
      <c r="D3">
        <v>25</v>
      </c>
      <c r="E3">
        <v>21.641999999999999</v>
      </c>
      <c r="F3">
        <v>-4.968</v>
      </c>
      <c r="G3" t="s">
        <v>24</v>
      </c>
    </row>
    <row r="4" spans="1:7" x14ac:dyDescent="0.25">
      <c r="A4">
        <v>1</v>
      </c>
      <c r="B4">
        <v>95</v>
      </c>
      <c r="C4">
        <v>36280</v>
      </c>
      <c r="D4">
        <v>72</v>
      </c>
      <c r="E4">
        <v>0</v>
      </c>
      <c r="F4">
        <v>0</v>
      </c>
    </row>
    <row r="5" spans="1:7" x14ac:dyDescent="0.25">
      <c r="A5">
        <v>2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3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16</v>
      </c>
      <c r="G19">
        <v>6</v>
      </c>
      <c r="H19">
        <v>51</v>
      </c>
      <c r="I19">
        <v>12.3</v>
      </c>
      <c r="J19">
        <v>14.1</v>
      </c>
      <c r="K19">
        <v>15</v>
      </c>
      <c r="L19">
        <v>16.3</v>
      </c>
      <c r="M19">
        <v>18.7</v>
      </c>
      <c r="N19">
        <v>19.8</v>
      </c>
      <c r="O19">
        <v>20.7</v>
      </c>
      <c r="P19">
        <v>21.7</v>
      </c>
      <c r="Q19">
        <v>19.399999999999999</v>
      </c>
      <c r="R19">
        <v>11.8</v>
      </c>
      <c r="S19">
        <f>B19</f>
        <v>1</v>
      </c>
      <c r="T19" t="s">
        <v>51</v>
      </c>
      <c r="U19">
        <f>IF(I19&lt;0,"",I19/100)</f>
        <v>0.12300000000000001</v>
      </c>
      <c r="V19">
        <f t="shared" ref="V19:AD26" si="0">IF(J19&lt;0,"",J19/100)</f>
        <v>0.14099999999999999</v>
      </c>
      <c r="W19">
        <f t="shared" si="0"/>
        <v>0.15</v>
      </c>
      <c r="X19">
        <f t="shared" si="0"/>
        <v>0.16300000000000001</v>
      </c>
      <c r="Y19">
        <f t="shared" si="0"/>
        <v>0.187</v>
      </c>
      <c r="Z19">
        <f t="shared" si="0"/>
        <v>0.19800000000000001</v>
      </c>
      <c r="AA19">
        <f t="shared" si="0"/>
        <v>0.20699999999999999</v>
      </c>
      <c r="AB19">
        <f t="shared" si="0"/>
        <v>0.217</v>
      </c>
      <c r="AC19">
        <f t="shared" si="0"/>
        <v>0.19399999999999998</v>
      </c>
      <c r="AD19">
        <f t="shared" si="0"/>
        <v>0.11800000000000001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16</v>
      </c>
      <c r="G20">
        <v>7</v>
      </c>
      <c r="H20">
        <v>4</v>
      </c>
      <c r="I20">
        <v>20.8</v>
      </c>
      <c r="J20">
        <v>14.1</v>
      </c>
      <c r="K20">
        <v>12.4</v>
      </c>
      <c r="L20">
        <v>15.9</v>
      </c>
      <c r="M20">
        <v>17.399999999999999</v>
      </c>
      <c r="N20">
        <v>18.2</v>
      </c>
      <c r="O20">
        <v>21</v>
      </c>
      <c r="P20">
        <v>21.5</v>
      </c>
      <c r="Q20">
        <v>17</v>
      </c>
      <c r="R20">
        <v>11.7</v>
      </c>
      <c r="S20">
        <f t="shared" ref="S20:S54" si="1">B20</f>
        <v>2</v>
      </c>
      <c r="T20" t="s">
        <v>55</v>
      </c>
      <c r="U20">
        <f t="shared" ref="U20:U26" si="2">IF(I20&lt;0,"",I20/100)</f>
        <v>0.20800000000000002</v>
      </c>
      <c r="V20">
        <f t="shared" si="0"/>
        <v>0.14099999999999999</v>
      </c>
      <c r="W20">
        <f t="shared" si="0"/>
        <v>0.124</v>
      </c>
      <c r="X20">
        <f t="shared" si="0"/>
        <v>0.159</v>
      </c>
      <c r="Y20">
        <f t="shared" si="0"/>
        <v>0.17399999999999999</v>
      </c>
      <c r="Z20">
        <f t="shared" si="0"/>
        <v>0.182</v>
      </c>
      <c r="AA20">
        <f t="shared" si="0"/>
        <v>0.21</v>
      </c>
      <c r="AB20">
        <f t="shared" si="0"/>
        <v>0.215</v>
      </c>
      <c r="AC20">
        <f t="shared" si="0"/>
        <v>0.17</v>
      </c>
      <c r="AD20">
        <f t="shared" si="0"/>
        <v>0.11699999999999999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16</v>
      </c>
      <c r="G21">
        <v>7</v>
      </c>
      <c r="H21">
        <v>1</v>
      </c>
      <c r="I21">
        <v>12.2</v>
      </c>
      <c r="J21">
        <v>17.2</v>
      </c>
      <c r="K21">
        <v>19.3</v>
      </c>
      <c r="L21">
        <v>19.5</v>
      </c>
      <c r="M21">
        <v>19.899999999999999</v>
      </c>
      <c r="N21">
        <v>19.5</v>
      </c>
      <c r="O21">
        <v>19.600000000000001</v>
      </c>
      <c r="P21">
        <v>21.7</v>
      </c>
      <c r="Q21">
        <v>20.9</v>
      </c>
      <c r="R21">
        <v>12.2</v>
      </c>
      <c r="S21">
        <f t="shared" si="1"/>
        <v>3</v>
      </c>
      <c r="T21" t="s">
        <v>56</v>
      </c>
      <c r="U21">
        <f t="shared" si="2"/>
        <v>0.122</v>
      </c>
      <c r="V21">
        <f t="shared" si="0"/>
        <v>0.17199999999999999</v>
      </c>
      <c r="W21">
        <f t="shared" si="0"/>
        <v>0.193</v>
      </c>
      <c r="X21">
        <f t="shared" si="0"/>
        <v>0.19500000000000001</v>
      </c>
      <c r="Y21">
        <f t="shared" si="0"/>
        <v>0.19899999999999998</v>
      </c>
      <c r="Z21">
        <f t="shared" si="0"/>
        <v>0.19500000000000001</v>
      </c>
      <c r="AA21">
        <f t="shared" si="0"/>
        <v>0.19600000000000001</v>
      </c>
      <c r="AB21">
        <f t="shared" si="0"/>
        <v>0.217</v>
      </c>
      <c r="AC21">
        <f t="shared" si="0"/>
        <v>0.20899999999999999</v>
      </c>
      <c r="AD21">
        <f t="shared" si="0"/>
        <v>0.122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16</v>
      </c>
      <c r="G22">
        <v>7</v>
      </c>
      <c r="H22">
        <v>15</v>
      </c>
      <c r="I22">
        <v>13.6</v>
      </c>
      <c r="J22">
        <v>13.6</v>
      </c>
      <c r="K22">
        <v>15.2</v>
      </c>
      <c r="L22">
        <v>17.7</v>
      </c>
      <c r="M22">
        <v>18.5</v>
      </c>
      <c r="N22">
        <v>20.100000000000001</v>
      </c>
      <c r="O22">
        <v>20.7</v>
      </c>
      <c r="P22">
        <v>21.4</v>
      </c>
      <c r="Q22">
        <v>18.899999999999999</v>
      </c>
      <c r="R22">
        <v>12.3</v>
      </c>
      <c r="S22">
        <f t="shared" si="1"/>
        <v>4</v>
      </c>
      <c r="T22" t="s">
        <v>57</v>
      </c>
      <c r="U22">
        <f t="shared" si="2"/>
        <v>0.13600000000000001</v>
      </c>
      <c r="V22">
        <f t="shared" si="0"/>
        <v>0.13600000000000001</v>
      </c>
      <c r="W22">
        <f t="shared" si="0"/>
        <v>0.152</v>
      </c>
      <c r="X22">
        <f t="shared" si="0"/>
        <v>0.17699999999999999</v>
      </c>
      <c r="Y22">
        <f t="shared" si="0"/>
        <v>0.185</v>
      </c>
      <c r="Z22">
        <f t="shared" si="0"/>
        <v>0.20100000000000001</v>
      </c>
      <c r="AA22">
        <f t="shared" si="0"/>
        <v>0.20699999999999999</v>
      </c>
      <c r="AB22">
        <f t="shared" si="0"/>
        <v>0.214</v>
      </c>
      <c r="AC22">
        <f t="shared" si="0"/>
        <v>0.18899999999999997</v>
      </c>
      <c r="AD22">
        <f t="shared" si="0"/>
        <v>0.12300000000000001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16</v>
      </c>
      <c r="G23">
        <v>7</v>
      </c>
      <c r="H23">
        <v>20</v>
      </c>
      <c r="I23">
        <v>-5</v>
      </c>
      <c r="J23">
        <v>-5</v>
      </c>
      <c r="K23">
        <v>17.3</v>
      </c>
      <c r="L23">
        <v>22.3</v>
      </c>
      <c r="M23">
        <v>19.7</v>
      </c>
      <c r="N23">
        <v>21.2</v>
      </c>
      <c r="O23">
        <v>22.5</v>
      </c>
      <c r="P23">
        <v>24</v>
      </c>
      <c r="Q23">
        <v>22.1</v>
      </c>
      <c r="R23">
        <v>14.2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0.17300000000000001</v>
      </c>
      <c r="X23">
        <f t="shared" si="0"/>
        <v>0.223</v>
      </c>
      <c r="Y23">
        <f t="shared" si="0"/>
        <v>0.19699999999999998</v>
      </c>
      <c r="Z23">
        <f t="shared" si="0"/>
        <v>0.21199999999999999</v>
      </c>
      <c r="AA23">
        <f t="shared" si="0"/>
        <v>0.22500000000000001</v>
      </c>
      <c r="AB23">
        <f t="shared" si="0"/>
        <v>0.24</v>
      </c>
      <c r="AC23">
        <f t="shared" si="0"/>
        <v>0.221</v>
      </c>
      <c r="AD23">
        <f t="shared" si="0"/>
        <v>0.14199999999999999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16</v>
      </c>
      <c r="G24">
        <v>7</v>
      </c>
      <c r="H24">
        <v>24</v>
      </c>
      <c r="I24">
        <v>-5</v>
      </c>
      <c r="J24">
        <v>18.3</v>
      </c>
      <c r="K24">
        <v>19</v>
      </c>
      <c r="L24">
        <v>19.600000000000001</v>
      </c>
      <c r="M24">
        <v>20.2</v>
      </c>
      <c r="N24">
        <v>20.6</v>
      </c>
      <c r="O24">
        <v>21</v>
      </c>
      <c r="P24">
        <v>25.5</v>
      </c>
      <c r="Q24">
        <v>20.7</v>
      </c>
      <c r="R24">
        <v>12.5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0.183</v>
      </c>
      <c r="W24">
        <f t="shared" si="0"/>
        <v>0.19</v>
      </c>
      <c r="X24">
        <f t="shared" si="0"/>
        <v>0.19600000000000001</v>
      </c>
      <c r="Y24">
        <f t="shared" si="0"/>
        <v>0.20199999999999999</v>
      </c>
      <c r="Z24">
        <f t="shared" si="0"/>
        <v>0.20600000000000002</v>
      </c>
      <c r="AA24">
        <f t="shared" si="0"/>
        <v>0.21</v>
      </c>
      <c r="AB24">
        <f t="shared" si="0"/>
        <v>0.255</v>
      </c>
      <c r="AC24">
        <f t="shared" si="0"/>
        <v>0.20699999999999999</v>
      </c>
      <c r="AD24">
        <f t="shared" si="0"/>
        <v>0.125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6</v>
      </c>
      <c r="F25">
        <v>16</v>
      </c>
      <c r="G25">
        <v>7</v>
      </c>
      <c r="H25">
        <v>32</v>
      </c>
      <c r="I25">
        <v>-5</v>
      </c>
      <c r="J25">
        <v>22.7</v>
      </c>
      <c r="K25">
        <v>25.7</v>
      </c>
      <c r="L25">
        <v>25.8</v>
      </c>
      <c r="M25">
        <v>19.2</v>
      </c>
      <c r="N25">
        <v>20</v>
      </c>
      <c r="O25">
        <v>21.3</v>
      </c>
      <c r="P25">
        <v>19.7</v>
      </c>
      <c r="Q25">
        <v>21</v>
      </c>
      <c r="R25">
        <v>14.2</v>
      </c>
      <c r="S25">
        <f t="shared" si="1"/>
        <v>7</v>
      </c>
      <c r="T25" t="s">
        <v>60</v>
      </c>
      <c r="U25" t="str">
        <f t="shared" si="2"/>
        <v/>
      </c>
      <c r="V25">
        <f t="shared" si="0"/>
        <v>0.22699999999999998</v>
      </c>
      <c r="W25">
        <f t="shared" si="0"/>
        <v>0.25700000000000001</v>
      </c>
      <c r="X25">
        <f t="shared" si="0"/>
        <v>0.25800000000000001</v>
      </c>
      <c r="Y25">
        <f t="shared" si="0"/>
        <v>0.192</v>
      </c>
      <c r="Z25">
        <f t="shared" si="0"/>
        <v>0.2</v>
      </c>
      <c r="AA25">
        <f t="shared" si="0"/>
        <v>0.21299999999999999</v>
      </c>
      <c r="AB25">
        <f t="shared" si="0"/>
        <v>0.19699999999999998</v>
      </c>
      <c r="AC25">
        <f t="shared" si="0"/>
        <v>0.21</v>
      </c>
      <c r="AD25">
        <f t="shared" si="0"/>
        <v>0.14199999999999999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6</v>
      </c>
      <c r="F26">
        <v>16</v>
      </c>
      <c r="G26">
        <v>7</v>
      </c>
      <c r="H26">
        <v>36</v>
      </c>
      <c r="I26">
        <v>-5</v>
      </c>
      <c r="J26">
        <v>28.6</v>
      </c>
      <c r="K26">
        <v>23.5</v>
      </c>
      <c r="L26">
        <v>18.8</v>
      </c>
      <c r="M26">
        <v>20.9</v>
      </c>
      <c r="N26">
        <v>21.2</v>
      </c>
      <c r="O26">
        <v>21.7</v>
      </c>
      <c r="P26">
        <v>26.9</v>
      </c>
      <c r="Q26">
        <v>24.2</v>
      </c>
      <c r="R26">
        <v>17.600000000000001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0.28600000000000003</v>
      </c>
      <c r="W26">
        <f t="shared" si="0"/>
        <v>0.23499999999999999</v>
      </c>
      <c r="X26">
        <f t="shared" si="0"/>
        <v>0.188</v>
      </c>
      <c r="Y26">
        <f t="shared" si="0"/>
        <v>0.20899999999999999</v>
      </c>
      <c r="Z26">
        <f t="shared" si="0"/>
        <v>0.21199999999999999</v>
      </c>
      <c r="AA26">
        <f t="shared" si="0"/>
        <v>0.217</v>
      </c>
      <c r="AB26">
        <f t="shared" si="0"/>
        <v>0.26899999999999996</v>
      </c>
      <c r="AC26">
        <f t="shared" si="0"/>
        <v>0.24199999999999999</v>
      </c>
      <c r="AD26">
        <f t="shared" si="0"/>
        <v>0.17600000000000002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6</v>
      </c>
      <c r="F27">
        <v>16</v>
      </c>
      <c r="G27">
        <v>7</v>
      </c>
      <c r="H27">
        <v>41</v>
      </c>
      <c r="I27">
        <v>16.7</v>
      </c>
      <c r="J27">
        <v>15.8</v>
      </c>
      <c r="K27">
        <v>16.7</v>
      </c>
      <c r="L27">
        <v>20.7</v>
      </c>
      <c r="M27">
        <v>23.1</v>
      </c>
      <c r="N27">
        <v>24</v>
      </c>
      <c r="O27">
        <v>26.9</v>
      </c>
      <c r="P27">
        <v>22.1</v>
      </c>
      <c r="Q27">
        <v>20.3</v>
      </c>
      <c r="R27">
        <v>15.5</v>
      </c>
      <c r="S27">
        <f t="shared" si="1"/>
        <v>9</v>
      </c>
      <c r="T27" t="s">
        <v>63</v>
      </c>
      <c r="U27">
        <f t="shared" ref="U27:U54" si="3">IF(I27&lt;0,"",I27/100)</f>
        <v>0.16699999999999998</v>
      </c>
      <c r="V27">
        <f t="shared" ref="V27:V54" si="4">IF(J27&lt;0,"",J27/100)</f>
        <v>0.158</v>
      </c>
      <c r="W27">
        <f t="shared" ref="W27:W54" si="5">IF(K27&lt;0,"",K27/100)</f>
        <v>0.16699999999999998</v>
      </c>
      <c r="X27">
        <f t="shared" ref="X27:X54" si="6">IF(L27&lt;0,"",L27/100)</f>
        <v>0.20699999999999999</v>
      </c>
      <c r="Y27">
        <f t="shared" ref="Y27:Y54" si="7">IF(M27&lt;0,"",M27/100)</f>
        <v>0.23100000000000001</v>
      </c>
      <c r="Z27">
        <f t="shared" ref="Z27:Z54" si="8">IF(N27&lt;0,"",N27/100)</f>
        <v>0.24</v>
      </c>
      <c r="AA27">
        <f t="shared" ref="AA27:AA54" si="9">IF(O27&lt;0,"",O27/100)</f>
        <v>0.26899999999999996</v>
      </c>
      <c r="AB27">
        <f t="shared" ref="AB27:AB54" si="10">IF(P27&lt;0,"",P27/100)</f>
        <v>0.221</v>
      </c>
      <c r="AC27">
        <f t="shared" ref="AC27:AC54" si="11">IF(Q27&lt;0,"",Q27/100)</f>
        <v>0.20300000000000001</v>
      </c>
      <c r="AD27">
        <f t="shared" ref="AD27:AD54" si="12">IF(R27&lt;0,"",R27/100)</f>
        <v>0.155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6</v>
      </c>
      <c r="F28">
        <v>16</v>
      </c>
      <c r="G28">
        <v>7</v>
      </c>
      <c r="H28">
        <v>46</v>
      </c>
      <c r="I28">
        <v>15.4</v>
      </c>
      <c r="J28">
        <v>14.5</v>
      </c>
      <c r="K28">
        <v>15.6</v>
      </c>
      <c r="L28">
        <v>17.7</v>
      </c>
      <c r="M28">
        <v>21.1</v>
      </c>
      <c r="N28">
        <v>21</v>
      </c>
      <c r="O28">
        <v>20.5</v>
      </c>
      <c r="P28">
        <v>23.1</v>
      </c>
      <c r="Q28">
        <v>20.5</v>
      </c>
      <c r="R28">
        <v>15</v>
      </c>
      <c r="S28">
        <f t="shared" si="1"/>
        <v>10</v>
      </c>
      <c r="T28" t="s">
        <v>62</v>
      </c>
      <c r="U28">
        <f t="shared" si="3"/>
        <v>0.154</v>
      </c>
      <c r="V28">
        <f t="shared" si="4"/>
        <v>0.14499999999999999</v>
      </c>
      <c r="W28">
        <f t="shared" si="5"/>
        <v>0.156</v>
      </c>
      <c r="X28">
        <f t="shared" si="6"/>
        <v>0.17699999999999999</v>
      </c>
      <c r="Y28">
        <f t="shared" si="7"/>
        <v>0.21100000000000002</v>
      </c>
      <c r="Z28">
        <f t="shared" si="8"/>
        <v>0.21</v>
      </c>
      <c r="AA28">
        <f t="shared" si="9"/>
        <v>0.20499999999999999</v>
      </c>
      <c r="AB28">
        <f t="shared" si="10"/>
        <v>0.23100000000000001</v>
      </c>
      <c r="AC28">
        <f t="shared" si="11"/>
        <v>0.20499999999999999</v>
      </c>
      <c r="AD28">
        <f t="shared" si="12"/>
        <v>0.15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6</v>
      </c>
      <c r="F29">
        <v>16</v>
      </c>
      <c r="G29">
        <v>7</v>
      </c>
      <c r="H29">
        <v>50</v>
      </c>
      <c r="I29">
        <v>14.7</v>
      </c>
      <c r="J29">
        <v>16.899999999999999</v>
      </c>
      <c r="K29">
        <v>18.399999999999999</v>
      </c>
      <c r="L29">
        <v>21</v>
      </c>
      <c r="M29">
        <v>23.8</v>
      </c>
      <c r="N29">
        <v>26.8</v>
      </c>
      <c r="O29">
        <v>28</v>
      </c>
      <c r="P29">
        <v>28.2</v>
      </c>
      <c r="Q29">
        <v>23</v>
      </c>
      <c r="R29">
        <v>17.399999999999999</v>
      </c>
      <c r="S29">
        <f t="shared" si="1"/>
        <v>11</v>
      </c>
      <c r="T29" t="s">
        <v>52</v>
      </c>
      <c r="U29">
        <f t="shared" si="3"/>
        <v>0.14699999999999999</v>
      </c>
      <c r="V29">
        <f t="shared" si="4"/>
        <v>0.16899999999999998</v>
      </c>
      <c r="W29">
        <f t="shared" si="5"/>
        <v>0.184</v>
      </c>
      <c r="X29">
        <f t="shared" si="6"/>
        <v>0.21</v>
      </c>
      <c r="Y29">
        <f t="shared" si="7"/>
        <v>0.23800000000000002</v>
      </c>
      <c r="Z29">
        <f t="shared" si="8"/>
        <v>0.26800000000000002</v>
      </c>
      <c r="AA29">
        <f t="shared" si="9"/>
        <v>0.28000000000000003</v>
      </c>
      <c r="AB29">
        <f t="shared" si="10"/>
        <v>0.28199999999999997</v>
      </c>
      <c r="AC29">
        <f t="shared" si="11"/>
        <v>0.23</v>
      </c>
      <c r="AD29">
        <f t="shared" si="12"/>
        <v>0.17399999999999999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6</v>
      </c>
      <c r="F30">
        <v>16</v>
      </c>
      <c r="G30">
        <v>7</v>
      </c>
      <c r="H30">
        <v>55</v>
      </c>
      <c r="I30">
        <v>22.1</v>
      </c>
      <c r="J30">
        <v>14.1</v>
      </c>
      <c r="K30">
        <v>16.899999999999999</v>
      </c>
      <c r="L30">
        <v>24.6</v>
      </c>
      <c r="M30">
        <v>23.4</v>
      </c>
      <c r="N30">
        <v>23.3</v>
      </c>
      <c r="O30">
        <v>26.3</v>
      </c>
      <c r="P30">
        <v>23.9</v>
      </c>
      <c r="Q30">
        <v>20.3</v>
      </c>
      <c r="R30">
        <v>15.2</v>
      </c>
      <c r="S30">
        <f t="shared" si="1"/>
        <v>12</v>
      </c>
      <c r="T30" t="s">
        <v>64</v>
      </c>
      <c r="U30">
        <f t="shared" si="3"/>
        <v>0.221</v>
      </c>
      <c r="V30">
        <f t="shared" si="4"/>
        <v>0.14099999999999999</v>
      </c>
      <c r="W30">
        <f t="shared" si="5"/>
        <v>0.16899999999999998</v>
      </c>
      <c r="X30">
        <f t="shared" si="6"/>
        <v>0.24600000000000002</v>
      </c>
      <c r="Y30">
        <f t="shared" si="7"/>
        <v>0.23399999999999999</v>
      </c>
      <c r="Z30">
        <f t="shared" si="8"/>
        <v>0.23300000000000001</v>
      </c>
      <c r="AA30">
        <f t="shared" si="9"/>
        <v>0.26300000000000001</v>
      </c>
      <c r="AB30">
        <f t="shared" si="10"/>
        <v>0.23899999999999999</v>
      </c>
      <c r="AC30">
        <f t="shared" si="11"/>
        <v>0.20300000000000001</v>
      </c>
      <c r="AD30">
        <f t="shared" si="12"/>
        <v>0.152</v>
      </c>
    </row>
    <row r="31" spans="1:30" x14ac:dyDescent="0.25">
      <c r="A31">
        <v>442</v>
      </c>
      <c r="B31">
        <v>13</v>
      </c>
      <c r="C31">
        <v>0</v>
      </c>
      <c r="D31">
        <v>14</v>
      </c>
      <c r="E31">
        <v>6</v>
      </c>
      <c r="F31">
        <v>16</v>
      </c>
      <c r="G31">
        <v>8</v>
      </c>
      <c r="H31">
        <v>1</v>
      </c>
      <c r="I31">
        <v>19</v>
      </c>
      <c r="J31">
        <v>16.7</v>
      </c>
      <c r="K31">
        <v>20.8</v>
      </c>
      <c r="L31">
        <v>22.1</v>
      </c>
      <c r="M31">
        <v>23.6</v>
      </c>
      <c r="N31">
        <v>25.2</v>
      </c>
      <c r="O31">
        <v>25.2</v>
      </c>
      <c r="P31">
        <v>23.8</v>
      </c>
      <c r="Q31">
        <v>20.100000000000001</v>
      </c>
      <c r="R31">
        <v>12.6</v>
      </c>
      <c r="S31">
        <f t="shared" si="1"/>
        <v>13</v>
      </c>
      <c r="T31" t="s">
        <v>29</v>
      </c>
      <c r="U31">
        <f t="shared" si="3"/>
        <v>0.19</v>
      </c>
      <c r="V31">
        <f t="shared" si="4"/>
        <v>0.16699999999999998</v>
      </c>
      <c r="W31">
        <f t="shared" si="5"/>
        <v>0.20800000000000002</v>
      </c>
      <c r="X31">
        <f t="shared" si="6"/>
        <v>0.221</v>
      </c>
      <c r="Y31">
        <f t="shared" si="7"/>
        <v>0.23600000000000002</v>
      </c>
      <c r="Z31">
        <f t="shared" si="8"/>
        <v>0.252</v>
      </c>
      <c r="AA31">
        <f t="shared" si="9"/>
        <v>0.252</v>
      </c>
      <c r="AB31">
        <f t="shared" si="10"/>
        <v>0.23800000000000002</v>
      </c>
      <c r="AC31">
        <f t="shared" si="11"/>
        <v>0.20100000000000001</v>
      </c>
      <c r="AD31">
        <f t="shared" si="12"/>
        <v>0.126</v>
      </c>
    </row>
    <row r="32" spans="1:30" x14ac:dyDescent="0.25">
      <c r="A32">
        <v>441</v>
      </c>
      <c r="B32">
        <v>14</v>
      </c>
      <c r="C32">
        <v>0</v>
      </c>
      <c r="D32">
        <v>14</v>
      </c>
      <c r="E32">
        <v>6</v>
      </c>
      <c r="F32">
        <v>16</v>
      </c>
      <c r="G32">
        <v>8</v>
      </c>
      <c r="H32">
        <v>5</v>
      </c>
      <c r="I32">
        <v>17.8</v>
      </c>
      <c r="J32">
        <v>18.600000000000001</v>
      </c>
      <c r="K32">
        <v>22.6</v>
      </c>
      <c r="L32">
        <v>23.5</v>
      </c>
      <c r="M32">
        <v>23</v>
      </c>
      <c r="N32">
        <v>24.2</v>
      </c>
      <c r="O32">
        <v>27.4</v>
      </c>
      <c r="P32">
        <v>20.2</v>
      </c>
      <c r="Q32">
        <v>17</v>
      </c>
      <c r="R32">
        <v>11.3</v>
      </c>
      <c r="S32">
        <f t="shared" si="1"/>
        <v>14</v>
      </c>
      <c r="T32" t="s">
        <v>30</v>
      </c>
      <c r="U32">
        <f t="shared" si="3"/>
        <v>0.17800000000000002</v>
      </c>
      <c r="V32">
        <f t="shared" si="4"/>
        <v>0.18600000000000003</v>
      </c>
      <c r="W32">
        <f t="shared" si="5"/>
        <v>0.22600000000000001</v>
      </c>
      <c r="X32">
        <f t="shared" si="6"/>
        <v>0.23499999999999999</v>
      </c>
      <c r="Y32">
        <f t="shared" si="7"/>
        <v>0.23</v>
      </c>
      <c r="Z32">
        <f t="shared" si="8"/>
        <v>0.24199999999999999</v>
      </c>
      <c r="AA32">
        <f t="shared" si="9"/>
        <v>0.27399999999999997</v>
      </c>
      <c r="AB32">
        <f t="shared" si="10"/>
        <v>0.20199999999999999</v>
      </c>
      <c r="AC32">
        <f t="shared" si="11"/>
        <v>0.17</v>
      </c>
      <c r="AD32">
        <f t="shared" si="12"/>
        <v>0.113</v>
      </c>
    </row>
    <row r="33" spans="1:30" x14ac:dyDescent="0.25">
      <c r="A33">
        <v>440</v>
      </c>
      <c r="B33">
        <v>15</v>
      </c>
      <c r="C33">
        <v>0</v>
      </c>
      <c r="D33">
        <v>14</v>
      </c>
      <c r="E33">
        <v>6</v>
      </c>
      <c r="F33">
        <v>16</v>
      </c>
      <c r="G33">
        <v>8</v>
      </c>
      <c r="H33">
        <v>10</v>
      </c>
      <c r="I33">
        <v>17.7</v>
      </c>
      <c r="J33">
        <v>15.8</v>
      </c>
      <c r="K33">
        <v>16.3</v>
      </c>
      <c r="L33">
        <v>18.600000000000001</v>
      </c>
      <c r="M33">
        <v>23.3</v>
      </c>
      <c r="N33">
        <v>23.7</v>
      </c>
      <c r="O33">
        <v>23.8</v>
      </c>
      <c r="P33">
        <v>21.1</v>
      </c>
      <c r="Q33">
        <v>17.899999999999999</v>
      </c>
      <c r="R33">
        <v>13.4</v>
      </c>
      <c r="S33">
        <f t="shared" si="1"/>
        <v>15</v>
      </c>
      <c r="T33" t="s">
        <v>31</v>
      </c>
      <c r="U33">
        <f t="shared" si="3"/>
        <v>0.17699999999999999</v>
      </c>
      <c r="V33">
        <f t="shared" si="4"/>
        <v>0.158</v>
      </c>
      <c r="W33">
        <f t="shared" si="5"/>
        <v>0.16300000000000001</v>
      </c>
      <c r="X33">
        <f t="shared" si="6"/>
        <v>0.18600000000000003</v>
      </c>
      <c r="Y33">
        <f t="shared" si="7"/>
        <v>0.23300000000000001</v>
      </c>
      <c r="Z33">
        <f t="shared" si="8"/>
        <v>0.23699999999999999</v>
      </c>
      <c r="AA33">
        <f t="shared" si="9"/>
        <v>0.23800000000000002</v>
      </c>
      <c r="AB33">
        <f t="shared" si="10"/>
        <v>0.21100000000000002</v>
      </c>
      <c r="AC33">
        <f t="shared" si="11"/>
        <v>0.17899999999999999</v>
      </c>
      <c r="AD33">
        <f t="shared" si="12"/>
        <v>0.13400000000000001</v>
      </c>
    </row>
    <row r="34" spans="1:30" x14ac:dyDescent="0.25">
      <c r="A34">
        <v>439</v>
      </c>
      <c r="B34">
        <v>16</v>
      </c>
      <c r="C34">
        <v>0</v>
      </c>
      <c r="D34">
        <v>14</v>
      </c>
      <c r="E34">
        <v>6</v>
      </c>
      <c r="F34">
        <v>16</v>
      </c>
      <c r="G34">
        <v>8</v>
      </c>
      <c r="H34">
        <v>14</v>
      </c>
      <c r="I34">
        <v>23.1</v>
      </c>
      <c r="J34">
        <v>18.399999999999999</v>
      </c>
      <c r="K34">
        <v>21.2</v>
      </c>
      <c r="L34">
        <v>19.399999999999999</v>
      </c>
      <c r="M34">
        <v>20.2</v>
      </c>
      <c r="N34">
        <v>19.2</v>
      </c>
      <c r="O34">
        <v>17.399999999999999</v>
      </c>
      <c r="P34">
        <v>17.899999999999999</v>
      </c>
      <c r="Q34">
        <v>19.7</v>
      </c>
      <c r="R34">
        <v>12.4</v>
      </c>
      <c r="S34">
        <f t="shared" si="1"/>
        <v>16</v>
      </c>
      <c r="T34" t="s">
        <v>32</v>
      </c>
      <c r="U34">
        <f t="shared" si="3"/>
        <v>0.23100000000000001</v>
      </c>
      <c r="V34">
        <f t="shared" si="4"/>
        <v>0.184</v>
      </c>
      <c r="W34">
        <f t="shared" si="5"/>
        <v>0.21199999999999999</v>
      </c>
      <c r="X34">
        <f t="shared" si="6"/>
        <v>0.19399999999999998</v>
      </c>
      <c r="Y34">
        <f t="shared" si="7"/>
        <v>0.20199999999999999</v>
      </c>
      <c r="Z34">
        <f t="shared" si="8"/>
        <v>0.192</v>
      </c>
      <c r="AA34">
        <f t="shared" si="9"/>
        <v>0.17399999999999999</v>
      </c>
      <c r="AB34">
        <f t="shared" si="10"/>
        <v>0.17899999999999999</v>
      </c>
      <c r="AC34">
        <f t="shared" si="11"/>
        <v>0.19699999999999998</v>
      </c>
      <c r="AD34">
        <f t="shared" si="12"/>
        <v>0.124</v>
      </c>
    </row>
    <row r="35" spans="1:30" x14ac:dyDescent="0.25">
      <c r="A35">
        <v>438</v>
      </c>
      <c r="B35">
        <v>17</v>
      </c>
      <c r="C35">
        <v>0</v>
      </c>
      <c r="D35">
        <v>14</v>
      </c>
      <c r="E35">
        <v>6</v>
      </c>
      <c r="F35">
        <v>16</v>
      </c>
      <c r="G35">
        <v>8</v>
      </c>
      <c r="H35">
        <v>11</v>
      </c>
      <c r="I35">
        <v>17</v>
      </c>
      <c r="J35">
        <v>17.100000000000001</v>
      </c>
      <c r="K35">
        <v>18.5</v>
      </c>
      <c r="L35">
        <v>19.3</v>
      </c>
      <c r="M35">
        <v>22.4</v>
      </c>
      <c r="N35">
        <v>24.9</v>
      </c>
      <c r="O35">
        <v>26.3</v>
      </c>
      <c r="P35">
        <v>23.6</v>
      </c>
      <c r="Q35">
        <v>19.3</v>
      </c>
      <c r="R35">
        <v>13.5</v>
      </c>
      <c r="S35">
        <f t="shared" si="1"/>
        <v>17</v>
      </c>
      <c r="T35" t="s">
        <v>33</v>
      </c>
      <c r="U35">
        <f t="shared" si="3"/>
        <v>0.17</v>
      </c>
      <c r="V35">
        <f t="shared" si="4"/>
        <v>0.17100000000000001</v>
      </c>
      <c r="W35">
        <f t="shared" si="5"/>
        <v>0.185</v>
      </c>
      <c r="X35">
        <f t="shared" si="6"/>
        <v>0.193</v>
      </c>
      <c r="Y35">
        <f t="shared" si="7"/>
        <v>0.22399999999999998</v>
      </c>
      <c r="Z35">
        <f t="shared" si="8"/>
        <v>0.249</v>
      </c>
      <c r="AA35">
        <f t="shared" si="9"/>
        <v>0.26300000000000001</v>
      </c>
      <c r="AB35">
        <f t="shared" si="10"/>
        <v>0.23600000000000002</v>
      </c>
      <c r="AC35">
        <f t="shared" si="11"/>
        <v>0.193</v>
      </c>
      <c r="AD35">
        <f t="shared" si="12"/>
        <v>0.13500000000000001</v>
      </c>
    </row>
    <row r="36" spans="1:30" x14ac:dyDescent="0.25">
      <c r="A36">
        <v>437</v>
      </c>
      <c r="B36">
        <v>18</v>
      </c>
      <c r="C36">
        <v>0</v>
      </c>
      <c r="D36">
        <v>14</v>
      </c>
      <c r="E36">
        <v>6</v>
      </c>
      <c r="F36">
        <v>16</v>
      </c>
      <c r="G36">
        <v>8</v>
      </c>
      <c r="H36">
        <v>24</v>
      </c>
      <c r="I36">
        <v>19.399999999999999</v>
      </c>
      <c r="J36">
        <v>18.600000000000001</v>
      </c>
      <c r="K36">
        <v>23.5</v>
      </c>
      <c r="L36">
        <v>25.7</v>
      </c>
      <c r="M36">
        <v>22.2</v>
      </c>
      <c r="N36">
        <v>23.7</v>
      </c>
      <c r="O36">
        <v>23.3</v>
      </c>
      <c r="P36">
        <v>22.2</v>
      </c>
      <c r="Q36">
        <v>16.600000000000001</v>
      </c>
      <c r="R36">
        <v>11.1</v>
      </c>
      <c r="S36">
        <f t="shared" si="1"/>
        <v>18</v>
      </c>
      <c r="T36" t="s">
        <v>34</v>
      </c>
      <c r="U36">
        <f t="shared" si="3"/>
        <v>0.19399999999999998</v>
      </c>
      <c r="V36">
        <f t="shared" si="4"/>
        <v>0.18600000000000003</v>
      </c>
      <c r="W36">
        <f t="shared" si="5"/>
        <v>0.23499999999999999</v>
      </c>
      <c r="X36">
        <f t="shared" si="6"/>
        <v>0.25700000000000001</v>
      </c>
      <c r="Y36">
        <f t="shared" si="7"/>
        <v>0.222</v>
      </c>
      <c r="Z36">
        <f t="shared" si="8"/>
        <v>0.23699999999999999</v>
      </c>
      <c r="AA36">
        <f t="shared" si="9"/>
        <v>0.23300000000000001</v>
      </c>
      <c r="AB36">
        <f t="shared" si="10"/>
        <v>0.222</v>
      </c>
      <c r="AC36">
        <f t="shared" si="11"/>
        <v>0.16600000000000001</v>
      </c>
      <c r="AD36">
        <f t="shared" si="12"/>
        <v>0.111</v>
      </c>
    </row>
    <row r="37" spans="1:30" x14ac:dyDescent="0.25">
      <c r="A37">
        <v>436</v>
      </c>
      <c r="B37">
        <v>19</v>
      </c>
      <c r="C37">
        <v>0</v>
      </c>
      <c r="D37">
        <v>14</v>
      </c>
      <c r="E37">
        <v>6</v>
      </c>
      <c r="F37">
        <v>16</v>
      </c>
      <c r="G37">
        <v>8</v>
      </c>
      <c r="H37">
        <v>21</v>
      </c>
      <c r="I37">
        <v>20.6</v>
      </c>
      <c r="J37">
        <v>21.5</v>
      </c>
      <c r="K37">
        <v>28</v>
      </c>
      <c r="L37">
        <v>19.399999999999999</v>
      </c>
      <c r="M37">
        <v>21.1</v>
      </c>
      <c r="N37">
        <v>23</v>
      </c>
      <c r="O37">
        <v>24</v>
      </c>
      <c r="P37">
        <v>22.6</v>
      </c>
      <c r="Q37">
        <v>19.8</v>
      </c>
      <c r="R37">
        <v>14.4</v>
      </c>
      <c r="S37">
        <f t="shared" si="1"/>
        <v>19</v>
      </c>
      <c r="T37" t="s">
        <v>65</v>
      </c>
      <c r="U37">
        <f t="shared" si="3"/>
        <v>0.20600000000000002</v>
      </c>
      <c r="V37">
        <f t="shared" si="4"/>
        <v>0.215</v>
      </c>
      <c r="W37">
        <f t="shared" si="5"/>
        <v>0.28000000000000003</v>
      </c>
      <c r="X37">
        <f t="shared" si="6"/>
        <v>0.19399999999999998</v>
      </c>
      <c r="Y37">
        <f t="shared" si="7"/>
        <v>0.21100000000000002</v>
      </c>
      <c r="Z37">
        <f t="shared" si="8"/>
        <v>0.23</v>
      </c>
      <c r="AA37">
        <f t="shared" si="9"/>
        <v>0.24</v>
      </c>
      <c r="AB37">
        <f t="shared" si="10"/>
        <v>0.22600000000000001</v>
      </c>
      <c r="AC37">
        <f t="shared" si="11"/>
        <v>0.19800000000000001</v>
      </c>
      <c r="AD37">
        <f t="shared" si="12"/>
        <v>0.14400000000000002</v>
      </c>
    </row>
    <row r="38" spans="1:30" x14ac:dyDescent="0.25">
      <c r="A38">
        <v>435</v>
      </c>
      <c r="B38">
        <v>20</v>
      </c>
      <c r="C38">
        <v>0</v>
      </c>
      <c r="D38">
        <v>14</v>
      </c>
      <c r="E38">
        <v>6</v>
      </c>
      <c r="F38">
        <v>16</v>
      </c>
      <c r="G38">
        <v>8</v>
      </c>
      <c r="H38">
        <v>34</v>
      </c>
      <c r="I38">
        <v>20.7</v>
      </c>
      <c r="J38">
        <v>28.6</v>
      </c>
      <c r="K38">
        <v>23.2</v>
      </c>
      <c r="L38">
        <v>23.9</v>
      </c>
      <c r="M38">
        <v>23.7</v>
      </c>
      <c r="N38">
        <v>23.7</v>
      </c>
      <c r="O38">
        <v>19.899999999999999</v>
      </c>
      <c r="P38">
        <v>19.399999999999999</v>
      </c>
      <c r="Q38">
        <v>20</v>
      </c>
      <c r="R38">
        <v>15.5</v>
      </c>
      <c r="S38">
        <f t="shared" si="1"/>
        <v>20</v>
      </c>
      <c r="T38" t="s">
        <v>66</v>
      </c>
      <c r="U38">
        <f t="shared" si="3"/>
        <v>0.20699999999999999</v>
      </c>
      <c r="V38">
        <f t="shared" si="4"/>
        <v>0.28600000000000003</v>
      </c>
      <c r="W38">
        <f t="shared" si="5"/>
        <v>0.23199999999999998</v>
      </c>
      <c r="X38">
        <f t="shared" si="6"/>
        <v>0.23899999999999999</v>
      </c>
      <c r="Y38">
        <f t="shared" si="7"/>
        <v>0.23699999999999999</v>
      </c>
      <c r="Z38">
        <f t="shared" si="8"/>
        <v>0.23699999999999999</v>
      </c>
      <c r="AA38">
        <f t="shared" si="9"/>
        <v>0.19899999999999998</v>
      </c>
      <c r="AB38">
        <f t="shared" si="10"/>
        <v>0.19399999999999998</v>
      </c>
      <c r="AC38">
        <f t="shared" si="11"/>
        <v>0.2</v>
      </c>
      <c r="AD38">
        <f t="shared" si="12"/>
        <v>0.155</v>
      </c>
    </row>
    <row r="39" spans="1:30" x14ac:dyDescent="0.25">
      <c r="A39">
        <v>434</v>
      </c>
      <c r="B39">
        <v>21</v>
      </c>
      <c r="C39">
        <v>0</v>
      </c>
      <c r="D39">
        <v>14</v>
      </c>
      <c r="E39">
        <v>6</v>
      </c>
      <c r="F39">
        <v>16</v>
      </c>
      <c r="G39">
        <v>8</v>
      </c>
      <c r="H39">
        <v>31</v>
      </c>
      <c r="I39">
        <v>20.3</v>
      </c>
      <c r="J39">
        <v>21.8</v>
      </c>
      <c r="K39">
        <v>21.1</v>
      </c>
      <c r="L39">
        <v>22.4</v>
      </c>
      <c r="M39">
        <v>23.9</v>
      </c>
      <c r="N39">
        <v>23</v>
      </c>
      <c r="O39">
        <v>25</v>
      </c>
      <c r="P39">
        <v>28</v>
      </c>
      <c r="Q39">
        <v>22.6</v>
      </c>
      <c r="R39">
        <v>17.600000000000001</v>
      </c>
      <c r="S39">
        <f t="shared" si="1"/>
        <v>21</v>
      </c>
      <c r="T39" t="s">
        <v>67</v>
      </c>
      <c r="U39">
        <f t="shared" si="3"/>
        <v>0.20300000000000001</v>
      </c>
      <c r="V39">
        <f t="shared" si="4"/>
        <v>0.218</v>
      </c>
      <c r="W39">
        <f t="shared" si="5"/>
        <v>0.21100000000000002</v>
      </c>
      <c r="X39">
        <f t="shared" si="6"/>
        <v>0.22399999999999998</v>
      </c>
      <c r="Y39">
        <f t="shared" si="7"/>
        <v>0.23899999999999999</v>
      </c>
      <c r="Z39">
        <f t="shared" si="8"/>
        <v>0.23</v>
      </c>
      <c r="AA39">
        <f t="shared" si="9"/>
        <v>0.25</v>
      </c>
      <c r="AB39">
        <f t="shared" si="10"/>
        <v>0.28000000000000003</v>
      </c>
      <c r="AC39">
        <f t="shared" si="11"/>
        <v>0.22600000000000001</v>
      </c>
      <c r="AD39">
        <f t="shared" si="12"/>
        <v>0.17600000000000002</v>
      </c>
    </row>
    <row r="40" spans="1:30" x14ac:dyDescent="0.25">
      <c r="A40">
        <v>433</v>
      </c>
      <c r="B40">
        <v>22</v>
      </c>
      <c r="C40">
        <v>0</v>
      </c>
      <c r="D40">
        <v>14</v>
      </c>
      <c r="E40">
        <v>6</v>
      </c>
      <c r="F40">
        <v>16</v>
      </c>
      <c r="G40">
        <v>8</v>
      </c>
      <c r="H40">
        <v>43</v>
      </c>
      <c r="I40">
        <v>18</v>
      </c>
      <c r="J40">
        <v>17.7</v>
      </c>
      <c r="K40">
        <v>19.100000000000001</v>
      </c>
      <c r="L40">
        <v>19.3</v>
      </c>
      <c r="M40">
        <v>23.2</v>
      </c>
      <c r="N40">
        <v>25.5</v>
      </c>
      <c r="O40">
        <v>27.5</v>
      </c>
      <c r="P40">
        <v>25.6</v>
      </c>
      <c r="Q40">
        <v>24.4</v>
      </c>
      <c r="R40">
        <v>19.100000000000001</v>
      </c>
      <c r="S40">
        <f t="shared" si="1"/>
        <v>22</v>
      </c>
      <c r="T40" t="s">
        <v>68</v>
      </c>
      <c r="U40">
        <f t="shared" si="3"/>
        <v>0.18</v>
      </c>
      <c r="V40">
        <f t="shared" si="4"/>
        <v>0.17699999999999999</v>
      </c>
      <c r="W40">
        <f t="shared" si="5"/>
        <v>0.191</v>
      </c>
      <c r="X40">
        <f t="shared" si="6"/>
        <v>0.193</v>
      </c>
      <c r="Y40">
        <f t="shared" si="7"/>
        <v>0.23199999999999998</v>
      </c>
      <c r="Z40">
        <f t="shared" si="8"/>
        <v>0.255</v>
      </c>
      <c r="AA40">
        <f t="shared" si="9"/>
        <v>0.27500000000000002</v>
      </c>
      <c r="AB40">
        <f t="shared" si="10"/>
        <v>0.25600000000000001</v>
      </c>
      <c r="AC40">
        <f t="shared" si="11"/>
        <v>0.24399999999999999</v>
      </c>
      <c r="AD40">
        <f t="shared" si="12"/>
        <v>0.191</v>
      </c>
    </row>
    <row r="41" spans="1:30" x14ac:dyDescent="0.25">
      <c r="A41">
        <v>429</v>
      </c>
      <c r="B41">
        <v>23</v>
      </c>
      <c r="C41">
        <v>0</v>
      </c>
      <c r="D41">
        <v>14</v>
      </c>
      <c r="E41">
        <v>6</v>
      </c>
      <c r="F41">
        <v>16</v>
      </c>
      <c r="G41">
        <v>8</v>
      </c>
      <c r="H41">
        <v>55</v>
      </c>
      <c r="I41">
        <v>-5</v>
      </c>
      <c r="J41">
        <v>-5</v>
      </c>
      <c r="K41">
        <v>-5</v>
      </c>
      <c r="L41">
        <v>-5</v>
      </c>
      <c r="M41">
        <v>-5</v>
      </c>
      <c r="N41">
        <v>26.2</v>
      </c>
      <c r="O41">
        <v>27.6</v>
      </c>
      <c r="P41">
        <v>25.2</v>
      </c>
      <c r="Q41">
        <v>23.6</v>
      </c>
      <c r="R41">
        <v>19.5</v>
      </c>
      <c r="S41">
        <f t="shared" si="1"/>
        <v>23</v>
      </c>
      <c r="T41" t="s">
        <v>69</v>
      </c>
      <c r="U41" t="str">
        <f t="shared" si="3"/>
        <v/>
      </c>
      <c r="V41" t="str">
        <f t="shared" si="4"/>
        <v/>
      </c>
      <c r="W41" t="str">
        <f t="shared" si="5"/>
        <v/>
      </c>
      <c r="X41" t="str">
        <f t="shared" si="6"/>
        <v/>
      </c>
      <c r="Y41" t="str">
        <f t="shared" si="7"/>
        <v/>
      </c>
      <c r="Z41">
        <f t="shared" si="8"/>
        <v>0.26200000000000001</v>
      </c>
      <c r="AA41">
        <f t="shared" si="9"/>
        <v>0.27600000000000002</v>
      </c>
      <c r="AB41">
        <f t="shared" si="10"/>
        <v>0.252</v>
      </c>
      <c r="AC41">
        <f t="shared" si="11"/>
        <v>0.23600000000000002</v>
      </c>
      <c r="AD41">
        <f t="shared" si="12"/>
        <v>0.19500000000000001</v>
      </c>
    </row>
    <row r="42" spans="1:30" x14ac:dyDescent="0.25">
      <c r="A42">
        <v>428</v>
      </c>
      <c r="B42">
        <v>24</v>
      </c>
      <c r="C42">
        <v>0</v>
      </c>
      <c r="D42">
        <v>14</v>
      </c>
      <c r="E42">
        <v>6</v>
      </c>
      <c r="F42">
        <v>16</v>
      </c>
      <c r="G42">
        <v>8</v>
      </c>
      <c r="H42">
        <v>50</v>
      </c>
      <c r="I42">
        <v>17.399999999999999</v>
      </c>
      <c r="J42">
        <v>17.399999999999999</v>
      </c>
      <c r="K42">
        <v>21.6</v>
      </c>
      <c r="L42">
        <v>22.4</v>
      </c>
      <c r="M42">
        <v>24.6</v>
      </c>
      <c r="N42">
        <v>27.6</v>
      </c>
      <c r="O42">
        <v>29.4</v>
      </c>
      <c r="P42">
        <v>26.4</v>
      </c>
      <c r="Q42">
        <v>24.3</v>
      </c>
      <c r="R42">
        <v>19.8</v>
      </c>
      <c r="S42">
        <f t="shared" si="1"/>
        <v>24</v>
      </c>
      <c r="T42" t="s">
        <v>70</v>
      </c>
      <c r="U42">
        <f t="shared" si="3"/>
        <v>0.17399999999999999</v>
      </c>
      <c r="V42">
        <f t="shared" si="4"/>
        <v>0.17399999999999999</v>
      </c>
      <c r="W42">
        <f t="shared" si="5"/>
        <v>0.21600000000000003</v>
      </c>
      <c r="X42">
        <f t="shared" si="6"/>
        <v>0.22399999999999998</v>
      </c>
      <c r="Y42">
        <f t="shared" si="7"/>
        <v>0.24600000000000002</v>
      </c>
      <c r="Z42">
        <f t="shared" si="8"/>
        <v>0.27600000000000002</v>
      </c>
      <c r="AA42">
        <f t="shared" si="9"/>
        <v>0.29399999999999998</v>
      </c>
      <c r="AB42">
        <f t="shared" si="10"/>
        <v>0.26400000000000001</v>
      </c>
      <c r="AC42">
        <f t="shared" si="11"/>
        <v>0.24299999999999999</v>
      </c>
      <c r="AD42">
        <f t="shared" si="12"/>
        <v>0.19800000000000001</v>
      </c>
    </row>
    <row r="43" spans="1:30" x14ac:dyDescent="0.25">
      <c r="A43">
        <v>427</v>
      </c>
      <c r="B43">
        <v>25</v>
      </c>
      <c r="C43">
        <v>0</v>
      </c>
      <c r="D43">
        <v>14</v>
      </c>
      <c r="E43">
        <v>6</v>
      </c>
      <c r="F43">
        <v>16</v>
      </c>
      <c r="G43">
        <v>9</v>
      </c>
      <c r="H43">
        <v>6</v>
      </c>
      <c r="I43">
        <v>19.5</v>
      </c>
      <c r="J43">
        <v>21.6</v>
      </c>
      <c r="K43">
        <v>24</v>
      </c>
      <c r="L43">
        <v>23.8</v>
      </c>
      <c r="M43">
        <v>24.6</v>
      </c>
      <c r="N43">
        <v>26</v>
      </c>
      <c r="O43">
        <v>22</v>
      </c>
      <c r="P43">
        <v>21.3</v>
      </c>
      <c r="Q43">
        <v>23.6</v>
      </c>
      <c r="R43">
        <v>18.600000000000001</v>
      </c>
      <c r="S43">
        <f t="shared" si="1"/>
        <v>25</v>
      </c>
      <c r="T43" t="s">
        <v>71</v>
      </c>
      <c r="U43">
        <f t="shared" si="3"/>
        <v>0.19500000000000001</v>
      </c>
      <c r="V43">
        <f t="shared" si="4"/>
        <v>0.21600000000000003</v>
      </c>
      <c r="W43">
        <f t="shared" si="5"/>
        <v>0.24</v>
      </c>
      <c r="X43">
        <f t="shared" si="6"/>
        <v>0.23800000000000002</v>
      </c>
      <c r="Y43">
        <f t="shared" si="7"/>
        <v>0.24600000000000002</v>
      </c>
      <c r="Z43">
        <f t="shared" si="8"/>
        <v>0.26</v>
      </c>
      <c r="AA43">
        <f t="shared" si="9"/>
        <v>0.22</v>
      </c>
      <c r="AB43">
        <f t="shared" si="10"/>
        <v>0.21299999999999999</v>
      </c>
      <c r="AC43">
        <f t="shared" si="11"/>
        <v>0.23600000000000002</v>
      </c>
      <c r="AD43">
        <f t="shared" si="12"/>
        <v>0.18600000000000003</v>
      </c>
    </row>
    <row r="44" spans="1:30" x14ac:dyDescent="0.25">
      <c r="A44">
        <v>426</v>
      </c>
      <c r="B44">
        <v>26</v>
      </c>
      <c r="C44">
        <v>0</v>
      </c>
      <c r="D44">
        <v>14</v>
      </c>
      <c r="E44">
        <v>6</v>
      </c>
      <c r="F44">
        <v>16</v>
      </c>
      <c r="G44">
        <v>9</v>
      </c>
      <c r="H44">
        <v>11</v>
      </c>
      <c r="I44">
        <v>-5</v>
      </c>
      <c r="J44">
        <v>17.8</v>
      </c>
      <c r="K44">
        <v>20</v>
      </c>
      <c r="L44">
        <v>21.8</v>
      </c>
      <c r="M44">
        <v>23.2</v>
      </c>
      <c r="N44">
        <v>20.8</v>
      </c>
      <c r="O44">
        <v>22.5</v>
      </c>
      <c r="P44">
        <v>22.9</v>
      </c>
      <c r="Q44">
        <v>22.7</v>
      </c>
      <c r="R44">
        <v>18.899999999999999</v>
      </c>
      <c r="S44">
        <f t="shared" si="1"/>
        <v>26</v>
      </c>
      <c r="T44" t="s">
        <v>74</v>
      </c>
      <c r="U44" t="str">
        <f t="shared" si="3"/>
        <v/>
      </c>
      <c r="V44">
        <f t="shared" si="4"/>
        <v>0.17800000000000002</v>
      </c>
      <c r="W44">
        <f t="shared" si="5"/>
        <v>0.2</v>
      </c>
      <c r="X44">
        <f t="shared" si="6"/>
        <v>0.218</v>
      </c>
      <c r="Y44">
        <f t="shared" si="7"/>
        <v>0.23199999999999998</v>
      </c>
      <c r="Z44">
        <f t="shared" si="8"/>
        <v>0.20800000000000002</v>
      </c>
      <c r="AA44">
        <f t="shared" si="9"/>
        <v>0.22500000000000001</v>
      </c>
      <c r="AB44">
        <f t="shared" si="10"/>
        <v>0.22899999999999998</v>
      </c>
      <c r="AC44">
        <f t="shared" si="11"/>
        <v>0.22699999999999998</v>
      </c>
      <c r="AD44">
        <f t="shared" si="12"/>
        <v>0.18899999999999997</v>
      </c>
    </row>
    <row r="45" spans="1:30" x14ac:dyDescent="0.25">
      <c r="A45">
        <v>425</v>
      </c>
      <c r="B45">
        <v>27</v>
      </c>
      <c r="C45">
        <v>0</v>
      </c>
      <c r="D45">
        <v>14</v>
      </c>
      <c r="E45">
        <v>6</v>
      </c>
      <c r="F45">
        <v>16</v>
      </c>
      <c r="G45">
        <v>9</v>
      </c>
      <c r="H45">
        <v>17</v>
      </c>
      <c r="I45">
        <v>-5</v>
      </c>
      <c r="J45">
        <v>18.2</v>
      </c>
      <c r="K45">
        <v>17</v>
      </c>
      <c r="L45">
        <v>25</v>
      </c>
      <c r="M45">
        <v>21.6</v>
      </c>
      <c r="N45">
        <v>24.3</v>
      </c>
      <c r="O45">
        <v>26.9</v>
      </c>
      <c r="P45">
        <v>24.7</v>
      </c>
      <c r="Q45">
        <v>23.4</v>
      </c>
      <c r="R45">
        <v>19.100000000000001</v>
      </c>
      <c r="S45">
        <f t="shared" si="1"/>
        <v>27</v>
      </c>
      <c r="T45" t="s">
        <v>75</v>
      </c>
      <c r="U45" t="str">
        <f t="shared" si="3"/>
        <v/>
      </c>
      <c r="V45">
        <f t="shared" si="4"/>
        <v>0.182</v>
      </c>
      <c r="W45">
        <f t="shared" si="5"/>
        <v>0.17</v>
      </c>
      <c r="X45">
        <f t="shared" si="6"/>
        <v>0.25</v>
      </c>
      <c r="Y45">
        <f t="shared" si="7"/>
        <v>0.21600000000000003</v>
      </c>
      <c r="Z45">
        <f t="shared" si="8"/>
        <v>0.24299999999999999</v>
      </c>
      <c r="AA45">
        <f t="shared" si="9"/>
        <v>0.26899999999999996</v>
      </c>
      <c r="AB45">
        <f t="shared" si="10"/>
        <v>0.247</v>
      </c>
      <c r="AC45">
        <f t="shared" si="11"/>
        <v>0.23399999999999999</v>
      </c>
      <c r="AD45">
        <f t="shared" si="12"/>
        <v>0.191</v>
      </c>
    </row>
    <row r="46" spans="1:30" x14ac:dyDescent="0.25">
      <c r="A46">
        <v>424</v>
      </c>
      <c r="B46">
        <v>28</v>
      </c>
      <c r="C46">
        <v>0</v>
      </c>
      <c r="D46">
        <v>14</v>
      </c>
      <c r="E46">
        <v>6</v>
      </c>
      <c r="F46">
        <v>16</v>
      </c>
      <c r="G46">
        <v>9</v>
      </c>
      <c r="H46">
        <v>22</v>
      </c>
      <c r="I46">
        <v>17.399999999999999</v>
      </c>
      <c r="J46">
        <v>17</v>
      </c>
      <c r="K46">
        <v>17.7</v>
      </c>
      <c r="L46">
        <v>20.6</v>
      </c>
      <c r="M46">
        <v>24.3</v>
      </c>
      <c r="N46">
        <v>24.8</v>
      </c>
      <c r="O46">
        <v>24.7</v>
      </c>
      <c r="P46">
        <v>26.5</v>
      </c>
      <c r="Q46">
        <v>23.5</v>
      </c>
      <c r="R46">
        <v>19.600000000000001</v>
      </c>
      <c r="S46">
        <f t="shared" si="1"/>
        <v>28</v>
      </c>
      <c r="T46" t="s">
        <v>76</v>
      </c>
      <c r="U46">
        <f t="shared" si="3"/>
        <v>0.17399999999999999</v>
      </c>
      <c r="V46">
        <f t="shared" si="4"/>
        <v>0.17</v>
      </c>
      <c r="W46">
        <f t="shared" si="5"/>
        <v>0.17699999999999999</v>
      </c>
      <c r="X46">
        <f t="shared" si="6"/>
        <v>0.20600000000000002</v>
      </c>
      <c r="Y46">
        <f t="shared" si="7"/>
        <v>0.24299999999999999</v>
      </c>
      <c r="Z46">
        <f t="shared" si="8"/>
        <v>0.248</v>
      </c>
      <c r="AA46">
        <f t="shared" si="9"/>
        <v>0.247</v>
      </c>
      <c r="AB46">
        <f t="shared" si="10"/>
        <v>0.26500000000000001</v>
      </c>
      <c r="AC46">
        <f t="shared" si="11"/>
        <v>0.23499999999999999</v>
      </c>
      <c r="AD46">
        <f t="shared" si="12"/>
        <v>0.19600000000000001</v>
      </c>
    </row>
    <row r="47" spans="1:30" x14ac:dyDescent="0.25">
      <c r="A47">
        <v>423</v>
      </c>
      <c r="B47">
        <v>29</v>
      </c>
      <c r="C47">
        <v>0</v>
      </c>
      <c r="D47">
        <v>14</v>
      </c>
      <c r="E47">
        <v>6</v>
      </c>
      <c r="F47">
        <v>16</v>
      </c>
      <c r="G47">
        <v>9</v>
      </c>
      <c r="H47">
        <v>27</v>
      </c>
      <c r="I47">
        <v>-5</v>
      </c>
      <c r="J47">
        <v>29.1</v>
      </c>
      <c r="K47">
        <v>20.399999999999999</v>
      </c>
      <c r="L47">
        <v>23</v>
      </c>
      <c r="M47">
        <v>25.2</v>
      </c>
      <c r="N47">
        <v>26.4</v>
      </c>
      <c r="O47">
        <v>27.7</v>
      </c>
      <c r="P47">
        <v>25.2</v>
      </c>
      <c r="Q47">
        <v>24.3</v>
      </c>
      <c r="R47">
        <v>18.2</v>
      </c>
      <c r="S47">
        <f t="shared" si="1"/>
        <v>29</v>
      </c>
      <c r="T47" t="s">
        <v>53</v>
      </c>
      <c r="U47" t="str">
        <f t="shared" si="3"/>
        <v/>
      </c>
      <c r="V47">
        <f t="shared" si="4"/>
        <v>0.29100000000000004</v>
      </c>
      <c r="W47">
        <f t="shared" si="5"/>
        <v>0.20399999999999999</v>
      </c>
      <c r="X47">
        <f t="shared" si="6"/>
        <v>0.23</v>
      </c>
      <c r="Y47">
        <f t="shared" si="7"/>
        <v>0.252</v>
      </c>
      <c r="Z47">
        <f t="shared" si="8"/>
        <v>0.26400000000000001</v>
      </c>
      <c r="AA47">
        <f t="shared" si="9"/>
        <v>0.27699999999999997</v>
      </c>
      <c r="AB47">
        <f t="shared" si="10"/>
        <v>0.252</v>
      </c>
      <c r="AC47">
        <f t="shared" si="11"/>
        <v>0.24299999999999999</v>
      </c>
      <c r="AD47">
        <f t="shared" si="12"/>
        <v>0.182</v>
      </c>
    </row>
    <row r="48" spans="1:30" x14ac:dyDescent="0.25">
      <c r="A48">
        <v>422</v>
      </c>
      <c r="B48">
        <v>30</v>
      </c>
      <c r="C48">
        <v>0</v>
      </c>
      <c r="D48">
        <v>14</v>
      </c>
      <c r="E48">
        <v>6</v>
      </c>
      <c r="F48">
        <v>16</v>
      </c>
      <c r="G48">
        <v>9</v>
      </c>
      <c r="H48">
        <v>31</v>
      </c>
      <c r="I48">
        <v>22.7</v>
      </c>
      <c r="J48">
        <v>25.5</v>
      </c>
      <c r="K48">
        <v>22.3</v>
      </c>
      <c r="L48">
        <v>21</v>
      </c>
      <c r="M48">
        <v>20.7</v>
      </c>
      <c r="N48">
        <v>21</v>
      </c>
      <c r="O48">
        <v>17.600000000000001</v>
      </c>
      <c r="P48">
        <v>23.3</v>
      </c>
      <c r="Q48">
        <v>21.8</v>
      </c>
      <c r="R48">
        <v>16.8</v>
      </c>
      <c r="S48">
        <f t="shared" si="1"/>
        <v>30</v>
      </c>
      <c r="T48" t="s">
        <v>77</v>
      </c>
      <c r="U48">
        <f t="shared" si="3"/>
        <v>0.22699999999999998</v>
      </c>
      <c r="V48">
        <f t="shared" si="4"/>
        <v>0.255</v>
      </c>
      <c r="W48">
        <f t="shared" si="5"/>
        <v>0.223</v>
      </c>
      <c r="X48">
        <f t="shared" si="6"/>
        <v>0.21</v>
      </c>
      <c r="Y48">
        <f t="shared" si="7"/>
        <v>0.20699999999999999</v>
      </c>
      <c r="Z48">
        <f t="shared" si="8"/>
        <v>0.21</v>
      </c>
      <c r="AA48">
        <f t="shared" si="9"/>
        <v>0.17600000000000002</v>
      </c>
      <c r="AB48">
        <f t="shared" si="10"/>
        <v>0.23300000000000001</v>
      </c>
      <c r="AC48">
        <f t="shared" si="11"/>
        <v>0.218</v>
      </c>
      <c r="AD48">
        <f t="shared" si="12"/>
        <v>0.16800000000000001</v>
      </c>
    </row>
    <row r="49" spans="1:30" x14ac:dyDescent="0.25">
      <c r="A49">
        <v>421</v>
      </c>
      <c r="B49">
        <v>31</v>
      </c>
      <c r="C49">
        <v>0</v>
      </c>
      <c r="D49">
        <v>14</v>
      </c>
      <c r="E49">
        <v>6</v>
      </c>
      <c r="F49">
        <v>16</v>
      </c>
      <c r="G49">
        <v>9</v>
      </c>
      <c r="H49">
        <v>51</v>
      </c>
      <c r="I49">
        <v>-5</v>
      </c>
      <c r="J49">
        <v>-5</v>
      </c>
      <c r="K49">
        <v>20.399999999999999</v>
      </c>
      <c r="L49">
        <v>20</v>
      </c>
      <c r="M49">
        <v>21.8</v>
      </c>
      <c r="N49">
        <v>21.5</v>
      </c>
      <c r="O49">
        <v>20.7</v>
      </c>
      <c r="P49">
        <v>23.4</v>
      </c>
      <c r="Q49">
        <v>21.2</v>
      </c>
      <c r="R49">
        <v>15.2</v>
      </c>
      <c r="S49">
        <f t="shared" si="1"/>
        <v>31</v>
      </c>
      <c r="T49" t="s">
        <v>54</v>
      </c>
      <c r="U49" t="str">
        <f t="shared" si="3"/>
        <v/>
      </c>
      <c r="V49" t="str">
        <f t="shared" si="4"/>
        <v/>
      </c>
      <c r="W49">
        <f t="shared" si="5"/>
        <v>0.20399999999999999</v>
      </c>
      <c r="X49">
        <f t="shared" si="6"/>
        <v>0.2</v>
      </c>
      <c r="Y49">
        <f t="shared" si="7"/>
        <v>0.218</v>
      </c>
      <c r="Z49">
        <f t="shared" si="8"/>
        <v>0.215</v>
      </c>
      <c r="AA49">
        <f t="shared" si="9"/>
        <v>0.20699999999999999</v>
      </c>
      <c r="AB49">
        <f t="shared" si="10"/>
        <v>0.23399999999999999</v>
      </c>
      <c r="AC49">
        <f t="shared" si="11"/>
        <v>0.21199999999999999</v>
      </c>
      <c r="AD49">
        <f t="shared" si="12"/>
        <v>0.152</v>
      </c>
    </row>
    <row r="50" spans="1:30" x14ac:dyDescent="0.25">
      <c r="A50">
        <v>420</v>
      </c>
      <c r="B50">
        <v>32</v>
      </c>
      <c r="C50">
        <v>0</v>
      </c>
      <c r="D50">
        <v>14</v>
      </c>
      <c r="E50">
        <v>6</v>
      </c>
      <c r="F50">
        <v>16</v>
      </c>
      <c r="G50">
        <v>9</v>
      </c>
      <c r="H50">
        <v>56</v>
      </c>
      <c r="I50">
        <v>-5</v>
      </c>
      <c r="J50">
        <v>22.2</v>
      </c>
      <c r="K50">
        <v>19.899999999999999</v>
      </c>
      <c r="L50">
        <v>22.7</v>
      </c>
      <c r="M50">
        <v>24.1</v>
      </c>
      <c r="N50">
        <v>24.8</v>
      </c>
      <c r="O50">
        <v>25</v>
      </c>
      <c r="P50">
        <v>21.9</v>
      </c>
      <c r="Q50">
        <v>19.3</v>
      </c>
      <c r="R50">
        <v>13.1</v>
      </c>
      <c r="S50">
        <f t="shared" si="1"/>
        <v>32</v>
      </c>
      <c r="T50" t="s">
        <v>78</v>
      </c>
      <c r="U50" t="str">
        <f t="shared" si="3"/>
        <v/>
      </c>
      <c r="V50">
        <f t="shared" si="4"/>
        <v>0.222</v>
      </c>
      <c r="W50">
        <f t="shared" si="5"/>
        <v>0.19899999999999998</v>
      </c>
      <c r="X50">
        <f t="shared" si="6"/>
        <v>0.22699999999999998</v>
      </c>
      <c r="Y50">
        <f t="shared" si="7"/>
        <v>0.24100000000000002</v>
      </c>
      <c r="Z50">
        <f t="shared" si="8"/>
        <v>0.248</v>
      </c>
      <c r="AA50">
        <f t="shared" si="9"/>
        <v>0.25</v>
      </c>
      <c r="AB50">
        <f t="shared" si="10"/>
        <v>0.21899999999999997</v>
      </c>
      <c r="AC50">
        <f t="shared" si="11"/>
        <v>0.193</v>
      </c>
      <c r="AD50">
        <f t="shared" si="12"/>
        <v>0.13100000000000001</v>
      </c>
    </row>
    <row r="51" spans="1:30" x14ac:dyDescent="0.25">
      <c r="A51">
        <v>419</v>
      </c>
      <c r="B51">
        <v>33</v>
      </c>
      <c r="C51">
        <v>0</v>
      </c>
      <c r="D51">
        <v>14</v>
      </c>
      <c r="E51">
        <v>6</v>
      </c>
      <c r="F51">
        <v>16</v>
      </c>
      <c r="G51">
        <v>10</v>
      </c>
      <c r="H51">
        <v>0</v>
      </c>
      <c r="I51">
        <v>-5</v>
      </c>
      <c r="J51">
        <v>19.5</v>
      </c>
      <c r="K51">
        <v>21.2</v>
      </c>
      <c r="L51">
        <v>24.7</v>
      </c>
      <c r="M51">
        <v>26</v>
      </c>
      <c r="N51">
        <v>27.8</v>
      </c>
      <c r="O51">
        <v>26.3</v>
      </c>
      <c r="P51">
        <v>24.7</v>
      </c>
      <c r="Q51">
        <v>21</v>
      </c>
      <c r="R51">
        <v>15.8</v>
      </c>
      <c r="S51">
        <f t="shared" si="1"/>
        <v>33</v>
      </c>
      <c r="T51" t="s">
        <v>79</v>
      </c>
      <c r="U51" t="str">
        <f t="shared" si="3"/>
        <v/>
      </c>
      <c r="V51">
        <f t="shared" si="4"/>
        <v>0.19500000000000001</v>
      </c>
      <c r="W51">
        <f t="shared" si="5"/>
        <v>0.21199999999999999</v>
      </c>
      <c r="X51">
        <f t="shared" si="6"/>
        <v>0.247</v>
      </c>
      <c r="Y51">
        <f t="shared" si="7"/>
        <v>0.26</v>
      </c>
      <c r="Z51">
        <f t="shared" si="8"/>
        <v>0.27800000000000002</v>
      </c>
      <c r="AA51">
        <f t="shared" si="9"/>
        <v>0.26300000000000001</v>
      </c>
      <c r="AB51">
        <f t="shared" si="10"/>
        <v>0.247</v>
      </c>
      <c r="AC51">
        <f t="shared" si="11"/>
        <v>0.21</v>
      </c>
      <c r="AD51">
        <f t="shared" si="12"/>
        <v>0.158</v>
      </c>
    </row>
    <row r="52" spans="1:30" x14ac:dyDescent="0.25">
      <c r="A52">
        <v>418</v>
      </c>
      <c r="B52">
        <v>34</v>
      </c>
      <c r="C52">
        <v>0</v>
      </c>
      <c r="D52">
        <v>14</v>
      </c>
      <c r="E52">
        <v>6</v>
      </c>
      <c r="F52">
        <v>16</v>
      </c>
      <c r="G52">
        <v>10</v>
      </c>
      <c r="H52">
        <v>5</v>
      </c>
      <c r="I52">
        <v>-5</v>
      </c>
      <c r="J52">
        <v>20.6</v>
      </c>
      <c r="K52">
        <v>22.6</v>
      </c>
      <c r="L52">
        <v>23.9</v>
      </c>
      <c r="M52">
        <v>24.5</v>
      </c>
      <c r="N52">
        <v>25.9</v>
      </c>
      <c r="O52">
        <v>27</v>
      </c>
      <c r="P52">
        <v>22.7</v>
      </c>
      <c r="Q52">
        <v>21.2</v>
      </c>
      <c r="R52">
        <v>16.8</v>
      </c>
      <c r="S52">
        <f t="shared" si="1"/>
        <v>34</v>
      </c>
      <c r="T52" t="s">
        <v>80</v>
      </c>
      <c r="U52" t="str">
        <f t="shared" si="3"/>
        <v/>
      </c>
      <c r="V52">
        <f t="shared" si="4"/>
        <v>0.20600000000000002</v>
      </c>
      <c r="W52">
        <f t="shared" si="5"/>
        <v>0.22600000000000001</v>
      </c>
      <c r="X52">
        <f t="shared" si="6"/>
        <v>0.23899999999999999</v>
      </c>
      <c r="Y52">
        <f t="shared" si="7"/>
        <v>0.245</v>
      </c>
      <c r="Z52">
        <f t="shared" si="8"/>
        <v>0.25900000000000001</v>
      </c>
      <c r="AA52">
        <f t="shared" si="9"/>
        <v>0.27</v>
      </c>
      <c r="AB52">
        <f t="shared" si="10"/>
        <v>0.22699999999999998</v>
      </c>
      <c r="AC52">
        <f t="shared" si="11"/>
        <v>0.21199999999999999</v>
      </c>
      <c r="AD52">
        <f t="shared" si="12"/>
        <v>0.16800000000000001</v>
      </c>
    </row>
    <row r="53" spans="1:30" x14ac:dyDescent="0.25">
      <c r="A53">
        <v>417</v>
      </c>
      <c r="B53">
        <v>35</v>
      </c>
      <c r="C53">
        <v>0</v>
      </c>
      <c r="D53">
        <v>14</v>
      </c>
      <c r="E53">
        <v>6</v>
      </c>
      <c r="F53">
        <v>16</v>
      </c>
      <c r="G53">
        <v>10</v>
      </c>
      <c r="H53">
        <v>1</v>
      </c>
      <c r="I53">
        <v>-5</v>
      </c>
      <c r="J53">
        <v>25.1</v>
      </c>
      <c r="K53">
        <v>23.7</v>
      </c>
      <c r="L53">
        <v>25.4</v>
      </c>
      <c r="M53">
        <v>27.6</v>
      </c>
      <c r="N53">
        <v>25.6</v>
      </c>
      <c r="O53">
        <v>23.3</v>
      </c>
      <c r="P53">
        <v>20.5</v>
      </c>
      <c r="Q53">
        <v>22.5</v>
      </c>
      <c r="R53">
        <v>15.9</v>
      </c>
      <c r="S53">
        <f t="shared" si="1"/>
        <v>35</v>
      </c>
      <c r="T53" t="s">
        <v>81</v>
      </c>
      <c r="U53" t="str">
        <f t="shared" si="3"/>
        <v/>
      </c>
      <c r="V53">
        <f t="shared" si="4"/>
        <v>0.251</v>
      </c>
      <c r="W53">
        <f t="shared" si="5"/>
        <v>0.23699999999999999</v>
      </c>
      <c r="X53">
        <f t="shared" si="6"/>
        <v>0.254</v>
      </c>
      <c r="Y53">
        <f t="shared" si="7"/>
        <v>0.27600000000000002</v>
      </c>
      <c r="Z53">
        <f t="shared" si="8"/>
        <v>0.25600000000000001</v>
      </c>
      <c r="AA53">
        <f t="shared" si="9"/>
        <v>0.23300000000000001</v>
      </c>
      <c r="AB53">
        <f t="shared" si="10"/>
        <v>0.20499999999999999</v>
      </c>
      <c r="AC53">
        <f t="shared" si="11"/>
        <v>0.22500000000000001</v>
      </c>
      <c r="AD53">
        <f t="shared" si="12"/>
        <v>0.159</v>
      </c>
    </row>
    <row r="54" spans="1:30" x14ac:dyDescent="0.25">
      <c r="A54">
        <v>416</v>
      </c>
      <c r="B54">
        <v>36</v>
      </c>
      <c r="C54">
        <v>0</v>
      </c>
      <c r="D54">
        <v>14</v>
      </c>
      <c r="E54">
        <v>6</v>
      </c>
      <c r="F54">
        <v>16</v>
      </c>
      <c r="G54">
        <v>10</v>
      </c>
      <c r="H54">
        <v>13</v>
      </c>
      <c r="I54">
        <v>17.7</v>
      </c>
      <c r="J54">
        <v>20.5</v>
      </c>
      <c r="K54">
        <v>23.8</v>
      </c>
      <c r="L54">
        <v>23.9</v>
      </c>
      <c r="M54">
        <v>20.3</v>
      </c>
      <c r="N54">
        <v>21.3</v>
      </c>
      <c r="O54">
        <v>18.7</v>
      </c>
      <c r="P54">
        <v>18.399999999999999</v>
      </c>
      <c r="Q54">
        <v>19.5</v>
      </c>
      <c r="R54">
        <v>13.9</v>
      </c>
      <c r="S54">
        <f t="shared" si="1"/>
        <v>36</v>
      </c>
      <c r="T54" t="s">
        <v>73</v>
      </c>
      <c r="U54">
        <f t="shared" si="3"/>
        <v>0.17699999999999999</v>
      </c>
      <c r="V54">
        <f t="shared" si="4"/>
        <v>0.20499999999999999</v>
      </c>
      <c r="W54">
        <f t="shared" si="5"/>
        <v>0.23800000000000002</v>
      </c>
      <c r="X54">
        <f t="shared" si="6"/>
        <v>0.23899999999999999</v>
      </c>
      <c r="Y54">
        <f t="shared" si="7"/>
        <v>0.20300000000000001</v>
      </c>
      <c r="Z54">
        <f t="shared" si="8"/>
        <v>0.21299999999999999</v>
      </c>
      <c r="AA54">
        <f t="shared" si="9"/>
        <v>0.187</v>
      </c>
      <c r="AB54">
        <f t="shared" si="10"/>
        <v>0.184</v>
      </c>
      <c r="AC54">
        <f t="shared" si="11"/>
        <v>0.19500000000000001</v>
      </c>
      <c r="AD54">
        <f t="shared" si="12"/>
        <v>0.13900000000000001</v>
      </c>
    </row>
    <row r="58" spans="1:30" x14ac:dyDescent="0.25">
      <c r="S58" t="s">
        <v>0</v>
      </c>
      <c r="T58" t="s">
        <v>28</v>
      </c>
      <c r="U58">
        <v>190</v>
      </c>
      <c r="V58">
        <v>170</v>
      </c>
      <c r="W58">
        <v>150</v>
      </c>
      <c r="X58">
        <v>130</v>
      </c>
      <c r="Y58">
        <v>110</v>
      </c>
      <c r="Z58">
        <v>90</v>
      </c>
      <c r="AA58">
        <v>70</v>
      </c>
      <c r="AB58">
        <v>50</v>
      </c>
      <c r="AC58">
        <v>30</v>
      </c>
      <c r="AD58">
        <v>10</v>
      </c>
    </row>
    <row r="59" spans="1:30" x14ac:dyDescent="0.25">
      <c r="A59">
        <v>455</v>
      </c>
      <c r="B59">
        <v>37</v>
      </c>
      <c r="C59">
        <v>0</v>
      </c>
      <c r="D59">
        <v>14</v>
      </c>
      <c r="E59">
        <v>6</v>
      </c>
      <c r="F59">
        <v>16</v>
      </c>
      <c r="G59">
        <v>7</v>
      </c>
      <c r="H59">
        <v>1</v>
      </c>
      <c r="I59">
        <v>-5.9</v>
      </c>
      <c r="J59">
        <v>25.4</v>
      </c>
      <c r="K59">
        <v>22.9</v>
      </c>
      <c r="L59">
        <v>19.899999999999999</v>
      </c>
      <c r="M59">
        <v>17.600000000000001</v>
      </c>
      <c r="N59">
        <v>17</v>
      </c>
      <c r="O59">
        <v>17.5</v>
      </c>
      <c r="P59">
        <v>22.5</v>
      </c>
      <c r="Q59">
        <v>22.2</v>
      </c>
      <c r="R59">
        <v>14</v>
      </c>
      <c r="S59">
        <f>B59</f>
        <v>37</v>
      </c>
      <c r="T59" t="s">
        <v>35</v>
      </c>
      <c r="U59" t="str">
        <f>IF(I59&lt;0,"",I59/100)</f>
        <v/>
      </c>
      <c r="V59">
        <f t="shared" ref="V59:V94" si="13">IF(J59&lt;0,"",J59/100)</f>
        <v>0.254</v>
      </c>
      <c r="W59">
        <f t="shared" ref="W59:W94" si="14">IF(K59&lt;0,"",K59/100)</f>
        <v>0.22899999999999998</v>
      </c>
      <c r="X59">
        <f t="shared" ref="X59:X94" si="15">IF(L59&lt;0,"",L59/100)</f>
        <v>0.19899999999999998</v>
      </c>
      <c r="Y59">
        <f t="shared" ref="Y59:Y94" si="16">IF(M59&lt;0,"",M59/100)</f>
        <v>0.17600000000000002</v>
      </c>
      <c r="Z59">
        <f t="shared" ref="Z59:Z94" si="17">IF(N59&lt;0,"",N59/100)</f>
        <v>0.17</v>
      </c>
      <c r="AA59">
        <f t="shared" ref="AA59:AA94" si="18">IF(O59&lt;0,"",O59/100)</f>
        <v>0.17499999999999999</v>
      </c>
      <c r="AB59">
        <f t="shared" ref="AB59:AB94" si="19">IF(P59&lt;0,"",P59/100)</f>
        <v>0.22500000000000001</v>
      </c>
      <c r="AC59">
        <f t="shared" ref="AC59:AC94" si="20">IF(Q59&lt;0,"",Q59/100)</f>
        <v>0.222</v>
      </c>
      <c r="AD59">
        <f t="shared" ref="AD59:AD94" si="21">IF(R59&lt;0,"",R59/100)</f>
        <v>0.14000000000000001</v>
      </c>
    </row>
    <row r="60" spans="1:30" x14ac:dyDescent="0.25">
      <c r="A60">
        <v>454</v>
      </c>
      <c r="B60">
        <v>38</v>
      </c>
      <c r="C60">
        <v>0</v>
      </c>
      <c r="D60">
        <v>14</v>
      </c>
      <c r="E60">
        <v>6</v>
      </c>
      <c r="F60">
        <v>16</v>
      </c>
      <c r="G60">
        <v>7</v>
      </c>
      <c r="H60">
        <v>14</v>
      </c>
      <c r="I60">
        <v>-5.9</v>
      </c>
      <c r="J60">
        <v>26.4</v>
      </c>
      <c r="K60">
        <v>26.9</v>
      </c>
      <c r="L60">
        <v>26.8</v>
      </c>
      <c r="M60">
        <v>25.5</v>
      </c>
      <c r="N60">
        <v>26.9</v>
      </c>
      <c r="O60">
        <v>23</v>
      </c>
      <c r="P60">
        <v>21.5</v>
      </c>
      <c r="Q60">
        <v>24.2</v>
      </c>
      <c r="R60">
        <v>17.399999999999999</v>
      </c>
      <c r="S60">
        <f t="shared" ref="S60:S88" si="22">B60</f>
        <v>38</v>
      </c>
      <c r="T60" t="s">
        <v>37</v>
      </c>
      <c r="U60" t="str">
        <f t="shared" ref="U60:U94" si="23">IF(I60&lt;0,"",I60/100)</f>
        <v/>
      </c>
      <c r="V60">
        <f t="shared" si="13"/>
        <v>0.26400000000000001</v>
      </c>
      <c r="W60">
        <f t="shared" si="14"/>
        <v>0.26899999999999996</v>
      </c>
      <c r="X60">
        <f t="shared" si="15"/>
        <v>0.26800000000000002</v>
      </c>
      <c r="Y60">
        <f t="shared" si="16"/>
        <v>0.255</v>
      </c>
      <c r="Z60">
        <f t="shared" si="17"/>
        <v>0.26899999999999996</v>
      </c>
      <c r="AA60">
        <f t="shared" si="18"/>
        <v>0.23</v>
      </c>
      <c r="AB60">
        <f t="shared" si="19"/>
        <v>0.215</v>
      </c>
      <c r="AC60">
        <f t="shared" si="20"/>
        <v>0.24199999999999999</v>
      </c>
      <c r="AD60">
        <f t="shared" si="21"/>
        <v>0.17399999999999999</v>
      </c>
    </row>
    <row r="61" spans="1:30" x14ac:dyDescent="0.25">
      <c r="A61">
        <v>453</v>
      </c>
      <c r="B61">
        <v>39</v>
      </c>
      <c r="C61">
        <v>0</v>
      </c>
      <c r="D61">
        <v>14</v>
      </c>
      <c r="E61">
        <v>6</v>
      </c>
      <c r="F61">
        <v>16</v>
      </c>
      <c r="G61">
        <v>7</v>
      </c>
      <c r="H61">
        <v>10</v>
      </c>
      <c r="I61">
        <v>-5.9</v>
      </c>
      <c r="J61">
        <v>21.1</v>
      </c>
      <c r="K61">
        <v>23.5</v>
      </c>
      <c r="L61">
        <v>23.7</v>
      </c>
      <c r="M61">
        <v>24</v>
      </c>
      <c r="N61">
        <v>22.2</v>
      </c>
      <c r="O61">
        <v>19.399999999999999</v>
      </c>
      <c r="P61">
        <v>19.399999999999999</v>
      </c>
      <c r="Q61">
        <v>24</v>
      </c>
      <c r="R61">
        <v>15.6</v>
      </c>
      <c r="S61">
        <f t="shared" si="22"/>
        <v>39</v>
      </c>
      <c r="T61" t="s">
        <v>40</v>
      </c>
      <c r="U61" t="str">
        <f t="shared" si="23"/>
        <v/>
      </c>
      <c r="V61">
        <f t="shared" si="13"/>
        <v>0.21100000000000002</v>
      </c>
      <c r="W61">
        <f t="shared" si="14"/>
        <v>0.23499999999999999</v>
      </c>
      <c r="X61">
        <f t="shared" si="15"/>
        <v>0.23699999999999999</v>
      </c>
      <c r="Y61">
        <f t="shared" si="16"/>
        <v>0.24</v>
      </c>
      <c r="Z61">
        <f t="shared" si="17"/>
        <v>0.222</v>
      </c>
      <c r="AA61">
        <f t="shared" si="18"/>
        <v>0.19399999999999998</v>
      </c>
      <c r="AB61">
        <f t="shared" si="19"/>
        <v>0.19399999999999998</v>
      </c>
      <c r="AC61">
        <f t="shared" si="20"/>
        <v>0.24</v>
      </c>
      <c r="AD61">
        <f t="shared" si="21"/>
        <v>0.156</v>
      </c>
    </row>
    <row r="62" spans="1:30" x14ac:dyDescent="0.25">
      <c r="A62">
        <v>452</v>
      </c>
      <c r="B62">
        <v>40</v>
      </c>
      <c r="C62">
        <v>0</v>
      </c>
      <c r="D62">
        <v>14</v>
      </c>
      <c r="E62">
        <v>6</v>
      </c>
      <c r="F62">
        <v>16</v>
      </c>
      <c r="G62">
        <v>7</v>
      </c>
      <c r="H62">
        <v>23</v>
      </c>
      <c r="I62">
        <v>-5.9</v>
      </c>
      <c r="J62">
        <v>25.1</v>
      </c>
      <c r="K62">
        <v>26.9</v>
      </c>
      <c r="L62">
        <v>21.8</v>
      </c>
      <c r="M62">
        <v>21.1</v>
      </c>
      <c r="N62">
        <v>22.8</v>
      </c>
      <c r="O62">
        <v>25.9</v>
      </c>
      <c r="P62">
        <v>24.1</v>
      </c>
      <c r="Q62">
        <v>22.2</v>
      </c>
      <c r="R62">
        <v>16</v>
      </c>
      <c r="S62">
        <f t="shared" si="22"/>
        <v>40</v>
      </c>
      <c r="T62" t="s">
        <v>41</v>
      </c>
      <c r="U62" t="str">
        <f t="shared" si="23"/>
        <v/>
      </c>
      <c r="V62">
        <f t="shared" si="13"/>
        <v>0.251</v>
      </c>
      <c r="W62">
        <f t="shared" si="14"/>
        <v>0.26899999999999996</v>
      </c>
      <c r="X62">
        <f t="shared" si="15"/>
        <v>0.218</v>
      </c>
      <c r="Y62">
        <f t="shared" si="16"/>
        <v>0.21100000000000002</v>
      </c>
      <c r="Z62">
        <f t="shared" si="17"/>
        <v>0.22800000000000001</v>
      </c>
      <c r="AA62">
        <f t="shared" si="18"/>
        <v>0.25900000000000001</v>
      </c>
      <c r="AB62">
        <f t="shared" si="19"/>
        <v>0.24100000000000002</v>
      </c>
      <c r="AC62">
        <f t="shared" si="20"/>
        <v>0.222</v>
      </c>
      <c r="AD62">
        <f t="shared" si="21"/>
        <v>0.16</v>
      </c>
    </row>
    <row r="63" spans="1:30" x14ac:dyDescent="0.25">
      <c r="A63">
        <v>451</v>
      </c>
      <c r="B63">
        <v>41</v>
      </c>
      <c r="C63">
        <v>0</v>
      </c>
      <c r="D63">
        <v>14</v>
      </c>
      <c r="E63">
        <v>6</v>
      </c>
      <c r="F63">
        <v>16</v>
      </c>
      <c r="G63">
        <v>7</v>
      </c>
      <c r="H63">
        <v>20</v>
      </c>
      <c r="I63">
        <v>-5.9</v>
      </c>
      <c r="J63">
        <v>24.1</v>
      </c>
      <c r="K63">
        <v>19.5</v>
      </c>
      <c r="L63">
        <v>18.600000000000001</v>
      </c>
      <c r="M63">
        <v>17.8</v>
      </c>
      <c r="N63">
        <v>17.899999999999999</v>
      </c>
      <c r="O63">
        <v>16.399999999999999</v>
      </c>
      <c r="P63">
        <v>16.600000000000001</v>
      </c>
      <c r="Q63">
        <v>19.5</v>
      </c>
      <c r="R63">
        <v>12.6</v>
      </c>
      <c r="S63">
        <f t="shared" si="22"/>
        <v>41</v>
      </c>
      <c r="T63" t="s">
        <v>43</v>
      </c>
      <c r="U63" t="str">
        <f t="shared" si="23"/>
        <v/>
      </c>
      <c r="V63">
        <f t="shared" si="13"/>
        <v>0.24100000000000002</v>
      </c>
      <c r="W63">
        <f t="shared" si="14"/>
        <v>0.19500000000000001</v>
      </c>
      <c r="X63">
        <f t="shared" si="15"/>
        <v>0.18600000000000003</v>
      </c>
      <c r="Y63">
        <f t="shared" si="16"/>
        <v>0.17800000000000002</v>
      </c>
      <c r="Z63">
        <f t="shared" si="17"/>
        <v>0.17899999999999999</v>
      </c>
      <c r="AA63">
        <f t="shared" si="18"/>
        <v>0.16399999999999998</v>
      </c>
      <c r="AB63">
        <f t="shared" si="19"/>
        <v>0.16600000000000001</v>
      </c>
      <c r="AC63">
        <f t="shared" si="20"/>
        <v>0.19500000000000001</v>
      </c>
      <c r="AD63">
        <f t="shared" si="21"/>
        <v>0.126</v>
      </c>
    </row>
    <row r="64" spans="1:30" x14ac:dyDescent="0.25">
      <c r="A64">
        <v>450</v>
      </c>
      <c r="B64">
        <v>42</v>
      </c>
      <c r="C64">
        <v>0</v>
      </c>
      <c r="D64">
        <v>14</v>
      </c>
      <c r="E64">
        <v>6</v>
      </c>
      <c r="F64">
        <v>16</v>
      </c>
      <c r="G64">
        <v>7</v>
      </c>
      <c r="H64">
        <v>33</v>
      </c>
      <c r="I64">
        <v>-5.9</v>
      </c>
      <c r="J64">
        <v>23.7</v>
      </c>
      <c r="K64">
        <v>18.3</v>
      </c>
      <c r="L64">
        <v>17.5</v>
      </c>
      <c r="M64">
        <v>14.3</v>
      </c>
      <c r="N64">
        <v>13.7</v>
      </c>
      <c r="O64">
        <v>13.5</v>
      </c>
      <c r="P64">
        <v>14.9</v>
      </c>
      <c r="Q64">
        <v>19.100000000000001</v>
      </c>
      <c r="R64">
        <v>12.5</v>
      </c>
      <c r="S64">
        <f t="shared" si="22"/>
        <v>42</v>
      </c>
      <c r="T64" t="s">
        <v>44</v>
      </c>
      <c r="U64" t="str">
        <f t="shared" si="23"/>
        <v/>
      </c>
      <c r="V64">
        <f t="shared" si="13"/>
        <v>0.23699999999999999</v>
      </c>
      <c r="W64">
        <f t="shared" si="14"/>
        <v>0.183</v>
      </c>
      <c r="X64">
        <f t="shared" si="15"/>
        <v>0.17499999999999999</v>
      </c>
      <c r="Y64">
        <f t="shared" si="16"/>
        <v>0.14300000000000002</v>
      </c>
      <c r="Z64">
        <f t="shared" si="17"/>
        <v>0.13699999999999998</v>
      </c>
      <c r="AA64">
        <f t="shared" si="18"/>
        <v>0.13500000000000001</v>
      </c>
      <c r="AB64">
        <f t="shared" si="19"/>
        <v>0.14899999999999999</v>
      </c>
      <c r="AC64">
        <f t="shared" si="20"/>
        <v>0.191</v>
      </c>
      <c r="AD64">
        <f t="shared" si="21"/>
        <v>0.125</v>
      </c>
    </row>
    <row r="65" spans="1:30" x14ac:dyDescent="0.25">
      <c r="A65">
        <v>449</v>
      </c>
      <c r="B65">
        <v>43</v>
      </c>
      <c r="C65">
        <v>0</v>
      </c>
      <c r="D65">
        <v>14</v>
      </c>
      <c r="E65">
        <v>6</v>
      </c>
      <c r="F65">
        <v>16</v>
      </c>
      <c r="G65">
        <v>7</v>
      </c>
      <c r="H65">
        <v>30</v>
      </c>
      <c r="I65">
        <v>-5.9</v>
      </c>
      <c r="J65">
        <v>17.7</v>
      </c>
      <c r="K65">
        <v>18.100000000000001</v>
      </c>
      <c r="L65">
        <v>24.7</v>
      </c>
      <c r="M65">
        <v>28.1</v>
      </c>
      <c r="N65">
        <v>26.1</v>
      </c>
      <c r="O65">
        <v>25</v>
      </c>
      <c r="P65">
        <v>22.5</v>
      </c>
      <c r="Q65">
        <v>23</v>
      </c>
      <c r="R65">
        <v>16.600000000000001</v>
      </c>
      <c r="S65">
        <f t="shared" si="22"/>
        <v>43</v>
      </c>
      <c r="T65" t="s">
        <v>82</v>
      </c>
      <c r="U65" t="str">
        <f t="shared" si="23"/>
        <v/>
      </c>
      <c r="V65">
        <f t="shared" si="13"/>
        <v>0.17699999999999999</v>
      </c>
      <c r="W65">
        <f t="shared" si="14"/>
        <v>0.18100000000000002</v>
      </c>
      <c r="X65">
        <f t="shared" si="15"/>
        <v>0.247</v>
      </c>
      <c r="Y65">
        <f t="shared" si="16"/>
        <v>0.28100000000000003</v>
      </c>
      <c r="Z65">
        <f t="shared" si="17"/>
        <v>0.26100000000000001</v>
      </c>
      <c r="AA65">
        <f t="shared" si="18"/>
        <v>0.25</v>
      </c>
      <c r="AB65">
        <f t="shared" si="19"/>
        <v>0.22500000000000001</v>
      </c>
      <c r="AC65">
        <f t="shared" si="20"/>
        <v>0.23</v>
      </c>
      <c r="AD65">
        <f t="shared" si="21"/>
        <v>0.16600000000000001</v>
      </c>
    </row>
    <row r="66" spans="1:30" x14ac:dyDescent="0.25">
      <c r="A66">
        <v>448</v>
      </c>
      <c r="B66">
        <v>44</v>
      </c>
      <c r="C66">
        <v>0</v>
      </c>
      <c r="D66">
        <v>14</v>
      </c>
      <c r="E66">
        <v>6</v>
      </c>
      <c r="F66">
        <v>16</v>
      </c>
      <c r="G66">
        <v>7</v>
      </c>
      <c r="H66">
        <v>43</v>
      </c>
      <c r="I66">
        <v>-5.9</v>
      </c>
      <c r="J66">
        <v>19.2</v>
      </c>
      <c r="K66">
        <v>27.7</v>
      </c>
      <c r="L66">
        <v>30.4</v>
      </c>
      <c r="M66">
        <v>27.8</v>
      </c>
      <c r="N66">
        <v>24</v>
      </c>
      <c r="O66">
        <v>19.899999999999999</v>
      </c>
      <c r="P66">
        <v>20.8</v>
      </c>
      <c r="Q66">
        <v>21.7</v>
      </c>
      <c r="R66">
        <v>15.1</v>
      </c>
      <c r="S66">
        <f t="shared" si="22"/>
        <v>44</v>
      </c>
      <c r="T66" t="s">
        <v>83</v>
      </c>
      <c r="U66" t="str">
        <f t="shared" si="23"/>
        <v/>
      </c>
      <c r="V66">
        <f t="shared" si="13"/>
        <v>0.192</v>
      </c>
      <c r="W66">
        <f t="shared" si="14"/>
        <v>0.27699999999999997</v>
      </c>
      <c r="X66">
        <f t="shared" si="15"/>
        <v>0.30399999999999999</v>
      </c>
      <c r="Y66">
        <f t="shared" si="16"/>
        <v>0.27800000000000002</v>
      </c>
      <c r="Z66">
        <f t="shared" si="17"/>
        <v>0.24</v>
      </c>
      <c r="AA66">
        <f t="shared" si="18"/>
        <v>0.19899999999999998</v>
      </c>
      <c r="AB66">
        <f t="shared" si="19"/>
        <v>0.20800000000000002</v>
      </c>
      <c r="AC66">
        <f t="shared" si="20"/>
        <v>0.217</v>
      </c>
      <c r="AD66">
        <f t="shared" si="21"/>
        <v>0.151</v>
      </c>
    </row>
    <row r="67" spans="1:30" x14ac:dyDescent="0.25">
      <c r="A67">
        <v>447</v>
      </c>
      <c r="B67">
        <v>45</v>
      </c>
      <c r="C67">
        <v>0</v>
      </c>
      <c r="D67">
        <v>14</v>
      </c>
      <c r="E67">
        <v>6</v>
      </c>
      <c r="F67">
        <v>16</v>
      </c>
      <c r="G67">
        <v>7</v>
      </c>
      <c r="H67">
        <v>47</v>
      </c>
      <c r="I67">
        <v>-5.9</v>
      </c>
      <c r="J67">
        <v>26</v>
      </c>
      <c r="K67">
        <v>26.9</v>
      </c>
      <c r="L67">
        <v>27.5</v>
      </c>
      <c r="M67">
        <v>27.7</v>
      </c>
      <c r="N67">
        <v>28.6</v>
      </c>
      <c r="O67">
        <v>29.8</v>
      </c>
      <c r="P67">
        <v>25.9</v>
      </c>
      <c r="Q67">
        <v>24.7</v>
      </c>
      <c r="R67">
        <v>18.3</v>
      </c>
      <c r="S67">
        <f t="shared" si="22"/>
        <v>45</v>
      </c>
      <c r="T67" t="s">
        <v>42</v>
      </c>
      <c r="U67" t="str">
        <f t="shared" si="23"/>
        <v/>
      </c>
      <c r="V67">
        <f t="shared" si="13"/>
        <v>0.26</v>
      </c>
      <c r="W67">
        <f t="shared" si="14"/>
        <v>0.26899999999999996</v>
      </c>
      <c r="X67">
        <f t="shared" si="15"/>
        <v>0.27500000000000002</v>
      </c>
      <c r="Y67">
        <f t="shared" si="16"/>
        <v>0.27699999999999997</v>
      </c>
      <c r="Z67">
        <f t="shared" si="17"/>
        <v>0.28600000000000003</v>
      </c>
      <c r="AA67">
        <f t="shared" si="18"/>
        <v>0.29799999999999999</v>
      </c>
      <c r="AB67">
        <f t="shared" si="19"/>
        <v>0.25900000000000001</v>
      </c>
      <c r="AC67">
        <f t="shared" si="20"/>
        <v>0.247</v>
      </c>
      <c r="AD67">
        <f t="shared" si="21"/>
        <v>0.183</v>
      </c>
    </row>
    <row r="68" spans="1:30" x14ac:dyDescent="0.25">
      <c r="A68">
        <v>446</v>
      </c>
      <c r="B68">
        <v>46</v>
      </c>
      <c r="C68">
        <v>0</v>
      </c>
      <c r="D68">
        <v>14</v>
      </c>
      <c r="E68">
        <v>6</v>
      </c>
      <c r="F68">
        <v>16</v>
      </c>
      <c r="G68">
        <v>7</v>
      </c>
      <c r="H68">
        <v>52</v>
      </c>
      <c r="I68">
        <v>-5.9</v>
      </c>
      <c r="J68">
        <v>24.8</v>
      </c>
      <c r="K68">
        <v>28.1</v>
      </c>
      <c r="L68">
        <v>27</v>
      </c>
      <c r="M68">
        <v>28.6</v>
      </c>
      <c r="N68">
        <v>28.9</v>
      </c>
      <c r="O68">
        <v>30.1</v>
      </c>
      <c r="P68">
        <v>23.7</v>
      </c>
      <c r="Q68">
        <v>24.5</v>
      </c>
      <c r="R68">
        <v>17.899999999999999</v>
      </c>
      <c r="S68">
        <f t="shared" si="22"/>
        <v>46</v>
      </c>
      <c r="T68" t="s">
        <v>84</v>
      </c>
      <c r="U68" t="str">
        <f t="shared" si="23"/>
        <v/>
      </c>
      <c r="V68">
        <f t="shared" si="13"/>
        <v>0.248</v>
      </c>
      <c r="W68">
        <f t="shared" si="14"/>
        <v>0.28100000000000003</v>
      </c>
      <c r="X68">
        <f t="shared" si="15"/>
        <v>0.27</v>
      </c>
      <c r="Y68">
        <f t="shared" si="16"/>
        <v>0.28600000000000003</v>
      </c>
      <c r="Z68">
        <f t="shared" si="17"/>
        <v>0.28899999999999998</v>
      </c>
      <c r="AA68">
        <f t="shared" si="18"/>
        <v>0.30099999999999999</v>
      </c>
      <c r="AB68">
        <f t="shared" si="19"/>
        <v>0.23699999999999999</v>
      </c>
      <c r="AC68">
        <f t="shared" si="20"/>
        <v>0.245</v>
      </c>
      <c r="AD68">
        <f t="shared" si="21"/>
        <v>0.17899999999999999</v>
      </c>
    </row>
    <row r="69" spans="1:30" x14ac:dyDescent="0.25">
      <c r="A69">
        <v>445</v>
      </c>
      <c r="B69">
        <v>47</v>
      </c>
      <c r="C69">
        <v>0</v>
      </c>
      <c r="D69">
        <v>14</v>
      </c>
      <c r="E69">
        <v>6</v>
      </c>
      <c r="F69">
        <v>16</v>
      </c>
      <c r="G69">
        <v>7</v>
      </c>
      <c r="H69">
        <v>56</v>
      </c>
      <c r="I69">
        <v>21.2</v>
      </c>
      <c r="J69">
        <v>20.9</v>
      </c>
      <c r="K69">
        <v>24.9</v>
      </c>
      <c r="L69">
        <v>25.9</v>
      </c>
      <c r="M69">
        <v>26.1</v>
      </c>
      <c r="N69">
        <v>24.2</v>
      </c>
      <c r="O69">
        <v>24.7</v>
      </c>
      <c r="P69">
        <v>23.8</v>
      </c>
      <c r="Q69">
        <v>26</v>
      </c>
      <c r="R69">
        <v>18.600000000000001</v>
      </c>
      <c r="S69">
        <f t="shared" si="22"/>
        <v>47</v>
      </c>
      <c r="T69" t="s">
        <v>85</v>
      </c>
      <c r="U69">
        <f t="shared" si="23"/>
        <v>0.21199999999999999</v>
      </c>
      <c r="V69">
        <f t="shared" si="13"/>
        <v>0.20899999999999999</v>
      </c>
      <c r="W69">
        <f t="shared" si="14"/>
        <v>0.249</v>
      </c>
      <c r="X69">
        <f t="shared" si="15"/>
        <v>0.25900000000000001</v>
      </c>
      <c r="Y69">
        <f t="shared" si="16"/>
        <v>0.26100000000000001</v>
      </c>
      <c r="Z69">
        <f t="shared" si="17"/>
        <v>0.24199999999999999</v>
      </c>
      <c r="AA69">
        <f t="shared" si="18"/>
        <v>0.247</v>
      </c>
      <c r="AB69">
        <f t="shared" si="19"/>
        <v>0.23800000000000002</v>
      </c>
      <c r="AC69">
        <f t="shared" si="20"/>
        <v>0.26</v>
      </c>
      <c r="AD69">
        <f t="shared" si="21"/>
        <v>0.18600000000000003</v>
      </c>
    </row>
    <row r="70" spans="1:30" x14ac:dyDescent="0.25">
      <c r="A70">
        <v>444</v>
      </c>
      <c r="B70">
        <v>48</v>
      </c>
      <c r="C70">
        <v>0</v>
      </c>
      <c r="D70">
        <v>14</v>
      </c>
      <c r="E70">
        <v>6</v>
      </c>
      <c r="F70">
        <v>16</v>
      </c>
      <c r="G70">
        <v>8</v>
      </c>
      <c r="H70">
        <v>2</v>
      </c>
      <c r="I70">
        <v>-5.9</v>
      </c>
      <c r="J70">
        <v>24.7</v>
      </c>
      <c r="K70">
        <v>27.8</v>
      </c>
      <c r="L70">
        <v>29.7</v>
      </c>
      <c r="M70">
        <v>26.9</v>
      </c>
      <c r="N70">
        <v>23.8</v>
      </c>
      <c r="O70">
        <v>21</v>
      </c>
      <c r="P70">
        <v>25.8</v>
      </c>
      <c r="Q70">
        <v>25.5</v>
      </c>
      <c r="R70">
        <v>17.399999999999999</v>
      </c>
      <c r="S70">
        <f t="shared" si="22"/>
        <v>48</v>
      </c>
      <c r="T70" t="s">
        <v>38</v>
      </c>
      <c r="U70" t="str">
        <f t="shared" si="23"/>
        <v/>
      </c>
      <c r="V70">
        <f t="shared" si="13"/>
        <v>0.247</v>
      </c>
      <c r="W70">
        <f t="shared" si="14"/>
        <v>0.27800000000000002</v>
      </c>
      <c r="X70">
        <f t="shared" si="15"/>
        <v>0.29699999999999999</v>
      </c>
      <c r="Y70">
        <f t="shared" si="16"/>
        <v>0.26899999999999996</v>
      </c>
      <c r="Z70">
        <f t="shared" si="17"/>
        <v>0.23800000000000002</v>
      </c>
      <c r="AA70">
        <f t="shared" si="18"/>
        <v>0.21</v>
      </c>
      <c r="AB70">
        <f t="shared" si="19"/>
        <v>0.25800000000000001</v>
      </c>
      <c r="AC70">
        <f t="shared" si="20"/>
        <v>0.255</v>
      </c>
      <c r="AD70">
        <f t="shared" si="21"/>
        <v>0.17399999999999999</v>
      </c>
    </row>
    <row r="71" spans="1:30" x14ac:dyDescent="0.25">
      <c r="A71">
        <v>443</v>
      </c>
      <c r="B71">
        <v>49</v>
      </c>
      <c r="C71">
        <v>0</v>
      </c>
      <c r="D71">
        <v>14</v>
      </c>
      <c r="E71">
        <v>6</v>
      </c>
      <c r="F71">
        <v>16</v>
      </c>
      <c r="G71">
        <v>8</v>
      </c>
      <c r="H71">
        <v>1</v>
      </c>
      <c r="I71">
        <v>-5.9</v>
      </c>
      <c r="J71">
        <v>25.3</v>
      </c>
      <c r="K71">
        <v>26.1</v>
      </c>
      <c r="L71">
        <v>29.3</v>
      </c>
      <c r="M71">
        <v>24.9</v>
      </c>
      <c r="N71">
        <v>16.5</v>
      </c>
      <c r="O71">
        <v>15.4</v>
      </c>
      <c r="P71">
        <v>20</v>
      </c>
      <c r="Q71">
        <v>24.2</v>
      </c>
      <c r="R71">
        <v>17.3</v>
      </c>
      <c r="S71">
        <f t="shared" si="22"/>
        <v>49</v>
      </c>
      <c r="T71" t="s">
        <v>72</v>
      </c>
      <c r="U71" t="str">
        <f t="shared" si="23"/>
        <v/>
      </c>
      <c r="V71">
        <f t="shared" si="13"/>
        <v>0.253</v>
      </c>
      <c r="W71">
        <f t="shared" si="14"/>
        <v>0.26100000000000001</v>
      </c>
      <c r="X71">
        <f t="shared" si="15"/>
        <v>0.29299999999999998</v>
      </c>
      <c r="Y71">
        <f t="shared" si="16"/>
        <v>0.249</v>
      </c>
      <c r="Z71">
        <f t="shared" si="17"/>
        <v>0.16500000000000001</v>
      </c>
      <c r="AA71">
        <f t="shared" si="18"/>
        <v>0.154</v>
      </c>
      <c r="AB71">
        <f t="shared" si="19"/>
        <v>0.2</v>
      </c>
      <c r="AC71">
        <f t="shared" si="20"/>
        <v>0.24199999999999999</v>
      </c>
      <c r="AD71">
        <f t="shared" si="21"/>
        <v>0.17300000000000001</v>
      </c>
    </row>
    <row r="72" spans="1:30" x14ac:dyDescent="0.25">
      <c r="A72">
        <v>442</v>
      </c>
      <c r="B72">
        <v>50</v>
      </c>
      <c r="C72">
        <v>0</v>
      </c>
      <c r="D72">
        <v>14</v>
      </c>
      <c r="E72">
        <v>6</v>
      </c>
      <c r="F72">
        <v>16</v>
      </c>
      <c r="G72">
        <v>8</v>
      </c>
      <c r="H72">
        <v>15</v>
      </c>
      <c r="I72">
        <v>21.8</v>
      </c>
      <c r="J72">
        <v>21</v>
      </c>
      <c r="K72">
        <v>21.6</v>
      </c>
      <c r="L72">
        <v>27.3</v>
      </c>
      <c r="M72">
        <v>27.4</v>
      </c>
      <c r="N72">
        <v>24.2</v>
      </c>
      <c r="O72">
        <v>26</v>
      </c>
      <c r="P72">
        <v>26</v>
      </c>
      <c r="Q72">
        <v>26.5</v>
      </c>
      <c r="R72">
        <v>19</v>
      </c>
      <c r="S72">
        <f t="shared" si="22"/>
        <v>50</v>
      </c>
      <c r="T72" t="s">
        <v>39</v>
      </c>
      <c r="U72">
        <f t="shared" si="23"/>
        <v>0.218</v>
      </c>
      <c r="V72">
        <f t="shared" si="13"/>
        <v>0.21</v>
      </c>
      <c r="W72">
        <f t="shared" si="14"/>
        <v>0.21600000000000003</v>
      </c>
      <c r="X72">
        <f t="shared" si="15"/>
        <v>0.27300000000000002</v>
      </c>
      <c r="Y72">
        <f t="shared" si="16"/>
        <v>0.27399999999999997</v>
      </c>
      <c r="Z72">
        <f t="shared" si="17"/>
        <v>0.24199999999999999</v>
      </c>
      <c r="AA72">
        <f t="shared" si="18"/>
        <v>0.26</v>
      </c>
      <c r="AB72">
        <f t="shared" si="19"/>
        <v>0.26</v>
      </c>
      <c r="AC72">
        <f t="shared" si="20"/>
        <v>0.26500000000000001</v>
      </c>
      <c r="AD72">
        <f t="shared" si="21"/>
        <v>0.19</v>
      </c>
    </row>
    <row r="73" spans="1:30" x14ac:dyDescent="0.25">
      <c r="A73">
        <v>441</v>
      </c>
      <c r="B73">
        <v>51</v>
      </c>
      <c r="C73">
        <v>0</v>
      </c>
      <c r="D73">
        <v>14</v>
      </c>
      <c r="E73">
        <v>6</v>
      </c>
      <c r="F73">
        <v>16</v>
      </c>
      <c r="G73">
        <v>8</v>
      </c>
      <c r="H73">
        <v>21</v>
      </c>
      <c r="I73">
        <v>-5.9</v>
      </c>
      <c r="J73">
        <v>19.2</v>
      </c>
      <c r="K73">
        <v>24.9</v>
      </c>
      <c r="L73">
        <v>25.1</v>
      </c>
      <c r="M73">
        <v>26.4</v>
      </c>
      <c r="N73">
        <v>22.8</v>
      </c>
      <c r="O73">
        <v>24.7</v>
      </c>
      <c r="P73">
        <v>24.2</v>
      </c>
      <c r="Q73">
        <v>25.8</v>
      </c>
      <c r="R73">
        <v>18.8</v>
      </c>
      <c r="S73">
        <f t="shared" si="22"/>
        <v>51</v>
      </c>
      <c r="T73" t="s">
        <v>86</v>
      </c>
      <c r="U73" t="str">
        <f t="shared" si="23"/>
        <v/>
      </c>
      <c r="V73">
        <f t="shared" si="13"/>
        <v>0.192</v>
      </c>
      <c r="W73">
        <f t="shared" si="14"/>
        <v>0.249</v>
      </c>
      <c r="X73">
        <f t="shared" si="15"/>
        <v>0.251</v>
      </c>
      <c r="Y73">
        <f t="shared" si="16"/>
        <v>0.26400000000000001</v>
      </c>
      <c r="Z73">
        <f t="shared" si="17"/>
        <v>0.22800000000000001</v>
      </c>
      <c r="AA73">
        <f t="shared" si="18"/>
        <v>0.247</v>
      </c>
      <c r="AB73">
        <f t="shared" si="19"/>
        <v>0.24199999999999999</v>
      </c>
      <c r="AC73">
        <f t="shared" si="20"/>
        <v>0.25800000000000001</v>
      </c>
      <c r="AD73">
        <f t="shared" si="21"/>
        <v>0.188</v>
      </c>
    </row>
    <row r="74" spans="1:30" x14ac:dyDescent="0.25">
      <c r="A74">
        <v>440</v>
      </c>
      <c r="B74">
        <v>52</v>
      </c>
      <c r="C74">
        <v>0</v>
      </c>
      <c r="D74">
        <v>14</v>
      </c>
      <c r="E74">
        <v>6</v>
      </c>
      <c r="F74">
        <v>16</v>
      </c>
      <c r="G74">
        <v>8</v>
      </c>
      <c r="H74">
        <v>25</v>
      </c>
      <c r="I74">
        <v>-5.9</v>
      </c>
      <c r="J74">
        <v>20.3</v>
      </c>
      <c r="K74">
        <v>23.5</v>
      </c>
      <c r="L74">
        <v>28.2</v>
      </c>
      <c r="M74">
        <v>26.4</v>
      </c>
      <c r="N74">
        <v>28.1</v>
      </c>
      <c r="O74">
        <v>26.8</v>
      </c>
      <c r="P74">
        <v>23.6</v>
      </c>
      <c r="Q74">
        <v>22.2</v>
      </c>
      <c r="R74">
        <v>14.3</v>
      </c>
      <c r="S74">
        <f t="shared" si="22"/>
        <v>52</v>
      </c>
      <c r="T74" t="s">
        <v>87</v>
      </c>
      <c r="U74" t="str">
        <f t="shared" si="23"/>
        <v/>
      </c>
      <c r="V74">
        <f t="shared" si="13"/>
        <v>0.20300000000000001</v>
      </c>
      <c r="W74">
        <f t="shared" si="14"/>
        <v>0.23499999999999999</v>
      </c>
      <c r="X74">
        <f t="shared" si="15"/>
        <v>0.28199999999999997</v>
      </c>
      <c r="Y74">
        <f t="shared" si="16"/>
        <v>0.26400000000000001</v>
      </c>
      <c r="Z74">
        <f t="shared" si="17"/>
        <v>0.28100000000000003</v>
      </c>
      <c r="AA74">
        <f t="shared" si="18"/>
        <v>0.26800000000000002</v>
      </c>
      <c r="AB74">
        <f t="shared" si="19"/>
        <v>0.23600000000000002</v>
      </c>
      <c r="AC74">
        <f t="shared" si="20"/>
        <v>0.222</v>
      </c>
      <c r="AD74">
        <f t="shared" si="21"/>
        <v>0.14300000000000002</v>
      </c>
    </row>
    <row r="75" spans="1:30" x14ac:dyDescent="0.25">
      <c r="A75">
        <v>439</v>
      </c>
      <c r="B75">
        <v>53</v>
      </c>
      <c r="C75">
        <v>0</v>
      </c>
      <c r="D75">
        <v>14</v>
      </c>
      <c r="E75">
        <v>6</v>
      </c>
      <c r="F75">
        <v>16</v>
      </c>
      <c r="G75">
        <v>8</v>
      </c>
      <c r="H75">
        <v>30</v>
      </c>
      <c r="I75">
        <v>23.8</v>
      </c>
      <c r="J75">
        <v>22.4</v>
      </c>
      <c r="K75">
        <v>23.3</v>
      </c>
      <c r="L75">
        <v>24.3</v>
      </c>
      <c r="M75">
        <v>25.2</v>
      </c>
      <c r="N75">
        <v>26.4</v>
      </c>
      <c r="O75">
        <v>25.4</v>
      </c>
      <c r="P75">
        <v>20.9</v>
      </c>
      <c r="Q75">
        <v>21.5</v>
      </c>
      <c r="R75">
        <v>14.1</v>
      </c>
      <c r="S75">
        <f t="shared" si="22"/>
        <v>53</v>
      </c>
      <c r="T75" t="s">
        <v>88</v>
      </c>
      <c r="U75">
        <f t="shared" si="23"/>
        <v>0.23800000000000002</v>
      </c>
      <c r="V75">
        <f t="shared" si="13"/>
        <v>0.22399999999999998</v>
      </c>
      <c r="W75">
        <f t="shared" si="14"/>
        <v>0.23300000000000001</v>
      </c>
      <c r="X75">
        <f t="shared" si="15"/>
        <v>0.24299999999999999</v>
      </c>
      <c r="Y75">
        <f t="shared" si="16"/>
        <v>0.252</v>
      </c>
      <c r="Z75">
        <f t="shared" si="17"/>
        <v>0.26400000000000001</v>
      </c>
      <c r="AA75">
        <f t="shared" si="18"/>
        <v>0.254</v>
      </c>
      <c r="AB75">
        <f t="shared" si="19"/>
        <v>0.20899999999999999</v>
      </c>
      <c r="AC75">
        <f t="shared" si="20"/>
        <v>0.215</v>
      </c>
      <c r="AD75">
        <f t="shared" si="21"/>
        <v>0.14099999999999999</v>
      </c>
    </row>
    <row r="76" spans="1:30" x14ac:dyDescent="0.25">
      <c r="A76">
        <v>438</v>
      </c>
      <c r="B76">
        <v>54</v>
      </c>
      <c r="C76">
        <v>0</v>
      </c>
      <c r="D76">
        <v>14</v>
      </c>
      <c r="E76">
        <v>6</v>
      </c>
      <c r="F76">
        <v>16</v>
      </c>
      <c r="G76">
        <v>8</v>
      </c>
      <c r="H76">
        <v>36</v>
      </c>
      <c r="I76">
        <v>16.2</v>
      </c>
      <c r="J76">
        <v>16.7</v>
      </c>
      <c r="K76">
        <v>19.3</v>
      </c>
      <c r="L76">
        <v>24.4</v>
      </c>
      <c r="M76">
        <v>24.2</v>
      </c>
      <c r="N76">
        <v>20.399999999999999</v>
      </c>
      <c r="O76">
        <v>19.600000000000001</v>
      </c>
      <c r="P76">
        <v>19.7</v>
      </c>
      <c r="Q76">
        <v>19.100000000000001</v>
      </c>
      <c r="R76">
        <v>12</v>
      </c>
      <c r="S76">
        <f t="shared" si="22"/>
        <v>54</v>
      </c>
      <c r="T76" t="s">
        <v>36</v>
      </c>
      <c r="U76">
        <f t="shared" si="23"/>
        <v>0.16200000000000001</v>
      </c>
      <c r="V76">
        <f t="shared" si="13"/>
        <v>0.16699999999999998</v>
      </c>
      <c r="W76">
        <f t="shared" si="14"/>
        <v>0.193</v>
      </c>
      <c r="X76">
        <f t="shared" si="15"/>
        <v>0.24399999999999999</v>
      </c>
      <c r="Y76">
        <f t="shared" si="16"/>
        <v>0.24199999999999999</v>
      </c>
      <c r="Z76">
        <f t="shared" si="17"/>
        <v>0.20399999999999999</v>
      </c>
      <c r="AA76">
        <f t="shared" si="18"/>
        <v>0.19600000000000001</v>
      </c>
      <c r="AB76">
        <f t="shared" si="19"/>
        <v>0.19699999999999998</v>
      </c>
      <c r="AC76">
        <f t="shared" si="20"/>
        <v>0.191</v>
      </c>
      <c r="AD76">
        <f t="shared" si="21"/>
        <v>0.12</v>
      </c>
    </row>
    <row r="77" spans="1:30" x14ac:dyDescent="0.25">
      <c r="A77">
        <v>437</v>
      </c>
      <c r="B77">
        <v>55</v>
      </c>
      <c r="C77">
        <v>0</v>
      </c>
      <c r="D77">
        <v>14</v>
      </c>
      <c r="E77">
        <v>6</v>
      </c>
      <c r="F77">
        <v>16</v>
      </c>
      <c r="G77">
        <v>8</v>
      </c>
      <c r="H77">
        <v>41</v>
      </c>
      <c r="I77">
        <v>18</v>
      </c>
      <c r="J77">
        <v>18.3</v>
      </c>
      <c r="K77">
        <v>23.4</v>
      </c>
      <c r="L77">
        <v>27.1</v>
      </c>
      <c r="M77">
        <v>26.8</v>
      </c>
      <c r="N77">
        <v>23.3</v>
      </c>
      <c r="O77">
        <v>22.6</v>
      </c>
      <c r="P77">
        <v>22.8</v>
      </c>
      <c r="Q77">
        <v>23.7</v>
      </c>
      <c r="R77">
        <v>16.600000000000001</v>
      </c>
      <c r="S77">
        <f t="shared" si="22"/>
        <v>55</v>
      </c>
      <c r="T77" t="s">
        <v>89</v>
      </c>
      <c r="U77">
        <f t="shared" si="23"/>
        <v>0.18</v>
      </c>
      <c r="V77">
        <f t="shared" si="13"/>
        <v>0.183</v>
      </c>
      <c r="W77">
        <f t="shared" si="14"/>
        <v>0.23399999999999999</v>
      </c>
      <c r="X77">
        <f t="shared" si="15"/>
        <v>0.27100000000000002</v>
      </c>
      <c r="Y77">
        <f t="shared" si="16"/>
        <v>0.26800000000000002</v>
      </c>
      <c r="Z77">
        <f t="shared" si="17"/>
        <v>0.23300000000000001</v>
      </c>
      <c r="AA77">
        <f t="shared" si="18"/>
        <v>0.22600000000000001</v>
      </c>
      <c r="AB77">
        <f t="shared" si="19"/>
        <v>0.22800000000000001</v>
      </c>
      <c r="AC77">
        <f t="shared" si="20"/>
        <v>0.23699999999999999</v>
      </c>
      <c r="AD77">
        <f t="shared" si="21"/>
        <v>0.16600000000000001</v>
      </c>
    </row>
    <row r="78" spans="1:30" x14ac:dyDescent="0.25">
      <c r="A78">
        <v>436</v>
      </c>
      <c r="B78">
        <v>56</v>
      </c>
      <c r="C78">
        <v>0</v>
      </c>
      <c r="D78">
        <v>14</v>
      </c>
      <c r="E78">
        <v>6</v>
      </c>
      <c r="F78">
        <v>16</v>
      </c>
      <c r="G78">
        <v>8</v>
      </c>
      <c r="H78">
        <v>46</v>
      </c>
      <c r="I78">
        <v>-5.9</v>
      </c>
      <c r="J78">
        <v>21.6</v>
      </c>
      <c r="K78">
        <v>20.2</v>
      </c>
      <c r="L78">
        <v>23.6</v>
      </c>
      <c r="M78">
        <v>24.5</v>
      </c>
      <c r="N78">
        <v>24.5</v>
      </c>
      <c r="O78">
        <v>25.7</v>
      </c>
      <c r="P78">
        <v>23.1</v>
      </c>
      <c r="Q78">
        <v>22.5</v>
      </c>
      <c r="R78">
        <v>15.1</v>
      </c>
      <c r="S78">
        <f t="shared" si="22"/>
        <v>56</v>
      </c>
      <c r="T78" t="s">
        <v>90</v>
      </c>
      <c r="U78" t="str">
        <f t="shared" si="23"/>
        <v/>
      </c>
      <c r="V78">
        <f t="shared" si="13"/>
        <v>0.21600000000000003</v>
      </c>
      <c r="W78">
        <f t="shared" si="14"/>
        <v>0.20199999999999999</v>
      </c>
      <c r="X78">
        <f t="shared" si="15"/>
        <v>0.23600000000000002</v>
      </c>
      <c r="Y78">
        <f t="shared" si="16"/>
        <v>0.245</v>
      </c>
      <c r="Z78">
        <f t="shared" si="17"/>
        <v>0.245</v>
      </c>
      <c r="AA78">
        <f t="shared" si="18"/>
        <v>0.25700000000000001</v>
      </c>
      <c r="AB78">
        <f t="shared" si="19"/>
        <v>0.23100000000000001</v>
      </c>
      <c r="AC78">
        <f t="shared" si="20"/>
        <v>0.22500000000000001</v>
      </c>
      <c r="AD78">
        <f t="shared" si="21"/>
        <v>0.151</v>
      </c>
    </row>
    <row r="79" spans="1:30" x14ac:dyDescent="0.25">
      <c r="A79">
        <v>435</v>
      </c>
      <c r="B79">
        <v>57</v>
      </c>
      <c r="C79">
        <v>0</v>
      </c>
      <c r="D79">
        <v>14</v>
      </c>
      <c r="E79">
        <v>6</v>
      </c>
      <c r="F79">
        <v>16</v>
      </c>
      <c r="G79">
        <v>8</v>
      </c>
      <c r="H79">
        <v>51</v>
      </c>
      <c r="I79">
        <v>17.7</v>
      </c>
      <c r="J79">
        <v>21.7</v>
      </c>
      <c r="K79">
        <v>28</v>
      </c>
      <c r="L79">
        <v>28.4</v>
      </c>
      <c r="M79">
        <v>28.5</v>
      </c>
      <c r="N79">
        <v>28.9</v>
      </c>
      <c r="O79">
        <v>26.3</v>
      </c>
      <c r="P79">
        <v>25.7</v>
      </c>
      <c r="Q79">
        <v>27.1</v>
      </c>
      <c r="R79">
        <v>18.899999999999999</v>
      </c>
      <c r="S79">
        <f t="shared" si="22"/>
        <v>57</v>
      </c>
      <c r="T79" t="s">
        <v>91</v>
      </c>
      <c r="U79">
        <f t="shared" si="23"/>
        <v>0.17699999999999999</v>
      </c>
      <c r="V79">
        <f t="shared" si="13"/>
        <v>0.217</v>
      </c>
      <c r="W79">
        <f t="shared" si="14"/>
        <v>0.28000000000000003</v>
      </c>
      <c r="X79">
        <f t="shared" si="15"/>
        <v>0.28399999999999997</v>
      </c>
      <c r="Y79">
        <f t="shared" si="16"/>
        <v>0.28499999999999998</v>
      </c>
      <c r="Z79">
        <f t="shared" si="17"/>
        <v>0.28899999999999998</v>
      </c>
      <c r="AA79">
        <f t="shared" si="18"/>
        <v>0.26300000000000001</v>
      </c>
      <c r="AB79">
        <f t="shared" si="19"/>
        <v>0.25700000000000001</v>
      </c>
      <c r="AC79">
        <f t="shared" si="20"/>
        <v>0.27100000000000002</v>
      </c>
      <c r="AD79">
        <f t="shared" si="21"/>
        <v>0.18899999999999997</v>
      </c>
    </row>
    <row r="80" spans="1:30" x14ac:dyDescent="0.25">
      <c r="A80">
        <v>434</v>
      </c>
      <c r="B80">
        <v>58</v>
      </c>
      <c r="C80">
        <v>0</v>
      </c>
      <c r="D80">
        <v>14</v>
      </c>
      <c r="E80">
        <v>6</v>
      </c>
      <c r="F80">
        <v>16</v>
      </c>
      <c r="G80">
        <v>8</v>
      </c>
      <c r="H80">
        <v>56</v>
      </c>
      <c r="I80">
        <v>-5.9</v>
      </c>
      <c r="J80">
        <v>21.6</v>
      </c>
      <c r="K80">
        <v>27</v>
      </c>
      <c r="L80">
        <v>27.3</v>
      </c>
      <c r="M80">
        <v>26.5</v>
      </c>
      <c r="N80">
        <v>26.5</v>
      </c>
      <c r="O80">
        <v>23.4</v>
      </c>
      <c r="P80">
        <v>25.4</v>
      </c>
      <c r="Q80">
        <v>26.4</v>
      </c>
      <c r="R80">
        <v>18</v>
      </c>
      <c r="S80">
        <f t="shared" si="22"/>
        <v>58</v>
      </c>
      <c r="T80" t="s">
        <v>92</v>
      </c>
      <c r="U80" t="str">
        <f t="shared" si="23"/>
        <v/>
      </c>
      <c r="V80">
        <f t="shared" si="13"/>
        <v>0.21600000000000003</v>
      </c>
      <c r="W80">
        <f t="shared" si="14"/>
        <v>0.27</v>
      </c>
      <c r="X80">
        <f t="shared" si="15"/>
        <v>0.27300000000000002</v>
      </c>
      <c r="Y80">
        <f t="shared" si="16"/>
        <v>0.26500000000000001</v>
      </c>
      <c r="Z80">
        <f t="shared" si="17"/>
        <v>0.26500000000000001</v>
      </c>
      <c r="AA80">
        <f t="shared" si="18"/>
        <v>0.23399999999999999</v>
      </c>
      <c r="AB80">
        <f t="shared" si="19"/>
        <v>0.254</v>
      </c>
      <c r="AC80">
        <f t="shared" si="20"/>
        <v>0.26400000000000001</v>
      </c>
      <c r="AD80">
        <f t="shared" si="21"/>
        <v>0.18</v>
      </c>
    </row>
    <row r="81" spans="1:30" x14ac:dyDescent="0.25">
      <c r="A81">
        <v>433</v>
      </c>
      <c r="B81">
        <v>59</v>
      </c>
      <c r="C81">
        <v>0</v>
      </c>
      <c r="D81">
        <v>14</v>
      </c>
      <c r="E81">
        <v>6</v>
      </c>
      <c r="F81">
        <v>16</v>
      </c>
      <c r="G81">
        <v>9</v>
      </c>
      <c r="H81">
        <v>1</v>
      </c>
      <c r="I81">
        <v>23.6</v>
      </c>
      <c r="J81">
        <v>23.4</v>
      </c>
      <c r="K81">
        <v>24.1</v>
      </c>
      <c r="L81">
        <v>24.8</v>
      </c>
      <c r="M81">
        <v>21.6</v>
      </c>
      <c r="N81">
        <v>17.100000000000001</v>
      </c>
      <c r="O81">
        <v>16</v>
      </c>
      <c r="P81">
        <v>20.2</v>
      </c>
      <c r="Q81">
        <v>21.7</v>
      </c>
      <c r="R81">
        <v>17.3</v>
      </c>
      <c r="S81">
        <f t="shared" si="22"/>
        <v>59</v>
      </c>
      <c r="T81" t="s">
        <v>93</v>
      </c>
      <c r="U81">
        <f t="shared" si="23"/>
        <v>0.23600000000000002</v>
      </c>
      <c r="V81">
        <f t="shared" si="13"/>
        <v>0.23399999999999999</v>
      </c>
      <c r="W81">
        <f t="shared" si="14"/>
        <v>0.24100000000000002</v>
      </c>
      <c r="X81">
        <f t="shared" si="15"/>
        <v>0.248</v>
      </c>
      <c r="Y81">
        <f t="shared" si="16"/>
        <v>0.21600000000000003</v>
      </c>
      <c r="Z81">
        <f t="shared" si="17"/>
        <v>0.17100000000000001</v>
      </c>
      <c r="AA81">
        <f t="shared" si="18"/>
        <v>0.16</v>
      </c>
      <c r="AB81">
        <f t="shared" si="19"/>
        <v>0.20199999999999999</v>
      </c>
      <c r="AC81">
        <f t="shared" si="20"/>
        <v>0.217</v>
      </c>
      <c r="AD81">
        <f t="shared" si="21"/>
        <v>0.17300000000000001</v>
      </c>
    </row>
    <row r="82" spans="1:30" x14ac:dyDescent="0.25">
      <c r="A82">
        <v>432</v>
      </c>
      <c r="B82">
        <v>60</v>
      </c>
      <c r="C82">
        <v>0</v>
      </c>
      <c r="D82">
        <v>14</v>
      </c>
      <c r="E82">
        <v>6</v>
      </c>
      <c r="F82">
        <v>16</v>
      </c>
      <c r="G82">
        <v>9</v>
      </c>
      <c r="H82">
        <v>6</v>
      </c>
      <c r="I82">
        <v>-5.9</v>
      </c>
      <c r="J82">
        <v>22.4</v>
      </c>
      <c r="K82">
        <v>23.6</v>
      </c>
      <c r="L82">
        <v>23.3</v>
      </c>
      <c r="M82">
        <v>19.5</v>
      </c>
      <c r="N82">
        <v>13.9</v>
      </c>
      <c r="O82">
        <v>14.7</v>
      </c>
      <c r="P82">
        <v>19</v>
      </c>
      <c r="Q82">
        <v>19.2</v>
      </c>
      <c r="R82">
        <v>13.8</v>
      </c>
      <c r="S82">
        <f t="shared" si="22"/>
        <v>60</v>
      </c>
      <c r="T82" t="s">
        <v>94</v>
      </c>
      <c r="U82" t="str">
        <f t="shared" si="23"/>
        <v/>
      </c>
      <c r="V82">
        <f t="shared" si="13"/>
        <v>0.22399999999999998</v>
      </c>
      <c r="W82">
        <f t="shared" si="14"/>
        <v>0.23600000000000002</v>
      </c>
      <c r="X82">
        <f t="shared" si="15"/>
        <v>0.23300000000000001</v>
      </c>
      <c r="Y82">
        <f t="shared" si="16"/>
        <v>0.19500000000000001</v>
      </c>
      <c r="Z82">
        <f t="shared" si="17"/>
        <v>0.13900000000000001</v>
      </c>
      <c r="AA82">
        <f t="shared" si="18"/>
        <v>0.14699999999999999</v>
      </c>
      <c r="AB82">
        <f t="shared" si="19"/>
        <v>0.19</v>
      </c>
      <c r="AC82">
        <f t="shared" si="20"/>
        <v>0.192</v>
      </c>
      <c r="AD82">
        <f t="shared" si="21"/>
        <v>0.13800000000000001</v>
      </c>
    </row>
    <row r="83" spans="1:30" x14ac:dyDescent="0.25">
      <c r="A83">
        <v>431</v>
      </c>
      <c r="B83">
        <v>61</v>
      </c>
      <c r="C83">
        <v>0</v>
      </c>
      <c r="D83">
        <v>14</v>
      </c>
      <c r="E83">
        <v>6</v>
      </c>
      <c r="F83">
        <v>16</v>
      </c>
      <c r="G83">
        <v>9</v>
      </c>
      <c r="H83">
        <v>20</v>
      </c>
      <c r="I83">
        <v>-5.9</v>
      </c>
      <c r="J83">
        <v>23.7</v>
      </c>
      <c r="K83">
        <v>23.8</v>
      </c>
      <c r="L83">
        <v>25.2</v>
      </c>
      <c r="M83">
        <v>24</v>
      </c>
      <c r="N83">
        <v>20.100000000000001</v>
      </c>
      <c r="O83">
        <v>18.8</v>
      </c>
      <c r="P83">
        <v>21.6</v>
      </c>
      <c r="Q83">
        <v>22.2</v>
      </c>
      <c r="R83">
        <v>10.7</v>
      </c>
      <c r="S83">
        <f t="shared" si="22"/>
        <v>61</v>
      </c>
      <c r="T83" t="s">
        <v>45</v>
      </c>
      <c r="U83" t="str">
        <f t="shared" si="23"/>
        <v/>
      </c>
      <c r="V83">
        <f t="shared" si="13"/>
        <v>0.23699999999999999</v>
      </c>
      <c r="W83">
        <f t="shared" si="14"/>
        <v>0.23800000000000002</v>
      </c>
      <c r="X83">
        <f t="shared" si="15"/>
        <v>0.252</v>
      </c>
      <c r="Y83">
        <f t="shared" si="16"/>
        <v>0.24</v>
      </c>
      <c r="Z83">
        <f t="shared" si="17"/>
        <v>0.20100000000000001</v>
      </c>
      <c r="AA83">
        <f t="shared" si="18"/>
        <v>0.188</v>
      </c>
      <c r="AB83">
        <f t="shared" si="19"/>
        <v>0.21600000000000003</v>
      </c>
      <c r="AC83">
        <f t="shared" si="20"/>
        <v>0.222</v>
      </c>
      <c r="AD83">
        <f t="shared" si="21"/>
        <v>0.107</v>
      </c>
    </row>
    <row r="84" spans="1:30" x14ac:dyDescent="0.25">
      <c r="A84">
        <v>430</v>
      </c>
      <c r="B84">
        <v>62</v>
      </c>
      <c r="C84">
        <v>0</v>
      </c>
      <c r="D84">
        <v>14</v>
      </c>
      <c r="E84">
        <v>6</v>
      </c>
      <c r="F84">
        <v>16</v>
      </c>
      <c r="G84">
        <v>9</v>
      </c>
      <c r="H84">
        <v>25</v>
      </c>
      <c r="I84">
        <v>25.6</v>
      </c>
      <c r="J84">
        <v>25.1</v>
      </c>
      <c r="K84">
        <v>26.1</v>
      </c>
      <c r="L84">
        <v>26.9</v>
      </c>
      <c r="M84">
        <v>26.5</v>
      </c>
      <c r="N84">
        <v>25.5</v>
      </c>
      <c r="O84">
        <v>25.5</v>
      </c>
      <c r="P84">
        <v>23.3</v>
      </c>
      <c r="Q84">
        <v>21.8</v>
      </c>
      <c r="R84">
        <v>11.8</v>
      </c>
      <c r="S84">
        <f t="shared" si="22"/>
        <v>62</v>
      </c>
      <c r="T84" t="s">
        <v>46</v>
      </c>
      <c r="U84">
        <f t="shared" si="23"/>
        <v>0.25600000000000001</v>
      </c>
      <c r="V84">
        <f t="shared" si="13"/>
        <v>0.251</v>
      </c>
      <c r="W84">
        <f t="shared" si="14"/>
        <v>0.26100000000000001</v>
      </c>
      <c r="X84">
        <f t="shared" si="15"/>
        <v>0.26899999999999996</v>
      </c>
      <c r="Y84">
        <f t="shared" si="16"/>
        <v>0.26500000000000001</v>
      </c>
      <c r="Z84">
        <f t="shared" si="17"/>
        <v>0.255</v>
      </c>
      <c r="AA84">
        <f t="shared" si="18"/>
        <v>0.255</v>
      </c>
      <c r="AB84">
        <f t="shared" si="19"/>
        <v>0.23300000000000001</v>
      </c>
      <c r="AC84">
        <f t="shared" si="20"/>
        <v>0.218</v>
      </c>
      <c r="AD84">
        <f t="shared" si="21"/>
        <v>0.11800000000000001</v>
      </c>
    </row>
    <row r="85" spans="1:30" x14ac:dyDescent="0.25">
      <c r="A85">
        <v>429</v>
      </c>
      <c r="B85">
        <v>63</v>
      </c>
      <c r="C85">
        <v>0</v>
      </c>
      <c r="D85">
        <v>14</v>
      </c>
      <c r="E85">
        <v>6</v>
      </c>
      <c r="F85">
        <v>16</v>
      </c>
      <c r="G85">
        <v>9</v>
      </c>
      <c r="H85">
        <v>31</v>
      </c>
      <c r="I85">
        <v>-5.9</v>
      </c>
      <c r="J85">
        <v>20.8</v>
      </c>
      <c r="K85">
        <v>22</v>
      </c>
      <c r="L85">
        <v>24.4</v>
      </c>
      <c r="M85">
        <v>23.2</v>
      </c>
      <c r="N85">
        <v>22.7</v>
      </c>
      <c r="O85">
        <v>18.3</v>
      </c>
      <c r="P85">
        <v>24</v>
      </c>
      <c r="Q85">
        <v>20.5</v>
      </c>
      <c r="R85">
        <v>11.8</v>
      </c>
      <c r="S85">
        <f t="shared" si="22"/>
        <v>63</v>
      </c>
      <c r="T85" t="s">
        <v>47</v>
      </c>
      <c r="U85" t="str">
        <f t="shared" si="23"/>
        <v/>
      </c>
      <c r="V85">
        <f t="shared" si="13"/>
        <v>0.20800000000000002</v>
      </c>
      <c r="W85">
        <f t="shared" si="14"/>
        <v>0.22</v>
      </c>
      <c r="X85">
        <f t="shared" si="15"/>
        <v>0.24399999999999999</v>
      </c>
      <c r="Y85">
        <f t="shared" si="16"/>
        <v>0.23199999999999998</v>
      </c>
      <c r="Z85">
        <f t="shared" si="17"/>
        <v>0.22699999999999998</v>
      </c>
      <c r="AA85">
        <f t="shared" si="18"/>
        <v>0.183</v>
      </c>
      <c r="AB85">
        <f t="shared" si="19"/>
        <v>0.24</v>
      </c>
      <c r="AC85">
        <f t="shared" si="20"/>
        <v>0.20499999999999999</v>
      </c>
      <c r="AD85">
        <f t="shared" si="21"/>
        <v>0.11800000000000001</v>
      </c>
    </row>
    <row r="86" spans="1:30" x14ac:dyDescent="0.25">
      <c r="A86">
        <v>428</v>
      </c>
      <c r="B86">
        <v>64</v>
      </c>
      <c r="C86">
        <v>0</v>
      </c>
      <c r="D86">
        <v>14</v>
      </c>
      <c r="E86">
        <v>6</v>
      </c>
      <c r="F86">
        <v>16</v>
      </c>
      <c r="G86">
        <v>9</v>
      </c>
      <c r="H86">
        <v>36</v>
      </c>
      <c r="I86">
        <v>15</v>
      </c>
      <c r="J86">
        <v>14.2</v>
      </c>
      <c r="K86">
        <v>13.1</v>
      </c>
      <c r="L86">
        <v>12.3</v>
      </c>
      <c r="M86">
        <v>10.7</v>
      </c>
      <c r="N86">
        <v>11.6</v>
      </c>
      <c r="O86">
        <v>13.6</v>
      </c>
      <c r="P86">
        <v>20.6</v>
      </c>
      <c r="Q86">
        <v>20.5</v>
      </c>
      <c r="R86">
        <v>11.5</v>
      </c>
      <c r="S86">
        <f t="shared" si="22"/>
        <v>64</v>
      </c>
      <c r="T86" t="s">
        <v>48</v>
      </c>
      <c r="U86">
        <f t="shared" si="23"/>
        <v>0.15</v>
      </c>
      <c r="V86">
        <f t="shared" si="13"/>
        <v>0.14199999999999999</v>
      </c>
      <c r="W86">
        <f t="shared" si="14"/>
        <v>0.13100000000000001</v>
      </c>
      <c r="X86">
        <f t="shared" si="15"/>
        <v>0.12300000000000001</v>
      </c>
      <c r="Y86">
        <f t="shared" si="16"/>
        <v>0.107</v>
      </c>
      <c r="Z86">
        <f t="shared" si="17"/>
        <v>0.11599999999999999</v>
      </c>
      <c r="AA86">
        <f t="shared" si="18"/>
        <v>0.13600000000000001</v>
      </c>
      <c r="AB86">
        <f t="shared" si="19"/>
        <v>0.20600000000000002</v>
      </c>
      <c r="AC86">
        <f t="shared" si="20"/>
        <v>0.20499999999999999</v>
      </c>
      <c r="AD86">
        <f t="shared" si="21"/>
        <v>0.115</v>
      </c>
    </row>
    <row r="87" spans="1:30" x14ac:dyDescent="0.25">
      <c r="A87">
        <v>427</v>
      </c>
      <c r="B87">
        <v>65</v>
      </c>
      <c r="C87">
        <v>0</v>
      </c>
      <c r="D87">
        <v>14</v>
      </c>
      <c r="E87">
        <v>6</v>
      </c>
      <c r="F87">
        <v>16</v>
      </c>
      <c r="G87">
        <v>9</v>
      </c>
      <c r="H87">
        <v>41</v>
      </c>
      <c r="I87">
        <v>-5.9</v>
      </c>
      <c r="J87">
        <v>23.1</v>
      </c>
      <c r="K87">
        <v>24.5</v>
      </c>
      <c r="L87">
        <v>25.3</v>
      </c>
      <c r="M87">
        <v>24.6</v>
      </c>
      <c r="N87">
        <v>22.3</v>
      </c>
      <c r="O87">
        <v>17.8</v>
      </c>
      <c r="P87">
        <v>18.600000000000001</v>
      </c>
      <c r="Q87">
        <v>20</v>
      </c>
      <c r="R87">
        <v>12.8</v>
      </c>
      <c r="S87">
        <f t="shared" si="22"/>
        <v>65</v>
      </c>
      <c r="T87" t="s">
        <v>49</v>
      </c>
      <c r="U87" t="str">
        <f t="shared" si="23"/>
        <v/>
      </c>
      <c r="V87">
        <f t="shared" si="13"/>
        <v>0.23100000000000001</v>
      </c>
      <c r="W87">
        <f t="shared" si="14"/>
        <v>0.245</v>
      </c>
      <c r="X87">
        <f t="shared" si="15"/>
        <v>0.253</v>
      </c>
      <c r="Y87">
        <f t="shared" si="16"/>
        <v>0.24600000000000002</v>
      </c>
      <c r="Z87">
        <f t="shared" si="17"/>
        <v>0.223</v>
      </c>
      <c r="AA87">
        <f t="shared" si="18"/>
        <v>0.17800000000000002</v>
      </c>
      <c r="AB87">
        <f t="shared" si="19"/>
        <v>0.18600000000000003</v>
      </c>
      <c r="AC87">
        <f t="shared" si="20"/>
        <v>0.2</v>
      </c>
      <c r="AD87">
        <f t="shared" si="21"/>
        <v>0.128</v>
      </c>
    </row>
    <row r="88" spans="1:30" x14ac:dyDescent="0.25">
      <c r="A88">
        <v>426</v>
      </c>
      <c r="B88">
        <v>66</v>
      </c>
      <c r="C88">
        <v>0</v>
      </c>
      <c r="D88">
        <v>14</v>
      </c>
      <c r="E88">
        <v>6</v>
      </c>
      <c r="F88">
        <v>16</v>
      </c>
      <c r="G88">
        <v>9</v>
      </c>
      <c r="H88">
        <v>45</v>
      </c>
      <c r="I88">
        <v>20.399999999999999</v>
      </c>
      <c r="J88">
        <v>23.1</v>
      </c>
      <c r="K88">
        <v>21.6</v>
      </c>
      <c r="L88">
        <v>18.3</v>
      </c>
      <c r="M88">
        <v>16.600000000000001</v>
      </c>
      <c r="N88">
        <v>18.2</v>
      </c>
      <c r="O88">
        <v>20.3</v>
      </c>
      <c r="P88">
        <v>21.5</v>
      </c>
      <c r="Q88">
        <v>22.1</v>
      </c>
      <c r="R88">
        <v>12.7</v>
      </c>
      <c r="S88">
        <f t="shared" si="22"/>
        <v>66</v>
      </c>
      <c r="T88" t="s">
        <v>50</v>
      </c>
      <c r="U88">
        <f t="shared" si="23"/>
        <v>0.20399999999999999</v>
      </c>
      <c r="V88">
        <f t="shared" si="13"/>
        <v>0.23100000000000001</v>
      </c>
      <c r="W88">
        <f t="shared" si="14"/>
        <v>0.21600000000000003</v>
      </c>
      <c r="X88">
        <f t="shared" si="15"/>
        <v>0.183</v>
      </c>
      <c r="Y88">
        <f t="shared" si="16"/>
        <v>0.16600000000000001</v>
      </c>
      <c r="Z88">
        <f t="shared" si="17"/>
        <v>0.182</v>
      </c>
      <c r="AA88">
        <f t="shared" si="18"/>
        <v>0.20300000000000001</v>
      </c>
      <c r="AB88">
        <f t="shared" si="19"/>
        <v>0.215</v>
      </c>
      <c r="AC88">
        <f t="shared" si="20"/>
        <v>0.221</v>
      </c>
      <c r="AD88">
        <f t="shared" si="21"/>
        <v>0.127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03"/>
  <sheetViews>
    <sheetView topLeftCell="N45" workbookViewId="0">
      <selection activeCell="T75" sqref="T75:AD103"/>
    </sheetView>
  </sheetViews>
  <sheetFormatPr defaultRowHeight="15" x14ac:dyDescent="0.25"/>
  <sheetData>
    <row r="1" spans="1:7" x14ac:dyDescent="0.25">
      <c r="A1" s="2">
        <v>41813</v>
      </c>
    </row>
    <row r="2" spans="1:7" x14ac:dyDescent="0.25">
      <c r="A2" t="s">
        <v>3</v>
      </c>
      <c r="B2">
        <v>6114</v>
      </c>
      <c r="C2" t="s">
        <v>4</v>
      </c>
      <c r="D2">
        <v>9967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23</v>
      </c>
      <c r="G19">
        <v>6</v>
      </c>
      <c r="H19">
        <v>20</v>
      </c>
      <c r="I19">
        <v>12.4</v>
      </c>
      <c r="J19">
        <v>14.1</v>
      </c>
      <c r="K19">
        <v>15.6</v>
      </c>
      <c r="L19">
        <v>17.100000000000001</v>
      </c>
      <c r="M19">
        <v>19.8</v>
      </c>
      <c r="N19">
        <v>20.8</v>
      </c>
      <c r="O19">
        <v>22.8</v>
      </c>
      <c r="P19">
        <v>22.2</v>
      </c>
      <c r="Q19">
        <v>18.600000000000001</v>
      </c>
      <c r="R19">
        <v>8.6999999999999993</v>
      </c>
      <c r="S19">
        <f>B19</f>
        <v>1</v>
      </c>
      <c r="T19" t="s">
        <v>51</v>
      </c>
      <c r="U19">
        <f>IF(I19&lt;0,"",I19/100)</f>
        <v>0.124</v>
      </c>
      <c r="V19">
        <f t="shared" ref="V19:AD48" si="0">IF(J19&lt;0,"",J19/100)</f>
        <v>0.14099999999999999</v>
      </c>
      <c r="W19">
        <f t="shared" si="0"/>
        <v>0.156</v>
      </c>
      <c r="X19">
        <f t="shared" si="0"/>
        <v>0.17100000000000001</v>
      </c>
      <c r="Y19">
        <f t="shared" si="0"/>
        <v>0.19800000000000001</v>
      </c>
      <c r="Z19">
        <f t="shared" si="0"/>
        <v>0.20800000000000002</v>
      </c>
      <c r="AA19">
        <f t="shared" si="0"/>
        <v>0.22800000000000001</v>
      </c>
      <c r="AB19">
        <f t="shared" si="0"/>
        <v>0.222</v>
      </c>
      <c r="AC19">
        <f t="shared" si="0"/>
        <v>0.18600000000000003</v>
      </c>
      <c r="AD19">
        <f t="shared" si="0"/>
        <v>8.6999999999999994E-2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23</v>
      </c>
      <c r="G20">
        <v>6</v>
      </c>
      <c r="H20">
        <v>33</v>
      </c>
      <c r="I20">
        <v>23.8</v>
      </c>
      <c r="J20">
        <v>15.1</v>
      </c>
      <c r="K20">
        <v>13.3</v>
      </c>
      <c r="L20">
        <v>17</v>
      </c>
      <c r="M20">
        <v>18.7</v>
      </c>
      <c r="N20">
        <v>19.8</v>
      </c>
      <c r="O20">
        <v>22</v>
      </c>
      <c r="P20">
        <v>21.5</v>
      </c>
      <c r="Q20">
        <v>16.899999999999999</v>
      </c>
      <c r="R20">
        <v>9.9</v>
      </c>
      <c r="S20">
        <f t="shared" ref="S20:S54" si="1">B20</f>
        <v>2</v>
      </c>
      <c r="T20" t="s">
        <v>55</v>
      </c>
      <c r="U20">
        <f t="shared" ref="U20:X48" si="2">IF(I20&lt;0,"",I20/100)</f>
        <v>0.23800000000000002</v>
      </c>
      <c r="V20">
        <f t="shared" si="0"/>
        <v>0.151</v>
      </c>
      <c r="W20">
        <f t="shared" si="0"/>
        <v>0.13300000000000001</v>
      </c>
      <c r="X20">
        <f t="shared" si="0"/>
        <v>0.17</v>
      </c>
      <c r="Y20">
        <f t="shared" si="0"/>
        <v>0.187</v>
      </c>
      <c r="Z20">
        <f t="shared" si="0"/>
        <v>0.19800000000000001</v>
      </c>
      <c r="AA20">
        <f t="shared" si="0"/>
        <v>0.22</v>
      </c>
      <c r="AB20">
        <f t="shared" si="0"/>
        <v>0.215</v>
      </c>
      <c r="AC20">
        <f t="shared" si="0"/>
        <v>0.16899999999999998</v>
      </c>
      <c r="AD20">
        <f t="shared" si="0"/>
        <v>9.9000000000000005E-2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23</v>
      </c>
      <c r="G21">
        <v>6</v>
      </c>
      <c r="H21">
        <v>30</v>
      </c>
      <c r="I21">
        <v>13</v>
      </c>
      <c r="J21">
        <v>18.399999999999999</v>
      </c>
      <c r="K21">
        <v>20.9</v>
      </c>
      <c r="L21">
        <v>21.5</v>
      </c>
      <c r="M21">
        <v>21.7</v>
      </c>
      <c r="N21">
        <v>21.2</v>
      </c>
      <c r="O21">
        <v>21.2</v>
      </c>
      <c r="P21">
        <v>22.5</v>
      </c>
      <c r="Q21">
        <v>21.1</v>
      </c>
      <c r="R21">
        <v>10</v>
      </c>
      <c r="S21">
        <f t="shared" si="1"/>
        <v>3</v>
      </c>
      <c r="T21" t="s">
        <v>56</v>
      </c>
      <c r="U21">
        <f t="shared" si="2"/>
        <v>0.13</v>
      </c>
      <c r="V21">
        <f t="shared" si="0"/>
        <v>0.184</v>
      </c>
      <c r="W21">
        <f t="shared" si="0"/>
        <v>0.20899999999999999</v>
      </c>
      <c r="X21">
        <f t="shared" si="0"/>
        <v>0.215</v>
      </c>
      <c r="Y21">
        <f t="shared" si="0"/>
        <v>0.217</v>
      </c>
      <c r="Z21">
        <f t="shared" si="0"/>
        <v>0.21199999999999999</v>
      </c>
      <c r="AA21">
        <f t="shared" si="0"/>
        <v>0.21199999999999999</v>
      </c>
      <c r="AB21">
        <f t="shared" si="0"/>
        <v>0.22500000000000001</v>
      </c>
      <c r="AC21">
        <f t="shared" si="0"/>
        <v>0.21100000000000002</v>
      </c>
      <c r="AD21">
        <f t="shared" si="0"/>
        <v>0.1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23</v>
      </c>
      <c r="G22">
        <v>6</v>
      </c>
      <c r="H22">
        <v>43</v>
      </c>
      <c r="I22">
        <v>14</v>
      </c>
      <c r="J22">
        <v>14</v>
      </c>
      <c r="K22">
        <v>15.7</v>
      </c>
      <c r="L22">
        <v>19.3</v>
      </c>
      <c r="M22">
        <v>19.5</v>
      </c>
      <c r="N22">
        <v>21.6</v>
      </c>
      <c r="O22">
        <v>22.5</v>
      </c>
      <c r="P22">
        <v>22.2</v>
      </c>
      <c r="Q22">
        <v>18.399999999999999</v>
      </c>
      <c r="R22">
        <v>8.6</v>
      </c>
      <c r="S22">
        <f t="shared" si="1"/>
        <v>4</v>
      </c>
      <c r="T22" t="s">
        <v>57</v>
      </c>
      <c r="U22">
        <f t="shared" si="2"/>
        <v>0.14000000000000001</v>
      </c>
      <c r="V22">
        <f t="shared" si="0"/>
        <v>0.14000000000000001</v>
      </c>
      <c r="W22">
        <f t="shared" si="0"/>
        <v>0.157</v>
      </c>
      <c r="X22">
        <f t="shared" si="0"/>
        <v>0.193</v>
      </c>
      <c r="Y22">
        <f t="shared" si="0"/>
        <v>0.19500000000000001</v>
      </c>
      <c r="Z22">
        <f t="shared" si="0"/>
        <v>0.21600000000000003</v>
      </c>
      <c r="AA22">
        <f t="shared" si="0"/>
        <v>0.22500000000000001</v>
      </c>
      <c r="AB22">
        <f t="shared" si="0"/>
        <v>0.222</v>
      </c>
      <c r="AC22">
        <f t="shared" si="0"/>
        <v>0.184</v>
      </c>
      <c r="AD22">
        <f t="shared" si="0"/>
        <v>8.5999999999999993E-2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23</v>
      </c>
      <c r="G23">
        <v>6</v>
      </c>
      <c r="H23">
        <v>40</v>
      </c>
      <c r="I23">
        <v>-5.9</v>
      </c>
      <c r="J23">
        <v>-5.9</v>
      </c>
      <c r="K23">
        <v>18.600000000000001</v>
      </c>
      <c r="L23">
        <v>24.4</v>
      </c>
      <c r="M23">
        <v>21.8</v>
      </c>
      <c r="N23">
        <v>22.6</v>
      </c>
      <c r="O23">
        <v>24.6</v>
      </c>
      <c r="P23">
        <v>24.9</v>
      </c>
      <c r="Q23">
        <v>22</v>
      </c>
      <c r="R23">
        <v>11.5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0.18600000000000003</v>
      </c>
      <c r="X23">
        <f t="shared" si="0"/>
        <v>0.24399999999999999</v>
      </c>
      <c r="Y23">
        <f t="shared" si="0"/>
        <v>0.218</v>
      </c>
      <c r="Z23">
        <f t="shared" si="0"/>
        <v>0.22600000000000001</v>
      </c>
      <c r="AA23">
        <f t="shared" si="0"/>
        <v>0.24600000000000002</v>
      </c>
      <c r="AB23">
        <f t="shared" si="0"/>
        <v>0.249</v>
      </c>
      <c r="AC23">
        <f t="shared" si="0"/>
        <v>0.22</v>
      </c>
      <c r="AD23">
        <f t="shared" si="0"/>
        <v>0.115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23</v>
      </c>
      <c r="G24">
        <v>6</v>
      </c>
      <c r="H24">
        <v>52</v>
      </c>
      <c r="I24">
        <v>-5.9</v>
      </c>
      <c r="J24">
        <v>20.5</v>
      </c>
      <c r="K24">
        <v>20.8</v>
      </c>
      <c r="L24">
        <v>21.4</v>
      </c>
      <c r="M24">
        <v>21.5</v>
      </c>
      <c r="N24">
        <v>22.2</v>
      </c>
      <c r="O24">
        <v>22.9</v>
      </c>
      <c r="P24">
        <v>27.8</v>
      </c>
      <c r="Q24">
        <v>21.3</v>
      </c>
      <c r="R24">
        <v>9.4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0.20499999999999999</v>
      </c>
      <c r="W24">
        <f t="shared" si="0"/>
        <v>0.20800000000000002</v>
      </c>
      <c r="X24">
        <f t="shared" si="0"/>
        <v>0.214</v>
      </c>
      <c r="Y24">
        <f t="shared" si="0"/>
        <v>0.215</v>
      </c>
      <c r="Z24">
        <f t="shared" si="0"/>
        <v>0.222</v>
      </c>
      <c r="AA24">
        <f t="shared" si="0"/>
        <v>0.22899999999999998</v>
      </c>
      <c r="AB24">
        <f t="shared" si="0"/>
        <v>0.27800000000000002</v>
      </c>
      <c r="AC24">
        <f t="shared" si="0"/>
        <v>0.21299999999999999</v>
      </c>
      <c r="AD24">
        <f t="shared" si="0"/>
        <v>9.4E-2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6</v>
      </c>
      <c r="F25">
        <v>23</v>
      </c>
      <c r="G25">
        <v>6</v>
      </c>
      <c r="H25">
        <v>57</v>
      </c>
      <c r="I25">
        <v>-5.9</v>
      </c>
      <c r="J25">
        <v>25</v>
      </c>
      <c r="K25">
        <v>28.1</v>
      </c>
      <c r="L25">
        <v>28.5</v>
      </c>
      <c r="M25">
        <v>20.2</v>
      </c>
      <c r="N25">
        <v>21.6</v>
      </c>
      <c r="O25">
        <v>22.8</v>
      </c>
      <c r="P25">
        <v>21.9</v>
      </c>
      <c r="Q25">
        <v>22.4</v>
      </c>
      <c r="R25">
        <v>14.8</v>
      </c>
      <c r="S25">
        <f t="shared" si="1"/>
        <v>7</v>
      </c>
      <c r="T25" t="s">
        <v>60</v>
      </c>
      <c r="U25" t="str">
        <f t="shared" si="2"/>
        <v/>
      </c>
      <c r="V25">
        <f t="shared" si="0"/>
        <v>0.25</v>
      </c>
      <c r="W25">
        <f t="shared" si="0"/>
        <v>0.28100000000000003</v>
      </c>
      <c r="X25">
        <f t="shared" si="0"/>
        <v>0.28499999999999998</v>
      </c>
      <c r="Y25">
        <f t="shared" si="0"/>
        <v>0.20199999999999999</v>
      </c>
      <c r="Z25">
        <f t="shared" si="0"/>
        <v>0.21600000000000003</v>
      </c>
      <c r="AA25">
        <f t="shared" si="0"/>
        <v>0.22800000000000001</v>
      </c>
      <c r="AB25">
        <f t="shared" si="0"/>
        <v>0.21899999999999997</v>
      </c>
      <c r="AC25">
        <f t="shared" si="0"/>
        <v>0.22399999999999998</v>
      </c>
      <c r="AD25">
        <f t="shared" si="0"/>
        <v>0.14800000000000002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6</v>
      </c>
      <c r="F26">
        <v>23</v>
      </c>
      <c r="G26">
        <v>7</v>
      </c>
      <c r="H26">
        <v>1</v>
      </c>
      <c r="I26">
        <v>-5.9</v>
      </c>
      <c r="J26">
        <v>32.200000000000003</v>
      </c>
      <c r="K26">
        <v>26.1</v>
      </c>
      <c r="L26">
        <v>20.7</v>
      </c>
      <c r="M26">
        <v>22.8</v>
      </c>
      <c r="N26">
        <v>22.6</v>
      </c>
      <c r="O26">
        <v>23.9</v>
      </c>
      <c r="P26">
        <v>29</v>
      </c>
      <c r="Q26">
        <v>24.6</v>
      </c>
      <c r="R26">
        <v>14.7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0.32200000000000001</v>
      </c>
      <c r="W26">
        <f t="shared" si="0"/>
        <v>0.26100000000000001</v>
      </c>
      <c r="X26">
        <f t="shared" si="0"/>
        <v>0.20699999999999999</v>
      </c>
      <c r="Y26">
        <f t="shared" si="0"/>
        <v>0.22800000000000001</v>
      </c>
      <c r="Z26">
        <f t="shared" si="0"/>
        <v>0.22600000000000001</v>
      </c>
      <c r="AA26">
        <f t="shared" si="0"/>
        <v>0.23899999999999999</v>
      </c>
      <c r="AB26">
        <f t="shared" si="0"/>
        <v>0.28999999999999998</v>
      </c>
      <c r="AC26">
        <f t="shared" si="0"/>
        <v>0.24600000000000002</v>
      </c>
      <c r="AD26">
        <f t="shared" si="0"/>
        <v>0.14699999999999999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6</v>
      </c>
      <c r="F27">
        <v>23</v>
      </c>
      <c r="G27">
        <v>7</v>
      </c>
      <c r="H27">
        <v>6</v>
      </c>
      <c r="I27">
        <v>18.2</v>
      </c>
      <c r="J27">
        <v>17.3</v>
      </c>
      <c r="K27">
        <v>17.5</v>
      </c>
      <c r="L27">
        <v>22.5</v>
      </c>
      <c r="M27">
        <v>25.1</v>
      </c>
      <c r="N27">
        <v>25.6</v>
      </c>
      <c r="O27">
        <v>28.7</v>
      </c>
      <c r="P27">
        <v>24</v>
      </c>
      <c r="Q27">
        <v>19</v>
      </c>
      <c r="R27">
        <v>12.5</v>
      </c>
      <c r="S27">
        <f t="shared" si="1"/>
        <v>9</v>
      </c>
      <c r="T27" t="s">
        <v>63</v>
      </c>
      <c r="U27">
        <f t="shared" si="2"/>
        <v>0.182</v>
      </c>
      <c r="V27">
        <f t="shared" si="0"/>
        <v>0.17300000000000001</v>
      </c>
      <c r="W27">
        <f t="shared" si="0"/>
        <v>0.17499999999999999</v>
      </c>
      <c r="X27">
        <f t="shared" si="0"/>
        <v>0.22500000000000001</v>
      </c>
      <c r="Y27">
        <f t="shared" si="0"/>
        <v>0.251</v>
      </c>
      <c r="Z27">
        <f t="shared" si="0"/>
        <v>0.25600000000000001</v>
      </c>
      <c r="AA27">
        <f t="shared" si="0"/>
        <v>0.28699999999999998</v>
      </c>
      <c r="AB27">
        <f t="shared" si="0"/>
        <v>0.24</v>
      </c>
      <c r="AC27">
        <f t="shared" si="0"/>
        <v>0.19</v>
      </c>
      <c r="AD27">
        <f t="shared" si="0"/>
        <v>0.125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6</v>
      </c>
      <c r="F28">
        <v>23</v>
      </c>
      <c r="G28">
        <v>7</v>
      </c>
      <c r="H28">
        <v>11</v>
      </c>
      <c r="I28">
        <v>16.8</v>
      </c>
      <c r="J28">
        <v>14.4</v>
      </c>
      <c r="K28">
        <v>16.100000000000001</v>
      </c>
      <c r="L28">
        <v>18.5</v>
      </c>
      <c r="M28">
        <v>23.8</v>
      </c>
      <c r="N28">
        <v>23</v>
      </c>
      <c r="O28">
        <v>22.1</v>
      </c>
      <c r="P28">
        <v>24.2</v>
      </c>
      <c r="Q28">
        <v>20.9</v>
      </c>
      <c r="R28">
        <v>13.5</v>
      </c>
      <c r="S28">
        <f t="shared" si="1"/>
        <v>10</v>
      </c>
      <c r="T28" t="s">
        <v>62</v>
      </c>
      <c r="U28">
        <f t="shared" si="2"/>
        <v>0.16800000000000001</v>
      </c>
      <c r="V28">
        <f t="shared" si="0"/>
        <v>0.14400000000000002</v>
      </c>
      <c r="W28">
        <f t="shared" si="0"/>
        <v>0.161</v>
      </c>
      <c r="X28">
        <f t="shared" si="0"/>
        <v>0.185</v>
      </c>
      <c r="Y28">
        <f t="shared" si="0"/>
        <v>0.23800000000000002</v>
      </c>
      <c r="Z28">
        <f t="shared" si="0"/>
        <v>0.23</v>
      </c>
      <c r="AA28">
        <f t="shared" si="0"/>
        <v>0.221</v>
      </c>
      <c r="AB28">
        <f t="shared" si="0"/>
        <v>0.24199999999999999</v>
      </c>
      <c r="AC28">
        <f t="shared" si="0"/>
        <v>0.20899999999999999</v>
      </c>
      <c r="AD28">
        <f t="shared" si="0"/>
        <v>0.13500000000000001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6</v>
      </c>
      <c r="F29">
        <v>23</v>
      </c>
      <c r="G29">
        <v>7</v>
      </c>
      <c r="H29">
        <v>16</v>
      </c>
      <c r="I29">
        <v>15.6</v>
      </c>
      <c r="J29">
        <v>17.899999999999999</v>
      </c>
      <c r="K29">
        <v>19.5</v>
      </c>
      <c r="L29">
        <v>22.9</v>
      </c>
      <c r="M29">
        <v>25.7</v>
      </c>
      <c r="N29">
        <v>29.2</v>
      </c>
      <c r="O29">
        <v>30.8</v>
      </c>
      <c r="P29">
        <v>30.4</v>
      </c>
      <c r="Q29">
        <v>22.8</v>
      </c>
      <c r="R29">
        <v>16</v>
      </c>
      <c r="S29">
        <f t="shared" si="1"/>
        <v>11</v>
      </c>
      <c r="T29" t="s">
        <v>52</v>
      </c>
      <c r="U29">
        <f t="shared" si="2"/>
        <v>0.156</v>
      </c>
      <c r="V29">
        <f t="shared" si="0"/>
        <v>0.17899999999999999</v>
      </c>
      <c r="W29">
        <f t="shared" si="0"/>
        <v>0.19500000000000001</v>
      </c>
      <c r="X29">
        <f t="shared" si="0"/>
        <v>0.22899999999999998</v>
      </c>
      <c r="Y29">
        <f t="shared" si="0"/>
        <v>0.25700000000000001</v>
      </c>
      <c r="Z29">
        <f t="shared" si="0"/>
        <v>0.29199999999999998</v>
      </c>
      <c r="AA29">
        <f t="shared" si="0"/>
        <v>0.308</v>
      </c>
      <c r="AB29">
        <f t="shared" si="0"/>
        <v>0.30399999999999999</v>
      </c>
      <c r="AC29">
        <f t="shared" si="0"/>
        <v>0.22800000000000001</v>
      </c>
      <c r="AD29">
        <f t="shared" si="0"/>
        <v>0.16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6</v>
      </c>
      <c r="F30">
        <v>23</v>
      </c>
      <c r="G30">
        <v>7</v>
      </c>
      <c r="H30">
        <v>21</v>
      </c>
      <c r="I30">
        <v>25.6</v>
      </c>
      <c r="J30">
        <v>14.8</v>
      </c>
      <c r="K30">
        <v>17.399999999999999</v>
      </c>
      <c r="L30">
        <v>26.2</v>
      </c>
      <c r="M30">
        <v>25.8</v>
      </c>
      <c r="N30">
        <v>25.8</v>
      </c>
      <c r="O30">
        <v>28.8</v>
      </c>
      <c r="P30">
        <v>25.8</v>
      </c>
      <c r="Q30">
        <v>18.7</v>
      </c>
      <c r="R30">
        <v>12.4</v>
      </c>
      <c r="S30">
        <f t="shared" si="1"/>
        <v>12</v>
      </c>
      <c r="T30" t="s">
        <v>64</v>
      </c>
      <c r="U30">
        <f t="shared" si="2"/>
        <v>0.25600000000000001</v>
      </c>
      <c r="V30">
        <f t="shared" si="0"/>
        <v>0.14800000000000002</v>
      </c>
      <c r="W30">
        <f t="shared" si="0"/>
        <v>0.17399999999999999</v>
      </c>
      <c r="X30">
        <f t="shared" si="0"/>
        <v>0.26200000000000001</v>
      </c>
      <c r="Y30">
        <f t="shared" si="0"/>
        <v>0.25800000000000001</v>
      </c>
      <c r="Z30">
        <f t="shared" si="0"/>
        <v>0.25800000000000001</v>
      </c>
      <c r="AA30">
        <f t="shared" si="0"/>
        <v>0.28800000000000003</v>
      </c>
      <c r="AB30">
        <f t="shared" si="0"/>
        <v>0.25800000000000001</v>
      </c>
      <c r="AC30">
        <f t="shared" si="0"/>
        <v>0.187</v>
      </c>
      <c r="AD30">
        <f t="shared" si="0"/>
        <v>0.124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6</v>
      </c>
      <c r="F31">
        <v>23</v>
      </c>
      <c r="G31">
        <v>7</v>
      </c>
      <c r="H31">
        <v>31</v>
      </c>
      <c r="I31">
        <v>19.7</v>
      </c>
      <c r="J31">
        <v>18.5</v>
      </c>
      <c r="K31">
        <v>20.9</v>
      </c>
      <c r="L31">
        <v>24.4</v>
      </c>
      <c r="M31">
        <v>25.9</v>
      </c>
      <c r="N31">
        <v>26.9</v>
      </c>
      <c r="O31">
        <v>26.3</v>
      </c>
      <c r="P31">
        <v>24.5</v>
      </c>
      <c r="Q31">
        <v>19.899999999999999</v>
      </c>
      <c r="R31">
        <v>10.7</v>
      </c>
      <c r="S31">
        <f t="shared" si="1"/>
        <v>13</v>
      </c>
      <c r="T31" t="s">
        <v>29</v>
      </c>
      <c r="U31">
        <f t="shared" si="2"/>
        <v>0.19699999999999998</v>
      </c>
      <c r="V31">
        <f t="shared" si="0"/>
        <v>0.185</v>
      </c>
      <c r="W31">
        <f t="shared" si="0"/>
        <v>0.20899999999999999</v>
      </c>
      <c r="X31">
        <f t="shared" si="0"/>
        <v>0.24399999999999999</v>
      </c>
      <c r="Y31">
        <f t="shared" si="0"/>
        <v>0.25900000000000001</v>
      </c>
      <c r="Z31">
        <f t="shared" si="0"/>
        <v>0.26899999999999996</v>
      </c>
      <c r="AA31">
        <f t="shared" si="0"/>
        <v>0.26300000000000001</v>
      </c>
      <c r="AB31">
        <f t="shared" si="0"/>
        <v>0.245</v>
      </c>
      <c r="AC31">
        <f t="shared" si="0"/>
        <v>0.19899999999999998</v>
      </c>
      <c r="AD31">
        <f t="shared" si="0"/>
        <v>0.107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6</v>
      </c>
      <c r="F32">
        <v>23</v>
      </c>
      <c r="G32">
        <v>7</v>
      </c>
      <c r="H32">
        <v>36</v>
      </c>
      <c r="I32">
        <v>19.100000000000001</v>
      </c>
      <c r="J32">
        <v>19.8</v>
      </c>
      <c r="K32">
        <v>24.4</v>
      </c>
      <c r="L32">
        <v>25.5</v>
      </c>
      <c r="M32">
        <v>25</v>
      </c>
      <c r="N32">
        <v>26.6</v>
      </c>
      <c r="O32">
        <v>28.4</v>
      </c>
      <c r="P32">
        <v>20.2</v>
      </c>
      <c r="Q32">
        <v>16</v>
      </c>
      <c r="R32">
        <v>8.6999999999999993</v>
      </c>
      <c r="S32">
        <f t="shared" si="1"/>
        <v>14</v>
      </c>
      <c r="T32" t="s">
        <v>30</v>
      </c>
      <c r="U32">
        <f t="shared" si="2"/>
        <v>0.191</v>
      </c>
      <c r="V32">
        <f t="shared" si="0"/>
        <v>0.19800000000000001</v>
      </c>
      <c r="W32">
        <f t="shared" si="0"/>
        <v>0.24399999999999999</v>
      </c>
      <c r="X32">
        <f t="shared" si="0"/>
        <v>0.255</v>
      </c>
      <c r="Y32">
        <f t="shared" si="0"/>
        <v>0.25</v>
      </c>
      <c r="Z32">
        <f t="shared" si="0"/>
        <v>0.26600000000000001</v>
      </c>
      <c r="AA32">
        <f t="shared" si="0"/>
        <v>0.28399999999999997</v>
      </c>
      <c r="AB32">
        <f t="shared" si="0"/>
        <v>0.20199999999999999</v>
      </c>
      <c r="AC32">
        <f t="shared" si="0"/>
        <v>0.16</v>
      </c>
      <c r="AD32">
        <f t="shared" si="0"/>
        <v>8.6999999999999994E-2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6</v>
      </c>
      <c r="F33">
        <v>23</v>
      </c>
      <c r="G33">
        <v>7</v>
      </c>
      <c r="H33">
        <v>41</v>
      </c>
      <c r="I33">
        <v>17.5</v>
      </c>
      <c r="J33">
        <v>16.5</v>
      </c>
      <c r="K33">
        <v>17.3</v>
      </c>
      <c r="L33">
        <v>19</v>
      </c>
      <c r="M33">
        <v>25.5</v>
      </c>
      <c r="N33">
        <v>26.1</v>
      </c>
      <c r="O33">
        <v>24.3</v>
      </c>
      <c r="P33">
        <v>21.1</v>
      </c>
      <c r="Q33">
        <v>18.7</v>
      </c>
      <c r="R33">
        <v>12.5</v>
      </c>
      <c r="S33">
        <f t="shared" si="1"/>
        <v>15</v>
      </c>
      <c r="T33" t="s">
        <v>31</v>
      </c>
      <c r="U33">
        <f t="shared" si="2"/>
        <v>0.17499999999999999</v>
      </c>
      <c r="V33">
        <f t="shared" si="0"/>
        <v>0.16500000000000001</v>
      </c>
      <c r="W33">
        <f t="shared" si="0"/>
        <v>0.17300000000000001</v>
      </c>
      <c r="X33">
        <f t="shared" si="0"/>
        <v>0.19</v>
      </c>
      <c r="Y33">
        <f t="shared" si="0"/>
        <v>0.255</v>
      </c>
      <c r="Z33">
        <f t="shared" si="0"/>
        <v>0.26100000000000001</v>
      </c>
      <c r="AA33">
        <f t="shared" si="0"/>
        <v>0.24299999999999999</v>
      </c>
      <c r="AB33">
        <f t="shared" si="0"/>
        <v>0.21100000000000002</v>
      </c>
      <c r="AC33">
        <f t="shared" si="0"/>
        <v>0.187</v>
      </c>
      <c r="AD33">
        <f t="shared" si="0"/>
        <v>0.125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6</v>
      </c>
      <c r="F34">
        <v>23</v>
      </c>
      <c r="G34">
        <v>7</v>
      </c>
      <c r="H34">
        <v>46</v>
      </c>
      <c r="I34">
        <v>24.9</v>
      </c>
      <c r="J34">
        <v>19.5</v>
      </c>
      <c r="K34">
        <v>22.2</v>
      </c>
      <c r="L34">
        <v>20.8</v>
      </c>
      <c r="M34">
        <v>21.4</v>
      </c>
      <c r="N34">
        <v>20.100000000000001</v>
      </c>
      <c r="O34">
        <v>18.399999999999999</v>
      </c>
      <c r="P34">
        <v>18.5</v>
      </c>
      <c r="Q34">
        <v>19.2</v>
      </c>
      <c r="R34">
        <v>9.5</v>
      </c>
      <c r="S34">
        <f t="shared" si="1"/>
        <v>16</v>
      </c>
      <c r="T34" t="s">
        <v>32</v>
      </c>
      <c r="U34">
        <f t="shared" si="2"/>
        <v>0.249</v>
      </c>
      <c r="V34">
        <f t="shared" si="0"/>
        <v>0.19500000000000001</v>
      </c>
      <c r="W34">
        <f t="shared" si="0"/>
        <v>0.222</v>
      </c>
      <c r="X34">
        <f t="shared" si="0"/>
        <v>0.20800000000000002</v>
      </c>
      <c r="Y34">
        <f t="shared" si="0"/>
        <v>0.214</v>
      </c>
      <c r="Z34">
        <f t="shared" si="0"/>
        <v>0.20100000000000001</v>
      </c>
      <c r="AA34">
        <f t="shared" si="0"/>
        <v>0.184</v>
      </c>
      <c r="AB34">
        <f t="shared" si="0"/>
        <v>0.185</v>
      </c>
      <c r="AC34">
        <f t="shared" si="0"/>
        <v>0.192</v>
      </c>
      <c r="AD34">
        <f t="shared" si="0"/>
        <v>9.5000000000000001E-2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6</v>
      </c>
      <c r="F35">
        <v>23</v>
      </c>
      <c r="G35">
        <v>7</v>
      </c>
      <c r="H35">
        <v>51</v>
      </c>
      <c r="I35">
        <v>18.2</v>
      </c>
      <c r="J35">
        <v>18.2</v>
      </c>
      <c r="K35">
        <v>18.8</v>
      </c>
      <c r="L35">
        <v>20.7</v>
      </c>
      <c r="M35">
        <v>24.2</v>
      </c>
      <c r="N35">
        <v>26.5</v>
      </c>
      <c r="O35">
        <v>28.6</v>
      </c>
      <c r="P35">
        <v>26.3</v>
      </c>
      <c r="Q35">
        <v>19.3</v>
      </c>
      <c r="R35">
        <v>11.2</v>
      </c>
      <c r="S35">
        <f t="shared" si="1"/>
        <v>17</v>
      </c>
      <c r="T35" t="s">
        <v>33</v>
      </c>
      <c r="U35">
        <f t="shared" si="2"/>
        <v>0.182</v>
      </c>
      <c r="V35">
        <f t="shared" si="0"/>
        <v>0.182</v>
      </c>
      <c r="W35">
        <f t="shared" si="0"/>
        <v>0.188</v>
      </c>
      <c r="X35">
        <f t="shared" si="0"/>
        <v>0.20699999999999999</v>
      </c>
      <c r="Y35">
        <f t="shared" si="0"/>
        <v>0.24199999999999999</v>
      </c>
      <c r="Z35">
        <f t="shared" si="0"/>
        <v>0.26500000000000001</v>
      </c>
      <c r="AA35">
        <f t="shared" si="0"/>
        <v>0.28600000000000003</v>
      </c>
      <c r="AB35">
        <f t="shared" si="0"/>
        <v>0.26300000000000001</v>
      </c>
      <c r="AC35">
        <f t="shared" si="0"/>
        <v>0.193</v>
      </c>
      <c r="AD35">
        <f t="shared" si="0"/>
        <v>0.11199999999999999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6</v>
      </c>
      <c r="F36">
        <v>23</v>
      </c>
      <c r="G36">
        <v>8</v>
      </c>
      <c r="H36">
        <v>3</v>
      </c>
      <c r="I36">
        <v>23.7</v>
      </c>
      <c r="J36">
        <v>22.2</v>
      </c>
      <c r="K36">
        <v>31.2</v>
      </c>
      <c r="L36">
        <v>19.899999999999999</v>
      </c>
      <c r="M36">
        <v>22.4</v>
      </c>
      <c r="N36">
        <v>25.6</v>
      </c>
      <c r="O36">
        <v>26.7</v>
      </c>
      <c r="P36">
        <v>24.3</v>
      </c>
      <c r="Q36">
        <v>18.399999999999999</v>
      </c>
      <c r="R36">
        <v>9.9</v>
      </c>
      <c r="S36">
        <f t="shared" si="1"/>
        <v>18</v>
      </c>
      <c r="T36" t="s">
        <v>34</v>
      </c>
      <c r="U36">
        <f t="shared" si="2"/>
        <v>0.23699999999999999</v>
      </c>
      <c r="V36">
        <f t="shared" si="0"/>
        <v>0.222</v>
      </c>
      <c r="W36">
        <f t="shared" si="0"/>
        <v>0.312</v>
      </c>
      <c r="X36">
        <f t="shared" si="0"/>
        <v>0.19899999999999998</v>
      </c>
      <c r="Y36">
        <f t="shared" si="0"/>
        <v>0.22399999999999998</v>
      </c>
      <c r="Z36">
        <f t="shared" si="0"/>
        <v>0.25600000000000001</v>
      </c>
      <c r="AA36">
        <f t="shared" si="0"/>
        <v>0.26700000000000002</v>
      </c>
      <c r="AB36">
        <f t="shared" si="0"/>
        <v>0.24299999999999999</v>
      </c>
      <c r="AC36">
        <f t="shared" si="0"/>
        <v>0.184</v>
      </c>
      <c r="AD36">
        <f t="shared" si="0"/>
        <v>9.9000000000000005E-2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6</v>
      </c>
      <c r="F37">
        <v>23</v>
      </c>
      <c r="G37">
        <v>8</v>
      </c>
      <c r="H37">
        <v>10</v>
      </c>
      <c r="I37">
        <v>22.8</v>
      </c>
      <c r="J37">
        <v>23.6</v>
      </c>
      <c r="K37">
        <v>22.8</v>
      </c>
      <c r="L37">
        <v>23.6</v>
      </c>
      <c r="M37">
        <v>26.1</v>
      </c>
      <c r="N37">
        <v>24.8</v>
      </c>
      <c r="O37">
        <v>27.1</v>
      </c>
      <c r="P37">
        <v>29.5</v>
      </c>
      <c r="Q37">
        <v>22.2</v>
      </c>
      <c r="R37">
        <v>13.8</v>
      </c>
      <c r="S37">
        <f t="shared" si="1"/>
        <v>19</v>
      </c>
      <c r="T37" t="s">
        <v>65</v>
      </c>
      <c r="U37">
        <f t="shared" si="2"/>
        <v>0.22800000000000001</v>
      </c>
      <c r="V37">
        <f t="shared" si="0"/>
        <v>0.23600000000000002</v>
      </c>
      <c r="W37">
        <f t="shared" si="0"/>
        <v>0.22800000000000001</v>
      </c>
      <c r="X37">
        <f t="shared" si="0"/>
        <v>0.23600000000000002</v>
      </c>
      <c r="Y37">
        <f t="shared" si="0"/>
        <v>0.26100000000000001</v>
      </c>
      <c r="Z37">
        <f t="shared" si="0"/>
        <v>0.248</v>
      </c>
      <c r="AA37">
        <f t="shared" si="0"/>
        <v>0.27100000000000002</v>
      </c>
      <c r="AB37">
        <f t="shared" si="0"/>
        <v>0.29499999999999998</v>
      </c>
      <c r="AC37">
        <f t="shared" si="0"/>
        <v>0.222</v>
      </c>
      <c r="AD37">
        <f t="shared" si="0"/>
        <v>0.13800000000000001</v>
      </c>
    </row>
    <row r="38" spans="1:30" x14ac:dyDescent="0.25">
      <c r="A38">
        <v>436</v>
      </c>
      <c r="B38">
        <v>21</v>
      </c>
      <c r="C38">
        <v>0</v>
      </c>
      <c r="D38">
        <v>14</v>
      </c>
      <c r="E38">
        <v>6</v>
      </c>
      <c r="F38">
        <v>23</v>
      </c>
      <c r="G38">
        <v>8</v>
      </c>
      <c r="H38">
        <v>16</v>
      </c>
      <c r="I38">
        <v>19.600000000000001</v>
      </c>
      <c r="J38">
        <v>18.600000000000001</v>
      </c>
      <c r="K38">
        <v>20.6</v>
      </c>
      <c r="L38">
        <v>21.3</v>
      </c>
      <c r="M38">
        <v>24.8</v>
      </c>
      <c r="N38">
        <v>28.3</v>
      </c>
      <c r="O38">
        <v>30.1</v>
      </c>
      <c r="P38">
        <v>28.9</v>
      </c>
      <c r="Q38">
        <v>25.3</v>
      </c>
      <c r="R38">
        <v>18.100000000000001</v>
      </c>
      <c r="S38">
        <f t="shared" si="1"/>
        <v>21</v>
      </c>
      <c r="T38" t="s">
        <v>66</v>
      </c>
      <c r="U38">
        <f t="shared" si="2"/>
        <v>0.19600000000000001</v>
      </c>
      <c r="V38">
        <f t="shared" si="0"/>
        <v>0.18600000000000003</v>
      </c>
      <c r="W38">
        <f t="shared" si="0"/>
        <v>0.20600000000000002</v>
      </c>
      <c r="X38">
        <f t="shared" si="0"/>
        <v>0.21299999999999999</v>
      </c>
      <c r="Y38">
        <f t="shared" si="0"/>
        <v>0.248</v>
      </c>
      <c r="Z38">
        <f t="shared" si="0"/>
        <v>0.28300000000000003</v>
      </c>
      <c r="AA38">
        <f t="shared" si="0"/>
        <v>0.30099999999999999</v>
      </c>
      <c r="AB38">
        <f t="shared" si="0"/>
        <v>0.28899999999999998</v>
      </c>
      <c r="AC38">
        <f t="shared" si="0"/>
        <v>0.253</v>
      </c>
      <c r="AD38">
        <f t="shared" si="0"/>
        <v>0.18100000000000002</v>
      </c>
    </row>
    <row r="39" spans="1:30" x14ac:dyDescent="0.25">
      <c r="A39">
        <v>435</v>
      </c>
      <c r="B39">
        <v>22</v>
      </c>
      <c r="C39">
        <v>0</v>
      </c>
      <c r="D39">
        <v>14</v>
      </c>
      <c r="E39">
        <v>6</v>
      </c>
      <c r="F39">
        <v>23</v>
      </c>
      <c r="G39">
        <v>8</v>
      </c>
      <c r="H39">
        <v>21</v>
      </c>
      <c r="I39">
        <v>-5.9</v>
      </c>
      <c r="J39">
        <v>-5.9</v>
      </c>
      <c r="K39">
        <v>-5.9</v>
      </c>
      <c r="L39">
        <v>-5.9</v>
      </c>
      <c r="M39">
        <v>28.2</v>
      </c>
      <c r="N39">
        <v>30</v>
      </c>
      <c r="O39">
        <v>26.4</v>
      </c>
      <c r="P39">
        <v>23.5</v>
      </c>
      <c r="Q39">
        <v>16.399999999999999</v>
      </c>
      <c r="R39">
        <v>-5.9</v>
      </c>
      <c r="S39">
        <f t="shared" si="1"/>
        <v>22</v>
      </c>
      <c r="T39" t="s">
        <v>67</v>
      </c>
      <c r="U39" t="str">
        <f t="shared" si="2"/>
        <v/>
      </c>
      <c r="V39" t="str">
        <f t="shared" si="0"/>
        <v/>
      </c>
      <c r="W39" t="str">
        <f t="shared" si="0"/>
        <v/>
      </c>
      <c r="X39" t="str">
        <f t="shared" si="0"/>
        <v/>
      </c>
      <c r="Y39">
        <f t="shared" si="0"/>
        <v>0.28199999999999997</v>
      </c>
      <c r="Z39">
        <f t="shared" si="0"/>
        <v>0.3</v>
      </c>
      <c r="AA39">
        <f t="shared" si="0"/>
        <v>0.26400000000000001</v>
      </c>
      <c r="AB39">
        <f t="shared" si="0"/>
        <v>0.23499999999999999</v>
      </c>
      <c r="AC39">
        <f t="shared" si="0"/>
        <v>0.16399999999999998</v>
      </c>
      <c r="AD39" t="str">
        <f t="shared" si="0"/>
        <v/>
      </c>
    </row>
    <row r="40" spans="1:30" x14ac:dyDescent="0.25">
      <c r="A40">
        <v>434</v>
      </c>
      <c r="B40">
        <v>23</v>
      </c>
      <c r="C40">
        <v>0</v>
      </c>
      <c r="D40">
        <v>14</v>
      </c>
      <c r="E40">
        <v>6</v>
      </c>
      <c r="F40">
        <v>23</v>
      </c>
      <c r="G40">
        <v>8</v>
      </c>
      <c r="H40">
        <v>24</v>
      </c>
      <c r="I40">
        <v>-5.9</v>
      </c>
      <c r="J40">
        <v>-5.9</v>
      </c>
      <c r="K40">
        <v>-5.9</v>
      </c>
      <c r="L40">
        <v>-5.9</v>
      </c>
      <c r="M40">
        <v>-5.9</v>
      </c>
      <c r="N40">
        <v>28.9</v>
      </c>
      <c r="O40">
        <v>29.8</v>
      </c>
      <c r="P40">
        <v>26.5</v>
      </c>
      <c r="Q40">
        <v>23.2</v>
      </c>
      <c r="R40">
        <v>15.8</v>
      </c>
      <c r="S40">
        <f t="shared" si="1"/>
        <v>23</v>
      </c>
      <c r="T40" t="s">
        <v>68</v>
      </c>
      <c r="U40" t="str">
        <f t="shared" si="2"/>
        <v/>
      </c>
      <c r="V40" t="str">
        <f t="shared" si="0"/>
        <v/>
      </c>
      <c r="W40" t="str">
        <f t="shared" si="0"/>
        <v/>
      </c>
      <c r="X40" t="str">
        <f t="shared" si="0"/>
        <v/>
      </c>
      <c r="Y40" t="str">
        <f t="shared" si="0"/>
        <v/>
      </c>
      <c r="Z40">
        <f t="shared" si="0"/>
        <v>0.28899999999999998</v>
      </c>
      <c r="AA40">
        <f t="shared" si="0"/>
        <v>0.29799999999999999</v>
      </c>
      <c r="AB40">
        <f t="shared" si="0"/>
        <v>0.26500000000000001</v>
      </c>
      <c r="AC40">
        <f t="shared" si="0"/>
        <v>0.23199999999999998</v>
      </c>
      <c r="AD40">
        <f t="shared" si="0"/>
        <v>0.158</v>
      </c>
    </row>
    <row r="41" spans="1:30" x14ac:dyDescent="0.25">
      <c r="A41">
        <v>433</v>
      </c>
      <c r="B41">
        <v>24</v>
      </c>
      <c r="C41">
        <v>0</v>
      </c>
      <c r="D41">
        <v>14</v>
      </c>
      <c r="E41">
        <v>6</v>
      </c>
      <c r="F41">
        <v>23</v>
      </c>
      <c r="G41">
        <v>8</v>
      </c>
      <c r="H41">
        <v>20</v>
      </c>
      <c r="I41">
        <v>18.5</v>
      </c>
      <c r="J41">
        <v>18.600000000000001</v>
      </c>
      <c r="K41">
        <v>23.3</v>
      </c>
      <c r="L41">
        <v>25.8</v>
      </c>
      <c r="M41">
        <v>26.9</v>
      </c>
      <c r="N41">
        <v>29.6</v>
      </c>
      <c r="O41">
        <v>31.9</v>
      </c>
      <c r="P41">
        <v>29.7</v>
      </c>
      <c r="Q41">
        <v>24</v>
      </c>
      <c r="R41">
        <v>17.7</v>
      </c>
      <c r="S41">
        <f t="shared" si="1"/>
        <v>24</v>
      </c>
      <c r="T41" t="s">
        <v>69</v>
      </c>
      <c r="U41">
        <f t="shared" si="2"/>
        <v>0.185</v>
      </c>
      <c r="V41">
        <f t="shared" si="0"/>
        <v>0.18600000000000003</v>
      </c>
      <c r="W41">
        <f t="shared" si="0"/>
        <v>0.23300000000000001</v>
      </c>
      <c r="X41">
        <f t="shared" si="0"/>
        <v>0.25800000000000001</v>
      </c>
      <c r="Y41">
        <f t="shared" si="0"/>
        <v>0.26899999999999996</v>
      </c>
      <c r="Z41">
        <f t="shared" si="0"/>
        <v>0.29600000000000004</v>
      </c>
      <c r="AA41">
        <f t="shared" si="0"/>
        <v>0.31900000000000001</v>
      </c>
      <c r="AB41">
        <f t="shared" si="0"/>
        <v>0.29699999999999999</v>
      </c>
      <c r="AC41">
        <f t="shared" si="0"/>
        <v>0.24</v>
      </c>
      <c r="AD41">
        <f t="shared" si="0"/>
        <v>0.17699999999999999</v>
      </c>
    </row>
    <row r="42" spans="1:30" x14ac:dyDescent="0.25">
      <c r="A42">
        <v>432</v>
      </c>
      <c r="B42">
        <v>25</v>
      </c>
      <c r="C42">
        <v>0</v>
      </c>
      <c r="D42">
        <v>14</v>
      </c>
      <c r="E42">
        <v>6</v>
      </c>
      <c r="F42">
        <v>23</v>
      </c>
      <c r="G42">
        <v>8</v>
      </c>
      <c r="H42">
        <v>45</v>
      </c>
      <c r="I42">
        <v>20.3</v>
      </c>
      <c r="J42">
        <v>22.9</v>
      </c>
      <c r="K42">
        <v>25.6</v>
      </c>
      <c r="L42">
        <v>25.9</v>
      </c>
      <c r="M42">
        <v>26.9</v>
      </c>
      <c r="N42">
        <v>29.3</v>
      </c>
      <c r="O42">
        <v>22.9</v>
      </c>
      <c r="P42">
        <v>21.8</v>
      </c>
      <c r="Q42">
        <v>24.2</v>
      </c>
      <c r="R42">
        <v>17.5</v>
      </c>
      <c r="S42">
        <f t="shared" si="1"/>
        <v>25</v>
      </c>
      <c r="T42" t="s">
        <v>70</v>
      </c>
      <c r="U42">
        <f t="shared" si="2"/>
        <v>0.20300000000000001</v>
      </c>
      <c r="V42">
        <f t="shared" si="0"/>
        <v>0.22899999999999998</v>
      </c>
      <c r="W42">
        <f t="shared" si="0"/>
        <v>0.25600000000000001</v>
      </c>
      <c r="X42">
        <f t="shared" si="0"/>
        <v>0.25900000000000001</v>
      </c>
      <c r="Y42">
        <f t="shared" si="0"/>
        <v>0.26899999999999996</v>
      </c>
      <c r="Z42">
        <f t="shared" si="0"/>
        <v>0.29299999999999998</v>
      </c>
      <c r="AA42">
        <f t="shared" si="0"/>
        <v>0.22899999999999998</v>
      </c>
      <c r="AB42">
        <f t="shared" si="0"/>
        <v>0.218</v>
      </c>
      <c r="AC42">
        <f t="shared" si="0"/>
        <v>0.24199999999999999</v>
      </c>
      <c r="AD42">
        <f t="shared" si="0"/>
        <v>0.17499999999999999</v>
      </c>
    </row>
    <row r="43" spans="1:30" x14ac:dyDescent="0.25">
      <c r="A43">
        <v>431</v>
      </c>
      <c r="B43">
        <v>26</v>
      </c>
      <c r="C43">
        <v>0</v>
      </c>
      <c r="D43">
        <v>14</v>
      </c>
      <c r="E43">
        <v>6</v>
      </c>
      <c r="F43">
        <v>23</v>
      </c>
      <c r="G43">
        <v>8</v>
      </c>
      <c r="H43">
        <v>53</v>
      </c>
      <c r="I43">
        <v>-5.9</v>
      </c>
      <c r="J43">
        <v>19.5</v>
      </c>
      <c r="K43">
        <v>21.3</v>
      </c>
      <c r="L43">
        <v>23.5</v>
      </c>
      <c r="M43">
        <v>24.9</v>
      </c>
      <c r="N43">
        <v>22.1</v>
      </c>
      <c r="O43">
        <v>25.3</v>
      </c>
      <c r="P43">
        <v>24.7</v>
      </c>
      <c r="Q43">
        <v>21.9</v>
      </c>
      <c r="R43">
        <v>17.899999999999999</v>
      </c>
      <c r="S43">
        <f t="shared" si="1"/>
        <v>26</v>
      </c>
      <c r="T43" t="s">
        <v>71</v>
      </c>
      <c r="U43" t="str">
        <f t="shared" si="2"/>
        <v/>
      </c>
      <c r="V43">
        <f t="shared" si="0"/>
        <v>0.19500000000000001</v>
      </c>
      <c r="W43">
        <f t="shared" si="0"/>
        <v>0.21299999999999999</v>
      </c>
      <c r="X43">
        <f t="shared" si="0"/>
        <v>0.23499999999999999</v>
      </c>
      <c r="Y43">
        <f t="shared" si="0"/>
        <v>0.249</v>
      </c>
      <c r="Z43">
        <f t="shared" si="0"/>
        <v>0.221</v>
      </c>
      <c r="AA43">
        <f t="shared" si="0"/>
        <v>0.253</v>
      </c>
      <c r="AB43">
        <f t="shared" si="0"/>
        <v>0.247</v>
      </c>
      <c r="AC43">
        <f t="shared" si="0"/>
        <v>0.21899999999999997</v>
      </c>
      <c r="AD43">
        <f t="shared" si="0"/>
        <v>0.17899999999999999</v>
      </c>
    </row>
    <row r="44" spans="1:30" x14ac:dyDescent="0.25">
      <c r="A44">
        <v>430</v>
      </c>
      <c r="B44">
        <v>27</v>
      </c>
      <c r="C44">
        <v>0</v>
      </c>
      <c r="D44">
        <v>14</v>
      </c>
      <c r="E44">
        <v>6</v>
      </c>
      <c r="F44">
        <v>23</v>
      </c>
      <c r="G44">
        <v>8</v>
      </c>
      <c r="H44">
        <v>50</v>
      </c>
      <c r="I44">
        <v>-5.9</v>
      </c>
      <c r="J44">
        <v>19.5</v>
      </c>
      <c r="K44">
        <v>17.7</v>
      </c>
      <c r="L44">
        <v>27.3</v>
      </c>
      <c r="M44">
        <v>23</v>
      </c>
      <c r="N44">
        <v>26.5</v>
      </c>
      <c r="O44">
        <v>28.9</v>
      </c>
      <c r="P44">
        <v>27.1</v>
      </c>
      <c r="Q44">
        <v>-5.9</v>
      </c>
      <c r="R44">
        <v>-5.9</v>
      </c>
      <c r="S44">
        <f t="shared" si="1"/>
        <v>27</v>
      </c>
      <c r="T44" t="s">
        <v>74</v>
      </c>
      <c r="U44" t="str">
        <f t="shared" si="2"/>
        <v/>
      </c>
      <c r="V44">
        <f t="shared" si="0"/>
        <v>0.19500000000000001</v>
      </c>
      <c r="W44">
        <f t="shared" si="0"/>
        <v>0.17699999999999999</v>
      </c>
      <c r="X44">
        <f t="shared" si="0"/>
        <v>0.27300000000000002</v>
      </c>
      <c r="Y44">
        <f t="shared" si="0"/>
        <v>0.23</v>
      </c>
      <c r="Z44">
        <f t="shared" si="0"/>
        <v>0.26500000000000001</v>
      </c>
      <c r="AA44">
        <f t="shared" si="0"/>
        <v>0.28899999999999998</v>
      </c>
      <c r="AB44">
        <f t="shared" si="0"/>
        <v>0.27100000000000002</v>
      </c>
      <c r="AC44" t="str">
        <f t="shared" si="0"/>
        <v/>
      </c>
      <c r="AD44" t="str">
        <f t="shared" si="0"/>
        <v/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6</v>
      </c>
      <c r="F45">
        <v>23</v>
      </c>
      <c r="G45">
        <v>9</v>
      </c>
      <c r="H45">
        <v>1</v>
      </c>
      <c r="I45">
        <v>-5.9</v>
      </c>
      <c r="J45">
        <v>19.7</v>
      </c>
      <c r="K45">
        <v>17.600000000000001</v>
      </c>
      <c r="L45">
        <v>27.5</v>
      </c>
      <c r="M45">
        <v>23</v>
      </c>
      <c r="N45">
        <v>26.1</v>
      </c>
      <c r="O45">
        <v>29</v>
      </c>
      <c r="P45">
        <v>26.9</v>
      </c>
      <c r="Q45">
        <v>23.3</v>
      </c>
      <c r="R45">
        <v>18.7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0.17600000000000002</v>
      </c>
      <c r="X45">
        <f t="shared" si="0"/>
        <v>0.27500000000000002</v>
      </c>
      <c r="Y45">
        <f t="shared" si="0"/>
        <v>0.23</v>
      </c>
      <c r="Z45">
        <f t="shared" si="0"/>
        <v>0.26100000000000001</v>
      </c>
      <c r="AA45">
        <f t="shared" si="0"/>
        <v>0.28999999999999998</v>
      </c>
      <c r="AB45">
        <f t="shared" si="0"/>
        <v>0.26899999999999996</v>
      </c>
      <c r="AC45">
        <f t="shared" si="0"/>
        <v>0.23300000000000001</v>
      </c>
      <c r="AD45">
        <f t="shared" si="0"/>
        <v>0.187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6</v>
      </c>
      <c r="F46">
        <v>23</v>
      </c>
      <c r="G46">
        <v>9</v>
      </c>
      <c r="H46">
        <v>5</v>
      </c>
      <c r="I46">
        <v>19.2</v>
      </c>
      <c r="J46">
        <v>18.2</v>
      </c>
      <c r="K46">
        <v>19</v>
      </c>
      <c r="L46">
        <v>22.1</v>
      </c>
      <c r="M46">
        <v>26.4</v>
      </c>
      <c r="N46">
        <v>26.8</v>
      </c>
      <c r="O46">
        <v>27.4</v>
      </c>
      <c r="P46">
        <v>29.4</v>
      </c>
      <c r="Q46">
        <v>23.7</v>
      </c>
      <c r="R46">
        <v>16.7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0.182</v>
      </c>
      <c r="W46">
        <f t="shared" si="0"/>
        <v>0.19</v>
      </c>
      <c r="X46">
        <f t="shared" si="0"/>
        <v>0.221</v>
      </c>
      <c r="Y46">
        <f t="shared" si="0"/>
        <v>0.26400000000000001</v>
      </c>
      <c r="Z46">
        <f t="shared" si="0"/>
        <v>0.26800000000000002</v>
      </c>
      <c r="AA46">
        <f t="shared" si="0"/>
        <v>0.27399999999999997</v>
      </c>
      <c r="AB46">
        <f t="shared" si="0"/>
        <v>0.29399999999999998</v>
      </c>
      <c r="AC46">
        <f t="shared" si="0"/>
        <v>0.23699999999999999</v>
      </c>
      <c r="AD46">
        <f t="shared" si="0"/>
        <v>0.16699999999999998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6</v>
      </c>
      <c r="F47">
        <v>23</v>
      </c>
      <c r="G47">
        <v>9</v>
      </c>
      <c r="H47">
        <v>10</v>
      </c>
      <c r="I47">
        <v>-5.9</v>
      </c>
      <c r="J47">
        <v>32.9</v>
      </c>
      <c r="K47">
        <v>22.2</v>
      </c>
      <c r="L47">
        <v>24.4</v>
      </c>
      <c r="M47">
        <v>28.2</v>
      </c>
      <c r="N47">
        <v>28.3</v>
      </c>
      <c r="O47">
        <v>31</v>
      </c>
      <c r="P47">
        <v>27.2</v>
      </c>
      <c r="Q47">
        <v>24.9</v>
      </c>
      <c r="R47">
        <v>17.100000000000001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0.32899999999999996</v>
      </c>
      <c r="W47">
        <f t="shared" si="0"/>
        <v>0.222</v>
      </c>
      <c r="X47">
        <f t="shared" si="0"/>
        <v>0.24399999999999999</v>
      </c>
      <c r="Y47">
        <f t="shared" ref="Y47:AD48" si="3">IF(M47&lt;0,"",M47/100)</f>
        <v>0.28199999999999997</v>
      </c>
      <c r="Z47">
        <f t="shared" si="3"/>
        <v>0.28300000000000003</v>
      </c>
      <c r="AA47">
        <f t="shared" si="3"/>
        <v>0.31</v>
      </c>
      <c r="AB47">
        <f t="shared" si="3"/>
        <v>0.27200000000000002</v>
      </c>
      <c r="AC47">
        <f t="shared" si="3"/>
        <v>0.249</v>
      </c>
      <c r="AD47">
        <f t="shared" si="3"/>
        <v>0.17100000000000001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6</v>
      </c>
      <c r="F48">
        <v>23</v>
      </c>
      <c r="G48">
        <v>9</v>
      </c>
      <c r="H48">
        <v>15</v>
      </c>
      <c r="I48">
        <v>23.9</v>
      </c>
      <c r="J48">
        <v>26.6</v>
      </c>
      <c r="K48">
        <v>25.4</v>
      </c>
      <c r="L48">
        <v>22.9</v>
      </c>
      <c r="M48">
        <v>23.3</v>
      </c>
      <c r="N48">
        <v>23</v>
      </c>
      <c r="O48">
        <v>19.600000000000001</v>
      </c>
      <c r="P48">
        <v>24.8</v>
      </c>
      <c r="Q48">
        <v>21.9</v>
      </c>
      <c r="R48">
        <v>15.1</v>
      </c>
      <c r="S48">
        <f t="shared" si="1"/>
        <v>30</v>
      </c>
      <c r="T48" t="s">
        <v>77</v>
      </c>
      <c r="U48">
        <f t="shared" si="2"/>
        <v>0.23899999999999999</v>
      </c>
      <c r="V48">
        <f t="shared" si="2"/>
        <v>0.26600000000000001</v>
      </c>
      <c r="W48">
        <f t="shared" si="2"/>
        <v>0.254</v>
      </c>
      <c r="X48">
        <f t="shared" si="2"/>
        <v>0.22899999999999998</v>
      </c>
      <c r="Y48">
        <f t="shared" si="3"/>
        <v>0.23300000000000001</v>
      </c>
      <c r="Z48">
        <f t="shared" si="3"/>
        <v>0.23</v>
      </c>
      <c r="AA48">
        <f t="shared" si="3"/>
        <v>0.19600000000000001</v>
      </c>
      <c r="AB48">
        <f t="shared" si="3"/>
        <v>0.248</v>
      </c>
      <c r="AC48">
        <f t="shared" si="3"/>
        <v>0.21899999999999997</v>
      </c>
      <c r="AD48">
        <f t="shared" si="3"/>
        <v>0.151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6</v>
      </c>
      <c r="F49">
        <v>23</v>
      </c>
      <c r="G49">
        <v>9</v>
      </c>
      <c r="H49">
        <v>20</v>
      </c>
      <c r="I49">
        <v>-5.9</v>
      </c>
      <c r="J49">
        <v>-5.9</v>
      </c>
      <c r="K49">
        <v>22</v>
      </c>
      <c r="L49">
        <v>22.1</v>
      </c>
      <c r="M49">
        <v>23.3</v>
      </c>
      <c r="N49">
        <v>23.4</v>
      </c>
      <c r="O49">
        <v>23.2</v>
      </c>
      <c r="P49">
        <v>25.2</v>
      </c>
      <c r="Q49">
        <v>21.4</v>
      </c>
      <c r="R49">
        <v>9.3000000000000007</v>
      </c>
      <c r="S49">
        <f t="shared" si="1"/>
        <v>31</v>
      </c>
      <c r="T49" t="s">
        <v>54</v>
      </c>
      <c r="U49" t="str">
        <f t="shared" ref="U49:U54" si="4">IF(I49&lt;0,"",I49/100)</f>
        <v/>
      </c>
      <c r="V49" t="str">
        <f t="shared" ref="V49:V54" si="5">IF(J49&lt;0,"",J49/100)</f>
        <v/>
      </c>
      <c r="W49">
        <f t="shared" ref="W49:W54" si="6">IF(K49&lt;0,"",K49/100)</f>
        <v>0.22</v>
      </c>
      <c r="X49">
        <f t="shared" ref="X49:X54" si="7">IF(L49&lt;0,"",L49/100)</f>
        <v>0.221</v>
      </c>
      <c r="Y49">
        <f t="shared" ref="Y49:Y54" si="8">IF(M49&lt;0,"",M49/100)</f>
        <v>0.23300000000000001</v>
      </c>
      <c r="Z49">
        <f t="shared" ref="Z49:Z54" si="9">IF(N49&lt;0,"",N49/100)</f>
        <v>0.23399999999999999</v>
      </c>
      <c r="AA49">
        <f t="shared" ref="AA49:AA54" si="10">IF(O49&lt;0,"",O49/100)</f>
        <v>0.23199999999999998</v>
      </c>
      <c r="AB49">
        <f t="shared" ref="AB49:AB54" si="11">IF(P49&lt;0,"",P49/100)</f>
        <v>0.252</v>
      </c>
      <c r="AC49">
        <f t="shared" ref="AC49:AC54" si="12">IF(Q49&lt;0,"",Q49/100)</f>
        <v>0.214</v>
      </c>
      <c r="AD49">
        <f t="shared" ref="AD49:AD54" si="13">IF(R49&lt;0,"",R49/100)</f>
        <v>9.3000000000000013E-2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6</v>
      </c>
      <c r="F50">
        <v>23</v>
      </c>
      <c r="G50">
        <v>9</v>
      </c>
      <c r="H50">
        <v>34</v>
      </c>
      <c r="I50">
        <v>-5.9</v>
      </c>
      <c r="J50">
        <v>24.3</v>
      </c>
      <c r="K50">
        <v>22</v>
      </c>
      <c r="L50">
        <v>24.3</v>
      </c>
      <c r="M50">
        <v>26.4</v>
      </c>
      <c r="N50">
        <v>27.3</v>
      </c>
      <c r="O50">
        <v>27.3</v>
      </c>
      <c r="P50">
        <v>24.6</v>
      </c>
      <c r="Q50">
        <v>18.899999999999999</v>
      </c>
      <c r="R50">
        <v>11.1</v>
      </c>
      <c r="S50">
        <f t="shared" si="1"/>
        <v>32</v>
      </c>
      <c r="T50" t="s">
        <v>78</v>
      </c>
      <c r="U50" t="str">
        <f t="shared" si="4"/>
        <v/>
      </c>
      <c r="V50">
        <f t="shared" si="5"/>
        <v>0.24299999999999999</v>
      </c>
      <c r="W50">
        <f t="shared" si="6"/>
        <v>0.22</v>
      </c>
      <c r="X50">
        <f t="shared" si="7"/>
        <v>0.24299999999999999</v>
      </c>
      <c r="Y50">
        <f t="shared" si="8"/>
        <v>0.26400000000000001</v>
      </c>
      <c r="Z50">
        <f t="shared" si="9"/>
        <v>0.27300000000000002</v>
      </c>
      <c r="AA50">
        <f t="shared" si="10"/>
        <v>0.27300000000000002</v>
      </c>
      <c r="AB50">
        <f t="shared" si="11"/>
        <v>0.24600000000000002</v>
      </c>
      <c r="AC50">
        <f t="shared" si="12"/>
        <v>0.18899999999999997</v>
      </c>
      <c r="AD50">
        <f t="shared" si="13"/>
        <v>0.111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6</v>
      </c>
      <c r="F51">
        <v>23</v>
      </c>
      <c r="G51">
        <v>9</v>
      </c>
      <c r="H51">
        <v>42</v>
      </c>
      <c r="I51">
        <v>-5.9</v>
      </c>
      <c r="J51">
        <v>21.7</v>
      </c>
      <c r="K51">
        <v>22.7</v>
      </c>
      <c r="L51">
        <v>27.2</v>
      </c>
      <c r="M51">
        <v>29.6</v>
      </c>
      <c r="N51">
        <v>31.1</v>
      </c>
      <c r="O51">
        <v>29</v>
      </c>
      <c r="P51">
        <v>27.1</v>
      </c>
      <c r="Q51">
        <v>20.9</v>
      </c>
      <c r="R51">
        <v>12.6</v>
      </c>
      <c r="S51">
        <f t="shared" si="1"/>
        <v>33</v>
      </c>
      <c r="T51" t="s">
        <v>79</v>
      </c>
      <c r="U51" t="str">
        <f t="shared" si="4"/>
        <v/>
      </c>
      <c r="V51">
        <f t="shared" si="5"/>
        <v>0.217</v>
      </c>
      <c r="W51">
        <f t="shared" si="6"/>
        <v>0.22699999999999998</v>
      </c>
      <c r="X51">
        <f t="shared" si="7"/>
        <v>0.27200000000000002</v>
      </c>
      <c r="Y51">
        <f t="shared" si="8"/>
        <v>0.29600000000000004</v>
      </c>
      <c r="Z51">
        <f t="shared" si="9"/>
        <v>0.311</v>
      </c>
      <c r="AA51">
        <f t="shared" si="10"/>
        <v>0.28999999999999998</v>
      </c>
      <c r="AB51">
        <f t="shared" si="11"/>
        <v>0.27100000000000002</v>
      </c>
      <c r="AC51">
        <f t="shared" si="12"/>
        <v>0.20899999999999999</v>
      </c>
      <c r="AD51">
        <f t="shared" si="13"/>
        <v>0.126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6</v>
      </c>
      <c r="F52">
        <v>23</v>
      </c>
      <c r="G52">
        <v>9</v>
      </c>
      <c r="H52">
        <v>47</v>
      </c>
      <c r="I52">
        <v>-5.9</v>
      </c>
      <c r="J52">
        <v>23</v>
      </c>
      <c r="K52">
        <v>23.9</v>
      </c>
      <c r="L52">
        <v>26.2</v>
      </c>
      <c r="M52">
        <v>26.9</v>
      </c>
      <c r="N52">
        <v>28.9</v>
      </c>
      <c r="O52">
        <v>29.9</v>
      </c>
      <c r="P52">
        <v>26</v>
      </c>
      <c r="Q52">
        <v>20.7</v>
      </c>
      <c r="R52">
        <v>13.9</v>
      </c>
      <c r="S52">
        <f t="shared" si="1"/>
        <v>34</v>
      </c>
      <c r="T52" t="s">
        <v>80</v>
      </c>
      <c r="U52" t="str">
        <f t="shared" si="4"/>
        <v/>
      </c>
      <c r="V52">
        <f t="shared" si="5"/>
        <v>0.23</v>
      </c>
      <c r="W52">
        <f t="shared" si="6"/>
        <v>0.23899999999999999</v>
      </c>
      <c r="X52">
        <f t="shared" si="7"/>
        <v>0.26200000000000001</v>
      </c>
      <c r="Y52">
        <f t="shared" si="8"/>
        <v>0.26899999999999996</v>
      </c>
      <c r="Z52">
        <f t="shared" si="9"/>
        <v>0.28899999999999998</v>
      </c>
      <c r="AA52">
        <f t="shared" si="10"/>
        <v>0.29899999999999999</v>
      </c>
      <c r="AB52">
        <f t="shared" si="11"/>
        <v>0.26</v>
      </c>
      <c r="AC52">
        <f t="shared" si="12"/>
        <v>0.20699999999999999</v>
      </c>
      <c r="AD52">
        <f t="shared" si="13"/>
        <v>0.13900000000000001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6</v>
      </c>
      <c r="F53">
        <v>23</v>
      </c>
      <c r="G53">
        <v>9</v>
      </c>
      <c r="H53">
        <v>51</v>
      </c>
      <c r="I53">
        <v>-5.9</v>
      </c>
      <c r="J53">
        <v>27.2</v>
      </c>
      <c r="K53">
        <v>25.7</v>
      </c>
      <c r="L53">
        <v>28.3</v>
      </c>
      <c r="M53">
        <v>30</v>
      </c>
      <c r="N53">
        <v>28.4</v>
      </c>
      <c r="O53">
        <v>24.7</v>
      </c>
      <c r="P53">
        <v>21.7</v>
      </c>
      <c r="Q53">
        <v>20.6</v>
      </c>
      <c r="R53">
        <v>11.5</v>
      </c>
      <c r="S53">
        <f t="shared" si="1"/>
        <v>35</v>
      </c>
      <c r="T53" t="s">
        <v>81</v>
      </c>
      <c r="U53" t="str">
        <f t="shared" si="4"/>
        <v/>
      </c>
      <c r="V53">
        <f t="shared" si="5"/>
        <v>0.27200000000000002</v>
      </c>
      <c r="W53">
        <f t="shared" si="6"/>
        <v>0.25700000000000001</v>
      </c>
      <c r="X53">
        <f t="shared" si="7"/>
        <v>0.28300000000000003</v>
      </c>
      <c r="Y53">
        <f t="shared" si="8"/>
        <v>0.3</v>
      </c>
      <c r="Z53">
        <f t="shared" si="9"/>
        <v>0.28399999999999997</v>
      </c>
      <c r="AA53">
        <f t="shared" si="10"/>
        <v>0.247</v>
      </c>
      <c r="AB53">
        <f t="shared" si="11"/>
        <v>0.217</v>
      </c>
      <c r="AC53">
        <f t="shared" si="12"/>
        <v>0.20600000000000002</v>
      </c>
      <c r="AD53">
        <f t="shared" si="13"/>
        <v>0.115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6</v>
      </c>
      <c r="F54">
        <v>23</v>
      </c>
      <c r="G54">
        <v>9</v>
      </c>
      <c r="H54">
        <v>56</v>
      </c>
      <c r="I54">
        <v>-5.9</v>
      </c>
      <c r="J54">
        <v>20.6</v>
      </c>
      <c r="K54">
        <v>26.1</v>
      </c>
      <c r="L54">
        <v>26.2</v>
      </c>
      <c r="M54">
        <v>21.8</v>
      </c>
      <c r="N54">
        <v>23.1</v>
      </c>
      <c r="O54">
        <v>20</v>
      </c>
      <c r="P54">
        <v>18.7</v>
      </c>
      <c r="Q54">
        <v>19.3</v>
      </c>
      <c r="R54">
        <v>11.4</v>
      </c>
      <c r="S54">
        <f t="shared" si="1"/>
        <v>36</v>
      </c>
      <c r="T54" t="s">
        <v>73</v>
      </c>
      <c r="U54" t="str">
        <f t="shared" si="4"/>
        <v/>
      </c>
      <c r="V54">
        <f t="shared" si="5"/>
        <v>0.20600000000000002</v>
      </c>
      <c r="W54">
        <f t="shared" si="6"/>
        <v>0.26100000000000001</v>
      </c>
      <c r="X54">
        <f t="shared" si="7"/>
        <v>0.26200000000000001</v>
      </c>
      <c r="Y54">
        <f t="shared" si="8"/>
        <v>0.218</v>
      </c>
      <c r="Z54">
        <f t="shared" si="9"/>
        <v>0.23100000000000001</v>
      </c>
      <c r="AA54">
        <f t="shared" si="10"/>
        <v>0.2</v>
      </c>
      <c r="AB54">
        <f t="shared" si="11"/>
        <v>0.187</v>
      </c>
      <c r="AC54">
        <f t="shared" si="12"/>
        <v>0.193</v>
      </c>
      <c r="AD54">
        <f t="shared" si="13"/>
        <v>0.114</v>
      </c>
    </row>
    <row r="57" spans="1:30" x14ac:dyDescent="0.25">
      <c r="A57" s="2">
        <v>41813</v>
      </c>
    </row>
    <row r="58" spans="1:30" x14ac:dyDescent="0.25">
      <c r="A58" t="s">
        <v>3</v>
      </c>
      <c r="B58">
        <v>6116</v>
      </c>
      <c r="C58" t="s">
        <v>4</v>
      </c>
      <c r="D58">
        <v>12788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6</v>
      </c>
      <c r="F75">
        <v>23</v>
      </c>
      <c r="G75">
        <v>8</v>
      </c>
      <c r="H75">
        <v>31</v>
      </c>
      <c r="I75">
        <v>19.100000000000001</v>
      </c>
      <c r="J75">
        <v>22.1</v>
      </c>
      <c r="K75">
        <v>19.899999999999999</v>
      </c>
      <c r="L75">
        <v>18.100000000000001</v>
      </c>
      <c r="M75">
        <v>16.100000000000001</v>
      </c>
      <c r="N75">
        <v>17.3</v>
      </c>
      <c r="O75">
        <v>18.2</v>
      </c>
      <c r="P75">
        <v>19.5</v>
      </c>
      <c r="Q75">
        <v>17</v>
      </c>
      <c r="R75">
        <v>12.1</v>
      </c>
      <c r="S75">
        <f>B75</f>
        <v>66</v>
      </c>
      <c r="T75" t="s">
        <v>50</v>
      </c>
      <c r="U75">
        <f>IF(I75&lt;0,"",I75/100)</f>
        <v>0.191</v>
      </c>
      <c r="V75">
        <f t="shared" ref="V75:AD104" si="14">IF(J75&lt;0,"",J75/100)</f>
        <v>0.221</v>
      </c>
      <c r="W75">
        <f t="shared" si="14"/>
        <v>0.19899999999999998</v>
      </c>
      <c r="X75">
        <f t="shared" si="14"/>
        <v>0.18100000000000002</v>
      </c>
      <c r="Y75">
        <f t="shared" si="14"/>
        <v>0.161</v>
      </c>
      <c r="Z75">
        <f t="shared" si="14"/>
        <v>0.17300000000000001</v>
      </c>
      <c r="AA75">
        <f t="shared" si="14"/>
        <v>0.182</v>
      </c>
      <c r="AB75">
        <f t="shared" si="14"/>
        <v>0.19500000000000001</v>
      </c>
      <c r="AC75">
        <f t="shared" si="14"/>
        <v>0.17</v>
      </c>
      <c r="AD75">
        <f t="shared" si="14"/>
        <v>0.121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6</v>
      </c>
      <c r="F76">
        <v>23</v>
      </c>
      <c r="G76">
        <v>8</v>
      </c>
      <c r="H76">
        <v>36</v>
      </c>
      <c r="I76">
        <v>19.100000000000001</v>
      </c>
      <c r="J76">
        <v>21.5</v>
      </c>
      <c r="K76">
        <v>23</v>
      </c>
      <c r="L76">
        <v>23</v>
      </c>
      <c r="M76">
        <v>23.2</v>
      </c>
      <c r="N76">
        <v>21.1</v>
      </c>
      <c r="O76">
        <v>17</v>
      </c>
      <c r="P76">
        <v>17.100000000000001</v>
      </c>
      <c r="Q76">
        <v>18.100000000000001</v>
      </c>
      <c r="R76">
        <v>12.7</v>
      </c>
      <c r="S76">
        <f t="shared" ref="S76:S103" si="15">B76</f>
        <v>65</v>
      </c>
      <c r="T76" t="s">
        <v>49</v>
      </c>
      <c r="U76">
        <f t="shared" ref="U76:U110" si="16">IF(I76&lt;0,"",I76/100)</f>
        <v>0.191</v>
      </c>
      <c r="V76">
        <f t="shared" si="14"/>
        <v>0.215</v>
      </c>
      <c r="W76">
        <f t="shared" si="14"/>
        <v>0.23</v>
      </c>
      <c r="X76">
        <f t="shared" si="14"/>
        <v>0.23</v>
      </c>
      <c r="Y76">
        <f t="shared" si="14"/>
        <v>0.23199999999999998</v>
      </c>
      <c r="Z76">
        <f t="shared" si="14"/>
        <v>0.21100000000000002</v>
      </c>
      <c r="AA76">
        <f t="shared" si="14"/>
        <v>0.17</v>
      </c>
      <c r="AB76">
        <f t="shared" si="14"/>
        <v>0.17100000000000001</v>
      </c>
      <c r="AC76">
        <f t="shared" si="14"/>
        <v>0.18100000000000002</v>
      </c>
      <c r="AD76">
        <f t="shared" si="14"/>
        <v>0.127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6</v>
      </c>
      <c r="F77">
        <v>23</v>
      </c>
      <c r="G77">
        <v>8</v>
      </c>
      <c r="H77">
        <v>41</v>
      </c>
      <c r="I77">
        <v>14.3</v>
      </c>
      <c r="J77">
        <v>13.5</v>
      </c>
      <c r="K77">
        <v>13</v>
      </c>
      <c r="L77">
        <v>12.4</v>
      </c>
      <c r="M77">
        <v>11.3</v>
      </c>
      <c r="N77">
        <v>11.5</v>
      </c>
      <c r="O77">
        <v>12.7</v>
      </c>
      <c r="P77">
        <v>17.3</v>
      </c>
      <c r="Q77">
        <v>17.2</v>
      </c>
      <c r="R77">
        <v>12.4</v>
      </c>
      <c r="S77">
        <f t="shared" si="15"/>
        <v>64</v>
      </c>
      <c r="T77" t="s">
        <v>48</v>
      </c>
      <c r="U77">
        <f t="shared" si="16"/>
        <v>0.14300000000000002</v>
      </c>
      <c r="V77">
        <f t="shared" si="14"/>
        <v>0.13500000000000001</v>
      </c>
      <c r="W77">
        <f t="shared" si="14"/>
        <v>0.13</v>
      </c>
      <c r="X77">
        <f t="shared" si="14"/>
        <v>0.124</v>
      </c>
      <c r="Y77">
        <f t="shared" si="14"/>
        <v>0.113</v>
      </c>
      <c r="Z77">
        <f t="shared" si="14"/>
        <v>0.115</v>
      </c>
      <c r="AA77">
        <f t="shared" si="14"/>
        <v>0.127</v>
      </c>
      <c r="AB77">
        <f t="shared" si="14"/>
        <v>0.17300000000000001</v>
      </c>
      <c r="AC77">
        <f t="shared" si="14"/>
        <v>0.17199999999999999</v>
      </c>
      <c r="AD77">
        <f t="shared" si="14"/>
        <v>0.124</v>
      </c>
    </row>
    <row r="78" spans="1:30" x14ac:dyDescent="0.25">
      <c r="A78">
        <v>452</v>
      </c>
      <c r="B78">
        <v>62</v>
      </c>
      <c r="C78">
        <v>0</v>
      </c>
      <c r="D78">
        <v>14</v>
      </c>
      <c r="E78">
        <v>6</v>
      </c>
      <c r="F78">
        <v>23</v>
      </c>
      <c r="G78">
        <v>8</v>
      </c>
      <c r="H78">
        <v>46</v>
      </c>
      <c r="I78">
        <v>23.3</v>
      </c>
      <c r="J78">
        <v>23.8</v>
      </c>
      <c r="K78">
        <v>24.9</v>
      </c>
      <c r="L78">
        <v>25.1</v>
      </c>
      <c r="M78">
        <v>24.7</v>
      </c>
      <c r="N78">
        <v>23.5</v>
      </c>
      <c r="O78">
        <v>22.9</v>
      </c>
      <c r="P78">
        <v>21.3</v>
      </c>
      <c r="Q78">
        <v>19.3</v>
      </c>
      <c r="R78">
        <v>13.2</v>
      </c>
      <c r="S78">
        <f t="shared" si="15"/>
        <v>62</v>
      </c>
      <c r="T78" t="s">
        <v>46</v>
      </c>
      <c r="U78">
        <f t="shared" si="16"/>
        <v>0.23300000000000001</v>
      </c>
      <c r="V78">
        <f t="shared" si="14"/>
        <v>0.23800000000000002</v>
      </c>
      <c r="W78">
        <f t="shared" si="14"/>
        <v>0.249</v>
      </c>
      <c r="X78">
        <f t="shared" si="14"/>
        <v>0.251</v>
      </c>
      <c r="Y78">
        <f t="shared" si="14"/>
        <v>0.247</v>
      </c>
      <c r="Z78">
        <f t="shared" si="14"/>
        <v>0.23499999999999999</v>
      </c>
      <c r="AA78">
        <f t="shared" si="14"/>
        <v>0.22899999999999998</v>
      </c>
      <c r="AB78">
        <f t="shared" si="14"/>
        <v>0.21299999999999999</v>
      </c>
      <c r="AC78">
        <f t="shared" si="14"/>
        <v>0.193</v>
      </c>
      <c r="AD78">
        <f t="shared" si="14"/>
        <v>0.13200000000000001</v>
      </c>
    </row>
    <row r="79" spans="1:30" x14ac:dyDescent="0.25">
      <c r="A79">
        <v>451</v>
      </c>
      <c r="B79">
        <v>61</v>
      </c>
      <c r="C79">
        <v>0</v>
      </c>
      <c r="D79">
        <v>14</v>
      </c>
      <c r="E79">
        <v>6</v>
      </c>
      <c r="F79">
        <v>23</v>
      </c>
      <c r="G79">
        <v>8</v>
      </c>
      <c r="H79">
        <v>51</v>
      </c>
      <c r="I79">
        <v>22.8</v>
      </c>
      <c r="J79">
        <v>22.1</v>
      </c>
      <c r="K79">
        <v>22.7</v>
      </c>
      <c r="L79">
        <v>23.4</v>
      </c>
      <c r="M79">
        <v>22.8</v>
      </c>
      <c r="N79">
        <v>19.2</v>
      </c>
      <c r="O79">
        <v>17.899999999999999</v>
      </c>
      <c r="P79">
        <v>19.899999999999999</v>
      </c>
      <c r="Q79">
        <v>18.600000000000001</v>
      </c>
      <c r="R79">
        <v>12.3</v>
      </c>
      <c r="S79">
        <f t="shared" si="15"/>
        <v>61</v>
      </c>
      <c r="T79" t="s">
        <v>45</v>
      </c>
      <c r="U79">
        <f t="shared" si="16"/>
        <v>0.22800000000000001</v>
      </c>
      <c r="V79">
        <f t="shared" si="14"/>
        <v>0.221</v>
      </c>
      <c r="W79">
        <f t="shared" si="14"/>
        <v>0.22699999999999998</v>
      </c>
      <c r="X79">
        <f t="shared" si="14"/>
        <v>0.23399999999999999</v>
      </c>
      <c r="Y79">
        <f t="shared" si="14"/>
        <v>0.22800000000000001</v>
      </c>
      <c r="Z79">
        <f t="shared" si="14"/>
        <v>0.192</v>
      </c>
      <c r="AA79">
        <f t="shared" si="14"/>
        <v>0.17899999999999999</v>
      </c>
      <c r="AB79">
        <f t="shared" si="14"/>
        <v>0.19899999999999998</v>
      </c>
      <c r="AC79">
        <f t="shared" si="14"/>
        <v>0.18600000000000003</v>
      </c>
      <c r="AD79">
        <f t="shared" si="14"/>
        <v>0.12300000000000001</v>
      </c>
    </row>
    <row r="80" spans="1:30" x14ac:dyDescent="0.25">
      <c r="A80">
        <v>450</v>
      </c>
      <c r="B80">
        <v>60</v>
      </c>
      <c r="C80">
        <v>0</v>
      </c>
      <c r="D80">
        <v>14</v>
      </c>
      <c r="E80">
        <v>6</v>
      </c>
      <c r="F80">
        <v>23</v>
      </c>
      <c r="G80">
        <v>9</v>
      </c>
      <c r="H80">
        <v>4</v>
      </c>
      <c r="I80">
        <v>-5</v>
      </c>
      <c r="J80">
        <v>21.5</v>
      </c>
      <c r="K80">
        <v>21.1</v>
      </c>
      <c r="L80">
        <v>21.3</v>
      </c>
      <c r="M80">
        <v>19.7</v>
      </c>
      <c r="N80">
        <v>13.8</v>
      </c>
      <c r="O80">
        <v>13.4</v>
      </c>
      <c r="P80">
        <v>16.5</v>
      </c>
      <c r="Q80">
        <v>16</v>
      </c>
      <c r="R80">
        <v>12.4</v>
      </c>
      <c r="S80">
        <f t="shared" si="15"/>
        <v>60</v>
      </c>
      <c r="T80" t="s">
        <v>94</v>
      </c>
      <c r="U80" t="str">
        <f t="shared" si="16"/>
        <v/>
      </c>
      <c r="V80">
        <f t="shared" si="14"/>
        <v>0.215</v>
      </c>
      <c r="W80">
        <f t="shared" si="14"/>
        <v>0.21100000000000002</v>
      </c>
      <c r="X80">
        <f t="shared" si="14"/>
        <v>0.21299999999999999</v>
      </c>
      <c r="Y80">
        <f t="shared" si="14"/>
        <v>0.19699999999999998</v>
      </c>
      <c r="Z80">
        <f t="shared" si="14"/>
        <v>0.13800000000000001</v>
      </c>
      <c r="AA80">
        <f t="shared" si="14"/>
        <v>0.13400000000000001</v>
      </c>
      <c r="AB80">
        <f t="shared" si="14"/>
        <v>0.16500000000000001</v>
      </c>
      <c r="AC80">
        <f t="shared" si="14"/>
        <v>0.16</v>
      </c>
      <c r="AD80">
        <f t="shared" si="14"/>
        <v>0.124</v>
      </c>
    </row>
    <row r="81" spans="1:30" x14ac:dyDescent="0.25">
      <c r="A81">
        <v>449</v>
      </c>
      <c r="B81">
        <v>59</v>
      </c>
      <c r="C81">
        <v>0</v>
      </c>
      <c r="D81">
        <v>14</v>
      </c>
      <c r="E81">
        <v>6</v>
      </c>
      <c r="F81">
        <v>23</v>
      </c>
      <c r="G81">
        <v>9</v>
      </c>
      <c r="H81">
        <v>0</v>
      </c>
      <c r="I81">
        <v>21.6</v>
      </c>
      <c r="J81">
        <v>21.9</v>
      </c>
      <c r="K81">
        <v>22.9</v>
      </c>
      <c r="L81">
        <v>23</v>
      </c>
      <c r="M81">
        <v>20.7</v>
      </c>
      <c r="N81">
        <v>16.899999999999999</v>
      </c>
      <c r="O81">
        <v>14.1</v>
      </c>
      <c r="P81">
        <v>17.7</v>
      </c>
      <c r="Q81">
        <v>17.7</v>
      </c>
      <c r="R81">
        <v>15.2</v>
      </c>
      <c r="S81">
        <f t="shared" si="15"/>
        <v>59</v>
      </c>
      <c r="T81" t="s">
        <v>93</v>
      </c>
      <c r="U81">
        <f t="shared" si="16"/>
        <v>0.21600000000000003</v>
      </c>
      <c r="V81">
        <f t="shared" si="14"/>
        <v>0.21899999999999997</v>
      </c>
      <c r="W81">
        <f t="shared" si="14"/>
        <v>0.22899999999999998</v>
      </c>
      <c r="X81">
        <f t="shared" si="14"/>
        <v>0.23</v>
      </c>
      <c r="Y81">
        <f t="shared" si="14"/>
        <v>0.20699999999999999</v>
      </c>
      <c r="Z81">
        <f t="shared" si="14"/>
        <v>0.16899999999999998</v>
      </c>
      <c r="AA81">
        <f t="shared" si="14"/>
        <v>0.14099999999999999</v>
      </c>
      <c r="AB81">
        <f t="shared" si="14"/>
        <v>0.17699999999999999</v>
      </c>
      <c r="AC81">
        <f t="shared" si="14"/>
        <v>0.17699999999999999</v>
      </c>
      <c r="AD81">
        <f t="shared" si="14"/>
        <v>0.152</v>
      </c>
    </row>
    <row r="82" spans="1:30" x14ac:dyDescent="0.25">
      <c r="A82">
        <v>448</v>
      </c>
      <c r="B82">
        <v>58</v>
      </c>
      <c r="C82">
        <v>0</v>
      </c>
      <c r="D82">
        <v>14</v>
      </c>
      <c r="E82">
        <v>6</v>
      </c>
      <c r="F82">
        <v>23</v>
      </c>
      <c r="G82">
        <v>9</v>
      </c>
      <c r="H82">
        <v>14</v>
      </c>
      <c r="I82">
        <v>20.6</v>
      </c>
      <c r="J82">
        <v>20.8</v>
      </c>
      <c r="K82">
        <v>24.7</v>
      </c>
      <c r="L82">
        <v>25.1</v>
      </c>
      <c r="M82">
        <v>24.6</v>
      </c>
      <c r="N82">
        <v>23.8</v>
      </c>
      <c r="O82">
        <v>21.4</v>
      </c>
      <c r="P82">
        <v>21.9</v>
      </c>
      <c r="Q82">
        <v>21.6</v>
      </c>
      <c r="R82">
        <v>18.2</v>
      </c>
      <c r="S82">
        <f t="shared" si="15"/>
        <v>58</v>
      </c>
      <c r="T82" t="s">
        <v>92</v>
      </c>
      <c r="U82">
        <f t="shared" si="16"/>
        <v>0.20600000000000002</v>
      </c>
      <c r="V82">
        <f t="shared" si="14"/>
        <v>0.20800000000000002</v>
      </c>
      <c r="W82">
        <f t="shared" si="14"/>
        <v>0.247</v>
      </c>
      <c r="X82">
        <f t="shared" si="14"/>
        <v>0.251</v>
      </c>
      <c r="Y82">
        <f t="shared" si="14"/>
        <v>0.24600000000000002</v>
      </c>
      <c r="Z82">
        <f t="shared" si="14"/>
        <v>0.23800000000000002</v>
      </c>
      <c r="AA82">
        <f t="shared" si="14"/>
        <v>0.214</v>
      </c>
      <c r="AB82">
        <f t="shared" si="14"/>
        <v>0.21899999999999997</v>
      </c>
      <c r="AC82">
        <f t="shared" si="14"/>
        <v>0.21600000000000003</v>
      </c>
      <c r="AD82">
        <f t="shared" si="14"/>
        <v>0.182</v>
      </c>
    </row>
    <row r="83" spans="1:30" x14ac:dyDescent="0.25">
      <c r="A83">
        <v>447</v>
      </c>
      <c r="B83">
        <v>57</v>
      </c>
      <c r="C83">
        <v>0</v>
      </c>
      <c r="D83">
        <v>14</v>
      </c>
      <c r="E83">
        <v>6</v>
      </c>
      <c r="F83">
        <v>23</v>
      </c>
      <c r="G83">
        <v>9</v>
      </c>
      <c r="H83">
        <v>11</v>
      </c>
      <c r="I83">
        <v>16.899999999999999</v>
      </c>
      <c r="J83">
        <v>20.8</v>
      </c>
      <c r="K83">
        <v>25.8</v>
      </c>
      <c r="L83">
        <v>26.3</v>
      </c>
      <c r="M83">
        <v>25.7</v>
      </c>
      <c r="N83">
        <v>26.6</v>
      </c>
      <c r="O83">
        <v>25.2</v>
      </c>
      <c r="P83">
        <v>22.9</v>
      </c>
      <c r="Q83">
        <v>22.9</v>
      </c>
      <c r="R83">
        <v>18</v>
      </c>
      <c r="S83">
        <f t="shared" si="15"/>
        <v>57</v>
      </c>
      <c r="T83" t="s">
        <v>91</v>
      </c>
      <c r="U83">
        <f t="shared" si="16"/>
        <v>0.16899999999999998</v>
      </c>
      <c r="V83">
        <f t="shared" si="14"/>
        <v>0.20800000000000002</v>
      </c>
      <c r="W83">
        <f t="shared" si="14"/>
        <v>0.25800000000000001</v>
      </c>
      <c r="X83">
        <f t="shared" si="14"/>
        <v>0.26300000000000001</v>
      </c>
      <c r="Y83">
        <f t="shared" si="14"/>
        <v>0.25700000000000001</v>
      </c>
      <c r="Z83">
        <f t="shared" si="14"/>
        <v>0.26600000000000001</v>
      </c>
      <c r="AA83">
        <f t="shared" si="14"/>
        <v>0.252</v>
      </c>
      <c r="AB83">
        <f t="shared" si="14"/>
        <v>0.22899999999999998</v>
      </c>
      <c r="AC83">
        <f t="shared" si="14"/>
        <v>0.22899999999999998</v>
      </c>
      <c r="AD83">
        <f t="shared" si="14"/>
        <v>0.18</v>
      </c>
    </row>
    <row r="84" spans="1:30" x14ac:dyDescent="0.25">
      <c r="A84">
        <v>446</v>
      </c>
      <c r="B84">
        <v>56</v>
      </c>
      <c r="C84">
        <v>0</v>
      </c>
      <c r="D84">
        <v>14</v>
      </c>
      <c r="E84">
        <v>6</v>
      </c>
      <c r="F84">
        <v>23</v>
      </c>
      <c r="G84">
        <v>9</v>
      </c>
      <c r="H84">
        <v>24</v>
      </c>
      <c r="I84">
        <v>19.899999999999999</v>
      </c>
      <c r="J84">
        <v>20.6</v>
      </c>
      <c r="K84">
        <v>19.3</v>
      </c>
      <c r="L84">
        <v>22.3</v>
      </c>
      <c r="M84">
        <v>23.1</v>
      </c>
      <c r="N84">
        <v>23</v>
      </c>
      <c r="O84">
        <v>23.7</v>
      </c>
      <c r="P84">
        <v>21.3</v>
      </c>
      <c r="Q84">
        <v>17.5</v>
      </c>
      <c r="R84">
        <v>14.8</v>
      </c>
      <c r="S84">
        <f t="shared" si="15"/>
        <v>56</v>
      </c>
      <c r="T84" t="s">
        <v>90</v>
      </c>
      <c r="U84">
        <f t="shared" si="16"/>
        <v>0.19899999999999998</v>
      </c>
      <c r="V84">
        <f t="shared" si="14"/>
        <v>0.20600000000000002</v>
      </c>
      <c r="W84">
        <f t="shared" si="14"/>
        <v>0.193</v>
      </c>
      <c r="X84">
        <f t="shared" si="14"/>
        <v>0.223</v>
      </c>
      <c r="Y84">
        <f t="shared" si="14"/>
        <v>0.23100000000000001</v>
      </c>
      <c r="Z84">
        <f t="shared" si="14"/>
        <v>0.23</v>
      </c>
      <c r="AA84">
        <f t="shared" si="14"/>
        <v>0.23699999999999999</v>
      </c>
      <c r="AB84">
        <f t="shared" si="14"/>
        <v>0.21299999999999999</v>
      </c>
      <c r="AC84">
        <f t="shared" si="14"/>
        <v>0.17499999999999999</v>
      </c>
      <c r="AD84">
        <f t="shared" si="14"/>
        <v>0.14800000000000002</v>
      </c>
    </row>
    <row r="85" spans="1:30" x14ac:dyDescent="0.25">
      <c r="A85">
        <v>445</v>
      </c>
      <c r="B85">
        <v>55</v>
      </c>
      <c r="C85">
        <v>0</v>
      </c>
      <c r="D85">
        <v>14</v>
      </c>
      <c r="E85">
        <v>6</v>
      </c>
      <c r="F85">
        <v>23</v>
      </c>
      <c r="G85">
        <v>9</v>
      </c>
      <c r="H85">
        <v>21</v>
      </c>
      <c r="I85">
        <v>17.3</v>
      </c>
      <c r="J85">
        <v>17.8</v>
      </c>
      <c r="K85">
        <v>22.3</v>
      </c>
      <c r="L85">
        <v>24.9</v>
      </c>
      <c r="M85">
        <v>24.6</v>
      </c>
      <c r="N85">
        <v>22.2</v>
      </c>
      <c r="O85">
        <v>22.2</v>
      </c>
      <c r="P85">
        <v>21.7</v>
      </c>
      <c r="Q85">
        <v>20.2</v>
      </c>
      <c r="R85">
        <v>16.2</v>
      </c>
      <c r="S85">
        <f t="shared" si="15"/>
        <v>55</v>
      </c>
      <c r="T85" t="s">
        <v>89</v>
      </c>
      <c r="U85">
        <f t="shared" si="16"/>
        <v>0.17300000000000001</v>
      </c>
      <c r="V85">
        <f t="shared" si="14"/>
        <v>0.17800000000000002</v>
      </c>
      <c r="W85">
        <f t="shared" si="14"/>
        <v>0.223</v>
      </c>
      <c r="X85">
        <f t="shared" si="14"/>
        <v>0.249</v>
      </c>
      <c r="Y85">
        <f t="shared" si="14"/>
        <v>0.24600000000000002</v>
      </c>
      <c r="Z85">
        <f t="shared" si="14"/>
        <v>0.222</v>
      </c>
      <c r="AA85">
        <f t="shared" si="14"/>
        <v>0.222</v>
      </c>
      <c r="AB85">
        <f t="shared" si="14"/>
        <v>0.217</v>
      </c>
      <c r="AC85">
        <f t="shared" si="14"/>
        <v>0.20199999999999999</v>
      </c>
      <c r="AD85">
        <f t="shared" si="14"/>
        <v>0.16200000000000001</v>
      </c>
    </row>
    <row r="86" spans="1:30" x14ac:dyDescent="0.25">
      <c r="A86">
        <v>444</v>
      </c>
      <c r="B86">
        <v>54</v>
      </c>
      <c r="C86">
        <v>0</v>
      </c>
      <c r="D86">
        <v>14</v>
      </c>
      <c r="E86">
        <v>6</v>
      </c>
      <c r="F86">
        <v>23</v>
      </c>
      <c r="G86">
        <v>9</v>
      </c>
      <c r="H86">
        <v>40</v>
      </c>
      <c r="I86">
        <v>15.7</v>
      </c>
      <c r="J86">
        <v>16.399999999999999</v>
      </c>
      <c r="K86">
        <v>18.399999999999999</v>
      </c>
      <c r="L86">
        <v>22.1</v>
      </c>
      <c r="M86">
        <v>23.2</v>
      </c>
      <c r="N86">
        <v>19.899999999999999</v>
      </c>
      <c r="O86">
        <v>18.600000000000001</v>
      </c>
      <c r="P86">
        <v>19</v>
      </c>
      <c r="Q86">
        <v>16.5</v>
      </c>
      <c r="R86">
        <v>12.7</v>
      </c>
      <c r="S86">
        <f t="shared" si="15"/>
        <v>54</v>
      </c>
      <c r="T86" t="s">
        <v>36</v>
      </c>
      <c r="U86">
        <f t="shared" si="16"/>
        <v>0.157</v>
      </c>
      <c r="V86">
        <f t="shared" si="14"/>
        <v>0.16399999999999998</v>
      </c>
      <c r="W86">
        <f t="shared" si="14"/>
        <v>0.184</v>
      </c>
      <c r="X86">
        <f t="shared" si="14"/>
        <v>0.221</v>
      </c>
      <c r="Y86">
        <f t="shared" si="14"/>
        <v>0.23199999999999998</v>
      </c>
      <c r="Z86">
        <f t="shared" si="14"/>
        <v>0.19899999999999998</v>
      </c>
      <c r="AA86">
        <f t="shared" si="14"/>
        <v>0.18600000000000003</v>
      </c>
      <c r="AB86">
        <f t="shared" si="14"/>
        <v>0.19</v>
      </c>
      <c r="AC86">
        <f t="shared" si="14"/>
        <v>0.16500000000000001</v>
      </c>
      <c r="AD86">
        <f t="shared" si="14"/>
        <v>0.127</v>
      </c>
    </row>
    <row r="87" spans="1:30" x14ac:dyDescent="0.25">
      <c r="A87">
        <v>443</v>
      </c>
      <c r="B87">
        <v>53</v>
      </c>
      <c r="C87">
        <v>0</v>
      </c>
      <c r="D87">
        <v>14</v>
      </c>
      <c r="E87">
        <v>6</v>
      </c>
      <c r="F87">
        <v>23</v>
      </c>
      <c r="G87">
        <v>9</v>
      </c>
      <c r="H87">
        <v>45</v>
      </c>
      <c r="I87">
        <v>22.4</v>
      </c>
      <c r="J87">
        <v>21.3</v>
      </c>
      <c r="K87">
        <v>22.5</v>
      </c>
      <c r="L87">
        <v>22.6</v>
      </c>
      <c r="M87">
        <v>23.6</v>
      </c>
      <c r="N87">
        <v>24</v>
      </c>
      <c r="O87">
        <v>24.3</v>
      </c>
      <c r="P87">
        <v>19.3</v>
      </c>
      <c r="Q87">
        <v>17.8</v>
      </c>
      <c r="R87">
        <v>14.7</v>
      </c>
      <c r="S87">
        <f t="shared" si="15"/>
        <v>53</v>
      </c>
      <c r="T87" t="s">
        <v>88</v>
      </c>
      <c r="U87">
        <f t="shared" si="16"/>
        <v>0.22399999999999998</v>
      </c>
      <c r="V87">
        <f t="shared" si="14"/>
        <v>0.21299999999999999</v>
      </c>
      <c r="W87">
        <f t="shared" si="14"/>
        <v>0.22500000000000001</v>
      </c>
      <c r="X87">
        <f t="shared" si="14"/>
        <v>0.22600000000000001</v>
      </c>
      <c r="Y87">
        <f t="shared" si="14"/>
        <v>0.23600000000000002</v>
      </c>
      <c r="Z87">
        <f t="shared" si="14"/>
        <v>0.24</v>
      </c>
      <c r="AA87">
        <f t="shared" si="14"/>
        <v>0.24299999999999999</v>
      </c>
      <c r="AB87">
        <f t="shared" si="14"/>
        <v>0.193</v>
      </c>
      <c r="AC87">
        <f t="shared" si="14"/>
        <v>0.17800000000000002</v>
      </c>
      <c r="AD87">
        <f t="shared" si="14"/>
        <v>0.14699999999999999</v>
      </c>
    </row>
    <row r="88" spans="1:30" x14ac:dyDescent="0.25">
      <c r="A88">
        <v>442</v>
      </c>
      <c r="B88">
        <v>52</v>
      </c>
      <c r="C88">
        <v>0</v>
      </c>
      <c r="D88">
        <v>14</v>
      </c>
      <c r="E88">
        <v>6</v>
      </c>
      <c r="F88">
        <v>23</v>
      </c>
      <c r="G88">
        <v>9</v>
      </c>
      <c r="H88">
        <v>41</v>
      </c>
      <c r="I88">
        <v>-5</v>
      </c>
      <c r="J88">
        <v>19.399999999999999</v>
      </c>
      <c r="K88">
        <v>22</v>
      </c>
      <c r="L88">
        <v>26.2</v>
      </c>
      <c r="M88">
        <v>25.2</v>
      </c>
      <c r="N88">
        <v>25.5</v>
      </c>
      <c r="O88">
        <v>24.7</v>
      </c>
      <c r="P88">
        <v>21</v>
      </c>
      <c r="Q88">
        <v>17</v>
      </c>
      <c r="R88">
        <v>13.6</v>
      </c>
      <c r="S88">
        <f t="shared" si="15"/>
        <v>52</v>
      </c>
      <c r="T88" t="s">
        <v>87</v>
      </c>
      <c r="U88" t="str">
        <f t="shared" si="16"/>
        <v/>
      </c>
      <c r="V88">
        <f t="shared" si="14"/>
        <v>0.19399999999999998</v>
      </c>
      <c r="W88">
        <f t="shared" si="14"/>
        <v>0.22</v>
      </c>
      <c r="X88">
        <f t="shared" si="14"/>
        <v>0.26200000000000001</v>
      </c>
      <c r="Y88">
        <f t="shared" si="14"/>
        <v>0.252</v>
      </c>
      <c r="Z88">
        <f t="shared" si="14"/>
        <v>0.255</v>
      </c>
      <c r="AA88">
        <f t="shared" si="14"/>
        <v>0.247</v>
      </c>
      <c r="AB88">
        <f t="shared" si="14"/>
        <v>0.21</v>
      </c>
      <c r="AC88">
        <f t="shared" si="14"/>
        <v>0.17</v>
      </c>
      <c r="AD88">
        <f t="shared" si="14"/>
        <v>0.13600000000000001</v>
      </c>
    </row>
    <row r="89" spans="1:30" x14ac:dyDescent="0.25">
      <c r="A89">
        <v>441</v>
      </c>
      <c r="B89">
        <v>51</v>
      </c>
      <c r="C89">
        <v>0</v>
      </c>
      <c r="D89">
        <v>14</v>
      </c>
      <c r="E89">
        <v>6</v>
      </c>
      <c r="F89">
        <v>23</v>
      </c>
      <c r="G89">
        <v>9</v>
      </c>
      <c r="H89">
        <v>54</v>
      </c>
      <c r="I89">
        <v>17.100000000000001</v>
      </c>
      <c r="J89">
        <v>17.899999999999999</v>
      </c>
      <c r="K89">
        <v>23.2</v>
      </c>
      <c r="L89">
        <v>24.2</v>
      </c>
      <c r="M89">
        <v>25.4</v>
      </c>
      <c r="N89">
        <v>22.7</v>
      </c>
      <c r="O89">
        <v>23.6</v>
      </c>
      <c r="P89">
        <v>22.1</v>
      </c>
      <c r="Q89">
        <v>21.5</v>
      </c>
      <c r="R89">
        <v>18.2</v>
      </c>
      <c r="S89">
        <f t="shared" si="15"/>
        <v>51</v>
      </c>
      <c r="T89" t="s">
        <v>86</v>
      </c>
      <c r="U89">
        <f t="shared" si="16"/>
        <v>0.17100000000000001</v>
      </c>
      <c r="V89">
        <f t="shared" si="14"/>
        <v>0.17899999999999999</v>
      </c>
      <c r="W89">
        <f t="shared" si="14"/>
        <v>0.23199999999999998</v>
      </c>
      <c r="X89">
        <f t="shared" si="14"/>
        <v>0.24199999999999999</v>
      </c>
      <c r="Y89">
        <f t="shared" si="14"/>
        <v>0.254</v>
      </c>
      <c r="Z89">
        <f t="shared" si="14"/>
        <v>0.22699999999999998</v>
      </c>
      <c r="AA89">
        <f t="shared" si="14"/>
        <v>0.23600000000000002</v>
      </c>
      <c r="AB89">
        <f t="shared" si="14"/>
        <v>0.221</v>
      </c>
      <c r="AC89">
        <f t="shared" si="14"/>
        <v>0.215</v>
      </c>
      <c r="AD89">
        <f t="shared" si="14"/>
        <v>0.182</v>
      </c>
    </row>
    <row r="90" spans="1:30" x14ac:dyDescent="0.25">
      <c r="A90">
        <v>440</v>
      </c>
      <c r="B90">
        <v>50</v>
      </c>
      <c r="C90">
        <v>0</v>
      </c>
      <c r="D90">
        <v>14</v>
      </c>
      <c r="E90">
        <v>6</v>
      </c>
      <c r="F90">
        <v>23</v>
      </c>
      <c r="G90">
        <v>9</v>
      </c>
      <c r="H90">
        <v>51</v>
      </c>
      <c r="I90">
        <v>21</v>
      </c>
      <c r="J90">
        <v>20.399999999999999</v>
      </c>
      <c r="K90">
        <v>20.3</v>
      </c>
      <c r="L90">
        <v>26.2</v>
      </c>
      <c r="M90">
        <v>25.9</v>
      </c>
      <c r="N90">
        <v>23.4</v>
      </c>
      <c r="O90">
        <v>24.8</v>
      </c>
      <c r="P90">
        <v>23.1</v>
      </c>
      <c r="Q90">
        <v>22.2</v>
      </c>
      <c r="R90">
        <v>18.399999999999999</v>
      </c>
      <c r="S90">
        <f t="shared" si="15"/>
        <v>50</v>
      </c>
      <c r="T90" t="s">
        <v>39</v>
      </c>
      <c r="U90">
        <f t="shared" si="16"/>
        <v>0.21</v>
      </c>
      <c r="V90">
        <f t="shared" si="14"/>
        <v>0.20399999999999999</v>
      </c>
      <c r="W90">
        <f t="shared" si="14"/>
        <v>0.20300000000000001</v>
      </c>
      <c r="X90">
        <f t="shared" si="14"/>
        <v>0.26200000000000001</v>
      </c>
      <c r="Y90">
        <f t="shared" si="14"/>
        <v>0.25900000000000001</v>
      </c>
      <c r="Z90">
        <f t="shared" si="14"/>
        <v>0.23399999999999999</v>
      </c>
      <c r="AA90">
        <f t="shared" si="14"/>
        <v>0.248</v>
      </c>
      <c r="AB90">
        <f t="shared" si="14"/>
        <v>0.23100000000000001</v>
      </c>
      <c r="AC90">
        <f t="shared" si="14"/>
        <v>0.222</v>
      </c>
      <c r="AD90">
        <f t="shared" si="14"/>
        <v>0.184</v>
      </c>
    </row>
    <row r="91" spans="1:30" x14ac:dyDescent="0.25">
      <c r="A91">
        <v>439</v>
      </c>
      <c r="B91">
        <v>49</v>
      </c>
      <c r="C91">
        <v>0</v>
      </c>
      <c r="D91">
        <v>14</v>
      </c>
      <c r="E91">
        <v>6</v>
      </c>
      <c r="F91">
        <v>23</v>
      </c>
      <c r="G91">
        <v>10</v>
      </c>
      <c r="H91">
        <v>4</v>
      </c>
      <c r="I91">
        <v>23.9</v>
      </c>
      <c r="J91">
        <v>23.8</v>
      </c>
      <c r="K91">
        <v>24.8</v>
      </c>
      <c r="L91">
        <v>27</v>
      </c>
      <c r="M91">
        <v>24.2</v>
      </c>
      <c r="N91">
        <v>16.399999999999999</v>
      </c>
      <c r="O91">
        <v>14.8</v>
      </c>
      <c r="P91">
        <v>17.899999999999999</v>
      </c>
      <c r="Q91">
        <v>20.3</v>
      </c>
      <c r="R91">
        <v>15.4</v>
      </c>
      <c r="S91">
        <f t="shared" si="15"/>
        <v>49</v>
      </c>
      <c r="T91" t="s">
        <v>72</v>
      </c>
      <c r="U91">
        <f t="shared" si="16"/>
        <v>0.23899999999999999</v>
      </c>
      <c r="V91">
        <f t="shared" si="14"/>
        <v>0.23800000000000002</v>
      </c>
      <c r="W91">
        <f t="shared" si="14"/>
        <v>0.248</v>
      </c>
      <c r="X91">
        <f t="shared" si="14"/>
        <v>0.27</v>
      </c>
      <c r="Y91">
        <f t="shared" si="14"/>
        <v>0.24199999999999999</v>
      </c>
      <c r="Z91">
        <f t="shared" si="14"/>
        <v>0.16399999999999998</v>
      </c>
      <c r="AA91">
        <f t="shared" si="14"/>
        <v>0.14800000000000002</v>
      </c>
      <c r="AB91">
        <f t="shared" si="14"/>
        <v>0.17899999999999999</v>
      </c>
      <c r="AC91">
        <f t="shared" si="14"/>
        <v>0.20300000000000001</v>
      </c>
      <c r="AD91">
        <f t="shared" si="14"/>
        <v>0.154</v>
      </c>
    </row>
    <row r="92" spans="1:30" x14ac:dyDescent="0.25">
      <c r="A92">
        <v>438</v>
      </c>
      <c r="B92">
        <v>48</v>
      </c>
      <c r="C92">
        <v>0</v>
      </c>
      <c r="D92">
        <v>14</v>
      </c>
      <c r="E92">
        <v>6</v>
      </c>
      <c r="F92">
        <v>23</v>
      </c>
      <c r="G92">
        <v>10</v>
      </c>
      <c r="H92">
        <v>12</v>
      </c>
      <c r="I92">
        <v>22.2</v>
      </c>
      <c r="J92">
        <v>23.6</v>
      </c>
      <c r="K92">
        <v>26.6</v>
      </c>
      <c r="L92">
        <v>27.4</v>
      </c>
      <c r="M92">
        <v>25.2</v>
      </c>
      <c r="N92">
        <v>22.8</v>
      </c>
      <c r="O92">
        <v>20.100000000000001</v>
      </c>
      <c r="P92">
        <v>22.4</v>
      </c>
      <c r="Q92">
        <v>19</v>
      </c>
      <c r="R92">
        <v>14.1</v>
      </c>
      <c r="S92">
        <f t="shared" si="15"/>
        <v>48</v>
      </c>
      <c r="T92" t="s">
        <v>38</v>
      </c>
      <c r="U92">
        <f t="shared" si="16"/>
        <v>0.222</v>
      </c>
      <c r="V92">
        <f t="shared" si="14"/>
        <v>0.23600000000000002</v>
      </c>
      <c r="W92">
        <f t="shared" si="14"/>
        <v>0.26600000000000001</v>
      </c>
      <c r="X92">
        <f t="shared" si="14"/>
        <v>0.27399999999999997</v>
      </c>
      <c r="Y92">
        <f t="shared" si="14"/>
        <v>0.252</v>
      </c>
      <c r="Z92">
        <f t="shared" si="14"/>
        <v>0.22800000000000001</v>
      </c>
      <c r="AA92">
        <f t="shared" si="14"/>
        <v>0.20100000000000001</v>
      </c>
      <c r="AB92">
        <f t="shared" si="14"/>
        <v>0.22399999999999998</v>
      </c>
      <c r="AC92">
        <f t="shared" si="14"/>
        <v>0.19</v>
      </c>
      <c r="AD92">
        <f t="shared" si="14"/>
        <v>0.14099999999999999</v>
      </c>
    </row>
    <row r="93" spans="1:30" x14ac:dyDescent="0.25">
      <c r="A93">
        <v>437</v>
      </c>
      <c r="B93">
        <v>47</v>
      </c>
      <c r="C93">
        <v>0</v>
      </c>
      <c r="D93">
        <v>14</v>
      </c>
      <c r="E93">
        <v>6</v>
      </c>
      <c r="F93">
        <v>23</v>
      </c>
      <c r="G93">
        <v>10</v>
      </c>
      <c r="H93">
        <v>17</v>
      </c>
      <c r="I93">
        <v>20.8</v>
      </c>
      <c r="J93">
        <v>20.100000000000001</v>
      </c>
      <c r="K93">
        <v>23.1</v>
      </c>
      <c r="L93">
        <v>24.6</v>
      </c>
      <c r="M93">
        <v>23.9</v>
      </c>
      <c r="N93">
        <v>23.7</v>
      </c>
      <c r="O93">
        <v>23.7</v>
      </c>
      <c r="P93">
        <v>20.9</v>
      </c>
      <c r="Q93">
        <v>23.4</v>
      </c>
      <c r="R93">
        <v>19.399999999999999</v>
      </c>
      <c r="S93">
        <f t="shared" si="15"/>
        <v>47</v>
      </c>
      <c r="T93" t="s">
        <v>85</v>
      </c>
      <c r="U93">
        <f t="shared" si="16"/>
        <v>0.20800000000000002</v>
      </c>
      <c r="V93">
        <f t="shared" si="14"/>
        <v>0.20100000000000001</v>
      </c>
      <c r="W93">
        <f t="shared" si="14"/>
        <v>0.23100000000000001</v>
      </c>
      <c r="X93">
        <f t="shared" si="14"/>
        <v>0.24600000000000002</v>
      </c>
      <c r="Y93">
        <f t="shared" si="14"/>
        <v>0.23899999999999999</v>
      </c>
      <c r="Z93">
        <f t="shared" si="14"/>
        <v>0.23699999999999999</v>
      </c>
      <c r="AA93">
        <f t="shared" si="14"/>
        <v>0.23699999999999999</v>
      </c>
      <c r="AB93">
        <f t="shared" si="14"/>
        <v>0.20899999999999999</v>
      </c>
      <c r="AC93">
        <f t="shared" si="14"/>
        <v>0.23399999999999999</v>
      </c>
      <c r="AD93">
        <f t="shared" si="14"/>
        <v>0.19399999999999998</v>
      </c>
    </row>
    <row r="94" spans="1:30" x14ac:dyDescent="0.25">
      <c r="A94">
        <v>436</v>
      </c>
      <c r="B94">
        <v>46</v>
      </c>
      <c r="C94">
        <v>0</v>
      </c>
      <c r="D94">
        <v>14</v>
      </c>
      <c r="E94">
        <v>6</v>
      </c>
      <c r="F94">
        <v>23</v>
      </c>
      <c r="G94">
        <v>10</v>
      </c>
      <c r="H94">
        <v>21</v>
      </c>
      <c r="I94">
        <v>-5</v>
      </c>
      <c r="J94">
        <v>23</v>
      </c>
      <c r="K94">
        <v>26.1</v>
      </c>
      <c r="L94">
        <v>25.6</v>
      </c>
      <c r="M94">
        <v>26.7</v>
      </c>
      <c r="N94">
        <v>26.7</v>
      </c>
      <c r="O94">
        <v>28.5</v>
      </c>
      <c r="P94">
        <v>22.8</v>
      </c>
      <c r="Q94">
        <v>20.9</v>
      </c>
      <c r="R94">
        <v>17</v>
      </c>
      <c r="S94">
        <f t="shared" si="15"/>
        <v>46</v>
      </c>
      <c r="T94" t="s">
        <v>84</v>
      </c>
      <c r="U94" t="str">
        <f t="shared" si="16"/>
        <v/>
      </c>
      <c r="V94">
        <f t="shared" si="14"/>
        <v>0.23</v>
      </c>
      <c r="W94">
        <f t="shared" si="14"/>
        <v>0.26100000000000001</v>
      </c>
      <c r="X94">
        <f t="shared" si="14"/>
        <v>0.25600000000000001</v>
      </c>
      <c r="Y94">
        <f t="shared" si="14"/>
        <v>0.26700000000000002</v>
      </c>
      <c r="Z94">
        <f t="shared" si="14"/>
        <v>0.26700000000000002</v>
      </c>
      <c r="AA94">
        <f t="shared" si="14"/>
        <v>0.28499999999999998</v>
      </c>
      <c r="AB94">
        <f t="shared" si="14"/>
        <v>0.22800000000000001</v>
      </c>
      <c r="AC94">
        <f t="shared" si="14"/>
        <v>0.20899999999999999</v>
      </c>
      <c r="AD94">
        <f t="shared" si="14"/>
        <v>0.17</v>
      </c>
    </row>
    <row r="95" spans="1:30" x14ac:dyDescent="0.25">
      <c r="A95">
        <v>435</v>
      </c>
      <c r="B95">
        <v>45</v>
      </c>
      <c r="C95">
        <v>0</v>
      </c>
      <c r="D95">
        <v>14</v>
      </c>
      <c r="E95">
        <v>6</v>
      </c>
      <c r="F95">
        <v>23</v>
      </c>
      <c r="G95">
        <v>10</v>
      </c>
      <c r="H95">
        <v>26</v>
      </c>
      <c r="I95">
        <v>-5</v>
      </c>
      <c r="J95">
        <v>24.7</v>
      </c>
      <c r="K95">
        <v>24.8</v>
      </c>
      <c r="L95">
        <v>26.1</v>
      </c>
      <c r="M95">
        <v>25.6</v>
      </c>
      <c r="N95">
        <v>26.7</v>
      </c>
      <c r="O95">
        <v>26.8</v>
      </c>
      <c r="P95">
        <v>24.5</v>
      </c>
      <c r="Q95">
        <v>22.3</v>
      </c>
      <c r="R95">
        <v>18.2</v>
      </c>
      <c r="S95">
        <f t="shared" si="15"/>
        <v>45</v>
      </c>
      <c r="T95" t="s">
        <v>42</v>
      </c>
      <c r="U95" t="str">
        <f t="shared" si="16"/>
        <v/>
      </c>
      <c r="V95">
        <f t="shared" si="14"/>
        <v>0.247</v>
      </c>
      <c r="W95">
        <f t="shared" si="14"/>
        <v>0.248</v>
      </c>
      <c r="X95">
        <f t="shared" si="14"/>
        <v>0.26100000000000001</v>
      </c>
      <c r="Y95">
        <f t="shared" si="14"/>
        <v>0.25600000000000001</v>
      </c>
      <c r="Z95">
        <f t="shared" si="14"/>
        <v>0.26700000000000002</v>
      </c>
      <c r="AA95">
        <f t="shared" si="14"/>
        <v>0.26800000000000002</v>
      </c>
      <c r="AB95">
        <f t="shared" si="14"/>
        <v>0.245</v>
      </c>
      <c r="AC95">
        <f t="shared" si="14"/>
        <v>0.223</v>
      </c>
      <c r="AD95">
        <f t="shared" si="14"/>
        <v>0.182</v>
      </c>
    </row>
    <row r="96" spans="1:30" x14ac:dyDescent="0.25">
      <c r="A96">
        <v>434</v>
      </c>
      <c r="B96">
        <v>44</v>
      </c>
      <c r="C96">
        <v>0</v>
      </c>
      <c r="D96">
        <v>14</v>
      </c>
      <c r="E96">
        <v>6</v>
      </c>
      <c r="F96">
        <v>23</v>
      </c>
      <c r="G96">
        <v>10</v>
      </c>
      <c r="H96">
        <v>30</v>
      </c>
      <c r="I96">
        <v>-5</v>
      </c>
      <c r="J96">
        <v>18.8</v>
      </c>
      <c r="K96">
        <v>25.8</v>
      </c>
      <c r="L96">
        <v>28</v>
      </c>
      <c r="M96">
        <v>26.3</v>
      </c>
      <c r="N96">
        <v>23</v>
      </c>
      <c r="O96">
        <v>19.2</v>
      </c>
      <c r="P96">
        <v>18.8</v>
      </c>
      <c r="Q96">
        <v>19.100000000000001</v>
      </c>
      <c r="R96">
        <v>14.8</v>
      </c>
      <c r="S96">
        <f t="shared" si="15"/>
        <v>44</v>
      </c>
      <c r="T96" t="s">
        <v>83</v>
      </c>
      <c r="U96" t="str">
        <f t="shared" si="16"/>
        <v/>
      </c>
      <c r="V96">
        <f t="shared" si="14"/>
        <v>0.188</v>
      </c>
      <c r="W96">
        <f t="shared" si="14"/>
        <v>0.25800000000000001</v>
      </c>
      <c r="X96">
        <f t="shared" si="14"/>
        <v>0.28000000000000003</v>
      </c>
      <c r="Y96">
        <f t="shared" si="14"/>
        <v>0.26300000000000001</v>
      </c>
      <c r="Z96">
        <f t="shared" si="14"/>
        <v>0.23</v>
      </c>
      <c r="AA96">
        <f t="shared" si="14"/>
        <v>0.192</v>
      </c>
      <c r="AB96">
        <f t="shared" si="14"/>
        <v>0.188</v>
      </c>
      <c r="AC96">
        <f t="shared" si="14"/>
        <v>0.191</v>
      </c>
      <c r="AD96">
        <f t="shared" si="14"/>
        <v>0.14800000000000002</v>
      </c>
    </row>
    <row r="97" spans="1:30" x14ac:dyDescent="0.25">
      <c r="A97">
        <v>433</v>
      </c>
      <c r="B97">
        <v>43</v>
      </c>
      <c r="C97">
        <v>0</v>
      </c>
      <c r="D97">
        <v>14</v>
      </c>
      <c r="E97">
        <v>6</v>
      </c>
      <c r="F97">
        <v>23</v>
      </c>
      <c r="G97">
        <v>10</v>
      </c>
      <c r="H97">
        <v>35</v>
      </c>
      <c r="I97">
        <v>18</v>
      </c>
      <c r="J97">
        <v>17.600000000000001</v>
      </c>
      <c r="K97">
        <v>18</v>
      </c>
      <c r="L97">
        <v>23.2</v>
      </c>
      <c r="M97">
        <v>26.6</v>
      </c>
      <c r="N97">
        <v>24.8</v>
      </c>
      <c r="O97">
        <v>23.8</v>
      </c>
      <c r="P97">
        <v>22.4</v>
      </c>
      <c r="Q97">
        <v>20.7</v>
      </c>
      <c r="R97">
        <v>17.600000000000001</v>
      </c>
      <c r="S97">
        <f t="shared" si="15"/>
        <v>43</v>
      </c>
      <c r="T97" t="s">
        <v>82</v>
      </c>
      <c r="U97">
        <f t="shared" si="16"/>
        <v>0.18</v>
      </c>
      <c r="V97">
        <f t="shared" si="14"/>
        <v>0.17600000000000002</v>
      </c>
      <c r="W97">
        <f t="shared" si="14"/>
        <v>0.18</v>
      </c>
      <c r="X97">
        <f t="shared" si="14"/>
        <v>0.23199999999999998</v>
      </c>
      <c r="Y97">
        <f t="shared" si="14"/>
        <v>0.26600000000000001</v>
      </c>
      <c r="Z97">
        <f t="shared" si="14"/>
        <v>0.248</v>
      </c>
      <c r="AA97">
        <f t="shared" si="14"/>
        <v>0.23800000000000002</v>
      </c>
      <c r="AB97">
        <f t="shared" si="14"/>
        <v>0.22399999999999998</v>
      </c>
      <c r="AC97">
        <f t="shared" si="14"/>
        <v>0.20699999999999999</v>
      </c>
      <c r="AD97">
        <f t="shared" si="14"/>
        <v>0.17600000000000002</v>
      </c>
    </row>
    <row r="98" spans="1:30" x14ac:dyDescent="0.25">
      <c r="A98">
        <v>432</v>
      </c>
      <c r="B98">
        <v>42</v>
      </c>
      <c r="C98">
        <v>0</v>
      </c>
      <c r="D98">
        <v>14</v>
      </c>
      <c r="E98">
        <v>6</v>
      </c>
      <c r="F98">
        <v>23</v>
      </c>
      <c r="G98">
        <v>10</v>
      </c>
      <c r="H98">
        <v>40</v>
      </c>
      <c r="I98">
        <v>-5</v>
      </c>
      <c r="J98">
        <v>22.8</v>
      </c>
      <c r="K98">
        <v>17.399999999999999</v>
      </c>
      <c r="L98">
        <v>17</v>
      </c>
      <c r="M98">
        <v>15</v>
      </c>
      <c r="N98">
        <v>13.9</v>
      </c>
      <c r="O98">
        <v>13.5</v>
      </c>
      <c r="P98">
        <v>14.3</v>
      </c>
      <c r="Q98">
        <v>16.5</v>
      </c>
      <c r="R98">
        <v>12.5</v>
      </c>
      <c r="S98">
        <f t="shared" si="15"/>
        <v>42</v>
      </c>
      <c r="T98" t="s">
        <v>44</v>
      </c>
      <c r="U98" t="str">
        <f t="shared" si="16"/>
        <v/>
      </c>
      <c r="V98">
        <f t="shared" si="14"/>
        <v>0.22800000000000001</v>
      </c>
      <c r="W98">
        <f t="shared" si="14"/>
        <v>0.17399999999999999</v>
      </c>
      <c r="X98">
        <f t="shared" si="14"/>
        <v>0.17</v>
      </c>
      <c r="Y98">
        <f t="shared" si="14"/>
        <v>0.15</v>
      </c>
      <c r="Z98">
        <f t="shared" si="14"/>
        <v>0.13900000000000001</v>
      </c>
      <c r="AA98">
        <f t="shared" si="14"/>
        <v>0.13500000000000001</v>
      </c>
      <c r="AB98">
        <f t="shared" si="14"/>
        <v>0.14300000000000002</v>
      </c>
      <c r="AC98">
        <f t="shared" si="14"/>
        <v>0.16500000000000001</v>
      </c>
      <c r="AD98">
        <f t="shared" si="14"/>
        <v>0.125</v>
      </c>
    </row>
    <row r="99" spans="1:30" x14ac:dyDescent="0.25">
      <c r="A99">
        <v>431</v>
      </c>
      <c r="B99">
        <v>41</v>
      </c>
      <c r="C99">
        <v>0</v>
      </c>
      <c r="D99">
        <v>14</v>
      </c>
      <c r="E99">
        <v>6</v>
      </c>
      <c r="F99">
        <v>23</v>
      </c>
      <c r="G99">
        <v>10</v>
      </c>
      <c r="H99">
        <v>44</v>
      </c>
      <c r="I99">
        <v>25.6</v>
      </c>
      <c r="J99">
        <v>22.9</v>
      </c>
      <c r="K99">
        <v>19</v>
      </c>
      <c r="L99">
        <v>17.5</v>
      </c>
      <c r="M99">
        <v>17.2</v>
      </c>
      <c r="N99">
        <v>17</v>
      </c>
      <c r="O99">
        <v>16.2</v>
      </c>
      <c r="P99">
        <v>16.3</v>
      </c>
      <c r="Q99">
        <v>16</v>
      </c>
      <c r="R99">
        <v>11.7</v>
      </c>
      <c r="S99">
        <f t="shared" si="15"/>
        <v>41</v>
      </c>
      <c r="T99" t="s">
        <v>43</v>
      </c>
      <c r="U99">
        <f t="shared" si="16"/>
        <v>0.25600000000000001</v>
      </c>
      <c r="V99">
        <f t="shared" si="14"/>
        <v>0.22899999999999998</v>
      </c>
      <c r="W99">
        <f t="shared" si="14"/>
        <v>0.19</v>
      </c>
      <c r="X99">
        <f t="shared" si="14"/>
        <v>0.17499999999999999</v>
      </c>
      <c r="Y99">
        <f t="shared" si="14"/>
        <v>0.17199999999999999</v>
      </c>
      <c r="Z99">
        <f t="shared" si="14"/>
        <v>0.17</v>
      </c>
      <c r="AA99">
        <f t="shared" si="14"/>
        <v>0.16200000000000001</v>
      </c>
      <c r="AB99">
        <f t="shared" si="14"/>
        <v>0.16300000000000001</v>
      </c>
      <c r="AC99">
        <f t="shared" si="14"/>
        <v>0.16</v>
      </c>
      <c r="AD99">
        <f t="shared" si="14"/>
        <v>0.11699999999999999</v>
      </c>
    </row>
    <row r="100" spans="1:30" x14ac:dyDescent="0.25">
      <c r="A100">
        <v>430</v>
      </c>
      <c r="B100">
        <v>40</v>
      </c>
      <c r="C100">
        <v>0</v>
      </c>
      <c r="D100">
        <v>14</v>
      </c>
      <c r="E100">
        <v>6</v>
      </c>
      <c r="F100">
        <v>23</v>
      </c>
      <c r="G100">
        <v>10</v>
      </c>
      <c r="H100">
        <v>41</v>
      </c>
      <c r="I100">
        <v>24.3</v>
      </c>
      <c r="J100">
        <v>24</v>
      </c>
      <c r="K100">
        <v>25.3</v>
      </c>
      <c r="L100">
        <v>20.8</v>
      </c>
      <c r="M100">
        <v>19.899999999999999</v>
      </c>
      <c r="N100">
        <v>21.4</v>
      </c>
      <c r="O100">
        <v>24.4</v>
      </c>
      <c r="P100">
        <v>23.6</v>
      </c>
      <c r="Q100">
        <v>18.600000000000001</v>
      </c>
      <c r="R100">
        <v>14.6</v>
      </c>
      <c r="S100">
        <f t="shared" si="15"/>
        <v>40</v>
      </c>
      <c r="T100" t="s">
        <v>41</v>
      </c>
      <c r="U100">
        <f t="shared" si="16"/>
        <v>0.24299999999999999</v>
      </c>
      <c r="V100">
        <f t="shared" si="14"/>
        <v>0.24</v>
      </c>
      <c r="W100">
        <f t="shared" si="14"/>
        <v>0.253</v>
      </c>
      <c r="X100">
        <f t="shared" si="14"/>
        <v>0.20800000000000002</v>
      </c>
      <c r="Y100">
        <f t="shared" si="14"/>
        <v>0.19899999999999998</v>
      </c>
      <c r="Z100">
        <f t="shared" si="14"/>
        <v>0.214</v>
      </c>
      <c r="AA100">
        <f t="shared" si="14"/>
        <v>0.24399999999999999</v>
      </c>
      <c r="AB100">
        <f t="shared" si="14"/>
        <v>0.23600000000000002</v>
      </c>
      <c r="AC100">
        <f t="shared" si="14"/>
        <v>0.18600000000000003</v>
      </c>
      <c r="AD100">
        <f t="shared" si="14"/>
        <v>0.14599999999999999</v>
      </c>
    </row>
    <row r="101" spans="1:30" x14ac:dyDescent="0.25">
      <c r="A101">
        <v>429</v>
      </c>
      <c r="B101">
        <v>39</v>
      </c>
      <c r="C101">
        <v>0</v>
      </c>
      <c r="D101">
        <v>14</v>
      </c>
      <c r="E101">
        <v>6</v>
      </c>
      <c r="F101">
        <v>23</v>
      </c>
      <c r="G101">
        <v>11</v>
      </c>
      <c r="H101">
        <v>0</v>
      </c>
      <c r="I101">
        <v>-5</v>
      </c>
      <c r="J101">
        <v>20.6</v>
      </c>
      <c r="K101">
        <v>21.9</v>
      </c>
      <c r="L101">
        <v>22.5</v>
      </c>
      <c r="M101">
        <v>23.1</v>
      </c>
      <c r="N101">
        <v>21.6</v>
      </c>
      <c r="O101">
        <v>20</v>
      </c>
      <c r="P101">
        <v>18.100000000000001</v>
      </c>
      <c r="Q101">
        <v>19.899999999999999</v>
      </c>
      <c r="R101">
        <v>14.1</v>
      </c>
      <c r="S101">
        <f t="shared" si="15"/>
        <v>39</v>
      </c>
      <c r="T101" t="s">
        <v>40</v>
      </c>
      <c r="U101" t="str">
        <f t="shared" si="16"/>
        <v/>
      </c>
      <c r="V101">
        <f t="shared" si="14"/>
        <v>0.20600000000000002</v>
      </c>
      <c r="W101">
        <f t="shared" si="14"/>
        <v>0.21899999999999997</v>
      </c>
      <c r="X101">
        <f t="shared" si="14"/>
        <v>0.22500000000000001</v>
      </c>
      <c r="Y101">
        <f t="shared" si="14"/>
        <v>0.23100000000000001</v>
      </c>
      <c r="Z101">
        <f t="shared" si="14"/>
        <v>0.21600000000000003</v>
      </c>
      <c r="AA101">
        <f t="shared" si="14"/>
        <v>0.2</v>
      </c>
      <c r="AB101">
        <f t="shared" si="14"/>
        <v>0.18100000000000002</v>
      </c>
      <c r="AC101">
        <f t="shared" si="14"/>
        <v>0.19899999999999998</v>
      </c>
      <c r="AD101">
        <f t="shared" si="14"/>
        <v>0.14099999999999999</v>
      </c>
    </row>
    <row r="102" spans="1:30" x14ac:dyDescent="0.25">
      <c r="A102">
        <v>428</v>
      </c>
      <c r="B102">
        <v>38</v>
      </c>
      <c r="C102">
        <v>0</v>
      </c>
      <c r="D102">
        <v>14</v>
      </c>
      <c r="E102">
        <v>6</v>
      </c>
      <c r="F102">
        <v>23</v>
      </c>
      <c r="G102">
        <v>11</v>
      </c>
      <c r="H102">
        <v>4</v>
      </c>
      <c r="I102">
        <v>-5</v>
      </c>
      <c r="J102">
        <v>24.6</v>
      </c>
      <c r="K102">
        <v>25.1</v>
      </c>
      <c r="L102">
        <v>24.7</v>
      </c>
      <c r="M102">
        <v>24.5</v>
      </c>
      <c r="N102">
        <v>24.9</v>
      </c>
      <c r="O102">
        <v>23.6</v>
      </c>
      <c r="P102">
        <v>20</v>
      </c>
      <c r="Q102">
        <v>21</v>
      </c>
      <c r="R102">
        <v>15.6</v>
      </c>
      <c r="S102">
        <f t="shared" si="15"/>
        <v>38</v>
      </c>
      <c r="T102" t="s">
        <v>37</v>
      </c>
      <c r="U102" t="str">
        <f t="shared" si="16"/>
        <v/>
      </c>
      <c r="V102">
        <f t="shared" si="14"/>
        <v>0.24600000000000002</v>
      </c>
      <c r="W102">
        <f t="shared" si="14"/>
        <v>0.251</v>
      </c>
      <c r="X102">
        <f t="shared" si="14"/>
        <v>0.247</v>
      </c>
      <c r="Y102">
        <f t="shared" si="14"/>
        <v>0.245</v>
      </c>
      <c r="Z102">
        <f t="shared" si="14"/>
        <v>0.249</v>
      </c>
      <c r="AA102">
        <f t="shared" si="14"/>
        <v>0.23600000000000002</v>
      </c>
      <c r="AB102">
        <f t="shared" si="14"/>
        <v>0.2</v>
      </c>
      <c r="AC102">
        <f t="shared" si="14"/>
        <v>0.21</v>
      </c>
      <c r="AD102">
        <f t="shared" si="14"/>
        <v>0.156</v>
      </c>
    </row>
    <row r="103" spans="1:30" x14ac:dyDescent="0.25">
      <c r="A103">
        <v>427</v>
      </c>
      <c r="B103">
        <v>37</v>
      </c>
      <c r="C103">
        <v>0</v>
      </c>
      <c r="D103">
        <v>14</v>
      </c>
      <c r="E103">
        <v>6</v>
      </c>
      <c r="F103">
        <v>23</v>
      </c>
      <c r="G103">
        <v>11</v>
      </c>
      <c r="H103">
        <v>0</v>
      </c>
      <c r="I103">
        <v>-5</v>
      </c>
      <c r="J103">
        <v>23.8</v>
      </c>
      <c r="K103">
        <v>22.4</v>
      </c>
      <c r="L103">
        <v>19.5</v>
      </c>
      <c r="M103">
        <v>17.7</v>
      </c>
      <c r="N103">
        <v>16.899999999999999</v>
      </c>
      <c r="O103">
        <v>16.7</v>
      </c>
      <c r="P103">
        <v>20</v>
      </c>
      <c r="Q103">
        <v>19</v>
      </c>
      <c r="R103">
        <v>13</v>
      </c>
      <c r="S103">
        <f t="shared" si="15"/>
        <v>37</v>
      </c>
      <c r="T103" t="s">
        <v>35</v>
      </c>
      <c r="U103" t="str">
        <f t="shared" si="16"/>
        <v/>
      </c>
      <c r="V103">
        <f t="shared" si="14"/>
        <v>0.23800000000000002</v>
      </c>
      <c r="W103">
        <f t="shared" si="14"/>
        <v>0.22399999999999998</v>
      </c>
      <c r="X103">
        <f t="shared" si="14"/>
        <v>0.19500000000000001</v>
      </c>
      <c r="Y103">
        <f t="shared" ref="Y103:Y110" si="17">IF(M103&lt;0,"",M103/100)</f>
        <v>0.17699999999999999</v>
      </c>
      <c r="Z103">
        <f t="shared" ref="Z103:Z110" si="18">IF(N103&lt;0,"",N103/100)</f>
        <v>0.16899999999999998</v>
      </c>
      <c r="AA103">
        <f t="shared" ref="AA103:AA110" si="19">IF(O103&lt;0,"",O103/100)</f>
        <v>0.16699999999999998</v>
      </c>
      <c r="AB103">
        <f t="shared" ref="AB103:AB110" si="20">IF(P103&lt;0,"",P103/100)</f>
        <v>0.2</v>
      </c>
      <c r="AC103">
        <f t="shared" ref="AC103:AC110" si="21">IF(Q103&lt;0,"",Q103/100)</f>
        <v>0.19</v>
      </c>
      <c r="AD103">
        <f t="shared" ref="AD103:AD110" si="22">IF(R103&lt;0,"",R103/100)</f>
        <v>0.13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41820</v>
      </c>
    </row>
    <row r="2" spans="1:7" x14ac:dyDescent="0.25">
      <c r="A2" t="s">
        <v>3</v>
      </c>
      <c r="B2">
        <v>6114</v>
      </c>
      <c r="C2" t="s">
        <v>4</v>
      </c>
      <c r="D2">
        <v>9745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6</v>
      </c>
      <c r="F19">
        <v>30</v>
      </c>
      <c r="G19">
        <v>6</v>
      </c>
      <c r="H19">
        <v>1</v>
      </c>
      <c r="I19">
        <v>12.9</v>
      </c>
      <c r="J19">
        <v>14.4</v>
      </c>
      <c r="K19">
        <v>15.8</v>
      </c>
      <c r="L19">
        <v>17.8</v>
      </c>
      <c r="M19">
        <v>19.899999999999999</v>
      </c>
      <c r="N19">
        <v>21.7</v>
      </c>
      <c r="O19">
        <v>22</v>
      </c>
      <c r="P19">
        <v>20.7</v>
      </c>
      <c r="Q19">
        <v>17.899999999999999</v>
      </c>
      <c r="R19">
        <v>6.9</v>
      </c>
      <c r="S19">
        <f>B19</f>
        <v>1</v>
      </c>
      <c r="T19" t="s">
        <v>51</v>
      </c>
      <c r="U19">
        <f>IF(I19&lt;0,"",I19/100)</f>
        <v>0.129</v>
      </c>
      <c r="V19">
        <f t="shared" ref="V19:AD47" si="0">IF(J19&lt;0,"",J19/100)</f>
        <v>0.14400000000000002</v>
      </c>
      <c r="W19">
        <f t="shared" si="0"/>
        <v>0.158</v>
      </c>
      <c r="X19">
        <f t="shared" si="0"/>
        <v>0.17800000000000002</v>
      </c>
      <c r="Y19">
        <f t="shared" si="0"/>
        <v>0.19899999999999998</v>
      </c>
      <c r="Z19">
        <f t="shared" si="0"/>
        <v>0.217</v>
      </c>
      <c r="AA19">
        <f t="shared" si="0"/>
        <v>0.22</v>
      </c>
      <c r="AB19">
        <f t="shared" si="0"/>
        <v>0.20699999999999999</v>
      </c>
      <c r="AC19">
        <f t="shared" si="0"/>
        <v>0.17899999999999999</v>
      </c>
      <c r="AD19">
        <f t="shared" si="0"/>
        <v>6.9000000000000006E-2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6</v>
      </c>
      <c r="F20">
        <v>30</v>
      </c>
      <c r="G20">
        <v>6</v>
      </c>
      <c r="H20">
        <v>6</v>
      </c>
      <c r="I20">
        <v>24.5</v>
      </c>
      <c r="J20">
        <v>15.1</v>
      </c>
      <c r="K20">
        <v>13.6</v>
      </c>
      <c r="L20">
        <v>16.899999999999999</v>
      </c>
      <c r="M20">
        <v>19.2</v>
      </c>
      <c r="N20">
        <v>19.8</v>
      </c>
      <c r="O20">
        <v>21</v>
      </c>
      <c r="P20">
        <v>20.8</v>
      </c>
      <c r="Q20">
        <v>17</v>
      </c>
      <c r="R20">
        <v>8.6999999999999993</v>
      </c>
      <c r="S20">
        <f t="shared" ref="S20:S54" si="1">B20</f>
        <v>2</v>
      </c>
      <c r="T20" t="s">
        <v>55</v>
      </c>
      <c r="U20">
        <f t="shared" ref="U20:U47" si="2">IF(I20&lt;0,"",I20/100)</f>
        <v>0.245</v>
      </c>
      <c r="V20">
        <f t="shared" si="0"/>
        <v>0.151</v>
      </c>
      <c r="W20">
        <f t="shared" si="0"/>
        <v>0.13600000000000001</v>
      </c>
      <c r="X20">
        <f t="shared" si="0"/>
        <v>0.16899999999999998</v>
      </c>
      <c r="Y20">
        <f t="shared" si="0"/>
        <v>0.192</v>
      </c>
      <c r="Z20">
        <f t="shared" si="0"/>
        <v>0.19800000000000001</v>
      </c>
      <c r="AA20">
        <f t="shared" si="0"/>
        <v>0.21</v>
      </c>
      <c r="AB20">
        <f t="shared" si="0"/>
        <v>0.20800000000000002</v>
      </c>
      <c r="AC20">
        <f t="shared" si="0"/>
        <v>0.17</v>
      </c>
      <c r="AD20">
        <f t="shared" si="0"/>
        <v>8.6999999999999994E-2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6</v>
      </c>
      <c r="F21">
        <v>30</v>
      </c>
      <c r="G21">
        <v>6</v>
      </c>
      <c r="H21">
        <v>13</v>
      </c>
      <c r="I21">
        <v>13.6</v>
      </c>
      <c r="J21">
        <v>18.8</v>
      </c>
      <c r="K21">
        <v>21.5</v>
      </c>
      <c r="L21">
        <v>22.5</v>
      </c>
      <c r="M21">
        <v>22.6</v>
      </c>
      <c r="N21">
        <v>22.3</v>
      </c>
      <c r="O21">
        <v>21.1</v>
      </c>
      <c r="P21">
        <v>21.6</v>
      </c>
      <c r="Q21">
        <v>20.2</v>
      </c>
      <c r="R21">
        <v>8.3000000000000007</v>
      </c>
      <c r="S21">
        <f t="shared" si="1"/>
        <v>3</v>
      </c>
      <c r="T21" t="s">
        <v>56</v>
      </c>
      <c r="U21">
        <f t="shared" si="2"/>
        <v>0.13600000000000001</v>
      </c>
      <c r="V21">
        <f t="shared" si="0"/>
        <v>0.188</v>
      </c>
      <c r="W21">
        <f t="shared" si="0"/>
        <v>0.215</v>
      </c>
      <c r="X21">
        <f t="shared" si="0"/>
        <v>0.22500000000000001</v>
      </c>
      <c r="Y21">
        <f t="shared" si="0"/>
        <v>0.22600000000000001</v>
      </c>
      <c r="Z21">
        <f t="shared" si="0"/>
        <v>0.223</v>
      </c>
      <c r="AA21">
        <f t="shared" si="0"/>
        <v>0.21100000000000002</v>
      </c>
      <c r="AB21">
        <f t="shared" si="0"/>
        <v>0.21600000000000003</v>
      </c>
      <c r="AC21">
        <f t="shared" si="0"/>
        <v>0.20199999999999999</v>
      </c>
      <c r="AD21">
        <f t="shared" si="0"/>
        <v>8.3000000000000004E-2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6</v>
      </c>
      <c r="F22">
        <v>30</v>
      </c>
      <c r="G22">
        <v>6</v>
      </c>
      <c r="H22">
        <v>10</v>
      </c>
      <c r="I22">
        <v>14.6</v>
      </c>
      <c r="J22">
        <v>15.1</v>
      </c>
      <c r="K22">
        <v>16.5</v>
      </c>
      <c r="L22">
        <v>19.899999999999999</v>
      </c>
      <c r="M22">
        <v>20.399999999999999</v>
      </c>
      <c r="N22">
        <v>22</v>
      </c>
      <c r="O22">
        <v>22.6</v>
      </c>
      <c r="P22">
        <v>22.3</v>
      </c>
      <c r="Q22">
        <v>17.2</v>
      </c>
      <c r="R22">
        <v>8.9</v>
      </c>
      <c r="S22">
        <f t="shared" si="1"/>
        <v>4</v>
      </c>
      <c r="T22" t="s">
        <v>57</v>
      </c>
      <c r="U22">
        <f t="shared" si="2"/>
        <v>0.14599999999999999</v>
      </c>
      <c r="V22">
        <f t="shared" si="0"/>
        <v>0.151</v>
      </c>
      <c r="W22">
        <f t="shared" si="0"/>
        <v>0.16500000000000001</v>
      </c>
      <c r="X22">
        <f t="shared" si="0"/>
        <v>0.19899999999999998</v>
      </c>
      <c r="Y22">
        <f t="shared" si="0"/>
        <v>0.20399999999999999</v>
      </c>
      <c r="Z22">
        <f t="shared" si="0"/>
        <v>0.22</v>
      </c>
      <c r="AA22">
        <f t="shared" si="0"/>
        <v>0.22600000000000001</v>
      </c>
      <c r="AB22">
        <f t="shared" si="0"/>
        <v>0.223</v>
      </c>
      <c r="AC22">
        <f t="shared" si="0"/>
        <v>0.17199999999999999</v>
      </c>
      <c r="AD22">
        <f t="shared" si="0"/>
        <v>8.900000000000001E-2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6</v>
      </c>
      <c r="F23">
        <v>30</v>
      </c>
      <c r="G23">
        <v>6</v>
      </c>
      <c r="H23">
        <v>23</v>
      </c>
      <c r="I23">
        <v>-5.9</v>
      </c>
      <c r="J23">
        <v>-5.9</v>
      </c>
      <c r="K23">
        <v>19.3</v>
      </c>
      <c r="L23">
        <v>25.4</v>
      </c>
      <c r="M23">
        <v>22.2</v>
      </c>
      <c r="N23">
        <v>23.4</v>
      </c>
      <c r="O23">
        <v>24.4</v>
      </c>
      <c r="P23">
        <v>23.3</v>
      </c>
      <c r="Q23">
        <v>21</v>
      </c>
      <c r="R23">
        <v>9.9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0.193</v>
      </c>
      <c r="X23">
        <f t="shared" si="0"/>
        <v>0.254</v>
      </c>
      <c r="Y23">
        <f t="shared" si="0"/>
        <v>0.222</v>
      </c>
      <c r="Z23">
        <f t="shared" si="0"/>
        <v>0.23399999999999999</v>
      </c>
      <c r="AA23">
        <f t="shared" si="0"/>
        <v>0.24399999999999999</v>
      </c>
      <c r="AB23">
        <f t="shared" si="0"/>
        <v>0.23300000000000001</v>
      </c>
      <c r="AC23">
        <f t="shared" si="0"/>
        <v>0.21</v>
      </c>
      <c r="AD23">
        <f t="shared" si="0"/>
        <v>9.9000000000000005E-2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6</v>
      </c>
      <c r="F24">
        <v>30</v>
      </c>
      <c r="G24">
        <v>6</v>
      </c>
      <c r="H24">
        <v>20</v>
      </c>
      <c r="I24">
        <v>-5.9</v>
      </c>
      <c r="J24">
        <v>21.2</v>
      </c>
      <c r="K24">
        <v>21.1</v>
      </c>
      <c r="L24">
        <v>21.4</v>
      </c>
      <c r="M24">
        <v>22.7</v>
      </c>
      <c r="N24">
        <v>22.4</v>
      </c>
      <c r="O24">
        <v>23.1</v>
      </c>
      <c r="P24">
        <v>28</v>
      </c>
      <c r="Q24">
        <v>19.5</v>
      </c>
      <c r="R24">
        <v>7.4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0.21199999999999999</v>
      </c>
      <c r="W24">
        <f t="shared" si="0"/>
        <v>0.21100000000000002</v>
      </c>
      <c r="X24">
        <f t="shared" si="0"/>
        <v>0.214</v>
      </c>
      <c r="Y24">
        <f t="shared" si="0"/>
        <v>0.22699999999999998</v>
      </c>
      <c r="Z24">
        <f t="shared" si="0"/>
        <v>0.22399999999999998</v>
      </c>
      <c r="AA24">
        <f t="shared" si="0"/>
        <v>0.23100000000000001</v>
      </c>
      <c r="AB24">
        <f t="shared" si="0"/>
        <v>0.28000000000000003</v>
      </c>
      <c r="AC24">
        <f t="shared" si="0"/>
        <v>0.19500000000000001</v>
      </c>
      <c r="AD24">
        <f t="shared" si="0"/>
        <v>7.400000000000001E-2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6</v>
      </c>
      <c r="F25">
        <v>30</v>
      </c>
      <c r="G25">
        <v>6</v>
      </c>
      <c r="H25">
        <v>35</v>
      </c>
      <c r="I25">
        <v>-5.9</v>
      </c>
      <c r="J25">
        <v>-5.9</v>
      </c>
      <c r="K25">
        <v>28.8</v>
      </c>
      <c r="L25">
        <v>29.7</v>
      </c>
      <c r="M25">
        <v>21.3</v>
      </c>
      <c r="N25">
        <v>21.9</v>
      </c>
      <c r="O25">
        <v>24.4</v>
      </c>
      <c r="P25">
        <v>22.4</v>
      </c>
      <c r="Q25">
        <v>22</v>
      </c>
      <c r="R25">
        <v>12.7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0.28800000000000003</v>
      </c>
      <c r="X25">
        <f t="shared" si="0"/>
        <v>0.29699999999999999</v>
      </c>
      <c r="Y25">
        <f t="shared" si="0"/>
        <v>0.21299999999999999</v>
      </c>
      <c r="Z25">
        <f t="shared" si="0"/>
        <v>0.21899999999999997</v>
      </c>
      <c r="AA25">
        <f t="shared" si="0"/>
        <v>0.24399999999999999</v>
      </c>
      <c r="AB25">
        <f t="shared" si="0"/>
        <v>0.22399999999999998</v>
      </c>
      <c r="AC25">
        <f t="shared" si="0"/>
        <v>0.22</v>
      </c>
      <c r="AD25">
        <f t="shared" si="0"/>
        <v>0.127</v>
      </c>
    </row>
    <row r="26" spans="1:30" x14ac:dyDescent="0.25">
      <c r="A26">
        <v>446</v>
      </c>
      <c r="B26">
        <v>8</v>
      </c>
      <c r="C26">
        <v>0</v>
      </c>
      <c r="D26">
        <v>14</v>
      </c>
      <c r="E26">
        <v>6</v>
      </c>
      <c r="F26">
        <v>30</v>
      </c>
      <c r="G26">
        <v>6</v>
      </c>
      <c r="H26">
        <v>41</v>
      </c>
      <c r="I26">
        <v>-5.9</v>
      </c>
      <c r="J26">
        <v>32.9</v>
      </c>
      <c r="K26">
        <v>27</v>
      </c>
      <c r="L26">
        <v>21</v>
      </c>
      <c r="M26">
        <v>23.3</v>
      </c>
      <c r="N26">
        <v>23.8</v>
      </c>
      <c r="O26">
        <v>24</v>
      </c>
      <c r="P26">
        <v>29</v>
      </c>
      <c r="Q26">
        <v>23.5</v>
      </c>
      <c r="R26">
        <v>14.4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0.32899999999999996</v>
      </c>
      <c r="W26">
        <f t="shared" si="0"/>
        <v>0.27</v>
      </c>
      <c r="X26">
        <f t="shared" si="0"/>
        <v>0.21</v>
      </c>
      <c r="Y26">
        <f t="shared" si="0"/>
        <v>0.23300000000000001</v>
      </c>
      <c r="Z26">
        <f t="shared" si="0"/>
        <v>0.23800000000000002</v>
      </c>
      <c r="AA26">
        <f t="shared" si="0"/>
        <v>0.24</v>
      </c>
      <c r="AB26">
        <f t="shared" si="0"/>
        <v>0.28999999999999998</v>
      </c>
      <c r="AC26">
        <f t="shared" si="0"/>
        <v>0.23499999999999999</v>
      </c>
      <c r="AD26">
        <f t="shared" si="0"/>
        <v>0.14400000000000002</v>
      </c>
    </row>
    <row r="27" spans="1:30" x14ac:dyDescent="0.25">
      <c r="A27">
        <v>445</v>
      </c>
      <c r="B27">
        <v>9</v>
      </c>
      <c r="C27">
        <v>0</v>
      </c>
      <c r="D27">
        <v>14</v>
      </c>
      <c r="E27">
        <v>6</v>
      </c>
      <c r="F27">
        <v>30</v>
      </c>
      <c r="G27">
        <v>6</v>
      </c>
      <c r="H27">
        <v>50</v>
      </c>
      <c r="I27">
        <v>18.899999999999999</v>
      </c>
      <c r="J27">
        <v>17.3</v>
      </c>
      <c r="K27">
        <v>18.2</v>
      </c>
      <c r="L27">
        <v>22.6</v>
      </c>
      <c r="M27">
        <v>25.5</v>
      </c>
      <c r="N27">
        <v>26.1</v>
      </c>
      <c r="O27">
        <v>28.7</v>
      </c>
      <c r="P27">
        <v>21.9</v>
      </c>
      <c r="Q27">
        <v>18.600000000000001</v>
      </c>
      <c r="R27">
        <v>11.4</v>
      </c>
      <c r="S27">
        <f t="shared" si="1"/>
        <v>9</v>
      </c>
      <c r="T27" t="s">
        <v>63</v>
      </c>
      <c r="U27">
        <f t="shared" si="2"/>
        <v>0.18899999999999997</v>
      </c>
      <c r="V27">
        <f t="shared" si="0"/>
        <v>0.17300000000000001</v>
      </c>
      <c r="W27">
        <f t="shared" si="0"/>
        <v>0.182</v>
      </c>
      <c r="X27">
        <f t="shared" si="0"/>
        <v>0.22600000000000001</v>
      </c>
      <c r="Y27">
        <f t="shared" si="0"/>
        <v>0.255</v>
      </c>
      <c r="Z27">
        <f t="shared" si="0"/>
        <v>0.26100000000000001</v>
      </c>
      <c r="AA27">
        <f t="shared" si="0"/>
        <v>0.28699999999999998</v>
      </c>
      <c r="AB27">
        <f t="shared" si="0"/>
        <v>0.21899999999999997</v>
      </c>
      <c r="AC27">
        <f t="shared" si="0"/>
        <v>0.18600000000000003</v>
      </c>
      <c r="AD27">
        <f t="shared" si="0"/>
        <v>0.114</v>
      </c>
    </row>
    <row r="28" spans="1:30" x14ac:dyDescent="0.25">
      <c r="A28">
        <v>444</v>
      </c>
      <c r="B28">
        <v>10</v>
      </c>
      <c r="C28">
        <v>0</v>
      </c>
      <c r="D28">
        <v>14</v>
      </c>
      <c r="E28">
        <v>6</v>
      </c>
      <c r="F28">
        <v>30</v>
      </c>
      <c r="G28">
        <v>6</v>
      </c>
      <c r="H28">
        <v>55</v>
      </c>
      <c r="I28">
        <v>17.100000000000001</v>
      </c>
      <c r="J28">
        <v>15.5</v>
      </c>
      <c r="K28">
        <v>17.100000000000001</v>
      </c>
      <c r="L28">
        <v>19.3</v>
      </c>
      <c r="M28">
        <v>24.6</v>
      </c>
      <c r="N28">
        <v>25.2</v>
      </c>
      <c r="O28">
        <v>23.3</v>
      </c>
      <c r="P28">
        <v>24.9</v>
      </c>
      <c r="Q28">
        <v>20.5</v>
      </c>
      <c r="R28">
        <v>12.8</v>
      </c>
      <c r="S28">
        <f t="shared" si="1"/>
        <v>10</v>
      </c>
      <c r="T28" t="s">
        <v>62</v>
      </c>
      <c r="U28">
        <f t="shared" si="2"/>
        <v>0.17100000000000001</v>
      </c>
      <c r="V28">
        <f t="shared" si="0"/>
        <v>0.155</v>
      </c>
      <c r="W28">
        <f t="shared" si="0"/>
        <v>0.17100000000000001</v>
      </c>
      <c r="X28">
        <f t="shared" si="0"/>
        <v>0.193</v>
      </c>
      <c r="Y28">
        <f t="shared" si="0"/>
        <v>0.24600000000000002</v>
      </c>
      <c r="Z28">
        <f t="shared" si="0"/>
        <v>0.252</v>
      </c>
      <c r="AA28">
        <f t="shared" si="0"/>
        <v>0.23300000000000001</v>
      </c>
      <c r="AB28">
        <f t="shared" si="0"/>
        <v>0.249</v>
      </c>
      <c r="AC28">
        <f t="shared" si="0"/>
        <v>0.20499999999999999</v>
      </c>
      <c r="AD28">
        <f t="shared" si="0"/>
        <v>0.128</v>
      </c>
    </row>
    <row r="29" spans="1:30" x14ac:dyDescent="0.25">
      <c r="A29">
        <v>443</v>
      </c>
      <c r="B29">
        <v>11</v>
      </c>
      <c r="C29">
        <v>0</v>
      </c>
      <c r="D29">
        <v>14</v>
      </c>
      <c r="E29">
        <v>6</v>
      </c>
      <c r="F29">
        <v>30</v>
      </c>
      <c r="G29">
        <v>7</v>
      </c>
      <c r="H29">
        <v>0</v>
      </c>
      <c r="I29">
        <v>16.100000000000001</v>
      </c>
      <c r="J29">
        <v>18.100000000000001</v>
      </c>
      <c r="K29">
        <v>20.399999999999999</v>
      </c>
      <c r="L29">
        <v>22.8</v>
      </c>
      <c r="M29">
        <v>26.3</v>
      </c>
      <c r="N29">
        <v>29.7</v>
      </c>
      <c r="O29">
        <v>31.5</v>
      </c>
      <c r="P29">
        <v>28.3</v>
      </c>
      <c r="Q29">
        <v>21.9</v>
      </c>
      <c r="R29">
        <v>17.399999999999999</v>
      </c>
      <c r="S29">
        <f t="shared" si="1"/>
        <v>11</v>
      </c>
      <c r="T29" t="s">
        <v>52</v>
      </c>
      <c r="U29">
        <f t="shared" si="2"/>
        <v>0.161</v>
      </c>
      <c r="V29">
        <f t="shared" si="0"/>
        <v>0.18100000000000002</v>
      </c>
      <c r="W29">
        <f t="shared" si="0"/>
        <v>0.20399999999999999</v>
      </c>
      <c r="X29">
        <f t="shared" si="0"/>
        <v>0.22800000000000001</v>
      </c>
      <c r="Y29">
        <f t="shared" si="0"/>
        <v>0.26300000000000001</v>
      </c>
      <c r="Z29">
        <f t="shared" si="0"/>
        <v>0.29699999999999999</v>
      </c>
      <c r="AA29">
        <f t="shared" si="0"/>
        <v>0.315</v>
      </c>
      <c r="AB29">
        <f t="shared" si="0"/>
        <v>0.28300000000000003</v>
      </c>
      <c r="AC29">
        <f t="shared" si="0"/>
        <v>0.21899999999999997</v>
      </c>
      <c r="AD29">
        <f t="shared" si="0"/>
        <v>0.17399999999999999</v>
      </c>
    </row>
    <row r="30" spans="1:30" x14ac:dyDescent="0.25">
      <c r="A30">
        <v>442</v>
      </c>
      <c r="B30">
        <v>12</v>
      </c>
      <c r="C30">
        <v>0</v>
      </c>
      <c r="D30">
        <v>14</v>
      </c>
      <c r="E30">
        <v>6</v>
      </c>
      <c r="F30">
        <v>30</v>
      </c>
      <c r="G30">
        <v>7</v>
      </c>
      <c r="H30">
        <v>5</v>
      </c>
      <c r="I30">
        <v>25.8</v>
      </c>
      <c r="J30">
        <v>15.4</v>
      </c>
      <c r="K30">
        <v>17.7</v>
      </c>
      <c r="L30">
        <v>27.2</v>
      </c>
      <c r="M30">
        <v>26.5</v>
      </c>
      <c r="N30">
        <v>25.8</v>
      </c>
      <c r="O30">
        <v>28.7</v>
      </c>
      <c r="P30">
        <v>24.4</v>
      </c>
      <c r="Q30">
        <v>18.100000000000001</v>
      </c>
      <c r="R30">
        <v>11.7</v>
      </c>
      <c r="S30">
        <f t="shared" si="1"/>
        <v>12</v>
      </c>
      <c r="T30" t="s">
        <v>64</v>
      </c>
      <c r="U30">
        <f t="shared" si="2"/>
        <v>0.25800000000000001</v>
      </c>
      <c r="V30">
        <f t="shared" si="0"/>
        <v>0.154</v>
      </c>
      <c r="W30">
        <f t="shared" si="0"/>
        <v>0.17699999999999999</v>
      </c>
      <c r="X30">
        <f t="shared" si="0"/>
        <v>0.27200000000000002</v>
      </c>
      <c r="Y30">
        <f t="shared" si="0"/>
        <v>0.26500000000000001</v>
      </c>
      <c r="Z30">
        <f t="shared" si="0"/>
        <v>0.25800000000000001</v>
      </c>
      <c r="AA30">
        <f t="shared" si="0"/>
        <v>0.28699999999999998</v>
      </c>
      <c r="AB30">
        <f t="shared" si="0"/>
        <v>0.24399999999999999</v>
      </c>
      <c r="AC30">
        <f t="shared" si="0"/>
        <v>0.18100000000000002</v>
      </c>
      <c r="AD30">
        <f t="shared" si="0"/>
        <v>0.11699999999999999</v>
      </c>
    </row>
    <row r="31" spans="1:30" x14ac:dyDescent="0.25">
      <c r="A31">
        <v>441</v>
      </c>
      <c r="B31">
        <v>13</v>
      </c>
      <c r="C31">
        <v>0</v>
      </c>
      <c r="D31">
        <v>14</v>
      </c>
      <c r="E31">
        <v>6</v>
      </c>
      <c r="F31">
        <v>30</v>
      </c>
      <c r="G31">
        <v>7</v>
      </c>
      <c r="H31">
        <v>50</v>
      </c>
      <c r="I31">
        <v>19.899999999999999</v>
      </c>
      <c r="J31">
        <v>18.899999999999999</v>
      </c>
      <c r="K31">
        <v>20.7</v>
      </c>
      <c r="L31">
        <v>25</v>
      </c>
      <c r="M31">
        <v>26</v>
      </c>
      <c r="N31">
        <v>27.5</v>
      </c>
      <c r="O31">
        <v>24.6</v>
      </c>
      <c r="P31">
        <v>24</v>
      </c>
      <c r="Q31">
        <v>22.9</v>
      </c>
      <c r="R31">
        <v>16.600000000000001</v>
      </c>
      <c r="S31">
        <f t="shared" si="1"/>
        <v>13</v>
      </c>
      <c r="T31" t="s">
        <v>29</v>
      </c>
      <c r="U31">
        <f t="shared" si="2"/>
        <v>0.19899999999999998</v>
      </c>
      <c r="V31">
        <f t="shared" si="0"/>
        <v>0.18899999999999997</v>
      </c>
      <c r="W31">
        <f t="shared" si="0"/>
        <v>0.20699999999999999</v>
      </c>
      <c r="X31">
        <f t="shared" si="0"/>
        <v>0.25</v>
      </c>
      <c r="Y31">
        <f t="shared" si="0"/>
        <v>0.26</v>
      </c>
      <c r="Z31">
        <f t="shared" si="0"/>
        <v>0.27500000000000002</v>
      </c>
      <c r="AA31">
        <f t="shared" si="0"/>
        <v>0.24600000000000002</v>
      </c>
      <c r="AB31">
        <f t="shared" si="0"/>
        <v>0.24</v>
      </c>
      <c r="AC31">
        <f t="shared" si="0"/>
        <v>0.22899999999999998</v>
      </c>
      <c r="AD31">
        <f t="shared" si="0"/>
        <v>0.16600000000000001</v>
      </c>
    </row>
    <row r="32" spans="1:30" x14ac:dyDescent="0.25">
      <c r="A32">
        <v>440</v>
      </c>
      <c r="B32">
        <v>14</v>
      </c>
      <c r="C32">
        <v>0</v>
      </c>
      <c r="D32">
        <v>14</v>
      </c>
      <c r="E32">
        <v>6</v>
      </c>
      <c r="F32">
        <v>30</v>
      </c>
      <c r="G32">
        <v>7</v>
      </c>
      <c r="H32">
        <v>55</v>
      </c>
      <c r="I32">
        <v>19.5</v>
      </c>
      <c r="J32">
        <v>20.100000000000001</v>
      </c>
      <c r="K32">
        <v>24.1</v>
      </c>
      <c r="L32">
        <v>26.5</v>
      </c>
      <c r="M32">
        <v>25.9</v>
      </c>
      <c r="N32">
        <v>26.5</v>
      </c>
      <c r="O32">
        <v>28.7</v>
      </c>
      <c r="P32">
        <v>19.5</v>
      </c>
      <c r="Q32">
        <v>16.100000000000001</v>
      </c>
      <c r="R32">
        <v>10.9</v>
      </c>
      <c r="S32">
        <f t="shared" si="1"/>
        <v>14</v>
      </c>
      <c r="T32" t="s">
        <v>30</v>
      </c>
      <c r="U32">
        <f t="shared" si="2"/>
        <v>0.19500000000000001</v>
      </c>
      <c r="V32">
        <f t="shared" si="0"/>
        <v>0.20100000000000001</v>
      </c>
      <c r="W32">
        <f t="shared" si="0"/>
        <v>0.24100000000000002</v>
      </c>
      <c r="X32">
        <f t="shared" si="0"/>
        <v>0.26500000000000001</v>
      </c>
      <c r="Y32">
        <f t="shared" si="0"/>
        <v>0.25900000000000001</v>
      </c>
      <c r="Z32">
        <f t="shared" si="0"/>
        <v>0.26500000000000001</v>
      </c>
      <c r="AA32">
        <f t="shared" si="0"/>
        <v>0.28699999999999998</v>
      </c>
      <c r="AB32">
        <f t="shared" si="0"/>
        <v>0.19500000000000001</v>
      </c>
      <c r="AC32">
        <f t="shared" si="0"/>
        <v>0.161</v>
      </c>
      <c r="AD32">
        <f t="shared" si="0"/>
        <v>0.109</v>
      </c>
    </row>
    <row r="33" spans="1:30" x14ac:dyDescent="0.25">
      <c r="A33">
        <v>439</v>
      </c>
      <c r="B33">
        <v>15</v>
      </c>
      <c r="C33">
        <v>0</v>
      </c>
      <c r="D33">
        <v>14</v>
      </c>
      <c r="E33">
        <v>6</v>
      </c>
      <c r="F33">
        <v>30</v>
      </c>
      <c r="G33">
        <v>8</v>
      </c>
      <c r="H33">
        <v>1</v>
      </c>
      <c r="I33">
        <v>19.2</v>
      </c>
      <c r="J33">
        <v>17.2</v>
      </c>
      <c r="K33">
        <v>17.7</v>
      </c>
      <c r="L33">
        <v>20.100000000000001</v>
      </c>
      <c r="M33">
        <v>26.5</v>
      </c>
      <c r="N33">
        <v>25.9</v>
      </c>
      <c r="O33">
        <v>23.6</v>
      </c>
      <c r="P33">
        <v>20.5</v>
      </c>
      <c r="Q33">
        <v>22.1</v>
      </c>
      <c r="R33">
        <v>18.100000000000001</v>
      </c>
      <c r="S33">
        <f t="shared" si="1"/>
        <v>15</v>
      </c>
      <c r="T33" t="s">
        <v>31</v>
      </c>
      <c r="U33">
        <f t="shared" si="2"/>
        <v>0.192</v>
      </c>
      <c r="V33">
        <f t="shared" si="0"/>
        <v>0.17199999999999999</v>
      </c>
      <c r="W33">
        <f t="shared" si="0"/>
        <v>0.17699999999999999</v>
      </c>
      <c r="X33">
        <f t="shared" si="0"/>
        <v>0.20100000000000001</v>
      </c>
      <c r="Y33">
        <f t="shared" si="0"/>
        <v>0.26500000000000001</v>
      </c>
      <c r="Z33">
        <f t="shared" si="0"/>
        <v>0.25900000000000001</v>
      </c>
      <c r="AA33">
        <f t="shared" si="0"/>
        <v>0.23600000000000002</v>
      </c>
      <c r="AB33">
        <f t="shared" si="0"/>
        <v>0.20499999999999999</v>
      </c>
      <c r="AC33">
        <f t="shared" si="0"/>
        <v>0.221</v>
      </c>
      <c r="AD33">
        <f t="shared" si="0"/>
        <v>0.18100000000000002</v>
      </c>
    </row>
    <row r="34" spans="1:30" x14ac:dyDescent="0.25">
      <c r="A34">
        <v>438</v>
      </c>
      <c r="B34">
        <v>16</v>
      </c>
      <c r="C34">
        <v>0</v>
      </c>
      <c r="D34">
        <v>14</v>
      </c>
      <c r="E34">
        <v>6</v>
      </c>
      <c r="F34">
        <v>30</v>
      </c>
      <c r="G34">
        <v>8</v>
      </c>
      <c r="H34">
        <v>6</v>
      </c>
      <c r="I34">
        <v>25.6</v>
      </c>
      <c r="J34">
        <v>19.7</v>
      </c>
      <c r="K34">
        <v>22.7</v>
      </c>
      <c r="L34">
        <v>21.6</v>
      </c>
      <c r="M34">
        <v>22.2</v>
      </c>
      <c r="N34">
        <v>20.399999999999999</v>
      </c>
      <c r="O34">
        <v>18.7</v>
      </c>
      <c r="P34">
        <v>18</v>
      </c>
      <c r="Q34">
        <v>19.899999999999999</v>
      </c>
      <c r="R34">
        <v>13.7</v>
      </c>
      <c r="S34">
        <f t="shared" si="1"/>
        <v>16</v>
      </c>
      <c r="T34" t="s">
        <v>32</v>
      </c>
      <c r="U34">
        <f t="shared" si="2"/>
        <v>0.25600000000000001</v>
      </c>
      <c r="V34">
        <f t="shared" si="0"/>
        <v>0.19699999999999998</v>
      </c>
      <c r="W34">
        <f t="shared" si="0"/>
        <v>0.22699999999999998</v>
      </c>
      <c r="X34">
        <f t="shared" si="0"/>
        <v>0.21600000000000003</v>
      </c>
      <c r="Y34">
        <f t="shared" si="0"/>
        <v>0.222</v>
      </c>
      <c r="Z34">
        <f t="shared" si="0"/>
        <v>0.20399999999999999</v>
      </c>
      <c r="AA34">
        <f t="shared" si="0"/>
        <v>0.187</v>
      </c>
      <c r="AB34">
        <f t="shared" si="0"/>
        <v>0.18</v>
      </c>
      <c r="AC34">
        <f t="shared" si="0"/>
        <v>0.19899999999999998</v>
      </c>
      <c r="AD34">
        <f t="shared" si="0"/>
        <v>0.13699999999999998</v>
      </c>
    </row>
    <row r="35" spans="1:30" x14ac:dyDescent="0.25">
      <c r="A35">
        <v>437</v>
      </c>
      <c r="B35">
        <v>17</v>
      </c>
      <c r="C35">
        <v>0</v>
      </c>
      <c r="D35">
        <v>14</v>
      </c>
      <c r="E35">
        <v>6</v>
      </c>
      <c r="F35">
        <v>30</v>
      </c>
      <c r="G35">
        <v>8</v>
      </c>
      <c r="H35">
        <v>11</v>
      </c>
      <c r="I35">
        <v>19</v>
      </c>
      <c r="J35">
        <v>18.8</v>
      </c>
      <c r="K35">
        <v>19.7</v>
      </c>
      <c r="L35">
        <v>21.2</v>
      </c>
      <c r="M35">
        <v>24.9</v>
      </c>
      <c r="N35">
        <v>27.8</v>
      </c>
      <c r="O35">
        <v>28.4</v>
      </c>
      <c r="P35">
        <v>24.5</v>
      </c>
      <c r="Q35">
        <v>19.7</v>
      </c>
      <c r="R35">
        <v>14.3</v>
      </c>
      <c r="S35">
        <f t="shared" si="1"/>
        <v>17</v>
      </c>
      <c r="T35" t="s">
        <v>33</v>
      </c>
      <c r="U35">
        <f t="shared" si="2"/>
        <v>0.19</v>
      </c>
      <c r="V35">
        <f t="shared" si="0"/>
        <v>0.188</v>
      </c>
      <c r="W35">
        <f t="shared" si="0"/>
        <v>0.19699999999999998</v>
      </c>
      <c r="X35">
        <f t="shared" si="0"/>
        <v>0.21199999999999999</v>
      </c>
      <c r="Y35">
        <f t="shared" si="0"/>
        <v>0.249</v>
      </c>
      <c r="Z35">
        <f t="shared" si="0"/>
        <v>0.27800000000000002</v>
      </c>
      <c r="AA35">
        <f t="shared" si="0"/>
        <v>0.28399999999999997</v>
      </c>
      <c r="AB35">
        <f t="shared" si="0"/>
        <v>0.245</v>
      </c>
      <c r="AC35">
        <f t="shared" si="0"/>
        <v>0.19699999999999998</v>
      </c>
      <c r="AD35">
        <f t="shared" si="0"/>
        <v>0.14300000000000002</v>
      </c>
    </row>
    <row r="36" spans="1:30" x14ac:dyDescent="0.25">
      <c r="A36">
        <v>436</v>
      </c>
      <c r="B36">
        <v>18</v>
      </c>
      <c r="C36">
        <v>0</v>
      </c>
      <c r="D36">
        <v>14</v>
      </c>
      <c r="E36">
        <v>6</v>
      </c>
      <c r="F36">
        <v>30</v>
      </c>
      <c r="G36">
        <v>8</v>
      </c>
      <c r="H36">
        <v>16</v>
      </c>
      <c r="I36">
        <v>21.8</v>
      </c>
      <c r="J36">
        <v>20.100000000000001</v>
      </c>
      <c r="K36">
        <v>26.4</v>
      </c>
      <c r="L36">
        <v>29.2</v>
      </c>
      <c r="M36">
        <v>25.1</v>
      </c>
      <c r="N36">
        <v>26.4</v>
      </c>
      <c r="O36">
        <v>25.7</v>
      </c>
      <c r="P36">
        <v>22.7</v>
      </c>
      <c r="Q36">
        <v>15.8</v>
      </c>
      <c r="R36">
        <v>7.5</v>
      </c>
      <c r="S36">
        <f t="shared" si="1"/>
        <v>18</v>
      </c>
      <c r="T36" t="s">
        <v>34</v>
      </c>
      <c r="U36">
        <f t="shared" si="2"/>
        <v>0.218</v>
      </c>
      <c r="V36">
        <f t="shared" si="0"/>
        <v>0.20100000000000001</v>
      </c>
      <c r="W36">
        <f t="shared" si="0"/>
        <v>0.26400000000000001</v>
      </c>
      <c r="X36">
        <f t="shared" si="0"/>
        <v>0.29199999999999998</v>
      </c>
      <c r="Y36">
        <f t="shared" si="0"/>
        <v>0.251</v>
      </c>
      <c r="Z36">
        <f t="shared" si="0"/>
        <v>0.26400000000000001</v>
      </c>
      <c r="AA36">
        <f t="shared" si="0"/>
        <v>0.25700000000000001</v>
      </c>
      <c r="AB36">
        <f t="shared" si="0"/>
        <v>0.22699999999999998</v>
      </c>
      <c r="AC36">
        <f t="shared" si="0"/>
        <v>0.158</v>
      </c>
      <c r="AD36">
        <f t="shared" si="0"/>
        <v>7.4999999999999997E-2</v>
      </c>
    </row>
    <row r="37" spans="1:30" x14ac:dyDescent="0.25">
      <c r="A37">
        <v>435</v>
      </c>
      <c r="B37">
        <v>19</v>
      </c>
      <c r="C37">
        <v>0</v>
      </c>
      <c r="D37">
        <v>14</v>
      </c>
      <c r="E37">
        <v>6</v>
      </c>
      <c r="F37">
        <v>30</v>
      </c>
      <c r="G37">
        <v>8</v>
      </c>
      <c r="H37">
        <v>21</v>
      </c>
      <c r="I37">
        <v>24.2</v>
      </c>
      <c r="J37">
        <v>23.1</v>
      </c>
      <c r="K37">
        <v>32.700000000000003</v>
      </c>
      <c r="L37">
        <v>21.7</v>
      </c>
      <c r="M37">
        <v>24.2</v>
      </c>
      <c r="N37">
        <v>27.4</v>
      </c>
      <c r="O37">
        <v>28.7</v>
      </c>
      <c r="P37">
        <v>23.6</v>
      </c>
      <c r="Q37">
        <v>17.399999999999999</v>
      </c>
      <c r="R37">
        <v>8.8000000000000007</v>
      </c>
      <c r="S37">
        <f t="shared" si="1"/>
        <v>19</v>
      </c>
      <c r="T37" t="s">
        <v>65</v>
      </c>
      <c r="U37">
        <f t="shared" si="2"/>
        <v>0.24199999999999999</v>
      </c>
      <c r="V37">
        <f t="shared" si="0"/>
        <v>0.23100000000000001</v>
      </c>
      <c r="W37">
        <f t="shared" si="0"/>
        <v>0.32700000000000001</v>
      </c>
      <c r="X37">
        <f t="shared" si="0"/>
        <v>0.217</v>
      </c>
      <c r="Y37">
        <f t="shared" si="0"/>
        <v>0.24199999999999999</v>
      </c>
      <c r="Z37">
        <f t="shared" si="0"/>
        <v>0.27399999999999997</v>
      </c>
      <c r="AA37">
        <f t="shared" si="0"/>
        <v>0.28699999999999998</v>
      </c>
      <c r="AB37">
        <f t="shared" si="0"/>
        <v>0.23600000000000002</v>
      </c>
      <c r="AC37">
        <f t="shared" si="0"/>
        <v>0.17399999999999999</v>
      </c>
      <c r="AD37">
        <f t="shared" si="0"/>
        <v>8.8000000000000009E-2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6</v>
      </c>
      <c r="F38">
        <v>30</v>
      </c>
      <c r="G38">
        <v>8</v>
      </c>
      <c r="H38">
        <v>20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28.9</v>
      </c>
      <c r="O38">
        <v>27.8</v>
      </c>
      <c r="P38">
        <v>20.9</v>
      </c>
      <c r="Q38">
        <v>17.899999999999999</v>
      </c>
      <c r="R38">
        <v>11.5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0.28899999999999998</v>
      </c>
      <c r="AA38">
        <f t="shared" si="0"/>
        <v>0.27800000000000002</v>
      </c>
      <c r="AB38">
        <f t="shared" si="0"/>
        <v>0.20899999999999999</v>
      </c>
      <c r="AC38">
        <f t="shared" si="0"/>
        <v>0.17899999999999999</v>
      </c>
      <c r="AD38">
        <f t="shared" si="0"/>
        <v>0.115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6</v>
      </c>
      <c r="F39">
        <v>30</v>
      </c>
      <c r="G39">
        <v>8</v>
      </c>
      <c r="H39">
        <v>32</v>
      </c>
      <c r="I39">
        <v>23.6</v>
      </c>
      <c r="J39">
        <v>24.2</v>
      </c>
      <c r="K39">
        <v>23.1</v>
      </c>
      <c r="L39">
        <v>24.6</v>
      </c>
      <c r="M39">
        <v>26.4</v>
      </c>
      <c r="N39">
        <v>25</v>
      </c>
      <c r="O39">
        <v>26.3</v>
      </c>
      <c r="P39">
        <v>28.3</v>
      </c>
      <c r="Q39">
        <v>20.399999999999999</v>
      </c>
      <c r="R39">
        <v>12.4</v>
      </c>
      <c r="S39">
        <f t="shared" si="1"/>
        <v>21</v>
      </c>
      <c r="T39" t="s">
        <v>67</v>
      </c>
      <c r="U39">
        <f t="shared" si="2"/>
        <v>0.23600000000000002</v>
      </c>
      <c r="V39">
        <f t="shared" si="0"/>
        <v>0.24199999999999999</v>
      </c>
      <c r="W39">
        <f t="shared" si="0"/>
        <v>0.23100000000000001</v>
      </c>
      <c r="X39">
        <f t="shared" si="0"/>
        <v>0.24600000000000002</v>
      </c>
      <c r="Y39">
        <f t="shared" si="0"/>
        <v>0.26400000000000001</v>
      </c>
      <c r="Z39">
        <f t="shared" si="0"/>
        <v>0.25</v>
      </c>
      <c r="AA39">
        <f t="shared" si="0"/>
        <v>0.26300000000000001</v>
      </c>
      <c r="AB39">
        <f t="shared" si="0"/>
        <v>0.28300000000000003</v>
      </c>
      <c r="AC39">
        <f t="shared" si="0"/>
        <v>0.20399999999999999</v>
      </c>
      <c r="AD39">
        <f t="shared" si="0"/>
        <v>0.124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6</v>
      </c>
      <c r="F40">
        <v>30</v>
      </c>
      <c r="G40">
        <v>8</v>
      </c>
      <c r="H40">
        <v>42</v>
      </c>
      <c r="I40">
        <v>20.399999999999999</v>
      </c>
      <c r="J40">
        <v>19</v>
      </c>
      <c r="K40">
        <v>21.2</v>
      </c>
      <c r="L40">
        <v>21.4</v>
      </c>
      <c r="M40">
        <v>25.7</v>
      </c>
      <c r="N40">
        <v>28.6</v>
      </c>
      <c r="O40">
        <v>30.6</v>
      </c>
      <c r="P40">
        <v>27.2</v>
      </c>
      <c r="Q40">
        <v>22.2</v>
      </c>
      <c r="R40">
        <v>15.4</v>
      </c>
      <c r="S40">
        <f t="shared" si="1"/>
        <v>22</v>
      </c>
      <c r="T40" t="s">
        <v>68</v>
      </c>
      <c r="U40">
        <f t="shared" si="2"/>
        <v>0.20399999999999999</v>
      </c>
      <c r="V40">
        <f t="shared" si="0"/>
        <v>0.19</v>
      </c>
      <c r="W40">
        <f t="shared" si="0"/>
        <v>0.21199999999999999</v>
      </c>
      <c r="X40">
        <f t="shared" si="0"/>
        <v>0.214</v>
      </c>
      <c r="Y40">
        <f t="shared" si="0"/>
        <v>0.25700000000000001</v>
      </c>
      <c r="Z40">
        <f t="shared" si="0"/>
        <v>0.28600000000000003</v>
      </c>
      <c r="AA40">
        <f t="shared" si="0"/>
        <v>0.30599999999999999</v>
      </c>
      <c r="AB40">
        <f t="shared" si="0"/>
        <v>0.27200000000000002</v>
      </c>
      <c r="AC40">
        <f t="shared" si="0"/>
        <v>0.222</v>
      </c>
      <c r="AD40">
        <f t="shared" si="0"/>
        <v>0.154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6</v>
      </c>
      <c r="F41">
        <v>30</v>
      </c>
      <c r="G41">
        <v>8</v>
      </c>
      <c r="H41">
        <v>40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28.6</v>
      </c>
      <c r="O41">
        <v>29.1</v>
      </c>
      <c r="P41">
        <v>24.7</v>
      </c>
      <c r="Q41">
        <v>20.9</v>
      </c>
      <c r="R41">
        <v>13.6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0"/>
        <v/>
      </c>
      <c r="W41" t="str">
        <f t="shared" si="0"/>
        <v/>
      </c>
      <c r="X41" t="str">
        <f t="shared" si="0"/>
        <v/>
      </c>
      <c r="Y41" t="str">
        <f t="shared" si="0"/>
        <v/>
      </c>
      <c r="Z41">
        <f t="shared" si="0"/>
        <v>0.28600000000000003</v>
      </c>
      <c r="AA41">
        <f t="shared" si="0"/>
        <v>0.29100000000000004</v>
      </c>
      <c r="AB41">
        <f t="shared" si="0"/>
        <v>0.247</v>
      </c>
      <c r="AC41">
        <f t="shared" si="0"/>
        <v>0.20899999999999999</v>
      </c>
      <c r="AD41">
        <f t="shared" si="0"/>
        <v>0.13600000000000001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6</v>
      </c>
      <c r="F42">
        <v>30</v>
      </c>
      <c r="G42">
        <v>8</v>
      </c>
      <c r="H42">
        <v>52</v>
      </c>
      <c r="I42">
        <v>19.5</v>
      </c>
      <c r="J42">
        <v>19.399999999999999</v>
      </c>
      <c r="K42">
        <v>23.9</v>
      </c>
      <c r="L42">
        <v>26.1</v>
      </c>
      <c r="M42">
        <v>27.7</v>
      </c>
      <c r="N42">
        <v>29.8</v>
      </c>
      <c r="O42">
        <v>32.200000000000003</v>
      </c>
      <c r="P42">
        <v>28.2</v>
      </c>
      <c r="Q42">
        <v>22.3</v>
      </c>
      <c r="R42">
        <v>17.8</v>
      </c>
      <c r="S42">
        <f t="shared" si="1"/>
        <v>24</v>
      </c>
      <c r="T42" t="s">
        <v>70</v>
      </c>
      <c r="U42">
        <f t="shared" si="2"/>
        <v>0.19500000000000001</v>
      </c>
      <c r="V42">
        <f t="shared" si="0"/>
        <v>0.19399999999999998</v>
      </c>
      <c r="W42">
        <f t="shared" si="0"/>
        <v>0.23899999999999999</v>
      </c>
      <c r="X42">
        <f t="shared" si="0"/>
        <v>0.26100000000000001</v>
      </c>
      <c r="Y42">
        <f t="shared" si="0"/>
        <v>0.27699999999999997</v>
      </c>
      <c r="Z42">
        <f t="shared" si="0"/>
        <v>0.29799999999999999</v>
      </c>
      <c r="AA42">
        <f t="shared" si="0"/>
        <v>0.32200000000000001</v>
      </c>
      <c r="AB42">
        <f t="shared" si="0"/>
        <v>0.28199999999999997</v>
      </c>
      <c r="AC42">
        <f t="shared" si="0"/>
        <v>0.223</v>
      </c>
      <c r="AD42">
        <f t="shared" si="0"/>
        <v>0.17800000000000002</v>
      </c>
    </row>
    <row r="43" spans="1:30" x14ac:dyDescent="0.25">
      <c r="A43">
        <v>429</v>
      </c>
      <c r="B43">
        <v>25</v>
      </c>
      <c r="C43">
        <v>0</v>
      </c>
      <c r="D43">
        <v>14</v>
      </c>
      <c r="E43">
        <v>6</v>
      </c>
      <c r="F43">
        <v>30</v>
      </c>
      <c r="G43">
        <v>9</v>
      </c>
      <c r="H43">
        <v>21</v>
      </c>
      <c r="I43">
        <v>-5.9</v>
      </c>
      <c r="J43">
        <v>23.1</v>
      </c>
      <c r="K43">
        <v>26.1</v>
      </c>
      <c r="L43">
        <v>26.7</v>
      </c>
      <c r="M43">
        <v>27.9</v>
      </c>
      <c r="N43">
        <v>29.6</v>
      </c>
      <c r="O43">
        <v>23.7</v>
      </c>
      <c r="P43">
        <v>21.9</v>
      </c>
      <c r="Q43">
        <v>23.2</v>
      </c>
      <c r="R43">
        <v>19.8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0.23100000000000001</v>
      </c>
      <c r="W43">
        <f t="shared" si="0"/>
        <v>0.26100000000000001</v>
      </c>
      <c r="X43">
        <f t="shared" si="0"/>
        <v>0.26700000000000002</v>
      </c>
      <c r="Y43">
        <f t="shared" si="0"/>
        <v>0.27899999999999997</v>
      </c>
      <c r="Z43">
        <f t="shared" si="0"/>
        <v>0.29600000000000004</v>
      </c>
      <c r="AA43">
        <f t="shared" si="0"/>
        <v>0.23699999999999999</v>
      </c>
      <c r="AB43">
        <f t="shared" si="0"/>
        <v>0.21899999999999997</v>
      </c>
      <c r="AC43">
        <f t="shared" si="0"/>
        <v>0.23199999999999998</v>
      </c>
      <c r="AD43">
        <f t="shared" si="0"/>
        <v>0.19800000000000001</v>
      </c>
    </row>
    <row r="44" spans="1:30" x14ac:dyDescent="0.25">
      <c r="A44">
        <v>428</v>
      </c>
      <c r="B44">
        <v>26</v>
      </c>
      <c r="C44">
        <v>0</v>
      </c>
      <c r="D44">
        <v>14</v>
      </c>
      <c r="E44">
        <v>6</v>
      </c>
      <c r="F44">
        <v>30</v>
      </c>
      <c r="G44">
        <v>9</v>
      </c>
      <c r="H44">
        <v>25</v>
      </c>
      <c r="I44">
        <v>-5.9</v>
      </c>
      <c r="J44">
        <v>19.600000000000001</v>
      </c>
      <c r="K44">
        <v>22.2</v>
      </c>
      <c r="L44">
        <v>24.3</v>
      </c>
      <c r="M44">
        <v>25.9</v>
      </c>
      <c r="N44">
        <v>22.9</v>
      </c>
      <c r="O44">
        <v>25.8</v>
      </c>
      <c r="P44">
        <v>23.7</v>
      </c>
      <c r="Q44">
        <v>20.6</v>
      </c>
      <c r="R44">
        <v>19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0.19600000000000001</v>
      </c>
      <c r="W44">
        <f t="shared" si="0"/>
        <v>0.222</v>
      </c>
      <c r="X44">
        <f t="shared" si="0"/>
        <v>0.24299999999999999</v>
      </c>
      <c r="Y44">
        <f t="shared" si="0"/>
        <v>0.25900000000000001</v>
      </c>
      <c r="Z44">
        <f t="shared" si="0"/>
        <v>0.22899999999999998</v>
      </c>
      <c r="AA44">
        <f t="shared" si="0"/>
        <v>0.25800000000000001</v>
      </c>
      <c r="AB44">
        <f t="shared" si="0"/>
        <v>0.23699999999999999</v>
      </c>
      <c r="AC44">
        <f t="shared" si="0"/>
        <v>0.20600000000000002</v>
      </c>
      <c r="AD44">
        <f t="shared" si="0"/>
        <v>0.19</v>
      </c>
    </row>
    <row r="45" spans="1:30" x14ac:dyDescent="0.25">
      <c r="A45">
        <v>426</v>
      </c>
      <c r="B45">
        <v>27</v>
      </c>
      <c r="C45">
        <v>0</v>
      </c>
      <c r="D45">
        <v>14</v>
      </c>
      <c r="E45">
        <v>6</v>
      </c>
      <c r="F45">
        <v>30</v>
      </c>
      <c r="G45">
        <v>9</v>
      </c>
      <c r="H45">
        <v>31</v>
      </c>
      <c r="I45">
        <v>-5.9</v>
      </c>
      <c r="J45">
        <v>20.2</v>
      </c>
      <c r="K45">
        <v>17.7</v>
      </c>
      <c r="L45">
        <v>27.8</v>
      </c>
      <c r="M45">
        <v>23.6</v>
      </c>
      <c r="N45">
        <v>26.1</v>
      </c>
      <c r="O45">
        <v>28.6</v>
      </c>
      <c r="P45">
        <v>24.8</v>
      </c>
      <c r="Q45">
        <v>24.2</v>
      </c>
      <c r="R45">
        <v>20.9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0.20199999999999999</v>
      </c>
      <c r="W45">
        <f t="shared" si="0"/>
        <v>0.17699999999999999</v>
      </c>
      <c r="X45">
        <f t="shared" si="0"/>
        <v>0.27800000000000002</v>
      </c>
      <c r="Y45">
        <f t="shared" si="0"/>
        <v>0.23600000000000002</v>
      </c>
      <c r="Z45">
        <f t="shared" si="0"/>
        <v>0.26100000000000001</v>
      </c>
      <c r="AA45">
        <f t="shared" si="0"/>
        <v>0.28600000000000003</v>
      </c>
      <c r="AB45">
        <f t="shared" si="0"/>
        <v>0.248</v>
      </c>
      <c r="AC45">
        <f t="shared" si="0"/>
        <v>0.24199999999999999</v>
      </c>
      <c r="AD45">
        <f t="shared" si="0"/>
        <v>0.20899999999999999</v>
      </c>
    </row>
    <row r="46" spans="1:30" x14ac:dyDescent="0.25">
      <c r="A46">
        <v>425</v>
      </c>
      <c r="B46">
        <v>28</v>
      </c>
      <c r="C46">
        <v>0</v>
      </c>
      <c r="D46">
        <v>14</v>
      </c>
      <c r="E46">
        <v>6</v>
      </c>
      <c r="F46">
        <v>30</v>
      </c>
      <c r="G46">
        <v>9</v>
      </c>
      <c r="H46">
        <v>36</v>
      </c>
      <c r="I46">
        <v>20</v>
      </c>
      <c r="J46">
        <v>18.399999999999999</v>
      </c>
      <c r="K46">
        <v>19.100000000000001</v>
      </c>
      <c r="L46">
        <v>22.2</v>
      </c>
      <c r="M46">
        <v>27.2</v>
      </c>
      <c r="N46">
        <v>27.5</v>
      </c>
      <c r="O46">
        <v>28.2</v>
      </c>
      <c r="P46">
        <v>28.8</v>
      </c>
      <c r="Q46">
        <v>22.1</v>
      </c>
      <c r="R46">
        <v>18.2</v>
      </c>
      <c r="S46">
        <f t="shared" si="1"/>
        <v>28</v>
      </c>
      <c r="T46" t="s">
        <v>76</v>
      </c>
      <c r="U46">
        <f t="shared" si="2"/>
        <v>0.2</v>
      </c>
      <c r="V46">
        <f t="shared" si="0"/>
        <v>0.184</v>
      </c>
      <c r="W46">
        <f t="shared" si="0"/>
        <v>0.191</v>
      </c>
      <c r="X46">
        <f t="shared" si="0"/>
        <v>0.222</v>
      </c>
      <c r="Y46">
        <f t="shared" si="0"/>
        <v>0.27200000000000002</v>
      </c>
      <c r="Z46">
        <f t="shared" si="0"/>
        <v>0.27500000000000002</v>
      </c>
      <c r="AA46">
        <f t="shared" si="0"/>
        <v>0.28199999999999997</v>
      </c>
      <c r="AB46">
        <f t="shared" si="0"/>
        <v>0.28800000000000003</v>
      </c>
      <c r="AC46">
        <f t="shared" si="0"/>
        <v>0.221</v>
      </c>
      <c r="AD46">
        <f t="shared" si="0"/>
        <v>0.182</v>
      </c>
    </row>
    <row r="47" spans="1:30" x14ac:dyDescent="0.25">
      <c r="A47">
        <v>424</v>
      </c>
      <c r="B47">
        <v>29</v>
      </c>
      <c r="C47">
        <v>0</v>
      </c>
      <c r="D47">
        <v>14</v>
      </c>
      <c r="E47">
        <v>6</v>
      </c>
      <c r="F47">
        <v>30</v>
      </c>
      <c r="G47">
        <v>9</v>
      </c>
      <c r="H47">
        <v>42</v>
      </c>
      <c r="I47">
        <v>-5.9</v>
      </c>
      <c r="J47">
        <v>34</v>
      </c>
      <c r="K47">
        <v>22.8</v>
      </c>
      <c r="L47">
        <v>25.4</v>
      </c>
      <c r="M47">
        <v>28.3</v>
      </c>
      <c r="N47">
        <v>29.1</v>
      </c>
      <c r="O47">
        <v>31.3</v>
      </c>
      <c r="P47">
        <v>26.4</v>
      </c>
      <c r="Q47">
        <v>24.4</v>
      </c>
      <c r="R47">
        <v>18.7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0.34</v>
      </c>
      <c r="W47">
        <f t="shared" si="0"/>
        <v>0.22800000000000001</v>
      </c>
      <c r="X47">
        <f t="shared" si="0"/>
        <v>0.254</v>
      </c>
      <c r="Y47">
        <f t="shared" ref="Y47:AD47" si="3">IF(M47&lt;0,"",M47/100)</f>
        <v>0.28300000000000003</v>
      </c>
      <c r="Z47">
        <f t="shared" si="3"/>
        <v>0.29100000000000004</v>
      </c>
      <c r="AA47">
        <f t="shared" si="3"/>
        <v>0.313</v>
      </c>
      <c r="AB47">
        <f t="shared" si="3"/>
        <v>0.26400000000000001</v>
      </c>
      <c r="AC47">
        <f t="shared" si="3"/>
        <v>0.24399999999999999</v>
      </c>
      <c r="AD47">
        <f t="shared" si="3"/>
        <v>0.187</v>
      </c>
    </row>
    <row r="48" spans="1:30" x14ac:dyDescent="0.25">
      <c r="A48">
        <v>423</v>
      </c>
      <c r="B48">
        <v>30</v>
      </c>
      <c r="C48">
        <v>0</v>
      </c>
      <c r="D48">
        <v>14</v>
      </c>
      <c r="E48">
        <v>6</v>
      </c>
      <c r="F48">
        <v>30</v>
      </c>
      <c r="G48">
        <v>9</v>
      </c>
      <c r="H48">
        <v>40</v>
      </c>
      <c r="I48">
        <v>25.9</v>
      </c>
      <c r="J48">
        <v>27.7</v>
      </c>
      <c r="K48">
        <v>26.3</v>
      </c>
      <c r="L48">
        <v>23.9</v>
      </c>
      <c r="M48">
        <v>24.2</v>
      </c>
      <c r="N48">
        <v>23.9</v>
      </c>
      <c r="O48">
        <v>20.6</v>
      </c>
      <c r="P48">
        <v>26.2</v>
      </c>
      <c r="Q48">
        <v>18.8</v>
      </c>
      <c r="R48">
        <v>13.9</v>
      </c>
      <c r="S48">
        <f t="shared" si="1"/>
        <v>30</v>
      </c>
      <c r="T48" t="s">
        <v>77</v>
      </c>
      <c r="U48">
        <f t="shared" ref="U48:X54" si="4">IF(I48&lt;0,"",I48/100)</f>
        <v>0.25900000000000001</v>
      </c>
      <c r="V48">
        <f t="shared" si="4"/>
        <v>0.27699999999999997</v>
      </c>
      <c r="W48">
        <f t="shared" si="4"/>
        <v>0.26300000000000001</v>
      </c>
      <c r="X48">
        <f t="shared" si="4"/>
        <v>0.23899999999999999</v>
      </c>
      <c r="Y48">
        <f t="shared" ref="Y48:Y54" si="5">IF(M48&lt;0,"",M48/100)</f>
        <v>0.24199999999999999</v>
      </c>
      <c r="Z48">
        <f t="shared" ref="Z48:Z54" si="6">IF(N48&lt;0,"",N48/100)</f>
        <v>0.23899999999999999</v>
      </c>
      <c r="AA48">
        <f t="shared" ref="AA48:AA54" si="7">IF(O48&lt;0,"",O48/100)</f>
        <v>0.20600000000000002</v>
      </c>
      <c r="AB48">
        <f t="shared" ref="AB48:AB54" si="8">IF(P48&lt;0,"",P48/100)</f>
        <v>0.26200000000000001</v>
      </c>
      <c r="AC48">
        <f t="shared" ref="AC48:AC54" si="9">IF(Q48&lt;0,"",Q48/100)</f>
        <v>0.188</v>
      </c>
      <c r="AD48">
        <f t="shared" ref="AD48:AD54" si="10">IF(R48&lt;0,"",R48/100)</f>
        <v>0.13900000000000001</v>
      </c>
    </row>
    <row r="49" spans="1:30" x14ac:dyDescent="0.25">
      <c r="A49">
        <v>422</v>
      </c>
      <c r="B49">
        <v>31</v>
      </c>
      <c r="C49">
        <v>0</v>
      </c>
      <c r="D49">
        <v>14</v>
      </c>
      <c r="E49">
        <v>6</v>
      </c>
      <c r="F49">
        <v>30</v>
      </c>
      <c r="G49">
        <v>9</v>
      </c>
      <c r="H49">
        <v>54</v>
      </c>
      <c r="I49">
        <v>-5.9</v>
      </c>
      <c r="J49">
        <v>-5.9</v>
      </c>
      <c r="K49">
        <v>23.4</v>
      </c>
      <c r="L49">
        <v>22.8</v>
      </c>
      <c r="M49">
        <v>24.2</v>
      </c>
      <c r="N49">
        <v>24.4</v>
      </c>
      <c r="O49">
        <v>24.1</v>
      </c>
      <c r="P49">
        <v>26.3</v>
      </c>
      <c r="Q49">
        <v>19</v>
      </c>
      <c r="R49">
        <v>7</v>
      </c>
      <c r="S49">
        <f t="shared" si="1"/>
        <v>31</v>
      </c>
      <c r="T49" t="s">
        <v>54</v>
      </c>
      <c r="U49" t="str">
        <f t="shared" si="4"/>
        <v/>
      </c>
      <c r="V49" t="str">
        <f t="shared" si="4"/>
        <v/>
      </c>
      <c r="W49">
        <f t="shared" si="4"/>
        <v>0.23399999999999999</v>
      </c>
      <c r="X49">
        <f t="shared" si="4"/>
        <v>0.22800000000000001</v>
      </c>
      <c r="Y49">
        <f t="shared" si="5"/>
        <v>0.24199999999999999</v>
      </c>
      <c r="Z49">
        <f t="shared" si="6"/>
        <v>0.24399999999999999</v>
      </c>
      <c r="AA49">
        <f t="shared" si="7"/>
        <v>0.24100000000000002</v>
      </c>
      <c r="AB49">
        <f t="shared" si="8"/>
        <v>0.26300000000000001</v>
      </c>
      <c r="AC49">
        <f t="shared" si="9"/>
        <v>0.19</v>
      </c>
      <c r="AD49">
        <f t="shared" si="10"/>
        <v>7.0000000000000007E-2</v>
      </c>
    </row>
    <row r="50" spans="1:30" x14ac:dyDescent="0.25">
      <c r="A50">
        <v>421</v>
      </c>
      <c r="B50">
        <v>32</v>
      </c>
      <c r="C50">
        <v>0</v>
      </c>
      <c r="D50">
        <v>14</v>
      </c>
      <c r="E50">
        <v>6</v>
      </c>
      <c r="F50">
        <v>30</v>
      </c>
      <c r="G50">
        <v>9</v>
      </c>
      <c r="H50">
        <v>51</v>
      </c>
      <c r="I50">
        <v>-5.9</v>
      </c>
      <c r="J50">
        <v>24.8</v>
      </c>
      <c r="K50">
        <v>22.3</v>
      </c>
      <c r="L50">
        <v>25.1</v>
      </c>
      <c r="M50">
        <v>27.2</v>
      </c>
      <c r="N50">
        <v>28.4</v>
      </c>
      <c r="O50">
        <v>27.5</v>
      </c>
      <c r="P50">
        <v>22.1</v>
      </c>
      <c r="Q50">
        <v>17.2</v>
      </c>
      <c r="R50">
        <v>7.9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0.248</v>
      </c>
      <c r="W50">
        <f t="shared" si="4"/>
        <v>0.223</v>
      </c>
      <c r="X50">
        <f t="shared" si="4"/>
        <v>0.251</v>
      </c>
      <c r="Y50">
        <f t="shared" si="5"/>
        <v>0.27200000000000002</v>
      </c>
      <c r="Z50">
        <f t="shared" si="6"/>
        <v>0.28399999999999997</v>
      </c>
      <c r="AA50">
        <f t="shared" si="7"/>
        <v>0.27500000000000002</v>
      </c>
      <c r="AB50">
        <f t="shared" si="8"/>
        <v>0.221</v>
      </c>
      <c r="AC50">
        <f t="shared" si="9"/>
        <v>0.17199999999999999</v>
      </c>
      <c r="AD50">
        <f t="shared" si="10"/>
        <v>7.9000000000000001E-2</v>
      </c>
    </row>
    <row r="51" spans="1:30" x14ac:dyDescent="0.25">
      <c r="A51">
        <v>420</v>
      </c>
      <c r="B51">
        <v>33</v>
      </c>
      <c r="C51">
        <v>0</v>
      </c>
      <c r="D51">
        <v>14</v>
      </c>
      <c r="E51">
        <v>6</v>
      </c>
      <c r="F51">
        <v>30</v>
      </c>
      <c r="G51">
        <v>10</v>
      </c>
      <c r="H51">
        <v>5</v>
      </c>
      <c r="I51">
        <v>-5.9</v>
      </c>
      <c r="J51">
        <v>21.5</v>
      </c>
      <c r="K51">
        <v>23.4</v>
      </c>
      <c r="L51">
        <v>27.9</v>
      </c>
      <c r="M51">
        <v>30.5</v>
      </c>
      <c r="N51">
        <v>31.9</v>
      </c>
      <c r="O51">
        <v>29.1</v>
      </c>
      <c r="P51">
        <v>25.9</v>
      </c>
      <c r="Q51">
        <v>17.7</v>
      </c>
      <c r="R51">
        <v>8.6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0.215</v>
      </c>
      <c r="W51">
        <f t="shared" si="4"/>
        <v>0.23399999999999999</v>
      </c>
      <c r="X51">
        <f t="shared" si="4"/>
        <v>0.27899999999999997</v>
      </c>
      <c r="Y51">
        <f t="shared" si="5"/>
        <v>0.30499999999999999</v>
      </c>
      <c r="Z51">
        <f t="shared" si="6"/>
        <v>0.31900000000000001</v>
      </c>
      <c r="AA51">
        <f t="shared" si="7"/>
        <v>0.29100000000000004</v>
      </c>
      <c r="AB51">
        <f t="shared" si="8"/>
        <v>0.25900000000000001</v>
      </c>
      <c r="AC51">
        <f t="shared" si="9"/>
        <v>0.17699999999999999</v>
      </c>
      <c r="AD51">
        <f t="shared" si="10"/>
        <v>8.5999999999999993E-2</v>
      </c>
    </row>
    <row r="52" spans="1:30" x14ac:dyDescent="0.25">
      <c r="A52">
        <v>419</v>
      </c>
      <c r="B52">
        <v>34</v>
      </c>
      <c r="C52">
        <v>0</v>
      </c>
      <c r="D52">
        <v>14</v>
      </c>
      <c r="E52">
        <v>6</v>
      </c>
      <c r="F52">
        <v>30</v>
      </c>
      <c r="G52">
        <v>10</v>
      </c>
      <c r="H52">
        <v>10</v>
      </c>
      <c r="I52">
        <v>-5.9</v>
      </c>
      <c r="J52">
        <v>-5.9</v>
      </c>
      <c r="K52">
        <v>24.2</v>
      </c>
      <c r="L52">
        <v>27</v>
      </c>
      <c r="M52">
        <v>27.4</v>
      </c>
      <c r="N52">
        <v>29.6</v>
      </c>
      <c r="O52">
        <v>30.4</v>
      </c>
      <c r="P52">
        <v>23.1</v>
      </c>
      <c r="Q52">
        <v>19.100000000000001</v>
      </c>
      <c r="R52">
        <v>10.6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0.24199999999999999</v>
      </c>
      <c r="X52">
        <f t="shared" si="4"/>
        <v>0.27</v>
      </c>
      <c r="Y52">
        <f t="shared" si="5"/>
        <v>0.27399999999999997</v>
      </c>
      <c r="Z52">
        <f t="shared" si="6"/>
        <v>0.29600000000000004</v>
      </c>
      <c r="AA52">
        <f t="shared" si="7"/>
        <v>0.30399999999999999</v>
      </c>
      <c r="AB52">
        <f t="shared" si="8"/>
        <v>0.23100000000000001</v>
      </c>
      <c r="AC52">
        <f t="shared" si="9"/>
        <v>0.191</v>
      </c>
      <c r="AD52">
        <f t="shared" si="10"/>
        <v>0.106</v>
      </c>
    </row>
    <row r="53" spans="1:30" x14ac:dyDescent="0.25">
      <c r="A53">
        <v>418</v>
      </c>
      <c r="B53">
        <v>35</v>
      </c>
      <c r="C53">
        <v>0</v>
      </c>
      <c r="D53">
        <v>14</v>
      </c>
      <c r="E53">
        <v>6</v>
      </c>
      <c r="F53">
        <v>30</v>
      </c>
      <c r="G53">
        <v>10</v>
      </c>
      <c r="H53">
        <v>14</v>
      </c>
      <c r="I53">
        <v>-5.9</v>
      </c>
      <c r="J53">
        <v>-5.9</v>
      </c>
      <c r="K53">
        <v>27.1</v>
      </c>
      <c r="L53">
        <v>28.6</v>
      </c>
      <c r="M53">
        <v>30.6</v>
      </c>
      <c r="N53">
        <v>29.6</v>
      </c>
      <c r="O53">
        <v>25.1</v>
      </c>
      <c r="P53">
        <v>19.8</v>
      </c>
      <c r="Q53">
        <v>17.600000000000001</v>
      </c>
      <c r="R53">
        <v>8.4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0.27100000000000002</v>
      </c>
      <c r="X53">
        <f t="shared" si="4"/>
        <v>0.28600000000000003</v>
      </c>
      <c r="Y53">
        <f t="shared" si="5"/>
        <v>0.30599999999999999</v>
      </c>
      <c r="Z53">
        <f t="shared" si="6"/>
        <v>0.29600000000000004</v>
      </c>
      <c r="AA53">
        <f t="shared" si="7"/>
        <v>0.251</v>
      </c>
      <c r="AB53">
        <f t="shared" si="8"/>
        <v>0.19800000000000001</v>
      </c>
      <c r="AC53">
        <f t="shared" si="9"/>
        <v>0.17600000000000002</v>
      </c>
      <c r="AD53">
        <f t="shared" si="10"/>
        <v>8.4000000000000005E-2</v>
      </c>
    </row>
    <row r="54" spans="1:30" x14ac:dyDescent="0.25">
      <c r="A54">
        <v>417</v>
      </c>
      <c r="B54">
        <v>36</v>
      </c>
      <c r="C54">
        <v>0</v>
      </c>
      <c r="D54">
        <v>14</v>
      </c>
      <c r="E54">
        <v>6</v>
      </c>
      <c r="F54">
        <v>30</v>
      </c>
      <c r="G54">
        <v>10</v>
      </c>
      <c r="H54">
        <v>11</v>
      </c>
      <c r="I54">
        <v>-5.9</v>
      </c>
      <c r="J54">
        <v>21.8</v>
      </c>
      <c r="K54">
        <v>27.1</v>
      </c>
      <c r="L54">
        <v>27.5</v>
      </c>
      <c r="M54">
        <v>22.5</v>
      </c>
      <c r="N54">
        <v>24.4</v>
      </c>
      <c r="O54">
        <v>20.8</v>
      </c>
      <c r="P54">
        <v>19.899999999999999</v>
      </c>
      <c r="Q54">
        <v>19</v>
      </c>
      <c r="R54">
        <v>7.9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0.218</v>
      </c>
      <c r="W54">
        <f t="shared" si="4"/>
        <v>0.27100000000000002</v>
      </c>
      <c r="X54">
        <f t="shared" si="4"/>
        <v>0.27500000000000002</v>
      </c>
      <c r="Y54">
        <f t="shared" si="5"/>
        <v>0.22500000000000001</v>
      </c>
      <c r="Z54">
        <f t="shared" si="6"/>
        <v>0.24399999999999999</v>
      </c>
      <c r="AA54">
        <f t="shared" si="7"/>
        <v>0.20800000000000002</v>
      </c>
      <c r="AB54">
        <f t="shared" si="8"/>
        <v>0.19899999999999998</v>
      </c>
      <c r="AC54">
        <f t="shared" si="9"/>
        <v>0.19</v>
      </c>
      <c r="AD54">
        <f t="shared" si="10"/>
        <v>7.9000000000000001E-2</v>
      </c>
    </row>
    <row r="57" spans="1:30" x14ac:dyDescent="0.25">
      <c r="A57" s="2">
        <v>41820</v>
      </c>
    </row>
    <row r="58" spans="1:30" x14ac:dyDescent="0.25">
      <c r="A58" t="s">
        <v>3</v>
      </c>
      <c r="B58">
        <v>6116</v>
      </c>
      <c r="C58" t="s">
        <v>4</v>
      </c>
      <c r="D58">
        <v>12633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6</v>
      </c>
      <c r="F75">
        <v>30</v>
      </c>
      <c r="G75">
        <v>6</v>
      </c>
      <c r="H75">
        <v>1</v>
      </c>
      <c r="I75">
        <v>19.5</v>
      </c>
      <c r="J75">
        <v>22.5</v>
      </c>
      <c r="K75">
        <v>20.8</v>
      </c>
      <c r="L75">
        <v>17.899999999999999</v>
      </c>
      <c r="M75">
        <v>16.3</v>
      </c>
      <c r="N75">
        <v>17.5</v>
      </c>
      <c r="O75">
        <v>18.899999999999999</v>
      </c>
      <c r="P75">
        <v>18.399999999999999</v>
      </c>
      <c r="Q75">
        <v>18.3</v>
      </c>
      <c r="R75">
        <v>13.3</v>
      </c>
      <c r="S75">
        <f>B75</f>
        <v>66</v>
      </c>
      <c r="T75" t="s">
        <v>50</v>
      </c>
      <c r="U75">
        <f>IF(I75&lt;0,"",I75/100)</f>
        <v>0.19500000000000001</v>
      </c>
      <c r="V75">
        <f t="shared" ref="V75:AD103" si="11">IF(J75&lt;0,"",J75/100)</f>
        <v>0.22500000000000001</v>
      </c>
      <c r="W75">
        <f t="shared" si="11"/>
        <v>0.20800000000000002</v>
      </c>
      <c r="X75">
        <f t="shared" si="11"/>
        <v>0.17899999999999999</v>
      </c>
      <c r="Y75">
        <f t="shared" si="11"/>
        <v>0.16300000000000001</v>
      </c>
      <c r="Z75">
        <f t="shared" si="11"/>
        <v>0.17499999999999999</v>
      </c>
      <c r="AA75">
        <f t="shared" si="11"/>
        <v>0.18899999999999997</v>
      </c>
      <c r="AB75">
        <f t="shared" si="11"/>
        <v>0.184</v>
      </c>
      <c r="AC75">
        <f t="shared" si="11"/>
        <v>0.183</v>
      </c>
      <c r="AD75">
        <f t="shared" si="11"/>
        <v>0.13300000000000001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6</v>
      </c>
      <c r="F76">
        <v>30</v>
      </c>
      <c r="G76">
        <v>6</v>
      </c>
      <c r="H76">
        <v>6</v>
      </c>
      <c r="I76">
        <v>19.3</v>
      </c>
      <c r="J76">
        <v>9.2200000000000006</v>
      </c>
      <c r="K76">
        <v>23</v>
      </c>
      <c r="L76">
        <v>23.3</v>
      </c>
      <c r="M76">
        <v>23.1</v>
      </c>
      <c r="N76">
        <v>21.7</v>
      </c>
      <c r="O76">
        <v>16.8</v>
      </c>
      <c r="P76">
        <v>16.399999999999999</v>
      </c>
      <c r="Q76">
        <v>17</v>
      </c>
      <c r="R76">
        <v>9.6999999999999993</v>
      </c>
      <c r="S76">
        <f t="shared" ref="S76:S104" si="12">B76</f>
        <v>65</v>
      </c>
      <c r="T76" t="s">
        <v>49</v>
      </c>
      <c r="U76">
        <f t="shared" ref="U76:U103" si="13">IF(I76&lt;0,"",I76/100)</f>
        <v>0.193</v>
      </c>
      <c r="V76">
        <f t="shared" si="11"/>
        <v>9.2200000000000004E-2</v>
      </c>
      <c r="W76">
        <f t="shared" si="11"/>
        <v>0.23</v>
      </c>
      <c r="X76">
        <f t="shared" si="11"/>
        <v>0.23300000000000001</v>
      </c>
      <c r="Y76">
        <f t="shared" si="11"/>
        <v>0.23100000000000001</v>
      </c>
      <c r="Z76">
        <f t="shared" si="11"/>
        <v>0.217</v>
      </c>
      <c r="AA76">
        <f t="shared" si="11"/>
        <v>0.16800000000000001</v>
      </c>
      <c r="AB76">
        <f t="shared" si="11"/>
        <v>0.16399999999999998</v>
      </c>
      <c r="AC76">
        <f t="shared" si="11"/>
        <v>0.17</v>
      </c>
      <c r="AD76">
        <f t="shared" si="11"/>
        <v>9.6999999999999989E-2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6</v>
      </c>
      <c r="F77">
        <v>30</v>
      </c>
      <c r="G77">
        <v>6</v>
      </c>
      <c r="H77">
        <v>13</v>
      </c>
      <c r="I77">
        <v>14.9</v>
      </c>
      <c r="J77">
        <v>13.4</v>
      </c>
      <c r="K77">
        <v>12.9</v>
      </c>
      <c r="L77">
        <v>12</v>
      </c>
      <c r="M77">
        <v>11.5</v>
      </c>
      <c r="N77">
        <v>11.7</v>
      </c>
      <c r="O77">
        <v>12.8</v>
      </c>
      <c r="P77">
        <v>17.7</v>
      </c>
      <c r="Q77">
        <v>20.6</v>
      </c>
      <c r="R77">
        <v>14</v>
      </c>
      <c r="S77">
        <f t="shared" si="12"/>
        <v>64</v>
      </c>
      <c r="T77" t="s">
        <v>48</v>
      </c>
      <c r="U77">
        <f t="shared" si="13"/>
        <v>0.14899999999999999</v>
      </c>
      <c r="V77">
        <f t="shared" si="11"/>
        <v>0.13400000000000001</v>
      </c>
      <c r="W77">
        <f t="shared" si="11"/>
        <v>0.129</v>
      </c>
      <c r="X77">
        <f t="shared" si="11"/>
        <v>0.12</v>
      </c>
      <c r="Y77">
        <f t="shared" si="11"/>
        <v>0.115</v>
      </c>
      <c r="Z77">
        <f t="shared" si="11"/>
        <v>0.11699999999999999</v>
      </c>
      <c r="AA77">
        <f t="shared" si="11"/>
        <v>0.128</v>
      </c>
      <c r="AB77">
        <f t="shared" si="11"/>
        <v>0.17699999999999999</v>
      </c>
      <c r="AC77">
        <f t="shared" si="11"/>
        <v>0.20600000000000002</v>
      </c>
      <c r="AD77">
        <f t="shared" si="11"/>
        <v>0.14000000000000001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6</v>
      </c>
      <c r="F78">
        <v>30</v>
      </c>
      <c r="G78">
        <v>6</v>
      </c>
      <c r="H78">
        <v>11</v>
      </c>
      <c r="I78">
        <v>-5</v>
      </c>
      <c r="J78">
        <v>-5</v>
      </c>
      <c r="K78">
        <v>-5</v>
      </c>
      <c r="L78">
        <v>24.1</v>
      </c>
      <c r="M78">
        <v>22.1</v>
      </c>
      <c r="N78">
        <v>21.3</v>
      </c>
      <c r="O78">
        <v>20.3</v>
      </c>
      <c r="P78">
        <v>19.2</v>
      </c>
      <c r="Q78">
        <v>18.2</v>
      </c>
      <c r="R78">
        <v>12.4</v>
      </c>
      <c r="S78">
        <f t="shared" si="12"/>
        <v>63</v>
      </c>
      <c r="T78" t="s">
        <v>47</v>
      </c>
      <c r="U78" t="str">
        <f t="shared" si="13"/>
        <v/>
      </c>
      <c r="V78" t="str">
        <f t="shared" si="11"/>
        <v/>
      </c>
      <c r="W78" t="str">
        <f t="shared" si="11"/>
        <v/>
      </c>
      <c r="X78">
        <f t="shared" si="11"/>
        <v>0.24100000000000002</v>
      </c>
      <c r="Y78">
        <f t="shared" si="11"/>
        <v>0.221</v>
      </c>
      <c r="Z78">
        <f t="shared" si="11"/>
        <v>0.21299999999999999</v>
      </c>
      <c r="AA78">
        <f t="shared" si="11"/>
        <v>0.20300000000000001</v>
      </c>
      <c r="AB78">
        <f t="shared" si="11"/>
        <v>0.192</v>
      </c>
      <c r="AC78">
        <f t="shared" si="11"/>
        <v>0.182</v>
      </c>
      <c r="AD78">
        <f t="shared" si="11"/>
        <v>0.124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6</v>
      </c>
      <c r="F79">
        <v>30</v>
      </c>
      <c r="G79">
        <v>6</v>
      </c>
      <c r="H79">
        <v>24</v>
      </c>
      <c r="I79">
        <v>23.6</v>
      </c>
      <c r="J79">
        <v>24.3</v>
      </c>
      <c r="K79">
        <v>24.8</v>
      </c>
      <c r="L79">
        <v>25.8</v>
      </c>
      <c r="M79">
        <v>25.2</v>
      </c>
      <c r="N79">
        <v>23.8</v>
      </c>
      <c r="O79">
        <v>22.4</v>
      </c>
      <c r="P79">
        <v>20.7</v>
      </c>
      <c r="Q79">
        <v>18.5</v>
      </c>
      <c r="R79">
        <v>9.3000000000000007</v>
      </c>
      <c r="S79">
        <f t="shared" si="12"/>
        <v>62</v>
      </c>
      <c r="T79" t="s">
        <v>46</v>
      </c>
      <c r="U79">
        <f t="shared" si="13"/>
        <v>0.23600000000000002</v>
      </c>
      <c r="V79">
        <f t="shared" si="11"/>
        <v>0.24299999999999999</v>
      </c>
      <c r="W79">
        <f t="shared" si="11"/>
        <v>0.248</v>
      </c>
      <c r="X79">
        <f t="shared" si="11"/>
        <v>0.25800000000000001</v>
      </c>
      <c r="Y79">
        <f t="shared" si="11"/>
        <v>0.252</v>
      </c>
      <c r="Z79">
        <f t="shared" si="11"/>
        <v>0.23800000000000002</v>
      </c>
      <c r="AA79">
        <f t="shared" si="11"/>
        <v>0.22399999999999998</v>
      </c>
      <c r="AB79">
        <f t="shared" si="11"/>
        <v>0.20699999999999999</v>
      </c>
      <c r="AC79">
        <f t="shared" si="11"/>
        <v>0.185</v>
      </c>
      <c r="AD79">
        <f t="shared" si="11"/>
        <v>9.3000000000000013E-2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6</v>
      </c>
      <c r="F80">
        <v>30</v>
      </c>
      <c r="G80">
        <v>6</v>
      </c>
      <c r="H80">
        <v>30</v>
      </c>
      <c r="I80">
        <v>23.3</v>
      </c>
      <c r="J80">
        <v>22.6</v>
      </c>
      <c r="K80">
        <v>22.8</v>
      </c>
      <c r="L80">
        <v>24.1</v>
      </c>
      <c r="M80">
        <v>23.8</v>
      </c>
      <c r="N80">
        <v>19.600000000000001</v>
      </c>
      <c r="O80">
        <v>18</v>
      </c>
      <c r="P80">
        <v>19.100000000000001</v>
      </c>
      <c r="Q80">
        <v>18</v>
      </c>
      <c r="R80">
        <v>10.5</v>
      </c>
      <c r="S80">
        <f t="shared" si="12"/>
        <v>61</v>
      </c>
      <c r="T80" t="s">
        <v>45</v>
      </c>
      <c r="U80">
        <f t="shared" si="13"/>
        <v>0.23300000000000001</v>
      </c>
      <c r="V80">
        <f t="shared" si="11"/>
        <v>0.22600000000000001</v>
      </c>
      <c r="W80">
        <f t="shared" si="11"/>
        <v>0.22800000000000001</v>
      </c>
      <c r="X80">
        <f t="shared" si="11"/>
        <v>0.24100000000000002</v>
      </c>
      <c r="Y80">
        <f t="shared" si="11"/>
        <v>0.23800000000000002</v>
      </c>
      <c r="Z80">
        <f t="shared" si="11"/>
        <v>0.19600000000000001</v>
      </c>
      <c r="AA80">
        <f t="shared" si="11"/>
        <v>0.18</v>
      </c>
      <c r="AB80">
        <f t="shared" si="11"/>
        <v>0.191</v>
      </c>
      <c r="AC80">
        <f t="shared" si="11"/>
        <v>0.18</v>
      </c>
      <c r="AD80">
        <f t="shared" si="11"/>
        <v>0.105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6</v>
      </c>
      <c r="F81">
        <v>30</v>
      </c>
      <c r="G81">
        <v>6</v>
      </c>
      <c r="H81">
        <v>45</v>
      </c>
      <c r="I81">
        <v>-5</v>
      </c>
      <c r="J81">
        <v>21.5</v>
      </c>
      <c r="K81">
        <v>21.9</v>
      </c>
      <c r="L81">
        <v>21.8</v>
      </c>
      <c r="M81">
        <v>20.3</v>
      </c>
      <c r="N81">
        <v>14.1</v>
      </c>
      <c r="O81">
        <v>13.8</v>
      </c>
      <c r="P81">
        <v>16.8</v>
      </c>
      <c r="Q81">
        <v>15.3</v>
      </c>
      <c r="R81">
        <v>8.3000000000000007</v>
      </c>
      <c r="S81">
        <f t="shared" si="12"/>
        <v>60</v>
      </c>
      <c r="T81" t="s">
        <v>94</v>
      </c>
      <c r="U81" t="str">
        <f t="shared" si="13"/>
        <v/>
      </c>
      <c r="V81">
        <f t="shared" si="11"/>
        <v>0.215</v>
      </c>
      <c r="W81">
        <f t="shared" si="11"/>
        <v>0.21899999999999997</v>
      </c>
      <c r="X81">
        <f t="shared" si="11"/>
        <v>0.218</v>
      </c>
      <c r="Y81">
        <f t="shared" si="11"/>
        <v>0.20300000000000001</v>
      </c>
      <c r="Z81">
        <f t="shared" si="11"/>
        <v>0.14099999999999999</v>
      </c>
      <c r="AA81">
        <f t="shared" si="11"/>
        <v>0.13800000000000001</v>
      </c>
      <c r="AB81">
        <f t="shared" si="11"/>
        <v>0.16800000000000001</v>
      </c>
      <c r="AC81">
        <f t="shared" si="11"/>
        <v>0.153</v>
      </c>
      <c r="AD81">
        <f t="shared" si="11"/>
        <v>8.3000000000000004E-2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6</v>
      </c>
      <c r="F82">
        <v>30</v>
      </c>
      <c r="G82">
        <v>6</v>
      </c>
      <c r="H82">
        <v>52</v>
      </c>
      <c r="I82">
        <v>22</v>
      </c>
      <c r="J82">
        <v>22.4</v>
      </c>
      <c r="K82">
        <v>23.2</v>
      </c>
      <c r="L82">
        <v>23.1</v>
      </c>
      <c r="M82">
        <v>21.1</v>
      </c>
      <c r="N82">
        <v>16.600000000000001</v>
      </c>
      <c r="O82">
        <v>14</v>
      </c>
      <c r="P82">
        <v>17.600000000000001</v>
      </c>
      <c r="Q82">
        <v>16.8</v>
      </c>
      <c r="R82">
        <v>11.1</v>
      </c>
      <c r="S82">
        <f t="shared" si="12"/>
        <v>59</v>
      </c>
      <c r="T82" t="s">
        <v>93</v>
      </c>
      <c r="U82">
        <f t="shared" si="13"/>
        <v>0.22</v>
      </c>
      <c r="V82">
        <f t="shared" si="11"/>
        <v>0.22399999999999998</v>
      </c>
      <c r="W82">
        <f t="shared" si="11"/>
        <v>0.23199999999999998</v>
      </c>
      <c r="X82">
        <f t="shared" si="11"/>
        <v>0.23100000000000001</v>
      </c>
      <c r="Y82">
        <f t="shared" si="11"/>
        <v>0.21100000000000002</v>
      </c>
      <c r="Z82">
        <f t="shared" si="11"/>
        <v>0.16600000000000001</v>
      </c>
      <c r="AA82">
        <f t="shared" si="11"/>
        <v>0.14000000000000001</v>
      </c>
      <c r="AB82">
        <f t="shared" si="11"/>
        <v>0.17600000000000002</v>
      </c>
      <c r="AC82">
        <f t="shared" si="11"/>
        <v>0.16800000000000001</v>
      </c>
      <c r="AD82">
        <f t="shared" si="11"/>
        <v>0.111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6</v>
      </c>
      <c r="F83">
        <v>30</v>
      </c>
      <c r="G83">
        <v>6</v>
      </c>
      <c r="H83">
        <v>57</v>
      </c>
      <c r="I83">
        <v>-5</v>
      </c>
      <c r="J83">
        <v>20.5</v>
      </c>
      <c r="K83">
        <v>25</v>
      </c>
      <c r="L83">
        <v>25.5</v>
      </c>
      <c r="M83">
        <v>25.1</v>
      </c>
      <c r="N83">
        <v>23.7</v>
      </c>
      <c r="O83">
        <v>20.2</v>
      </c>
      <c r="P83">
        <v>20.399999999999999</v>
      </c>
      <c r="Q83">
        <v>18.899999999999999</v>
      </c>
      <c r="R83">
        <v>12.4</v>
      </c>
      <c r="S83">
        <f t="shared" si="12"/>
        <v>58</v>
      </c>
      <c r="T83" t="s">
        <v>92</v>
      </c>
      <c r="U83" t="str">
        <f t="shared" si="13"/>
        <v/>
      </c>
      <c r="V83">
        <f t="shared" si="11"/>
        <v>0.20499999999999999</v>
      </c>
      <c r="W83">
        <f t="shared" si="11"/>
        <v>0.25</v>
      </c>
      <c r="X83">
        <f t="shared" si="11"/>
        <v>0.255</v>
      </c>
      <c r="Y83">
        <f t="shared" si="11"/>
        <v>0.251</v>
      </c>
      <c r="Z83">
        <f t="shared" si="11"/>
        <v>0.23699999999999999</v>
      </c>
      <c r="AA83">
        <f t="shared" si="11"/>
        <v>0.20199999999999999</v>
      </c>
      <c r="AB83">
        <f t="shared" si="11"/>
        <v>0.20399999999999999</v>
      </c>
      <c r="AC83">
        <f t="shared" si="11"/>
        <v>0.18899999999999997</v>
      </c>
      <c r="AD83">
        <f t="shared" si="11"/>
        <v>0.124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6</v>
      </c>
      <c r="F84">
        <v>30</v>
      </c>
      <c r="G84">
        <v>7</v>
      </c>
      <c r="H84">
        <v>3</v>
      </c>
      <c r="I84">
        <v>16.899999999999999</v>
      </c>
      <c r="J84">
        <v>20.6</v>
      </c>
      <c r="K84">
        <v>26.1</v>
      </c>
      <c r="L84">
        <v>26.5</v>
      </c>
      <c r="M84">
        <v>26.1</v>
      </c>
      <c r="N84">
        <v>27</v>
      </c>
      <c r="O84">
        <v>24.6</v>
      </c>
      <c r="P84">
        <v>23.1</v>
      </c>
      <c r="Q84">
        <v>19.3</v>
      </c>
      <c r="R84">
        <v>10.8</v>
      </c>
      <c r="S84">
        <f t="shared" si="12"/>
        <v>57</v>
      </c>
      <c r="T84" t="s">
        <v>91</v>
      </c>
      <c r="U84">
        <f t="shared" si="13"/>
        <v>0.16899999999999998</v>
      </c>
      <c r="V84">
        <f t="shared" si="11"/>
        <v>0.20600000000000002</v>
      </c>
      <c r="W84">
        <f t="shared" si="11"/>
        <v>0.26100000000000001</v>
      </c>
      <c r="X84">
        <f t="shared" si="11"/>
        <v>0.26500000000000001</v>
      </c>
      <c r="Y84">
        <f t="shared" si="11"/>
        <v>0.26100000000000001</v>
      </c>
      <c r="Z84">
        <f t="shared" si="11"/>
        <v>0.27</v>
      </c>
      <c r="AA84">
        <f t="shared" si="11"/>
        <v>0.24600000000000002</v>
      </c>
      <c r="AB84">
        <f t="shared" si="11"/>
        <v>0.23100000000000001</v>
      </c>
      <c r="AC84">
        <f t="shared" si="11"/>
        <v>0.193</v>
      </c>
      <c r="AD84">
        <f t="shared" si="11"/>
        <v>0.10800000000000001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6</v>
      </c>
      <c r="F85">
        <v>30</v>
      </c>
      <c r="G85">
        <v>7</v>
      </c>
      <c r="H85">
        <v>0</v>
      </c>
      <c r="I85">
        <v>20.3</v>
      </c>
      <c r="J85">
        <v>21</v>
      </c>
      <c r="K85">
        <v>19.5</v>
      </c>
      <c r="L85">
        <v>22.2</v>
      </c>
      <c r="M85">
        <v>23.1</v>
      </c>
      <c r="N85">
        <v>23.6</v>
      </c>
      <c r="O85">
        <v>23.6</v>
      </c>
      <c r="P85">
        <v>18.600000000000001</v>
      </c>
      <c r="Q85">
        <v>17.2</v>
      </c>
      <c r="R85">
        <v>10.5</v>
      </c>
      <c r="S85">
        <f t="shared" si="12"/>
        <v>56</v>
      </c>
      <c r="T85" t="s">
        <v>90</v>
      </c>
      <c r="U85">
        <f t="shared" si="13"/>
        <v>0.20300000000000001</v>
      </c>
      <c r="V85">
        <f t="shared" si="11"/>
        <v>0.21</v>
      </c>
      <c r="W85">
        <f t="shared" si="11"/>
        <v>0.19500000000000001</v>
      </c>
      <c r="X85">
        <f t="shared" si="11"/>
        <v>0.222</v>
      </c>
      <c r="Y85">
        <f t="shared" si="11"/>
        <v>0.23100000000000001</v>
      </c>
      <c r="Z85">
        <f t="shared" si="11"/>
        <v>0.23600000000000002</v>
      </c>
      <c r="AA85">
        <f t="shared" si="11"/>
        <v>0.23600000000000002</v>
      </c>
      <c r="AB85">
        <f t="shared" si="11"/>
        <v>0.18600000000000003</v>
      </c>
      <c r="AC85">
        <f t="shared" si="11"/>
        <v>0.17199999999999999</v>
      </c>
      <c r="AD85">
        <f t="shared" si="11"/>
        <v>0.105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6</v>
      </c>
      <c r="F86">
        <v>30</v>
      </c>
      <c r="G86">
        <v>7</v>
      </c>
      <c r="H86">
        <v>17</v>
      </c>
      <c r="I86">
        <v>17.2</v>
      </c>
      <c r="J86">
        <v>18.3</v>
      </c>
      <c r="K86">
        <v>22.2</v>
      </c>
      <c r="L86">
        <v>24.7</v>
      </c>
      <c r="M86">
        <v>25.1</v>
      </c>
      <c r="N86">
        <v>22.9</v>
      </c>
      <c r="O86">
        <v>23.2</v>
      </c>
      <c r="P86">
        <v>20.7</v>
      </c>
      <c r="Q86">
        <v>18.100000000000001</v>
      </c>
      <c r="R86">
        <v>10.1</v>
      </c>
      <c r="S86">
        <f t="shared" si="12"/>
        <v>55</v>
      </c>
      <c r="T86" t="s">
        <v>89</v>
      </c>
      <c r="U86">
        <f t="shared" si="13"/>
        <v>0.17199999999999999</v>
      </c>
      <c r="V86">
        <f t="shared" si="11"/>
        <v>0.183</v>
      </c>
      <c r="W86">
        <f t="shared" si="11"/>
        <v>0.222</v>
      </c>
      <c r="X86">
        <f t="shared" si="11"/>
        <v>0.247</v>
      </c>
      <c r="Y86">
        <f t="shared" si="11"/>
        <v>0.251</v>
      </c>
      <c r="Z86">
        <f t="shared" si="11"/>
        <v>0.22899999999999998</v>
      </c>
      <c r="AA86">
        <f t="shared" si="11"/>
        <v>0.23199999999999998</v>
      </c>
      <c r="AB86">
        <f t="shared" si="11"/>
        <v>0.20699999999999999</v>
      </c>
      <c r="AC86">
        <f t="shared" si="11"/>
        <v>0.18100000000000002</v>
      </c>
      <c r="AD86">
        <f t="shared" si="11"/>
        <v>0.10099999999999999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6</v>
      </c>
      <c r="F87">
        <v>30</v>
      </c>
      <c r="G87">
        <v>7</v>
      </c>
      <c r="H87">
        <v>24</v>
      </c>
      <c r="I87">
        <v>15.8</v>
      </c>
      <c r="J87">
        <v>16.399999999999999</v>
      </c>
      <c r="K87">
        <v>18.7</v>
      </c>
      <c r="L87">
        <v>22.7</v>
      </c>
      <c r="M87">
        <v>23.8</v>
      </c>
      <c r="N87">
        <v>21</v>
      </c>
      <c r="O87">
        <v>18.899999999999999</v>
      </c>
      <c r="P87">
        <v>17.399999999999999</v>
      </c>
      <c r="Q87">
        <v>16.2</v>
      </c>
      <c r="R87">
        <v>9.8000000000000007</v>
      </c>
      <c r="S87">
        <f t="shared" si="12"/>
        <v>54</v>
      </c>
      <c r="T87" t="s">
        <v>36</v>
      </c>
      <c r="U87">
        <f t="shared" si="13"/>
        <v>0.158</v>
      </c>
      <c r="V87">
        <f t="shared" si="11"/>
        <v>0.16399999999999998</v>
      </c>
      <c r="W87">
        <f t="shared" si="11"/>
        <v>0.187</v>
      </c>
      <c r="X87">
        <f t="shared" si="11"/>
        <v>0.22699999999999998</v>
      </c>
      <c r="Y87">
        <f t="shared" si="11"/>
        <v>0.23800000000000002</v>
      </c>
      <c r="Z87">
        <f t="shared" si="11"/>
        <v>0.21</v>
      </c>
      <c r="AA87">
        <f t="shared" si="11"/>
        <v>0.18899999999999997</v>
      </c>
      <c r="AB87">
        <f t="shared" si="11"/>
        <v>0.17399999999999999</v>
      </c>
      <c r="AC87">
        <f t="shared" si="11"/>
        <v>0.16200000000000001</v>
      </c>
      <c r="AD87">
        <f t="shared" si="11"/>
        <v>9.8000000000000004E-2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6</v>
      </c>
      <c r="F88">
        <v>30</v>
      </c>
      <c r="G88">
        <v>7</v>
      </c>
      <c r="H88">
        <v>21</v>
      </c>
      <c r="I88">
        <v>22.8</v>
      </c>
      <c r="J88">
        <v>21.6</v>
      </c>
      <c r="K88">
        <v>23.1</v>
      </c>
      <c r="L88">
        <v>22.7</v>
      </c>
      <c r="M88">
        <v>24</v>
      </c>
      <c r="N88">
        <v>24.2</v>
      </c>
      <c r="O88">
        <v>23.6</v>
      </c>
      <c r="P88">
        <v>17.399999999999999</v>
      </c>
      <c r="Q88">
        <v>16.2</v>
      </c>
      <c r="R88">
        <v>9.4</v>
      </c>
      <c r="S88">
        <f t="shared" si="12"/>
        <v>53</v>
      </c>
      <c r="T88" t="s">
        <v>88</v>
      </c>
      <c r="U88">
        <f t="shared" si="13"/>
        <v>0.22800000000000001</v>
      </c>
      <c r="V88">
        <f t="shared" si="11"/>
        <v>0.21600000000000003</v>
      </c>
      <c r="W88">
        <f t="shared" si="11"/>
        <v>0.23100000000000001</v>
      </c>
      <c r="X88">
        <f t="shared" si="11"/>
        <v>0.22699999999999998</v>
      </c>
      <c r="Y88">
        <f t="shared" si="11"/>
        <v>0.24</v>
      </c>
      <c r="Z88">
        <f t="shared" si="11"/>
        <v>0.24199999999999999</v>
      </c>
      <c r="AA88">
        <f t="shared" si="11"/>
        <v>0.23600000000000002</v>
      </c>
      <c r="AB88">
        <f t="shared" si="11"/>
        <v>0.17399999999999999</v>
      </c>
      <c r="AC88">
        <f t="shared" si="11"/>
        <v>0.16200000000000001</v>
      </c>
      <c r="AD88">
        <f t="shared" si="11"/>
        <v>9.4E-2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6</v>
      </c>
      <c r="F89">
        <v>30</v>
      </c>
      <c r="G89">
        <v>7</v>
      </c>
      <c r="H89">
        <v>34</v>
      </c>
      <c r="I89">
        <v>-5</v>
      </c>
      <c r="J89">
        <v>20</v>
      </c>
      <c r="K89">
        <v>22.2</v>
      </c>
      <c r="L89">
        <v>26.7</v>
      </c>
      <c r="M89">
        <v>25.3</v>
      </c>
      <c r="N89">
        <v>26.1</v>
      </c>
      <c r="O89">
        <v>24.6</v>
      </c>
      <c r="P89">
        <v>19.2</v>
      </c>
      <c r="Q89">
        <v>16.399999999999999</v>
      </c>
      <c r="R89">
        <v>10.199999999999999</v>
      </c>
      <c r="S89">
        <f t="shared" si="12"/>
        <v>52</v>
      </c>
      <c r="T89" t="s">
        <v>87</v>
      </c>
      <c r="U89" t="str">
        <f t="shared" si="13"/>
        <v/>
      </c>
      <c r="V89">
        <f t="shared" si="11"/>
        <v>0.2</v>
      </c>
      <c r="W89">
        <f t="shared" si="11"/>
        <v>0.222</v>
      </c>
      <c r="X89">
        <f t="shared" si="11"/>
        <v>0.26700000000000002</v>
      </c>
      <c r="Y89">
        <f t="shared" si="11"/>
        <v>0.253</v>
      </c>
      <c r="Z89">
        <f t="shared" si="11"/>
        <v>0.26100000000000001</v>
      </c>
      <c r="AA89">
        <f t="shared" si="11"/>
        <v>0.24600000000000002</v>
      </c>
      <c r="AB89">
        <f t="shared" si="11"/>
        <v>0.192</v>
      </c>
      <c r="AC89">
        <f t="shared" si="11"/>
        <v>0.16399999999999998</v>
      </c>
      <c r="AD89">
        <f t="shared" si="11"/>
        <v>0.10199999999999999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6</v>
      </c>
      <c r="F90">
        <v>30</v>
      </c>
      <c r="G90">
        <v>7</v>
      </c>
      <c r="H90">
        <v>31</v>
      </c>
      <c r="I90">
        <v>17.5</v>
      </c>
      <c r="J90">
        <v>18.5</v>
      </c>
      <c r="K90">
        <v>23.9</v>
      </c>
      <c r="L90">
        <v>24.5</v>
      </c>
      <c r="M90">
        <v>25.6</v>
      </c>
      <c r="N90">
        <v>23.1</v>
      </c>
      <c r="O90">
        <v>23.4</v>
      </c>
      <c r="P90">
        <v>21.3</v>
      </c>
      <c r="Q90">
        <v>20.3</v>
      </c>
      <c r="R90">
        <v>16.600000000000001</v>
      </c>
      <c r="S90">
        <f t="shared" si="12"/>
        <v>51</v>
      </c>
      <c r="T90" t="s">
        <v>86</v>
      </c>
      <c r="U90">
        <f t="shared" si="13"/>
        <v>0.17499999999999999</v>
      </c>
      <c r="V90">
        <f t="shared" si="11"/>
        <v>0.185</v>
      </c>
      <c r="W90">
        <f t="shared" si="11"/>
        <v>0.23899999999999999</v>
      </c>
      <c r="X90">
        <f t="shared" si="11"/>
        <v>0.245</v>
      </c>
      <c r="Y90">
        <f t="shared" si="11"/>
        <v>0.25600000000000001</v>
      </c>
      <c r="Z90">
        <f t="shared" si="11"/>
        <v>0.23100000000000001</v>
      </c>
      <c r="AA90">
        <f t="shared" si="11"/>
        <v>0.23399999999999999</v>
      </c>
      <c r="AB90">
        <f t="shared" si="11"/>
        <v>0.21299999999999999</v>
      </c>
      <c r="AC90">
        <f t="shared" si="11"/>
        <v>0.20300000000000001</v>
      </c>
      <c r="AD90">
        <f t="shared" si="11"/>
        <v>0.16600000000000001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6</v>
      </c>
      <c r="F91">
        <v>30</v>
      </c>
      <c r="G91">
        <v>7</v>
      </c>
      <c r="H91">
        <v>44</v>
      </c>
      <c r="I91">
        <v>20.7</v>
      </c>
      <c r="J91">
        <v>20.9</v>
      </c>
      <c r="K91">
        <v>20.6</v>
      </c>
      <c r="L91">
        <v>25.9</v>
      </c>
      <c r="M91">
        <v>26.7</v>
      </c>
      <c r="N91">
        <v>23.9</v>
      </c>
      <c r="O91">
        <v>24.4</v>
      </c>
      <c r="P91">
        <v>22.7</v>
      </c>
      <c r="Q91">
        <v>19.600000000000001</v>
      </c>
      <c r="R91">
        <v>15.4</v>
      </c>
      <c r="S91">
        <f t="shared" si="12"/>
        <v>50</v>
      </c>
      <c r="T91" t="s">
        <v>39</v>
      </c>
      <c r="U91">
        <f t="shared" si="13"/>
        <v>0.20699999999999999</v>
      </c>
      <c r="V91">
        <f t="shared" si="11"/>
        <v>0.20899999999999999</v>
      </c>
      <c r="W91">
        <f t="shared" si="11"/>
        <v>0.20600000000000002</v>
      </c>
      <c r="X91">
        <f t="shared" si="11"/>
        <v>0.25900000000000001</v>
      </c>
      <c r="Y91">
        <f t="shared" si="11"/>
        <v>0.26700000000000002</v>
      </c>
      <c r="Z91">
        <f t="shared" si="11"/>
        <v>0.23899999999999999</v>
      </c>
      <c r="AA91">
        <f t="shared" si="11"/>
        <v>0.24399999999999999</v>
      </c>
      <c r="AB91">
        <f t="shared" si="11"/>
        <v>0.22699999999999998</v>
      </c>
      <c r="AC91">
        <f t="shared" si="11"/>
        <v>0.19600000000000001</v>
      </c>
      <c r="AD91">
        <f t="shared" si="11"/>
        <v>0.154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6</v>
      </c>
      <c r="F92">
        <v>30</v>
      </c>
      <c r="G92">
        <v>7</v>
      </c>
      <c r="H92">
        <v>41</v>
      </c>
      <c r="I92">
        <v>24.4</v>
      </c>
      <c r="J92">
        <v>24.3</v>
      </c>
      <c r="K92">
        <v>24.4</v>
      </c>
      <c r="L92">
        <v>27.1</v>
      </c>
      <c r="M92">
        <v>24.9</v>
      </c>
      <c r="N92">
        <v>16.899999999999999</v>
      </c>
      <c r="O92">
        <v>15.7</v>
      </c>
      <c r="P92">
        <v>20.2</v>
      </c>
      <c r="Q92">
        <v>19.7</v>
      </c>
      <c r="R92">
        <v>11.9</v>
      </c>
      <c r="S92">
        <f t="shared" si="12"/>
        <v>49</v>
      </c>
      <c r="T92" t="s">
        <v>72</v>
      </c>
      <c r="U92">
        <f t="shared" si="13"/>
        <v>0.24399999999999999</v>
      </c>
      <c r="V92">
        <f t="shared" si="11"/>
        <v>0.24299999999999999</v>
      </c>
      <c r="W92">
        <f t="shared" si="11"/>
        <v>0.24399999999999999</v>
      </c>
      <c r="X92">
        <f t="shared" si="11"/>
        <v>0.27100000000000002</v>
      </c>
      <c r="Y92">
        <f t="shared" si="11"/>
        <v>0.249</v>
      </c>
      <c r="Z92">
        <f t="shared" si="11"/>
        <v>0.16899999999999998</v>
      </c>
      <c r="AA92">
        <f t="shared" si="11"/>
        <v>0.157</v>
      </c>
      <c r="AB92">
        <f t="shared" si="11"/>
        <v>0.20199999999999999</v>
      </c>
      <c r="AC92">
        <f t="shared" si="11"/>
        <v>0.19699999999999998</v>
      </c>
      <c r="AD92">
        <f t="shared" si="11"/>
        <v>0.11900000000000001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6</v>
      </c>
      <c r="F93">
        <v>30</v>
      </c>
      <c r="G93">
        <v>7</v>
      </c>
      <c r="H93">
        <v>57</v>
      </c>
      <c r="I93">
        <v>22.7</v>
      </c>
      <c r="J93">
        <v>23.9</v>
      </c>
      <c r="K93">
        <v>26.4</v>
      </c>
      <c r="L93">
        <v>28.1</v>
      </c>
      <c r="M93">
        <v>25.8</v>
      </c>
      <c r="N93">
        <v>23.3</v>
      </c>
      <c r="O93">
        <v>19.600000000000001</v>
      </c>
      <c r="P93">
        <v>21.4</v>
      </c>
      <c r="Q93">
        <v>17.8</v>
      </c>
      <c r="R93">
        <v>11.5</v>
      </c>
      <c r="S93">
        <f t="shared" si="12"/>
        <v>48</v>
      </c>
      <c r="T93" t="s">
        <v>38</v>
      </c>
      <c r="U93">
        <f t="shared" si="13"/>
        <v>0.22699999999999998</v>
      </c>
      <c r="V93">
        <f t="shared" si="11"/>
        <v>0.23899999999999999</v>
      </c>
      <c r="W93">
        <f t="shared" si="11"/>
        <v>0.26400000000000001</v>
      </c>
      <c r="X93">
        <f t="shared" si="11"/>
        <v>0.28100000000000003</v>
      </c>
      <c r="Y93">
        <f t="shared" si="11"/>
        <v>0.25800000000000001</v>
      </c>
      <c r="Z93">
        <f t="shared" si="11"/>
        <v>0.23300000000000001</v>
      </c>
      <c r="AA93">
        <f t="shared" si="11"/>
        <v>0.19600000000000001</v>
      </c>
      <c r="AB93">
        <f t="shared" si="11"/>
        <v>0.214</v>
      </c>
      <c r="AC93">
        <f t="shared" si="11"/>
        <v>0.17800000000000002</v>
      </c>
      <c r="AD93">
        <f t="shared" si="11"/>
        <v>0.115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6</v>
      </c>
      <c r="F94">
        <v>30</v>
      </c>
      <c r="G94">
        <v>8</v>
      </c>
      <c r="H94">
        <v>2</v>
      </c>
      <c r="I94">
        <v>21.4</v>
      </c>
      <c r="J94">
        <v>20.5</v>
      </c>
      <c r="K94">
        <v>23.4</v>
      </c>
      <c r="L94">
        <v>24.5</v>
      </c>
      <c r="M94">
        <v>24.7</v>
      </c>
      <c r="N94">
        <v>24.6</v>
      </c>
      <c r="O94">
        <v>23.7</v>
      </c>
      <c r="P94">
        <v>21.5</v>
      </c>
      <c r="Q94">
        <v>23.1</v>
      </c>
      <c r="R94">
        <v>16.399999999999999</v>
      </c>
      <c r="S94">
        <f t="shared" si="12"/>
        <v>47</v>
      </c>
      <c r="T94" t="s">
        <v>85</v>
      </c>
      <c r="U94">
        <f t="shared" si="13"/>
        <v>0.214</v>
      </c>
      <c r="V94">
        <f t="shared" si="11"/>
        <v>0.20499999999999999</v>
      </c>
      <c r="W94">
        <f t="shared" si="11"/>
        <v>0.23399999999999999</v>
      </c>
      <c r="X94">
        <f t="shared" si="11"/>
        <v>0.245</v>
      </c>
      <c r="Y94">
        <f t="shared" si="11"/>
        <v>0.247</v>
      </c>
      <c r="Z94">
        <f t="shared" si="11"/>
        <v>0.24600000000000002</v>
      </c>
      <c r="AA94">
        <f t="shared" si="11"/>
        <v>0.23699999999999999</v>
      </c>
      <c r="AB94">
        <f t="shared" si="11"/>
        <v>0.215</v>
      </c>
      <c r="AC94">
        <f t="shared" si="11"/>
        <v>0.23100000000000001</v>
      </c>
      <c r="AD94">
        <f t="shared" si="11"/>
        <v>0.16399999999999998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6</v>
      </c>
      <c r="F95">
        <v>30</v>
      </c>
      <c r="G95">
        <v>8</v>
      </c>
      <c r="H95">
        <v>0</v>
      </c>
      <c r="I95">
        <v>-5</v>
      </c>
      <c r="J95">
        <v>23.7</v>
      </c>
      <c r="K95">
        <v>26.5</v>
      </c>
      <c r="L95">
        <v>26.1</v>
      </c>
      <c r="M95">
        <v>26.9</v>
      </c>
      <c r="N95">
        <v>27.6</v>
      </c>
      <c r="O95">
        <v>28.3</v>
      </c>
      <c r="P95">
        <v>20.399999999999999</v>
      </c>
      <c r="Q95">
        <v>18.899999999999999</v>
      </c>
      <c r="R95">
        <v>13.1</v>
      </c>
      <c r="S95">
        <f t="shared" si="12"/>
        <v>46</v>
      </c>
      <c r="T95" t="s">
        <v>84</v>
      </c>
      <c r="U95" t="str">
        <f t="shared" si="13"/>
        <v/>
      </c>
      <c r="V95">
        <f t="shared" si="11"/>
        <v>0.23699999999999999</v>
      </c>
      <c r="W95">
        <f t="shared" si="11"/>
        <v>0.26500000000000001</v>
      </c>
      <c r="X95">
        <f t="shared" si="11"/>
        <v>0.26100000000000001</v>
      </c>
      <c r="Y95">
        <f t="shared" si="11"/>
        <v>0.26899999999999996</v>
      </c>
      <c r="Z95">
        <f t="shared" si="11"/>
        <v>0.27600000000000002</v>
      </c>
      <c r="AA95">
        <f t="shared" si="11"/>
        <v>0.28300000000000003</v>
      </c>
      <c r="AB95">
        <f t="shared" si="11"/>
        <v>0.20399999999999999</v>
      </c>
      <c r="AC95">
        <f t="shared" si="11"/>
        <v>0.18899999999999997</v>
      </c>
      <c r="AD95">
        <f t="shared" si="11"/>
        <v>0.13100000000000001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6</v>
      </c>
      <c r="F96">
        <v>30</v>
      </c>
      <c r="G96">
        <v>8</v>
      </c>
      <c r="H96">
        <v>13</v>
      </c>
      <c r="I96">
        <v>-5</v>
      </c>
      <c r="J96">
        <v>24.9</v>
      </c>
      <c r="K96">
        <v>25.2</v>
      </c>
      <c r="L96">
        <v>26.6</v>
      </c>
      <c r="M96">
        <v>26.7</v>
      </c>
      <c r="N96">
        <v>27.2</v>
      </c>
      <c r="O96">
        <v>27.9</v>
      </c>
      <c r="P96">
        <v>24.3</v>
      </c>
      <c r="Q96">
        <v>23.2</v>
      </c>
      <c r="R96">
        <v>16.600000000000001</v>
      </c>
      <c r="S96">
        <f t="shared" si="12"/>
        <v>45</v>
      </c>
      <c r="T96" t="s">
        <v>42</v>
      </c>
      <c r="U96" t="str">
        <f t="shared" si="13"/>
        <v/>
      </c>
      <c r="V96">
        <f t="shared" si="11"/>
        <v>0.249</v>
      </c>
      <c r="W96">
        <f t="shared" si="11"/>
        <v>0.252</v>
      </c>
      <c r="X96">
        <f t="shared" si="11"/>
        <v>0.26600000000000001</v>
      </c>
      <c r="Y96">
        <f t="shared" si="11"/>
        <v>0.26700000000000002</v>
      </c>
      <c r="Z96">
        <f t="shared" si="11"/>
        <v>0.27200000000000002</v>
      </c>
      <c r="AA96">
        <f t="shared" si="11"/>
        <v>0.27899999999999997</v>
      </c>
      <c r="AB96">
        <f t="shared" si="11"/>
        <v>0.24299999999999999</v>
      </c>
      <c r="AC96">
        <f t="shared" si="11"/>
        <v>0.23199999999999998</v>
      </c>
      <c r="AD96">
        <f t="shared" si="11"/>
        <v>0.16600000000000001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6</v>
      </c>
      <c r="F97">
        <v>30</v>
      </c>
      <c r="G97">
        <v>8</v>
      </c>
      <c r="H97">
        <v>10</v>
      </c>
      <c r="I97">
        <v>-5</v>
      </c>
      <c r="J97">
        <v>18.8</v>
      </c>
      <c r="K97">
        <v>25.6</v>
      </c>
      <c r="L97">
        <v>28.7</v>
      </c>
      <c r="M97">
        <v>26.5</v>
      </c>
      <c r="N97">
        <v>23.2</v>
      </c>
      <c r="O97">
        <v>18.7</v>
      </c>
      <c r="P97">
        <v>17.7</v>
      </c>
      <c r="Q97">
        <v>16</v>
      </c>
      <c r="R97">
        <v>9.5</v>
      </c>
      <c r="S97">
        <f t="shared" si="12"/>
        <v>44</v>
      </c>
      <c r="T97" t="s">
        <v>83</v>
      </c>
      <c r="U97" t="str">
        <f t="shared" si="13"/>
        <v/>
      </c>
      <c r="V97">
        <f t="shared" si="11"/>
        <v>0.188</v>
      </c>
      <c r="W97">
        <f t="shared" si="11"/>
        <v>0.25600000000000001</v>
      </c>
      <c r="X97">
        <f t="shared" si="11"/>
        <v>0.28699999999999998</v>
      </c>
      <c r="Y97">
        <f t="shared" si="11"/>
        <v>0.26500000000000001</v>
      </c>
      <c r="Z97">
        <f t="shared" si="11"/>
        <v>0.23199999999999998</v>
      </c>
      <c r="AA97">
        <f t="shared" si="11"/>
        <v>0.187</v>
      </c>
      <c r="AB97">
        <f t="shared" si="11"/>
        <v>0.17699999999999999</v>
      </c>
      <c r="AC97">
        <f t="shared" si="11"/>
        <v>0.16</v>
      </c>
      <c r="AD97">
        <f t="shared" si="11"/>
        <v>9.5000000000000001E-2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6</v>
      </c>
      <c r="F98">
        <v>30</v>
      </c>
      <c r="G98">
        <v>8</v>
      </c>
      <c r="H98">
        <v>23</v>
      </c>
      <c r="I98">
        <v>17.8</v>
      </c>
      <c r="J98">
        <v>17.399999999999999</v>
      </c>
      <c r="K98">
        <v>17.8</v>
      </c>
      <c r="L98">
        <v>23</v>
      </c>
      <c r="M98">
        <v>27</v>
      </c>
      <c r="N98">
        <v>25.4</v>
      </c>
      <c r="O98">
        <v>23.2</v>
      </c>
      <c r="P98">
        <v>20.2</v>
      </c>
      <c r="Q98">
        <v>19.600000000000001</v>
      </c>
      <c r="R98">
        <v>12.7</v>
      </c>
      <c r="S98">
        <f t="shared" si="12"/>
        <v>43</v>
      </c>
      <c r="T98" t="s">
        <v>82</v>
      </c>
      <c r="U98">
        <f t="shared" si="13"/>
        <v>0.17800000000000002</v>
      </c>
      <c r="V98">
        <f t="shared" si="11"/>
        <v>0.17399999999999999</v>
      </c>
      <c r="W98">
        <f t="shared" si="11"/>
        <v>0.17800000000000002</v>
      </c>
      <c r="X98">
        <f t="shared" si="11"/>
        <v>0.23</v>
      </c>
      <c r="Y98">
        <f t="shared" si="11"/>
        <v>0.27</v>
      </c>
      <c r="Z98">
        <f t="shared" si="11"/>
        <v>0.254</v>
      </c>
      <c r="AA98">
        <f t="shared" si="11"/>
        <v>0.23199999999999998</v>
      </c>
      <c r="AB98">
        <f t="shared" si="11"/>
        <v>0.20199999999999999</v>
      </c>
      <c r="AC98">
        <f t="shared" si="11"/>
        <v>0.19600000000000001</v>
      </c>
      <c r="AD98">
        <f t="shared" si="11"/>
        <v>0.127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6</v>
      </c>
      <c r="F99">
        <v>30</v>
      </c>
      <c r="G99">
        <v>8</v>
      </c>
      <c r="H99">
        <v>21</v>
      </c>
      <c r="I99">
        <v>-5</v>
      </c>
      <c r="J99">
        <v>23.1</v>
      </c>
      <c r="K99">
        <v>17.5</v>
      </c>
      <c r="L99">
        <v>17.100000000000001</v>
      </c>
      <c r="M99">
        <v>15</v>
      </c>
      <c r="N99">
        <v>14.1</v>
      </c>
      <c r="O99">
        <v>13.4</v>
      </c>
      <c r="P99">
        <v>14.4</v>
      </c>
      <c r="Q99">
        <v>15.8</v>
      </c>
      <c r="R99">
        <v>9.8000000000000007</v>
      </c>
      <c r="S99">
        <f t="shared" si="12"/>
        <v>42</v>
      </c>
      <c r="T99" t="s">
        <v>44</v>
      </c>
      <c r="U99" t="str">
        <f t="shared" si="13"/>
        <v/>
      </c>
      <c r="V99">
        <f t="shared" si="11"/>
        <v>0.23100000000000001</v>
      </c>
      <c r="W99">
        <f t="shared" si="11"/>
        <v>0.17499999999999999</v>
      </c>
      <c r="X99">
        <f t="shared" si="11"/>
        <v>0.17100000000000001</v>
      </c>
      <c r="Y99">
        <f t="shared" si="11"/>
        <v>0.15</v>
      </c>
      <c r="Z99">
        <f t="shared" si="11"/>
        <v>0.14099999999999999</v>
      </c>
      <c r="AA99">
        <f t="shared" si="11"/>
        <v>0.13400000000000001</v>
      </c>
      <c r="AB99">
        <f t="shared" si="11"/>
        <v>0.14400000000000002</v>
      </c>
      <c r="AC99">
        <f t="shared" si="11"/>
        <v>0.158</v>
      </c>
      <c r="AD99">
        <f t="shared" si="11"/>
        <v>9.8000000000000004E-2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6</v>
      </c>
      <c r="F100">
        <v>30</v>
      </c>
      <c r="G100">
        <v>8</v>
      </c>
      <c r="H100">
        <v>34</v>
      </c>
      <c r="I100">
        <v>26.4</v>
      </c>
      <c r="J100">
        <v>23.7</v>
      </c>
      <c r="K100">
        <v>18.8</v>
      </c>
      <c r="L100">
        <v>18.100000000000001</v>
      </c>
      <c r="M100">
        <v>17.399999999999999</v>
      </c>
      <c r="N100">
        <v>17.399999999999999</v>
      </c>
      <c r="O100">
        <v>16.2</v>
      </c>
      <c r="P100">
        <v>15.7</v>
      </c>
      <c r="Q100">
        <v>15.2</v>
      </c>
      <c r="R100">
        <v>9.9</v>
      </c>
      <c r="S100">
        <f t="shared" si="12"/>
        <v>41</v>
      </c>
      <c r="T100" t="s">
        <v>43</v>
      </c>
      <c r="U100">
        <f t="shared" si="13"/>
        <v>0.26400000000000001</v>
      </c>
      <c r="V100">
        <f t="shared" si="11"/>
        <v>0.23699999999999999</v>
      </c>
      <c r="W100">
        <f t="shared" si="11"/>
        <v>0.188</v>
      </c>
      <c r="X100">
        <f t="shared" si="11"/>
        <v>0.18100000000000002</v>
      </c>
      <c r="Y100">
        <f t="shared" si="11"/>
        <v>0.17399999999999999</v>
      </c>
      <c r="Z100">
        <f t="shared" si="11"/>
        <v>0.17399999999999999</v>
      </c>
      <c r="AA100">
        <f t="shared" si="11"/>
        <v>0.16200000000000001</v>
      </c>
      <c r="AB100">
        <f t="shared" si="11"/>
        <v>0.157</v>
      </c>
      <c r="AC100">
        <f t="shared" si="11"/>
        <v>0.152</v>
      </c>
      <c r="AD100">
        <f t="shared" si="11"/>
        <v>9.9000000000000005E-2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6</v>
      </c>
      <c r="F101">
        <v>30</v>
      </c>
      <c r="G101">
        <v>8</v>
      </c>
      <c r="H101">
        <v>31</v>
      </c>
      <c r="I101">
        <v>25.6</v>
      </c>
      <c r="J101">
        <v>24.5</v>
      </c>
      <c r="K101">
        <v>25.4</v>
      </c>
      <c r="L101">
        <v>20.399999999999999</v>
      </c>
      <c r="M101">
        <v>20.3</v>
      </c>
      <c r="N101">
        <v>21.2</v>
      </c>
      <c r="O101">
        <v>24.7</v>
      </c>
      <c r="P101">
        <v>22.2</v>
      </c>
      <c r="Q101">
        <v>18.100000000000001</v>
      </c>
      <c r="R101">
        <v>12.6</v>
      </c>
      <c r="S101">
        <f t="shared" si="12"/>
        <v>40</v>
      </c>
      <c r="T101" t="s">
        <v>41</v>
      </c>
      <c r="U101">
        <f t="shared" si="13"/>
        <v>0.25600000000000001</v>
      </c>
      <c r="V101">
        <f t="shared" si="11"/>
        <v>0.245</v>
      </c>
      <c r="W101">
        <f t="shared" si="11"/>
        <v>0.254</v>
      </c>
      <c r="X101">
        <f t="shared" si="11"/>
        <v>0.20399999999999999</v>
      </c>
      <c r="Y101">
        <f t="shared" si="11"/>
        <v>0.20300000000000001</v>
      </c>
      <c r="Z101">
        <f t="shared" si="11"/>
        <v>0.21199999999999999</v>
      </c>
      <c r="AA101">
        <f t="shared" si="11"/>
        <v>0.247</v>
      </c>
      <c r="AB101">
        <f t="shared" si="11"/>
        <v>0.222</v>
      </c>
      <c r="AC101">
        <f t="shared" si="11"/>
        <v>0.18100000000000002</v>
      </c>
      <c r="AD101">
        <f t="shared" si="11"/>
        <v>0.126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6</v>
      </c>
      <c r="F102">
        <v>30</v>
      </c>
      <c r="G102">
        <v>8</v>
      </c>
      <c r="H102">
        <v>44</v>
      </c>
      <c r="I102">
        <v>-5</v>
      </c>
      <c r="J102">
        <v>21</v>
      </c>
      <c r="K102">
        <v>22.2</v>
      </c>
      <c r="L102">
        <v>23</v>
      </c>
      <c r="M102">
        <v>24.1</v>
      </c>
      <c r="N102">
        <v>21.8</v>
      </c>
      <c r="O102">
        <v>19.8</v>
      </c>
      <c r="P102">
        <v>18</v>
      </c>
      <c r="Q102">
        <v>19.399999999999999</v>
      </c>
      <c r="R102">
        <v>12.3</v>
      </c>
      <c r="S102">
        <f t="shared" si="12"/>
        <v>39</v>
      </c>
      <c r="T102" t="s">
        <v>40</v>
      </c>
      <c r="U102" t="str">
        <f t="shared" si="13"/>
        <v/>
      </c>
      <c r="V102">
        <f t="shared" si="11"/>
        <v>0.21</v>
      </c>
      <c r="W102">
        <f t="shared" si="11"/>
        <v>0.222</v>
      </c>
      <c r="X102">
        <f t="shared" si="11"/>
        <v>0.23</v>
      </c>
      <c r="Y102">
        <f t="shared" si="11"/>
        <v>0.24100000000000002</v>
      </c>
      <c r="Z102">
        <f t="shared" si="11"/>
        <v>0.218</v>
      </c>
      <c r="AA102">
        <f t="shared" si="11"/>
        <v>0.19800000000000001</v>
      </c>
      <c r="AB102">
        <f t="shared" si="11"/>
        <v>0.18</v>
      </c>
      <c r="AC102">
        <f t="shared" si="11"/>
        <v>0.19399999999999998</v>
      </c>
      <c r="AD102">
        <f t="shared" si="11"/>
        <v>0.12300000000000001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6</v>
      </c>
      <c r="F103">
        <v>30</v>
      </c>
      <c r="G103">
        <v>8</v>
      </c>
      <c r="H103">
        <v>51</v>
      </c>
      <c r="I103">
        <v>-5</v>
      </c>
      <c r="J103">
        <v>25.2</v>
      </c>
      <c r="K103">
        <v>25.7</v>
      </c>
      <c r="L103">
        <v>25.2</v>
      </c>
      <c r="M103">
        <v>24.5</v>
      </c>
      <c r="N103">
        <v>25.7</v>
      </c>
      <c r="O103">
        <v>23.1</v>
      </c>
      <c r="P103">
        <v>19.399999999999999</v>
      </c>
      <c r="Q103">
        <v>20.5</v>
      </c>
      <c r="R103">
        <v>17</v>
      </c>
      <c r="S103">
        <f t="shared" si="12"/>
        <v>38</v>
      </c>
      <c r="T103" t="s">
        <v>37</v>
      </c>
      <c r="U103" t="str">
        <f t="shared" si="13"/>
        <v/>
      </c>
      <c r="V103">
        <f t="shared" si="11"/>
        <v>0.252</v>
      </c>
      <c r="W103">
        <f t="shared" si="11"/>
        <v>0.25700000000000001</v>
      </c>
      <c r="X103">
        <f t="shared" si="11"/>
        <v>0.252</v>
      </c>
      <c r="Y103">
        <f t="shared" ref="Y103:AD103" si="14">IF(M103&lt;0,"",M103/100)</f>
        <v>0.245</v>
      </c>
      <c r="Z103">
        <f t="shared" si="14"/>
        <v>0.25700000000000001</v>
      </c>
      <c r="AA103">
        <f t="shared" si="14"/>
        <v>0.23100000000000001</v>
      </c>
      <c r="AB103">
        <f t="shared" si="14"/>
        <v>0.19399999999999998</v>
      </c>
      <c r="AC103">
        <f t="shared" si="14"/>
        <v>0.20499999999999999</v>
      </c>
      <c r="AD103">
        <f t="shared" si="14"/>
        <v>0.17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6</v>
      </c>
      <c r="F104">
        <v>30</v>
      </c>
      <c r="G104">
        <v>8</v>
      </c>
      <c r="H104">
        <v>56</v>
      </c>
      <c r="I104">
        <v>-5</v>
      </c>
      <c r="J104">
        <v>24.8</v>
      </c>
      <c r="K104">
        <v>22.5</v>
      </c>
      <c r="L104">
        <v>19.8</v>
      </c>
      <c r="M104">
        <v>18.100000000000001</v>
      </c>
      <c r="N104">
        <v>17.7</v>
      </c>
      <c r="O104">
        <v>17.100000000000001</v>
      </c>
      <c r="P104">
        <v>20.3</v>
      </c>
      <c r="Q104">
        <v>18.2</v>
      </c>
      <c r="R104">
        <v>10.3</v>
      </c>
      <c r="S104">
        <f t="shared" si="12"/>
        <v>37</v>
      </c>
      <c r="T104" t="s">
        <v>35</v>
      </c>
      <c r="U104" t="str">
        <f t="shared" ref="U104:X104" si="15">IF(I104&lt;0,"",I104/100)</f>
        <v/>
      </c>
      <c r="V104">
        <f t="shared" si="15"/>
        <v>0.248</v>
      </c>
      <c r="W104">
        <f t="shared" si="15"/>
        <v>0.22500000000000001</v>
      </c>
      <c r="X104">
        <f t="shared" si="15"/>
        <v>0.19800000000000001</v>
      </c>
      <c r="Y104">
        <f t="shared" ref="Y104" si="16">IF(M104&lt;0,"",M104/100)</f>
        <v>0.18100000000000002</v>
      </c>
      <c r="Z104">
        <f t="shared" ref="Z104" si="17">IF(N104&lt;0,"",N104/100)</f>
        <v>0.17699999999999999</v>
      </c>
      <c r="AA104">
        <f t="shared" ref="AA104" si="18">IF(O104&lt;0,"",O104/100)</f>
        <v>0.17100000000000001</v>
      </c>
      <c r="AB104">
        <f t="shared" ref="AB104" si="19">IF(P104&lt;0,"",P104/100)</f>
        <v>0.20300000000000001</v>
      </c>
      <c r="AC104">
        <f t="shared" ref="AC104" si="20">IF(Q104&lt;0,"",Q104/100)</f>
        <v>0.182</v>
      </c>
      <c r="AD104">
        <f t="shared" ref="AD104" si="21">IF(R104&lt;0,"",R104/100)</f>
        <v>0.10300000000000001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41827</v>
      </c>
    </row>
    <row r="2" spans="1:7" x14ac:dyDescent="0.25">
      <c r="A2" t="s">
        <v>3</v>
      </c>
      <c r="B2">
        <v>6114</v>
      </c>
      <c r="C2" t="s">
        <v>4</v>
      </c>
      <c r="D2">
        <v>10132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7</v>
      </c>
      <c r="G19">
        <v>11</v>
      </c>
      <c r="H19">
        <v>10</v>
      </c>
      <c r="I19">
        <v>12</v>
      </c>
      <c r="J19">
        <v>13.9</v>
      </c>
      <c r="K19">
        <v>14.2</v>
      </c>
      <c r="L19">
        <v>16.3</v>
      </c>
      <c r="M19">
        <v>18.7</v>
      </c>
      <c r="N19">
        <v>19.899999999999999</v>
      </c>
      <c r="O19">
        <v>20.399999999999999</v>
      </c>
      <c r="P19">
        <v>18.3</v>
      </c>
      <c r="Q19">
        <v>17.3</v>
      </c>
      <c r="R19">
        <v>13.1</v>
      </c>
      <c r="S19">
        <f>B19</f>
        <v>1</v>
      </c>
      <c r="T19" t="s">
        <v>51</v>
      </c>
      <c r="U19">
        <f>IF(I19&lt;0,"",I19/100)</f>
        <v>0.12</v>
      </c>
      <c r="V19">
        <f t="shared" ref="V19:AD47" si="0">IF(J19&lt;0,"",J19/100)</f>
        <v>0.13900000000000001</v>
      </c>
      <c r="W19">
        <f t="shared" si="0"/>
        <v>0.14199999999999999</v>
      </c>
      <c r="X19">
        <f t="shared" si="0"/>
        <v>0.16300000000000001</v>
      </c>
      <c r="Y19">
        <f t="shared" si="0"/>
        <v>0.187</v>
      </c>
      <c r="Z19">
        <f t="shared" si="0"/>
        <v>0.19899999999999998</v>
      </c>
      <c r="AA19">
        <f t="shared" si="0"/>
        <v>0.20399999999999999</v>
      </c>
      <c r="AB19">
        <f t="shared" si="0"/>
        <v>0.183</v>
      </c>
      <c r="AC19">
        <f t="shared" si="0"/>
        <v>0.17300000000000001</v>
      </c>
      <c r="AD19">
        <f t="shared" si="0"/>
        <v>0.13100000000000001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7</v>
      </c>
      <c r="G20">
        <v>11</v>
      </c>
      <c r="H20">
        <v>23</v>
      </c>
      <c r="I20">
        <v>23.1</v>
      </c>
      <c r="J20">
        <v>14.8</v>
      </c>
      <c r="K20">
        <v>13.4</v>
      </c>
      <c r="L20">
        <v>15.9</v>
      </c>
      <c r="M20">
        <v>17.899999999999999</v>
      </c>
      <c r="N20">
        <v>18.399999999999999</v>
      </c>
      <c r="O20">
        <v>18.399999999999999</v>
      </c>
      <c r="P20">
        <v>19</v>
      </c>
      <c r="Q20">
        <v>20.5</v>
      </c>
      <c r="R20">
        <v>17</v>
      </c>
      <c r="S20">
        <f t="shared" ref="S20:S54" si="1">B20</f>
        <v>2</v>
      </c>
      <c r="T20" t="s">
        <v>55</v>
      </c>
      <c r="U20">
        <f t="shared" ref="U20:X48" si="2">IF(I20&lt;0,"",I20/100)</f>
        <v>0.23100000000000001</v>
      </c>
      <c r="V20">
        <f t="shared" si="0"/>
        <v>0.14800000000000002</v>
      </c>
      <c r="W20">
        <f t="shared" si="0"/>
        <v>0.13400000000000001</v>
      </c>
      <c r="X20">
        <f t="shared" si="0"/>
        <v>0.159</v>
      </c>
      <c r="Y20">
        <f t="shared" si="0"/>
        <v>0.17899999999999999</v>
      </c>
      <c r="Z20">
        <f t="shared" si="0"/>
        <v>0.184</v>
      </c>
      <c r="AA20">
        <f t="shared" si="0"/>
        <v>0.184</v>
      </c>
      <c r="AB20">
        <f t="shared" si="0"/>
        <v>0.19</v>
      </c>
      <c r="AC20">
        <f t="shared" si="0"/>
        <v>0.20499999999999999</v>
      </c>
      <c r="AD20">
        <f t="shared" si="0"/>
        <v>0.17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7</v>
      </c>
      <c r="G21">
        <v>11</v>
      </c>
      <c r="H21">
        <v>20</v>
      </c>
      <c r="I21">
        <v>12.9</v>
      </c>
      <c r="J21">
        <v>17.8</v>
      </c>
      <c r="K21">
        <v>20.5</v>
      </c>
      <c r="L21">
        <v>21.3</v>
      </c>
      <c r="M21">
        <v>21.3</v>
      </c>
      <c r="N21">
        <v>20.7</v>
      </c>
      <c r="O21">
        <v>19.3</v>
      </c>
      <c r="P21">
        <v>20.8</v>
      </c>
      <c r="Q21">
        <v>20.7</v>
      </c>
      <c r="R21">
        <v>16.100000000000001</v>
      </c>
      <c r="S21">
        <f t="shared" si="1"/>
        <v>3</v>
      </c>
      <c r="T21" t="s">
        <v>56</v>
      </c>
      <c r="U21">
        <f t="shared" si="2"/>
        <v>0.129</v>
      </c>
      <c r="V21">
        <f t="shared" si="0"/>
        <v>0.17800000000000002</v>
      </c>
      <c r="W21">
        <f t="shared" si="0"/>
        <v>0.20499999999999999</v>
      </c>
      <c r="X21">
        <f t="shared" si="0"/>
        <v>0.21299999999999999</v>
      </c>
      <c r="Y21">
        <f t="shared" si="0"/>
        <v>0.21299999999999999</v>
      </c>
      <c r="Z21">
        <f t="shared" si="0"/>
        <v>0.20699999999999999</v>
      </c>
      <c r="AA21">
        <f t="shared" si="0"/>
        <v>0.193</v>
      </c>
      <c r="AB21">
        <f t="shared" si="0"/>
        <v>0.20800000000000002</v>
      </c>
      <c r="AC21">
        <f t="shared" si="0"/>
        <v>0.20699999999999999</v>
      </c>
      <c r="AD21">
        <f t="shared" si="0"/>
        <v>0.161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7</v>
      </c>
      <c r="G22">
        <v>11</v>
      </c>
      <c r="H22">
        <v>33</v>
      </c>
      <c r="I22">
        <v>13.8</v>
      </c>
      <c r="J22">
        <v>14</v>
      </c>
      <c r="K22">
        <v>15.3</v>
      </c>
      <c r="L22">
        <v>18.2</v>
      </c>
      <c r="M22">
        <v>19.5</v>
      </c>
      <c r="N22">
        <v>20.6</v>
      </c>
      <c r="O22">
        <v>20.8</v>
      </c>
      <c r="P22">
        <v>19.5</v>
      </c>
      <c r="Q22">
        <v>16.899999999999999</v>
      </c>
      <c r="R22">
        <v>14.2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0.14000000000000001</v>
      </c>
      <c r="W22">
        <f t="shared" si="0"/>
        <v>0.153</v>
      </c>
      <c r="X22">
        <f t="shared" si="0"/>
        <v>0.182</v>
      </c>
      <c r="Y22">
        <f t="shared" si="0"/>
        <v>0.19500000000000001</v>
      </c>
      <c r="Z22">
        <f t="shared" si="0"/>
        <v>0.20600000000000002</v>
      </c>
      <c r="AA22">
        <f t="shared" si="0"/>
        <v>0.20800000000000002</v>
      </c>
      <c r="AB22">
        <f t="shared" si="0"/>
        <v>0.19500000000000001</v>
      </c>
      <c r="AC22">
        <f t="shared" si="0"/>
        <v>0.16899999999999998</v>
      </c>
      <c r="AD22">
        <f t="shared" si="0"/>
        <v>0.14199999999999999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7</v>
      </c>
      <c r="G23">
        <v>11</v>
      </c>
      <c r="H23">
        <v>30</v>
      </c>
      <c r="I23">
        <v>-5.9</v>
      </c>
      <c r="J23">
        <v>-5.9</v>
      </c>
      <c r="K23">
        <v>17.7</v>
      </c>
      <c r="L23">
        <v>24.9</v>
      </c>
      <c r="M23">
        <v>20.6</v>
      </c>
      <c r="N23">
        <v>22.2</v>
      </c>
      <c r="O23">
        <v>22.5</v>
      </c>
      <c r="P23">
        <v>20.7</v>
      </c>
      <c r="Q23">
        <v>20.6</v>
      </c>
      <c r="R23">
        <v>15.6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0.17699999999999999</v>
      </c>
      <c r="X23">
        <f t="shared" si="0"/>
        <v>0.249</v>
      </c>
      <c r="Y23">
        <f t="shared" si="0"/>
        <v>0.20600000000000002</v>
      </c>
      <c r="Z23">
        <f t="shared" si="0"/>
        <v>0.222</v>
      </c>
      <c r="AA23">
        <f t="shared" si="0"/>
        <v>0.22500000000000001</v>
      </c>
      <c r="AB23">
        <f t="shared" si="0"/>
        <v>0.20699999999999999</v>
      </c>
      <c r="AC23">
        <f t="shared" si="0"/>
        <v>0.20600000000000002</v>
      </c>
      <c r="AD23">
        <f t="shared" si="0"/>
        <v>0.156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7</v>
      </c>
      <c r="G24">
        <v>11</v>
      </c>
      <c r="H24">
        <v>43</v>
      </c>
      <c r="I24">
        <v>-5.9</v>
      </c>
      <c r="J24">
        <v>19.399999999999999</v>
      </c>
      <c r="K24">
        <v>20.3</v>
      </c>
      <c r="L24">
        <v>20.5</v>
      </c>
      <c r="M24">
        <v>21</v>
      </c>
      <c r="N24">
        <v>21.8</v>
      </c>
      <c r="O24">
        <v>21.6</v>
      </c>
      <c r="P24">
        <v>25.6</v>
      </c>
      <c r="Q24">
        <v>21.2</v>
      </c>
      <c r="R24">
        <v>14.1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0.19399999999999998</v>
      </c>
      <c r="W24">
        <f t="shared" si="0"/>
        <v>0.20300000000000001</v>
      </c>
      <c r="X24">
        <f t="shared" si="0"/>
        <v>0.20499999999999999</v>
      </c>
      <c r="Y24">
        <f t="shared" si="0"/>
        <v>0.21</v>
      </c>
      <c r="Z24">
        <f t="shared" si="0"/>
        <v>0.218</v>
      </c>
      <c r="AA24">
        <f t="shared" si="0"/>
        <v>0.21600000000000003</v>
      </c>
      <c r="AB24">
        <f t="shared" si="0"/>
        <v>0.25600000000000001</v>
      </c>
      <c r="AC24">
        <f t="shared" si="0"/>
        <v>0.21199999999999999</v>
      </c>
      <c r="AD24">
        <f t="shared" si="0"/>
        <v>0.14099999999999999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7</v>
      </c>
      <c r="G25">
        <v>11</v>
      </c>
      <c r="H25">
        <v>40</v>
      </c>
      <c r="I25">
        <v>-5.9</v>
      </c>
      <c r="J25">
        <v>-5.9</v>
      </c>
      <c r="K25">
        <v>27.4</v>
      </c>
      <c r="L25">
        <v>28.9</v>
      </c>
      <c r="M25">
        <v>20.2</v>
      </c>
      <c r="N25">
        <v>21.3</v>
      </c>
      <c r="O25">
        <v>23.3</v>
      </c>
      <c r="P25">
        <v>23</v>
      </c>
      <c r="Q25">
        <v>24.3</v>
      </c>
      <c r="R25">
        <v>15.8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0.27399999999999997</v>
      </c>
      <c r="X25">
        <f t="shared" si="0"/>
        <v>0.28899999999999998</v>
      </c>
      <c r="Y25">
        <f t="shared" si="0"/>
        <v>0.20199999999999999</v>
      </c>
      <c r="Z25">
        <f t="shared" si="0"/>
        <v>0.21299999999999999</v>
      </c>
      <c r="AA25">
        <f t="shared" si="0"/>
        <v>0.23300000000000001</v>
      </c>
      <c r="AB25">
        <f t="shared" si="0"/>
        <v>0.23</v>
      </c>
      <c r="AC25">
        <f t="shared" si="0"/>
        <v>0.24299999999999999</v>
      </c>
      <c r="AD25">
        <f t="shared" si="0"/>
        <v>0.158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7</v>
      </c>
      <c r="G26">
        <v>11</v>
      </c>
      <c r="H26">
        <v>52</v>
      </c>
      <c r="I26">
        <v>-5.9</v>
      </c>
      <c r="J26">
        <v>32.200000000000003</v>
      </c>
      <c r="K26">
        <v>26.4</v>
      </c>
      <c r="L26">
        <v>19.899999999999999</v>
      </c>
      <c r="M26">
        <v>21.8</v>
      </c>
      <c r="N26">
        <v>22.5</v>
      </c>
      <c r="O26">
        <v>21.8</v>
      </c>
      <c r="P26">
        <v>27.9</v>
      </c>
      <c r="Q26">
        <v>26.2</v>
      </c>
      <c r="R26">
        <v>17.100000000000001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0.32200000000000001</v>
      </c>
      <c r="W26">
        <f t="shared" si="0"/>
        <v>0.26400000000000001</v>
      </c>
      <c r="X26">
        <f t="shared" si="0"/>
        <v>0.19899999999999998</v>
      </c>
      <c r="Y26">
        <f t="shared" si="0"/>
        <v>0.218</v>
      </c>
      <c r="Z26">
        <f t="shared" si="0"/>
        <v>0.22500000000000001</v>
      </c>
      <c r="AA26">
        <f t="shared" si="0"/>
        <v>0.218</v>
      </c>
      <c r="AB26">
        <f t="shared" si="0"/>
        <v>0.27899999999999997</v>
      </c>
      <c r="AC26">
        <f t="shared" si="0"/>
        <v>0.26200000000000001</v>
      </c>
      <c r="AD26">
        <f t="shared" si="0"/>
        <v>0.17100000000000001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7</v>
      </c>
      <c r="G27">
        <v>11</v>
      </c>
      <c r="H27">
        <v>57</v>
      </c>
      <c r="I27">
        <v>17.5</v>
      </c>
      <c r="J27">
        <v>16.2</v>
      </c>
      <c r="K27">
        <v>17</v>
      </c>
      <c r="L27">
        <v>20.7</v>
      </c>
      <c r="M27">
        <v>23.9</v>
      </c>
      <c r="N27">
        <v>25.1</v>
      </c>
      <c r="O27">
        <v>27.7</v>
      </c>
      <c r="P27">
        <v>23.7</v>
      </c>
      <c r="Q27">
        <v>22.8</v>
      </c>
      <c r="R27">
        <v>14.9</v>
      </c>
      <c r="S27">
        <f t="shared" si="1"/>
        <v>9</v>
      </c>
      <c r="T27" t="s">
        <v>63</v>
      </c>
      <c r="U27">
        <f t="shared" si="2"/>
        <v>0.17499999999999999</v>
      </c>
      <c r="V27">
        <f t="shared" si="0"/>
        <v>0.16200000000000001</v>
      </c>
      <c r="W27">
        <f t="shared" si="0"/>
        <v>0.17</v>
      </c>
      <c r="X27">
        <f t="shared" si="0"/>
        <v>0.20699999999999999</v>
      </c>
      <c r="Y27">
        <f t="shared" si="0"/>
        <v>0.23899999999999999</v>
      </c>
      <c r="Z27">
        <f t="shared" si="0"/>
        <v>0.251</v>
      </c>
      <c r="AA27">
        <f t="shared" si="0"/>
        <v>0.27699999999999997</v>
      </c>
      <c r="AB27">
        <f t="shared" si="0"/>
        <v>0.23699999999999999</v>
      </c>
      <c r="AC27">
        <f t="shared" si="0"/>
        <v>0.22800000000000001</v>
      </c>
      <c r="AD27">
        <f t="shared" si="0"/>
        <v>0.14899999999999999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7</v>
      </c>
      <c r="G28">
        <v>12</v>
      </c>
      <c r="H28">
        <v>2</v>
      </c>
      <c r="I28">
        <v>16.7</v>
      </c>
      <c r="J28">
        <v>15.1</v>
      </c>
      <c r="K28">
        <v>16.3</v>
      </c>
      <c r="L28">
        <v>18.2</v>
      </c>
      <c r="M28">
        <v>23.1</v>
      </c>
      <c r="N28">
        <v>24</v>
      </c>
      <c r="O28">
        <v>22.3</v>
      </c>
      <c r="P28">
        <v>25.5</v>
      </c>
      <c r="Q28">
        <v>25.5</v>
      </c>
      <c r="R28">
        <v>17.600000000000001</v>
      </c>
      <c r="S28">
        <f t="shared" si="1"/>
        <v>10</v>
      </c>
      <c r="T28" t="s">
        <v>62</v>
      </c>
      <c r="U28">
        <f t="shared" si="2"/>
        <v>0.16699999999999998</v>
      </c>
      <c r="V28">
        <f t="shared" si="0"/>
        <v>0.151</v>
      </c>
      <c r="W28">
        <f t="shared" si="0"/>
        <v>0.16300000000000001</v>
      </c>
      <c r="X28">
        <f t="shared" si="0"/>
        <v>0.182</v>
      </c>
      <c r="Y28">
        <f t="shared" si="0"/>
        <v>0.23100000000000001</v>
      </c>
      <c r="Z28">
        <f t="shared" si="0"/>
        <v>0.24</v>
      </c>
      <c r="AA28">
        <f t="shared" si="0"/>
        <v>0.223</v>
      </c>
      <c r="AB28">
        <f t="shared" si="0"/>
        <v>0.255</v>
      </c>
      <c r="AC28">
        <f t="shared" si="0"/>
        <v>0.255</v>
      </c>
      <c r="AD28">
        <f t="shared" si="0"/>
        <v>0.17600000000000002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7</v>
      </c>
      <c r="G29">
        <v>12</v>
      </c>
      <c r="H29">
        <v>7</v>
      </c>
      <c r="I29">
        <v>15.5</v>
      </c>
      <c r="J29">
        <v>17.2</v>
      </c>
      <c r="K29">
        <v>18.899999999999999</v>
      </c>
      <c r="L29">
        <v>21.8</v>
      </c>
      <c r="M29">
        <v>24.6</v>
      </c>
      <c r="N29">
        <v>28.2</v>
      </c>
      <c r="O29">
        <v>28.8</v>
      </c>
      <c r="P29">
        <v>29.8</v>
      </c>
      <c r="Q29">
        <v>24.3</v>
      </c>
      <c r="R29">
        <v>18.399999999999999</v>
      </c>
      <c r="S29">
        <f t="shared" si="1"/>
        <v>11</v>
      </c>
      <c r="T29" t="s">
        <v>52</v>
      </c>
      <c r="U29">
        <f t="shared" si="2"/>
        <v>0.155</v>
      </c>
      <c r="V29">
        <f t="shared" si="0"/>
        <v>0.17199999999999999</v>
      </c>
      <c r="W29">
        <f t="shared" si="0"/>
        <v>0.18899999999999997</v>
      </c>
      <c r="X29">
        <f t="shared" si="0"/>
        <v>0.218</v>
      </c>
      <c r="Y29">
        <f t="shared" si="0"/>
        <v>0.24600000000000002</v>
      </c>
      <c r="Z29">
        <f t="shared" si="0"/>
        <v>0.28199999999999997</v>
      </c>
      <c r="AA29">
        <f t="shared" si="0"/>
        <v>0.28800000000000003</v>
      </c>
      <c r="AB29">
        <f t="shared" si="0"/>
        <v>0.29799999999999999</v>
      </c>
      <c r="AC29">
        <f t="shared" si="0"/>
        <v>0.24299999999999999</v>
      </c>
      <c r="AD29">
        <f t="shared" si="0"/>
        <v>0.184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7</v>
      </c>
      <c r="G30">
        <v>12</v>
      </c>
      <c r="H30">
        <v>11</v>
      </c>
      <c r="I30">
        <v>24.5</v>
      </c>
      <c r="J30">
        <v>14.6</v>
      </c>
      <c r="K30">
        <v>16.2</v>
      </c>
      <c r="L30">
        <v>26</v>
      </c>
      <c r="M30">
        <v>25.5</v>
      </c>
      <c r="N30">
        <v>24.7</v>
      </c>
      <c r="O30">
        <v>30.3</v>
      </c>
      <c r="P30">
        <v>26.9</v>
      </c>
      <c r="Q30">
        <v>22.4</v>
      </c>
      <c r="R30">
        <v>15.7</v>
      </c>
      <c r="S30">
        <f t="shared" si="1"/>
        <v>12</v>
      </c>
      <c r="T30" t="s">
        <v>64</v>
      </c>
      <c r="U30">
        <f t="shared" si="2"/>
        <v>0.245</v>
      </c>
      <c r="V30">
        <f t="shared" si="0"/>
        <v>0.14599999999999999</v>
      </c>
      <c r="W30">
        <f t="shared" si="0"/>
        <v>0.16200000000000001</v>
      </c>
      <c r="X30">
        <f t="shared" si="0"/>
        <v>0.26</v>
      </c>
      <c r="Y30">
        <f t="shared" si="0"/>
        <v>0.255</v>
      </c>
      <c r="Z30">
        <f t="shared" si="0"/>
        <v>0.247</v>
      </c>
      <c r="AA30">
        <f t="shared" si="0"/>
        <v>0.30299999999999999</v>
      </c>
      <c r="AB30">
        <f t="shared" si="0"/>
        <v>0.26899999999999996</v>
      </c>
      <c r="AC30">
        <f t="shared" si="0"/>
        <v>0.22399999999999998</v>
      </c>
      <c r="AD30">
        <f t="shared" si="0"/>
        <v>0.157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7</v>
      </c>
      <c r="G31">
        <v>12</v>
      </c>
      <c r="H31">
        <v>17</v>
      </c>
      <c r="I31">
        <v>18.8</v>
      </c>
      <c r="J31">
        <v>17.899999999999999</v>
      </c>
      <c r="K31">
        <v>19.100000000000001</v>
      </c>
      <c r="L31">
        <v>24.5</v>
      </c>
      <c r="M31">
        <v>25.6</v>
      </c>
      <c r="N31">
        <v>27.6</v>
      </c>
      <c r="O31">
        <v>27.4</v>
      </c>
      <c r="P31">
        <v>28.3</v>
      </c>
      <c r="Q31">
        <v>24.9</v>
      </c>
      <c r="R31">
        <v>17.100000000000001</v>
      </c>
      <c r="S31">
        <f t="shared" si="1"/>
        <v>13</v>
      </c>
      <c r="T31" t="s">
        <v>29</v>
      </c>
      <c r="U31">
        <f t="shared" si="2"/>
        <v>0.188</v>
      </c>
      <c r="V31">
        <f t="shared" si="0"/>
        <v>0.17899999999999999</v>
      </c>
      <c r="W31">
        <f t="shared" si="0"/>
        <v>0.191</v>
      </c>
      <c r="X31">
        <f t="shared" si="0"/>
        <v>0.245</v>
      </c>
      <c r="Y31">
        <f t="shared" si="0"/>
        <v>0.25600000000000001</v>
      </c>
      <c r="Z31">
        <f t="shared" si="0"/>
        <v>0.27600000000000002</v>
      </c>
      <c r="AA31">
        <f t="shared" si="0"/>
        <v>0.27399999999999997</v>
      </c>
      <c r="AB31">
        <f t="shared" si="0"/>
        <v>0.28300000000000003</v>
      </c>
      <c r="AC31">
        <f t="shared" si="0"/>
        <v>0.249</v>
      </c>
      <c r="AD31">
        <f t="shared" si="0"/>
        <v>0.17100000000000001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7</v>
      </c>
      <c r="G32">
        <v>12</v>
      </c>
      <c r="H32">
        <v>24</v>
      </c>
      <c r="I32">
        <v>18.7</v>
      </c>
      <c r="J32">
        <v>19.3</v>
      </c>
      <c r="K32">
        <v>23.6</v>
      </c>
      <c r="L32">
        <v>24.9</v>
      </c>
      <c r="M32">
        <v>24.5</v>
      </c>
      <c r="N32">
        <v>25.2</v>
      </c>
      <c r="O32">
        <v>29.3</v>
      </c>
      <c r="P32">
        <v>24.4</v>
      </c>
      <c r="Q32">
        <v>23</v>
      </c>
      <c r="R32">
        <v>14.4</v>
      </c>
      <c r="S32">
        <f t="shared" si="1"/>
        <v>14</v>
      </c>
      <c r="T32" t="s">
        <v>30</v>
      </c>
      <c r="U32">
        <f t="shared" si="2"/>
        <v>0.187</v>
      </c>
      <c r="V32">
        <f t="shared" si="0"/>
        <v>0.193</v>
      </c>
      <c r="W32">
        <f t="shared" si="0"/>
        <v>0.23600000000000002</v>
      </c>
      <c r="X32">
        <f t="shared" si="0"/>
        <v>0.249</v>
      </c>
      <c r="Y32">
        <f t="shared" si="0"/>
        <v>0.245</v>
      </c>
      <c r="Z32">
        <f t="shared" si="0"/>
        <v>0.252</v>
      </c>
      <c r="AA32">
        <f t="shared" si="0"/>
        <v>0.29299999999999998</v>
      </c>
      <c r="AB32">
        <f t="shared" si="0"/>
        <v>0.24399999999999999</v>
      </c>
      <c r="AC32">
        <f t="shared" si="0"/>
        <v>0.23</v>
      </c>
      <c r="AD32">
        <f t="shared" si="0"/>
        <v>0.14400000000000002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7</v>
      </c>
      <c r="G33">
        <v>12</v>
      </c>
      <c r="H33">
        <v>21</v>
      </c>
      <c r="I33">
        <v>18.7</v>
      </c>
      <c r="J33">
        <v>16.2</v>
      </c>
      <c r="K33">
        <v>17.100000000000001</v>
      </c>
      <c r="L33">
        <v>19.100000000000001</v>
      </c>
      <c r="M33">
        <v>25.8</v>
      </c>
      <c r="N33">
        <v>26.8</v>
      </c>
      <c r="O33">
        <v>27.4</v>
      </c>
      <c r="P33">
        <v>24.5</v>
      </c>
      <c r="Q33">
        <v>24.8</v>
      </c>
      <c r="R33">
        <v>17.899999999999999</v>
      </c>
      <c r="S33">
        <f t="shared" si="1"/>
        <v>15</v>
      </c>
      <c r="T33" t="s">
        <v>31</v>
      </c>
      <c r="U33">
        <f t="shared" si="2"/>
        <v>0.187</v>
      </c>
      <c r="V33">
        <f t="shared" si="0"/>
        <v>0.16200000000000001</v>
      </c>
      <c r="W33">
        <f t="shared" si="0"/>
        <v>0.17100000000000001</v>
      </c>
      <c r="X33">
        <f t="shared" si="0"/>
        <v>0.191</v>
      </c>
      <c r="Y33">
        <f t="shared" si="0"/>
        <v>0.25800000000000001</v>
      </c>
      <c r="Z33">
        <f t="shared" si="0"/>
        <v>0.26800000000000002</v>
      </c>
      <c r="AA33">
        <f t="shared" si="0"/>
        <v>0.27399999999999997</v>
      </c>
      <c r="AB33">
        <f t="shared" si="0"/>
        <v>0.245</v>
      </c>
      <c r="AC33">
        <f t="shared" si="0"/>
        <v>0.248</v>
      </c>
      <c r="AD33">
        <f t="shared" si="0"/>
        <v>0.17899999999999999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7</v>
      </c>
      <c r="G34">
        <v>12</v>
      </c>
      <c r="H34">
        <v>34</v>
      </c>
      <c r="I34">
        <v>24.6</v>
      </c>
      <c r="J34">
        <v>19.5</v>
      </c>
      <c r="K34">
        <v>22</v>
      </c>
      <c r="L34">
        <v>20.5</v>
      </c>
      <c r="M34">
        <v>21.1</v>
      </c>
      <c r="N34">
        <v>19.899999999999999</v>
      </c>
      <c r="O34">
        <v>18.5</v>
      </c>
      <c r="P34">
        <v>20.6</v>
      </c>
      <c r="Q34">
        <v>24</v>
      </c>
      <c r="R34">
        <v>17</v>
      </c>
      <c r="S34">
        <f t="shared" si="1"/>
        <v>16</v>
      </c>
      <c r="T34" t="s">
        <v>32</v>
      </c>
      <c r="U34">
        <f t="shared" si="2"/>
        <v>0.24600000000000002</v>
      </c>
      <c r="V34">
        <f t="shared" si="0"/>
        <v>0.19500000000000001</v>
      </c>
      <c r="W34">
        <f t="shared" si="0"/>
        <v>0.22</v>
      </c>
      <c r="X34">
        <f t="shared" si="0"/>
        <v>0.20499999999999999</v>
      </c>
      <c r="Y34">
        <f t="shared" si="0"/>
        <v>0.21100000000000002</v>
      </c>
      <c r="Z34">
        <f t="shared" si="0"/>
        <v>0.19899999999999998</v>
      </c>
      <c r="AA34">
        <f t="shared" si="0"/>
        <v>0.185</v>
      </c>
      <c r="AB34">
        <f t="shared" si="0"/>
        <v>0.20600000000000002</v>
      </c>
      <c r="AC34">
        <f t="shared" si="0"/>
        <v>0.24</v>
      </c>
      <c r="AD34">
        <f t="shared" si="0"/>
        <v>0.17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7</v>
      </c>
      <c r="G35">
        <v>12</v>
      </c>
      <c r="H35">
        <v>31</v>
      </c>
      <c r="I35">
        <v>17.899999999999999</v>
      </c>
      <c r="J35">
        <v>17.399999999999999</v>
      </c>
      <c r="K35">
        <v>18.7</v>
      </c>
      <c r="L35">
        <v>19.8</v>
      </c>
      <c r="M35">
        <v>23.5</v>
      </c>
      <c r="N35">
        <v>26</v>
      </c>
      <c r="O35">
        <v>27.9</v>
      </c>
      <c r="P35">
        <v>25.7</v>
      </c>
      <c r="Q35">
        <v>23</v>
      </c>
      <c r="R35">
        <v>17.2</v>
      </c>
      <c r="S35">
        <f t="shared" si="1"/>
        <v>17</v>
      </c>
      <c r="T35" t="s">
        <v>33</v>
      </c>
      <c r="U35">
        <f t="shared" si="2"/>
        <v>0.17899999999999999</v>
      </c>
      <c r="V35">
        <f t="shared" si="0"/>
        <v>0.17399999999999999</v>
      </c>
      <c r="W35">
        <f t="shared" si="0"/>
        <v>0.187</v>
      </c>
      <c r="X35">
        <f t="shared" si="0"/>
        <v>0.19800000000000001</v>
      </c>
      <c r="Y35">
        <f t="shared" si="0"/>
        <v>0.23499999999999999</v>
      </c>
      <c r="Z35">
        <f t="shared" si="0"/>
        <v>0.26</v>
      </c>
      <c r="AA35">
        <f t="shared" si="0"/>
        <v>0.27899999999999997</v>
      </c>
      <c r="AB35">
        <f t="shared" si="0"/>
        <v>0.25700000000000001</v>
      </c>
      <c r="AC35">
        <f t="shared" si="0"/>
        <v>0.23</v>
      </c>
      <c r="AD35">
        <f t="shared" si="0"/>
        <v>0.17199999999999999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7</v>
      </c>
      <c r="G36">
        <v>12</v>
      </c>
      <c r="H36">
        <v>43</v>
      </c>
      <c r="I36">
        <v>20.7</v>
      </c>
      <c r="J36">
        <v>19.2</v>
      </c>
      <c r="K36">
        <v>25.2</v>
      </c>
      <c r="L36">
        <v>28.2</v>
      </c>
      <c r="M36">
        <v>23.3</v>
      </c>
      <c r="N36">
        <v>24.9</v>
      </c>
      <c r="O36">
        <v>24.2</v>
      </c>
      <c r="P36">
        <v>20.9</v>
      </c>
      <c r="Q36">
        <v>18.600000000000001</v>
      </c>
      <c r="R36">
        <v>14.6</v>
      </c>
      <c r="S36">
        <f t="shared" si="1"/>
        <v>18</v>
      </c>
      <c r="T36" t="s">
        <v>34</v>
      </c>
      <c r="U36">
        <f t="shared" si="2"/>
        <v>0.20699999999999999</v>
      </c>
      <c r="V36">
        <f t="shared" si="0"/>
        <v>0.192</v>
      </c>
      <c r="W36">
        <f t="shared" si="0"/>
        <v>0.252</v>
      </c>
      <c r="X36">
        <f t="shared" si="0"/>
        <v>0.28199999999999997</v>
      </c>
      <c r="Y36">
        <f t="shared" si="0"/>
        <v>0.23300000000000001</v>
      </c>
      <c r="Z36">
        <f t="shared" si="0"/>
        <v>0.249</v>
      </c>
      <c r="AA36">
        <f t="shared" si="0"/>
        <v>0.24199999999999999</v>
      </c>
      <c r="AB36">
        <f t="shared" si="0"/>
        <v>0.20899999999999999</v>
      </c>
      <c r="AC36">
        <f t="shared" si="0"/>
        <v>0.18600000000000003</v>
      </c>
      <c r="AD36">
        <f t="shared" si="0"/>
        <v>0.14599999999999999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7</v>
      </c>
      <c r="G37">
        <v>12</v>
      </c>
      <c r="H37">
        <v>40</v>
      </c>
      <c r="I37">
        <v>23.1</v>
      </c>
      <c r="J37">
        <v>21.9</v>
      </c>
      <c r="K37">
        <v>31.1</v>
      </c>
      <c r="L37">
        <v>20.9</v>
      </c>
      <c r="M37">
        <v>22.6</v>
      </c>
      <c r="N37">
        <v>24.8</v>
      </c>
      <c r="O37">
        <v>27</v>
      </c>
      <c r="P37">
        <v>22.3</v>
      </c>
      <c r="Q37">
        <v>21.4</v>
      </c>
      <c r="R37">
        <v>14.8</v>
      </c>
      <c r="S37">
        <f t="shared" si="1"/>
        <v>19</v>
      </c>
      <c r="T37" t="s">
        <v>65</v>
      </c>
      <c r="U37">
        <f t="shared" si="2"/>
        <v>0.23100000000000001</v>
      </c>
      <c r="V37">
        <f t="shared" si="0"/>
        <v>0.21899999999999997</v>
      </c>
      <c r="W37">
        <f t="shared" si="0"/>
        <v>0.311</v>
      </c>
      <c r="X37">
        <f t="shared" si="0"/>
        <v>0.20899999999999999</v>
      </c>
      <c r="Y37">
        <f t="shared" si="0"/>
        <v>0.22600000000000001</v>
      </c>
      <c r="Z37">
        <f t="shared" si="0"/>
        <v>0.248</v>
      </c>
      <c r="AA37">
        <f t="shared" si="0"/>
        <v>0.27</v>
      </c>
      <c r="AB37">
        <f t="shared" si="0"/>
        <v>0.223</v>
      </c>
      <c r="AC37">
        <f t="shared" si="0"/>
        <v>0.214</v>
      </c>
      <c r="AD37">
        <f t="shared" si="0"/>
        <v>0.14800000000000002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7</v>
      </c>
      <c r="G38">
        <v>12</v>
      </c>
      <c r="H38">
        <v>54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27.7</v>
      </c>
      <c r="O38">
        <v>26.5</v>
      </c>
      <c r="P38">
        <v>22.3</v>
      </c>
      <c r="Q38">
        <v>21.7</v>
      </c>
      <c r="R38">
        <v>17.2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0.27699999999999997</v>
      </c>
      <c r="AA38">
        <f t="shared" si="0"/>
        <v>0.26500000000000001</v>
      </c>
      <c r="AB38">
        <f t="shared" si="0"/>
        <v>0.223</v>
      </c>
      <c r="AC38">
        <f t="shared" si="0"/>
        <v>0.217</v>
      </c>
      <c r="AD38">
        <f t="shared" si="0"/>
        <v>0.17199999999999999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7</v>
      </c>
      <c r="G39">
        <v>12</v>
      </c>
      <c r="H39">
        <v>57</v>
      </c>
      <c r="I39">
        <v>21.6</v>
      </c>
      <c r="J39">
        <v>22.4</v>
      </c>
      <c r="K39">
        <v>21.4</v>
      </c>
      <c r="L39">
        <v>23</v>
      </c>
      <c r="M39">
        <v>24.9</v>
      </c>
      <c r="N39">
        <v>23.2</v>
      </c>
      <c r="O39">
        <v>24.6</v>
      </c>
      <c r="P39">
        <v>27.8</v>
      </c>
      <c r="Q39">
        <v>24.2</v>
      </c>
      <c r="R39">
        <v>16.600000000000001</v>
      </c>
      <c r="S39">
        <f t="shared" si="1"/>
        <v>21</v>
      </c>
      <c r="T39" t="s">
        <v>67</v>
      </c>
      <c r="U39">
        <f t="shared" si="2"/>
        <v>0.21600000000000003</v>
      </c>
      <c r="V39">
        <f t="shared" si="0"/>
        <v>0.22399999999999998</v>
      </c>
      <c r="W39">
        <f t="shared" si="0"/>
        <v>0.214</v>
      </c>
      <c r="X39">
        <f t="shared" si="0"/>
        <v>0.23</v>
      </c>
      <c r="Y39">
        <f t="shared" si="0"/>
        <v>0.249</v>
      </c>
      <c r="Z39">
        <f t="shared" si="0"/>
        <v>0.23199999999999998</v>
      </c>
      <c r="AA39">
        <f t="shared" si="0"/>
        <v>0.24600000000000002</v>
      </c>
      <c r="AB39">
        <f t="shared" si="0"/>
        <v>0.27800000000000002</v>
      </c>
      <c r="AC39">
        <f t="shared" si="0"/>
        <v>0.24199999999999999</v>
      </c>
      <c r="AD39">
        <f t="shared" si="0"/>
        <v>0.16600000000000001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7</v>
      </c>
      <c r="G40">
        <v>13</v>
      </c>
      <c r="H40">
        <v>2</v>
      </c>
      <c r="I40">
        <v>19.100000000000001</v>
      </c>
      <c r="J40">
        <v>18.5</v>
      </c>
      <c r="K40">
        <v>20</v>
      </c>
      <c r="L40">
        <v>20.9</v>
      </c>
      <c r="M40">
        <v>25</v>
      </c>
      <c r="N40">
        <v>27.2</v>
      </c>
      <c r="O40">
        <v>29.9</v>
      </c>
      <c r="P40">
        <v>26.5</v>
      </c>
      <c r="Q40">
        <v>25</v>
      </c>
      <c r="R40">
        <v>18.3</v>
      </c>
      <c r="S40">
        <f t="shared" si="1"/>
        <v>22</v>
      </c>
      <c r="T40" t="s">
        <v>68</v>
      </c>
      <c r="U40">
        <f t="shared" si="2"/>
        <v>0.191</v>
      </c>
      <c r="V40">
        <f t="shared" si="0"/>
        <v>0.185</v>
      </c>
      <c r="W40">
        <f t="shared" si="0"/>
        <v>0.2</v>
      </c>
      <c r="X40">
        <f t="shared" si="0"/>
        <v>0.20899999999999999</v>
      </c>
      <c r="Y40">
        <f t="shared" si="0"/>
        <v>0.25</v>
      </c>
      <c r="Z40">
        <f t="shared" si="0"/>
        <v>0.27200000000000002</v>
      </c>
      <c r="AA40">
        <f t="shared" si="0"/>
        <v>0.29899999999999999</v>
      </c>
      <c r="AB40">
        <f t="shared" si="0"/>
        <v>0.26500000000000001</v>
      </c>
      <c r="AC40">
        <f t="shared" si="0"/>
        <v>0.25</v>
      </c>
      <c r="AD40">
        <f t="shared" si="0"/>
        <v>0.183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7</v>
      </c>
      <c r="G41">
        <v>13</v>
      </c>
      <c r="H41">
        <v>7</v>
      </c>
      <c r="I41">
        <v>-5.9</v>
      </c>
      <c r="J41">
        <v>-5.9</v>
      </c>
      <c r="K41">
        <v>-5.9</v>
      </c>
      <c r="L41">
        <v>-5.9</v>
      </c>
      <c r="M41">
        <v>-5.9</v>
      </c>
      <c r="N41">
        <v>26.9</v>
      </c>
      <c r="O41">
        <v>26.8</v>
      </c>
      <c r="P41">
        <v>24.7</v>
      </c>
      <c r="Q41">
        <v>25.1</v>
      </c>
      <c r="R41">
        <v>18.5</v>
      </c>
      <c r="S41">
        <f t="shared" si="1"/>
        <v>23</v>
      </c>
      <c r="T41" t="s">
        <v>69</v>
      </c>
      <c r="U41" t="str">
        <f t="shared" si="2"/>
        <v/>
      </c>
      <c r="V41" t="str">
        <f t="shared" si="0"/>
        <v/>
      </c>
      <c r="W41" t="str">
        <f t="shared" si="0"/>
        <v/>
      </c>
      <c r="X41" t="str">
        <f t="shared" si="0"/>
        <v/>
      </c>
      <c r="Y41" t="str">
        <f t="shared" si="0"/>
        <v/>
      </c>
      <c r="Z41">
        <f t="shared" si="0"/>
        <v>0.26899999999999996</v>
      </c>
      <c r="AA41">
        <f t="shared" si="0"/>
        <v>0.26800000000000002</v>
      </c>
      <c r="AB41">
        <f t="shared" si="0"/>
        <v>0.247</v>
      </c>
      <c r="AC41">
        <f t="shared" si="0"/>
        <v>0.251</v>
      </c>
      <c r="AD41">
        <f t="shared" si="0"/>
        <v>0.185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7</v>
      </c>
      <c r="G42">
        <v>13</v>
      </c>
      <c r="H42">
        <v>11</v>
      </c>
      <c r="I42">
        <v>18.899999999999999</v>
      </c>
      <c r="J42">
        <v>19.8</v>
      </c>
      <c r="K42">
        <v>23.3</v>
      </c>
      <c r="L42">
        <v>25</v>
      </c>
      <c r="M42">
        <v>27.3</v>
      </c>
      <c r="N42">
        <v>29</v>
      </c>
      <c r="O42">
        <v>31.3</v>
      </c>
      <c r="P42">
        <v>27.6</v>
      </c>
      <c r="Q42">
        <v>24.6</v>
      </c>
      <c r="R42">
        <v>17.5</v>
      </c>
      <c r="S42">
        <f t="shared" si="1"/>
        <v>24</v>
      </c>
      <c r="T42" t="s">
        <v>70</v>
      </c>
      <c r="U42">
        <f t="shared" si="2"/>
        <v>0.18899999999999997</v>
      </c>
      <c r="V42">
        <f t="shared" si="0"/>
        <v>0.19800000000000001</v>
      </c>
      <c r="W42">
        <f t="shared" si="0"/>
        <v>0.23300000000000001</v>
      </c>
      <c r="X42">
        <f t="shared" si="0"/>
        <v>0.25</v>
      </c>
      <c r="Y42">
        <f t="shared" si="0"/>
        <v>0.27300000000000002</v>
      </c>
      <c r="Z42">
        <f t="shared" si="0"/>
        <v>0.28999999999999998</v>
      </c>
      <c r="AA42">
        <f t="shared" si="0"/>
        <v>0.313</v>
      </c>
      <c r="AB42">
        <f t="shared" si="0"/>
        <v>0.27600000000000002</v>
      </c>
      <c r="AC42">
        <f t="shared" si="0"/>
        <v>0.24600000000000002</v>
      </c>
      <c r="AD42">
        <f t="shared" si="0"/>
        <v>0.17499999999999999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7</v>
      </c>
      <c r="G43">
        <v>13</v>
      </c>
      <c r="H43">
        <v>17</v>
      </c>
      <c r="I43">
        <v>20.7</v>
      </c>
      <c r="J43">
        <v>21.9</v>
      </c>
      <c r="K43">
        <v>24.6</v>
      </c>
      <c r="L43">
        <v>25.8</v>
      </c>
      <c r="M43">
        <v>26.5</v>
      </c>
      <c r="N43">
        <v>28.9</v>
      </c>
      <c r="O43">
        <v>23.4</v>
      </c>
      <c r="P43">
        <v>23</v>
      </c>
      <c r="Q43">
        <v>24.3</v>
      </c>
      <c r="R43">
        <v>17.600000000000001</v>
      </c>
      <c r="S43">
        <f t="shared" si="1"/>
        <v>25</v>
      </c>
      <c r="T43" t="s">
        <v>71</v>
      </c>
      <c r="U43">
        <f t="shared" si="2"/>
        <v>0.20699999999999999</v>
      </c>
      <c r="V43">
        <f t="shared" si="0"/>
        <v>0.21899999999999997</v>
      </c>
      <c r="W43">
        <f t="shared" si="0"/>
        <v>0.24600000000000002</v>
      </c>
      <c r="X43">
        <f t="shared" si="0"/>
        <v>0.25800000000000001</v>
      </c>
      <c r="Y43">
        <f t="shared" si="0"/>
        <v>0.26500000000000001</v>
      </c>
      <c r="Z43">
        <f t="shared" si="0"/>
        <v>0.28899999999999998</v>
      </c>
      <c r="AA43">
        <f t="shared" si="0"/>
        <v>0.23399999999999999</v>
      </c>
      <c r="AB43">
        <f t="shared" si="0"/>
        <v>0.23</v>
      </c>
      <c r="AC43">
        <f t="shared" si="0"/>
        <v>0.24299999999999999</v>
      </c>
      <c r="AD43">
        <f t="shared" si="0"/>
        <v>0.17600000000000002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7</v>
      </c>
      <c r="G44">
        <v>13</v>
      </c>
      <c r="H44">
        <v>22</v>
      </c>
      <c r="I44">
        <v>-5.9</v>
      </c>
      <c r="J44">
        <v>19</v>
      </c>
      <c r="K44">
        <v>20.6</v>
      </c>
      <c r="L44">
        <v>22.6</v>
      </c>
      <c r="M44">
        <v>23.8</v>
      </c>
      <c r="N44">
        <v>22.8</v>
      </c>
      <c r="O44">
        <v>26.8</v>
      </c>
      <c r="P44">
        <v>25.5</v>
      </c>
      <c r="Q44">
        <v>24</v>
      </c>
      <c r="R44">
        <v>18.8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</v>
      </c>
      <c r="W44">
        <f t="shared" si="0"/>
        <v>0.20600000000000002</v>
      </c>
      <c r="X44">
        <f t="shared" si="0"/>
        <v>0.22600000000000001</v>
      </c>
      <c r="Y44">
        <f t="shared" si="0"/>
        <v>0.23800000000000002</v>
      </c>
      <c r="Z44">
        <f t="shared" si="0"/>
        <v>0.22800000000000001</v>
      </c>
      <c r="AA44">
        <f t="shared" si="0"/>
        <v>0.26800000000000002</v>
      </c>
      <c r="AB44">
        <f t="shared" si="0"/>
        <v>0.255</v>
      </c>
      <c r="AC44">
        <f t="shared" si="0"/>
        <v>0.24</v>
      </c>
      <c r="AD44">
        <f t="shared" si="0"/>
        <v>0.188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7</v>
      </c>
      <c r="G45">
        <v>13</v>
      </c>
      <c r="H45">
        <v>27</v>
      </c>
      <c r="I45">
        <v>-5.9</v>
      </c>
      <c r="J45">
        <v>19.5</v>
      </c>
      <c r="K45">
        <v>17.2</v>
      </c>
      <c r="L45">
        <v>25.8</v>
      </c>
      <c r="M45">
        <v>23.1</v>
      </c>
      <c r="N45">
        <v>25.3</v>
      </c>
      <c r="O45">
        <v>28.8</v>
      </c>
      <c r="P45">
        <v>27.1</v>
      </c>
      <c r="Q45">
        <v>25.2</v>
      </c>
      <c r="R45">
        <v>19.600000000000001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0.19500000000000001</v>
      </c>
      <c r="W45">
        <f t="shared" si="0"/>
        <v>0.17199999999999999</v>
      </c>
      <c r="X45">
        <f t="shared" si="0"/>
        <v>0.25800000000000001</v>
      </c>
      <c r="Y45">
        <f t="shared" si="0"/>
        <v>0.23100000000000001</v>
      </c>
      <c r="Z45">
        <f t="shared" si="0"/>
        <v>0.253</v>
      </c>
      <c r="AA45">
        <f t="shared" si="0"/>
        <v>0.28800000000000003</v>
      </c>
      <c r="AB45">
        <f t="shared" si="0"/>
        <v>0.27100000000000002</v>
      </c>
      <c r="AC45">
        <f t="shared" si="0"/>
        <v>0.252</v>
      </c>
      <c r="AD45">
        <f t="shared" si="0"/>
        <v>0.19600000000000001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7</v>
      </c>
      <c r="G46">
        <v>13</v>
      </c>
      <c r="H46">
        <v>31</v>
      </c>
      <c r="I46">
        <v>18.5</v>
      </c>
      <c r="J46">
        <v>17.3</v>
      </c>
      <c r="K46">
        <v>18.7</v>
      </c>
      <c r="L46">
        <v>20.9</v>
      </c>
      <c r="M46">
        <v>25.9</v>
      </c>
      <c r="N46">
        <v>26.8</v>
      </c>
      <c r="O46">
        <v>26.8</v>
      </c>
      <c r="P46">
        <v>28.2</v>
      </c>
      <c r="Q46">
        <v>23.8</v>
      </c>
      <c r="R46">
        <v>16.3</v>
      </c>
      <c r="S46">
        <f t="shared" si="1"/>
        <v>28</v>
      </c>
      <c r="T46" t="s">
        <v>76</v>
      </c>
      <c r="U46">
        <f t="shared" si="2"/>
        <v>0.185</v>
      </c>
      <c r="V46">
        <f t="shared" si="0"/>
        <v>0.17300000000000001</v>
      </c>
      <c r="W46">
        <f t="shared" si="0"/>
        <v>0.187</v>
      </c>
      <c r="X46">
        <f t="shared" si="0"/>
        <v>0.20899999999999999</v>
      </c>
      <c r="Y46">
        <f t="shared" si="0"/>
        <v>0.25900000000000001</v>
      </c>
      <c r="Z46">
        <f t="shared" si="0"/>
        <v>0.26800000000000002</v>
      </c>
      <c r="AA46">
        <f t="shared" si="0"/>
        <v>0.26800000000000002</v>
      </c>
      <c r="AB46">
        <f t="shared" si="0"/>
        <v>0.28199999999999997</v>
      </c>
      <c r="AC46">
        <f t="shared" si="0"/>
        <v>0.23800000000000002</v>
      </c>
      <c r="AD46">
        <f t="shared" si="0"/>
        <v>0.16300000000000001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7</v>
      </c>
      <c r="G47">
        <v>13</v>
      </c>
      <c r="H47">
        <v>37</v>
      </c>
      <c r="I47">
        <v>25.5</v>
      </c>
      <c r="J47">
        <v>31.8</v>
      </c>
      <c r="K47">
        <v>21.9</v>
      </c>
      <c r="L47">
        <v>24.1</v>
      </c>
      <c r="M47">
        <v>26.6</v>
      </c>
      <c r="N47">
        <v>27.6</v>
      </c>
      <c r="O47">
        <v>30.3</v>
      </c>
      <c r="P47">
        <v>26</v>
      </c>
      <c r="Q47">
        <v>25.2</v>
      </c>
      <c r="R47">
        <v>16.600000000000001</v>
      </c>
      <c r="S47">
        <f t="shared" si="1"/>
        <v>29</v>
      </c>
      <c r="T47" t="s">
        <v>53</v>
      </c>
      <c r="U47">
        <f t="shared" si="2"/>
        <v>0.255</v>
      </c>
      <c r="V47">
        <f t="shared" si="0"/>
        <v>0.318</v>
      </c>
      <c r="W47">
        <f t="shared" si="0"/>
        <v>0.21899999999999997</v>
      </c>
      <c r="X47">
        <f t="shared" si="0"/>
        <v>0.24100000000000002</v>
      </c>
      <c r="Y47">
        <f t="shared" ref="Y47:AD54" si="3">IF(M47&lt;0,"",M47/100)</f>
        <v>0.26600000000000001</v>
      </c>
      <c r="Z47">
        <f t="shared" si="3"/>
        <v>0.27600000000000002</v>
      </c>
      <c r="AA47">
        <f t="shared" si="3"/>
        <v>0.30299999999999999</v>
      </c>
      <c r="AB47">
        <f t="shared" si="3"/>
        <v>0.26</v>
      </c>
      <c r="AC47">
        <f t="shared" si="3"/>
        <v>0.252</v>
      </c>
      <c r="AD47">
        <f t="shared" si="3"/>
        <v>0.16600000000000001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7</v>
      </c>
      <c r="G48">
        <v>13</v>
      </c>
      <c r="H48">
        <v>42</v>
      </c>
      <c r="I48">
        <v>24.6</v>
      </c>
      <c r="J48">
        <v>26.6</v>
      </c>
      <c r="K48">
        <v>25.7</v>
      </c>
      <c r="L48">
        <v>23</v>
      </c>
      <c r="M48">
        <v>22.8</v>
      </c>
      <c r="N48">
        <v>22.7</v>
      </c>
      <c r="O48">
        <v>20</v>
      </c>
      <c r="P48">
        <v>25.1</v>
      </c>
      <c r="Q48">
        <v>21.3</v>
      </c>
      <c r="R48">
        <v>13.3</v>
      </c>
      <c r="S48">
        <f t="shared" si="1"/>
        <v>30</v>
      </c>
      <c r="T48" t="s">
        <v>77</v>
      </c>
      <c r="U48">
        <f t="shared" si="2"/>
        <v>0.24600000000000002</v>
      </c>
      <c r="V48">
        <f t="shared" si="2"/>
        <v>0.26600000000000001</v>
      </c>
      <c r="W48">
        <f t="shared" si="2"/>
        <v>0.25700000000000001</v>
      </c>
      <c r="X48">
        <f t="shared" si="2"/>
        <v>0.23</v>
      </c>
      <c r="Y48">
        <f t="shared" si="3"/>
        <v>0.22800000000000001</v>
      </c>
      <c r="Z48">
        <f t="shared" si="3"/>
        <v>0.22699999999999998</v>
      </c>
      <c r="AA48">
        <f t="shared" si="3"/>
        <v>0.2</v>
      </c>
      <c r="AB48">
        <f t="shared" si="3"/>
        <v>0.251</v>
      </c>
      <c r="AC48">
        <f t="shared" si="3"/>
        <v>0.21299999999999999</v>
      </c>
      <c r="AD48">
        <f t="shared" si="3"/>
        <v>0.13300000000000001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7</v>
      </c>
      <c r="G49">
        <v>13</v>
      </c>
      <c r="H49">
        <v>52</v>
      </c>
      <c r="I49">
        <v>-5.9</v>
      </c>
      <c r="J49">
        <v>-5.9</v>
      </c>
      <c r="K49">
        <v>22.4</v>
      </c>
      <c r="L49">
        <v>21.3</v>
      </c>
      <c r="M49">
        <v>23.7</v>
      </c>
      <c r="N49">
        <v>23.5</v>
      </c>
      <c r="O49">
        <v>23</v>
      </c>
      <c r="P49">
        <v>23.9</v>
      </c>
      <c r="Q49">
        <v>19.7</v>
      </c>
      <c r="R49">
        <v>11.8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0.22399999999999998</v>
      </c>
      <c r="X49">
        <f t="shared" si="4"/>
        <v>0.21299999999999999</v>
      </c>
      <c r="Y49">
        <f t="shared" si="3"/>
        <v>0.23699999999999999</v>
      </c>
      <c r="Z49">
        <f t="shared" si="3"/>
        <v>0.23499999999999999</v>
      </c>
      <c r="AA49">
        <f t="shared" si="3"/>
        <v>0.23</v>
      </c>
      <c r="AB49">
        <f t="shared" si="3"/>
        <v>0.23899999999999999</v>
      </c>
      <c r="AC49">
        <f t="shared" si="3"/>
        <v>0.19699999999999998</v>
      </c>
      <c r="AD49">
        <f t="shared" si="3"/>
        <v>0.11800000000000001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7</v>
      </c>
      <c r="G50">
        <v>13</v>
      </c>
      <c r="H50">
        <v>56</v>
      </c>
      <c r="I50">
        <v>-5.9</v>
      </c>
      <c r="J50">
        <v>23.5</v>
      </c>
      <c r="K50">
        <v>21.5</v>
      </c>
      <c r="L50">
        <v>23.7</v>
      </c>
      <c r="M50">
        <v>25.6</v>
      </c>
      <c r="N50">
        <v>27.2</v>
      </c>
      <c r="O50">
        <v>25.2</v>
      </c>
      <c r="P50">
        <v>20.5</v>
      </c>
      <c r="Q50">
        <v>21.8</v>
      </c>
      <c r="R50">
        <v>13.8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0.23499999999999999</v>
      </c>
      <c r="W50">
        <f t="shared" si="4"/>
        <v>0.215</v>
      </c>
      <c r="X50">
        <f t="shared" si="4"/>
        <v>0.23699999999999999</v>
      </c>
      <c r="Y50">
        <f t="shared" si="3"/>
        <v>0.25600000000000001</v>
      </c>
      <c r="Z50">
        <f t="shared" si="3"/>
        <v>0.27200000000000002</v>
      </c>
      <c r="AA50">
        <f t="shared" si="3"/>
        <v>0.252</v>
      </c>
      <c r="AB50">
        <f t="shared" si="3"/>
        <v>0.20499999999999999</v>
      </c>
      <c r="AC50">
        <f t="shared" si="3"/>
        <v>0.218</v>
      </c>
      <c r="AD50">
        <f t="shared" si="3"/>
        <v>0.13800000000000001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7</v>
      </c>
      <c r="G51">
        <v>14</v>
      </c>
      <c r="H51">
        <v>0</v>
      </c>
      <c r="I51">
        <v>-5.9</v>
      </c>
      <c r="J51">
        <v>20.5</v>
      </c>
      <c r="K51">
        <v>21.1</v>
      </c>
      <c r="L51">
        <v>26.3</v>
      </c>
      <c r="M51">
        <v>29.3</v>
      </c>
      <c r="N51">
        <v>29.9</v>
      </c>
      <c r="O51">
        <v>28.4</v>
      </c>
      <c r="P51">
        <v>23.1</v>
      </c>
      <c r="Q51">
        <v>17.600000000000001</v>
      </c>
      <c r="R51">
        <v>15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0.20499999999999999</v>
      </c>
      <c r="W51">
        <f t="shared" si="4"/>
        <v>0.21100000000000002</v>
      </c>
      <c r="X51">
        <f t="shared" si="4"/>
        <v>0.26300000000000001</v>
      </c>
      <c r="Y51">
        <f t="shared" si="3"/>
        <v>0.29299999999999998</v>
      </c>
      <c r="Z51">
        <f t="shared" si="3"/>
        <v>0.29899999999999999</v>
      </c>
      <c r="AA51">
        <f t="shared" si="3"/>
        <v>0.28399999999999997</v>
      </c>
      <c r="AB51">
        <f t="shared" si="3"/>
        <v>0.23100000000000001</v>
      </c>
      <c r="AC51">
        <f t="shared" si="3"/>
        <v>0.17600000000000002</v>
      </c>
      <c r="AD51">
        <f t="shared" si="3"/>
        <v>0.15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7</v>
      </c>
      <c r="G52">
        <v>14</v>
      </c>
      <c r="H52">
        <v>5</v>
      </c>
      <c r="I52">
        <v>-5.9</v>
      </c>
      <c r="J52">
        <v>-5.9</v>
      </c>
      <c r="K52">
        <v>23</v>
      </c>
      <c r="L52">
        <v>25.9</v>
      </c>
      <c r="M52">
        <v>26</v>
      </c>
      <c r="N52">
        <v>28.4</v>
      </c>
      <c r="O52">
        <v>28.3</v>
      </c>
      <c r="P52">
        <v>22.5</v>
      </c>
      <c r="Q52">
        <v>22.4</v>
      </c>
      <c r="R52">
        <v>15.5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</v>
      </c>
      <c r="X52">
        <f t="shared" si="4"/>
        <v>0.25900000000000001</v>
      </c>
      <c r="Y52">
        <f t="shared" si="3"/>
        <v>0.26</v>
      </c>
      <c r="Z52">
        <f t="shared" si="3"/>
        <v>0.28399999999999997</v>
      </c>
      <c r="AA52">
        <f t="shared" si="3"/>
        <v>0.28300000000000003</v>
      </c>
      <c r="AB52">
        <f t="shared" si="3"/>
        <v>0.22500000000000001</v>
      </c>
      <c r="AC52">
        <f t="shared" si="3"/>
        <v>0.22399999999999998</v>
      </c>
      <c r="AD52">
        <f t="shared" si="3"/>
        <v>0.155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7</v>
      </c>
      <c r="G53">
        <v>14</v>
      </c>
      <c r="H53">
        <v>1</v>
      </c>
      <c r="I53">
        <v>-5.9</v>
      </c>
      <c r="J53">
        <v>-5.9</v>
      </c>
      <c r="K53">
        <v>25.8</v>
      </c>
      <c r="L53">
        <v>27.7</v>
      </c>
      <c r="M53">
        <v>29.4</v>
      </c>
      <c r="N53">
        <v>27.5</v>
      </c>
      <c r="O53">
        <v>23.8</v>
      </c>
      <c r="P53">
        <v>18.600000000000001</v>
      </c>
      <c r="Q53">
        <v>20.5</v>
      </c>
      <c r="R53">
        <v>14.2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0.25800000000000001</v>
      </c>
      <c r="X53">
        <f t="shared" si="4"/>
        <v>0.27699999999999997</v>
      </c>
      <c r="Y53">
        <f t="shared" si="3"/>
        <v>0.29399999999999998</v>
      </c>
      <c r="Z53">
        <f t="shared" si="3"/>
        <v>0.27500000000000002</v>
      </c>
      <c r="AA53">
        <f t="shared" si="3"/>
        <v>0.23800000000000002</v>
      </c>
      <c r="AB53">
        <f t="shared" si="3"/>
        <v>0.18600000000000003</v>
      </c>
      <c r="AC53">
        <f t="shared" si="3"/>
        <v>0.20499999999999999</v>
      </c>
      <c r="AD53">
        <f t="shared" si="3"/>
        <v>0.14199999999999999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7</v>
      </c>
      <c r="G54">
        <v>14</v>
      </c>
      <c r="H54">
        <v>12</v>
      </c>
      <c r="I54">
        <v>-5.9</v>
      </c>
      <c r="J54">
        <v>20.100000000000001</v>
      </c>
      <c r="K54">
        <v>26.1</v>
      </c>
      <c r="L54">
        <v>27</v>
      </c>
      <c r="M54">
        <v>21.3</v>
      </c>
      <c r="N54">
        <v>23.5</v>
      </c>
      <c r="O54">
        <v>19.5</v>
      </c>
      <c r="P54">
        <v>18.899999999999999</v>
      </c>
      <c r="Q54">
        <v>18</v>
      </c>
      <c r="R54">
        <v>12.5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0.20100000000000001</v>
      </c>
      <c r="W54">
        <f t="shared" si="4"/>
        <v>0.26100000000000001</v>
      </c>
      <c r="X54">
        <f t="shared" si="4"/>
        <v>0.27</v>
      </c>
      <c r="Y54">
        <f t="shared" si="3"/>
        <v>0.21299999999999999</v>
      </c>
      <c r="Z54">
        <f t="shared" si="3"/>
        <v>0.23499999999999999</v>
      </c>
      <c r="AA54">
        <f t="shared" si="3"/>
        <v>0.19500000000000001</v>
      </c>
      <c r="AB54">
        <f t="shared" si="3"/>
        <v>0.18899999999999997</v>
      </c>
      <c r="AC54">
        <f t="shared" si="3"/>
        <v>0.18</v>
      </c>
      <c r="AD54">
        <f t="shared" si="3"/>
        <v>0.125</v>
      </c>
    </row>
    <row r="57" spans="1:30" x14ac:dyDescent="0.25">
      <c r="A57" s="2">
        <v>41827</v>
      </c>
    </row>
    <row r="58" spans="1:30" x14ac:dyDescent="0.25">
      <c r="A58" t="s">
        <v>3</v>
      </c>
      <c r="B58">
        <v>6116</v>
      </c>
      <c r="C58" t="s">
        <v>4</v>
      </c>
      <c r="D58">
        <v>12771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7</v>
      </c>
      <c r="G75">
        <v>7</v>
      </c>
      <c r="H75">
        <v>0</v>
      </c>
      <c r="I75">
        <v>19.600000000000001</v>
      </c>
      <c r="J75">
        <v>21.7</v>
      </c>
      <c r="K75">
        <v>20.3</v>
      </c>
      <c r="L75">
        <v>18.2</v>
      </c>
      <c r="M75">
        <v>16.2</v>
      </c>
      <c r="N75">
        <v>17.399999999999999</v>
      </c>
      <c r="O75">
        <v>18.600000000000001</v>
      </c>
      <c r="P75">
        <v>19.2</v>
      </c>
      <c r="Q75">
        <v>22.1</v>
      </c>
      <c r="R75">
        <v>16.8</v>
      </c>
      <c r="S75">
        <f>B75</f>
        <v>66</v>
      </c>
      <c r="T75" t="s">
        <v>50</v>
      </c>
      <c r="U75">
        <f>IF(I75&lt;0,"",I75/100)</f>
        <v>0.19600000000000001</v>
      </c>
      <c r="V75">
        <f t="shared" ref="V75:AD103" si="5">IF(J75&lt;0,"",J75/100)</f>
        <v>0.217</v>
      </c>
      <c r="W75">
        <f t="shared" si="5"/>
        <v>0.20300000000000001</v>
      </c>
      <c r="X75">
        <f t="shared" si="5"/>
        <v>0.182</v>
      </c>
      <c r="Y75">
        <f t="shared" si="5"/>
        <v>0.16200000000000001</v>
      </c>
      <c r="Z75">
        <f t="shared" si="5"/>
        <v>0.17399999999999999</v>
      </c>
      <c r="AA75">
        <f t="shared" si="5"/>
        <v>0.18600000000000003</v>
      </c>
      <c r="AB75">
        <f t="shared" si="5"/>
        <v>0.192</v>
      </c>
      <c r="AC75">
        <f t="shared" si="5"/>
        <v>0.221</v>
      </c>
      <c r="AD75">
        <f t="shared" si="5"/>
        <v>0.16800000000000001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7</v>
      </c>
      <c r="G76">
        <v>7</v>
      </c>
      <c r="H76">
        <v>5</v>
      </c>
      <c r="I76">
        <v>18.8</v>
      </c>
      <c r="J76">
        <v>21.6</v>
      </c>
      <c r="K76">
        <v>23.1</v>
      </c>
      <c r="L76">
        <v>23.5</v>
      </c>
      <c r="M76">
        <v>23.4</v>
      </c>
      <c r="N76">
        <v>20.7</v>
      </c>
      <c r="O76">
        <v>16.100000000000001</v>
      </c>
      <c r="P76">
        <v>16</v>
      </c>
      <c r="Q76">
        <v>18.899999999999999</v>
      </c>
      <c r="R76">
        <v>15.8</v>
      </c>
      <c r="S76">
        <f t="shared" ref="S76:S104" si="6">B76</f>
        <v>65</v>
      </c>
      <c r="T76" t="s">
        <v>49</v>
      </c>
      <c r="U76">
        <f t="shared" ref="U76:X104" si="7">IF(I76&lt;0,"",I76/100)</f>
        <v>0.188</v>
      </c>
      <c r="V76">
        <f t="shared" si="5"/>
        <v>0.21600000000000003</v>
      </c>
      <c r="W76">
        <f t="shared" si="5"/>
        <v>0.23100000000000001</v>
      </c>
      <c r="X76">
        <f t="shared" si="5"/>
        <v>0.23499999999999999</v>
      </c>
      <c r="Y76">
        <f t="shared" si="5"/>
        <v>0.23399999999999999</v>
      </c>
      <c r="Z76">
        <f t="shared" si="5"/>
        <v>0.20699999999999999</v>
      </c>
      <c r="AA76">
        <f t="shared" si="5"/>
        <v>0.161</v>
      </c>
      <c r="AB76">
        <f t="shared" si="5"/>
        <v>0.16</v>
      </c>
      <c r="AC76">
        <f t="shared" si="5"/>
        <v>0.18899999999999997</v>
      </c>
      <c r="AD76">
        <f t="shared" si="5"/>
        <v>0.158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7</v>
      </c>
      <c r="G77">
        <v>7</v>
      </c>
      <c r="H77">
        <v>10</v>
      </c>
      <c r="I77">
        <v>14.8</v>
      </c>
      <c r="J77">
        <v>13.8</v>
      </c>
      <c r="K77">
        <v>12.7</v>
      </c>
      <c r="L77">
        <v>12.1</v>
      </c>
      <c r="M77">
        <v>11</v>
      </c>
      <c r="N77">
        <v>11.2</v>
      </c>
      <c r="O77">
        <v>12.4</v>
      </c>
      <c r="P77">
        <v>20</v>
      </c>
      <c r="Q77">
        <v>23.2</v>
      </c>
      <c r="R77">
        <v>17</v>
      </c>
      <c r="S77">
        <f t="shared" si="6"/>
        <v>64</v>
      </c>
      <c r="T77" t="s">
        <v>48</v>
      </c>
      <c r="U77">
        <f t="shared" si="7"/>
        <v>0.14800000000000002</v>
      </c>
      <c r="V77">
        <f t="shared" si="5"/>
        <v>0.13800000000000001</v>
      </c>
      <c r="W77">
        <f t="shared" si="5"/>
        <v>0.127</v>
      </c>
      <c r="X77">
        <f t="shared" si="5"/>
        <v>0.121</v>
      </c>
      <c r="Y77">
        <f t="shared" si="5"/>
        <v>0.11</v>
      </c>
      <c r="Z77">
        <f t="shared" si="5"/>
        <v>0.11199999999999999</v>
      </c>
      <c r="AA77">
        <f t="shared" si="5"/>
        <v>0.124</v>
      </c>
      <c r="AB77">
        <f t="shared" si="5"/>
        <v>0.2</v>
      </c>
      <c r="AC77">
        <f t="shared" si="5"/>
        <v>0.23199999999999998</v>
      </c>
      <c r="AD77">
        <f t="shared" si="5"/>
        <v>0.17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7</v>
      </c>
      <c r="G78">
        <v>7</v>
      </c>
      <c r="H78">
        <v>16</v>
      </c>
      <c r="I78">
        <v>-5</v>
      </c>
      <c r="J78">
        <v>-5</v>
      </c>
      <c r="K78">
        <v>-5</v>
      </c>
      <c r="L78">
        <v>24.9</v>
      </c>
      <c r="M78">
        <v>21.9</v>
      </c>
      <c r="N78">
        <v>21</v>
      </c>
      <c r="O78">
        <v>21.4</v>
      </c>
      <c r="P78">
        <v>23.9</v>
      </c>
      <c r="Q78">
        <v>25.4</v>
      </c>
      <c r="R78">
        <v>19.8</v>
      </c>
      <c r="S78">
        <f t="shared" si="6"/>
        <v>63</v>
      </c>
      <c r="T78" t="s">
        <v>47</v>
      </c>
      <c r="U78" t="str">
        <f t="shared" si="7"/>
        <v/>
      </c>
      <c r="V78" t="str">
        <f t="shared" si="5"/>
        <v/>
      </c>
      <c r="W78" t="str">
        <f t="shared" si="5"/>
        <v/>
      </c>
      <c r="X78">
        <f t="shared" si="5"/>
        <v>0.249</v>
      </c>
      <c r="Y78">
        <f t="shared" si="5"/>
        <v>0.21899999999999997</v>
      </c>
      <c r="Z78">
        <f t="shared" si="5"/>
        <v>0.21</v>
      </c>
      <c r="AA78">
        <f t="shared" si="5"/>
        <v>0.214</v>
      </c>
      <c r="AB78">
        <f t="shared" si="5"/>
        <v>0.23899999999999999</v>
      </c>
      <c r="AC78">
        <f t="shared" si="5"/>
        <v>0.254</v>
      </c>
      <c r="AD78">
        <f t="shared" si="5"/>
        <v>0.19800000000000001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7</v>
      </c>
      <c r="G79">
        <v>7</v>
      </c>
      <c r="H79">
        <v>20</v>
      </c>
      <c r="I79">
        <v>23.5</v>
      </c>
      <c r="J79">
        <v>24.2</v>
      </c>
      <c r="K79">
        <v>24.1</v>
      </c>
      <c r="L79">
        <v>25.5</v>
      </c>
      <c r="M79">
        <v>24.7</v>
      </c>
      <c r="N79">
        <v>23.3</v>
      </c>
      <c r="O79">
        <v>22.1</v>
      </c>
      <c r="P79">
        <v>22.5</v>
      </c>
      <c r="Q79">
        <v>23.9</v>
      </c>
      <c r="R79">
        <v>18.399999999999999</v>
      </c>
      <c r="S79">
        <f t="shared" si="6"/>
        <v>62</v>
      </c>
      <c r="T79" t="s">
        <v>46</v>
      </c>
      <c r="U79">
        <f t="shared" si="7"/>
        <v>0.23499999999999999</v>
      </c>
      <c r="V79">
        <f t="shared" si="5"/>
        <v>0.24199999999999999</v>
      </c>
      <c r="W79">
        <f t="shared" si="5"/>
        <v>0.24100000000000002</v>
      </c>
      <c r="X79">
        <f t="shared" si="5"/>
        <v>0.255</v>
      </c>
      <c r="Y79">
        <f t="shared" si="5"/>
        <v>0.247</v>
      </c>
      <c r="Z79">
        <f t="shared" si="5"/>
        <v>0.23300000000000001</v>
      </c>
      <c r="AA79">
        <f t="shared" si="5"/>
        <v>0.221</v>
      </c>
      <c r="AB79">
        <f t="shared" si="5"/>
        <v>0.22500000000000001</v>
      </c>
      <c r="AC79">
        <f t="shared" si="5"/>
        <v>0.23899999999999999</v>
      </c>
      <c r="AD79">
        <f t="shared" si="5"/>
        <v>0.184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7</v>
      </c>
      <c r="G80">
        <v>7</v>
      </c>
      <c r="H80">
        <v>25</v>
      </c>
      <c r="I80">
        <v>23.1</v>
      </c>
      <c r="J80">
        <v>22.4</v>
      </c>
      <c r="K80">
        <v>22.3</v>
      </c>
      <c r="L80">
        <v>23.6</v>
      </c>
      <c r="M80">
        <v>23.5</v>
      </c>
      <c r="N80">
        <v>19.399999999999999</v>
      </c>
      <c r="O80">
        <v>18.2</v>
      </c>
      <c r="P80">
        <v>18.2</v>
      </c>
      <c r="Q80">
        <v>21.6</v>
      </c>
      <c r="R80">
        <v>16.5</v>
      </c>
      <c r="S80">
        <f t="shared" si="6"/>
        <v>61</v>
      </c>
      <c r="T80" t="s">
        <v>45</v>
      </c>
      <c r="U80">
        <f t="shared" si="7"/>
        <v>0.23100000000000001</v>
      </c>
      <c r="V80">
        <f t="shared" si="5"/>
        <v>0.22399999999999998</v>
      </c>
      <c r="W80">
        <f t="shared" si="5"/>
        <v>0.223</v>
      </c>
      <c r="X80">
        <f t="shared" si="5"/>
        <v>0.23600000000000002</v>
      </c>
      <c r="Y80">
        <f t="shared" si="5"/>
        <v>0.23499999999999999</v>
      </c>
      <c r="Z80">
        <f t="shared" si="5"/>
        <v>0.19399999999999998</v>
      </c>
      <c r="AA80">
        <f t="shared" si="5"/>
        <v>0.182</v>
      </c>
      <c r="AB80">
        <f t="shared" si="5"/>
        <v>0.182</v>
      </c>
      <c r="AC80">
        <f t="shared" si="5"/>
        <v>0.21600000000000003</v>
      </c>
      <c r="AD80">
        <f t="shared" si="5"/>
        <v>0.16500000000000001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7</v>
      </c>
      <c r="G81">
        <v>7</v>
      </c>
      <c r="H81">
        <v>47</v>
      </c>
      <c r="I81">
        <v>-5</v>
      </c>
      <c r="J81">
        <v>21.3</v>
      </c>
      <c r="K81">
        <v>21.2</v>
      </c>
      <c r="L81">
        <v>21.7</v>
      </c>
      <c r="M81">
        <v>19.8</v>
      </c>
      <c r="N81">
        <v>13.8</v>
      </c>
      <c r="O81">
        <v>13.1</v>
      </c>
      <c r="P81">
        <v>15.7</v>
      </c>
      <c r="Q81">
        <v>17.7</v>
      </c>
      <c r="R81">
        <v>15.8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0.21299999999999999</v>
      </c>
      <c r="W81">
        <f t="shared" si="5"/>
        <v>0.21199999999999999</v>
      </c>
      <c r="X81">
        <f t="shared" si="5"/>
        <v>0.217</v>
      </c>
      <c r="Y81">
        <f t="shared" si="5"/>
        <v>0.19800000000000001</v>
      </c>
      <c r="Z81">
        <f t="shared" si="5"/>
        <v>0.13800000000000001</v>
      </c>
      <c r="AA81">
        <f t="shared" si="5"/>
        <v>0.13100000000000001</v>
      </c>
      <c r="AB81">
        <f t="shared" si="5"/>
        <v>0.157</v>
      </c>
      <c r="AC81">
        <f t="shared" si="5"/>
        <v>0.17699999999999999</v>
      </c>
      <c r="AD81">
        <f t="shared" si="5"/>
        <v>0.158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7</v>
      </c>
      <c r="G82">
        <v>7</v>
      </c>
      <c r="H82">
        <v>52</v>
      </c>
      <c r="I82">
        <v>21.2</v>
      </c>
      <c r="J82">
        <v>22</v>
      </c>
      <c r="K82">
        <v>23.1</v>
      </c>
      <c r="L82">
        <v>22.9</v>
      </c>
      <c r="M82">
        <v>19.7</v>
      </c>
      <c r="N82">
        <v>15.6</v>
      </c>
      <c r="O82">
        <v>12.9</v>
      </c>
      <c r="P82">
        <v>16.399999999999999</v>
      </c>
      <c r="Q82">
        <v>18.600000000000001</v>
      </c>
      <c r="R82">
        <v>17.2</v>
      </c>
      <c r="S82">
        <f t="shared" si="6"/>
        <v>59</v>
      </c>
      <c r="T82" t="s">
        <v>93</v>
      </c>
      <c r="U82">
        <f t="shared" si="7"/>
        <v>0.21199999999999999</v>
      </c>
      <c r="V82">
        <f t="shared" si="5"/>
        <v>0.22</v>
      </c>
      <c r="W82">
        <f t="shared" si="5"/>
        <v>0.23100000000000001</v>
      </c>
      <c r="X82">
        <f t="shared" si="5"/>
        <v>0.22899999999999998</v>
      </c>
      <c r="Y82">
        <f t="shared" si="5"/>
        <v>0.19699999999999998</v>
      </c>
      <c r="Z82">
        <f t="shared" si="5"/>
        <v>0.156</v>
      </c>
      <c r="AA82">
        <f t="shared" si="5"/>
        <v>0.129</v>
      </c>
      <c r="AB82">
        <f t="shared" si="5"/>
        <v>0.16399999999999998</v>
      </c>
      <c r="AC82">
        <f t="shared" si="5"/>
        <v>0.18600000000000003</v>
      </c>
      <c r="AD82">
        <f t="shared" si="5"/>
        <v>0.17199999999999999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7</v>
      </c>
      <c r="G83">
        <v>7</v>
      </c>
      <c r="H83">
        <v>57</v>
      </c>
      <c r="I83">
        <v>-5</v>
      </c>
      <c r="J83">
        <v>20.6</v>
      </c>
      <c r="K83">
        <v>24.4</v>
      </c>
      <c r="L83">
        <v>24.9</v>
      </c>
      <c r="M83">
        <v>24</v>
      </c>
      <c r="N83">
        <v>23</v>
      </c>
      <c r="O83">
        <v>18.2</v>
      </c>
      <c r="P83">
        <v>20.8</v>
      </c>
      <c r="Q83">
        <v>22.9</v>
      </c>
      <c r="R83">
        <v>18.3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0.20600000000000002</v>
      </c>
      <c r="W83">
        <f t="shared" si="5"/>
        <v>0.24399999999999999</v>
      </c>
      <c r="X83">
        <f t="shared" si="5"/>
        <v>0.249</v>
      </c>
      <c r="Y83">
        <f t="shared" si="5"/>
        <v>0.24</v>
      </c>
      <c r="Z83">
        <f t="shared" si="5"/>
        <v>0.23</v>
      </c>
      <c r="AA83">
        <f t="shared" si="5"/>
        <v>0.182</v>
      </c>
      <c r="AB83">
        <f t="shared" si="5"/>
        <v>0.20800000000000002</v>
      </c>
      <c r="AC83">
        <f t="shared" si="5"/>
        <v>0.22899999999999998</v>
      </c>
      <c r="AD83">
        <f t="shared" si="5"/>
        <v>0.183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7</v>
      </c>
      <c r="G84">
        <v>8</v>
      </c>
      <c r="H84">
        <v>1</v>
      </c>
      <c r="I84">
        <v>17.100000000000001</v>
      </c>
      <c r="J84">
        <v>19.7</v>
      </c>
      <c r="K84">
        <v>25.6</v>
      </c>
      <c r="L84">
        <v>26.1</v>
      </c>
      <c r="M84">
        <v>25.8</v>
      </c>
      <c r="N84">
        <v>26.4</v>
      </c>
      <c r="O84">
        <v>24.5</v>
      </c>
      <c r="P84">
        <v>21.9</v>
      </c>
      <c r="Q84">
        <v>21.2</v>
      </c>
      <c r="R84">
        <v>17</v>
      </c>
      <c r="S84">
        <f t="shared" si="6"/>
        <v>57</v>
      </c>
      <c r="T84" t="s">
        <v>91</v>
      </c>
      <c r="U84">
        <f t="shared" si="7"/>
        <v>0.17100000000000001</v>
      </c>
      <c r="V84">
        <f t="shared" si="5"/>
        <v>0.19699999999999998</v>
      </c>
      <c r="W84">
        <f t="shared" si="5"/>
        <v>0.25600000000000001</v>
      </c>
      <c r="X84">
        <f t="shared" si="5"/>
        <v>0.26100000000000001</v>
      </c>
      <c r="Y84">
        <f t="shared" si="5"/>
        <v>0.25800000000000001</v>
      </c>
      <c r="Z84">
        <f t="shared" si="5"/>
        <v>0.26400000000000001</v>
      </c>
      <c r="AA84">
        <f t="shared" si="5"/>
        <v>0.245</v>
      </c>
      <c r="AB84">
        <f t="shared" si="5"/>
        <v>0.21899999999999997</v>
      </c>
      <c r="AC84">
        <f t="shared" si="5"/>
        <v>0.21199999999999999</v>
      </c>
      <c r="AD84">
        <f t="shared" si="5"/>
        <v>0.17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7</v>
      </c>
      <c r="G85">
        <v>8</v>
      </c>
      <c r="H85">
        <v>6</v>
      </c>
      <c r="I85">
        <v>19.8</v>
      </c>
      <c r="J85">
        <v>20.6</v>
      </c>
      <c r="K85">
        <v>19.3</v>
      </c>
      <c r="L85">
        <v>21.8</v>
      </c>
      <c r="M85">
        <v>23</v>
      </c>
      <c r="N85">
        <v>22.7</v>
      </c>
      <c r="O85">
        <v>22.1</v>
      </c>
      <c r="P85">
        <v>18.2</v>
      </c>
      <c r="Q85">
        <v>21</v>
      </c>
      <c r="R85">
        <v>15.3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0.20600000000000002</v>
      </c>
      <c r="W85">
        <f t="shared" si="5"/>
        <v>0.193</v>
      </c>
      <c r="X85">
        <f t="shared" si="5"/>
        <v>0.218</v>
      </c>
      <c r="Y85">
        <f t="shared" si="5"/>
        <v>0.23</v>
      </c>
      <c r="Z85">
        <f t="shared" si="5"/>
        <v>0.22699999999999998</v>
      </c>
      <c r="AA85">
        <f t="shared" si="5"/>
        <v>0.221</v>
      </c>
      <c r="AB85">
        <f t="shared" si="5"/>
        <v>0.182</v>
      </c>
      <c r="AC85">
        <f t="shared" si="5"/>
        <v>0.21</v>
      </c>
      <c r="AD85">
        <f t="shared" si="5"/>
        <v>0.153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7</v>
      </c>
      <c r="G86">
        <v>8</v>
      </c>
      <c r="H86">
        <v>11</v>
      </c>
      <c r="I86">
        <v>17.3</v>
      </c>
      <c r="J86">
        <v>18</v>
      </c>
      <c r="K86">
        <v>22.1</v>
      </c>
      <c r="L86">
        <v>24.6</v>
      </c>
      <c r="M86">
        <v>24.6</v>
      </c>
      <c r="N86">
        <v>23</v>
      </c>
      <c r="O86">
        <v>22.5</v>
      </c>
      <c r="P86">
        <v>19.8</v>
      </c>
      <c r="Q86">
        <v>18.600000000000001</v>
      </c>
      <c r="R86">
        <v>14.7</v>
      </c>
      <c r="S86">
        <f t="shared" si="6"/>
        <v>55</v>
      </c>
      <c r="T86" t="s">
        <v>89</v>
      </c>
      <c r="U86">
        <f t="shared" si="7"/>
        <v>0.17300000000000001</v>
      </c>
      <c r="V86">
        <f t="shared" si="5"/>
        <v>0.18</v>
      </c>
      <c r="W86">
        <f t="shared" si="5"/>
        <v>0.221</v>
      </c>
      <c r="X86">
        <f t="shared" si="5"/>
        <v>0.24600000000000002</v>
      </c>
      <c r="Y86">
        <f t="shared" si="5"/>
        <v>0.24600000000000002</v>
      </c>
      <c r="Z86">
        <f t="shared" si="5"/>
        <v>0.23</v>
      </c>
      <c r="AA86">
        <f t="shared" si="5"/>
        <v>0.22500000000000001</v>
      </c>
      <c r="AB86">
        <f t="shared" si="5"/>
        <v>0.19800000000000001</v>
      </c>
      <c r="AC86">
        <f t="shared" si="5"/>
        <v>0.18600000000000003</v>
      </c>
      <c r="AD86">
        <f t="shared" si="5"/>
        <v>0.14699999999999999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7</v>
      </c>
      <c r="G87">
        <v>8</v>
      </c>
      <c r="H87">
        <v>17</v>
      </c>
      <c r="I87">
        <v>15.6</v>
      </c>
      <c r="J87">
        <v>16</v>
      </c>
      <c r="K87">
        <v>18.3</v>
      </c>
      <c r="L87">
        <v>22</v>
      </c>
      <c r="M87">
        <v>23.4</v>
      </c>
      <c r="N87">
        <v>20.7</v>
      </c>
      <c r="O87">
        <v>18</v>
      </c>
      <c r="P87">
        <v>16.7</v>
      </c>
      <c r="Q87">
        <v>19.100000000000001</v>
      </c>
      <c r="R87">
        <v>15</v>
      </c>
      <c r="S87">
        <f t="shared" si="6"/>
        <v>54</v>
      </c>
      <c r="T87" t="s">
        <v>36</v>
      </c>
      <c r="U87">
        <f t="shared" si="7"/>
        <v>0.156</v>
      </c>
      <c r="V87">
        <f t="shared" si="5"/>
        <v>0.16</v>
      </c>
      <c r="W87">
        <f t="shared" si="5"/>
        <v>0.183</v>
      </c>
      <c r="X87">
        <f t="shared" si="5"/>
        <v>0.22</v>
      </c>
      <c r="Y87">
        <f t="shared" si="5"/>
        <v>0.23399999999999999</v>
      </c>
      <c r="Z87">
        <f t="shared" si="5"/>
        <v>0.20699999999999999</v>
      </c>
      <c r="AA87">
        <f t="shared" si="5"/>
        <v>0.18</v>
      </c>
      <c r="AB87">
        <f t="shared" si="5"/>
        <v>0.16699999999999998</v>
      </c>
      <c r="AC87">
        <f t="shared" si="5"/>
        <v>0.191</v>
      </c>
      <c r="AD87">
        <f t="shared" si="5"/>
        <v>0.15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7</v>
      </c>
      <c r="G88">
        <v>8</v>
      </c>
      <c r="H88">
        <v>22</v>
      </c>
      <c r="I88">
        <v>22.4</v>
      </c>
      <c r="J88">
        <v>21.7</v>
      </c>
      <c r="K88">
        <v>22.2</v>
      </c>
      <c r="L88">
        <v>22.4</v>
      </c>
      <c r="M88">
        <v>23.5</v>
      </c>
      <c r="N88">
        <v>23.9</v>
      </c>
      <c r="O88">
        <v>22.2</v>
      </c>
      <c r="P88">
        <v>16.5</v>
      </c>
      <c r="Q88">
        <v>18.100000000000001</v>
      </c>
      <c r="R88">
        <v>15.5</v>
      </c>
      <c r="S88">
        <f t="shared" si="6"/>
        <v>53</v>
      </c>
      <c r="T88" t="s">
        <v>88</v>
      </c>
      <c r="U88">
        <f t="shared" si="7"/>
        <v>0.22399999999999998</v>
      </c>
      <c r="V88">
        <f t="shared" si="5"/>
        <v>0.217</v>
      </c>
      <c r="W88">
        <f t="shared" si="5"/>
        <v>0.222</v>
      </c>
      <c r="X88">
        <f t="shared" si="5"/>
        <v>0.22399999999999998</v>
      </c>
      <c r="Y88">
        <f t="shared" si="5"/>
        <v>0.23499999999999999</v>
      </c>
      <c r="Z88">
        <f t="shared" si="5"/>
        <v>0.23899999999999999</v>
      </c>
      <c r="AA88">
        <f t="shared" si="5"/>
        <v>0.222</v>
      </c>
      <c r="AB88">
        <f t="shared" si="5"/>
        <v>0.16500000000000001</v>
      </c>
      <c r="AC88">
        <f t="shared" si="5"/>
        <v>0.18100000000000002</v>
      </c>
      <c r="AD88">
        <f t="shared" si="5"/>
        <v>0.155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7</v>
      </c>
      <c r="G89">
        <v>8</v>
      </c>
      <c r="H89">
        <v>20</v>
      </c>
      <c r="I89">
        <v>-5</v>
      </c>
      <c r="J89">
        <v>19.399999999999999</v>
      </c>
      <c r="K89">
        <v>21.7</v>
      </c>
      <c r="L89">
        <v>26.2</v>
      </c>
      <c r="M89">
        <v>24.9</v>
      </c>
      <c r="N89">
        <v>24.9</v>
      </c>
      <c r="O89">
        <v>23.7</v>
      </c>
      <c r="P89">
        <v>18.399999999999999</v>
      </c>
      <c r="Q89">
        <v>21.2</v>
      </c>
      <c r="R89">
        <v>16.899999999999999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0.19399999999999998</v>
      </c>
      <c r="W89">
        <f t="shared" si="5"/>
        <v>0.217</v>
      </c>
      <c r="X89">
        <f t="shared" si="5"/>
        <v>0.26200000000000001</v>
      </c>
      <c r="Y89">
        <f t="shared" si="5"/>
        <v>0.249</v>
      </c>
      <c r="Z89">
        <f t="shared" si="5"/>
        <v>0.249</v>
      </c>
      <c r="AA89">
        <f t="shared" si="5"/>
        <v>0.23699999999999999</v>
      </c>
      <c r="AB89">
        <f t="shared" si="5"/>
        <v>0.184</v>
      </c>
      <c r="AC89">
        <f t="shared" si="5"/>
        <v>0.21199999999999999</v>
      </c>
      <c r="AD89">
        <f t="shared" si="5"/>
        <v>0.16899999999999998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7</v>
      </c>
      <c r="G90">
        <v>8</v>
      </c>
      <c r="H90">
        <v>35</v>
      </c>
      <c r="I90">
        <v>17.100000000000001</v>
      </c>
      <c r="J90">
        <v>17.899999999999999</v>
      </c>
      <c r="K90">
        <v>23.7</v>
      </c>
      <c r="L90">
        <v>23.9</v>
      </c>
      <c r="M90">
        <v>25.2</v>
      </c>
      <c r="N90">
        <v>23.1</v>
      </c>
      <c r="O90">
        <v>22.6</v>
      </c>
      <c r="P90">
        <v>21.7</v>
      </c>
      <c r="Q90">
        <v>24.4</v>
      </c>
      <c r="R90">
        <v>18.8</v>
      </c>
      <c r="S90">
        <f t="shared" si="6"/>
        <v>51</v>
      </c>
      <c r="T90" t="s">
        <v>86</v>
      </c>
      <c r="U90">
        <f t="shared" si="7"/>
        <v>0.17100000000000001</v>
      </c>
      <c r="V90">
        <f t="shared" si="5"/>
        <v>0.17899999999999999</v>
      </c>
      <c r="W90">
        <f t="shared" si="5"/>
        <v>0.23699999999999999</v>
      </c>
      <c r="X90">
        <f t="shared" si="5"/>
        <v>0.23899999999999999</v>
      </c>
      <c r="Y90">
        <f t="shared" si="5"/>
        <v>0.252</v>
      </c>
      <c r="Z90">
        <f t="shared" si="5"/>
        <v>0.23100000000000001</v>
      </c>
      <c r="AA90">
        <f t="shared" si="5"/>
        <v>0.22600000000000001</v>
      </c>
      <c r="AB90">
        <f t="shared" si="5"/>
        <v>0.217</v>
      </c>
      <c r="AC90">
        <f t="shared" si="5"/>
        <v>0.24399999999999999</v>
      </c>
      <c r="AD90">
        <f t="shared" si="5"/>
        <v>0.188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7</v>
      </c>
      <c r="G91">
        <v>8</v>
      </c>
      <c r="H91">
        <v>40</v>
      </c>
      <c r="I91">
        <v>20.5</v>
      </c>
      <c r="J91">
        <v>20.399999999999999</v>
      </c>
      <c r="K91">
        <v>20.5</v>
      </c>
      <c r="L91">
        <v>25.5</v>
      </c>
      <c r="M91">
        <v>26.2</v>
      </c>
      <c r="N91">
        <v>23.9</v>
      </c>
      <c r="O91">
        <v>23.9</v>
      </c>
      <c r="P91">
        <v>22.7</v>
      </c>
      <c r="Q91">
        <v>23.9</v>
      </c>
      <c r="R91">
        <v>18.600000000000001</v>
      </c>
      <c r="S91">
        <f t="shared" si="6"/>
        <v>50</v>
      </c>
      <c r="T91" t="s">
        <v>39</v>
      </c>
      <c r="U91">
        <f t="shared" si="7"/>
        <v>0.20499999999999999</v>
      </c>
      <c r="V91">
        <f t="shared" si="5"/>
        <v>0.20399999999999999</v>
      </c>
      <c r="W91">
        <f t="shared" si="5"/>
        <v>0.20499999999999999</v>
      </c>
      <c r="X91">
        <f t="shared" si="5"/>
        <v>0.255</v>
      </c>
      <c r="Y91">
        <f t="shared" si="5"/>
        <v>0.26200000000000001</v>
      </c>
      <c r="Z91">
        <f t="shared" si="5"/>
        <v>0.23899999999999999</v>
      </c>
      <c r="AA91">
        <f t="shared" si="5"/>
        <v>0.23899999999999999</v>
      </c>
      <c r="AB91">
        <f t="shared" si="5"/>
        <v>0.22699999999999998</v>
      </c>
      <c r="AC91">
        <f t="shared" si="5"/>
        <v>0.23899999999999999</v>
      </c>
      <c r="AD91">
        <f t="shared" si="5"/>
        <v>0.18600000000000003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7</v>
      </c>
      <c r="G92">
        <v>8</v>
      </c>
      <c r="H92">
        <v>45</v>
      </c>
      <c r="I92">
        <v>-5</v>
      </c>
      <c r="J92">
        <v>23.8</v>
      </c>
      <c r="K92">
        <v>24.5</v>
      </c>
      <c r="L92">
        <v>26.8</v>
      </c>
      <c r="M92">
        <v>24.1</v>
      </c>
      <c r="N92">
        <v>16.899999999999999</v>
      </c>
      <c r="O92">
        <v>15.3</v>
      </c>
      <c r="P92">
        <v>19.2</v>
      </c>
      <c r="Q92">
        <v>20.399999999999999</v>
      </c>
      <c r="R92">
        <v>16.399999999999999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0.23800000000000002</v>
      </c>
      <c r="W92">
        <f t="shared" si="5"/>
        <v>0.245</v>
      </c>
      <c r="X92">
        <f t="shared" si="5"/>
        <v>0.26800000000000002</v>
      </c>
      <c r="Y92">
        <f t="shared" si="5"/>
        <v>0.24100000000000002</v>
      </c>
      <c r="Z92">
        <f t="shared" si="5"/>
        <v>0.16899999999999998</v>
      </c>
      <c r="AA92">
        <f t="shared" si="5"/>
        <v>0.153</v>
      </c>
      <c r="AB92">
        <f t="shared" si="5"/>
        <v>0.192</v>
      </c>
      <c r="AC92">
        <f t="shared" si="5"/>
        <v>0.20399999999999999</v>
      </c>
      <c r="AD92">
        <f t="shared" si="5"/>
        <v>0.16399999999999998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7</v>
      </c>
      <c r="G93">
        <v>9</v>
      </c>
      <c r="H93">
        <v>1</v>
      </c>
      <c r="I93">
        <v>22.4</v>
      </c>
      <c r="J93">
        <v>23.4</v>
      </c>
      <c r="K93">
        <v>25.7</v>
      </c>
      <c r="L93">
        <v>27.3</v>
      </c>
      <c r="M93">
        <v>25.1</v>
      </c>
      <c r="N93">
        <v>22.4</v>
      </c>
      <c r="O93">
        <v>18.5</v>
      </c>
      <c r="P93">
        <v>19.899999999999999</v>
      </c>
      <c r="Q93">
        <v>21.7</v>
      </c>
      <c r="R93">
        <v>16.600000000000001</v>
      </c>
      <c r="S93">
        <f t="shared" si="6"/>
        <v>48</v>
      </c>
      <c r="T93" t="s">
        <v>38</v>
      </c>
      <c r="U93">
        <f t="shared" si="7"/>
        <v>0.22399999999999998</v>
      </c>
      <c r="V93">
        <f t="shared" si="5"/>
        <v>0.23399999999999999</v>
      </c>
      <c r="W93">
        <f t="shared" si="5"/>
        <v>0.25700000000000001</v>
      </c>
      <c r="X93">
        <f t="shared" si="5"/>
        <v>0.27300000000000002</v>
      </c>
      <c r="Y93">
        <f t="shared" si="5"/>
        <v>0.251</v>
      </c>
      <c r="Z93">
        <f t="shared" si="5"/>
        <v>0.22399999999999998</v>
      </c>
      <c r="AA93">
        <f t="shared" si="5"/>
        <v>0.185</v>
      </c>
      <c r="AB93">
        <f t="shared" si="5"/>
        <v>0.19899999999999998</v>
      </c>
      <c r="AC93">
        <f t="shared" si="5"/>
        <v>0.217</v>
      </c>
      <c r="AD93">
        <f t="shared" si="5"/>
        <v>0.16600000000000001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7</v>
      </c>
      <c r="G94">
        <v>9</v>
      </c>
      <c r="H94">
        <v>0</v>
      </c>
      <c r="I94">
        <v>20.399999999999999</v>
      </c>
      <c r="J94">
        <v>19.899999999999999</v>
      </c>
      <c r="K94">
        <v>23.4</v>
      </c>
      <c r="L94">
        <v>25.2</v>
      </c>
      <c r="M94">
        <v>25.6</v>
      </c>
      <c r="N94">
        <v>26.4</v>
      </c>
      <c r="O94">
        <v>25.4</v>
      </c>
      <c r="P94">
        <v>23.1</v>
      </c>
      <c r="Q94">
        <v>23.9</v>
      </c>
      <c r="R94">
        <v>18.5</v>
      </c>
      <c r="S94">
        <f t="shared" si="6"/>
        <v>47</v>
      </c>
      <c r="T94" t="s">
        <v>85</v>
      </c>
      <c r="U94">
        <f t="shared" si="7"/>
        <v>0.20399999999999999</v>
      </c>
      <c r="V94">
        <f t="shared" si="5"/>
        <v>0.19899999999999998</v>
      </c>
      <c r="W94">
        <f t="shared" si="5"/>
        <v>0.23399999999999999</v>
      </c>
      <c r="X94">
        <f t="shared" si="5"/>
        <v>0.252</v>
      </c>
      <c r="Y94">
        <f t="shared" si="5"/>
        <v>0.25600000000000001</v>
      </c>
      <c r="Z94">
        <f t="shared" si="5"/>
        <v>0.26400000000000001</v>
      </c>
      <c r="AA94">
        <f t="shared" si="5"/>
        <v>0.254</v>
      </c>
      <c r="AB94">
        <f t="shared" si="5"/>
        <v>0.23100000000000001</v>
      </c>
      <c r="AC94">
        <f t="shared" si="5"/>
        <v>0.23899999999999999</v>
      </c>
      <c r="AD94">
        <f t="shared" si="5"/>
        <v>0.185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7</v>
      </c>
      <c r="G95">
        <v>9</v>
      </c>
      <c r="H95">
        <v>13</v>
      </c>
      <c r="I95">
        <v>-5</v>
      </c>
      <c r="J95">
        <v>23.5</v>
      </c>
      <c r="K95">
        <v>25.6</v>
      </c>
      <c r="L95">
        <v>25.8</v>
      </c>
      <c r="M95">
        <v>26.8</v>
      </c>
      <c r="N95">
        <v>26.9</v>
      </c>
      <c r="O95">
        <v>27.6</v>
      </c>
      <c r="P95">
        <v>19.3</v>
      </c>
      <c r="Q95">
        <v>20.9</v>
      </c>
      <c r="R95">
        <v>17.2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0.23499999999999999</v>
      </c>
      <c r="W95">
        <f t="shared" si="5"/>
        <v>0.25600000000000001</v>
      </c>
      <c r="X95">
        <f t="shared" si="5"/>
        <v>0.25800000000000001</v>
      </c>
      <c r="Y95">
        <f t="shared" si="5"/>
        <v>0.26800000000000002</v>
      </c>
      <c r="Z95">
        <f t="shared" si="5"/>
        <v>0.26899999999999996</v>
      </c>
      <c r="AA95">
        <f t="shared" si="5"/>
        <v>0.27600000000000002</v>
      </c>
      <c r="AB95">
        <f t="shared" si="5"/>
        <v>0.193</v>
      </c>
      <c r="AC95">
        <f t="shared" si="5"/>
        <v>0.20899999999999999</v>
      </c>
      <c r="AD95">
        <f t="shared" si="5"/>
        <v>0.17199999999999999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7</v>
      </c>
      <c r="G96">
        <v>9</v>
      </c>
      <c r="H96">
        <v>11</v>
      </c>
      <c r="I96">
        <v>-5</v>
      </c>
      <c r="J96">
        <v>24.5</v>
      </c>
      <c r="K96">
        <v>25</v>
      </c>
      <c r="L96">
        <v>26.9</v>
      </c>
      <c r="M96">
        <v>26.5</v>
      </c>
      <c r="N96">
        <v>27.8</v>
      </c>
      <c r="O96">
        <v>28.2</v>
      </c>
      <c r="P96">
        <v>24.4</v>
      </c>
      <c r="Q96">
        <v>23.2</v>
      </c>
      <c r="R96">
        <v>18.100000000000001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0.245</v>
      </c>
      <c r="W96">
        <f t="shared" si="5"/>
        <v>0.25</v>
      </c>
      <c r="X96">
        <f t="shared" si="5"/>
        <v>0.26899999999999996</v>
      </c>
      <c r="Y96">
        <f t="shared" si="5"/>
        <v>0.26500000000000001</v>
      </c>
      <c r="Z96">
        <f t="shared" si="5"/>
        <v>0.27800000000000002</v>
      </c>
      <c r="AA96">
        <f t="shared" si="5"/>
        <v>0.28199999999999997</v>
      </c>
      <c r="AB96">
        <f t="shared" si="5"/>
        <v>0.24399999999999999</v>
      </c>
      <c r="AC96">
        <f t="shared" si="5"/>
        <v>0.23199999999999998</v>
      </c>
      <c r="AD96">
        <f t="shared" si="5"/>
        <v>0.18100000000000002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7</v>
      </c>
      <c r="G97">
        <v>9</v>
      </c>
      <c r="H97">
        <v>23</v>
      </c>
      <c r="I97">
        <v>-5</v>
      </c>
      <c r="J97">
        <v>18.5</v>
      </c>
      <c r="K97">
        <v>25</v>
      </c>
      <c r="L97">
        <v>28</v>
      </c>
      <c r="M97">
        <v>25.8</v>
      </c>
      <c r="N97">
        <v>22.3</v>
      </c>
      <c r="O97">
        <v>17.8</v>
      </c>
      <c r="P97">
        <v>18</v>
      </c>
      <c r="Q97">
        <v>19.399999999999999</v>
      </c>
      <c r="R97">
        <v>15.1</v>
      </c>
      <c r="S97">
        <f t="shared" si="6"/>
        <v>44</v>
      </c>
      <c r="T97" t="s">
        <v>83</v>
      </c>
      <c r="U97" t="str">
        <f t="shared" si="7"/>
        <v/>
      </c>
      <c r="V97">
        <f t="shared" si="5"/>
        <v>0.185</v>
      </c>
      <c r="W97">
        <f t="shared" si="5"/>
        <v>0.25</v>
      </c>
      <c r="X97">
        <f t="shared" si="5"/>
        <v>0.28000000000000003</v>
      </c>
      <c r="Y97">
        <f t="shared" si="5"/>
        <v>0.25800000000000001</v>
      </c>
      <c r="Z97">
        <f t="shared" si="5"/>
        <v>0.223</v>
      </c>
      <c r="AA97">
        <f t="shared" si="5"/>
        <v>0.17800000000000002</v>
      </c>
      <c r="AB97">
        <f t="shared" si="5"/>
        <v>0.18</v>
      </c>
      <c r="AC97">
        <f t="shared" si="5"/>
        <v>0.19399999999999998</v>
      </c>
      <c r="AD97">
        <f t="shared" si="5"/>
        <v>0.151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7</v>
      </c>
      <c r="G98">
        <v>9</v>
      </c>
      <c r="H98">
        <v>20</v>
      </c>
      <c r="I98">
        <v>18.100000000000001</v>
      </c>
      <c r="J98">
        <v>17.2</v>
      </c>
      <c r="K98">
        <v>17.600000000000001</v>
      </c>
      <c r="L98">
        <v>22.5</v>
      </c>
      <c r="M98">
        <v>26.6</v>
      </c>
      <c r="N98">
        <v>24.6</v>
      </c>
      <c r="O98">
        <v>23.2</v>
      </c>
      <c r="P98">
        <v>18.600000000000001</v>
      </c>
      <c r="Q98">
        <v>20.2</v>
      </c>
      <c r="R98">
        <v>15.5</v>
      </c>
      <c r="S98">
        <f t="shared" si="6"/>
        <v>43</v>
      </c>
      <c r="T98" t="s">
        <v>82</v>
      </c>
      <c r="U98">
        <f t="shared" si="7"/>
        <v>0.18100000000000002</v>
      </c>
      <c r="V98">
        <f t="shared" si="5"/>
        <v>0.17199999999999999</v>
      </c>
      <c r="W98">
        <f t="shared" si="5"/>
        <v>0.17600000000000002</v>
      </c>
      <c r="X98">
        <f t="shared" si="5"/>
        <v>0.22500000000000001</v>
      </c>
      <c r="Y98">
        <f t="shared" si="5"/>
        <v>0.26600000000000001</v>
      </c>
      <c r="Z98">
        <f t="shared" si="5"/>
        <v>0.24600000000000002</v>
      </c>
      <c r="AA98">
        <f t="shared" si="5"/>
        <v>0.23199999999999998</v>
      </c>
      <c r="AB98">
        <f t="shared" si="5"/>
        <v>0.18600000000000003</v>
      </c>
      <c r="AC98">
        <f t="shared" si="5"/>
        <v>0.20199999999999999</v>
      </c>
      <c r="AD98">
        <f t="shared" si="5"/>
        <v>0.155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7</v>
      </c>
      <c r="G99">
        <v>9</v>
      </c>
      <c r="H99">
        <v>35</v>
      </c>
      <c r="I99">
        <v>-5</v>
      </c>
      <c r="J99">
        <v>23</v>
      </c>
      <c r="K99">
        <v>17.399999999999999</v>
      </c>
      <c r="L99">
        <v>16.8</v>
      </c>
      <c r="M99">
        <v>14.8</v>
      </c>
      <c r="N99">
        <v>13.8</v>
      </c>
      <c r="O99">
        <v>13.1</v>
      </c>
      <c r="P99">
        <v>14.3</v>
      </c>
      <c r="Q99">
        <v>19.3</v>
      </c>
      <c r="R99">
        <v>14.7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0.23</v>
      </c>
      <c r="W99">
        <f t="shared" si="5"/>
        <v>0.17399999999999999</v>
      </c>
      <c r="X99">
        <f t="shared" si="5"/>
        <v>0.16800000000000001</v>
      </c>
      <c r="Y99">
        <f t="shared" si="5"/>
        <v>0.14800000000000002</v>
      </c>
      <c r="Z99">
        <f t="shared" si="5"/>
        <v>0.13800000000000001</v>
      </c>
      <c r="AA99">
        <f t="shared" si="5"/>
        <v>0.13100000000000001</v>
      </c>
      <c r="AB99">
        <f t="shared" si="5"/>
        <v>0.14300000000000002</v>
      </c>
      <c r="AC99">
        <f t="shared" si="5"/>
        <v>0.193</v>
      </c>
      <c r="AD99">
        <f t="shared" si="5"/>
        <v>0.14699999999999999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7</v>
      </c>
      <c r="G100">
        <v>9</v>
      </c>
      <c r="H100">
        <v>31</v>
      </c>
      <c r="I100">
        <v>25.5</v>
      </c>
      <c r="J100">
        <v>23.7</v>
      </c>
      <c r="K100">
        <v>18.399999999999999</v>
      </c>
      <c r="L100">
        <v>17.7</v>
      </c>
      <c r="M100">
        <v>16.7</v>
      </c>
      <c r="N100">
        <v>16.7</v>
      </c>
      <c r="O100">
        <v>15.8</v>
      </c>
      <c r="P100">
        <v>16.3</v>
      </c>
      <c r="Q100">
        <v>20.100000000000001</v>
      </c>
      <c r="R100">
        <v>14.4</v>
      </c>
      <c r="S100">
        <f t="shared" si="6"/>
        <v>41</v>
      </c>
      <c r="T100" t="s">
        <v>43</v>
      </c>
      <c r="U100">
        <f t="shared" si="7"/>
        <v>0.255</v>
      </c>
      <c r="V100">
        <f t="shared" si="5"/>
        <v>0.23699999999999999</v>
      </c>
      <c r="W100">
        <f t="shared" si="5"/>
        <v>0.184</v>
      </c>
      <c r="X100">
        <f t="shared" si="5"/>
        <v>0.17699999999999999</v>
      </c>
      <c r="Y100">
        <f t="shared" si="5"/>
        <v>0.16699999999999998</v>
      </c>
      <c r="Z100">
        <f t="shared" si="5"/>
        <v>0.16699999999999998</v>
      </c>
      <c r="AA100">
        <f t="shared" si="5"/>
        <v>0.158</v>
      </c>
      <c r="AB100">
        <f t="shared" si="5"/>
        <v>0.16300000000000001</v>
      </c>
      <c r="AC100">
        <f t="shared" si="5"/>
        <v>0.20100000000000001</v>
      </c>
      <c r="AD100">
        <f t="shared" si="5"/>
        <v>0.14400000000000002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7</v>
      </c>
      <c r="G101">
        <v>9</v>
      </c>
      <c r="H101">
        <v>46</v>
      </c>
      <c r="I101">
        <v>-5</v>
      </c>
      <c r="J101">
        <v>23.8</v>
      </c>
      <c r="K101">
        <v>24.9</v>
      </c>
      <c r="L101">
        <v>21</v>
      </c>
      <c r="M101">
        <v>19.5</v>
      </c>
      <c r="N101">
        <v>21.7</v>
      </c>
      <c r="O101">
        <v>24.3</v>
      </c>
      <c r="P101">
        <v>23.8</v>
      </c>
      <c r="Q101">
        <v>22</v>
      </c>
      <c r="R101">
        <v>16.899999999999999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0.23800000000000002</v>
      </c>
      <c r="W101">
        <f t="shared" si="5"/>
        <v>0.249</v>
      </c>
      <c r="X101">
        <f t="shared" si="5"/>
        <v>0.21</v>
      </c>
      <c r="Y101">
        <f t="shared" si="5"/>
        <v>0.19500000000000001</v>
      </c>
      <c r="Z101">
        <f t="shared" si="5"/>
        <v>0.217</v>
      </c>
      <c r="AA101">
        <f t="shared" si="5"/>
        <v>0.24299999999999999</v>
      </c>
      <c r="AB101">
        <f t="shared" si="5"/>
        <v>0.23800000000000002</v>
      </c>
      <c r="AC101">
        <f t="shared" si="5"/>
        <v>0.22</v>
      </c>
      <c r="AD101">
        <f t="shared" si="5"/>
        <v>0.16899999999999998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7</v>
      </c>
      <c r="G102">
        <v>9</v>
      </c>
      <c r="H102">
        <v>51</v>
      </c>
      <c r="I102">
        <v>-5</v>
      </c>
      <c r="J102">
        <v>20.399999999999999</v>
      </c>
      <c r="K102">
        <v>21.9</v>
      </c>
      <c r="L102">
        <v>22.5</v>
      </c>
      <c r="M102">
        <v>23.3</v>
      </c>
      <c r="N102">
        <v>21.8</v>
      </c>
      <c r="O102">
        <v>19.600000000000001</v>
      </c>
      <c r="P102">
        <v>17.399999999999999</v>
      </c>
      <c r="Q102">
        <v>23.3</v>
      </c>
      <c r="R102">
        <v>17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0.20399999999999999</v>
      </c>
      <c r="W102">
        <f t="shared" si="5"/>
        <v>0.21899999999999997</v>
      </c>
      <c r="X102">
        <f t="shared" si="5"/>
        <v>0.22500000000000001</v>
      </c>
      <c r="Y102">
        <f t="shared" si="5"/>
        <v>0.23300000000000001</v>
      </c>
      <c r="Z102">
        <f t="shared" si="5"/>
        <v>0.218</v>
      </c>
      <c r="AA102">
        <f t="shared" si="5"/>
        <v>0.19600000000000001</v>
      </c>
      <c r="AB102">
        <f t="shared" si="5"/>
        <v>0.17399999999999999</v>
      </c>
      <c r="AC102">
        <f t="shared" si="5"/>
        <v>0.23300000000000001</v>
      </c>
      <c r="AD102">
        <f t="shared" si="5"/>
        <v>0.17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7</v>
      </c>
      <c r="G103">
        <v>9</v>
      </c>
      <c r="H103">
        <v>55</v>
      </c>
      <c r="I103">
        <v>-5</v>
      </c>
      <c r="J103">
        <v>25.1</v>
      </c>
      <c r="K103">
        <v>25.2</v>
      </c>
      <c r="L103">
        <v>25.3</v>
      </c>
      <c r="M103">
        <v>24.9</v>
      </c>
      <c r="N103">
        <v>26.7</v>
      </c>
      <c r="O103">
        <v>24.7</v>
      </c>
      <c r="P103">
        <v>21.8</v>
      </c>
      <c r="Q103">
        <v>23</v>
      </c>
      <c r="R103">
        <v>18.8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0.251</v>
      </c>
      <c r="W103">
        <f t="shared" si="5"/>
        <v>0.252</v>
      </c>
      <c r="X103">
        <f t="shared" si="5"/>
        <v>0.253</v>
      </c>
      <c r="Y103">
        <f t="shared" ref="Y103:AD110" si="8">IF(M103&lt;0,"",M103/100)</f>
        <v>0.249</v>
      </c>
      <c r="Z103">
        <f t="shared" si="8"/>
        <v>0.26700000000000002</v>
      </c>
      <c r="AA103">
        <f t="shared" si="8"/>
        <v>0.247</v>
      </c>
      <c r="AB103">
        <f t="shared" si="8"/>
        <v>0.218</v>
      </c>
      <c r="AC103">
        <f t="shared" si="8"/>
        <v>0.23</v>
      </c>
      <c r="AD103">
        <f t="shared" si="8"/>
        <v>0.188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7</v>
      </c>
      <c r="G104">
        <v>10</v>
      </c>
      <c r="H104">
        <v>0</v>
      </c>
      <c r="I104">
        <v>-5</v>
      </c>
      <c r="J104">
        <v>23.9</v>
      </c>
      <c r="K104">
        <v>21.8</v>
      </c>
      <c r="L104">
        <v>19.100000000000001</v>
      </c>
      <c r="M104">
        <v>17.2</v>
      </c>
      <c r="N104">
        <v>17.5</v>
      </c>
      <c r="O104">
        <v>16.8</v>
      </c>
      <c r="P104">
        <v>19.7</v>
      </c>
      <c r="Q104">
        <v>22.2</v>
      </c>
      <c r="R104">
        <v>16.100000000000001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0.23899999999999999</v>
      </c>
      <c r="W104">
        <f t="shared" si="7"/>
        <v>0.218</v>
      </c>
      <c r="X104">
        <f t="shared" si="7"/>
        <v>0.191</v>
      </c>
      <c r="Y104">
        <f t="shared" si="8"/>
        <v>0.17199999999999999</v>
      </c>
      <c r="Z104">
        <f t="shared" si="8"/>
        <v>0.17499999999999999</v>
      </c>
      <c r="AA104">
        <f t="shared" si="8"/>
        <v>0.16800000000000001</v>
      </c>
      <c r="AB104">
        <f t="shared" si="8"/>
        <v>0.19699999999999998</v>
      </c>
      <c r="AC104">
        <f t="shared" si="8"/>
        <v>0.222</v>
      </c>
      <c r="AD104">
        <f t="shared" si="8"/>
        <v>0.161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04"/>
  <sheetViews>
    <sheetView topLeftCell="A38" workbookViewId="0">
      <selection activeCell="T75" sqref="T75:AD104"/>
    </sheetView>
  </sheetViews>
  <sheetFormatPr defaultRowHeight="15" x14ac:dyDescent="0.25"/>
  <sheetData>
    <row r="1" spans="1:7" x14ac:dyDescent="0.25">
      <c r="A1" s="2">
        <v>41835</v>
      </c>
    </row>
    <row r="2" spans="1:7" x14ac:dyDescent="0.25">
      <c r="A2" t="s">
        <v>3</v>
      </c>
      <c r="B2">
        <v>6114</v>
      </c>
      <c r="C2" t="s">
        <v>4</v>
      </c>
      <c r="D2">
        <v>9829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15</v>
      </c>
      <c r="G19">
        <v>7</v>
      </c>
      <c r="H19">
        <v>1</v>
      </c>
      <c r="I19">
        <v>12</v>
      </c>
      <c r="J19">
        <v>13.4</v>
      </c>
      <c r="K19">
        <v>14</v>
      </c>
      <c r="L19">
        <v>16</v>
      </c>
      <c r="M19">
        <v>18.899999999999999</v>
      </c>
      <c r="N19">
        <v>19.8</v>
      </c>
      <c r="O19">
        <v>20</v>
      </c>
      <c r="P19">
        <v>19.5</v>
      </c>
      <c r="Q19">
        <v>17.8</v>
      </c>
      <c r="R19">
        <v>9</v>
      </c>
      <c r="S19">
        <f>B19</f>
        <v>1</v>
      </c>
      <c r="T19" t="s">
        <v>51</v>
      </c>
      <c r="U19">
        <f>IF(I19&lt;0,"",I19/100)</f>
        <v>0.12</v>
      </c>
      <c r="V19">
        <f t="shared" ref="V19:AD47" si="0">IF(J19&lt;0,"",J19/100)</f>
        <v>0.13400000000000001</v>
      </c>
      <c r="W19">
        <f t="shared" si="0"/>
        <v>0.14000000000000001</v>
      </c>
      <c r="X19">
        <f t="shared" si="0"/>
        <v>0.16</v>
      </c>
      <c r="Y19">
        <f t="shared" si="0"/>
        <v>0.18899999999999997</v>
      </c>
      <c r="Z19">
        <f t="shared" si="0"/>
        <v>0.19800000000000001</v>
      </c>
      <c r="AA19">
        <f t="shared" si="0"/>
        <v>0.2</v>
      </c>
      <c r="AB19">
        <f t="shared" si="0"/>
        <v>0.19500000000000001</v>
      </c>
      <c r="AC19">
        <f t="shared" si="0"/>
        <v>0.17800000000000002</v>
      </c>
      <c r="AD19">
        <f t="shared" si="0"/>
        <v>0.09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15</v>
      </c>
      <c r="G20">
        <v>7</v>
      </c>
      <c r="H20">
        <v>14</v>
      </c>
      <c r="I20">
        <v>24.3</v>
      </c>
      <c r="J20">
        <v>14.6</v>
      </c>
      <c r="K20">
        <v>13.4</v>
      </c>
      <c r="L20">
        <v>16.100000000000001</v>
      </c>
      <c r="M20">
        <v>17.8</v>
      </c>
      <c r="N20">
        <v>17.899999999999999</v>
      </c>
      <c r="O20">
        <v>18.5</v>
      </c>
      <c r="P20">
        <v>20.100000000000001</v>
      </c>
      <c r="Q20">
        <v>17.8</v>
      </c>
      <c r="R20">
        <v>9.9</v>
      </c>
      <c r="S20">
        <f t="shared" ref="S20:S54" si="1">B20</f>
        <v>2</v>
      </c>
      <c r="T20" t="s">
        <v>55</v>
      </c>
      <c r="U20">
        <f t="shared" ref="U20:X48" si="2">IF(I20&lt;0,"",I20/100)</f>
        <v>0.24299999999999999</v>
      </c>
      <c r="V20">
        <f t="shared" si="0"/>
        <v>0.14599999999999999</v>
      </c>
      <c r="W20">
        <f t="shared" si="0"/>
        <v>0.13400000000000001</v>
      </c>
      <c r="X20">
        <f t="shared" si="0"/>
        <v>0.161</v>
      </c>
      <c r="Y20">
        <f t="shared" si="0"/>
        <v>0.17800000000000002</v>
      </c>
      <c r="Z20">
        <f t="shared" si="0"/>
        <v>0.17899999999999999</v>
      </c>
      <c r="AA20">
        <f t="shared" si="0"/>
        <v>0.185</v>
      </c>
      <c r="AB20">
        <f t="shared" si="0"/>
        <v>0.20100000000000001</v>
      </c>
      <c r="AC20">
        <f t="shared" si="0"/>
        <v>0.17800000000000002</v>
      </c>
      <c r="AD20">
        <f t="shared" si="0"/>
        <v>9.9000000000000005E-2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15</v>
      </c>
      <c r="G21">
        <v>7</v>
      </c>
      <c r="H21">
        <v>11</v>
      </c>
      <c r="I21">
        <v>13.9</v>
      </c>
      <c r="J21">
        <v>18</v>
      </c>
      <c r="K21">
        <v>20.8</v>
      </c>
      <c r="L21">
        <v>21.7</v>
      </c>
      <c r="M21">
        <v>21.9</v>
      </c>
      <c r="N21">
        <v>20.399999999999999</v>
      </c>
      <c r="O21">
        <v>18.8</v>
      </c>
      <c r="P21">
        <v>19.7</v>
      </c>
      <c r="Q21">
        <v>19.600000000000001</v>
      </c>
      <c r="R21">
        <v>10.5</v>
      </c>
      <c r="S21">
        <f t="shared" si="1"/>
        <v>3</v>
      </c>
      <c r="T21" t="s">
        <v>56</v>
      </c>
      <c r="U21">
        <f t="shared" si="2"/>
        <v>0.13900000000000001</v>
      </c>
      <c r="V21">
        <f t="shared" si="0"/>
        <v>0.18</v>
      </c>
      <c r="W21">
        <f t="shared" si="0"/>
        <v>0.20800000000000002</v>
      </c>
      <c r="X21">
        <f t="shared" si="0"/>
        <v>0.217</v>
      </c>
      <c r="Y21">
        <f t="shared" si="0"/>
        <v>0.21899999999999997</v>
      </c>
      <c r="Z21">
        <f t="shared" si="0"/>
        <v>0.20399999999999999</v>
      </c>
      <c r="AA21">
        <f t="shared" si="0"/>
        <v>0.188</v>
      </c>
      <c r="AB21">
        <f t="shared" si="0"/>
        <v>0.19699999999999998</v>
      </c>
      <c r="AC21">
        <f t="shared" si="0"/>
        <v>0.19600000000000001</v>
      </c>
      <c r="AD21">
        <f t="shared" si="0"/>
        <v>0.105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15</v>
      </c>
      <c r="G22">
        <v>7</v>
      </c>
      <c r="H22">
        <v>24</v>
      </c>
      <c r="I22">
        <v>14.4</v>
      </c>
      <c r="J22">
        <v>14.5</v>
      </c>
      <c r="K22">
        <v>15.1</v>
      </c>
      <c r="L22">
        <v>18.899999999999999</v>
      </c>
      <c r="M22">
        <v>20.399999999999999</v>
      </c>
      <c r="N22">
        <v>20.5</v>
      </c>
      <c r="O22">
        <v>20.6</v>
      </c>
      <c r="P22">
        <v>18.8</v>
      </c>
      <c r="Q22">
        <v>16.5</v>
      </c>
      <c r="R22">
        <v>10.1</v>
      </c>
      <c r="S22">
        <f t="shared" si="1"/>
        <v>4</v>
      </c>
      <c r="T22" t="s">
        <v>57</v>
      </c>
      <c r="U22">
        <f t="shared" si="2"/>
        <v>0.14400000000000002</v>
      </c>
      <c r="V22">
        <f t="shared" si="0"/>
        <v>0.14499999999999999</v>
      </c>
      <c r="W22">
        <f t="shared" si="0"/>
        <v>0.151</v>
      </c>
      <c r="X22">
        <f t="shared" si="0"/>
        <v>0.18899999999999997</v>
      </c>
      <c r="Y22">
        <f t="shared" si="0"/>
        <v>0.20399999999999999</v>
      </c>
      <c r="Z22">
        <f t="shared" si="0"/>
        <v>0.20499999999999999</v>
      </c>
      <c r="AA22">
        <f t="shared" si="0"/>
        <v>0.20600000000000002</v>
      </c>
      <c r="AB22">
        <f t="shared" si="0"/>
        <v>0.188</v>
      </c>
      <c r="AC22">
        <f t="shared" si="0"/>
        <v>0.16500000000000001</v>
      </c>
      <c r="AD22">
        <f t="shared" si="0"/>
        <v>0.10099999999999999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15</v>
      </c>
      <c r="G23">
        <v>7</v>
      </c>
      <c r="H23">
        <v>21</v>
      </c>
      <c r="I23">
        <v>-5.9</v>
      </c>
      <c r="J23">
        <v>-5.9</v>
      </c>
      <c r="K23">
        <v>-5.9</v>
      </c>
      <c r="L23">
        <v>26.3</v>
      </c>
      <c r="M23">
        <v>21</v>
      </c>
      <c r="N23">
        <v>22.2</v>
      </c>
      <c r="O23">
        <v>21.8</v>
      </c>
      <c r="P23">
        <v>21.1</v>
      </c>
      <c r="Q23">
        <v>20.399999999999999</v>
      </c>
      <c r="R23">
        <v>10.9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0.26300000000000001</v>
      </c>
      <c r="Y23">
        <f t="shared" si="0"/>
        <v>0.21</v>
      </c>
      <c r="Z23">
        <f t="shared" si="0"/>
        <v>0.222</v>
      </c>
      <c r="AA23">
        <f t="shared" si="0"/>
        <v>0.218</v>
      </c>
      <c r="AB23">
        <f t="shared" si="0"/>
        <v>0.21100000000000002</v>
      </c>
      <c r="AC23">
        <f t="shared" si="0"/>
        <v>0.20399999999999999</v>
      </c>
      <c r="AD23">
        <f t="shared" si="0"/>
        <v>0.109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15</v>
      </c>
      <c r="G24">
        <v>7</v>
      </c>
      <c r="H24">
        <v>33</v>
      </c>
      <c r="I24">
        <v>-5.9</v>
      </c>
      <c r="J24">
        <v>20.9</v>
      </c>
      <c r="K24">
        <v>20.5</v>
      </c>
      <c r="L24">
        <v>20.7</v>
      </c>
      <c r="M24">
        <v>22.1</v>
      </c>
      <c r="N24">
        <v>21.9</v>
      </c>
      <c r="O24">
        <v>21.4</v>
      </c>
      <c r="P24">
        <v>23.5</v>
      </c>
      <c r="Q24">
        <v>19</v>
      </c>
      <c r="R24">
        <v>9.1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0.20899999999999999</v>
      </c>
      <c r="W24">
        <f t="shared" si="0"/>
        <v>0.20499999999999999</v>
      </c>
      <c r="X24">
        <f t="shared" si="0"/>
        <v>0.20699999999999999</v>
      </c>
      <c r="Y24">
        <f t="shared" si="0"/>
        <v>0.221</v>
      </c>
      <c r="Z24">
        <f t="shared" si="0"/>
        <v>0.21899999999999997</v>
      </c>
      <c r="AA24">
        <f t="shared" si="0"/>
        <v>0.214</v>
      </c>
      <c r="AB24">
        <f t="shared" si="0"/>
        <v>0.23499999999999999</v>
      </c>
      <c r="AC24">
        <f t="shared" si="0"/>
        <v>0.19</v>
      </c>
      <c r="AD24">
        <f t="shared" si="0"/>
        <v>9.0999999999999998E-2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15</v>
      </c>
      <c r="G25">
        <v>7</v>
      </c>
      <c r="H25">
        <v>37</v>
      </c>
      <c r="I25">
        <v>-5.9</v>
      </c>
      <c r="J25">
        <v>-5.9</v>
      </c>
      <c r="K25">
        <v>28.3</v>
      </c>
      <c r="L25">
        <v>29.7</v>
      </c>
      <c r="M25">
        <v>21.9</v>
      </c>
      <c r="N25">
        <v>21.7</v>
      </c>
      <c r="O25">
        <v>23.5</v>
      </c>
      <c r="P25">
        <v>21.4</v>
      </c>
      <c r="Q25">
        <v>18</v>
      </c>
      <c r="R25">
        <v>7.3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0.28300000000000003</v>
      </c>
      <c r="X25">
        <f t="shared" si="0"/>
        <v>0.29699999999999999</v>
      </c>
      <c r="Y25">
        <f t="shared" si="0"/>
        <v>0.21899999999999997</v>
      </c>
      <c r="Z25">
        <f t="shared" si="0"/>
        <v>0.217</v>
      </c>
      <c r="AA25">
        <f t="shared" si="0"/>
        <v>0.23499999999999999</v>
      </c>
      <c r="AB25">
        <f t="shared" si="0"/>
        <v>0.214</v>
      </c>
      <c r="AC25">
        <f t="shared" si="0"/>
        <v>0.18</v>
      </c>
      <c r="AD25">
        <f t="shared" si="0"/>
        <v>7.2999999999999995E-2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15</v>
      </c>
      <c r="G26">
        <v>7</v>
      </c>
      <c r="H26">
        <v>41</v>
      </c>
      <c r="I26">
        <v>-5.9</v>
      </c>
      <c r="J26">
        <v>32.700000000000003</v>
      </c>
      <c r="K26">
        <v>28.2</v>
      </c>
      <c r="L26">
        <v>21</v>
      </c>
      <c r="M26">
        <v>22.6</v>
      </c>
      <c r="N26">
        <v>23.4</v>
      </c>
      <c r="O26">
        <v>22</v>
      </c>
      <c r="P26">
        <v>26.6</v>
      </c>
      <c r="Q26">
        <v>21.3</v>
      </c>
      <c r="R26">
        <v>10.1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0.32700000000000001</v>
      </c>
      <c r="W26">
        <f t="shared" si="0"/>
        <v>0.28199999999999997</v>
      </c>
      <c r="X26">
        <f t="shared" si="0"/>
        <v>0.21</v>
      </c>
      <c r="Y26">
        <f t="shared" si="0"/>
        <v>0.22600000000000001</v>
      </c>
      <c r="Z26">
        <f t="shared" si="0"/>
        <v>0.23399999999999999</v>
      </c>
      <c r="AA26">
        <f t="shared" si="0"/>
        <v>0.22</v>
      </c>
      <c r="AB26">
        <f t="shared" si="0"/>
        <v>0.26600000000000001</v>
      </c>
      <c r="AC26">
        <f t="shared" si="0"/>
        <v>0.21299999999999999</v>
      </c>
      <c r="AD26">
        <f t="shared" si="0"/>
        <v>0.10099999999999999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15</v>
      </c>
      <c r="G27">
        <v>7</v>
      </c>
      <c r="H27">
        <v>46</v>
      </c>
      <c r="I27">
        <v>18.2</v>
      </c>
      <c r="J27">
        <v>16.7</v>
      </c>
      <c r="K27">
        <v>16.899999999999999</v>
      </c>
      <c r="L27">
        <v>21.3</v>
      </c>
      <c r="M27">
        <v>24.7</v>
      </c>
      <c r="N27">
        <v>25.4</v>
      </c>
      <c r="O27">
        <v>27.7</v>
      </c>
      <c r="P27">
        <v>22.1</v>
      </c>
      <c r="Q27">
        <v>19.399999999999999</v>
      </c>
      <c r="R27">
        <v>9.6999999999999993</v>
      </c>
      <c r="S27">
        <f t="shared" si="1"/>
        <v>9</v>
      </c>
      <c r="T27" t="s">
        <v>63</v>
      </c>
      <c r="U27">
        <f t="shared" si="2"/>
        <v>0.182</v>
      </c>
      <c r="V27">
        <f t="shared" si="0"/>
        <v>0.16699999999999998</v>
      </c>
      <c r="W27">
        <f t="shared" si="0"/>
        <v>0.16899999999999998</v>
      </c>
      <c r="X27">
        <f t="shared" si="0"/>
        <v>0.21299999999999999</v>
      </c>
      <c r="Y27">
        <f t="shared" si="0"/>
        <v>0.247</v>
      </c>
      <c r="Z27">
        <f t="shared" si="0"/>
        <v>0.254</v>
      </c>
      <c r="AA27">
        <f t="shared" si="0"/>
        <v>0.27699999999999997</v>
      </c>
      <c r="AB27">
        <f t="shared" si="0"/>
        <v>0.221</v>
      </c>
      <c r="AC27">
        <f t="shared" si="0"/>
        <v>0.19399999999999998</v>
      </c>
      <c r="AD27">
        <f t="shared" si="0"/>
        <v>9.6999999999999989E-2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15</v>
      </c>
      <c r="G28">
        <v>7</v>
      </c>
      <c r="H28">
        <v>51</v>
      </c>
      <c r="I28">
        <v>17.399999999999999</v>
      </c>
      <c r="J28">
        <v>15.4</v>
      </c>
      <c r="K28">
        <v>16.899999999999999</v>
      </c>
      <c r="L28">
        <v>18.7</v>
      </c>
      <c r="M28">
        <v>23.6</v>
      </c>
      <c r="N28">
        <v>24.2</v>
      </c>
      <c r="O28">
        <v>23.1</v>
      </c>
      <c r="P28">
        <v>25.8</v>
      </c>
      <c r="Q28">
        <v>22.7</v>
      </c>
      <c r="R28">
        <v>11.7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0.154</v>
      </c>
      <c r="W28">
        <f t="shared" si="0"/>
        <v>0.16899999999999998</v>
      </c>
      <c r="X28">
        <f t="shared" si="0"/>
        <v>0.187</v>
      </c>
      <c r="Y28">
        <f t="shared" si="0"/>
        <v>0.23600000000000002</v>
      </c>
      <c r="Z28">
        <f t="shared" si="0"/>
        <v>0.24199999999999999</v>
      </c>
      <c r="AA28">
        <f t="shared" si="0"/>
        <v>0.23100000000000001</v>
      </c>
      <c r="AB28">
        <f t="shared" si="0"/>
        <v>0.25800000000000001</v>
      </c>
      <c r="AC28">
        <f t="shared" si="0"/>
        <v>0.22699999999999998</v>
      </c>
      <c r="AD28">
        <f t="shared" si="0"/>
        <v>0.11699999999999999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15</v>
      </c>
      <c r="G29">
        <v>7</v>
      </c>
      <c r="H29">
        <v>55</v>
      </c>
      <c r="I29">
        <v>15.6</v>
      </c>
      <c r="J29">
        <v>18</v>
      </c>
      <c r="K29">
        <v>19.399999999999999</v>
      </c>
      <c r="L29">
        <v>21.6</v>
      </c>
      <c r="M29">
        <v>25</v>
      </c>
      <c r="N29">
        <v>28.1</v>
      </c>
      <c r="O29">
        <v>28.5</v>
      </c>
      <c r="P29">
        <v>26.5</v>
      </c>
      <c r="Q29">
        <v>20.399999999999999</v>
      </c>
      <c r="R29">
        <v>11.9</v>
      </c>
      <c r="S29">
        <f t="shared" si="1"/>
        <v>11</v>
      </c>
      <c r="T29" t="s">
        <v>52</v>
      </c>
      <c r="U29">
        <f t="shared" si="2"/>
        <v>0.156</v>
      </c>
      <c r="V29">
        <f t="shared" si="0"/>
        <v>0.18</v>
      </c>
      <c r="W29">
        <f t="shared" si="0"/>
        <v>0.19399999999999998</v>
      </c>
      <c r="X29">
        <f t="shared" si="0"/>
        <v>0.21600000000000003</v>
      </c>
      <c r="Y29">
        <f t="shared" si="0"/>
        <v>0.25</v>
      </c>
      <c r="Z29">
        <f t="shared" si="0"/>
        <v>0.28100000000000003</v>
      </c>
      <c r="AA29">
        <f t="shared" si="0"/>
        <v>0.28499999999999998</v>
      </c>
      <c r="AB29">
        <f t="shared" si="0"/>
        <v>0.26500000000000001</v>
      </c>
      <c r="AC29">
        <f t="shared" si="0"/>
        <v>0.20399999999999999</v>
      </c>
      <c r="AD29">
        <f t="shared" si="0"/>
        <v>0.11900000000000001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15</v>
      </c>
      <c r="G30">
        <v>8</v>
      </c>
      <c r="H30">
        <v>0</v>
      </c>
      <c r="I30">
        <v>25.5</v>
      </c>
      <c r="J30">
        <v>15.1</v>
      </c>
      <c r="K30">
        <v>17</v>
      </c>
      <c r="L30">
        <v>26.8</v>
      </c>
      <c r="M30">
        <v>25.8</v>
      </c>
      <c r="N30">
        <v>25.2</v>
      </c>
      <c r="O30">
        <v>27.5</v>
      </c>
      <c r="P30">
        <v>23.8</v>
      </c>
      <c r="Q30">
        <v>19.600000000000001</v>
      </c>
      <c r="R30">
        <v>11.1</v>
      </c>
      <c r="S30">
        <f t="shared" si="1"/>
        <v>12</v>
      </c>
      <c r="T30" t="s">
        <v>64</v>
      </c>
      <c r="U30">
        <f t="shared" si="2"/>
        <v>0.255</v>
      </c>
      <c r="V30">
        <f t="shared" si="0"/>
        <v>0.151</v>
      </c>
      <c r="W30">
        <f t="shared" si="0"/>
        <v>0.17</v>
      </c>
      <c r="X30">
        <f t="shared" si="0"/>
        <v>0.26800000000000002</v>
      </c>
      <c r="Y30">
        <f t="shared" si="0"/>
        <v>0.25800000000000001</v>
      </c>
      <c r="Z30">
        <f t="shared" si="0"/>
        <v>0.252</v>
      </c>
      <c r="AA30">
        <f t="shared" si="0"/>
        <v>0.27500000000000002</v>
      </c>
      <c r="AB30">
        <f t="shared" si="0"/>
        <v>0.23800000000000002</v>
      </c>
      <c r="AC30">
        <f t="shared" si="0"/>
        <v>0.19600000000000001</v>
      </c>
      <c r="AD30">
        <f t="shared" si="0"/>
        <v>0.111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15</v>
      </c>
      <c r="G31">
        <v>8</v>
      </c>
      <c r="H31">
        <v>0</v>
      </c>
      <c r="I31">
        <v>19.899999999999999</v>
      </c>
      <c r="J31">
        <v>18.8</v>
      </c>
      <c r="K31">
        <v>19.5</v>
      </c>
      <c r="L31">
        <v>25.6</v>
      </c>
      <c r="M31">
        <v>25.2</v>
      </c>
      <c r="N31">
        <v>27.7</v>
      </c>
      <c r="O31">
        <v>26.3</v>
      </c>
      <c r="P31">
        <v>27.2</v>
      </c>
      <c r="Q31">
        <v>23.2</v>
      </c>
      <c r="R31">
        <v>11.8</v>
      </c>
      <c r="S31">
        <f t="shared" si="1"/>
        <v>13</v>
      </c>
      <c r="T31" t="s">
        <v>29</v>
      </c>
      <c r="U31">
        <f t="shared" si="2"/>
        <v>0.19899999999999998</v>
      </c>
      <c r="V31">
        <f t="shared" si="0"/>
        <v>0.188</v>
      </c>
      <c r="W31">
        <f t="shared" si="0"/>
        <v>0.19500000000000001</v>
      </c>
      <c r="X31">
        <f t="shared" si="0"/>
        <v>0.25600000000000001</v>
      </c>
      <c r="Y31">
        <f t="shared" si="0"/>
        <v>0.252</v>
      </c>
      <c r="Z31">
        <f t="shared" si="0"/>
        <v>0.27699999999999997</v>
      </c>
      <c r="AA31">
        <f t="shared" si="0"/>
        <v>0.26300000000000001</v>
      </c>
      <c r="AB31">
        <f t="shared" si="0"/>
        <v>0.27200000000000002</v>
      </c>
      <c r="AC31">
        <f t="shared" si="0"/>
        <v>0.23199999999999998</v>
      </c>
      <c r="AD31">
        <f t="shared" si="0"/>
        <v>0.11800000000000001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15</v>
      </c>
      <c r="G32">
        <v>8</v>
      </c>
      <c r="H32">
        <v>13</v>
      </c>
      <c r="I32">
        <v>19.3</v>
      </c>
      <c r="J32">
        <v>19.8</v>
      </c>
      <c r="K32">
        <v>23.9</v>
      </c>
      <c r="L32">
        <v>26.3</v>
      </c>
      <c r="M32">
        <v>25.8</v>
      </c>
      <c r="N32">
        <v>25.8</v>
      </c>
      <c r="O32">
        <v>28.3</v>
      </c>
      <c r="P32">
        <v>21.3</v>
      </c>
      <c r="Q32">
        <v>19.7</v>
      </c>
      <c r="R32">
        <v>10.4</v>
      </c>
      <c r="S32">
        <f t="shared" si="1"/>
        <v>14</v>
      </c>
      <c r="T32" t="s">
        <v>30</v>
      </c>
      <c r="U32">
        <f t="shared" si="2"/>
        <v>0.193</v>
      </c>
      <c r="V32">
        <f t="shared" si="0"/>
        <v>0.19800000000000001</v>
      </c>
      <c r="W32">
        <f t="shared" si="0"/>
        <v>0.23899999999999999</v>
      </c>
      <c r="X32">
        <f t="shared" si="0"/>
        <v>0.26300000000000001</v>
      </c>
      <c r="Y32">
        <f t="shared" si="0"/>
        <v>0.25800000000000001</v>
      </c>
      <c r="Z32">
        <f t="shared" si="0"/>
        <v>0.25800000000000001</v>
      </c>
      <c r="AA32">
        <f t="shared" si="0"/>
        <v>0.28300000000000003</v>
      </c>
      <c r="AB32">
        <f t="shared" si="0"/>
        <v>0.21299999999999999</v>
      </c>
      <c r="AC32">
        <f t="shared" si="0"/>
        <v>0.19699999999999998</v>
      </c>
      <c r="AD32">
        <f t="shared" si="0"/>
        <v>0.10400000000000001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15</v>
      </c>
      <c r="G33">
        <v>8</v>
      </c>
      <c r="H33">
        <v>10</v>
      </c>
      <c r="I33">
        <v>19.8</v>
      </c>
      <c r="J33">
        <v>17.2</v>
      </c>
      <c r="K33">
        <v>17.3</v>
      </c>
      <c r="L33">
        <v>20.100000000000001</v>
      </c>
      <c r="M33">
        <v>26.1</v>
      </c>
      <c r="N33">
        <v>26.5</v>
      </c>
      <c r="O33">
        <v>26.3</v>
      </c>
      <c r="P33">
        <v>23.8</v>
      </c>
      <c r="Q33">
        <v>22.6</v>
      </c>
      <c r="R33">
        <v>13.8</v>
      </c>
      <c r="S33">
        <f t="shared" si="1"/>
        <v>15</v>
      </c>
      <c r="T33" t="s">
        <v>31</v>
      </c>
      <c r="U33">
        <f t="shared" si="2"/>
        <v>0.19800000000000001</v>
      </c>
      <c r="V33">
        <f t="shared" si="0"/>
        <v>0.17199999999999999</v>
      </c>
      <c r="W33">
        <f t="shared" si="0"/>
        <v>0.17300000000000001</v>
      </c>
      <c r="X33">
        <f t="shared" si="0"/>
        <v>0.20100000000000001</v>
      </c>
      <c r="Y33">
        <f t="shared" si="0"/>
        <v>0.26100000000000001</v>
      </c>
      <c r="Z33">
        <f t="shared" si="0"/>
        <v>0.26500000000000001</v>
      </c>
      <c r="AA33">
        <f t="shared" si="0"/>
        <v>0.26300000000000001</v>
      </c>
      <c r="AB33">
        <f t="shared" si="0"/>
        <v>0.23800000000000002</v>
      </c>
      <c r="AC33">
        <f t="shared" si="0"/>
        <v>0.22600000000000001</v>
      </c>
      <c r="AD33">
        <f t="shared" si="0"/>
        <v>0.13800000000000001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15</v>
      </c>
      <c r="G34">
        <v>8</v>
      </c>
      <c r="H34">
        <v>22</v>
      </c>
      <c r="I34">
        <v>25.2</v>
      </c>
      <c r="J34">
        <v>19.7</v>
      </c>
      <c r="K34">
        <v>22.4</v>
      </c>
      <c r="L34">
        <v>21.7</v>
      </c>
      <c r="M34">
        <v>21.6</v>
      </c>
      <c r="N34">
        <v>21.1</v>
      </c>
      <c r="O34">
        <v>18.5</v>
      </c>
      <c r="P34">
        <v>18.100000000000001</v>
      </c>
      <c r="Q34">
        <v>20.8</v>
      </c>
      <c r="R34">
        <v>10.6</v>
      </c>
      <c r="S34">
        <f t="shared" si="1"/>
        <v>16</v>
      </c>
      <c r="T34" t="s">
        <v>32</v>
      </c>
      <c r="U34">
        <f t="shared" si="2"/>
        <v>0.252</v>
      </c>
      <c r="V34">
        <f t="shared" si="0"/>
        <v>0.19699999999999998</v>
      </c>
      <c r="W34">
        <f t="shared" si="0"/>
        <v>0.22399999999999998</v>
      </c>
      <c r="X34">
        <f t="shared" si="0"/>
        <v>0.217</v>
      </c>
      <c r="Y34">
        <f t="shared" si="0"/>
        <v>0.21600000000000003</v>
      </c>
      <c r="Z34">
        <f t="shared" si="0"/>
        <v>0.21100000000000002</v>
      </c>
      <c r="AA34">
        <f t="shared" si="0"/>
        <v>0.185</v>
      </c>
      <c r="AB34">
        <f t="shared" si="0"/>
        <v>0.18100000000000002</v>
      </c>
      <c r="AC34">
        <f t="shared" si="0"/>
        <v>0.20800000000000002</v>
      </c>
      <c r="AD34">
        <f t="shared" si="0"/>
        <v>0.106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15</v>
      </c>
      <c r="G35">
        <v>8</v>
      </c>
      <c r="H35">
        <v>27</v>
      </c>
      <c r="I35">
        <v>18.399999999999999</v>
      </c>
      <c r="J35">
        <v>18.3</v>
      </c>
      <c r="K35">
        <v>19.2</v>
      </c>
      <c r="L35">
        <v>20.8</v>
      </c>
      <c r="M35">
        <v>23.8</v>
      </c>
      <c r="N35">
        <v>27</v>
      </c>
      <c r="O35">
        <v>27.8</v>
      </c>
      <c r="P35">
        <v>24.2</v>
      </c>
      <c r="Q35">
        <v>20.2</v>
      </c>
      <c r="R35">
        <v>11.1</v>
      </c>
      <c r="S35">
        <f t="shared" si="1"/>
        <v>17</v>
      </c>
      <c r="T35" t="s">
        <v>33</v>
      </c>
      <c r="U35">
        <f t="shared" si="2"/>
        <v>0.184</v>
      </c>
      <c r="V35">
        <f t="shared" si="0"/>
        <v>0.183</v>
      </c>
      <c r="W35">
        <f t="shared" si="0"/>
        <v>0.192</v>
      </c>
      <c r="X35">
        <f t="shared" si="0"/>
        <v>0.20800000000000002</v>
      </c>
      <c r="Y35">
        <f t="shared" si="0"/>
        <v>0.23800000000000002</v>
      </c>
      <c r="Z35">
        <f t="shared" si="0"/>
        <v>0.27</v>
      </c>
      <c r="AA35">
        <f t="shared" si="0"/>
        <v>0.27800000000000002</v>
      </c>
      <c r="AB35">
        <f t="shared" si="0"/>
        <v>0.24199999999999999</v>
      </c>
      <c r="AC35">
        <f t="shared" si="0"/>
        <v>0.20199999999999999</v>
      </c>
      <c r="AD35">
        <f t="shared" si="0"/>
        <v>0.111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15</v>
      </c>
      <c r="G36">
        <v>8</v>
      </c>
      <c r="H36">
        <v>31</v>
      </c>
      <c r="I36">
        <v>21</v>
      </c>
      <c r="J36">
        <v>19.2</v>
      </c>
      <c r="K36">
        <v>26.5</v>
      </c>
      <c r="L36">
        <v>29.5</v>
      </c>
      <c r="M36">
        <v>24.4</v>
      </c>
      <c r="N36">
        <v>25.9</v>
      </c>
      <c r="O36">
        <v>24.3</v>
      </c>
      <c r="P36">
        <v>21.8</v>
      </c>
      <c r="Q36">
        <v>16.7</v>
      </c>
      <c r="R36">
        <v>9.1999999999999993</v>
      </c>
      <c r="S36">
        <f t="shared" si="1"/>
        <v>18</v>
      </c>
      <c r="T36" t="s">
        <v>34</v>
      </c>
      <c r="U36">
        <f t="shared" si="2"/>
        <v>0.21</v>
      </c>
      <c r="V36">
        <f t="shared" si="0"/>
        <v>0.192</v>
      </c>
      <c r="W36">
        <f t="shared" si="0"/>
        <v>0.26500000000000001</v>
      </c>
      <c r="X36">
        <f t="shared" si="0"/>
        <v>0.29499999999999998</v>
      </c>
      <c r="Y36">
        <f t="shared" si="0"/>
        <v>0.24399999999999999</v>
      </c>
      <c r="Z36">
        <f t="shared" si="0"/>
        <v>0.25900000000000001</v>
      </c>
      <c r="AA36">
        <f t="shared" si="0"/>
        <v>0.24299999999999999</v>
      </c>
      <c r="AB36">
        <f t="shared" si="0"/>
        <v>0.218</v>
      </c>
      <c r="AC36">
        <f t="shared" si="0"/>
        <v>0.16699999999999998</v>
      </c>
      <c r="AD36">
        <f t="shared" si="0"/>
        <v>9.1999999999999998E-2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15</v>
      </c>
      <c r="G37">
        <v>8</v>
      </c>
      <c r="H37">
        <v>36</v>
      </c>
      <c r="I37">
        <v>24.1</v>
      </c>
      <c r="J37">
        <v>22.6</v>
      </c>
      <c r="K37">
        <v>32.4</v>
      </c>
      <c r="L37">
        <v>21.4</v>
      </c>
      <c r="M37">
        <v>23.1</v>
      </c>
      <c r="N37">
        <v>25.2</v>
      </c>
      <c r="O37">
        <v>26.9</v>
      </c>
      <c r="P37">
        <v>21.4</v>
      </c>
      <c r="Q37">
        <v>16.3</v>
      </c>
      <c r="R37">
        <v>8.8000000000000007</v>
      </c>
      <c r="S37">
        <f t="shared" si="1"/>
        <v>19</v>
      </c>
      <c r="T37" t="s">
        <v>65</v>
      </c>
      <c r="U37">
        <f t="shared" si="2"/>
        <v>0.24100000000000002</v>
      </c>
      <c r="V37">
        <f t="shared" si="0"/>
        <v>0.22600000000000001</v>
      </c>
      <c r="W37">
        <f t="shared" si="0"/>
        <v>0.32400000000000001</v>
      </c>
      <c r="X37">
        <f t="shared" si="0"/>
        <v>0.214</v>
      </c>
      <c r="Y37">
        <f t="shared" si="0"/>
        <v>0.23100000000000001</v>
      </c>
      <c r="Z37">
        <f t="shared" si="0"/>
        <v>0.252</v>
      </c>
      <c r="AA37">
        <f t="shared" si="0"/>
        <v>0.26899999999999996</v>
      </c>
      <c r="AB37">
        <f t="shared" si="0"/>
        <v>0.214</v>
      </c>
      <c r="AC37">
        <f t="shared" si="0"/>
        <v>0.16300000000000001</v>
      </c>
      <c r="AD37">
        <f t="shared" si="0"/>
        <v>8.8000000000000009E-2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15</v>
      </c>
      <c r="G38">
        <v>8</v>
      </c>
      <c r="H38">
        <v>42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28.5</v>
      </c>
      <c r="O38">
        <v>26.4</v>
      </c>
      <c r="P38">
        <v>20.3</v>
      </c>
      <c r="Q38">
        <v>17.399999999999999</v>
      </c>
      <c r="R38">
        <v>11.1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0.28499999999999998</v>
      </c>
      <c r="AA38">
        <f t="shared" si="0"/>
        <v>0.26400000000000001</v>
      </c>
      <c r="AB38">
        <f t="shared" si="0"/>
        <v>0.20300000000000001</v>
      </c>
      <c r="AC38">
        <f t="shared" si="0"/>
        <v>0.17399999999999999</v>
      </c>
      <c r="AD38">
        <f t="shared" si="0"/>
        <v>0.111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15</v>
      </c>
      <c r="G39">
        <v>8</v>
      </c>
      <c r="H39">
        <v>46</v>
      </c>
      <c r="I39">
        <v>22.5</v>
      </c>
      <c r="J39">
        <v>22.8</v>
      </c>
      <c r="K39">
        <v>22.7</v>
      </c>
      <c r="L39">
        <v>22.9</v>
      </c>
      <c r="M39">
        <v>24.6</v>
      </c>
      <c r="N39">
        <v>22.7</v>
      </c>
      <c r="O39">
        <v>23.4</v>
      </c>
      <c r="P39">
        <v>25.2</v>
      </c>
      <c r="Q39">
        <v>19.7</v>
      </c>
      <c r="R39">
        <v>10.6</v>
      </c>
      <c r="S39">
        <f t="shared" si="1"/>
        <v>21</v>
      </c>
      <c r="T39" t="s">
        <v>67</v>
      </c>
      <c r="U39">
        <f t="shared" si="2"/>
        <v>0.22500000000000001</v>
      </c>
      <c r="V39">
        <f t="shared" si="0"/>
        <v>0.22800000000000001</v>
      </c>
      <c r="W39">
        <f t="shared" si="0"/>
        <v>0.22699999999999998</v>
      </c>
      <c r="X39">
        <f t="shared" si="0"/>
        <v>0.22899999999999998</v>
      </c>
      <c r="Y39">
        <f t="shared" si="0"/>
        <v>0.24600000000000002</v>
      </c>
      <c r="Z39">
        <f t="shared" si="0"/>
        <v>0.22699999999999998</v>
      </c>
      <c r="AA39">
        <f t="shared" si="0"/>
        <v>0.23399999999999999</v>
      </c>
      <c r="AB39">
        <f t="shared" si="0"/>
        <v>0.252</v>
      </c>
      <c r="AC39">
        <f t="shared" si="0"/>
        <v>0.19699999999999998</v>
      </c>
      <c r="AD39">
        <f t="shared" si="0"/>
        <v>0.106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15</v>
      </c>
      <c r="G40">
        <v>8</v>
      </c>
      <c r="H40">
        <v>51</v>
      </c>
      <c r="I40">
        <v>20.100000000000001</v>
      </c>
      <c r="J40">
        <v>19.399999999999999</v>
      </c>
      <c r="K40">
        <v>20.7</v>
      </c>
      <c r="L40">
        <v>21.1</v>
      </c>
      <c r="M40">
        <v>24.8</v>
      </c>
      <c r="N40">
        <v>28.1</v>
      </c>
      <c r="O40">
        <v>28.8</v>
      </c>
      <c r="P40">
        <v>25.9</v>
      </c>
      <c r="Q40">
        <v>22</v>
      </c>
      <c r="R40">
        <v>12.8</v>
      </c>
      <c r="S40">
        <f t="shared" si="1"/>
        <v>22</v>
      </c>
      <c r="T40" t="s">
        <v>68</v>
      </c>
      <c r="U40">
        <f t="shared" si="2"/>
        <v>0.20100000000000001</v>
      </c>
      <c r="V40">
        <f t="shared" si="0"/>
        <v>0.19399999999999998</v>
      </c>
      <c r="W40">
        <f t="shared" si="0"/>
        <v>0.20699999999999999</v>
      </c>
      <c r="X40">
        <f t="shared" si="0"/>
        <v>0.21100000000000002</v>
      </c>
      <c r="Y40">
        <f t="shared" si="0"/>
        <v>0.248</v>
      </c>
      <c r="Z40">
        <f t="shared" si="0"/>
        <v>0.28100000000000003</v>
      </c>
      <c r="AA40">
        <f t="shared" si="0"/>
        <v>0.28800000000000003</v>
      </c>
      <c r="AB40">
        <f t="shared" si="0"/>
        <v>0.25900000000000001</v>
      </c>
      <c r="AC40">
        <f t="shared" si="0"/>
        <v>0.22</v>
      </c>
      <c r="AD40">
        <f t="shared" si="0"/>
        <v>0.128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15</v>
      </c>
      <c r="G41">
        <v>8</v>
      </c>
      <c r="H41">
        <v>56</v>
      </c>
      <c r="I41">
        <v>19.2</v>
      </c>
      <c r="J41">
        <v>22.8</v>
      </c>
      <c r="K41">
        <v>24.5</v>
      </c>
      <c r="L41">
        <v>25.4</v>
      </c>
      <c r="M41">
        <v>27</v>
      </c>
      <c r="N41">
        <v>25.6</v>
      </c>
      <c r="O41">
        <v>26.7</v>
      </c>
      <c r="P41">
        <v>24</v>
      </c>
      <c r="Q41">
        <v>22</v>
      </c>
      <c r="R41">
        <v>12.9</v>
      </c>
      <c r="S41">
        <f t="shared" si="1"/>
        <v>23</v>
      </c>
      <c r="T41" t="s">
        <v>69</v>
      </c>
      <c r="U41">
        <f t="shared" si="2"/>
        <v>0.192</v>
      </c>
      <c r="V41">
        <f t="shared" si="0"/>
        <v>0.22800000000000001</v>
      </c>
      <c r="W41">
        <f t="shared" si="0"/>
        <v>0.245</v>
      </c>
      <c r="X41">
        <f t="shared" si="0"/>
        <v>0.254</v>
      </c>
      <c r="Y41">
        <f t="shared" si="0"/>
        <v>0.27</v>
      </c>
      <c r="Z41">
        <f t="shared" si="0"/>
        <v>0.25600000000000001</v>
      </c>
      <c r="AA41">
        <f t="shared" si="0"/>
        <v>0.26700000000000002</v>
      </c>
      <c r="AB41">
        <f t="shared" si="0"/>
        <v>0.24</v>
      </c>
      <c r="AC41">
        <f t="shared" si="0"/>
        <v>0.22</v>
      </c>
      <c r="AD41">
        <f t="shared" si="0"/>
        <v>0.129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15</v>
      </c>
      <c r="G42">
        <v>9</v>
      </c>
      <c r="H42">
        <v>3</v>
      </c>
      <c r="I42">
        <v>19.7</v>
      </c>
      <c r="J42">
        <v>20.100000000000001</v>
      </c>
      <c r="K42">
        <v>23.9</v>
      </c>
      <c r="L42">
        <v>25.8</v>
      </c>
      <c r="M42">
        <v>26.5</v>
      </c>
      <c r="N42">
        <v>28.9</v>
      </c>
      <c r="O42">
        <v>30.9</v>
      </c>
      <c r="P42">
        <v>25.5</v>
      </c>
      <c r="Q42">
        <v>20.6</v>
      </c>
      <c r="R42">
        <v>12.2</v>
      </c>
      <c r="S42">
        <f t="shared" si="1"/>
        <v>24</v>
      </c>
      <c r="T42" t="s">
        <v>70</v>
      </c>
      <c r="U42">
        <f t="shared" si="2"/>
        <v>0.19699999999999998</v>
      </c>
      <c r="V42">
        <f t="shared" si="0"/>
        <v>0.20100000000000001</v>
      </c>
      <c r="W42">
        <f t="shared" si="0"/>
        <v>0.23899999999999999</v>
      </c>
      <c r="X42">
        <f t="shared" si="0"/>
        <v>0.25800000000000001</v>
      </c>
      <c r="Y42">
        <f t="shared" si="0"/>
        <v>0.26500000000000001</v>
      </c>
      <c r="Z42">
        <f t="shared" si="0"/>
        <v>0.28899999999999998</v>
      </c>
      <c r="AA42">
        <f t="shared" si="0"/>
        <v>0.309</v>
      </c>
      <c r="AB42">
        <f t="shared" si="0"/>
        <v>0.255</v>
      </c>
      <c r="AC42">
        <f t="shared" si="0"/>
        <v>0.20600000000000002</v>
      </c>
      <c r="AD42">
        <f t="shared" si="0"/>
        <v>0.122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15</v>
      </c>
      <c r="G43">
        <v>9</v>
      </c>
      <c r="H43">
        <v>10</v>
      </c>
      <c r="I43">
        <v>-5.9</v>
      </c>
      <c r="J43">
        <v>22.7</v>
      </c>
      <c r="K43">
        <v>25.8</v>
      </c>
      <c r="L43">
        <v>26.2</v>
      </c>
      <c r="M43">
        <v>26.8</v>
      </c>
      <c r="N43">
        <v>29.1</v>
      </c>
      <c r="O43">
        <v>22.9</v>
      </c>
      <c r="P43">
        <v>20.8</v>
      </c>
      <c r="Q43">
        <v>19.8</v>
      </c>
      <c r="R43">
        <v>11.6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0.22699999999999998</v>
      </c>
      <c r="W43">
        <f t="shared" si="0"/>
        <v>0.25800000000000001</v>
      </c>
      <c r="X43">
        <f t="shared" si="0"/>
        <v>0.26200000000000001</v>
      </c>
      <c r="Y43">
        <f t="shared" si="0"/>
        <v>0.26800000000000002</v>
      </c>
      <c r="Z43">
        <f t="shared" si="0"/>
        <v>0.29100000000000004</v>
      </c>
      <c r="AA43">
        <f t="shared" si="0"/>
        <v>0.22899999999999998</v>
      </c>
      <c r="AB43">
        <f t="shared" si="0"/>
        <v>0.20800000000000002</v>
      </c>
      <c r="AC43">
        <f t="shared" si="0"/>
        <v>0.19800000000000001</v>
      </c>
      <c r="AD43">
        <f t="shared" si="0"/>
        <v>0.11599999999999999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15</v>
      </c>
      <c r="G44">
        <v>9</v>
      </c>
      <c r="H44">
        <v>16</v>
      </c>
      <c r="I44">
        <v>-5.9</v>
      </c>
      <c r="J44">
        <v>20.100000000000001</v>
      </c>
      <c r="K44">
        <v>22.4</v>
      </c>
      <c r="L44">
        <v>24.1</v>
      </c>
      <c r="M44">
        <v>25.7</v>
      </c>
      <c r="N44">
        <v>23.3</v>
      </c>
      <c r="O44">
        <v>25.9</v>
      </c>
      <c r="P44">
        <v>24</v>
      </c>
      <c r="Q44">
        <v>20.8</v>
      </c>
      <c r="R44">
        <v>13.4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0.20100000000000001</v>
      </c>
      <c r="W44">
        <f t="shared" si="0"/>
        <v>0.22399999999999998</v>
      </c>
      <c r="X44">
        <f t="shared" si="0"/>
        <v>0.24100000000000002</v>
      </c>
      <c r="Y44">
        <f t="shared" si="0"/>
        <v>0.25700000000000001</v>
      </c>
      <c r="Z44">
        <f t="shared" si="0"/>
        <v>0.23300000000000001</v>
      </c>
      <c r="AA44">
        <f t="shared" si="0"/>
        <v>0.25900000000000001</v>
      </c>
      <c r="AB44">
        <f t="shared" si="0"/>
        <v>0.24</v>
      </c>
      <c r="AC44">
        <f t="shared" si="0"/>
        <v>0.20800000000000002</v>
      </c>
      <c r="AD44">
        <f t="shared" si="0"/>
        <v>0.13400000000000001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15</v>
      </c>
      <c r="G45">
        <v>9</v>
      </c>
      <c r="H45">
        <v>22</v>
      </c>
      <c r="I45">
        <v>-5.9</v>
      </c>
      <c r="J45">
        <v>20.6</v>
      </c>
      <c r="K45">
        <v>17.7</v>
      </c>
      <c r="L45">
        <v>26</v>
      </c>
      <c r="M45">
        <v>25.3</v>
      </c>
      <c r="N45">
        <v>24.3</v>
      </c>
      <c r="O45">
        <v>26.6</v>
      </c>
      <c r="P45">
        <v>25.4</v>
      </c>
      <c r="Q45">
        <v>23</v>
      </c>
      <c r="R45">
        <v>14.5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0.20600000000000002</v>
      </c>
      <c r="W45">
        <f t="shared" si="0"/>
        <v>0.17699999999999999</v>
      </c>
      <c r="X45">
        <f t="shared" si="0"/>
        <v>0.26</v>
      </c>
      <c r="Y45">
        <f t="shared" si="0"/>
        <v>0.253</v>
      </c>
      <c r="Z45">
        <f t="shared" si="0"/>
        <v>0.24299999999999999</v>
      </c>
      <c r="AA45">
        <f t="shared" si="0"/>
        <v>0.26600000000000001</v>
      </c>
      <c r="AB45">
        <f t="shared" si="0"/>
        <v>0.254</v>
      </c>
      <c r="AC45">
        <f t="shared" si="0"/>
        <v>0.23</v>
      </c>
      <c r="AD45">
        <f t="shared" si="0"/>
        <v>0.14499999999999999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15</v>
      </c>
      <c r="G46">
        <v>9</v>
      </c>
      <c r="H46">
        <v>27</v>
      </c>
      <c r="I46">
        <v>19.5</v>
      </c>
      <c r="J46">
        <v>18</v>
      </c>
      <c r="K46">
        <v>18.8</v>
      </c>
      <c r="L46">
        <v>21.5</v>
      </c>
      <c r="M46">
        <v>26</v>
      </c>
      <c r="N46">
        <v>27.3</v>
      </c>
      <c r="O46">
        <v>26.3</v>
      </c>
      <c r="P46">
        <v>26.9</v>
      </c>
      <c r="Q46">
        <v>19.399999999999999</v>
      </c>
      <c r="R46">
        <v>11.1</v>
      </c>
      <c r="S46">
        <f t="shared" si="1"/>
        <v>28</v>
      </c>
      <c r="T46" t="s">
        <v>76</v>
      </c>
      <c r="U46">
        <f t="shared" si="2"/>
        <v>0.19500000000000001</v>
      </c>
      <c r="V46">
        <f t="shared" si="0"/>
        <v>0.18</v>
      </c>
      <c r="W46">
        <f t="shared" si="0"/>
        <v>0.188</v>
      </c>
      <c r="X46">
        <f t="shared" si="0"/>
        <v>0.215</v>
      </c>
      <c r="Y46">
        <f t="shared" si="0"/>
        <v>0.26</v>
      </c>
      <c r="Z46">
        <f t="shared" si="0"/>
        <v>0.27300000000000002</v>
      </c>
      <c r="AA46">
        <f t="shared" si="0"/>
        <v>0.26300000000000001</v>
      </c>
      <c r="AB46">
        <f t="shared" si="0"/>
        <v>0.26899999999999996</v>
      </c>
      <c r="AC46">
        <f t="shared" si="0"/>
        <v>0.19399999999999998</v>
      </c>
      <c r="AD46">
        <f t="shared" si="0"/>
        <v>0.111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15</v>
      </c>
      <c r="G47">
        <v>9</v>
      </c>
      <c r="H47">
        <v>33</v>
      </c>
      <c r="I47">
        <v>25</v>
      </c>
      <c r="J47">
        <v>33.4</v>
      </c>
      <c r="K47">
        <v>23</v>
      </c>
      <c r="L47">
        <v>24.5</v>
      </c>
      <c r="M47">
        <v>27.6</v>
      </c>
      <c r="N47">
        <v>28.7</v>
      </c>
      <c r="O47">
        <v>30.7</v>
      </c>
      <c r="P47">
        <v>24.5</v>
      </c>
      <c r="Q47">
        <v>20.399999999999999</v>
      </c>
      <c r="R47">
        <v>9.4</v>
      </c>
      <c r="S47">
        <f t="shared" si="1"/>
        <v>29</v>
      </c>
      <c r="T47" t="s">
        <v>53</v>
      </c>
      <c r="U47">
        <f t="shared" si="2"/>
        <v>0.25</v>
      </c>
      <c r="V47">
        <f t="shared" si="0"/>
        <v>0.33399999999999996</v>
      </c>
      <c r="W47">
        <f t="shared" si="0"/>
        <v>0.23</v>
      </c>
      <c r="X47">
        <f t="shared" si="0"/>
        <v>0.245</v>
      </c>
      <c r="Y47">
        <f t="shared" ref="Y47:AD54" si="3">IF(M47&lt;0,"",M47/100)</f>
        <v>0.27600000000000002</v>
      </c>
      <c r="Z47">
        <f t="shared" si="3"/>
        <v>0.28699999999999998</v>
      </c>
      <c r="AA47">
        <f t="shared" si="3"/>
        <v>0.307</v>
      </c>
      <c r="AB47">
        <f t="shared" si="3"/>
        <v>0.245</v>
      </c>
      <c r="AC47">
        <f t="shared" si="3"/>
        <v>0.20399999999999999</v>
      </c>
      <c r="AD47">
        <f t="shared" si="3"/>
        <v>9.4E-2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15</v>
      </c>
      <c r="G48">
        <v>9</v>
      </c>
      <c r="H48">
        <v>37</v>
      </c>
      <c r="I48">
        <v>25.4</v>
      </c>
      <c r="J48">
        <v>26.6</v>
      </c>
      <c r="K48">
        <v>26.7</v>
      </c>
      <c r="L48">
        <v>24</v>
      </c>
      <c r="M48">
        <v>23.3</v>
      </c>
      <c r="N48">
        <v>24</v>
      </c>
      <c r="O48">
        <v>19.600000000000001</v>
      </c>
      <c r="P48">
        <v>23</v>
      </c>
      <c r="Q48">
        <v>16.600000000000001</v>
      </c>
      <c r="R48">
        <v>8.6</v>
      </c>
      <c r="S48">
        <f t="shared" si="1"/>
        <v>30</v>
      </c>
      <c r="T48" t="s">
        <v>77</v>
      </c>
      <c r="U48">
        <f t="shared" si="2"/>
        <v>0.254</v>
      </c>
      <c r="V48">
        <f t="shared" si="2"/>
        <v>0.26600000000000001</v>
      </c>
      <c r="W48">
        <f t="shared" si="2"/>
        <v>0.26700000000000002</v>
      </c>
      <c r="X48">
        <f t="shared" si="2"/>
        <v>0.24</v>
      </c>
      <c r="Y48">
        <f t="shared" si="3"/>
        <v>0.23300000000000001</v>
      </c>
      <c r="Z48">
        <f t="shared" si="3"/>
        <v>0.24</v>
      </c>
      <c r="AA48">
        <f t="shared" si="3"/>
        <v>0.19600000000000001</v>
      </c>
      <c r="AB48">
        <f t="shared" si="3"/>
        <v>0.23</v>
      </c>
      <c r="AC48">
        <f t="shared" si="3"/>
        <v>0.16600000000000001</v>
      </c>
      <c r="AD48">
        <f t="shared" si="3"/>
        <v>8.5999999999999993E-2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15</v>
      </c>
      <c r="G49">
        <v>9</v>
      </c>
      <c r="H49">
        <v>42</v>
      </c>
      <c r="I49">
        <v>-5.9</v>
      </c>
      <c r="J49">
        <v>-5.9</v>
      </c>
      <c r="K49">
        <v>23.6</v>
      </c>
      <c r="L49">
        <v>22.4</v>
      </c>
      <c r="M49">
        <v>25</v>
      </c>
      <c r="N49">
        <v>24.3</v>
      </c>
      <c r="O49">
        <v>23.2</v>
      </c>
      <c r="P49">
        <v>21.4</v>
      </c>
      <c r="Q49">
        <v>16.600000000000001</v>
      </c>
      <c r="R49">
        <v>5.7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0.23600000000000002</v>
      </c>
      <c r="X49">
        <f t="shared" si="4"/>
        <v>0.22399999999999998</v>
      </c>
      <c r="Y49">
        <f t="shared" si="3"/>
        <v>0.25</v>
      </c>
      <c r="Z49">
        <f t="shared" si="3"/>
        <v>0.24299999999999999</v>
      </c>
      <c r="AA49">
        <f t="shared" si="3"/>
        <v>0.23199999999999998</v>
      </c>
      <c r="AB49">
        <f t="shared" si="3"/>
        <v>0.214</v>
      </c>
      <c r="AC49">
        <f t="shared" si="3"/>
        <v>0.16600000000000001</v>
      </c>
      <c r="AD49">
        <f t="shared" si="3"/>
        <v>5.7000000000000002E-2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15</v>
      </c>
      <c r="G50">
        <v>9</v>
      </c>
      <c r="H50">
        <v>46</v>
      </c>
      <c r="I50">
        <v>-5.9</v>
      </c>
      <c r="J50">
        <v>-5.9</v>
      </c>
      <c r="K50">
        <v>22</v>
      </c>
      <c r="L50">
        <v>24</v>
      </c>
      <c r="M50">
        <v>26.1</v>
      </c>
      <c r="N50">
        <v>27</v>
      </c>
      <c r="O50">
        <v>24</v>
      </c>
      <c r="P50">
        <v>18.7</v>
      </c>
      <c r="Q50">
        <v>16.5</v>
      </c>
      <c r="R50">
        <v>8.6999999999999993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0.22</v>
      </c>
      <c r="X50">
        <f t="shared" si="4"/>
        <v>0.24</v>
      </c>
      <c r="Y50">
        <f t="shared" si="3"/>
        <v>0.26100000000000001</v>
      </c>
      <c r="Z50">
        <f t="shared" si="3"/>
        <v>0.27</v>
      </c>
      <c r="AA50">
        <f t="shared" si="3"/>
        <v>0.24</v>
      </c>
      <c r="AB50">
        <f t="shared" si="3"/>
        <v>0.187</v>
      </c>
      <c r="AC50">
        <f t="shared" si="3"/>
        <v>0.16500000000000001</v>
      </c>
      <c r="AD50">
        <f t="shared" si="3"/>
        <v>8.6999999999999994E-2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15</v>
      </c>
      <c r="G51">
        <v>9</v>
      </c>
      <c r="H51">
        <v>50</v>
      </c>
      <c r="I51">
        <v>-5.9</v>
      </c>
      <c r="J51">
        <v>-5.9</v>
      </c>
      <c r="K51">
        <v>22.2</v>
      </c>
      <c r="L51">
        <v>27.6</v>
      </c>
      <c r="M51">
        <v>29.4</v>
      </c>
      <c r="N51">
        <v>30.8</v>
      </c>
      <c r="O51">
        <v>27.9</v>
      </c>
      <c r="P51">
        <v>22.5</v>
      </c>
      <c r="Q51">
        <v>16.100000000000001</v>
      </c>
      <c r="R51">
        <v>9.4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0.222</v>
      </c>
      <c r="X51">
        <f t="shared" si="4"/>
        <v>0.27600000000000002</v>
      </c>
      <c r="Y51">
        <f t="shared" si="3"/>
        <v>0.29399999999999998</v>
      </c>
      <c r="Z51">
        <f t="shared" si="3"/>
        <v>0.308</v>
      </c>
      <c r="AA51">
        <f t="shared" si="3"/>
        <v>0.27899999999999997</v>
      </c>
      <c r="AB51">
        <f t="shared" si="3"/>
        <v>0.22500000000000001</v>
      </c>
      <c r="AC51">
        <f t="shared" si="3"/>
        <v>0.161</v>
      </c>
      <c r="AD51">
        <f t="shared" si="3"/>
        <v>9.4E-2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15</v>
      </c>
      <c r="G52">
        <v>9</v>
      </c>
      <c r="H52">
        <v>54</v>
      </c>
      <c r="I52">
        <v>-5.9</v>
      </c>
      <c r="J52">
        <v>-5.9</v>
      </c>
      <c r="K52">
        <v>23.4</v>
      </c>
      <c r="L52">
        <v>26.3</v>
      </c>
      <c r="M52">
        <v>26.7</v>
      </c>
      <c r="N52">
        <v>28</v>
      </c>
      <c r="O52">
        <v>26.7</v>
      </c>
      <c r="P52">
        <v>20.7</v>
      </c>
      <c r="Q52">
        <v>17.600000000000001</v>
      </c>
      <c r="R52">
        <v>11.6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0.23399999999999999</v>
      </c>
      <c r="X52">
        <f t="shared" si="4"/>
        <v>0.26300000000000001</v>
      </c>
      <c r="Y52">
        <f t="shared" si="3"/>
        <v>0.26700000000000002</v>
      </c>
      <c r="Z52">
        <f t="shared" si="3"/>
        <v>0.28000000000000003</v>
      </c>
      <c r="AA52">
        <f t="shared" si="3"/>
        <v>0.26700000000000002</v>
      </c>
      <c r="AB52">
        <f t="shared" si="3"/>
        <v>0.20699999999999999</v>
      </c>
      <c r="AC52">
        <f t="shared" si="3"/>
        <v>0.17600000000000002</v>
      </c>
      <c r="AD52">
        <f t="shared" si="3"/>
        <v>0.11599999999999999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15</v>
      </c>
      <c r="G53">
        <v>9</v>
      </c>
      <c r="H53">
        <v>50</v>
      </c>
      <c r="I53">
        <v>-5.9</v>
      </c>
      <c r="J53">
        <v>-5.9</v>
      </c>
      <c r="K53">
        <v>26.3</v>
      </c>
      <c r="L53">
        <v>28.2</v>
      </c>
      <c r="M53">
        <v>29.9</v>
      </c>
      <c r="N53">
        <v>28.5</v>
      </c>
      <c r="O53">
        <v>22.5</v>
      </c>
      <c r="P53">
        <v>17.2</v>
      </c>
      <c r="Q53">
        <v>17</v>
      </c>
      <c r="R53">
        <v>9.8000000000000007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0.26300000000000001</v>
      </c>
      <c r="X53">
        <f t="shared" si="4"/>
        <v>0.28199999999999997</v>
      </c>
      <c r="Y53">
        <f t="shared" si="3"/>
        <v>0.29899999999999999</v>
      </c>
      <c r="Z53">
        <f t="shared" si="3"/>
        <v>0.28499999999999998</v>
      </c>
      <c r="AA53">
        <f t="shared" si="3"/>
        <v>0.22500000000000001</v>
      </c>
      <c r="AB53">
        <f t="shared" si="3"/>
        <v>0.17199999999999999</v>
      </c>
      <c r="AC53">
        <f t="shared" si="3"/>
        <v>0.17</v>
      </c>
      <c r="AD53">
        <f t="shared" si="3"/>
        <v>9.8000000000000004E-2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15</v>
      </c>
      <c r="G54">
        <v>10</v>
      </c>
      <c r="H54">
        <v>2</v>
      </c>
      <c r="I54">
        <v>-5.9</v>
      </c>
      <c r="J54">
        <v>20.9</v>
      </c>
      <c r="K54">
        <v>26.4</v>
      </c>
      <c r="L54">
        <v>27.4</v>
      </c>
      <c r="M54">
        <v>22.3</v>
      </c>
      <c r="N54">
        <v>24.5</v>
      </c>
      <c r="O54">
        <v>20.8</v>
      </c>
      <c r="P54">
        <v>18.5</v>
      </c>
      <c r="Q54">
        <v>17</v>
      </c>
      <c r="R54">
        <v>8.5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0.20899999999999999</v>
      </c>
      <c r="W54">
        <f t="shared" si="4"/>
        <v>0.26400000000000001</v>
      </c>
      <c r="X54">
        <f t="shared" si="4"/>
        <v>0.27399999999999997</v>
      </c>
      <c r="Y54">
        <f t="shared" si="3"/>
        <v>0.223</v>
      </c>
      <c r="Z54">
        <f t="shared" si="3"/>
        <v>0.245</v>
      </c>
      <c r="AA54">
        <f t="shared" si="3"/>
        <v>0.20800000000000002</v>
      </c>
      <c r="AB54">
        <f t="shared" si="3"/>
        <v>0.185</v>
      </c>
      <c r="AC54">
        <f t="shared" si="3"/>
        <v>0.17</v>
      </c>
      <c r="AD54">
        <f t="shared" si="3"/>
        <v>8.5000000000000006E-2</v>
      </c>
    </row>
    <row r="57" spans="1:30" x14ac:dyDescent="0.25">
      <c r="A57" s="2">
        <v>41835</v>
      </c>
    </row>
    <row r="58" spans="1:30" x14ac:dyDescent="0.25">
      <c r="A58" t="s">
        <v>3</v>
      </c>
      <c r="B58">
        <v>6116</v>
      </c>
      <c r="C58" t="s">
        <v>4</v>
      </c>
      <c r="D58">
        <v>12689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15</v>
      </c>
      <c r="G75">
        <v>7</v>
      </c>
      <c r="H75">
        <v>13</v>
      </c>
      <c r="I75">
        <v>19.3</v>
      </c>
      <c r="J75">
        <v>21.4</v>
      </c>
      <c r="K75">
        <v>20.7</v>
      </c>
      <c r="L75">
        <v>18.899999999999999</v>
      </c>
      <c r="M75">
        <v>16.600000000000001</v>
      </c>
      <c r="N75">
        <v>17.399999999999999</v>
      </c>
      <c r="O75">
        <v>17.5</v>
      </c>
      <c r="P75">
        <v>15.5</v>
      </c>
      <c r="Q75">
        <v>16.100000000000001</v>
      </c>
      <c r="R75">
        <v>9.5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0.214</v>
      </c>
      <c r="W75">
        <f t="shared" si="5"/>
        <v>0.20699999999999999</v>
      </c>
      <c r="X75">
        <f t="shared" si="5"/>
        <v>0.18899999999999997</v>
      </c>
      <c r="Y75">
        <f t="shared" si="5"/>
        <v>0.16600000000000001</v>
      </c>
      <c r="Z75">
        <f t="shared" si="5"/>
        <v>0.17399999999999999</v>
      </c>
      <c r="AA75">
        <f t="shared" si="5"/>
        <v>0.17499999999999999</v>
      </c>
      <c r="AB75">
        <f t="shared" si="5"/>
        <v>0.155</v>
      </c>
      <c r="AC75">
        <f t="shared" si="5"/>
        <v>0.161</v>
      </c>
      <c r="AD75">
        <f t="shared" si="5"/>
        <v>9.5000000000000001E-2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15</v>
      </c>
      <c r="G76">
        <v>7</v>
      </c>
      <c r="H76">
        <v>10</v>
      </c>
      <c r="I76">
        <v>18.600000000000001</v>
      </c>
      <c r="J76">
        <v>20.8</v>
      </c>
      <c r="K76">
        <v>22.6</v>
      </c>
      <c r="L76">
        <v>23</v>
      </c>
      <c r="M76">
        <v>23</v>
      </c>
      <c r="N76">
        <v>20.2</v>
      </c>
      <c r="O76">
        <v>15.2</v>
      </c>
      <c r="P76">
        <v>15.3</v>
      </c>
      <c r="Q76">
        <v>16.8</v>
      </c>
      <c r="R76">
        <v>10.199999999999999</v>
      </c>
      <c r="S76">
        <f t="shared" ref="S76:S104" si="6">B76</f>
        <v>65</v>
      </c>
      <c r="T76" t="s">
        <v>49</v>
      </c>
      <c r="U76">
        <f t="shared" ref="U76:X104" si="7">IF(I76&lt;0,"",I76/100)</f>
        <v>0.18600000000000003</v>
      </c>
      <c r="V76">
        <f t="shared" si="5"/>
        <v>0.20800000000000002</v>
      </c>
      <c r="W76">
        <f t="shared" si="5"/>
        <v>0.22600000000000001</v>
      </c>
      <c r="X76">
        <f t="shared" si="5"/>
        <v>0.23</v>
      </c>
      <c r="Y76">
        <f t="shared" si="5"/>
        <v>0.23</v>
      </c>
      <c r="Z76">
        <f t="shared" si="5"/>
        <v>0.20199999999999999</v>
      </c>
      <c r="AA76">
        <f t="shared" si="5"/>
        <v>0.152</v>
      </c>
      <c r="AB76">
        <f t="shared" si="5"/>
        <v>0.153</v>
      </c>
      <c r="AC76">
        <f t="shared" si="5"/>
        <v>0.16800000000000001</v>
      </c>
      <c r="AD76">
        <f t="shared" si="5"/>
        <v>0.10199999999999999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15</v>
      </c>
      <c r="G77">
        <v>7</v>
      </c>
      <c r="H77">
        <v>23</v>
      </c>
      <c r="I77">
        <v>15.1</v>
      </c>
      <c r="J77">
        <v>13.9</v>
      </c>
      <c r="K77">
        <v>12.9</v>
      </c>
      <c r="L77">
        <v>12.8</v>
      </c>
      <c r="M77">
        <v>11.1</v>
      </c>
      <c r="N77">
        <v>10.8</v>
      </c>
      <c r="O77">
        <v>12</v>
      </c>
      <c r="P77">
        <v>16.8</v>
      </c>
      <c r="Q77">
        <v>17.7</v>
      </c>
      <c r="R77">
        <v>10</v>
      </c>
      <c r="S77">
        <f t="shared" si="6"/>
        <v>64</v>
      </c>
      <c r="T77" t="s">
        <v>48</v>
      </c>
      <c r="U77">
        <f t="shared" si="7"/>
        <v>0.151</v>
      </c>
      <c r="V77">
        <f t="shared" si="5"/>
        <v>0.13900000000000001</v>
      </c>
      <c r="W77">
        <f t="shared" si="5"/>
        <v>0.129</v>
      </c>
      <c r="X77">
        <f t="shared" si="5"/>
        <v>0.128</v>
      </c>
      <c r="Y77">
        <f t="shared" si="5"/>
        <v>0.111</v>
      </c>
      <c r="Z77">
        <f t="shared" si="5"/>
        <v>0.10800000000000001</v>
      </c>
      <c r="AA77">
        <f t="shared" si="5"/>
        <v>0.12</v>
      </c>
      <c r="AB77">
        <f t="shared" si="5"/>
        <v>0.16800000000000001</v>
      </c>
      <c r="AC77">
        <f t="shared" si="5"/>
        <v>0.17699999999999999</v>
      </c>
      <c r="AD77">
        <f t="shared" si="5"/>
        <v>0.1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15</v>
      </c>
      <c r="G78">
        <v>7</v>
      </c>
      <c r="H78">
        <v>20</v>
      </c>
      <c r="I78">
        <v>22.4</v>
      </c>
      <c r="J78">
        <v>20.5</v>
      </c>
      <c r="K78">
        <v>22.7</v>
      </c>
      <c r="L78">
        <v>23.4</v>
      </c>
      <c r="M78">
        <v>21.7</v>
      </c>
      <c r="N78">
        <v>20.6</v>
      </c>
      <c r="O78">
        <v>20.100000000000001</v>
      </c>
      <c r="P78">
        <v>22.4</v>
      </c>
      <c r="Q78">
        <v>22.2</v>
      </c>
      <c r="R78">
        <v>12.1</v>
      </c>
      <c r="S78">
        <f t="shared" si="6"/>
        <v>63</v>
      </c>
      <c r="T78" t="s">
        <v>47</v>
      </c>
      <c r="U78">
        <f t="shared" si="7"/>
        <v>0.22399999999999998</v>
      </c>
      <c r="V78">
        <f t="shared" si="5"/>
        <v>0.20499999999999999</v>
      </c>
      <c r="W78">
        <f t="shared" si="5"/>
        <v>0.22699999999999998</v>
      </c>
      <c r="X78">
        <f t="shared" si="5"/>
        <v>0.23399999999999999</v>
      </c>
      <c r="Y78">
        <f t="shared" si="5"/>
        <v>0.217</v>
      </c>
      <c r="Z78">
        <f t="shared" si="5"/>
        <v>0.20600000000000002</v>
      </c>
      <c r="AA78">
        <f t="shared" si="5"/>
        <v>0.20100000000000001</v>
      </c>
      <c r="AB78">
        <f t="shared" si="5"/>
        <v>0.22399999999999998</v>
      </c>
      <c r="AC78">
        <f t="shared" si="5"/>
        <v>0.222</v>
      </c>
      <c r="AD78">
        <f t="shared" si="5"/>
        <v>0.121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15</v>
      </c>
      <c r="G79">
        <v>7</v>
      </c>
      <c r="H79">
        <v>33</v>
      </c>
      <c r="I79">
        <v>23.4</v>
      </c>
      <c r="J79">
        <v>23.9</v>
      </c>
      <c r="K79">
        <v>24.5</v>
      </c>
      <c r="L79">
        <v>25.1</v>
      </c>
      <c r="M79">
        <v>24.4</v>
      </c>
      <c r="N79">
        <v>22.8</v>
      </c>
      <c r="O79">
        <v>21.4</v>
      </c>
      <c r="P79">
        <v>20.7</v>
      </c>
      <c r="Q79">
        <v>20.9</v>
      </c>
      <c r="R79">
        <v>13.4</v>
      </c>
      <c r="S79">
        <f t="shared" si="6"/>
        <v>62</v>
      </c>
      <c r="T79" t="s">
        <v>46</v>
      </c>
      <c r="U79">
        <f t="shared" si="7"/>
        <v>0.23399999999999999</v>
      </c>
      <c r="V79">
        <f t="shared" si="5"/>
        <v>0.23899999999999999</v>
      </c>
      <c r="W79">
        <f t="shared" si="5"/>
        <v>0.245</v>
      </c>
      <c r="X79">
        <f t="shared" si="5"/>
        <v>0.251</v>
      </c>
      <c r="Y79">
        <f t="shared" si="5"/>
        <v>0.24399999999999999</v>
      </c>
      <c r="Z79">
        <f t="shared" si="5"/>
        <v>0.22800000000000001</v>
      </c>
      <c r="AA79">
        <f t="shared" si="5"/>
        <v>0.214</v>
      </c>
      <c r="AB79">
        <f t="shared" si="5"/>
        <v>0.20699999999999999</v>
      </c>
      <c r="AC79">
        <f t="shared" si="5"/>
        <v>0.20899999999999999</v>
      </c>
      <c r="AD79">
        <f t="shared" si="5"/>
        <v>0.13400000000000001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15</v>
      </c>
      <c r="G80">
        <v>7</v>
      </c>
      <c r="H80">
        <v>31</v>
      </c>
      <c r="I80">
        <v>23.4</v>
      </c>
      <c r="J80">
        <v>22.7</v>
      </c>
      <c r="K80">
        <v>22.4</v>
      </c>
      <c r="L80">
        <v>23.4</v>
      </c>
      <c r="M80">
        <v>23.4</v>
      </c>
      <c r="N80">
        <v>19.5</v>
      </c>
      <c r="O80">
        <v>18</v>
      </c>
      <c r="P80">
        <v>17.5</v>
      </c>
      <c r="Q80">
        <v>17.600000000000001</v>
      </c>
      <c r="R80">
        <v>11.2</v>
      </c>
      <c r="S80">
        <f t="shared" si="6"/>
        <v>61</v>
      </c>
      <c r="T80" t="s">
        <v>45</v>
      </c>
      <c r="U80">
        <f t="shared" si="7"/>
        <v>0.23399999999999999</v>
      </c>
      <c r="V80">
        <f t="shared" si="5"/>
        <v>0.22699999999999998</v>
      </c>
      <c r="W80">
        <f t="shared" si="5"/>
        <v>0.22399999999999998</v>
      </c>
      <c r="X80">
        <f t="shared" si="5"/>
        <v>0.23399999999999999</v>
      </c>
      <c r="Y80">
        <f t="shared" si="5"/>
        <v>0.23399999999999999</v>
      </c>
      <c r="Z80">
        <f t="shared" si="5"/>
        <v>0.19500000000000001</v>
      </c>
      <c r="AA80">
        <f t="shared" si="5"/>
        <v>0.18</v>
      </c>
      <c r="AB80">
        <f t="shared" si="5"/>
        <v>0.17499999999999999</v>
      </c>
      <c r="AC80">
        <f t="shared" si="5"/>
        <v>0.17600000000000002</v>
      </c>
      <c r="AD80">
        <f t="shared" si="5"/>
        <v>0.11199999999999999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15</v>
      </c>
      <c r="G81">
        <v>7</v>
      </c>
      <c r="H81">
        <v>55</v>
      </c>
      <c r="I81">
        <v>-5</v>
      </c>
      <c r="J81">
        <v>21.9</v>
      </c>
      <c r="K81">
        <v>21.8</v>
      </c>
      <c r="L81">
        <v>22</v>
      </c>
      <c r="M81">
        <v>19.600000000000001</v>
      </c>
      <c r="N81">
        <v>14.3</v>
      </c>
      <c r="O81">
        <v>12.9</v>
      </c>
      <c r="P81">
        <v>15.3</v>
      </c>
      <c r="Q81">
        <v>14.9</v>
      </c>
      <c r="R81">
        <v>9.1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0.21899999999999997</v>
      </c>
      <c r="W81">
        <f t="shared" si="5"/>
        <v>0.218</v>
      </c>
      <c r="X81">
        <f t="shared" si="5"/>
        <v>0.22</v>
      </c>
      <c r="Y81">
        <f t="shared" si="5"/>
        <v>0.19600000000000001</v>
      </c>
      <c r="Z81">
        <f t="shared" si="5"/>
        <v>0.14300000000000002</v>
      </c>
      <c r="AA81">
        <f t="shared" si="5"/>
        <v>0.129</v>
      </c>
      <c r="AB81">
        <f t="shared" si="5"/>
        <v>0.153</v>
      </c>
      <c r="AC81">
        <f t="shared" si="5"/>
        <v>0.14899999999999999</v>
      </c>
      <c r="AD81">
        <f t="shared" si="5"/>
        <v>9.0999999999999998E-2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15</v>
      </c>
      <c r="G82">
        <v>8</v>
      </c>
      <c r="H82">
        <v>2</v>
      </c>
      <c r="I82">
        <v>21.6</v>
      </c>
      <c r="J82">
        <v>22.1</v>
      </c>
      <c r="K82">
        <v>22.4</v>
      </c>
      <c r="L82">
        <v>22.7</v>
      </c>
      <c r="M82">
        <v>18.7</v>
      </c>
      <c r="N82">
        <v>14.2</v>
      </c>
      <c r="O82">
        <v>12.5</v>
      </c>
      <c r="P82">
        <v>15.8</v>
      </c>
      <c r="Q82">
        <v>16.8</v>
      </c>
      <c r="R82">
        <v>10.8</v>
      </c>
      <c r="S82">
        <f t="shared" si="6"/>
        <v>59</v>
      </c>
      <c r="T82" t="s">
        <v>93</v>
      </c>
      <c r="U82">
        <f t="shared" si="7"/>
        <v>0.21600000000000003</v>
      </c>
      <c r="V82">
        <f t="shared" si="5"/>
        <v>0.221</v>
      </c>
      <c r="W82">
        <f t="shared" si="5"/>
        <v>0.22399999999999998</v>
      </c>
      <c r="X82">
        <f t="shared" si="5"/>
        <v>0.22699999999999998</v>
      </c>
      <c r="Y82">
        <f t="shared" si="5"/>
        <v>0.187</v>
      </c>
      <c r="Z82">
        <f t="shared" si="5"/>
        <v>0.14199999999999999</v>
      </c>
      <c r="AA82">
        <f t="shared" si="5"/>
        <v>0.125</v>
      </c>
      <c r="AB82">
        <f t="shared" si="5"/>
        <v>0.158</v>
      </c>
      <c r="AC82">
        <f t="shared" si="5"/>
        <v>0.16800000000000001</v>
      </c>
      <c r="AD82">
        <f t="shared" si="5"/>
        <v>0.10800000000000001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15</v>
      </c>
      <c r="G83">
        <v>8</v>
      </c>
      <c r="H83">
        <v>7</v>
      </c>
      <c r="I83">
        <v>-5</v>
      </c>
      <c r="J83">
        <v>20</v>
      </c>
      <c r="K83">
        <v>24</v>
      </c>
      <c r="L83">
        <v>24.6</v>
      </c>
      <c r="M83">
        <v>22.5</v>
      </c>
      <c r="N83">
        <v>20.5</v>
      </c>
      <c r="O83">
        <v>16.600000000000001</v>
      </c>
      <c r="P83">
        <v>18.7</v>
      </c>
      <c r="Q83">
        <v>18.5</v>
      </c>
      <c r="R83">
        <v>11.9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0.2</v>
      </c>
      <c r="W83">
        <f t="shared" si="5"/>
        <v>0.24</v>
      </c>
      <c r="X83">
        <f t="shared" si="5"/>
        <v>0.24600000000000002</v>
      </c>
      <c r="Y83">
        <f t="shared" si="5"/>
        <v>0.22500000000000001</v>
      </c>
      <c r="Z83">
        <f t="shared" si="5"/>
        <v>0.20499999999999999</v>
      </c>
      <c r="AA83">
        <f t="shared" si="5"/>
        <v>0.16600000000000001</v>
      </c>
      <c r="AB83">
        <f t="shared" si="5"/>
        <v>0.187</v>
      </c>
      <c r="AC83">
        <f t="shared" si="5"/>
        <v>0.185</v>
      </c>
      <c r="AD83">
        <f t="shared" si="5"/>
        <v>0.11900000000000001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15</v>
      </c>
      <c r="G84">
        <v>8</v>
      </c>
      <c r="H84">
        <v>12</v>
      </c>
      <c r="I84">
        <v>16.7</v>
      </c>
      <c r="J84">
        <v>19.5</v>
      </c>
      <c r="K84">
        <v>25.4</v>
      </c>
      <c r="L84">
        <v>26.3</v>
      </c>
      <c r="M84">
        <v>25.8</v>
      </c>
      <c r="N84">
        <v>26.5</v>
      </c>
      <c r="O84">
        <v>24</v>
      </c>
      <c r="P84">
        <v>21.1</v>
      </c>
      <c r="Q84">
        <v>18</v>
      </c>
      <c r="R84">
        <v>10.4</v>
      </c>
      <c r="S84">
        <f t="shared" si="6"/>
        <v>57</v>
      </c>
      <c r="T84" t="s">
        <v>91</v>
      </c>
      <c r="U84">
        <f t="shared" si="7"/>
        <v>0.16699999999999998</v>
      </c>
      <c r="V84">
        <f t="shared" si="5"/>
        <v>0.19500000000000001</v>
      </c>
      <c r="W84">
        <f t="shared" si="5"/>
        <v>0.254</v>
      </c>
      <c r="X84">
        <f t="shared" si="5"/>
        <v>0.26300000000000001</v>
      </c>
      <c r="Y84">
        <f t="shared" si="5"/>
        <v>0.25800000000000001</v>
      </c>
      <c r="Z84">
        <f t="shared" si="5"/>
        <v>0.26500000000000001</v>
      </c>
      <c r="AA84">
        <f t="shared" si="5"/>
        <v>0.24</v>
      </c>
      <c r="AB84">
        <f t="shared" si="5"/>
        <v>0.21100000000000002</v>
      </c>
      <c r="AC84">
        <f t="shared" si="5"/>
        <v>0.18</v>
      </c>
      <c r="AD84">
        <f t="shared" si="5"/>
        <v>0.10400000000000001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15</v>
      </c>
      <c r="G85">
        <v>8</v>
      </c>
      <c r="H85">
        <v>17</v>
      </c>
      <c r="I85">
        <v>19.899999999999999</v>
      </c>
      <c r="J85">
        <v>20.5</v>
      </c>
      <c r="K85">
        <v>19.5</v>
      </c>
      <c r="L85">
        <v>21.7</v>
      </c>
      <c r="M85">
        <v>22.7</v>
      </c>
      <c r="N85">
        <v>22.8</v>
      </c>
      <c r="O85">
        <v>21.1</v>
      </c>
      <c r="P85">
        <v>17</v>
      </c>
      <c r="Q85">
        <v>16</v>
      </c>
      <c r="R85">
        <v>8.8000000000000007</v>
      </c>
      <c r="S85">
        <f t="shared" si="6"/>
        <v>56</v>
      </c>
      <c r="T85" t="s">
        <v>90</v>
      </c>
      <c r="U85">
        <f t="shared" si="7"/>
        <v>0.19899999999999998</v>
      </c>
      <c r="V85">
        <f t="shared" si="5"/>
        <v>0.20499999999999999</v>
      </c>
      <c r="W85">
        <f t="shared" si="5"/>
        <v>0.19500000000000001</v>
      </c>
      <c r="X85">
        <f t="shared" si="5"/>
        <v>0.217</v>
      </c>
      <c r="Y85">
        <f t="shared" si="5"/>
        <v>0.22699999999999998</v>
      </c>
      <c r="Z85">
        <f t="shared" si="5"/>
        <v>0.22800000000000001</v>
      </c>
      <c r="AA85">
        <f t="shared" si="5"/>
        <v>0.21100000000000002</v>
      </c>
      <c r="AB85">
        <f t="shared" si="5"/>
        <v>0.17</v>
      </c>
      <c r="AC85">
        <f t="shared" si="5"/>
        <v>0.16</v>
      </c>
      <c r="AD85">
        <f t="shared" si="5"/>
        <v>8.8000000000000009E-2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15</v>
      </c>
      <c r="G86">
        <v>8</v>
      </c>
      <c r="H86">
        <v>24</v>
      </c>
      <c r="I86">
        <v>17.5</v>
      </c>
      <c r="J86">
        <v>17.600000000000001</v>
      </c>
      <c r="K86">
        <v>21.4</v>
      </c>
      <c r="L86">
        <v>25.1</v>
      </c>
      <c r="M86">
        <v>25.1</v>
      </c>
      <c r="N86">
        <v>23.2</v>
      </c>
      <c r="O86">
        <v>21.7</v>
      </c>
      <c r="P86">
        <v>17.100000000000001</v>
      </c>
      <c r="Q86">
        <v>15.3</v>
      </c>
      <c r="R86">
        <v>8.8000000000000007</v>
      </c>
      <c r="S86">
        <f t="shared" si="6"/>
        <v>55</v>
      </c>
      <c r="T86" t="s">
        <v>89</v>
      </c>
      <c r="U86">
        <f t="shared" si="7"/>
        <v>0.17499999999999999</v>
      </c>
      <c r="V86">
        <f t="shared" si="5"/>
        <v>0.17600000000000002</v>
      </c>
      <c r="W86">
        <f t="shared" si="5"/>
        <v>0.214</v>
      </c>
      <c r="X86">
        <f t="shared" si="5"/>
        <v>0.251</v>
      </c>
      <c r="Y86">
        <f t="shared" si="5"/>
        <v>0.251</v>
      </c>
      <c r="Z86">
        <f t="shared" si="5"/>
        <v>0.23199999999999998</v>
      </c>
      <c r="AA86">
        <f t="shared" si="5"/>
        <v>0.217</v>
      </c>
      <c r="AB86">
        <f t="shared" si="5"/>
        <v>0.17100000000000001</v>
      </c>
      <c r="AC86">
        <f t="shared" si="5"/>
        <v>0.153</v>
      </c>
      <c r="AD86">
        <f t="shared" si="5"/>
        <v>8.8000000000000009E-2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15</v>
      </c>
      <c r="G87">
        <v>8</v>
      </c>
      <c r="H87">
        <v>30</v>
      </c>
      <c r="I87">
        <v>15.8</v>
      </c>
      <c r="J87">
        <v>16.2</v>
      </c>
      <c r="K87">
        <v>18.3</v>
      </c>
      <c r="L87">
        <v>21.5</v>
      </c>
      <c r="M87">
        <v>23.4</v>
      </c>
      <c r="N87">
        <v>19.7</v>
      </c>
      <c r="O87">
        <v>16.600000000000001</v>
      </c>
      <c r="P87">
        <v>16</v>
      </c>
      <c r="Q87">
        <v>15.9</v>
      </c>
      <c r="R87">
        <v>9.3000000000000007</v>
      </c>
      <c r="S87">
        <f t="shared" si="6"/>
        <v>54</v>
      </c>
      <c r="T87" t="s">
        <v>36</v>
      </c>
      <c r="U87">
        <f t="shared" si="7"/>
        <v>0.158</v>
      </c>
      <c r="V87">
        <f t="shared" si="5"/>
        <v>0.16200000000000001</v>
      </c>
      <c r="W87">
        <f t="shared" si="5"/>
        <v>0.183</v>
      </c>
      <c r="X87">
        <f t="shared" si="5"/>
        <v>0.215</v>
      </c>
      <c r="Y87">
        <f t="shared" si="5"/>
        <v>0.23399999999999999</v>
      </c>
      <c r="Z87">
        <f t="shared" si="5"/>
        <v>0.19699999999999998</v>
      </c>
      <c r="AA87">
        <f t="shared" si="5"/>
        <v>0.16600000000000001</v>
      </c>
      <c r="AB87">
        <f t="shared" si="5"/>
        <v>0.16</v>
      </c>
      <c r="AC87">
        <f t="shared" si="5"/>
        <v>0.159</v>
      </c>
      <c r="AD87">
        <f t="shared" si="5"/>
        <v>9.3000000000000013E-2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15</v>
      </c>
      <c r="G88">
        <v>8</v>
      </c>
      <c r="H88">
        <v>31</v>
      </c>
      <c r="I88">
        <v>22.8</v>
      </c>
      <c r="J88">
        <v>21.8</v>
      </c>
      <c r="K88">
        <v>22.3</v>
      </c>
      <c r="L88">
        <v>23.1</v>
      </c>
      <c r="M88">
        <v>23.6</v>
      </c>
      <c r="N88">
        <v>22.5</v>
      </c>
      <c r="O88">
        <v>20.5</v>
      </c>
      <c r="P88">
        <v>15</v>
      </c>
      <c r="Q88">
        <v>15.6</v>
      </c>
      <c r="R88">
        <v>9.8000000000000007</v>
      </c>
      <c r="S88">
        <f t="shared" si="6"/>
        <v>53</v>
      </c>
      <c r="T88" t="s">
        <v>88</v>
      </c>
      <c r="U88">
        <f t="shared" si="7"/>
        <v>0.22800000000000001</v>
      </c>
      <c r="V88">
        <f t="shared" si="5"/>
        <v>0.218</v>
      </c>
      <c r="W88">
        <f t="shared" si="5"/>
        <v>0.223</v>
      </c>
      <c r="X88">
        <f t="shared" si="5"/>
        <v>0.23100000000000001</v>
      </c>
      <c r="Y88">
        <f t="shared" si="5"/>
        <v>0.23600000000000002</v>
      </c>
      <c r="Z88">
        <f t="shared" si="5"/>
        <v>0.22500000000000001</v>
      </c>
      <c r="AA88">
        <f t="shared" si="5"/>
        <v>0.20499999999999999</v>
      </c>
      <c r="AB88">
        <f t="shared" si="5"/>
        <v>0.15</v>
      </c>
      <c r="AC88">
        <f t="shared" si="5"/>
        <v>0.156</v>
      </c>
      <c r="AD88">
        <f t="shared" si="5"/>
        <v>9.8000000000000004E-2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15</v>
      </c>
      <c r="G89">
        <v>8</v>
      </c>
      <c r="H89">
        <v>40</v>
      </c>
      <c r="I89">
        <v>-5</v>
      </c>
      <c r="J89">
        <v>19.2</v>
      </c>
      <c r="K89">
        <v>21.4</v>
      </c>
      <c r="L89">
        <v>25.7</v>
      </c>
      <c r="M89">
        <v>24.8</v>
      </c>
      <c r="N89">
        <v>25</v>
      </c>
      <c r="O89">
        <v>22</v>
      </c>
      <c r="P89">
        <v>17.7</v>
      </c>
      <c r="Q89">
        <v>17.3</v>
      </c>
      <c r="R89">
        <v>10.4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0.192</v>
      </c>
      <c r="W89">
        <f t="shared" si="5"/>
        <v>0.214</v>
      </c>
      <c r="X89">
        <f t="shared" si="5"/>
        <v>0.25700000000000001</v>
      </c>
      <c r="Y89">
        <f t="shared" si="5"/>
        <v>0.248</v>
      </c>
      <c r="Z89">
        <f t="shared" si="5"/>
        <v>0.25</v>
      </c>
      <c r="AA89">
        <f t="shared" si="5"/>
        <v>0.22</v>
      </c>
      <c r="AB89">
        <f t="shared" si="5"/>
        <v>0.17699999999999999</v>
      </c>
      <c r="AC89">
        <f t="shared" si="5"/>
        <v>0.17300000000000001</v>
      </c>
      <c r="AD89">
        <f t="shared" si="5"/>
        <v>0.10400000000000001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15</v>
      </c>
      <c r="G90">
        <v>8</v>
      </c>
      <c r="H90">
        <v>57</v>
      </c>
      <c r="I90">
        <v>17.100000000000001</v>
      </c>
      <c r="J90">
        <v>18.3</v>
      </c>
      <c r="K90">
        <v>23.5</v>
      </c>
      <c r="L90">
        <v>24.3</v>
      </c>
      <c r="M90">
        <v>25</v>
      </c>
      <c r="N90">
        <v>22.5</v>
      </c>
      <c r="O90">
        <v>21.1</v>
      </c>
      <c r="P90">
        <v>19.8</v>
      </c>
      <c r="Q90">
        <v>20</v>
      </c>
      <c r="R90">
        <v>13.9</v>
      </c>
      <c r="S90">
        <f t="shared" si="6"/>
        <v>51</v>
      </c>
      <c r="T90" t="s">
        <v>86</v>
      </c>
      <c r="U90">
        <f t="shared" si="7"/>
        <v>0.17100000000000001</v>
      </c>
      <c r="V90">
        <f t="shared" si="5"/>
        <v>0.183</v>
      </c>
      <c r="W90">
        <f t="shared" si="5"/>
        <v>0.23499999999999999</v>
      </c>
      <c r="X90">
        <f t="shared" si="5"/>
        <v>0.24299999999999999</v>
      </c>
      <c r="Y90">
        <f t="shared" si="5"/>
        <v>0.25</v>
      </c>
      <c r="Z90">
        <f t="shared" si="5"/>
        <v>0.22500000000000001</v>
      </c>
      <c r="AA90">
        <f t="shared" si="5"/>
        <v>0.21100000000000002</v>
      </c>
      <c r="AB90">
        <f t="shared" si="5"/>
        <v>0.19800000000000001</v>
      </c>
      <c r="AC90">
        <f t="shared" si="5"/>
        <v>0.2</v>
      </c>
      <c r="AD90">
        <f t="shared" si="5"/>
        <v>0.13900000000000001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15</v>
      </c>
      <c r="G91">
        <v>9</v>
      </c>
      <c r="H91">
        <v>4</v>
      </c>
      <c r="I91">
        <v>21.1</v>
      </c>
      <c r="J91">
        <v>20.8</v>
      </c>
      <c r="K91">
        <v>20.3</v>
      </c>
      <c r="L91">
        <v>25.4</v>
      </c>
      <c r="M91">
        <v>26</v>
      </c>
      <c r="N91">
        <v>23.4</v>
      </c>
      <c r="O91">
        <v>23.6</v>
      </c>
      <c r="P91">
        <v>20.7</v>
      </c>
      <c r="Q91">
        <v>18.899999999999999</v>
      </c>
      <c r="R91">
        <v>12.6</v>
      </c>
      <c r="S91">
        <f t="shared" si="6"/>
        <v>50</v>
      </c>
      <c r="T91" t="s">
        <v>39</v>
      </c>
      <c r="U91">
        <f t="shared" si="7"/>
        <v>0.21100000000000002</v>
      </c>
      <c r="V91">
        <f t="shared" si="5"/>
        <v>0.20800000000000002</v>
      </c>
      <c r="W91">
        <f t="shared" si="5"/>
        <v>0.20300000000000001</v>
      </c>
      <c r="X91">
        <f t="shared" si="5"/>
        <v>0.254</v>
      </c>
      <c r="Y91">
        <f t="shared" si="5"/>
        <v>0.26</v>
      </c>
      <c r="Z91">
        <f t="shared" si="5"/>
        <v>0.23399999999999999</v>
      </c>
      <c r="AA91">
        <f t="shared" si="5"/>
        <v>0.23600000000000002</v>
      </c>
      <c r="AB91">
        <f t="shared" si="5"/>
        <v>0.20699999999999999</v>
      </c>
      <c r="AC91">
        <f t="shared" si="5"/>
        <v>0.18899999999999997</v>
      </c>
      <c r="AD91">
        <f t="shared" si="5"/>
        <v>0.126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15</v>
      </c>
      <c r="G92">
        <v>9</v>
      </c>
      <c r="H92">
        <v>1</v>
      </c>
      <c r="I92">
        <v>-5</v>
      </c>
      <c r="J92">
        <v>24.1</v>
      </c>
      <c r="K92">
        <v>24.8</v>
      </c>
      <c r="L92">
        <v>26.7</v>
      </c>
      <c r="M92">
        <v>24.3</v>
      </c>
      <c r="N92">
        <v>17</v>
      </c>
      <c r="O92">
        <v>14.8</v>
      </c>
      <c r="P92">
        <v>17.3</v>
      </c>
      <c r="Q92">
        <v>16.8</v>
      </c>
      <c r="R92">
        <v>9.6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0.24100000000000002</v>
      </c>
      <c r="W92">
        <f t="shared" si="5"/>
        <v>0.248</v>
      </c>
      <c r="X92">
        <f t="shared" si="5"/>
        <v>0.26700000000000002</v>
      </c>
      <c r="Y92">
        <f t="shared" si="5"/>
        <v>0.24299999999999999</v>
      </c>
      <c r="Z92">
        <f t="shared" si="5"/>
        <v>0.17</v>
      </c>
      <c r="AA92">
        <f t="shared" si="5"/>
        <v>0.14800000000000002</v>
      </c>
      <c r="AB92">
        <f t="shared" si="5"/>
        <v>0.17300000000000001</v>
      </c>
      <c r="AC92">
        <f t="shared" si="5"/>
        <v>0.16800000000000001</v>
      </c>
      <c r="AD92">
        <f t="shared" si="5"/>
        <v>9.6000000000000002E-2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15</v>
      </c>
      <c r="G93">
        <v>9</v>
      </c>
      <c r="H93">
        <v>15</v>
      </c>
      <c r="I93">
        <v>22.8</v>
      </c>
      <c r="J93">
        <v>23.5</v>
      </c>
      <c r="K93">
        <v>25.9</v>
      </c>
      <c r="L93">
        <v>27.2</v>
      </c>
      <c r="M93">
        <v>25.2</v>
      </c>
      <c r="N93">
        <v>22.7</v>
      </c>
      <c r="O93">
        <v>17.5</v>
      </c>
      <c r="P93">
        <v>18.899999999999999</v>
      </c>
      <c r="Q93">
        <v>17.7</v>
      </c>
      <c r="R93">
        <v>11.7</v>
      </c>
      <c r="S93">
        <f t="shared" si="6"/>
        <v>48</v>
      </c>
      <c r="T93" t="s">
        <v>38</v>
      </c>
      <c r="U93">
        <f t="shared" si="7"/>
        <v>0.22800000000000001</v>
      </c>
      <c r="V93">
        <f t="shared" si="5"/>
        <v>0.23499999999999999</v>
      </c>
      <c r="W93">
        <f t="shared" si="5"/>
        <v>0.25900000000000001</v>
      </c>
      <c r="X93">
        <f t="shared" si="5"/>
        <v>0.27200000000000002</v>
      </c>
      <c r="Y93">
        <f t="shared" si="5"/>
        <v>0.252</v>
      </c>
      <c r="Z93">
        <f t="shared" si="5"/>
        <v>0.22699999999999998</v>
      </c>
      <c r="AA93">
        <f t="shared" si="5"/>
        <v>0.17499999999999999</v>
      </c>
      <c r="AB93">
        <f t="shared" si="5"/>
        <v>0.18899999999999997</v>
      </c>
      <c r="AC93">
        <f t="shared" si="5"/>
        <v>0.17699999999999999</v>
      </c>
      <c r="AD93">
        <f t="shared" si="5"/>
        <v>0.11699999999999999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15</v>
      </c>
      <c r="G94">
        <v>9</v>
      </c>
      <c r="H94">
        <v>25</v>
      </c>
      <c r="I94">
        <v>21.5</v>
      </c>
      <c r="J94">
        <v>20.7</v>
      </c>
      <c r="K94">
        <v>23.9</v>
      </c>
      <c r="L94">
        <v>25.3</v>
      </c>
      <c r="M94">
        <v>26.5</v>
      </c>
      <c r="N94">
        <v>26</v>
      </c>
      <c r="O94">
        <v>24.4</v>
      </c>
      <c r="P94">
        <v>20.2</v>
      </c>
      <c r="Q94">
        <v>20.2</v>
      </c>
      <c r="R94">
        <v>13</v>
      </c>
      <c r="S94">
        <f t="shared" si="6"/>
        <v>47</v>
      </c>
      <c r="T94" t="s">
        <v>85</v>
      </c>
      <c r="U94">
        <f t="shared" si="7"/>
        <v>0.215</v>
      </c>
      <c r="V94">
        <f t="shared" si="5"/>
        <v>0.20699999999999999</v>
      </c>
      <c r="W94">
        <f t="shared" si="5"/>
        <v>0.23899999999999999</v>
      </c>
      <c r="X94">
        <f t="shared" si="5"/>
        <v>0.253</v>
      </c>
      <c r="Y94">
        <f t="shared" si="5"/>
        <v>0.26500000000000001</v>
      </c>
      <c r="Z94">
        <f t="shared" si="5"/>
        <v>0.26</v>
      </c>
      <c r="AA94">
        <f t="shared" si="5"/>
        <v>0.24399999999999999</v>
      </c>
      <c r="AB94">
        <f t="shared" si="5"/>
        <v>0.20199999999999999</v>
      </c>
      <c r="AC94">
        <f t="shared" si="5"/>
        <v>0.20199999999999999</v>
      </c>
      <c r="AD94">
        <f t="shared" si="5"/>
        <v>0.13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15</v>
      </c>
      <c r="G95">
        <v>9</v>
      </c>
      <c r="H95">
        <v>30</v>
      </c>
      <c r="I95">
        <v>-5</v>
      </c>
      <c r="J95">
        <v>23.6</v>
      </c>
      <c r="K95">
        <v>26.3</v>
      </c>
      <c r="L95">
        <v>26.3</v>
      </c>
      <c r="M95">
        <v>26.9</v>
      </c>
      <c r="N95">
        <v>26.6</v>
      </c>
      <c r="O95">
        <v>26</v>
      </c>
      <c r="P95">
        <v>18.3</v>
      </c>
      <c r="Q95">
        <v>17.3</v>
      </c>
      <c r="R95">
        <v>11.3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0.23600000000000002</v>
      </c>
      <c r="W95">
        <f t="shared" si="5"/>
        <v>0.26300000000000001</v>
      </c>
      <c r="X95">
        <f t="shared" si="5"/>
        <v>0.26300000000000001</v>
      </c>
      <c r="Y95">
        <f t="shared" si="5"/>
        <v>0.26899999999999996</v>
      </c>
      <c r="Z95">
        <f t="shared" si="5"/>
        <v>0.26600000000000001</v>
      </c>
      <c r="AA95">
        <f t="shared" si="5"/>
        <v>0.26</v>
      </c>
      <c r="AB95">
        <f t="shared" si="5"/>
        <v>0.183</v>
      </c>
      <c r="AC95">
        <f t="shared" si="5"/>
        <v>0.17300000000000001</v>
      </c>
      <c r="AD95">
        <f t="shared" si="5"/>
        <v>0.113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15</v>
      </c>
      <c r="G96">
        <v>9</v>
      </c>
      <c r="H96">
        <v>35</v>
      </c>
      <c r="I96">
        <v>-5</v>
      </c>
      <c r="J96">
        <v>25.3</v>
      </c>
      <c r="K96">
        <v>24.7</v>
      </c>
      <c r="L96">
        <v>26.6</v>
      </c>
      <c r="M96">
        <v>25.9</v>
      </c>
      <c r="N96">
        <v>26.9</v>
      </c>
      <c r="O96">
        <v>27.5</v>
      </c>
      <c r="P96">
        <v>22.6</v>
      </c>
      <c r="Q96">
        <v>18.5</v>
      </c>
      <c r="R96">
        <v>11.8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0.253</v>
      </c>
      <c r="W96">
        <f t="shared" si="5"/>
        <v>0.247</v>
      </c>
      <c r="X96">
        <f t="shared" si="5"/>
        <v>0.26600000000000001</v>
      </c>
      <c r="Y96">
        <f t="shared" si="5"/>
        <v>0.25900000000000001</v>
      </c>
      <c r="Z96">
        <f t="shared" si="5"/>
        <v>0.26899999999999996</v>
      </c>
      <c r="AA96">
        <f t="shared" si="5"/>
        <v>0.27500000000000002</v>
      </c>
      <c r="AB96">
        <f t="shared" si="5"/>
        <v>0.22600000000000001</v>
      </c>
      <c r="AC96">
        <f t="shared" si="5"/>
        <v>0.185</v>
      </c>
      <c r="AD96">
        <f t="shared" si="5"/>
        <v>0.11800000000000001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15</v>
      </c>
      <c r="G97">
        <v>9</v>
      </c>
      <c r="H97">
        <v>31</v>
      </c>
      <c r="I97">
        <v>18</v>
      </c>
      <c r="J97">
        <v>17.7</v>
      </c>
      <c r="K97">
        <v>24.7</v>
      </c>
      <c r="L97">
        <v>28.2</v>
      </c>
      <c r="M97">
        <v>26.3</v>
      </c>
      <c r="N97">
        <v>21.5</v>
      </c>
      <c r="O97">
        <v>17.100000000000001</v>
      </c>
      <c r="P97">
        <v>14.5</v>
      </c>
      <c r="Q97">
        <v>14.3</v>
      </c>
      <c r="R97">
        <v>8.6999999999999993</v>
      </c>
      <c r="S97">
        <f t="shared" si="6"/>
        <v>44</v>
      </c>
      <c r="T97" t="s">
        <v>83</v>
      </c>
      <c r="U97">
        <f t="shared" si="7"/>
        <v>0.18</v>
      </c>
      <c r="V97">
        <f t="shared" si="5"/>
        <v>0.17699999999999999</v>
      </c>
      <c r="W97">
        <f t="shared" si="5"/>
        <v>0.247</v>
      </c>
      <c r="X97">
        <f t="shared" si="5"/>
        <v>0.28199999999999997</v>
      </c>
      <c r="Y97">
        <f t="shared" si="5"/>
        <v>0.26300000000000001</v>
      </c>
      <c r="Z97">
        <f t="shared" si="5"/>
        <v>0.215</v>
      </c>
      <c r="AA97">
        <f t="shared" si="5"/>
        <v>0.17100000000000001</v>
      </c>
      <c r="AB97">
        <f t="shared" si="5"/>
        <v>0.14499999999999999</v>
      </c>
      <c r="AC97">
        <f t="shared" si="5"/>
        <v>0.14300000000000002</v>
      </c>
      <c r="AD97">
        <f t="shared" si="5"/>
        <v>8.6999999999999994E-2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15</v>
      </c>
      <c r="G98">
        <v>9</v>
      </c>
      <c r="H98">
        <v>44</v>
      </c>
      <c r="I98">
        <v>17.3</v>
      </c>
      <c r="J98">
        <v>17.5</v>
      </c>
      <c r="K98">
        <v>17.600000000000001</v>
      </c>
      <c r="L98">
        <v>21.8</v>
      </c>
      <c r="M98">
        <v>27</v>
      </c>
      <c r="N98">
        <v>24.1</v>
      </c>
      <c r="O98">
        <v>21</v>
      </c>
      <c r="P98">
        <v>16.3</v>
      </c>
      <c r="Q98">
        <v>15.1</v>
      </c>
      <c r="R98">
        <v>8.8000000000000007</v>
      </c>
      <c r="S98">
        <f t="shared" si="6"/>
        <v>43</v>
      </c>
      <c r="T98" t="s">
        <v>82</v>
      </c>
      <c r="U98">
        <f t="shared" si="7"/>
        <v>0.17300000000000001</v>
      </c>
      <c r="V98">
        <f t="shared" si="5"/>
        <v>0.17499999999999999</v>
      </c>
      <c r="W98">
        <f t="shared" si="5"/>
        <v>0.17600000000000002</v>
      </c>
      <c r="X98">
        <f t="shared" si="5"/>
        <v>0.218</v>
      </c>
      <c r="Y98">
        <f t="shared" si="5"/>
        <v>0.27</v>
      </c>
      <c r="Z98">
        <f t="shared" si="5"/>
        <v>0.24100000000000002</v>
      </c>
      <c r="AA98">
        <f t="shared" si="5"/>
        <v>0.21</v>
      </c>
      <c r="AB98">
        <f t="shared" si="5"/>
        <v>0.16300000000000001</v>
      </c>
      <c r="AC98">
        <f t="shared" si="5"/>
        <v>0.151</v>
      </c>
      <c r="AD98">
        <f t="shared" si="5"/>
        <v>8.8000000000000009E-2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15</v>
      </c>
      <c r="G99">
        <v>9</v>
      </c>
      <c r="H99">
        <v>51</v>
      </c>
      <c r="I99">
        <v>-5</v>
      </c>
      <c r="J99">
        <v>23.4</v>
      </c>
      <c r="K99">
        <v>17.399999999999999</v>
      </c>
      <c r="L99">
        <v>17.100000000000001</v>
      </c>
      <c r="M99">
        <v>14.4</v>
      </c>
      <c r="N99">
        <v>13.3</v>
      </c>
      <c r="O99">
        <v>13</v>
      </c>
      <c r="P99">
        <v>13.4</v>
      </c>
      <c r="Q99">
        <v>14.6</v>
      </c>
      <c r="R99">
        <v>8.5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0.23399999999999999</v>
      </c>
      <c r="W99">
        <f t="shared" si="5"/>
        <v>0.17399999999999999</v>
      </c>
      <c r="X99">
        <f t="shared" si="5"/>
        <v>0.17100000000000001</v>
      </c>
      <c r="Y99">
        <f t="shared" si="5"/>
        <v>0.14400000000000002</v>
      </c>
      <c r="Z99">
        <f t="shared" si="5"/>
        <v>0.13300000000000001</v>
      </c>
      <c r="AA99">
        <f t="shared" si="5"/>
        <v>0.13</v>
      </c>
      <c r="AB99">
        <f t="shared" si="5"/>
        <v>0.13400000000000001</v>
      </c>
      <c r="AC99">
        <f t="shared" si="5"/>
        <v>0.14599999999999999</v>
      </c>
      <c r="AD99">
        <f t="shared" si="5"/>
        <v>8.5000000000000006E-2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15</v>
      </c>
      <c r="G100">
        <v>9</v>
      </c>
      <c r="H100">
        <v>56</v>
      </c>
      <c r="I100">
        <v>25.8</v>
      </c>
      <c r="J100">
        <v>24</v>
      </c>
      <c r="K100">
        <v>18.899999999999999</v>
      </c>
      <c r="L100">
        <v>17.5</v>
      </c>
      <c r="M100">
        <v>17.399999999999999</v>
      </c>
      <c r="N100">
        <v>17.100000000000001</v>
      </c>
      <c r="O100">
        <v>15.4</v>
      </c>
      <c r="P100">
        <v>13.7</v>
      </c>
      <c r="Q100">
        <v>14.3</v>
      </c>
      <c r="R100">
        <v>8.6</v>
      </c>
      <c r="S100">
        <f t="shared" si="6"/>
        <v>41</v>
      </c>
      <c r="T100" t="s">
        <v>43</v>
      </c>
      <c r="U100">
        <f t="shared" si="7"/>
        <v>0.25800000000000001</v>
      </c>
      <c r="V100">
        <f t="shared" si="5"/>
        <v>0.24</v>
      </c>
      <c r="W100">
        <f t="shared" si="5"/>
        <v>0.18899999999999997</v>
      </c>
      <c r="X100">
        <f t="shared" si="5"/>
        <v>0.17499999999999999</v>
      </c>
      <c r="Y100">
        <f t="shared" si="5"/>
        <v>0.17399999999999999</v>
      </c>
      <c r="Z100">
        <f t="shared" si="5"/>
        <v>0.17100000000000001</v>
      </c>
      <c r="AA100">
        <f t="shared" si="5"/>
        <v>0.154</v>
      </c>
      <c r="AB100">
        <f t="shared" si="5"/>
        <v>0.13699999999999998</v>
      </c>
      <c r="AC100">
        <f t="shared" si="5"/>
        <v>0.14300000000000002</v>
      </c>
      <c r="AD100">
        <f t="shared" si="5"/>
        <v>8.5999999999999993E-2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15</v>
      </c>
      <c r="G101">
        <v>10</v>
      </c>
      <c r="H101">
        <v>2</v>
      </c>
      <c r="I101">
        <v>-5</v>
      </c>
      <c r="J101">
        <v>24.1</v>
      </c>
      <c r="K101">
        <v>25.4</v>
      </c>
      <c r="L101">
        <v>21.3</v>
      </c>
      <c r="M101">
        <v>19.5</v>
      </c>
      <c r="N101">
        <v>21.2</v>
      </c>
      <c r="O101">
        <v>24</v>
      </c>
      <c r="P101">
        <v>20.7</v>
      </c>
      <c r="Q101">
        <v>17.2</v>
      </c>
      <c r="R101">
        <v>11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0.24100000000000002</v>
      </c>
      <c r="W101">
        <f t="shared" si="5"/>
        <v>0.254</v>
      </c>
      <c r="X101">
        <f t="shared" si="5"/>
        <v>0.21299999999999999</v>
      </c>
      <c r="Y101">
        <f t="shared" si="5"/>
        <v>0.19500000000000001</v>
      </c>
      <c r="Z101">
        <f t="shared" si="5"/>
        <v>0.21199999999999999</v>
      </c>
      <c r="AA101">
        <f t="shared" si="5"/>
        <v>0.24</v>
      </c>
      <c r="AB101">
        <f t="shared" si="5"/>
        <v>0.20699999999999999</v>
      </c>
      <c r="AC101">
        <f t="shared" si="5"/>
        <v>0.17199999999999999</v>
      </c>
      <c r="AD101">
        <f t="shared" si="5"/>
        <v>0.11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15</v>
      </c>
      <c r="G102">
        <v>10</v>
      </c>
      <c r="H102">
        <v>7</v>
      </c>
      <c r="I102">
        <v>-5</v>
      </c>
      <c r="J102">
        <v>20.399999999999999</v>
      </c>
      <c r="K102">
        <v>22.4</v>
      </c>
      <c r="L102">
        <v>22.5</v>
      </c>
      <c r="M102">
        <v>23.6</v>
      </c>
      <c r="N102">
        <v>21.4</v>
      </c>
      <c r="O102">
        <v>19.3</v>
      </c>
      <c r="P102">
        <v>16.3</v>
      </c>
      <c r="Q102">
        <v>18.8</v>
      </c>
      <c r="R102">
        <v>12.7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0.20399999999999999</v>
      </c>
      <c r="W102">
        <f t="shared" si="5"/>
        <v>0.22399999999999998</v>
      </c>
      <c r="X102">
        <f t="shared" si="5"/>
        <v>0.22500000000000001</v>
      </c>
      <c r="Y102">
        <f t="shared" si="5"/>
        <v>0.23600000000000002</v>
      </c>
      <c r="Z102">
        <f t="shared" si="5"/>
        <v>0.214</v>
      </c>
      <c r="AA102">
        <f t="shared" si="5"/>
        <v>0.193</v>
      </c>
      <c r="AB102">
        <f t="shared" si="5"/>
        <v>0.16300000000000001</v>
      </c>
      <c r="AC102">
        <f t="shared" si="5"/>
        <v>0.188</v>
      </c>
      <c r="AD102">
        <f t="shared" si="5"/>
        <v>0.127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15</v>
      </c>
      <c r="G103">
        <v>10</v>
      </c>
      <c r="H103">
        <v>12</v>
      </c>
      <c r="I103">
        <v>-5</v>
      </c>
      <c r="J103">
        <v>25.2</v>
      </c>
      <c r="K103">
        <v>25.6</v>
      </c>
      <c r="L103">
        <v>25.6</v>
      </c>
      <c r="M103">
        <v>24.6</v>
      </c>
      <c r="N103">
        <v>25.6</v>
      </c>
      <c r="O103">
        <v>22.5</v>
      </c>
      <c r="P103">
        <v>18.5</v>
      </c>
      <c r="Q103">
        <v>18.3</v>
      </c>
      <c r="R103">
        <v>12.9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0.252</v>
      </c>
      <c r="W103">
        <f t="shared" si="5"/>
        <v>0.25600000000000001</v>
      </c>
      <c r="X103">
        <f t="shared" si="5"/>
        <v>0.25600000000000001</v>
      </c>
      <c r="Y103">
        <f t="shared" ref="Y103:AD104" si="8">IF(M103&lt;0,"",M103/100)</f>
        <v>0.24600000000000002</v>
      </c>
      <c r="Z103">
        <f t="shared" si="8"/>
        <v>0.25600000000000001</v>
      </c>
      <c r="AA103">
        <f t="shared" si="8"/>
        <v>0.22500000000000001</v>
      </c>
      <c r="AB103">
        <f t="shared" si="8"/>
        <v>0.185</v>
      </c>
      <c r="AC103">
        <f t="shared" si="8"/>
        <v>0.183</v>
      </c>
      <c r="AD103">
        <f t="shared" si="8"/>
        <v>0.129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15</v>
      </c>
      <c r="G104">
        <v>10</v>
      </c>
      <c r="H104">
        <v>16</v>
      </c>
      <c r="I104">
        <v>-5</v>
      </c>
      <c r="J104">
        <v>24.2</v>
      </c>
      <c r="K104">
        <v>22.6</v>
      </c>
      <c r="L104">
        <v>19.5</v>
      </c>
      <c r="M104">
        <v>17.600000000000001</v>
      </c>
      <c r="N104">
        <v>17.100000000000001</v>
      </c>
      <c r="O104">
        <v>16.5</v>
      </c>
      <c r="P104">
        <v>19.100000000000001</v>
      </c>
      <c r="Q104">
        <v>18.5</v>
      </c>
      <c r="R104">
        <v>11.4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0.24199999999999999</v>
      </c>
      <c r="W104">
        <f t="shared" si="7"/>
        <v>0.22600000000000001</v>
      </c>
      <c r="X104">
        <f t="shared" si="7"/>
        <v>0.19500000000000001</v>
      </c>
      <c r="Y104">
        <f t="shared" si="8"/>
        <v>0.17600000000000002</v>
      </c>
      <c r="Z104">
        <f t="shared" si="8"/>
        <v>0.17100000000000001</v>
      </c>
      <c r="AA104">
        <f t="shared" si="8"/>
        <v>0.16500000000000001</v>
      </c>
      <c r="AB104">
        <f t="shared" si="8"/>
        <v>0.191</v>
      </c>
      <c r="AC104">
        <f t="shared" si="8"/>
        <v>0.185</v>
      </c>
      <c r="AD104">
        <f t="shared" si="8"/>
        <v>0.114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41841</v>
      </c>
    </row>
    <row r="2" spans="1:7" x14ac:dyDescent="0.25">
      <c r="A2" t="s">
        <v>3</v>
      </c>
      <c r="B2">
        <v>6114</v>
      </c>
      <c r="C2" t="s">
        <v>4</v>
      </c>
      <c r="D2">
        <v>10045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7</v>
      </c>
      <c r="F19">
        <v>21</v>
      </c>
      <c r="G19">
        <v>12</v>
      </c>
      <c r="H19">
        <v>1</v>
      </c>
      <c r="I19">
        <v>10.9</v>
      </c>
      <c r="J19">
        <v>12.6</v>
      </c>
      <c r="K19">
        <v>13.6</v>
      </c>
      <c r="L19">
        <v>15.8</v>
      </c>
      <c r="M19">
        <v>17.3</v>
      </c>
      <c r="N19">
        <v>18.7</v>
      </c>
      <c r="O19">
        <v>19.3</v>
      </c>
      <c r="P19">
        <v>17.899999999999999</v>
      </c>
      <c r="Q19">
        <v>16.3</v>
      </c>
      <c r="R19">
        <v>5.8</v>
      </c>
      <c r="S19">
        <f>B19</f>
        <v>1</v>
      </c>
      <c r="T19" t="s">
        <v>51</v>
      </c>
      <c r="U19">
        <f>IF(I19&lt;0,"",I19/100)</f>
        <v>0.109</v>
      </c>
      <c r="V19">
        <f t="shared" ref="V19:AD47" si="0">IF(J19&lt;0,"",J19/100)</f>
        <v>0.126</v>
      </c>
      <c r="W19">
        <f t="shared" si="0"/>
        <v>0.13600000000000001</v>
      </c>
      <c r="X19">
        <f t="shared" si="0"/>
        <v>0.158</v>
      </c>
      <c r="Y19">
        <f t="shared" si="0"/>
        <v>0.17300000000000001</v>
      </c>
      <c r="Z19">
        <f t="shared" si="0"/>
        <v>0.187</v>
      </c>
      <c r="AA19">
        <f t="shared" si="0"/>
        <v>0.193</v>
      </c>
      <c r="AB19">
        <f t="shared" si="0"/>
        <v>0.17899999999999999</v>
      </c>
      <c r="AC19">
        <f t="shared" si="0"/>
        <v>0.16300000000000001</v>
      </c>
      <c r="AD19">
        <f t="shared" si="0"/>
        <v>5.7999999999999996E-2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7</v>
      </c>
      <c r="F20">
        <v>21</v>
      </c>
      <c r="G20">
        <v>12</v>
      </c>
      <c r="H20">
        <v>13</v>
      </c>
      <c r="I20">
        <v>22.3</v>
      </c>
      <c r="J20">
        <v>14.3</v>
      </c>
      <c r="K20">
        <v>12.2</v>
      </c>
      <c r="L20">
        <v>14.9</v>
      </c>
      <c r="M20">
        <v>16.100000000000001</v>
      </c>
      <c r="N20">
        <v>16.600000000000001</v>
      </c>
      <c r="O20">
        <v>17.600000000000001</v>
      </c>
      <c r="P20">
        <v>18.899999999999999</v>
      </c>
      <c r="Q20">
        <v>15.8</v>
      </c>
      <c r="R20">
        <v>7</v>
      </c>
      <c r="S20">
        <f t="shared" ref="S20:S54" si="1">B20</f>
        <v>2</v>
      </c>
      <c r="T20" t="s">
        <v>55</v>
      </c>
      <c r="U20">
        <f t="shared" ref="U20:X48" si="2">IF(I20&lt;0,"",I20/100)</f>
        <v>0.223</v>
      </c>
      <c r="V20">
        <f t="shared" si="0"/>
        <v>0.14300000000000002</v>
      </c>
      <c r="W20">
        <f t="shared" si="0"/>
        <v>0.122</v>
      </c>
      <c r="X20">
        <f t="shared" si="0"/>
        <v>0.14899999999999999</v>
      </c>
      <c r="Y20">
        <f t="shared" si="0"/>
        <v>0.161</v>
      </c>
      <c r="Z20">
        <f t="shared" si="0"/>
        <v>0.16600000000000001</v>
      </c>
      <c r="AA20">
        <f t="shared" si="0"/>
        <v>0.17600000000000002</v>
      </c>
      <c r="AB20">
        <f t="shared" si="0"/>
        <v>0.18899999999999997</v>
      </c>
      <c r="AC20">
        <f t="shared" si="0"/>
        <v>0.158</v>
      </c>
      <c r="AD20">
        <f t="shared" si="0"/>
        <v>7.0000000000000007E-2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7</v>
      </c>
      <c r="F21">
        <v>21</v>
      </c>
      <c r="G21">
        <v>12</v>
      </c>
      <c r="H21">
        <v>10</v>
      </c>
      <c r="I21">
        <v>13</v>
      </c>
      <c r="J21">
        <v>17.8</v>
      </c>
      <c r="K21">
        <v>20.7</v>
      </c>
      <c r="L21">
        <v>21</v>
      </c>
      <c r="M21">
        <v>19.899999999999999</v>
      </c>
      <c r="N21">
        <v>17.3</v>
      </c>
      <c r="O21">
        <v>17.7</v>
      </c>
      <c r="P21">
        <v>18.8</v>
      </c>
      <c r="Q21">
        <v>18</v>
      </c>
      <c r="R21">
        <v>7.2</v>
      </c>
      <c r="S21">
        <f t="shared" si="1"/>
        <v>3</v>
      </c>
      <c r="T21" t="s">
        <v>56</v>
      </c>
      <c r="U21">
        <f t="shared" si="2"/>
        <v>0.13</v>
      </c>
      <c r="V21">
        <f t="shared" si="0"/>
        <v>0.17800000000000002</v>
      </c>
      <c r="W21">
        <f t="shared" si="0"/>
        <v>0.20699999999999999</v>
      </c>
      <c r="X21">
        <f t="shared" si="0"/>
        <v>0.21</v>
      </c>
      <c r="Y21">
        <f t="shared" si="0"/>
        <v>0.19899999999999998</v>
      </c>
      <c r="Z21">
        <f t="shared" si="0"/>
        <v>0.17300000000000001</v>
      </c>
      <c r="AA21">
        <f t="shared" si="0"/>
        <v>0.17699999999999999</v>
      </c>
      <c r="AB21">
        <f t="shared" si="0"/>
        <v>0.188</v>
      </c>
      <c r="AC21">
        <f t="shared" si="0"/>
        <v>0.18</v>
      </c>
      <c r="AD21">
        <f t="shared" si="0"/>
        <v>7.2000000000000008E-2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7</v>
      </c>
      <c r="F22">
        <v>21</v>
      </c>
      <c r="G22">
        <v>12</v>
      </c>
      <c r="H22">
        <v>23</v>
      </c>
      <c r="I22">
        <v>14</v>
      </c>
      <c r="J22">
        <v>13.7</v>
      </c>
      <c r="K22">
        <v>15.9</v>
      </c>
      <c r="L22">
        <v>18.399999999999999</v>
      </c>
      <c r="M22">
        <v>18.600000000000001</v>
      </c>
      <c r="N22">
        <v>20.5</v>
      </c>
      <c r="O22">
        <v>20.3</v>
      </c>
      <c r="P22">
        <v>17</v>
      </c>
      <c r="Q22">
        <v>15.7</v>
      </c>
      <c r="R22">
        <v>6.6</v>
      </c>
      <c r="S22">
        <f t="shared" si="1"/>
        <v>4</v>
      </c>
      <c r="T22" t="s">
        <v>57</v>
      </c>
      <c r="U22">
        <f t="shared" si="2"/>
        <v>0.14000000000000001</v>
      </c>
      <c r="V22">
        <f t="shared" si="0"/>
        <v>0.13699999999999998</v>
      </c>
      <c r="W22">
        <f t="shared" si="0"/>
        <v>0.159</v>
      </c>
      <c r="X22">
        <f t="shared" si="0"/>
        <v>0.184</v>
      </c>
      <c r="Y22">
        <f t="shared" si="0"/>
        <v>0.18600000000000003</v>
      </c>
      <c r="Z22">
        <f t="shared" si="0"/>
        <v>0.20499999999999999</v>
      </c>
      <c r="AA22">
        <f t="shared" si="0"/>
        <v>0.20300000000000001</v>
      </c>
      <c r="AB22">
        <f t="shared" si="0"/>
        <v>0.17</v>
      </c>
      <c r="AC22">
        <f t="shared" si="0"/>
        <v>0.157</v>
      </c>
      <c r="AD22">
        <f t="shared" si="0"/>
        <v>6.6000000000000003E-2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7</v>
      </c>
      <c r="F23">
        <v>21</v>
      </c>
      <c r="G23">
        <v>12</v>
      </c>
      <c r="H23">
        <v>20</v>
      </c>
      <c r="I23">
        <v>-5.9</v>
      </c>
      <c r="J23">
        <v>24</v>
      </c>
      <c r="K23">
        <v>18.3</v>
      </c>
      <c r="L23">
        <v>24.1</v>
      </c>
      <c r="M23">
        <v>20.6</v>
      </c>
      <c r="N23">
        <v>21.8</v>
      </c>
      <c r="O23">
        <v>19.7</v>
      </c>
      <c r="P23">
        <v>20.399999999999999</v>
      </c>
      <c r="Q23">
        <v>20</v>
      </c>
      <c r="R23">
        <v>8.4</v>
      </c>
      <c r="S23">
        <f t="shared" si="1"/>
        <v>5</v>
      </c>
      <c r="T23" t="s">
        <v>58</v>
      </c>
      <c r="U23" t="str">
        <f t="shared" si="2"/>
        <v/>
      </c>
      <c r="V23">
        <f t="shared" si="0"/>
        <v>0.24</v>
      </c>
      <c r="W23">
        <f t="shared" si="0"/>
        <v>0.183</v>
      </c>
      <c r="X23">
        <f t="shared" si="0"/>
        <v>0.24100000000000002</v>
      </c>
      <c r="Y23">
        <f t="shared" si="0"/>
        <v>0.20600000000000002</v>
      </c>
      <c r="Z23">
        <f t="shared" si="0"/>
        <v>0.218</v>
      </c>
      <c r="AA23">
        <f t="shared" si="0"/>
        <v>0.19699999999999998</v>
      </c>
      <c r="AB23">
        <f t="shared" si="0"/>
        <v>0.20399999999999999</v>
      </c>
      <c r="AC23">
        <f t="shared" si="0"/>
        <v>0.2</v>
      </c>
      <c r="AD23">
        <f t="shared" si="0"/>
        <v>8.4000000000000005E-2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7</v>
      </c>
      <c r="F24">
        <v>21</v>
      </c>
      <c r="G24">
        <v>12</v>
      </c>
      <c r="H24">
        <v>32</v>
      </c>
      <c r="I24">
        <v>-5.9</v>
      </c>
      <c r="J24">
        <v>19.5</v>
      </c>
      <c r="K24">
        <v>19.600000000000001</v>
      </c>
      <c r="L24">
        <v>20.2</v>
      </c>
      <c r="M24">
        <v>21</v>
      </c>
      <c r="N24">
        <v>20.9</v>
      </c>
      <c r="O24">
        <v>20</v>
      </c>
      <c r="P24">
        <v>21.3</v>
      </c>
      <c r="Q24">
        <v>16.600000000000001</v>
      </c>
      <c r="R24">
        <v>5.6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0.19500000000000001</v>
      </c>
      <c r="W24">
        <f t="shared" si="0"/>
        <v>0.19600000000000001</v>
      </c>
      <c r="X24">
        <f t="shared" si="0"/>
        <v>0.20199999999999999</v>
      </c>
      <c r="Y24">
        <f t="shared" si="0"/>
        <v>0.21</v>
      </c>
      <c r="Z24">
        <f t="shared" si="0"/>
        <v>0.20899999999999999</v>
      </c>
      <c r="AA24">
        <f t="shared" si="0"/>
        <v>0.2</v>
      </c>
      <c r="AB24">
        <f t="shared" si="0"/>
        <v>0.21299999999999999</v>
      </c>
      <c r="AC24">
        <f t="shared" si="0"/>
        <v>0.16600000000000001</v>
      </c>
      <c r="AD24">
        <f t="shared" si="0"/>
        <v>5.5999999999999994E-2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7</v>
      </c>
      <c r="F25">
        <v>21</v>
      </c>
      <c r="G25">
        <v>12</v>
      </c>
      <c r="H25">
        <v>37</v>
      </c>
      <c r="I25">
        <v>-5.9</v>
      </c>
      <c r="J25">
        <v>-5.9</v>
      </c>
      <c r="K25">
        <v>27.9</v>
      </c>
      <c r="L25">
        <v>28.8</v>
      </c>
      <c r="M25">
        <v>20.7</v>
      </c>
      <c r="N25">
        <v>21</v>
      </c>
      <c r="O25">
        <v>22.7</v>
      </c>
      <c r="P25">
        <v>20.7</v>
      </c>
      <c r="Q25">
        <v>19.3</v>
      </c>
      <c r="R25">
        <v>9.6999999999999993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0.27899999999999997</v>
      </c>
      <c r="X25">
        <f t="shared" si="0"/>
        <v>0.28800000000000003</v>
      </c>
      <c r="Y25">
        <f t="shared" si="0"/>
        <v>0.20699999999999999</v>
      </c>
      <c r="Z25">
        <f t="shared" si="0"/>
        <v>0.21</v>
      </c>
      <c r="AA25">
        <f t="shared" si="0"/>
        <v>0.22699999999999998</v>
      </c>
      <c r="AB25">
        <f t="shared" si="0"/>
        <v>0.20699999999999999</v>
      </c>
      <c r="AC25">
        <f t="shared" si="0"/>
        <v>0.193</v>
      </c>
      <c r="AD25">
        <f t="shared" si="0"/>
        <v>9.6999999999999989E-2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7</v>
      </c>
      <c r="F26">
        <v>21</v>
      </c>
      <c r="G26">
        <v>12</v>
      </c>
      <c r="H26">
        <v>41</v>
      </c>
      <c r="I26">
        <v>-5.9</v>
      </c>
      <c r="J26">
        <v>31.8</v>
      </c>
      <c r="K26">
        <v>25.4</v>
      </c>
      <c r="L26">
        <v>19.7</v>
      </c>
      <c r="M26">
        <v>21.9</v>
      </c>
      <c r="N26">
        <v>22</v>
      </c>
      <c r="O26">
        <v>21.1</v>
      </c>
      <c r="P26">
        <v>24.6</v>
      </c>
      <c r="Q26">
        <v>20.6</v>
      </c>
      <c r="R26">
        <v>8.6999999999999993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0.318</v>
      </c>
      <c r="W26">
        <f t="shared" si="0"/>
        <v>0.254</v>
      </c>
      <c r="X26">
        <f t="shared" si="0"/>
        <v>0.19699999999999998</v>
      </c>
      <c r="Y26">
        <f t="shared" si="0"/>
        <v>0.21899999999999997</v>
      </c>
      <c r="Z26">
        <f t="shared" si="0"/>
        <v>0.22</v>
      </c>
      <c r="AA26">
        <f t="shared" si="0"/>
        <v>0.21100000000000002</v>
      </c>
      <c r="AB26">
        <f t="shared" si="0"/>
        <v>0.24600000000000002</v>
      </c>
      <c r="AC26">
        <f t="shared" si="0"/>
        <v>0.20600000000000002</v>
      </c>
      <c r="AD26">
        <f t="shared" si="0"/>
        <v>8.6999999999999994E-2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7</v>
      </c>
      <c r="F27">
        <v>21</v>
      </c>
      <c r="G27">
        <v>12</v>
      </c>
      <c r="H27">
        <v>45</v>
      </c>
      <c r="I27">
        <v>17.5</v>
      </c>
      <c r="J27">
        <v>16.100000000000001</v>
      </c>
      <c r="K27">
        <v>16.8</v>
      </c>
      <c r="L27">
        <v>21.3</v>
      </c>
      <c r="M27">
        <v>23.9</v>
      </c>
      <c r="N27">
        <v>24.2</v>
      </c>
      <c r="O27">
        <v>25.8</v>
      </c>
      <c r="P27">
        <v>19.100000000000001</v>
      </c>
      <c r="Q27">
        <v>17.2</v>
      </c>
      <c r="R27">
        <v>9.1999999999999993</v>
      </c>
      <c r="S27">
        <f t="shared" si="1"/>
        <v>9</v>
      </c>
      <c r="T27" t="s">
        <v>63</v>
      </c>
      <c r="U27">
        <f t="shared" si="2"/>
        <v>0.17499999999999999</v>
      </c>
      <c r="V27">
        <f t="shared" si="0"/>
        <v>0.161</v>
      </c>
      <c r="W27">
        <f t="shared" si="0"/>
        <v>0.16800000000000001</v>
      </c>
      <c r="X27">
        <f t="shared" si="0"/>
        <v>0.21299999999999999</v>
      </c>
      <c r="Y27">
        <f t="shared" si="0"/>
        <v>0.23899999999999999</v>
      </c>
      <c r="Z27">
        <f t="shared" si="0"/>
        <v>0.24199999999999999</v>
      </c>
      <c r="AA27">
        <f t="shared" si="0"/>
        <v>0.25800000000000001</v>
      </c>
      <c r="AB27">
        <f t="shared" si="0"/>
        <v>0.191</v>
      </c>
      <c r="AC27">
        <f t="shared" si="0"/>
        <v>0.17199999999999999</v>
      </c>
      <c r="AD27">
        <f t="shared" si="0"/>
        <v>9.1999999999999998E-2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7</v>
      </c>
      <c r="F28">
        <v>21</v>
      </c>
      <c r="G28">
        <v>12</v>
      </c>
      <c r="H28">
        <v>50</v>
      </c>
      <c r="I28">
        <v>17.2</v>
      </c>
      <c r="J28">
        <v>14.5</v>
      </c>
      <c r="K28">
        <v>16.399999999999999</v>
      </c>
      <c r="L28">
        <v>19.600000000000001</v>
      </c>
      <c r="M28">
        <v>23.3</v>
      </c>
      <c r="N28">
        <v>23.2</v>
      </c>
      <c r="O28">
        <v>21.9</v>
      </c>
      <c r="P28">
        <v>23.3</v>
      </c>
      <c r="Q28">
        <v>19.899999999999999</v>
      </c>
      <c r="R28">
        <v>9.5</v>
      </c>
      <c r="S28">
        <f t="shared" si="1"/>
        <v>10</v>
      </c>
      <c r="T28" t="s">
        <v>62</v>
      </c>
      <c r="U28">
        <f t="shared" si="2"/>
        <v>0.17199999999999999</v>
      </c>
      <c r="V28">
        <f t="shared" si="0"/>
        <v>0.14499999999999999</v>
      </c>
      <c r="W28">
        <f t="shared" si="0"/>
        <v>0.16399999999999998</v>
      </c>
      <c r="X28">
        <f t="shared" si="0"/>
        <v>0.19600000000000001</v>
      </c>
      <c r="Y28">
        <f t="shared" si="0"/>
        <v>0.23300000000000001</v>
      </c>
      <c r="Z28">
        <f t="shared" si="0"/>
        <v>0.23199999999999998</v>
      </c>
      <c r="AA28">
        <f t="shared" si="0"/>
        <v>0.21899999999999997</v>
      </c>
      <c r="AB28">
        <f t="shared" si="0"/>
        <v>0.23300000000000001</v>
      </c>
      <c r="AC28">
        <f t="shared" si="0"/>
        <v>0.19899999999999998</v>
      </c>
      <c r="AD28">
        <f t="shared" si="0"/>
        <v>9.5000000000000001E-2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7</v>
      </c>
      <c r="F29">
        <v>21</v>
      </c>
      <c r="G29">
        <v>12</v>
      </c>
      <c r="H29">
        <v>54</v>
      </c>
      <c r="I29">
        <v>15.2</v>
      </c>
      <c r="J29">
        <v>17.7</v>
      </c>
      <c r="K29">
        <v>19.100000000000001</v>
      </c>
      <c r="L29">
        <v>21.4</v>
      </c>
      <c r="M29">
        <v>24.3</v>
      </c>
      <c r="N29">
        <v>26.8</v>
      </c>
      <c r="O29">
        <v>25.3</v>
      </c>
      <c r="P29">
        <v>24.2</v>
      </c>
      <c r="Q29">
        <v>18.399999999999999</v>
      </c>
      <c r="R29">
        <v>10</v>
      </c>
      <c r="S29">
        <f t="shared" si="1"/>
        <v>11</v>
      </c>
      <c r="T29" t="s">
        <v>52</v>
      </c>
      <c r="U29">
        <f t="shared" si="2"/>
        <v>0.152</v>
      </c>
      <c r="V29">
        <f t="shared" si="0"/>
        <v>0.17699999999999999</v>
      </c>
      <c r="W29">
        <f t="shared" si="0"/>
        <v>0.191</v>
      </c>
      <c r="X29">
        <f t="shared" si="0"/>
        <v>0.214</v>
      </c>
      <c r="Y29">
        <f t="shared" si="0"/>
        <v>0.24299999999999999</v>
      </c>
      <c r="Z29">
        <f t="shared" si="0"/>
        <v>0.26800000000000002</v>
      </c>
      <c r="AA29">
        <f t="shared" si="0"/>
        <v>0.253</v>
      </c>
      <c r="AB29">
        <f t="shared" si="0"/>
        <v>0.24199999999999999</v>
      </c>
      <c r="AC29">
        <f t="shared" si="0"/>
        <v>0.184</v>
      </c>
      <c r="AD29">
        <f t="shared" si="0"/>
        <v>0.1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7</v>
      </c>
      <c r="F30">
        <v>21</v>
      </c>
      <c r="G30">
        <v>12</v>
      </c>
      <c r="H30">
        <v>51</v>
      </c>
      <c r="I30">
        <v>23.2</v>
      </c>
      <c r="J30">
        <v>14.4</v>
      </c>
      <c r="K30">
        <v>17.899999999999999</v>
      </c>
      <c r="L30">
        <v>26.5</v>
      </c>
      <c r="M30">
        <v>24.7</v>
      </c>
      <c r="N30">
        <v>24</v>
      </c>
      <c r="O30">
        <v>24.3</v>
      </c>
      <c r="P30">
        <v>20.399999999999999</v>
      </c>
      <c r="Q30">
        <v>17</v>
      </c>
      <c r="R30">
        <v>9</v>
      </c>
      <c r="S30">
        <f t="shared" si="1"/>
        <v>12</v>
      </c>
      <c r="T30" t="s">
        <v>64</v>
      </c>
      <c r="U30">
        <f t="shared" si="2"/>
        <v>0.23199999999999998</v>
      </c>
      <c r="V30">
        <f t="shared" si="0"/>
        <v>0.14400000000000002</v>
      </c>
      <c r="W30">
        <f t="shared" si="0"/>
        <v>0.17899999999999999</v>
      </c>
      <c r="X30">
        <f t="shared" si="0"/>
        <v>0.26500000000000001</v>
      </c>
      <c r="Y30">
        <f t="shared" si="0"/>
        <v>0.247</v>
      </c>
      <c r="Z30">
        <f t="shared" si="0"/>
        <v>0.24</v>
      </c>
      <c r="AA30">
        <f t="shared" si="0"/>
        <v>0.24299999999999999</v>
      </c>
      <c r="AB30">
        <f t="shared" si="0"/>
        <v>0.20399999999999999</v>
      </c>
      <c r="AC30">
        <f t="shared" si="0"/>
        <v>0.17</v>
      </c>
      <c r="AD30">
        <f t="shared" si="0"/>
        <v>0.09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7</v>
      </c>
      <c r="F31">
        <v>21</v>
      </c>
      <c r="G31">
        <v>13</v>
      </c>
      <c r="H31">
        <v>16</v>
      </c>
      <c r="I31">
        <v>20.6</v>
      </c>
      <c r="J31">
        <v>17.100000000000001</v>
      </c>
      <c r="K31">
        <v>22.2</v>
      </c>
      <c r="L31">
        <v>23.1</v>
      </c>
      <c r="M31">
        <v>24.9</v>
      </c>
      <c r="N31">
        <v>25.6</v>
      </c>
      <c r="O31">
        <v>26.4</v>
      </c>
      <c r="P31">
        <v>27.9</v>
      </c>
      <c r="Q31">
        <v>24.7</v>
      </c>
      <c r="R31">
        <v>16.100000000000001</v>
      </c>
      <c r="S31">
        <f t="shared" si="1"/>
        <v>13</v>
      </c>
      <c r="T31" t="s">
        <v>29</v>
      </c>
      <c r="U31">
        <f t="shared" si="2"/>
        <v>0.20600000000000002</v>
      </c>
      <c r="V31">
        <f t="shared" si="0"/>
        <v>0.17100000000000001</v>
      </c>
      <c r="W31">
        <f t="shared" si="0"/>
        <v>0.222</v>
      </c>
      <c r="X31">
        <f t="shared" si="0"/>
        <v>0.23100000000000001</v>
      </c>
      <c r="Y31">
        <f t="shared" si="0"/>
        <v>0.249</v>
      </c>
      <c r="Z31">
        <f t="shared" si="0"/>
        <v>0.25600000000000001</v>
      </c>
      <c r="AA31">
        <f t="shared" si="0"/>
        <v>0.26400000000000001</v>
      </c>
      <c r="AB31">
        <f t="shared" si="0"/>
        <v>0.27899999999999997</v>
      </c>
      <c r="AC31">
        <f t="shared" si="0"/>
        <v>0.247</v>
      </c>
      <c r="AD31">
        <f t="shared" si="0"/>
        <v>0.161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7</v>
      </c>
      <c r="F32">
        <v>21</v>
      </c>
      <c r="G32">
        <v>13</v>
      </c>
      <c r="H32">
        <v>21</v>
      </c>
      <c r="I32">
        <v>19</v>
      </c>
      <c r="J32">
        <v>19.600000000000001</v>
      </c>
      <c r="K32">
        <v>24.3</v>
      </c>
      <c r="L32">
        <v>25.7</v>
      </c>
      <c r="M32">
        <v>24.6</v>
      </c>
      <c r="N32">
        <v>24.9</v>
      </c>
      <c r="O32">
        <v>26.5</v>
      </c>
      <c r="P32">
        <v>18.899999999999999</v>
      </c>
      <c r="Q32">
        <v>18.399999999999999</v>
      </c>
      <c r="R32">
        <v>10.3</v>
      </c>
      <c r="S32">
        <f t="shared" si="1"/>
        <v>14</v>
      </c>
      <c r="T32" t="s">
        <v>30</v>
      </c>
      <c r="U32">
        <f t="shared" si="2"/>
        <v>0.19</v>
      </c>
      <c r="V32">
        <f t="shared" si="0"/>
        <v>0.19600000000000001</v>
      </c>
      <c r="W32">
        <f t="shared" si="0"/>
        <v>0.24299999999999999</v>
      </c>
      <c r="X32">
        <f t="shared" si="0"/>
        <v>0.25700000000000001</v>
      </c>
      <c r="Y32">
        <f t="shared" si="0"/>
        <v>0.24600000000000002</v>
      </c>
      <c r="Z32">
        <f t="shared" si="0"/>
        <v>0.249</v>
      </c>
      <c r="AA32">
        <f t="shared" si="0"/>
        <v>0.26500000000000001</v>
      </c>
      <c r="AB32">
        <f t="shared" si="0"/>
        <v>0.18899999999999997</v>
      </c>
      <c r="AC32">
        <f t="shared" si="0"/>
        <v>0.184</v>
      </c>
      <c r="AD32">
        <f t="shared" si="0"/>
        <v>0.10300000000000001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7</v>
      </c>
      <c r="F33">
        <v>21</v>
      </c>
      <c r="G33">
        <v>13</v>
      </c>
      <c r="H33">
        <v>26</v>
      </c>
      <c r="I33">
        <v>19.2</v>
      </c>
      <c r="J33">
        <v>16.8</v>
      </c>
      <c r="K33">
        <v>17.5</v>
      </c>
      <c r="L33">
        <v>19.899999999999999</v>
      </c>
      <c r="M33">
        <v>25.4</v>
      </c>
      <c r="N33">
        <v>25.4</v>
      </c>
      <c r="O33">
        <v>23.4</v>
      </c>
      <c r="P33">
        <v>22.1</v>
      </c>
      <c r="Q33">
        <v>22.8</v>
      </c>
      <c r="R33">
        <v>15.3</v>
      </c>
      <c r="S33">
        <f t="shared" si="1"/>
        <v>15</v>
      </c>
      <c r="T33" t="s">
        <v>31</v>
      </c>
      <c r="U33">
        <f t="shared" si="2"/>
        <v>0.192</v>
      </c>
      <c r="V33">
        <f t="shared" si="0"/>
        <v>0.16800000000000001</v>
      </c>
      <c r="W33">
        <f t="shared" si="0"/>
        <v>0.17499999999999999</v>
      </c>
      <c r="X33">
        <f t="shared" si="0"/>
        <v>0.19899999999999998</v>
      </c>
      <c r="Y33">
        <f t="shared" si="0"/>
        <v>0.254</v>
      </c>
      <c r="Z33">
        <f t="shared" si="0"/>
        <v>0.254</v>
      </c>
      <c r="AA33">
        <f t="shared" si="0"/>
        <v>0.23399999999999999</v>
      </c>
      <c r="AB33">
        <f t="shared" si="0"/>
        <v>0.221</v>
      </c>
      <c r="AC33">
        <f t="shared" si="0"/>
        <v>0.22800000000000001</v>
      </c>
      <c r="AD33">
        <f t="shared" si="0"/>
        <v>0.153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7</v>
      </c>
      <c r="F34">
        <v>21</v>
      </c>
      <c r="G34">
        <v>13</v>
      </c>
      <c r="H34">
        <v>30</v>
      </c>
      <c r="I34">
        <v>24.3</v>
      </c>
      <c r="J34">
        <v>18.899999999999999</v>
      </c>
      <c r="K34">
        <v>22.7</v>
      </c>
      <c r="L34">
        <v>20.5</v>
      </c>
      <c r="M34">
        <v>21.2</v>
      </c>
      <c r="N34">
        <v>19.399999999999999</v>
      </c>
      <c r="O34">
        <v>17.100000000000001</v>
      </c>
      <c r="P34">
        <v>16.7</v>
      </c>
      <c r="Q34">
        <v>20.7</v>
      </c>
      <c r="R34">
        <v>12.8</v>
      </c>
      <c r="S34">
        <f t="shared" si="1"/>
        <v>16</v>
      </c>
      <c r="T34" t="s">
        <v>32</v>
      </c>
      <c r="U34">
        <f t="shared" si="2"/>
        <v>0.24299999999999999</v>
      </c>
      <c r="V34">
        <f t="shared" si="0"/>
        <v>0.18899999999999997</v>
      </c>
      <c r="W34">
        <f t="shared" si="0"/>
        <v>0.22699999999999998</v>
      </c>
      <c r="X34">
        <f t="shared" si="0"/>
        <v>0.20499999999999999</v>
      </c>
      <c r="Y34">
        <f t="shared" si="0"/>
        <v>0.21199999999999999</v>
      </c>
      <c r="Z34">
        <f t="shared" si="0"/>
        <v>0.19399999999999998</v>
      </c>
      <c r="AA34">
        <f t="shared" si="0"/>
        <v>0.17100000000000001</v>
      </c>
      <c r="AB34">
        <f t="shared" si="0"/>
        <v>0.16699999999999998</v>
      </c>
      <c r="AC34">
        <f t="shared" si="0"/>
        <v>0.20699999999999999</v>
      </c>
      <c r="AD34">
        <f t="shared" si="0"/>
        <v>0.128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7</v>
      </c>
      <c r="F35">
        <v>21</v>
      </c>
      <c r="G35">
        <v>13</v>
      </c>
      <c r="H35">
        <v>35</v>
      </c>
      <c r="I35">
        <v>17.100000000000001</v>
      </c>
      <c r="J35">
        <v>17.7</v>
      </c>
      <c r="K35">
        <v>18.8</v>
      </c>
      <c r="L35">
        <v>19.899999999999999</v>
      </c>
      <c r="M35">
        <v>23.7</v>
      </c>
      <c r="N35">
        <v>25.7</v>
      </c>
      <c r="O35">
        <v>26.8</v>
      </c>
      <c r="P35">
        <v>21.8</v>
      </c>
      <c r="Q35">
        <v>19.100000000000001</v>
      </c>
      <c r="R35">
        <v>11.6</v>
      </c>
      <c r="S35">
        <f t="shared" si="1"/>
        <v>17</v>
      </c>
      <c r="T35" t="s">
        <v>33</v>
      </c>
      <c r="U35">
        <f t="shared" si="2"/>
        <v>0.17100000000000001</v>
      </c>
      <c r="V35">
        <f t="shared" si="0"/>
        <v>0.17699999999999999</v>
      </c>
      <c r="W35">
        <f t="shared" si="0"/>
        <v>0.188</v>
      </c>
      <c r="X35">
        <f t="shared" si="0"/>
        <v>0.19899999999999998</v>
      </c>
      <c r="Y35">
        <f t="shared" si="0"/>
        <v>0.23699999999999999</v>
      </c>
      <c r="Z35">
        <f t="shared" si="0"/>
        <v>0.25700000000000001</v>
      </c>
      <c r="AA35">
        <f t="shared" si="0"/>
        <v>0.26800000000000002</v>
      </c>
      <c r="AB35">
        <f t="shared" si="0"/>
        <v>0.218</v>
      </c>
      <c r="AC35">
        <f t="shared" si="0"/>
        <v>0.191</v>
      </c>
      <c r="AD35">
        <f t="shared" si="0"/>
        <v>0.11599999999999999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7</v>
      </c>
      <c r="F36">
        <v>21</v>
      </c>
      <c r="G36">
        <v>13</v>
      </c>
      <c r="H36">
        <v>40</v>
      </c>
      <c r="I36">
        <v>19.899999999999999</v>
      </c>
      <c r="J36">
        <v>19.7</v>
      </c>
      <c r="K36">
        <v>25.1</v>
      </c>
      <c r="L36">
        <v>28</v>
      </c>
      <c r="M36">
        <v>23.6</v>
      </c>
      <c r="N36">
        <v>24.2</v>
      </c>
      <c r="O36">
        <v>22.6</v>
      </c>
      <c r="P36">
        <v>20.399999999999999</v>
      </c>
      <c r="Q36">
        <v>15.4</v>
      </c>
      <c r="R36">
        <v>6.8</v>
      </c>
      <c r="S36">
        <f t="shared" si="1"/>
        <v>18</v>
      </c>
      <c r="T36" t="s">
        <v>34</v>
      </c>
      <c r="U36">
        <f t="shared" si="2"/>
        <v>0.19899999999999998</v>
      </c>
      <c r="V36">
        <f t="shared" si="0"/>
        <v>0.19699999999999998</v>
      </c>
      <c r="W36">
        <f t="shared" si="0"/>
        <v>0.251</v>
      </c>
      <c r="X36">
        <f t="shared" si="0"/>
        <v>0.28000000000000003</v>
      </c>
      <c r="Y36">
        <f t="shared" si="0"/>
        <v>0.23600000000000002</v>
      </c>
      <c r="Z36">
        <f t="shared" si="0"/>
        <v>0.24199999999999999</v>
      </c>
      <c r="AA36">
        <f t="shared" si="0"/>
        <v>0.22600000000000001</v>
      </c>
      <c r="AB36">
        <f t="shared" si="0"/>
        <v>0.20399999999999999</v>
      </c>
      <c r="AC36">
        <f t="shared" si="0"/>
        <v>0.154</v>
      </c>
      <c r="AD36">
        <f t="shared" si="0"/>
        <v>6.8000000000000005E-2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7</v>
      </c>
      <c r="F37">
        <v>21</v>
      </c>
      <c r="G37">
        <v>13</v>
      </c>
      <c r="H37">
        <v>45</v>
      </c>
      <c r="I37">
        <v>22.7</v>
      </c>
      <c r="J37">
        <v>22.6</v>
      </c>
      <c r="K37">
        <v>31.2</v>
      </c>
      <c r="L37">
        <v>20.5</v>
      </c>
      <c r="M37">
        <v>22.6</v>
      </c>
      <c r="N37">
        <v>24.2</v>
      </c>
      <c r="O37">
        <v>23.7</v>
      </c>
      <c r="P37">
        <v>18.600000000000001</v>
      </c>
      <c r="Q37">
        <v>14.2</v>
      </c>
      <c r="R37">
        <v>6.8</v>
      </c>
      <c r="S37">
        <f t="shared" si="1"/>
        <v>19</v>
      </c>
      <c r="T37" t="s">
        <v>65</v>
      </c>
      <c r="U37">
        <f t="shared" si="2"/>
        <v>0.22699999999999998</v>
      </c>
      <c r="V37">
        <f t="shared" si="0"/>
        <v>0.22600000000000001</v>
      </c>
      <c r="W37">
        <f t="shared" si="0"/>
        <v>0.312</v>
      </c>
      <c r="X37">
        <f t="shared" si="0"/>
        <v>0.20499999999999999</v>
      </c>
      <c r="Y37">
        <f t="shared" si="0"/>
        <v>0.22600000000000001</v>
      </c>
      <c r="Z37">
        <f t="shared" si="0"/>
        <v>0.24199999999999999</v>
      </c>
      <c r="AA37">
        <f t="shared" si="0"/>
        <v>0.23699999999999999</v>
      </c>
      <c r="AB37">
        <f t="shared" si="0"/>
        <v>0.18600000000000003</v>
      </c>
      <c r="AC37">
        <f t="shared" si="0"/>
        <v>0.14199999999999999</v>
      </c>
      <c r="AD37">
        <f t="shared" si="0"/>
        <v>6.8000000000000005E-2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7</v>
      </c>
      <c r="F38">
        <v>21</v>
      </c>
      <c r="G38">
        <v>13</v>
      </c>
      <c r="H38">
        <v>50</v>
      </c>
      <c r="I38">
        <v>-5.9</v>
      </c>
      <c r="J38">
        <v>-5.9</v>
      </c>
      <c r="K38">
        <v>-5.9</v>
      </c>
      <c r="L38">
        <v>-5.9</v>
      </c>
      <c r="M38">
        <v>-5.9</v>
      </c>
      <c r="N38">
        <v>26.5</v>
      </c>
      <c r="O38">
        <v>24.6</v>
      </c>
      <c r="P38">
        <v>18.2</v>
      </c>
      <c r="Q38">
        <v>16.8</v>
      </c>
      <c r="R38">
        <v>9.6999999999999993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 t="str">
        <f t="shared" si="0"/>
        <v/>
      </c>
      <c r="Z38">
        <f t="shared" si="0"/>
        <v>0.26500000000000001</v>
      </c>
      <c r="AA38">
        <f t="shared" si="0"/>
        <v>0.24600000000000002</v>
      </c>
      <c r="AB38">
        <f t="shared" si="0"/>
        <v>0.182</v>
      </c>
      <c r="AC38">
        <f t="shared" si="0"/>
        <v>0.16800000000000001</v>
      </c>
      <c r="AD38">
        <f t="shared" si="0"/>
        <v>9.6999999999999989E-2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7</v>
      </c>
      <c r="F39">
        <v>21</v>
      </c>
      <c r="G39">
        <v>13</v>
      </c>
      <c r="H39">
        <v>53</v>
      </c>
      <c r="I39">
        <v>21.6</v>
      </c>
      <c r="J39">
        <v>23.1</v>
      </c>
      <c r="K39">
        <v>21.6</v>
      </c>
      <c r="L39">
        <v>22.8</v>
      </c>
      <c r="M39">
        <v>24.4</v>
      </c>
      <c r="N39">
        <v>21.6</v>
      </c>
      <c r="O39">
        <v>22.9</v>
      </c>
      <c r="P39">
        <v>23.2</v>
      </c>
      <c r="Q39">
        <v>20.2</v>
      </c>
      <c r="R39">
        <v>11.4</v>
      </c>
      <c r="S39">
        <f t="shared" si="1"/>
        <v>21</v>
      </c>
      <c r="T39" t="s">
        <v>67</v>
      </c>
      <c r="U39">
        <f t="shared" si="2"/>
        <v>0.21600000000000003</v>
      </c>
      <c r="V39">
        <f t="shared" si="0"/>
        <v>0.23100000000000001</v>
      </c>
      <c r="W39">
        <f t="shared" si="0"/>
        <v>0.21600000000000003</v>
      </c>
      <c r="X39">
        <f t="shared" si="0"/>
        <v>0.22800000000000001</v>
      </c>
      <c r="Y39">
        <f t="shared" si="0"/>
        <v>0.24399999999999999</v>
      </c>
      <c r="Z39">
        <f t="shared" si="0"/>
        <v>0.21600000000000003</v>
      </c>
      <c r="AA39">
        <f t="shared" si="0"/>
        <v>0.22899999999999998</v>
      </c>
      <c r="AB39">
        <f t="shared" si="0"/>
        <v>0.23199999999999998</v>
      </c>
      <c r="AC39">
        <f t="shared" si="0"/>
        <v>0.20199999999999999</v>
      </c>
      <c r="AD39">
        <f t="shared" si="0"/>
        <v>0.114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7</v>
      </c>
      <c r="F40">
        <v>21</v>
      </c>
      <c r="G40">
        <v>13</v>
      </c>
      <c r="H40">
        <v>50</v>
      </c>
      <c r="I40">
        <v>19.100000000000001</v>
      </c>
      <c r="J40">
        <v>18.8</v>
      </c>
      <c r="K40">
        <v>20.100000000000001</v>
      </c>
      <c r="L40">
        <v>20.7</v>
      </c>
      <c r="M40">
        <v>24.3</v>
      </c>
      <c r="N40">
        <v>26.5</v>
      </c>
      <c r="O40">
        <v>27.8</v>
      </c>
      <c r="P40">
        <v>23</v>
      </c>
      <c r="Q40">
        <v>19</v>
      </c>
      <c r="R40">
        <v>10.6</v>
      </c>
      <c r="S40">
        <f t="shared" si="1"/>
        <v>22</v>
      </c>
      <c r="T40" t="s">
        <v>68</v>
      </c>
      <c r="U40">
        <f t="shared" si="2"/>
        <v>0.191</v>
      </c>
      <c r="V40">
        <f t="shared" si="0"/>
        <v>0.188</v>
      </c>
      <c r="W40">
        <f t="shared" si="0"/>
        <v>0.20100000000000001</v>
      </c>
      <c r="X40">
        <f t="shared" si="0"/>
        <v>0.20699999999999999</v>
      </c>
      <c r="Y40">
        <f t="shared" si="0"/>
        <v>0.24299999999999999</v>
      </c>
      <c r="Z40">
        <f t="shared" si="0"/>
        <v>0.26500000000000001</v>
      </c>
      <c r="AA40">
        <f t="shared" si="0"/>
        <v>0.27800000000000002</v>
      </c>
      <c r="AB40">
        <f t="shared" si="0"/>
        <v>0.23</v>
      </c>
      <c r="AC40">
        <f t="shared" si="0"/>
        <v>0.19</v>
      </c>
      <c r="AD40">
        <f t="shared" si="0"/>
        <v>0.106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7</v>
      </c>
      <c r="F41">
        <v>21</v>
      </c>
      <c r="G41">
        <v>14</v>
      </c>
      <c r="H41">
        <v>3</v>
      </c>
      <c r="I41">
        <v>18.600000000000001</v>
      </c>
      <c r="J41">
        <v>22.7</v>
      </c>
      <c r="K41">
        <v>23.4</v>
      </c>
      <c r="L41">
        <v>25.4</v>
      </c>
      <c r="M41">
        <v>25.6</v>
      </c>
      <c r="N41">
        <v>23.6</v>
      </c>
      <c r="O41">
        <v>23.7</v>
      </c>
      <c r="P41">
        <v>21.1</v>
      </c>
      <c r="Q41">
        <v>19.100000000000001</v>
      </c>
      <c r="R41">
        <v>10</v>
      </c>
      <c r="S41">
        <f t="shared" si="1"/>
        <v>23</v>
      </c>
      <c r="T41" t="s">
        <v>69</v>
      </c>
      <c r="U41">
        <f t="shared" si="2"/>
        <v>0.18600000000000003</v>
      </c>
      <c r="V41">
        <f t="shared" si="0"/>
        <v>0.22699999999999998</v>
      </c>
      <c r="W41">
        <f t="shared" si="0"/>
        <v>0.23399999999999999</v>
      </c>
      <c r="X41">
        <f t="shared" si="0"/>
        <v>0.254</v>
      </c>
      <c r="Y41">
        <f t="shared" si="0"/>
        <v>0.25600000000000001</v>
      </c>
      <c r="Z41">
        <f t="shared" si="0"/>
        <v>0.23600000000000002</v>
      </c>
      <c r="AA41">
        <f t="shared" si="0"/>
        <v>0.23699999999999999</v>
      </c>
      <c r="AB41">
        <f t="shared" si="0"/>
        <v>0.21100000000000002</v>
      </c>
      <c r="AC41">
        <f t="shared" si="0"/>
        <v>0.191</v>
      </c>
      <c r="AD41">
        <f t="shared" si="0"/>
        <v>0.1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7</v>
      </c>
      <c r="F42">
        <v>21</v>
      </c>
      <c r="G42">
        <v>14</v>
      </c>
      <c r="H42">
        <v>0</v>
      </c>
      <c r="I42">
        <v>19</v>
      </c>
      <c r="J42">
        <v>19.8</v>
      </c>
      <c r="K42">
        <v>23.6</v>
      </c>
      <c r="L42">
        <v>25.4</v>
      </c>
      <c r="M42">
        <v>25.3</v>
      </c>
      <c r="N42">
        <v>27.7</v>
      </c>
      <c r="O42">
        <v>28.5</v>
      </c>
      <c r="P42">
        <v>22.9</v>
      </c>
      <c r="Q42">
        <v>19.899999999999999</v>
      </c>
      <c r="R42">
        <v>12.5</v>
      </c>
      <c r="S42">
        <f t="shared" si="1"/>
        <v>24</v>
      </c>
      <c r="T42" t="s">
        <v>70</v>
      </c>
      <c r="U42">
        <f t="shared" si="2"/>
        <v>0.19</v>
      </c>
      <c r="V42">
        <f t="shared" si="0"/>
        <v>0.19800000000000001</v>
      </c>
      <c r="W42">
        <f t="shared" si="0"/>
        <v>0.23600000000000002</v>
      </c>
      <c r="X42">
        <f t="shared" si="0"/>
        <v>0.254</v>
      </c>
      <c r="Y42">
        <f t="shared" si="0"/>
        <v>0.253</v>
      </c>
      <c r="Z42">
        <f t="shared" si="0"/>
        <v>0.27699999999999997</v>
      </c>
      <c r="AA42">
        <f t="shared" si="0"/>
        <v>0.28499999999999998</v>
      </c>
      <c r="AB42">
        <f t="shared" si="0"/>
        <v>0.22899999999999998</v>
      </c>
      <c r="AC42">
        <f t="shared" si="0"/>
        <v>0.19899999999999998</v>
      </c>
      <c r="AD42">
        <f t="shared" si="0"/>
        <v>0.125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7</v>
      </c>
      <c r="F43">
        <v>21</v>
      </c>
      <c r="G43">
        <v>14</v>
      </c>
      <c r="H43">
        <v>16</v>
      </c>
      <c r="I43">
        <v>21</v>
      </c>
      <c r="J43">
        <v>22.9</v>
      </c>
      <c r="K43">
        <v>25.4</v>
      </c>
      <c r="L43">
        <v>25.5</v>
      </c>
      <c r="M43">
        <v>26.4</v>
      </c>
      <c r="N43">
        <v>27.6</v>
      </c>
      <c r="O43">
        <v>20.3</v>
      </c>
      <c r="P43">
        <v>18.100000000000001</v>
      </c>
      <c r="Q43">
        <v>17.600000000000001</v>
      </c>
      <c r="R43">
        <v>9.4</v>
      </c>
      <c r="S43">
        <f t="shared" si="1"/>
        <v>25</v>
      </c>
      <c r="T43" t="s">
        <v>71</v>
      </c>
      <c r="U43">
        <f t="shared" si="2"/>
        <v>0.21</v>
      </c>
      <c r="V43">
        <f t="shared" si="0"/>
        <v>0.22899999999999998</v>
      </c>
      <c r="W43">
        <f t="shared" si="0"/>
        <v>0.254</v>
      </c>
      <c r="X43">
        <f t="shared" si="0"/>
        <v>0.255</v>
      </c>
      <c r="Y43">
        <f t="shared" si="0"/>
        <v>0.26400000000000001</v>
      </c>
      <c r="Z43">
        <f t="shared" si="0"/>
        <v>0.27600000000000002</v>
      </c>
      <c r="AA43">
        <f t="shared" si="0"/>
        <v>0.20300000000000001</v>
      </c>
      <c r="AB43">
        <f t="shared" si="0"/>
        <v>0.18100000000000002</v>
      </c>
      <c r="AC43">
        <f t="shared" si="0"/>
        <v>0.17600000000000002</v>
      </c>
      <c r="AD43">
        <f t="shared" si="0"/>
        <v>9.4E-2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7</v>
      </c>
      <c r="F44">
        <v>21</v>
      </c>
      <c r="G44">
        <v>14</v>
      </c>
      <c r="H44">
        <v>21</v>
      </c>
      <c r="I44">
        <v>-5.9</v>
      </c>
      <c r="J44">
        <v>18.8</v>
      </c>
      <c r="K44">
        <v>21.3</v>
      </c>
      <c r="L44">
        <v>22.8</v>
      </c>
      <c r="M44">
        <v>24.3</v>
      </c>
      <c r="N44">
        <v>21.8</v>
      </c>
      <c r="O44">
        <v>25.1</v>
      </c>
      <c r="P44">
        <v>22.4</v>
      </c>
      <c r="Q44">
        <v>19.7</v>
      </c>
      <c r="R44">
        <v>11.4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0.188</v>
      </c>
      <c r="W44">
        <f t="shared" si="0"/>
        <v>0.21299999999999999</v>
      </c>
      <c r="X44">
        <f t="shared" si="0"/>
        <v>0.22800000000000001</v>
      </c>
      <c r="Y44">
        <f t="shared" si="0"/>
        <v>0.24299999999999999</v>
      </c>
      <c r="Z44">
        <f t="shared" si="0"/>
        <v>0.218</v>
      </c>
      <c r="AA44">
        <f t="shared" si="0"/>
        <v>0.251</v>
      </c>
      <c r="AB44">
        <f t="shared" si="0"/>
        <v>0.22399999999999998</v>
      </c>
      <c r="AC44">
        <f t="shared" si="0"/>
        <v>0.19699999999999998</v>
      </c>
      <c r="AD44">
        <f t="shared" si="0"/>
        <v>0.114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7</v>
      </c>
      <c r="F45">
        <v>21</v>
      </c>
      <c r="G45">
        <v>14</v>
      </c>
      <c r="H45">
        <v>26</v>
      </c>
      <c r="I45">
        <v>-5.9</v>
      </c>
      <c r="J45">
        <v>19.2</v>
      </c>
      <c r="K45">
        <v>17.5</v>
      </c>
      <c r="L45">
        <v>26.2</v>
      </c>
      <c r="M45">
        <v>21.9</v>
      </c>
      <c r="N45">
        <v>21.4</v>
      </c>
      <c r="O45">
        <v>23.9</v>
      </c>
      <c r="P45">
        <v>21.9</v>
      </c>
      <c r="Q45">
        <v>20.5</v>
      </c>
      <c r="R45">
        <v>11.5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0.192</v>
      </c>
      <c r="W45">
        <f t="shared" si="0"/>
        <v>0.17499999999999999</v>
      </c>
      <c r="X45">
        <f t="shared" si="0"/>
        <v>0.26200000000000001</v>
      </c>
      <c r="Y45">
        <f t="shared" si="0"/>
        <v>0.21899999999999997</v>
      </c>
      <c r="Z45">
        <f t="shared" si="0"/>
        <v>0.214</v>
      </c>
      <c r="AA45">
        <f t="shared" si="0"/>
        <v>0.23899999999999999</v>
      </c>
      <c r="AB45">
        <f t="shared" si="0"/>
        <v>0.21899999999999997</v>
      </c>
      <c r="AC45">
        <f t="shared" si="0"/>
        <v>0.20499999999999999</v>
      </c>
      <c r="AD45">
        <f t="shared" si="0"/>
        <v>0.115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7</v>
      </c>
      <c r="F46">
        <v>21</v>
      </c>
      <c r="G46">
        <v>14</v>
      </c>
      <c r="H46">
        <v>31</v>
      </c>
      <c r="I46">
        <v>17.899999999999999</v>
      </c>
      <c r="J46">
        <v>17.7</v>
      </c>
      <c r="K46">
        <v>18.8</v>
      </c>
      <c r="L46">
        <v>22</v>
      </c>
      <c r="M46">
        <v>25.1</v>
      </c>
      <c r="N46">
        <v>25.2</v>
      </c>
      <c r="O46">
        <v>25.6</v>
      </c>
      <c r="P46">
        <v>24.5</v>
      </c>
      <c r="Q46">
        <v>19.100000000000001</v>
      </c>
      <c r="R46">
        <v>10.7</v>
      </c>
      <c r="S46">
        <f t="shared" si="1"/>
        <v>28</v>
      </c>
      <c r="T46" t="s">
        <v>76</v>
      </c>
      <c r="U46">
        <f t="shared" si="2"/>
        <v>0.17899999999999999</v>
      </c>
      <c r="V46">
        <f t="shared" si="0"/>
        <v>0.17699999999999999</v>
      </c>
      <c r="W46">
        <f t="shared" si="0"/>
        <v>0.188</v>
      </c>
      <c r="X46">
        <f t="shared" si="0"/>
        <v>0.22</v>
      </c>
      <c r="Y46">
        <f t="shared" si="0"/>
        <v>0.251</v>
      </c>
      <c r="Z46">
        <f t="shared" si="0"/>
        <v>0.252</v>
      </c>
      <c r="AA46">
        <f t="shared" si="0"/>
        <v>0.25600000000000001</v>
      </c>
      <c r="AB46">
        <f t="shared" si="0"/>
        <v>0.245</v>
      </c>
      <c r="AC46">
        <f t="shared" si="0"/>
        <v>0.191</v>
      </c>
      <c r="AD46">
        <f t="shared" si="0"/>
        <v>0.107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7</v>
      </c>
      <c r="F47">
        <v>21</v>
      </c>
      <c r="G47">
        <v>14</v>
      </c>
      <c r="H47">
        <v>36</v>
      </c>
      <c r="I47">
        <v>23.4</v>
      </c>
      <c r="J47">
        <v>32</v>
      </c>
      <c r="K47">
        <v>21.6</v>
      </c>
      <c r="L47">
        <v>24.8</v>
      </c>
      <c r="M47">
        <v>27.1</v>
      </c>
      <c r="N47">
        <v>27.6</v>
      </c>
      <c r="O47">
        <v>29.3</v>
      </c>
      <c r="P47">
        <v>22.2</v>
      </c>
      <c r="Q47">
        <v>20.399999999999999</v>
      </c>
      <c r="R47">
        <v>9.6999999999999993</v>
      </c>
      <c r="S47">
        <f t="shared" si="1"/>
        <v>29</v>
      </c>
      <c r="T47" t="s">
        <v>53</v>
      </c>
      <c r="U47">
        <f t="shared" si="2"/>
        <v>0.23399999999999999</v>
      </c>
      <c r="V47">
        <f t="shared" si="0"/>
        <v>0.32</v>
      </c>
      <c r="W47">
        <f t="shared" si="0"/>
        <v>0.21600000000000003</v>
      </c>
      <c r="X47">
        <f t="shared" si="0"/>
        <v>0.248</v>
      </c>
      <c r="Y47">
        <f t="shared" ref="Y47:AD54" si="3">IF(M47&lt;0,"",M47/100)</f>
        <v>0.27100000000000002</v>
      </c>
      <c r="Z47">
        <f t="shared" si="3"/>
        <v>0.27600000000000002</v>
      </c>
      <c r="AA47">
        <f t="shared" si="3"/>
        <v>0.29299999999999998</v>
      </c>
      <c r="AB47">
        <f t="shared" si="3"/>
        <v>0.222</v>
      </c>
      <c r="AC47">
        <f t="shared" si="3"/>
        <v>0.20399999999999999</v>
      </c>
      <c r="AD47">
        <f t="shared" si="3"/>
        <v>9.6999999999999989E-2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7</v>
      </c>
      <c r="F48">
        <v>21</v>
      </c>
      <c r="G48">
        <v>14</v>
      </c>
      <c r="H48">
        <v>41</v>
      </c>
      <c r="I48">
        <v>25.3</v>
      </c>
      <c r="J48">
        <v>28.1</v>
      </c>
      <c r="K48">
        <v>24.8</v>
      </c>
      <c r="L48">
        <v>22.8</v>
      </c>
      <c r="M48">
        <v>23</v>
      </c>
      <c r="N48">
        <v>23.2</v>
      </c>
      <c r="O48">
        <v>19.7</v>
      </c>
      <c r="P48">
        <v>21.7</v>
      </c>
      <c r="Q48">
        <v>14.9</v>
      </c>
      <c r="R48">
        <v>6.6</v>
      </c>
      <c r="S48">
        <f t="shared" si="1"/>
        <v>30</v>
      </c>
      <c r="T48" t="s">
        <v>77</v>
      </c>
      <c r="U48">
        <f t="shared" si="2"/>
        <v>0.253</v>
      </c>
      <c r="V48">
        <f t="shared" si="2"/>
        <v>0.28100000000000003</v>
      </c>
      <c r="W48">
        <f t="shared" si="2"/>
        <v>0.248</v>
      </c>
      <c r="X48">
        <f t="shared" si="2"/>
        <v>0.22800000000000001</v>
      </c>
      <c r="Y48">
        <f t="shared" si="3"/>
        <v>0.23</v>
      </c>
      <c r="Z48">
        <f t="shared" si="3"/>
        <v>0.23199999999999998</v>
      </c>
      <c r="AA48">
        <f t="shared" si="3"/>
        <v>0.19699999999999998</v>
      </c>
      <c r="AB48">
        <f t="shared" si="3"/>
        <v>0.217</v>
      </c>
      <c r="AC48">
        <f t="shared" si="3"/>
        <v>0.14899999999999999</v>
      </c>
      <c r="AD48">
        <f t="shared" si="3"/>
        <v>6.6000000000000003E-2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7</v>
      </c>
      <c r="F49">
        <v>21</v>
      </c>
      <c r="G49">
        <v>14</v>
      </c>
      <c r="H49">
        <v>46</v>
      </c>
      <c r="I49">
        <v>-5.9</v>
      </c>
      <c r="J49">
        <v>-5.9</v>
      </c>
      <c r="K49">
        <v>22.4</v>
      </c>
      <c r="L49">
        <v>22.3</v>
      </c>
      <c r="M49">
        <v>24.1</v>
      </c>
      <c r="N49">
        <v>23.6</v>
      </c>
      <c r="O49">
        <v>20.7</v>
      </c>
      <c r="P49">
        <v>19.8</v>
      </c>
      <c r="Q49">
        <v>15</v>
      </c>
      <c r="R49">
        <v>4.3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0.22399999999999998</v>
      </c>
      <c r="X49">
        <f t="shared" si="4"/>
        <v>0.223</v>
      </c>
      <c r="Y49">
        <f t="shared" si="3"/>
        <v>0.24100000000000002</v>
      </c>
      <c r="Z49">
        <f t="shared" si="3"/>
        <v>0.23600000000000002</v>
      </c>
      <c r="AA49">
        <f t="shared" si="3"/>
        <v>0.20699999999999999</v>
      </c>
      <c r="AB49">
        <f t="shared" si="3"/>
        <v>0.19800000000000001</v>
      </c>
      <c r="AC49">
        <f t="shared" si="3"/>
        <v>0.15</v>
      </c>
      <c r="AD49">
        <f t="shared" si="3"/>
        <v>4.2999999999999997E-2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7</v>
      </c>
      <c r="F50">
        <v>21</v>
      </c>
      <c r="G50">
        <v>14</v>
      </c>
      <c r="H50">
        <v>50</v>
      </c>
      <c r="I50">
        <v>-5.9</v>
      </c>
      <c r="J50">
        <v>23.2</v>
      </c>
      <c r="K50">
        <v>21.2</v>
      </c>
      <c r="L50">
        <v>24</v>
      </c>
      <c r="M50">
        <v>25.3</v>
      </c>
      <c r="N50">
        <v>24.7</v>
      </c>
      <c r="O50">
        <v>20.7</v>
      </c>
      <c r="P50">
        <v>16.100000000000001</v>
      </c>
      <c r="Q50">
        <v>14.8</v>
      </c>
      <c r="R50">
        <v>6.5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0.23199999999999998</v>
      </c>
      <c r="W50">
        <f t="shared" si="4"/>
        <v>0.21199999999999999</v>
      </c>
      <c r="X50">
        <f t="shared" si="4"/>
        <v>0.24</v>
      </c>
      <c r="Y50">
        <f t="shared" si="3"/>
        <v>0.253</v>
      </c>
      <c r="Z50">
        <f t="shared" si="3"/>
        <v>0.247</v>
      </c>
      <c r="AA50">
        <f t="shared" si="3"/>
        <v>0.20699999999999999</v>
      </c>
      <c r="AB50">
        <f t="shared" si="3"/>
        <v>0.161</v>
      </c>
      <c r="AC50">
        <f t="shared" si="3"/>
        <v>0.14800000000000002</v>
      </c>
      <c r="AD50">
        <f t="shared" si="3"/>
        <v>6.5000000000000002E-2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7</v>
      </c>
      <c r="F51">
        <v>21</v>
      </c>
      <c r="G51">
        <v>14</v>
      </c>
      <c r="H51">
        <v>55</v>
      </c>
      <c r="I51">
        <v>-5.9</v>
      </c>
      <c r="J51">
        <v>21.3</v>
      </c>
      <c r="K51">
        <v>22.7</v>
      </c>
      <c r="L51">
        <v>26.7</v>
      </c>
      <c r="M51">
        <v>28.5</v>
      </c>
      <c r="N51">
        <v>29.6</v>
      </c>
      <c r="O51">
        <v>24.9</v>
      </c>
      <c r="P51">
        <v>19.5</v>
      </c>
      <c r="Q51">
        <v>15.1</v>
      </c>
      <c r="R51">
        <v>7.3</v>
      </c>
      <c r="S51">
        <f t="shared" si="1"/>
        <v>33</v>
      </c>
      <c r="T51" t="s">
        <v>79</v>
      </c>
      <c r="U51" t="str">
        <f t="shared" si="4"/>
        <v/>
      </c>
      <c r="V51">
        <f t="shared" si="4"/>
        <v>0.21299999999999999</v>
      </c>
      <c r="W51">
        <f t="shared" si="4"/>
        <v>0.22699999999999998</v>
      </c>
      <c r="X51">
        <f t="shared" si="4"/>
        <v>0.26700000000000002</v>
      </c>
      <c r="Y51">
        <f t="shared" si="3"/>
        <v>0.28499999999999998</v>
      </c>
      <c r="Z51">
        <f t="shared" si="3"/>
        <v>0.29600000000000004</v>
      </c>
      <c r="AA51">
        <f t="shared" si="3"/>
        <v>0.249</v>
      </c>
      <c r="AB51">
        <f t="shared" si="3"/>
        <v>0.19500000000000001</v>
      </c>
      <c r="AC51">
        <f t="shared" si="3"/>
        <v>0.151</v>
      </c>
      <c r="AD51">
        <f t="shared" si="3"/>
        <v>7.2999999999999995E-2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7</v>
      </c>
      <c r="F52">
        <v>21</v>
      </c>
      <c r="G52">
        <v>14</v>
      </c>
      <c r="H52">
        <v>51</v>
      </c>
      <c r="I52">
        <v>-5.9</v>
      </c>
      <c r="J52">
        <v>-5.9</v>
      </c>
      <c r="K52">
        <v>23.5</v>
      </c>
      <c r="L52">
        <v>25.6</v>
      </c>
      <c r="M52">
        <v>25.5</v>
      </c>
      <c r="N52">
        <v>26.1</v>
      </c>
      <c r="O52">
        <v>23.2</v>
      </c>
      <c r="P52">
        <v>18.399999999999999</v>
      </c>
      <c r="Q52">
        <v>16.5</v>
      </c>
      <c r="R52">
        <v>8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0.23499999999999999</v>
      </c>
      <c r="X52">
        <f t="shared" si="4"/>
        <v>0.25600000000000001</v>
      </c>
      <c r="Y52">
        <f t="shared" si="3"/>
        <v>0.255</v>
      </c>
      <c r="Z52">
        <f t="shared" si="3"/>
        <v>0.26100000000000001</v>
      </c>
      <c r="AA52">
        <f t="shared" si="3"/>
        <v>0.23199999999999998</v>
      </c>
      <c r="AB52">
        <f t="shared" si="3"/>
        <v>0.184</v>
      </c>
      <c r="AC52">
        <f t="shared" si="3"/>
        <v>0.16500000000000001</v>
      </c>
      <c r="AD52">
        <f t="shared" si="3"/>
        <v>0.08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7</v>
      </c>
      <c r="F53">
        <v>21</v>
      </c>
      <c r="G53">
        <v>15</v>
      </c>
      <c r="H53">
        <v>3</v>
      </c>
      <c r="I53">
        <v>-5.9</v>
      </c>
      <c r="J53">
        <v>-5.9</v>
      </c>
      <c r="K53">
        <v>25.2</v>
      </c>
      <c r="L53">
        <v>27.6</v>
      </c>
      <c r="M53">
        <v>29</v>
      </c>
      <c r="N53">
        <v>25</v>
      </c>
      <c r="O53">
        <v>18.399999999999999</v>
      </c>
      <c r="P53">
        <v>14.9</v>
      </c>
      <c r="Q53">
        <v>15.4</v>
      </c>
      <c r="R53">
        <v>7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0.27600000000000002</v>
      </c>
      <c r="Y53">
        <f t="shared" si="3"/>
        <v>0.28999999999999998</v>
      </c>
      <c r="Z53">
        <f t="shared" si="3"/>
        <v>0.25</v>
      </c>
      <c r="AA53">
        <f t="shared" si="3"/>
        <v>0.184</v>
      </c>
      <c r="AB53">
        <f t="shared" si="3"/>
        <v>0.14899999999999999</v>
      </c>
      <c r="AC53">
        <f t="shared" si="3"/>
        <v>0.154</v>
      </c>
      <c r="AD53">
        <f t="shared" si="3"/>
        <v>7.0000000000000007E-2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7</v>
      </c>
      <c r="F54">
        <v>21</v>
      </c>
      <c r="G54">
        <v>15</v>
      </c>
      <c r="H54">
        <v>7</v>
      </c>
      <c r="I54">
        <v>-5.9</v>
      </c>
      <c r="J54">
        <v>21.3</v>
      </c>
      <c r="K54">
        <v>25.9</v>
      </c>
      <c r="L54">
        <v>26.6</v>
      </c>
      <c r="M54">
        <v>21.1</v>
      </c>
      <c r="N54">
        <v>23.4</v>
      </c>
      <c r="O54">
        <v>19.100000000000001</v>
      </c>
      <c r="P54">
        <v>17.7</v>
      </c>
      <c r="Q54">
        <v>15.5</v>
      </c>
      <c r="R54">
        <v>6.2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0.21299999999999999</v>
      </c>
      <c r="W54">
        <f t="shared" si="4"/>
        <v>0.25900000000000001</v>
      </c>
      <c r="X54">
        <f t="shared" si="4"/>
        <v>0.26600000000000001</v>
      </c>
      <c r="Y54">
        <f t="shared" si="3"/>
        <v>0.21100000000000002</v>
      </c>
      <c r="Z54">
        <f t="shared" si="3"/>
        <v>0.23399999999999999</v>
      </c>
      <c r="AA54">
        <f t="shared" si="3"/>
        <v>0.191</v>
      </c>
      <c r="AB54">
        <f t="shared" si="3"/>
        <v>0.17699999999999999</v>
      </c>
      <c r="AC54">
        <f t="shared" si="3"/>
        <v>0.155</v>
      </c>
      <c r="AD54">
        <f t="shared" si="3"/>
        <v>6.2E-2</v>
      </c>
    </row>
    <row r="57" spans="1:30" x14ac:dyDescent="0.25">
      <c r="A57" s="2">
        <v>41841</v>
      </c>
    </row>
    <row r="58" spans="1:30" x14ac:dyDescent="0.25">
      <c r="A58" t="s">
        <v>3</v>
      </c>
      <c r="B58">
        <v>6116</v>
      </c>
      <c r="C58" t="s">
        <v>4</v>
      </c>
      <c r="D58">
        <v>12958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7</v>
      </c>
      <c r="F75">
        <v>21</v>
      </c>
      <c r="G75">
        <v>7</v>
      </c>
      <c r="H75">
        <v>56</v>
      </c>
      <c r="I75">
        <v>19.5</v>
      </c>
      <c r="J75">
        <v>21.5</v>
      </c>
      <c r="K75">
        <v>19.8</v>
      </c>
      <c r="L75">
        <v>18</v>
      </c>
      <c r="M75">
        <v>16.100000000000001</v>
      </c>
      <c r="N75">
        <v>17.2</v>
      </c>
      <c r="O75">
        <v>16</v>
      </c>
      <c r="P75">
        <v>15.2</v>
      </c>
      <c r="Q75">
        <v>15.9</v>
      </c>
      <c r="R75">
        <v>9.6</v>
      </c>
      <c r="S75">
        <f>B75</f>
        <v>66</v>
      </c>
      <c r="T75" t="s">
        <v>50</v>
      </c>
      <c r="U75">
        <f>IF(I75&lt;0,"",I75/100)</f>
        <v>0.19500000000000001</v>
      </c>
      <c r="V75">
        <f t="shared" ref="V75:AD103" si="5">IF(J75&lt;0,"",J75/100)</f>
        <v>0.215</v>
      </c>
      <c r="W75">
        <f t="shared" si="5"/>
        <v>0.19800000000000001</v>
      </c>
      <c r="X75">
        <f t="shared" si="5"/>
        <v>0.18</v>
      </c>
      <c r="Y75">
        <f t="shared" si="5"/>
        <v>0.161</v>
      </c>
      <c r="Z75">
        <f t="shared" si="5"/>
        <v>0.17199999999999999</v>
      </c>
      <c r="AA75">
        <f t="shared" si="5"/>
        <v>0.16</v>
      </c>
      <c r="AB75">
        <f t="shared" si="5"/>
        <v>0.152</v>
      </c>
      <c r="AC75">
        <f t="shared" si="5"/>
        <v>0.159</v>
      </c>
      <c r="AD75">
        <f t="shared" si="5"/>
        <v>9.6000000000000002E-2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7</v>
      </c>
      <c r="F76">
        <v>21</v>
      </c>
      <c r="G76">
        <v>8</v>
      </c>
      <c r="H76">
        <v>1</v>
      </c>
      <c r="I76">
        <v>18.3</v>
      </c>
      <c r="J76">
        <v>20.5</v>
      </c>
      <c r="K76">
        <v>22.4</v>
      </c>
      <c r="L76">
        <v>22.7</v>
      </c>
      <c r="M76">
        <v>22.2</v>
      </c>
      <c r="N76">
        <v>19.100000000000001</v>
      </c>
      <c r="O76">
        <v>14.1</v>
      </c>
      <c r="P76">
        <v>15</v>
      </c>
      <c r="Q76">
        <v>16</v>
      </c>
      <c r="R76">
        <v>10.4</v>
      </c>
      <c r="S76">
        <f t="shared" ref="S76:S104" si="6">B76</f>
        <v>65</v>
      </c>
      <c r="T76" t="s">
        <v>49</v>
      </c>
      <c r="U76">
        <f t="shared" ref="U76:X104" si="7">IF(I76&lt;0,"",I76/100)</f>
        <v>0.183</v>
      </c>
      <c r="V76">
        <f t="shared" si="5"/>
        <v>0.20499999999999999</v>
      </c>
      <c r="W76">
        <f t="shared" si="5"/>
        <v>0.22399999999999998</v>
      </c>
      <c r="X76">
        <f t="shared" si="5"/>
        <v>0.22699999999999998</v>
      </c>
      <c r="Y76">
        <f t="shared" si="5"/>
        <v>0.222</v>
      </c>
      <c r="Z76">
        <f t="shared" si="5"/>
        <v>0.191</v>
      </c>
      <c r="AA76">
        <f t="shared" si="5"/>
        <v>0.14099999999999999</v>
      </c>
      <c r="AB76">
        <f t="shared" si="5"/>
        <v>0.15</v>
      </c>
      <c r="AC76">
        <f t="shared" si="5"/>
        <v>0.16</v>
      </c>
      <c r="AD76">
        <f t="shared" si="5"/>
        <v>0.10400000000000001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7</v>
      </c>
      <c r="F77">
        <v>21</v>
      </c>
      <c r="G77">
        <v>8</v>
      </c>
      <c r="H77">
        <v>6</v>
      </c>
      <c r="I77">
        <v>14.3</v>
      </c>
      <c r="J77">
        <v>13.3</v>
      </c>
      <c r="K77">
        <v>12.4</v>
      </c>
      <c r="L77">
        <v>12.1</v>
      </c>
      <c r="M77">
        <v>10.6</v>
      </c>
      <c r="N77">
        <v>10.6</v>
      </c>
      <c r="O77">
        <v>11.1</v>
      </c>
      <c r="P77">
        <v>15.7</v>
      </c>
      <c r="Q77">
        <v>18.3</v>
      </c>
      <c r="R77">
        <v>13</v>
      </c>
      <c r="S77">
        <f t="shared" si="6"/>
        <v>64</v>
      </c>
      <c r="T77" t="s">
        <v>48</v>
      </c>
      <c r="U77">
        <f t="shared" si="7"/>
        <v>0.14300000000000002</v>
      </c>
      <c r="V77">
        <f t="shared" si="5"/>
        <v>0.13300000000000001</v>
      </c>
      <c r="W77">
        <f t="shared" si="5"/>
        <v>0.124</v>
      </c>
      <c r="X77">
        <f t="shared" si="5"/>
        <v>0.121</v>
      </c>
      <c r="Y77">
        <f t="shared" si="5"/>
        <v>0.106</v>
      </c>
      <c r="Z77">
        <f t="shared" si="5"/>
        <v>0.106</v>
      </c>
      <c r="AA77">
        <f t="shared" si="5"/>
        <v>0.111</v>
      </c>
      <c r="AB77">
        <f t="shared" si="5"/>
        <v>0.157</v>
      </c>
      <c r="AC77">
        <f t="shared" si="5"/>
        <v>0.183</v>
      </c>
      <c r="AD77">
        <f t="shared" si="5"/>
        <v>0.13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7</v>
      </c>
      <c r="F78">
        <v>21</v>
      </c>
      <c r="G78">
        <v>8</v>
      </c>
      <c r="H78">
        <v>11</v>
      </c>
      <c r="I78">
        <v>21.5</v>
      </c>
      <c r="J78">
        <v>19.8</v>
      </c>
      <c r="K78">
        <v>21.4</v>
      </c>
      <c r="L78">
        <v>22.8</v>
      </c>
      <c r="M78">
        <v>20.9</v>
      </c>
      <c r="N78">
        <v>19.899999999999999</v>
      </c>
      <c r="O78">
        <v>19.100000000000001</v>
      </c>
      <c r="P78">
        <v>20.7</v>
      </c>
      <c r="Q78">
        <v>20.100000000000001</v>
      </c>
      <c r="R78">
        <v>11</v>
      </c>
      <c r="S78">
        <f t="shared" si="6"/>
        <v>63</v>
      </c>
      <c r="T78" t="s">
        <v>47</v>
      </c>
      <c r="U78">
        <f t="shared" si="7"/>
        <v>0.215</v>
      </c>
      <c r="V78">
        <f t="shared" si="5"/>
        <v>0.19800000000000001</v>
      </c>
      <c r="W78">
        <f t="shared" si="5"/>
        <v>0.214</v>
      </c>
      <c r="X78">
        <f t="shared" si="5"/>
        <v>0.22800000000000001</v>
      </c>
      <c r="Y78">
        <f t="shared" si="5"/>
        <v>0.20899999999999999</v>
      </c>
      <c r="Z78">
        <f t="shared" si="5"/>
        <v>0.19899999999999998</v>
      </c>
      <c r="AA78">
        <f t="shared" si="5"/>
        <v>0.191</v>
      </c>
      <c r="AB78">
        <f t="shared" si="5"/>
        <v>0.20699999999999999</v>
      </c>
      <c r="AC78">
        <f t="shared" si="5"/>
        <v>0.20100000000000001</v>
      </c>
      <c r="AD78">
        <f t="shared" si="5"/>
        <v>0.11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7</v>
      </c>
      <c r="F79">
        <v>21</v>
      </c>
      <c r="G79">
        <v>8</v>
      </c>
      <c r="H79">
        <v>16</v>
      </c>
      <c r="I79">
        <v>22.9</v>
      </c>
      <c r="J79">
        <v>23.6</v>
      </c>
      <c r="K79">
        <v>23.8</v>
      </c>
      <c r="L79">
        <v>24.6</v>
      </c>
      <c r="M79">
        <v>23.5</v>
      </c>
      <c r="N79">
        <v>21.9</v>
      </c>
      <c r="O79">
        <v>20.8</v>
      </c>
      <c r="P79">
        <v>19.899999999999999</v>
      </c>
      <c r="Q79">
        <v>19.3</v>
      </c>
      <c r="R79">
        <v>12.7</v>
      </c>
      <c r="S79">
        <f t="shared" si="6"/>
        <v>62</v>
      </c>
      <c r="T79" t="s">
        <v>46</v>
      </c>
      <c r="U79">
        <f t="shared" si="7"/>
        <v>0.22899999999999998</v>
      </c>
      <c r="V79">
        <f t="shared" si="5"/>
        <v>0.23600000000000002</v>
      </c>
      <c r="W79">
        <f t="shared" si="5"/>
        <v>0.23800000000000002</v>
      </c>
      <c r="X79">
        <f t="shared" si="5"/>
        <v>0.24600000000000002</v>
      </c>
      <c r="Y79">
        <f t="shared" si="5"/>
        <v>0.23499999999999999</v>
      </c>
      <c r="Z79">
        <f t="shared" si="5"/>
        <v>0.21899999999999997</v>
      </c>
      <c r="AA79">
        <f t="shared" si="5"/>
        <v>0.20800000000000002</v>
      </c>
      <c r="AB79">
        <f t="shared" si="5"/>
        <v>0.19899999999999998</v>
      </c>
      <c r="AC79">
        <f t="shared" si="5"/>
        <v>0.193</v>
      </c>
      <c r="AD79">
        <f t="shared" si="5"/>
        <v>0.127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7</v>
      </c>
      <c r="F80">
        <v>21</v>
      </c>
      <c r="G80">
        <v>8</v>
      </c>
      <c r="H80">
        <v>21</v>
      </c>
      <c r="I80">
        <v>22.2</v>
      </c>
      <c r="J80">
        <v>21.7</v>
      </c>
      <c r="K80">
        <v>22.3</v>
      </c>
      <c r="L80">
        <v>23.1</v>
      </c>
      <c r="M80">
        <v>22.1</v>
      </c>
      <c r="N80">
        <v>19</v>
      </c>
      <c r="O80">
        <v>17.2</v>
      </c>
      <c r="P80">
        <v>17</v>
      </c>
      <c r="Q80">
        <v>17.399999999999999</v>
      </c>
      <c r="R80">
        <v>11.2</v>
      </c>
      <c r="S80">
        <f t="shared" si="6"/>
        <v>61</v>
      </c>
      <c r="T80" t="s">
        <v>45</v>
      </c>
      <c r="U80">
        <f t="shared" si="7"/>
        <v>0.222</v>
      </c>
      <c r="V80">
        <f t="shared" si="5"/>
        <v>0.217</v>
      </c>
      <c r="W80">
        <f t="shared" si="5"/>
        <v>0.223</v>
      </c>
      <c r="X80">
        <f t="shared" si="5"/>
        <v>0.23100000000000001</v>
      </c>
      <c r="Y80">
        <f t="shared" si="5"/>
        <v>0.221</v>
      </c>
      <c r="Z80">
        <f t="shared" si="5"/>
        <v>0.19</v>
      </c>
      <c r="AA80">
        <f t="shared" si="5"/>
        <v>0.17199999999999999</v>
      </c>
      <c r="AB80">
        <f t="shared" si="5"/>
        <v>0.17</v>
      </c>
      <c r="AC80">
        <f t="shared" si="5"/>
        <v>0.17399999999999999</v>
      </c>
      <c r="AD80">
        <f t="shared" si="5"/>
        <v>0.11199999999999999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7</v>
      </c>
      <c r="F81">
        <v>21</v>
      </c>
      <c r="G81">
        <v>8</v>
      </c>
      <c r="H81">
        <v>35</v>
      </c>
      <c r="I81">
        <v>-5</v>
      </c>
      <c r="J81">
        <v>20.8</v>
      </c>
      <c r="K81">
        <v>21.1</v>
      </c>
      <c r="L81">
        <v>21.4</v>
      </c>
      <c r="M81">
        <v>19.5</v>
      </c>
      <c r="N81">
        <v>13.8</v>
      </c>
      <c r="O81">
        <v>12.6</v>
      </c>
      <c r="P81">
        <v>14.6</v>
      </c>
      <c r="Q81">
        <v>14.6</v>
      </c>
      <c r="R81">
        <v>8.5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0.20800000000000002</v>
      </c>
      <c r="W81">
        <f t="shared" si="5"/>
        <v>0.21100000000000002</v>
      </c>
      <c r="X81">
        <f t="shared" si="5"/>
        <v>0.214</v>
      </c>
      <c r="Y81">
        <f t="shared" si="5"/>
        <v>0.19500000000000001</v>
      </c>
      <c r="Z81">
        <f t="shared" si="5"/>
        <v>0.13800000000000001</v>
      </c>
      <c r="AA81">
        <f t="shared" si="5"/>
        <v>0.126</v>
      </c>
      <c r="AB81">
        <f t="shared" si="5"/>
        <v>0.14599999999999999</v>
      </c>
      <c r="AC81">
        <f t="shared" si="5"/>
        <v>0.14599999999999999</v>
      </c>
      <c r="AD81">
        <f t="shared" si="5"/>
        <v>8.5000000000000006E-2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7</v>
      </c>
      <c r="F82">
        <v>21</v>
      </c>
      <c r="G82">
        <v>8</v>
      </c>
      <c r="H82">
        <v>40</v>
      </c>
      <c r="I82">
        <v>21.1</v>
      </c>
      <c r="J82">
        <v>22</v>
      </c>
      <c r="K82">
        <v>22.3</v>
      </c>
      <c r="L82">
        <v>21.2</v>
      </c>
      <c r="M82">
        <v>16.899999999999999</v>
      </c>
      <c r="N82">
        <v>13.4</v>
      </c>
      <c r="O82">
        <v>11.4</v>
      </c>
      <c r="P82">
        <v>15</v>
      </c>
      <c r="Q82">
        <v>15.7</v>
      </c>
      <c r="R82">
        <v>10.1</v>
      </c>
      <c r="S82">
        <f t="shared" si="6"/>
        <v>59</v>
      </c>
      <c r="T82" t="s">
        <v>93</v>
      </c>
      <c r="U82">
        <f t="shared" si="7"/>
        <v>0.21100000000000002</v>
      </c>
      <c r="V82">
        <f t="shared" si="5"/>
        <v>0.22</v>
      </c>
      <c r="W82">
        <f t="shared" si="5"/>
        <v>0.223</v>
      </c>
      <c r="X82">
        <f t="shared" si="5"/>
        <v>0.21199999999999999</v>
      </c>
      <c r="Y82">
        <f t="shared" si="5"/>
        <v>0.16899999999999998</v>
      </c>
      <c r="Z82">
        <f t="shared" si="5"/>
        <v>0.13400000000000001</v>
      </c>
      <c r="AA82">
        <f t="shared" si="5"/>
        <v>0.114</v>
      </c>
      <c r="AB82">
        <f t="shared" si="5"/>
        <v>0.15</v>
      </c>
      <c r="AC82">
        <f t="shared" si="5"/>
        <v>0.157</v>
      </c>
      <c r="AD82">
        <f t="shared" si="5"/>
        <v>0.10099999999999999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7</v>
      </c>
      <c r="F83">
        <v>21</v>
      </c>
      <c r="G83">
        <v>8</v>
      </c>
      <c r="H83">
        <v>45</v>
      </c>
      <c r="I83">
        <v>-5</v>
      </c>
      <c r="J83">
        <v>19.8</v>
      </c>
      <c r="K83">
        <v>23</v>
      </c>
      <c r="L83">
        <v>23.4</v>
      </c>
      <c r="M83">
        <v>20.9</v>
      </c>
      <c r="N83">
        <v>18.7</v>
      </c>
      <c r="O83">
        <v>14.7</v>
      </c>
      <c r="P83">
        <v>17.2</v>
      </c>
      <c r="Q83">
        <v>17.600000000000001</v>
      </c>
      <c r="R83">
        <v>11.8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0.19800000000000001</v>
      </c>
      <c r="W83">
        <f t="shared" si="5"/>
        <v>0.23</v>
      </c>
      <c r="X83">
        <f t="shared" si="5"/>
        <v>0.23399999999999999</v>
      </c>
      <c r="Y83">
        <f t="shared" si="5"/>
        <v>0.20899999999999999</v>
      </c>
      <c r="Z83">
        <f t="shared" si="5"/>
        <v>0.187</v>
      </c>
      <c r="AA83">
        <f t="shared" si="5"/>
        <v>0.14699999999999999</v>
      </c>
      <c r="AB83">
        <f t="shared" si="5"/>
        <v>0.17199999999999999</v>
      </c>
      <c r="AC83">
        <f t="shared" si="5"/>
        <v>0.17600000000000002</v>
      </c>
      <c r="AD83">
        <f t="shared" si="5"/>
        <v>0.11800000000000001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7</v>
      </c>
      <c r="F84">
        <v>21</v>
      </c>
      <c r="G84">
        <v>8</v>
      </c>
      <c r="H84">
        <v>41</v>
      </c>
      <c r="I84">
        <v>16</v>
      </c>
      <c r="J84">
        <v>19</v>
      </c>
      <c r="K84">
        <v>24.3</v>
      </c>
      <c r="L84">
        <v>25.5</v>
      </c>
      <c r="M84">
        <v>25.3</v>
      </c>
      <c r="N84">
        <v>25.6</v>
      </c>
      <c r="O84">
        <v>22.6</v>
      </c>
      <c r="P84">
        <v>19.899999999999999</v>
      </c>
      <c r="Q84">
        <v>17.8</v>
      </c>
      <c r="R84">
        <v>12.8</v>
      </c>
      <c r="S84">
        <f t="shared" si="6"/>
        <v>57</v>
      </c>
      <c r="T84" t="s">
        <v>91</v>
      </c>
      <c r="U84">
        <f t="shared" si="7"/>
        <v>0.16</v>
      </c>
      <c r="V84">
        <f t="shared" si="5"/>
        <v>0.19</v>
      </c>
      <c r="W84">
        <f t="shared" si="5"/>
        <v>0.24299999999999999</v>
      </c>
      <c r="X84">
        <f t="shared" si="5"/>
        <v>0.255</v>
      </c>
      <c r="Y84">
        <f t="shared" si="5"/>
        <v>0.253</v>
      </c>
      <c r="Z84">
        <f t="shared" si="5"/>
        <v>0.25600000000000001</v>
      </c>
      <c r="AA84">
        <f t="shared" si="5"/>
        <v>0.22600000000000001</v>
      </c>
      <c r="AB84">
        <f t="shared" si="5"/>
        <v>0.19899999999999998</v>
      </c>
      <c r="AC84">
        <f t="shared" si="5"/>
        <v>0.17800000000000002</v>
      </c>
      <c r="AD84">
        <f t="shared" si="5"/>
        <v>0.128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7</v>
      </c>
      <c r="F85">
        <v>21</v>
      </c>
      <c r="G85">
        <v>8</v>
      </c>
      <c r="H85">
        <v>55</v>
      </c>
      <c r="I85">
        <v>19.8</v>
      </c>
      <c r="J85">
        <v>20.2</v>
      </c>
      <c r="K85">
        <v>19.3</v>
      </c>
      <c r="L85">
        <v>21.3</v>
      </c>
      <c r="M85">
        <v>22.3</v>
      </c>
      <c r="N85">
        <v>21.2</v>
      </c>
      <c r="O85">
        <v>20.2</v>
      </c>
      <c r="P85">
        <v>16.7</v>
      </c>
      <c r="Q85">
        <v>15.3</v>
      </c>
      <c r="R85">
        <v>9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0.20199999999999999</v>
      </c>
      <c r="W85">
        <f t="shared" si="5"/>
        <v>0.193</v>
      </c>
      <c r="X85">
        <f t="shared" si="5"/>
        <v>0.21299999999999999</v>
      </c>
      <c r="Y85">
        <f t="shared" si="5"/>
        <v>0.223</v>
      </c>
      <c r="Z85">
        <f t="shared" si="5"/>
        <v>0.21199999999999999</v>
      </c>
      <c r="AA85">
        <f t="shared" si="5"/>
        <v>0.20199999999999999</v>
      </c>
      <c r="AB85">
        <f t="shared" si="5"/>
        <v>0.16699999999999998</v>
      </c>
      <c r="AC85">
        <f t="shared" si="5"/>
        <v>0.153</v>
      </c>
      <c r="AD85">
        <f t="shared" si="5"/>
        <v>0.09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7</v>
      </c>
      <c r="F86">
        <v>21</v>
      </c>
      <c r="G86">
        <v>9</v>
      </c>
      <c r="H86">
        <v>0</v>
      </c>
      <c r="I86">
        <v>16.8</v>
      </c>
      <c r="J86">
        <v>17.2</v>
      </c>
      <c r="K86">
        <v>20.8</v>
      </c>
      <c r="L86">
        <v>24.1</v>
      </c>
      <c r="M86">
        <v>24.7</v>
      </c>
      <c r="N86">
        <v>22.4</v>
      </c>
      <c r="O86">
        <v>20.5</v>
      </c>
      <c r="P86">
        <v>16.7</v>
      </c>
      <c r="Q86">
        <v>14.9</v>
      </c>
      <c r="R86">
        <v>8.1</v>
      </c>
      <c r="S86">
        <f t="shared" si="6"/>
        <v>55</v>
      </c>
      <c r="T86" t="s">
        <v>89</v>
      </c>
      <c r="U86">
        <f t="shared" si="7"/>
        <v>0.16800000000000001</v>
      </c>
      <c r="V86">
        <f t="shared" si="5"/>
        <v>0.17199999999999999</v>
      </c>
      <c r="W86">
        <f t="shared" si="5"/>
        <v>0.20800000000000002</v>
      </c>
      <c r="X86">
        <f t="shared" si="5"/>
        <v>0.24100000000000002</v>
      </c>
      <c r="Y86">
        <f t="shared" si="5"/>
        <v>0.247</v>
      </c>
      <c r="Z86">
        <f t="shared" si="5"/>
        <v>0.22399999999999998</v>
      </c>
      <c r="AA86">
        <f t="shared" si="5"/>
        <v>0.20499999999999999</v>
      </c>
      <c r="AB86">
        <f t="shared" si="5"/>
        <v>0.16699999999999998</v>
      </c>
      <c r="AC86">
        <f t="shared" si="5"/>
        <v>0.14899999999999999</v>
      </c>
      <c r="AD86">
        <f t="shared" si="5"/>
        <v>8.1000000000000003E-2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7</v>
      </c>
      <c r="F87">
        <v>21</v>
      </c>
      <c r="G87">
        <v>9</v>
      </c>
      <c r="H87">
        <v>6</v>
      </c>
      <c r="I87">
        <v>15.3</v>
      </c>
      <c r="J87">
        <v>16.100000000000001</v>
      </c>
      <c r="K87">
        <v>17.2</v>
      </c>
      <c r="L87">
        <v>21.2</v>
      </c>
      <c r="M87">
        <v>21.6</v>
      </c>
      <c r="N87">
        <v>18.5</v>
      </c>
      <c r="O87">
        <v>15.8</v>
      </c>
      <c r="P87">
        <v>15.1</v>
      </c>
      <c r="Q87">
        <v>14.7</v>
      </c>
      <c r="R87">
        <v>8.3000000000000007</v>
      </c>
      <c r="S87">
        <f t="shared" si="6"/>
        <v>54</v>
      </c>
      <c r="T87" t="s">
        <v>36</v>
      </c>
      <c r="U87">
        <f t="shared" si="7"/>
        <v>0.153</v>
      </c>
      <c r="V87">
        <f t="shared" si="5"/>
        <v>0.161</v>
      </c>
      <c r="W87">
        <f t="shared" si="5"/>
        <v>0.17199999999999999</v>
      </c>
      <c r="X87">
        <f t="shared" si="5"/>
        <v>0.21199999999999999</v>
      </c>
      <c r="Y87">
        <f t="shared" si="5"/>
        <v>0.21600000000000003</v>
      </c>
      <c r="Z87">
        <f t="shared" si="5"/>
        <v>0.185</v>
      </c>
      <c r="AA87">
        <f t="shared" si="5"/>
        <v>0.158</v>
      </c>
      <c r="AB87">
        <f t="shared" si="5"/>
        <v>0.151</v>
      </c>
      <c r="AC87">
        <f t="shared" si="5"/>
        <v>0.14699999999999999</v>
      </c>
      <c r="AD87">
        <f t="shared" si="5"/>
        <v>8.3000000000000004E-2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7</v>
      </c>
      <c r="F88">
        <v>21</v>
      </c>
      <c r="G88">
        <v>9</v>
      </c>
      <c r="H88">
        <v>11</v>
      </c>
      <c r="I88">
        <v>22.2</v>
      </c>
      <c r="J88">
        <v>21</v>
      </c>
      <c r="K88">
        <v>21.9</v>
      </c>
      <c r="L88">
        <v>22.2</v>
      </c>
      <c r="M88">
        <v>22.3</v>
      </c>
      <c r="N88">
        <v>20.3</v>
      </c>
      <c r="O88">
        <v>18.100000000000001</v>
      </c>
      <c r="P88">
        <v>14</v>
      </c>
      <c r="Q88">
        <v>14.7</v>
      </c>
      <c r="R88">
        <v>9.4</v>
      </c>
      <c r="S88">
        <f t="shared" si="6"/>
        <v>53</v>
      </c>
      <c r="T88" t="s">
        <v>88</v>
      </c>
      <c r="U88">
        <f t="shared" si="7"/>
        <v>0.222</v>
      </c>
      <c r="V88">
        <f t="shared" si="5"/>
        <v>0.21</v>
      </c>
      <c r="W88">
        <f t="shared" si="5"/>
        <v>0.21899999999999997</v>
      </c>
      <c r="X88">
        <f t="shared" si="5"/>
        <v>0.222</v>
      </c>
      <c r="Y88">
        <f t="shared" si="5"/>
        <v>0.223</v>
      </c>
      <c r="Z88">
        <f t="shared" si="5"/>
        <v>0.20300000000000001</v>
      </c>
      <c r="AA88">
        <f t="shared" si="5"/>
        <v>0.18100000000000002</v>
      </c>
      <c r="AB88">
        <f t="shared" si="5"/>
        <v>0.14000000000000001</v>
      </c>
      <c r="AC88">
        <f t="shared" si="5"/>
        <v>0.14699999999999999</v>
      </c>
      <c r="AD88">
        <f t="shared" si="5"/>
        <v>9.4E-2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7</v>
      </c>
      <c r="F89">
        <v>21</v>
      </c>
      <c r="G89">
        <v>9</v>
      </c>
      <c r="H89">
        <v>16</v>
      </c>
      <c r="I89">
        <v>-5</v>
      </c>
      <c r="J89">
        <v>19.100000000000001</v>
      </c>
      <c r="K89">
        <v>20.8</v>
      </c>
      <c r="L89">
        <v>25.7</v>
      </c>
      <c r="M89">
        <v>24.6</v>
      </c>
      <c r="N89">
        <v>23.6</v>
      </c>
      <c r="O89">
        <v>21</v>
      </c>
      <c r="P89">
        <v>17.100000000000001</v>
      </c>
      <c r="Q89">
        <v>15.7</v>
      </c>
      <c r="R89">
        <v>10.5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0.191</v>
      </c>
      <c r="W89">
        <f t="shared" si="5"/>
        <v>0.20800000000000002</v>
      </c>
      <c r="X89">
        <f t="shared" si="5"/>
        <v>0.25700000000000001</v>
      </c>
      <c r="Y89">
        <f t="shared" si="5"/>
        <v>0.24600000000000002</v>
      </c>
      <c r="Z89">
        <f t="shared" si="5"/>
        <v>0.23600000000000002</v>
      </c>
      <c r="AA89">
        <f t="shared" si="5"/>
        <v>0.21</v>
      </c>
      <c r="AB89">
        <f t="shared" si="5"/>
        <v>0.17100000000000001</v>
      </c>
      <c r="AC89">
        <f t="shared" si="5"/>
        <v>0.157</v>
      </c>
      <c r="AD89">
        <f t="shared" si="5"/>
        <v>0.105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7</v>
      </c>
      <c r="F90">
        <v>21</v>
      </c>
      <c r="G90">
        <v>9</v>
      </c>
      <c r="H90">
        <v>20</v>
      </c>
      <c r="I90">
        <v>16.7</v>
      </c>
      <c r="J90">
        <v>17.899999999999999</v>
      </c>
      <c r="K90">
        <v>22.8</v>
      </c>
      <c r="L90">
        <v>23.2</v>
      </c>
      <c r="M90">
        <v>24.8</v>
      </c>
      <c r="N90">
        <v>20.9</v>
      </c>
      <c r="O90">
        <v>19.3</v>
      </c>
      <c r="P90">
        <v>18.7</v>
      </c>
      <c r="Q90">
        <v>19.100000000000001</v>
      </c>
      <c r="R90">
        <v>12.9</v>
      </c>
      <c r="S90">
        <f t="shared" si="6"/>
        <v>51</v>
      </c>
      <c r="T90" t="s">
        <v>86</v>
      </c>
      <c r="U90">
        <f t="shared" si="7"/>
        <v>0.16699999999999998</v>
      </c>
      <c r="V90">
        <f t="shared" si="5"/>
        <v>0.17899999999999999</v>
      </c>
      <c r="W90">
        <f t="shared" si="5"/>
        <v>0.22800000000000001</v>
      </c>
      <c r="X90">
        <f t="shared" si="5"/>
        <v>0.23199999999999998</v>
      </c>
      <c r="Y90">
        <f t="shared" si="5"/>
        <v>0.248</v>
      </c>
      <c r="Z90">
        <f t="shared" si="5"/>
        <v>0.20899999999999999</v>
      </c>
      <c r="AA90">
        <f t="shared" si="5"/>
        <v>0.193</v>
      </c>
      <c r="AB90">
        <f t="shared" si="5"/>
        <v>0.187</v>
      </c>
      <c r="AC90">
        <f t="shared" si="5"/>
        <v>0.191</v>
      </c>
      <c r="AD90">
        <f t="shared" si="5"/>
        <v>0.129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7</v>
      </c>
      <c r="F91">
        <v>21</v>
      </c>
      <c r="G91">
        <v>9</v>
      </c>
      <c r="H91">
        <v>26</v>
      </c>
      <c r="I91">
        <v>20.100000000000001</v>
      </c>
      <c r="J91">
        <v>20.5</v>
      </c>
      <c r="K91">
        <v>19.899999999999999</v>
      </c>
      <c r="L91">
        <v>24.4</v>
      </c>
      <c r="M91">
        <v>25.3</v>
      </c>
      <c r="N91">
        <v>23.4</v>
      </c>
      <c r="O91">
        <v>24.4</v>
      </c>
      <c r="P91">
        <v>22.1</v>
      </c>
      <c r="Q91">
        <v>19.8</v>
      </c>
      <c r="R91">
        <v>12.1</v>
      </c>
      <c r="S91">
        <f t="shared" si="6"/>
        <v>50</v>
      </c>
      <c r="T91" t="s">
        <v>39</v>
      </c>
      <c r="U91">
        <f t="shared" si="7"/>
        <v>0.20100000000000001</v>
      </c>
      <c r="V91">
        <f t="shared" si="5"/>
        <v>0.20499999999999999</v>
      </c>
      <c r="W91">
        <f t="shared" si="5"/>
        <v>0.19899999999999998</v>
      </c>
      <c r="X91">
        <f t="shared" si="5"/>
        <v>0.24399999999999999</v>
      </c>
      <c r="Y91">
        <f t="shared" si="5"/>
        <v>0.253</v>
      </c>
      <c r="Z91">
        <f t="shared" si="5"/>
        <v>0.23399999999999999</v>
      </c>
      <c r="AA91">
        <f t="shared" si="5"/>
        <v>0.24399999999999999</v>
      </c>
      <c r="AB91">
        <f t="shared" si="5"/>
        <v>0.221</v>
      </c>
      <c r="AC91">
        <f t="shared" si="5"/>
        <v>0.19800000000000001</v>
      </c>
      <c r="AD91">
        <f t="shared" si="5"/>
        <v>0.121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7</v>
      </c>
      <c r="F92">
        <v>21</v>
      </c>
      <c r="G92">
        <v>9</v>
      </c>
      <c r="H92">
        <v>31</v>
      </c>
      <c r="I92">
        <v>-5</v>
      </c>
      <c r="J92">
        <v>23.2</v>
      </c>
      <c r="K92">
        <v>23.5</v>
      </c>
      <c r="L92">
        <v>26</v>
      </c>
      <c r="M92">
        <v>24.6</v>
      </c>
      <c r="N92">
        <v>16.5</v>
      </c>
      <c r="O92">
        <v>14.6</v>
      </c>
      <c r="P92">
        <v>17.600000000000001</v>
      </c>
      <c r="Q92">
        <v>18.5</v>
      </c>
      <c r="R92">
        <v>12.4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0.23199999999999998</v>
      </c>
      <c r="W92">
        <f t="shared" si="5"/>
        <v>0.23499999999999999</v>
      </c>
      <c r="X92">
        <f t="shared" si="5"/>
        <v>0.26</v>
      </c>
      <c r="Y92">
        <f t="shared" si="5"/>
        <v>0.24600000000000002</v>
      </c>
      <c r="Z92">
        <f t="shared" si="5"/>
        <v>0.16500000000000001</v>
      </c>
      <c r="AA92">
        <f t="shared" si="5"/>
        <v>0.14599999999999999</v>
      </c>
      <c r="AB92">
        <f t="shared" si="5"/>
        <v>0.17600000000000002</v>
      </c>
      <c r="AC92">
        <f t="shared" si="5"/>
        <v>0.185</v>
      </c>
      <c r="AD92">
        <f t="shared" si="5"/>
        <v>0.124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7</v>
      </c>
      <c r="F93">
        <v>21</v>
      </c>
      <c r="G93">
        <v>9</v>
      </c>
      <c r="H93">
        <v>43</v>
      </c>
      <c r="I93">
        <v>22.3</v>
      </c>
      <c r="J93">
        <v>22.8</v>
      </c>
      <c r="K93">
        <v>25.1</v>
      </c>
      <c r="L93">
        <v>27</v>
      </c>
      <c r="M93">
        <v>24.2</v>
      </c>
      <c r="N93">
        <v>20.8</v>
      </c>
      <c r="O93">
        <v>15.7</v>
      </c>
      <c r="P93">
        <v>17.899999999999999</v>
      </c>
      <c r="Q93">
        <v>16.899999999999999</v>
      </c>
      <c r="R93">
        <v>10.199999999999999</v>
      </c>
      <c r="S93">
        <f t="shared" si="6"/>
        <v>48</v>
      </c>
      <c r="T93" t="s">
        <v>38</v>
      </c>
      <c r="U93">
        <f t="shared" si="7"/>
        <v>0.223</v>
      </c>
      <c r="V93">
        <f t="shared" si="5"/>
        <v>0.22800000000000001</v>
      </c>
      <c r="W93">
        <f t="shared" si="5"/>
        <v>0.251</v>
      </c>
      <c r="X93">
        <f t="shared" si="5"/>
        <v>0.27</v>
      </c>
      <c r="Y93">
        <f t="shared" si="5"/>
        <v>0.24199999999999999</v>
      </c>
      <c r="Z93">
        <f t="shared" si="5"/>
        <v>0.20800000000000002</v>
      </c>
      <c r="AA93">
        <f t="shared" si="5"/>
        <v>0.157</v>
      </c>
      <c r="AB93">
        <f t="shared" si="5"/>
        <v>0.17899999999999999</v>
      </c>
      <c r="AC93">
        <f t="shared" si="5"/>
        <v>0.16899999999999998</v>
      </c>
      <c r="AD93">
        <f t="shared" si="5"/>
        <v>0.10199999999999999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7</v>
      </c>
      <c r="F94">
        <v>21</v>
      </c>
      <c r="G94">
        <v>9</v>
      </c>
      <c r="H94">
        <v>41</v>
      </c>
      <c r="I94">
        <v>21</v>
      </c>
      <c r="J94">
        <v>20.3</v>
      </c>
      <c r="K94">
        <v>22.9</v>
      </c>
      <c r="L94">
        <v>24.6</v>
      </c>
      <c r="M94">
        <v>25.1</v>
      </c>
      <c r="N94">
        <v>24.5</v>
      </c>
      <c r="O94">
        <v>22.2</v>
      </c>
      <c r="P94">
        <v>17.899999999999999</v>
      </c>
      <c r="Q94">
        <v>19</v>
      </c>
      <c r="R94">
        <v>12.9</v>
      </c>
      <c r="S94">
        <f t="shared" si="6"/>
        <v>47</v>
      </c>
      <c r="T94" t="s">
        <v>85</v>
      </c>
      <c r="U94">
        <f t="shared" si="7"/>
        <v>0.21</v>
      </c>
      <c r="V94">
        <f t="shared" si="5"/>
        <v>0.20300000000000001</v>
      </c>
      <c r="W94">
        <f t="shared" si="5"/>
        <v>0.22899999999999998</v>
      </c>
      <c r="X94">
        <f t="shared" si="5"/>
        <v>0.24600000000000002</v>
      </c>
      <c r="Y94">
        <f t="shared" si="5"/>
        <v>0.251</v>
      </c>
      <c r="Z94">
        <f t="shared" si="5"/>
        <v>0.245</v>
      </c>
      <c r="AA94">
        <f t="shared" si="5"/>
        <v>0.222</v>
      </c>
      <c r="AB94">
        <f t="shared" si="5"/>
        <v>0.17899999999999999</v>
      </c>
      <c r="AC94">
        <f t="shared" si="5"/>
        <v>0.19</v>
      </c>
      <c r="AD94">
        <f t="shared" si="5"/>
        <v>0.129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7</v>
      </c>
      <c r="F95">
        <v>21</v>
      </c>
      <c r="G95">
        <v>9</v>
      </c>
      <c r="H95">
        <v>54</v>
      </c>
      <c r="I95">
        <v>-5</v>
      </c>
      <c r="J95">
        <v>22.9</v>
      </c>
      <c r="K95">
        <v>25.3</v>
      </c>
      <c r="L95">
        <v>25.2</v>
      </c>
      <c r="M95">
        <v>26.1</v>
      </c>
      <c r="N95">
        <v>25.4</v>
      </c>
      <c r="O95">
        <v>24</v>
      </c>
      <c r="P95">
        <v>17.3</v>
      </c>
      <c r="Q95">
        <v>16.7</v>
      </c>
      <c r="R95">
        <v>11.1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0.22899999999999998</v>
      </c>
      <c r="W95">
        <f t="shared" si="5"/>
        <v>0.253</v>
      </c>
      <c r="X95">
        <f t="shared" si="5"/>
        <v>0.252</v>
      </c>
      <c r="Y95">
        <f t="shared" si="5"/>
        <v>0.26100000000000001</v>
      </c>
      <c r="Z95">
        <f t="shared" si="5"/>
        <v>0.254</v>
      </c>
      <c r="AA95">
        <f t="shared" si="5"/>
        <v>0.24</v>
      </c>
      <c r="AB95">
        <f t="shared" si="5"/>
        <v>0.17300000000000001</v>
      </c>
      <c r="AC95">
        <f t="shared" si="5"/>
        <v>0.16699999999999998</v>
      </c>
      <c r="AD95">
        <f t="shared" si="5"/>
        <v>0.111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7</v>
      </c>
      <c r="F96">
        <v>21</v>
      </c>
      <c r="G96">
        <v>9</v>
      </c>
      <c r="H96">
        <v>50</v>
      </c>
      <c r="I96">
        <v>-5</v>
      </c>
      <c r="J96">
        <v>24</v>
      </c>
      <c r="K96">
        <v>24.5</v>
      </c>
      <c r="L96">
        <v>25.5</v>
      </c>
      <c r="M96">
        <v>25.2</v>
      </c>
      <c r="N96">
        <v>25.6</v>
      </c>
      <c r="O96">
        <v>26</v>
      </c>
      <c r="P96">
        <v>20.5</v>
      </c>
      <c r="Q96">
        <v>18.2</v>
      </c>
      <c r="R96">
        <v>12.5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0.24</v>
      </c>
      <c r="W96">
        <f t="shared" si="5"/>
        <v>0.245</v>
      </c>
      <c r="X96">
        <f t="shared" si="5"/>
        <v>0.255</v>
      </c>
      <c r="Y96">
        <f t="shared" si="5"/>
        <v>0.252</v>
      </c>
      <c r="Z96">
        <f t="shared" si="5"/>
        <v>0.25600000000000001</v>
      </c>
      <c r="AA96">
        <f t="shared" si="5"/>
        <v>0.26</v>
      </c>
      <c r="AB96">
        <f t="shared" si="5"/>
        <v>0.20499999999999999</v>
      </c>
      <c r="AC96">
        <f t="shared" si="5"/>
        <v>0.182</v>
      </c>
      <c r="AD96">
        <f t="shared" si="5"/>
        <v>0.125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7</v>
      </c>
      <c r="F97">
        <v>21</v>
      </c>
      <c r="G97">
        <v>10</v>
      </c>
      <c r="H97">
        <v>3</v>
      </c>
      <c r="I97">
        <v>17.7</v>
      </c>
      <c r="J97">
        <v>17.600000000000001</v>
      </c>
      <c r="K97">
        <v>23.3</v>
      </c>
      <c r="L97">
        <v>27.4</v>
      </c>
      <c r="M97">
        <v>24.7</v>
      </c>
      <c r="N97">
        <v>21.1</v>
      </c>
      <c r="O97">
        <v>15.3</v>
      </c>
      <c r="P97">
        <v>13.3</v>
      </c>
      <c r="Q97">
        <v>13.2</v>
      </c>
      <c r="R97">
        <v>8</v>
      </c>
      <c r="S97">
        <f t="shared" si="6"/>
        <v>44</v>
      </c>
      <c r="T97" t="s">
        <v>83</v>
      </c>
      <c r="U97">
        <f t="shared" si="7"/>
        <v>0.17699999999999999</v>
      </c>
      <c r="V97">
        <f t="shared" si="5"/>
        <v>0.17600000000000002</v>
      </c>
      <c r="W97">
        <f t="shared" si="5"/>
        <v>0.23300000000000001</v>
      </c>
      <c r="X97">
        <f t="shared" si="5"/>
        <v>0.27399999999999997</v>
      </c>
      <c r="Y97">
        <f t="shared" si="5"/>
        <v>0.247</v>
      </c>
      <c r="Z97">
        <f t="shared" si="5"/>
        <v>0.21100000000000002</v>
      </c>
      <c r="AA97">
        <f t="shared" si="5"/>
        <v>0.153</v>
      </c>
      <c r="AB97">
        <f t="shared" si="5"/>
        <v>0.13300000000000001</v>
      </c>
      <c r="AC97">
        <f t="shared" si="5"/>
        <v>0.13200000000000001</v>
      </c>
      <c r="AD97">
        <f t="shared" si="5"/>
        <v>0.08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7</v>
      </c>
      <c r="F98">
        <v>21</v>
      </c>
      <c r="G98">
        <v>10</v>
      </c>
      <c r="H98">
        <v>0</v>
      </c>
      <c r="I98">
        <v>17.5</v>
      </c>
      <c r="J98">
        <v>17</v>
      </c>
      <c r="K98">
        <v>17.3</v>
      </c>
      <c r="L98">
        <v>22</v>
      </c>
      <c r="M98">
        <v>26</v>
      </c>
      <c r="N98">
        <v>22.6</v>
      </c>
      <c r="O98">
        <v>19.899999999999999</v>
      </c>
      <c r="P98">
        <v>15.7</v>
      </c>
      <c r="Q98">
        <v>14.8</v>
      </c>
      <c r="R98">
        <v>8.1</v>
      </c>
      <c r="S98">
        <f t="shared" si="6"/>
        <v>43</v>
      </c>
      <c r="T98" t="s">
        <v>82</v>
      </c>
      <c r="U98">
        <f t="shared" si="7"/>
        <v>0.17499999999999999</v>
      </c>
      <c r="V98">
        <f t="shared" si="5"/>
        <v>0.17</v>
      </c>
      <c r="W98">
        <f t="shared" si="5"/>
        <v>0.17300000000000001</v>
      </c>
      <c r="X98">
        <f t="shared" si="5"/>
        <v>0.22</v>
      </c>
      <c r="Y98">
        <f t="shared" si="5"/>
        <v>0.26</v>
      </c>
      <c r="Z98">
        <f t="shared" si="5"/>
        <v>0.22600000000000001</v>
      </c>
      <c r="AA98">
        <f t="shared" si="5"/>
        <v>0.19899999999999998</v>
      </c>
      <c r="AB98">
        <f t="shared" si="5"/>
        <v>0.157</v>
      </c>
      <c r="AC98">
        <f t="shared" si="5"/>
        <v>0.14800000000000002</v>
      </c>
      <c r="AD98">
        <f t="shared" si="5"/>
        <v>8.1000000000000003E-2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7</v>
      </c>
      <c r="F99">
        <v>21</v>
      </c>
      <c r="G99">
        <v>10</v>
      </c>
      <c r="H99">
        <v>13</v>
      </c>
      <c r="I99">
        <v>-5</v>
      </c>
      <c r="J99">
        <v>22.8</v>
      </c>
      <c r="K99">
        <v>17.3</v>
      </c>
      <c r="L99">
        <v>16.2</v>
      </c>
      <c r="M99">
        <v>13.7</v>
      </c>
      <c r="N99">
        <v>12.5</v>
      </c>
      <c r="O99">
        <v>11.5</v>
      </c>
      <c r="P99">
        <v>11.6</v>
      </c>
      <c r="Q99">
        <v>13.6</v>
      </c>
      <c r="R99">
        <v>7.4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0.22800000000000001</v>
      </c>
      <c r="W99">
        <f t="shared" si="5"/>
        <v>0.17300000000000001</v>
      </c>
      <c r="X99">
        <f t="shared" si="5"/>
        <v>0.16200000000000001</v>
      </c>
      <c r="Y99">
        <f t="shared" si="5"/>
        <v>0.13699999999999998</v>
      </c>
      <c r="Z99">
        <f t="shared" si="5"/>
        <v>0.125</v>
      </c>
      <c r="AA99">
        <f t="shared" si="5"/>
        <v>0.115</v>
      </c>
      <c r="AB99">
        <f t="shared" si="5"/>
        <v>0.11599999999999999</v>
      </c>
      <c r="AC99">
        <f t="shared" si="5"/>
        <v>0.13600000000000001</v>
      </c>
      <c r="AD99">
        <f t="shared" si="5"/>
        <v>7.400000000000001E-2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7</v>
      </c>
      <c r="F100">
        <v>21</v>
      </c>
      <c r="G100">
        <v>10</v>
      </c>
      <c r="H100">
        <v>10</v>
      </c>
      <c r="I100">
        <v>25.1</v>
      </c>
      <c r="J100">
        <v>23.1</v>
      </c>
      <c r="K100">
        <v>18.100000000000001</v>
      </c>
      <c r="L100">
        <v>17.100000000000001</v>
      </c>
      <c r="M100">
        <v>16.8</v>
      </c>
      <c r="N100">
        <v>16.3</v>
      </c>
      <c r="O100">
        <v>15</v>
      </c>
      <c r="P100">
        <v>12.8</v>
      </c>
      <c r="Q100">
        <v>13.7</v>
      </c>
      <c r="R100">
        <v>9</v>
      </c>
      <c r="S100">
        <f t="shared" si="6"/>
        <v>41</v>
      </c>
      <c r="T100" t="s">
        <v>43</v>
      </c>
      <c r="U100">
        <f t="shared" si="7"/>
        <v>0.251</v>
      </c>
      <c r="V100">
        <f t="shared" si="5"/>
        <v>0.23100000000000001</v>
      </c>
      <c r="W100">
        <f t="shared" si="5"/>
        <v>0.18100000000000002</v>
      </c>
      <c r="X100">
        <f t="shared" si="5"/>
        <v>0.17100000000000001</v>
      </c>
      <c r="Y100">
        <f t="shared" si="5"/>
        <v>0.16800000000000001</v>
      </c>
      <c r="Z100">
        <f t="shared" si="5"/>
        <v>0.16300000000000001</v>
      </c>
      <c r="AA100">
        <f t="shared" si="5"/>
        <v>0.15</v>
      </c>
      <c r="AB100">
        <f t="shared" si="5"/>
        <v>0.128</v>
      </c>
      <c r="AC100">
        <f t="shared" si="5"/>
        <v>0.13699999999999998</v>
      </c>
      <c r="AD100">
        <f t="shared" si="5"/>
        <v>0.09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7</v>
      </c>
      <c r="F101">
        <v>21</v>
      </c>
      <c r="G101">
        <v>10</v>
      </c>
      <c r="H101">
        <v>23</v>
      </c>
      <c r="I101">
        <v>23.8</v>
      </c>
      <c r="J101">
        <v>23.4</v>
      </c>
      <c r="K101">
        <v>24.1</v>
      </c>
      <c r="L101">
        <v>20.8</v>
      </c>
      <c r="M101">
        <v>19</v>
      </c>
      <c r="N101">
        <v>20.399999999999999</v>
      </c>
      <c r="O101">
        <v>22.3</v>
      </c>
      <c r="P101">
        <v>19.899999999999999</v>
      </c>
      <c r="Q101">
        <v>17.8</v>
      </c>
      <c r="R101">
        <v>14</v>
      </c>
      <c r="S101">
        <f t="shared" si="6"/>
        <v>40</v>
      </c>
      <c r="T101" t="s">
        <v>41</v>
      </c>
      <c r="U101">
        <f t="shared" si="7"/>
        <v>0.23800000000000002</v>
      </c>
      <c r="V101">
        <f t="shared" si="5"/>
        <v>0.23399999999999999</v>
      </c>
      <c r="W101">
        <f t="shared" si="5"/>
        <v>0.24100000000000002</v>
      </c>
      <c r="X101">
        <f t="shared" si="5"/>
        <v>0.20800000000000002</v>
      </c>
      <c r="Y101">
        <f t="shared" si="5"/>
        <v>0.19</v>
      </c>
      <c r="Z101">
        <f t="shared" si="5"/>
        <v>0.20399999999999999</v>
      </c>
      <c r="AA101">
        <f t="shared" si="5"/>
        <v>0.223</v>
      </c>
      <c r="AB101">
        <f t="shared" si="5"/>
        <v>0.19899999999999998</v>
      </c>
      <c r="AC101">
        <f t="shared" si="5"/>
        <v>0.17800000000000002</v>
      </c>
      <c r="AD101">
        <f t="shared" si="5"/>
        <v>0.14000000000000001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7</v>
      </c>
      <c r="F102">
        <v>21</v>
      </c>
      <c r="G102">
        <v>10</v>
      </c>
      <c r="H102">
        <v>20</v>
      </c>
      <c r="I102">
        <v>-5</v>
      </c>
      <c r="J102">
        <v>20</v>
      </c>
      <c r="K102">
        <v>21.8</v>
      </c>
      <c r="L102">
        <v>22</v>
      </c>
      <c r="M102">
        <v>22.1</v>
      </c>
      <c r="N102">
        <v>20.6</v>
      </c>
      <c r="O102">
        <v>18.600000000000001</v>
      </c>
      <c r="P102">
        <v>16.3</v>
      </c>
      <c r="Q102">
        <v>18.3</v>
      </c>
      <c r="R102">
        <v>13.4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0.2</v>
      </c>
      <c r="W102">
        <f t="shared" si="5"/>
        <v>0.218</v>
      </c>
      <c r="X102">
        <f t="shared" si="5"/>
        <v>0.22</v>
      </c>
      <c r="Y102">
        <f t="shared" si="5"/>
        <v>0.221</v>
      </c>
      <c r="Z102">
        <f t="shared" si="5"/>
        <v>0.20600000000000002</v>
      </c>
      <c r="AA102">
        <f t="shared" si="5"/>
        <v>0.18600000000000003</v>
      </c>
      <c r="AB102">
        <f t="shared" si="5"/>
        <v>0.16300000000000001</v>
      </c>
      <c r="AC102">
        <f t="shared" si="5"/>
        <v>0.183</v>
      </c>
      <c r="AD102">
        <f t="shared" si="5"/>
        <v>0.13400000000000001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7</v>
      </c>
      <c r="F103">
        <v>21</v>
      </c>
      <c r="G103">
        <v>10</v>
      </c>
      <c r="H103">
        <v>35</v>
      </c>
      <c r="I103">
        <v>-5</v>
      </c>
      <c r="J103">
        <v>24.4</v>
      </c>
      <c r="K103">
        <v>24.5</v>
      </c>
      <c r="L103">
        <v>24.7</v>
      </c>
      <c r="M103">
        <v>23.3</v>
      </c>
      <c r="N103">
        <v>23.2</v>
      </c>
      <c r="O103">
        <v>20.2</v>
      </c>
      <c r="P103">
        <v>17.100000000000001</v>
      </c>
      <c r="Q103">
        <v>18.600000000000001</v>
      </c>
      <c r="R103">
        <v>16.100000000000001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0.24399999999999999</v>
      </c>
      <c r="W103">
        <f t="shared" si="5"/>
        <v>0.245</v>
      </c>
      <c r="X103">
        <f t="shared" si="5"/>
        <v>0.247</v>
      </c>
      <c r="Y103">
        <f t="shared" ref="Y103:AD104" si="8">IF(M103&lt;0,"",M103/100)</f>
        <v>0.23300000000000001</v>
      </c>
      <c r="Z103">
        <f t="shared" si="8"/>
        <v>0.23199999999999998</v>
      </c>
      <c r="AA103">
        <f t="shared" si="8"/>
        <v>0.20199999999999999</v>
      </c>
      <c r="AB103">
        <f t="shared" si="8"/>
        <v>0.17100000000000001</v>
      </c>
      <c r="AC103">
        <f t="shared" si="8"/>
        <v>0.18600000000000003</v>
      </c>
      <c r="AD103">
        <f t="shared" si="8"/>
        <v>0.161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7</v>
      </c>
      <c r="F104">
        <v>21</v>
      </c>
      <c r="G104">
        <v>10</v>
      </c>
      <c r="H104">
        <v>31</v>
      </c>
      <c r="I104">
        <v>-5</v>
      </c>
      <c r="J104">
        <v>23.3</v>
      </c>
      <c r="K104">
        <v>21.8</v>
      </c>
      <c r="L104">
        <v>18.3</v>
      </c>
      <c r="M104">
        <v>16.7</v>
      </c>
      <c r="N104">
        <v>16.600000000000001</v>
      </c>
      <c r="O104">
        <v>16</v>
      </c>
      <c r="P104">
        <v>17.5</v>
      </c>
      <c r="Q104">
        <v>17.600000000000001</v>
      </c>
      <c r="R104">
        <v>11.8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0.23300000000000001</v>
      </c>
      <c r="W104">
        <f t="shared" si="7"/>
        <v>0.218</v>
      </c>
      <c r="X104">
        <f t="shared" si="7"/>
        <v>0.183</v>
      </c>
      <c r="Y104">
        <f t="shared" si="8"/>
        <v>0.16699999999999998</v>
      </c>
      <c r="Z104">
        <f t="shared" si="8"/>
        <v>0.16600000000000001</v>
      </c>
      <c r="AA104">
        <f t="shared" si="8"/>
        <v>0.16</v>
      </c>
      <c r="AB104">
        <f t="shared" si="8"/>
        <v>0.17499999999999999</v>
      </c>
      <c r="AC104">
        <f t="shared" si="8"/>
        <v>0.17600000000000002</v>
      </c>
      <c r="AD104">
        <f t="shared" si="8"/>
        <v>0.11800000000000001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03"/>
  <sheetViews>
    <sheetView topLeftCell="N38" workbookViewId="0">
      <selection activeCell="T74" sqref="T74:AD103"/>
    </sheetView>
  </sheetViews>
  <sheetFormatPr defaultRowHeight="15" x14ac:dyDescent="0.25"/>
  <sheetData>
    <row r="1" spans="1:7" x14ac:dyDescent="0.25">
      <c r="A1" s="2">
        <v>41848</v>
      </c>
    </row>
    <row r="2" spans="1:7" x14ac:dyDescent="0.25">
      <c r="A2" t="s">
        <v>3</v>
      </c>
      <c r="B2">
        <v>6114</v>
      </c>
      <c r="C2" t="s">
        <v>4</v>
      </c>
      <c r="D2">
        <v>9777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454</v>
      </c>
      <c r="B19">
        <v>454</v>
      </c>
      <c r="C19">
        <v>1</v>
      </c>
      <c r="D19">
        <v>14</v>
      </c>
      <c r="E19">
        <v>7</v>
      </c>
      <c r="F19">
        <v>28</v>
      </c>
      <c r="G19">
        <v>6</v>
      </c>
      <c r="H19">
        <v>12</v>
      </c>
      <c r="I19">
        <v>11</v>
      </c>
      <c r="J19">
        <v>12.5</v>
      </c>
      <c r="K19">
        <v>13.2</v>
      </c>
      <c r="L19">
        <v>14.8</v>
      </c>
      <c r="M19">
        <v>16.7</v>
      </c>
      <c r="N19">
        <v>18</v>
      </c>
      <c r="O19">
        <v>19.5</v>
      </c>
      <c r="P19">
        <v>18.899999999999999</v>
      </c>
      <c r="Q19">
        <v>16.399999999999999</v>
      </c>
      <c r="R19">
        <v>6.6</v>
      </c>
      <c r="S19">
        <f>B19</f>
        <v>454</v>
      </c>
      <c r="T19" t="s">
        <v>51</v>
      </c>
      <c r="U19">
        <f>IF(I19&lt;0,"",I19/100)</f>
        <v>0.11</v>
      </c>
      <c r="V19">
        <f t="shared" ref="V19:AD47" si="0">IF(J19&lt;0,"",J19/100)</f>
        <v>0.125</v>
      </c>
      <c r="W19">
        <f t="shared" si="0"/>
        <v>0.13200000000000001</v>
      </c>
      <c r="X19">
        <f t="shared" si="0"/>
        <v>0.14800000000000002</v>
      </c>
      <c r="Y19">
        <f t="shared" si="0"/>
        <v>0.16699999999999998</v>
      </c>
      <c r="Z19">
        <f t="shared" si="0"/>
        <v>0.18</v>
      </c>
      <c r="AA19">
        <f t="shared" si="0"/>
        <v>0.19500000000000001</v>
      </c>
      <c r="AB19">
        <f t="shared" si="0"/>
        <v>0.18899999999999997</v>
      </c>
      <c r="AC19">
        <f t="shared" si="0"/>
        <v>0.16399999999999998</v>
      </c>
      <c r="AD19">
        <f t="shared" si="0"/>
        <v>6.6000000000000003E-2</v>
      </c>
    </row>
    <row r="20" spans="1:30" x14ac:dyDescent="0.25">
      <c r="A20">
        <v>453</v>
      </c>
      <c r="B20">
        <v>2</v>
      </c>
      <c r="C20">
        <v>0</v>
      </c>
      <c r="D20">
        <v>14</v>
      </c>
      <c r="E20">
        <v>7</v>
      </c>
      <c r="F20">
        <v>28</v>
      </c>
      <c r="G20">
        <v>6</v>
      </c>
      <c r="H20">
        <v>17</v>
      </c>
      <c r="I20">
        <v>24.6</v>
      </c>
      <c r="J20">
        <v>15.1</v>
      </c>
      <c r="K20">
        <v>12.3</v>
      </c>
      <c r="L20">
        <v>14</v>
      </c>
      <c r="M20">
        <v>15.6</v>
      </c>
      <c r="N20">
        <v>16.2</v>
      </c>
      <c r="O20">
        <v>17.5</v>
      </c>
      <c r="P20">
        <v>19</v>
      </c>
      <c r="Q20">
        <v>16.600000000000001</v>
      </c>
      <c r="R20">
        <v>7.3</v>
      </c>
      <c r="S20">
        <f t="shared" ref="S20:S54" si="1">B20</f>
        <v>2</v>
      </c>
      <c r="T20" t="s">
        <v>55</v>
      </c>
      <c r="U20">
        <f t="shared" ref="U20:X48" si="2">IF(I20&lt;0,"",I20/100)</f>
        <v>0.24600000000000002</v>
      </c>
      <c r="V20">
        <f t="shared" si="0"/>
        <v>0.151</v>
      </c>
      <c r="W20">
        <f t="shared" si="0"/>
        <v>0.12300000000000001</v>
      </c>
      <c r="X20">
        <f t="shared" si="0"/>
        <v>0.14000000000000001</v>
      </c>
      <c r="Y20">
        <f t="shared" si="0"/>
        <v>0.156</v>
      </c>
      <c r="Z20">
        <f t="shared" si="0"/>
        <v>0.16200000000000001</v>
      </c>
      <c r="AA20">
        <f t="shared" si="0"/>
        <v>0.17499999999999999</v>
      </c>
      <c r="AB20">
        <f t="shared" si="0"/>
        <v>0.19</v>
      </c>
      <c r="AC20">
        <f t="shared" si="0"/>
        <v>0.16600000000000001</v>
      </c>
      <c r="AD20">
        <f t="shared" si="0"/>
        <v>7.2999999999999995E-2</v>
      </c>
    </row>
    <row r="21" spans="1:30" x14ac:dyDescent="0.25">
      <c r="A21">
        <v>452</v>
      </c>
      <c r="B21">
        <v>3</v>
      </c>
      <c r="C21">
        <v>0</v>
      </c>
      <c r="D21">
        <v>14</v>
      </c>
      <c r="E21">
        <v>7</v>
      </c>
      <c r="F21">
        <v>28</v>
      </c>
      <c r="G21">
        <v>6</v>
      </c>
      <c r="H21">
        <v>21</v>
      </c>
      <c r="I21">
        <v>13.7</v>
      </c>
      <c r="J21">
        <v>17.5</v>
      </c>
      <c r="K21">
        <v>20.8</v>
      </c>
      <c r="L21">
        <v>21.8</v>
      </c>
      <c r="M21">
        <v>19.899999999999999</v>
      </c>
      <c r="N21">
        <v>17.600000000000001</v>
      </c>
      <c r="O21">
        <v>17.7</v>
      </c>
      <c r="P21">
        <v>20.5</v>
      </c>
      <c r="Q21">
        <v>21.6</v>
      </c>
      <c r="R21">
        <v>7.8</v>
      </c>
      <c r="S21">
        <f t="shared" si="1"/>
        <v>3</v>
      </c>
      <c r="T21" t="s">
        <v>56</v>
      </c>
      <c r="U21">
        <f t="shared" si="2"/>
        <v>0.13699999999999998</v>
      </c>
      <c r="V21">
        <f t="shared" si="0"/>
        <v>0.17499999999999999</v>
      </c>
      <c r="W21">
        <f t="shared" si="0"/>
        <v>0.20800000000000002</v>
      </c>
      <c r="X21">
        <f t="shared" si="0"/>
        <v>0.218</v>
      </c>
      <c r="Y21">
        <f t="shared" si="0"/>
        <v>0.19899999999999998</v>
      </c>
      <c r="Z21">
        <f t="shared" si="0"/>
        <v>0.17600000000000002</v>
      </c>
      <c r="AA21">
        <f t="shared" si="0"/>
        <v>0.17699999999999999</v>
      </c>
      <c r="AB21">
        <f t="shared" si="0"/>
        <v>0.20499999999999999</v>
      </c>
      <c r="AC21">
        <f t="shared" si="0"/>
        <v>0.21600000000000003</v>
      </c>
      <c r="AD21">
        <f t="shared" si="0"/>
        <v>7.8E-2</v>
      </c>
    </row>
    <row r="22" spans="1:30" x14ac:dyDescent="0.25">
      <c r="A22">
        <v>451</v>
      </c>
      <c r="B22">
        <v>4</v>
      </c>
      <c r="C22">
        <v>0</v>
      </c>
      <c r="D22">
        <v>14</v>
      </c>
      <c r="E22">
        <v>7</v>
      </c>
      <c r="F22">
        <v>28</v>
      </c>
      <c r="G22">
        <v>6</v>
      </c>
      <c r="H22">
        <v>26</v>
      </c>
      <c r="I22">
        <v>-5.9</v>
      </c>
      <c r="J22">
        <v>14.5</v>
      </c>
      <c r="K22">
        <v>15.6</v>
      </c>
      <c r="L22">
        <v>18.399999999999999</v>
      </c>
      <c r="M22">
        <v>20</v>
      </c>
      <c r="N22">
        <v>20</v>
      </c>
      <c r="O22">
        <v>19.8</v>
      </c>
      <c r="P22">
        <v>18</v>
      </c>
      <c r="Q22">
        <v>15.7</v>
      </c>
      <c r="R22">
        <v>7.7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0.14499999999999999</v>
      </c>
      <c r="W22">
        <f t="shared" si="0"/>
        <v>0.156</v>
      </c>
      <c r="X22">
        <f t="shared" si="0"/>
        <v>0.184</v>
      </c>
      <c r="Y22">
        <f t="shared" si="0"/>
        <v>0.2</v>
      </c>
      <c r="Z22">
        <f t="shared" si="0"/>
        <v>0.2</v>
      </c>
      <c r="AA22">
        <f t="shared" si="0"/>
        <v>0.19800000000000001</v>
      </c>
      <c r="AB22">
        <f t="shared" si="0"/>
        <v>0.18</v>
      </c>
      <c r="AC22">
        <f t="shared" si="0"/>
        <v>0.157</v>
      </c>
      <c r="AD22">
        <f t="shared" si="0"/>
        <v>7.6999999999999999E-2</v>
      </c>
    </row>
    <row r="23" spans="1:30" x14ac:dyDescent="0.25">
      <c r="A23">
        <v>450</v>
      </c>
      <c r="B23">
        <v>5</v>
      </c>
      <c r="C23">
        <v>0</v>
      </c>
      <c r="D23">
        <v>14</v>
      </c>
      <c r="E23">
        <v>7</v>
      </c>
      <c r="F23">
        <v>28</v>
      </c>
      <c r="G23">
        <v>6</v>
      </c>
      <c r="H23">
        <v>30</v>
      </c>
      <c r="I23">
        <v>-5.9</v>
      </c>
      <c r="J23">
        <v>-5.9</v>
      </c>
      <c r="K23">
        <v>20.5</v>
      </c>
      <c r="L23">
        <v>25.4</v>
      </c>
      <c r="M23">
        <v>20.5</v>
      </c>
      <c r="N23">
        <v>22.4</v>
      </c>
      <c r="O23">
        <v>20.3</v>
      </c>
      <c r="P23">
        <v>20.8</v>
      </c>
      <c r="Q23">
        <v>23.1</v>
      </c>
      <c r="R23">
        <v>13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>
        <f t="shared" si="0"/>
        <v>0.20499999999999999</v>
      </c>
      <c r="X23">
        <f t="shared" si="0"/>
        <v>0.254</v>
      </c>
      <c r="Y23">
        <f t="shared" si="0"/>
        <v>0.20499999999999999</v>
      </c>
      <c r="Z23">
        <f t="shared" si="0"/>
        <v>0.22399999999999998</v>
      </c>
      <c r="AA23">
        <f t="shared" si="0"/>
        <v>0.20300000000000001</v>
      </c>
      <c r="AB23">
        <f t="shared" si="0"/>
        <v>0.20800000000000002</v>
      </c>
      <c r="AC23">
        <f t="shared" si="0"/>
        <v>0.23100000000000001</v>
      </c>
      <c r="AD23">
        <f t="shared" si="0"/>
        <v>0.13</v>
      </c>
    </row>
    <row r="24" spans="1:30" x14ac:dyDescent="0.25">
      <c r="A24">
        <v>449</v>
      </c>
      <c r="B24">
        <v>6</v>
      </c>
      <c r="C24">
        <v>0</v>
      </c>
      <c r="D24">
        <v>14</v>
      </c>
      <c r="E24">
        <v>7</v>
      </c>
      <c r="F24">
        <v>28</v>
      </c>
      <c r="G24">
        <v>6</v>
      </c>
      <c r="H24">
        <v>34</v>
      </c>
      <c r="I24">
        <v>-5.9</v>
      </c>
      <c r="J24">
        <v>20.8</v>
      </c>
      <c r="K24">
        <v>20.9</v>
      </c>
      <c r="L24">
        <v>20.5</v>
      </c>
      <c r="M24">
        <v>22.3</v>
      </c>
      <c r="N24">
        <v>21.4</v>
      </c>
      <c r="O24">
        <v>20</v>
      </c>
      <c r="P24">
        <v>21.1</v>
      </c>
      <c r="Q24">
        <v>17.3</v>
      </c>
      <c r="R24">
        <v>6.7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0.20800000000000002</v>
      </c>
      <c r="W24">
        <f t="shared" si="0"/>
        <v>0.20899999999999999</v>
      </c>
      <c r="X24">
        <f t="shared" si="0"/>
        <v>0.20499999999999999</v>
      </c>
      <c r="Y24">
        <f t="shared" si="0"/>
        <v>0.223</v>
      </c>
      <c r="Z24">
        <f t="shared" si="0"/>
        <v>0.214</v>
      </c>
      <c r="AA24">
        <f t="shared" si="0"/>
        <v>0.2</v>
      </c>
      <c r="AB24">
        <f t="shared" si="0"/>
        <v>0.21100000000000002</v>
      </c>
      <c r="AC24">
        <f t="shared" si="0"/>
        <v>0.17300000000000001</v>
      </c>
      <c r="AD24">
        <f t="shared" si="0"/>
        <v>6.7000000000000004E-2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7</v>
      </c>
      <c r="F25">
        <v>28</v>
      </c>
      <c r="G25">
        <v>6</v>
      </c>
      <c r="H25">
        <v>31</v>
      </c>
      <c r="I25">
        <v>-5.9</v>
      </c>
      <c r="J25">
        <v>-5.9</v>
      </c>
      <c r="K25">
        <v>28.7</v>
      </c>
      <c r="L25">
        <v>30.3</v>
      </c>
      <c r="M25">
        <v>22.2</v>
      </c>
      <c r="N25">
        <v>21.5</v>
      </c>
      <c r="O25">
        <v>24</v>
      </c>
      <c r="P25">
        <v>21.6</v>
      </c>
      <c r="Q25">
        <v>22.2</v>
      </c>
      <c r="R25">
        <v>14.1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0.28699999999999998</v>
      </c>
      <c r="X25">
        <f t="shared" si="0"/>
        <v>0.30299999999999999</v>
      </c>
      <c r="Y25">
        <f t="shared" si="0"/>
        <v>0.222</v>
      </c>
      <c r="Z25">
        <f t="shared" si="0"/>
        <v>0.215</v>
      </c>
      <c r="AA25">
        <f t="shared" si="0"/>
        <v>0.24</v>
      </c>
      <c r="AB25">
        <f t="shared" si="0"/>
        <v>0.21600000000000003</v>
      </c>
      <c r="AC25">
        <f t="shared" si="0"/>
        <v>0.222</v>
      </c>
      <c r="AD25">
        <f t="shared" si="0"/>
        <v>0.14099999999999999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7</v>
      </c>
      <c r="F26">
        <v>28</v>
      </c>
      <c r="G26">
        <v>6</v>
      </c>
      <c r="H26">
        <v>43</v>
      </c>
      <c r="I26">
        <v>-5.9</v>
      </c>
      <c r="J26">
        <v>-5.9</v>
      </c>
      <c r="K26">
        <v>28.3</v>
      </c>
      <c r="L26">
        <v>20.3</v>
      </c>
      <c r="M26">
        <v>22.1</v>
      </c>
      <c r="N26">
        <v>22.9</v>
      </c>
      <c r="O26">
        <v>19.399999999999999</v>
      </c>
      <c r="P26">
        <v>24.5</v>
      </c>
      <c r="Q26">
        <v>22.8</v>
      </c>
      <c r="R26">
        <v>13.2</v>
      </c>
      <c r="S26">
        <f t="shared" si="1"/>
        <v>8</v>
      </c>
      <c r="T26" t="s">
        <v>61</v>
      </c>
      <c r="U26" t="str">
        <f t="shared" si="2"/>
        <v/>
      </c>
      <c r="V26" t="str">
        <f t="shared" si="0"/>
        <v/>
      </c>
      <c r="W26">
        <f t="shared" si="0"/>
        <v>0.28300000000000003</v>
      </c>
      <c r="X26">
        <f t="shared" si="0"/>
        <v>0.20300000000000001</v>
      </c>
      <c r="Y26">
        <f t="shared" si="0"/>
        <v>0.221</v>
      </c>
      <c r="Z26">
        <f t="shared" si="0"/>
        <v>0.22899999999999998</v>
      </c>
      <c r="AA26">
        <f t="shared" si="0"/>
        <v>0.19399999999999998</v>
      </c>
      <c r="AB26">
        <f t="shared" si="0"/>
        <v>0.245</v>
      </c>
      <c r="AC26">
        <f t="shared" si="0"/>
        <v>0.22800000000000001</v>
      </c>
      <c r="AD26">
        <f t="shared" si="0"/>
        <v>0.13200000000000001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7</v>
      </c>
      <c r="F27">
        <v>28</v>
      </c>
      <c r="G27">
        <v>6</v>
      </c>
      <c r="H27">
        <v>40</v>
      </c>
      <c r="I27">
        <v>18</v>
      </c>
      <c r="J27">
        <v>16.7</v>
      </c>
      <c r="K27">
        <v>16.7</v>
      </c>
      <c r="L27">
        <v>21.2</v>
      </c>
      <c r="M27">
        <v>24.4</v>
      </c>
      <c r="N27">
        <v>24.2</v>
      </c>
      <c r="O27">
        <v>26</v>
      </c>
      <c r="P27">
        <v>19.8</v>
      </c>
      <c r="Q27">
        <v>17.8</v>
      </c>
      <c r="R27">
        <v>10.9</v>
      </c>
      <c r="S27">
        <f t="shared" si="1"/>
        <v>9</v>
      </c>
      <c r="T27" t="s">
        <v>63</v>
      </c>
      <c r="U27">
        <f t="shared" si="2"/>
        <v>0.18</v>
      </c>
      <c r="V27">
        <f t="shared" si="0"/>
        <v>0.16699999999999998</v>
      </c>
      <c r="W27">
        <f t="shared" si="0"/>
        <v>0.16699999999999998</v>
      </c>
      <c r="X27">
        <f t="shared" si="0"/>
        <v>0.21199999999999999</v>
      </c>
      <c r="Y27">
        <f t="shared" si="0"/>
        <v>0.24399999999999999</v>
      </c>
      <c r="Z27">
        <f t="shared" si="0"/>
        <v>0.24199999999999999</v>
      </c>
      <c r="AA27">
        <f t="shared" si="0"/>
        <v>0.26</v>
      </c>
      <c r="AB27">
        <f t="shared" si="0"/>
        <v>0.19800000000000001</v>
      </c>
      <c r="AC27">
        <f t="shared" si="0"/>
        <v>0.17800000000000002</v>
      </c>
      <c r="AD27">
        <f t="shared" si="0"/>
        <v>0.109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7</v>
      </c>
      <c r="F28">
        <v>28</v>
      </c>
      <c r="G28">
        <v>6</v>
      </c>
      <c r="H28">
        <v>54</v>
      </c>
      <c r="I28">
        <v>17.399999999999999</v>
      </c>
      <c r="J28">
        <v>14.8</v>
      </c>
      <c r="K28">
        <v>16.5</v>
      </c>
      <c r="L28">
        <v>17.899999999999999</v>
      </c>
      <c r="M28">
        <v>23.1</v>
      </c>
      <c r="N28">
        <v>23.8</v>
      </c>
      <c r="O28">
        <v>22</v>
      </c>
      <c r="P28">
        <v>24.5</v>
      </c>
      <c r="Q28">
        <v>21.1</v>
      </c>
      <c r="R28">
        <v>12.9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0.14800000000000002</v>
      </c>
      <c r="W28">
        <f t="shared" si="0"/>
        <v>0.16500000000000001</v>
      </c>
      <c r="X28">
        <f t="shared" si="0"/>
        <v>0.17899999999999999</v>
      </c>
      <c r="Y28">
        <f t="shared" si="0"/>
        <v>0.23100000000000001</v>
      </c>
      <c r="Z28">
        <f t="shared" si="0"/>
        <v>0.23800000000000002</v>
      </c>
      <c r="AA28">
        <f t="shared" si="0"/>
        <v>0.22</v>
      </c>
      <c r="AB28">
        <f t="shared" si="0"/>
        <v>0.245</v>
      </c>
      <c r="AC28">
        <f t="shared" si="0"/>
        <v>0.21100000000000002</v>
      </c>
      <c r="AD28">
        <f t="shared" si="0"/>
        <v>0.129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7</v>
      </c>
      <c r="F29">
        <v>28</v>
      </c>
      <c r="G29">
        <v>6</v>
      </c>
      <c r="H29">
        <v>51</v>
      </c>
      <c r="I29">
        <v>15.9</v>
      </c>
      <c r="J29">
        <v>17.100000000000001</v>
      </c>
      <c r="K29">
        <v>19.3</v>
      </c>
      <c r="L29">
        <v>21.2</v>
      </c>
      <c r="M29">
        <v>24.5</v>
      </c>
      <c r="N29">
        <v>25.6</v>
      </c>
      <c r="O29">
        <v>25.8</v>
      </c>
      <c r="P29">
        <v>23.7</v>
      </c>
      <c r="Q29">
        <v>18.2</v>
      </c>
      <c r="R29">
        <v>11.5</v>
      </c>
      <c r="S29">
        <f t="shared" si="1"/>
        <v>11</v>
      </c>
      <c r="T29" t="s">
        <v>52</v>
      </c>
      <c r="U29">
        <f t="shared" si="2"/>
        <v>0.159</v>
      </c>
      <c r="V29">
        <f t="shared" si="0"/>
        <v>0.17100000000000001</v>
      </c>
      <c r="W29">
        <f t="shared" si="0"/>
        <v>0.193</v>
      </c>
      <c r="X29">
        <f t="shared" si="0"/>
        <v>0.21199999999999999</v>
      </c>
      <c r="Y29">
        <f t="shared" si="0"/>
        <v>0.245</v>
      </c>
      <c r="Z29">
        <f t="shared" si="0"/>
        <v>0.25600000000000001</v>
      </c>
      <c r="AA29">
        <f t="shared" si="0"/>
        <v>0.25800000000000001</v>
      </c>
      <c r="AB29">
        <f t="shared" si="0"/>
        <v>0.23699999999999999</v>
      </c>
      <c r="AC29">
        <f t="shared" si="0"/>
        <v>0.182</v>
      </c>
      <c r="AD29">
        <f t="shared" si="0"/>
        <v>0.115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7</v>
      </c>
      <c r="F30">
        <v>28</v>
      </c>
      <c r="G30">
        <v>7</v>
      </c>
      <c r="H30">
        <v>5</v>
      </c>
      <c r="I30">
        <v>26.2</v>
      </c>
      <c r="J30">
        <v>15.7</v>
      </c>
      <c r="K30">
        <v>16.899999999999999</v>
      </c>
      <c r="L30">
        <v>26.3</v>
      </c>
      <c r="M30">
        <v>25</v>
      </c>
      <c r="N30">
        <v>23.2</v>
      </c>
      <c r="O30">
        <v>23.7</v>
      </c>
      <c r="P30">
        <v>22</v>
      </c>
      <c r="Q30">
        <v>19.7</v>
      </c>
      <c r="R30">
        <v>12.3</v>
      </c>
      <c r="S30">
        <f t="shared" si="1"/>
        <v>12</v>
      </c>
      <c r="T30" t="s">
        <v>64</v>
      </c>
      <c r="U30">
        <f t="shared" si="2"/>
        <v>0.26200000000000001</v>
      </c>
      <c r="V30">
        <f t="shared" si="0"/>
        <v>0.157</v>
      </c>
      <c r="W30">
        <f t="shared" si="0"/>
        <v>0.16899999999999998</v>
      </c>
      <c r="X30">
        <f t="shared" si="0"/>
        <v>0.26300000000000001</v>
      </c>
      <c r="Y30">
        <f t="shared" si="0"/>
        <v>0.25</v>
      </c>
      <c r="Z30">
        <f t="shared" si="0"/>
        <v>0.23199999999999998</v>
      </c>
      <c r="AA30">
        <f t="shared" si="0"/>
        <v>0.23699999999999999</v>
      </c>
      <c r="AB30">
        <f t="shared" si="0"/>
        <v>0.22</v>
      </c>
      <c r="AC30">
        <f t="shared" si="0"/>
        <v>0.19699999999999998</v>
      </c>
      <c r="AD30">
        <f t="shared" si="0"/>
        <v>0.12300000000000001</v>
      </c>
    </row>
    <row r="31" spans="1:30" x14ac:dyDescent="0.25">
      <c r="A31">
        <v>442</v>
      </c>
      <c r="B31">
        <v>13</v>
      </c>
      <c r="C31">
        <v>0</v>
      </c>
      <c r="D31">
        <v>14</v>
      </c>
      <c r="E31">
        <v>7</v>
      </c>
      <c r="F31">
        <v>28</v>
      </c>
      <c r="G31">
        <v>7</v>
      </c>
      <c r="H31">
        <v>15</v>
      </c>
      <c r="I31">
        <v>19.399999999999999</v>
      </c>
      <c r="J31">
        <v>20.2</v>
      </c>
      <c r="K31">
        <v>19.7</v>
      </c>
      <c r="L31">
        <v>25</v>
      </c>
      <c r="M31">
        <v>24</v>
      </c>
      <c r="N31">
        <v>26.8</v>
      </c>
      <c r="O31">
        <v>26.8</v>
      </c>
      <c r="P31">
        <v>28.5</v>
      </c>
      <c r="Q31">
        <v>26.7</v>
      </c>
      <c r="R31">
        <v>18.899999999999999</v>
      </c>
      <c r="S31">
        <f t="shared" si="1"/>
        <v>13</v>
      </c>
      <c r="T31" t="s">
        <v>29</v>
      </c>
      <c r="U31">
        <f t="shared" si="2"/>
        <v>0.19399999999999998</v>
      </c>
      <c r="V31">
        <f t="shared" si="0"/>
        <v>0.20199999999999999</v>
      </c>
      <c r="W31">
        <f t="shared" si="0"/>
        <v>0.19699999999999998</v>
      </c>
      <c r="X31">
        <f t="shared" si="0"/>
        <v>0.25</v>
      </c>
      <c r="Y31">
        <f t="shared" si="0"/>
        <v>0.24</v>
      </c>
      <c r="Z31">
        <f t="shared" si="0"/>
        <v>0.26800000000000002</v>
      </c>
      <c r="AA31">
        <f t="shared" si="0"/>
        <v>0.26800000000000002</v>
      </c>
      <c r="AB31">
        <f t="shared" si="0"/>
        <v>0.28499999999999998</v>
      </c>
      <c r="AC31">
        <f t="shared" si="0"/>
        <v>0.26700000000000002</v>
      </c>
      <c r="AD31">
        <f t="shared" si="0"/>
        <v>0.18899999999999997</v>
      </c>
    </row>
    <row r="32" spans="1:30" x14ac:dyDescent="0.25">
      <c r="A32">
        <v>441</v>
      </c>
      <c r="B32">
        <v>14</v>
      </c>
      <c r="C32">
        <v>0</v>
      </c>
      <c r="D32">
        <v>14</v>
      </c>
      <c r="E32">
        <v>7</v>
      </c>
      <c r="F32">
        <v>28</v>
      </c>
      <c r="G32">
        <v>7</v>
      </c>
      <c r="H32">
        <v>22</v>
      </c>
      <c r="I32">
        <v>19.3</v>
      </c>
      <c r="J32">
        <v>19.600000000000001</v>
      </c>
      <c r="K32">
        <v>24</v>
      </c>
      <c r="L32">
        <v>26</v>
      </c>
      <c r="M32">
        <v>25.2</v>
      </c>
      <c r="N32">
        <v>25.2</v>
      </c>
      <c r="O32">
        <v>26.5</v>
      </c>
      <c r="P32">
        <v>20</v>
      </c>
      <c r="Q32">
        <v>19.3</v>
      </c>
      <c r="R32">
        <v>13</v>
      </c>
      <c r="S32">
        <f t="shared" si="1"/>
        <v>14</v>
      </c>
      <c r="T32" t="s">
        <v>30</v>
      </c>
      <c r="U32">
        <f t="shared" si="2"/>
        <v>0.193</v>
      </c>
      <c r="V32">
        <f t="shared" si="0"/>
        <v>0.19600000000000001</v>
      </c>
      <c r="W32">
        <f t="shared" si="0"/>
        <v>0.24</v>
      </c>
      <c r="X32">
        <f t="shared" si="0"/>
        <v>0.26</v>
      </c>
      <c r="Y32">
        <f t="shared" si="0"/>
        <v>0.252</v>
      </c>
      <c r="Z32">
        <f t="shared" si="0"/>
        <v>0.252</v>
      </c>
      <c r="AA32">
        <f t="shared" si="0"/>
        <v>0.26500000000000001</v>
      </c>
      <c r="AB32">
        <f t="shared" si="0"/>
        <v>0.2</v>
      </c>
      <c r="AC32">
        <f t="shared" si="0"/>
        <v>0.193</v>
      </c>
      <c r="AD32">
        <f t="shared" si="0"/>
        <v>0.13</v>
      </c>
    </row>
    <row r="33" spans="1:30" x14ac:dyDescent="0.25">
      <c r="A33">
        <v>440</v>
      </c>
      <c r="B33">
        <v>15</v>
      </c>
      <c r="C33">
        <v>0</v>
      </c>
      <c r="D33">
        <v>14</v>
      </c>
      <c r="E33">
        <v>7</v>
      </c>
      <c r="F33">
        <v>28</v>
      </c>
      <c r="G33">
        <v>7</v>
      </c>
      <c r="H33">
        <v>30</v>
      </c>
      <c r="I33">
        <v>20.5</v>
      </c>
      <c r="J33">
        <v>16.899999999999999</v>
      </c>
      <c r="K33">
        <v>17.399999999999999</v>
      </c>
      <c r="L33">
        <v>19.899999999999999</v>
      </c>
      <c r="M33">
        <v>25.5</v>
      </c>
      <c r="N33">
        <v>24.8</v>
      </c>
      <c r="O33">
        <v>23.3</v>
      </c>
      <c r="P33">
        <v>23.9</v>
      </c>
      <c r="Q33">
        <v>24.1</v>
      </c>
      <c r="R33">
        <v>19.399999999999999</v>
      </c>
      <c r="S33">
        <f t="shared" si="1"/>
        <v>15</v>
      </c>
      <c r="T33" t="s">
        <v>31</v>
      </c>
      <c r="U33">
        <f t="shared" si="2"/>
        <v>0.20499999999999999</v>
      </c>
      <c r="V33">
        <f t="shared" si="0"/>
        <v>0.16899999999999998</v>
      </c>
      <c r="W33">
        <f t="shared" si="0"/>
        <v>0.17399999999999999</v>
      </c>
      <c r="X33">
        <f t="shared" si="0"/>
        <v>0.19899999999999998</v>
      </c>
      <c r="Y33">
        <f t="shared" si="0"/>
        <v>0.255</v>
      </c>
      <c r="Z33">
        <f t="shared" si="0"/>
        <v>0.248</v>
      </c>
      <c r="AA33">
        <f t="shared" si="0"/>
        <v>0.23300000000000001</v>
      </c>
      <c r="AB33">
        <f t="shared" si="0"/>
        <v>0.23899999999999999</v>
      </c>
      <c r="AC33">
        <f t="shared" si="0"/>
        <v>0.24100000000000002</v>
      </c>
      <c r="AD33">
        <f t="shared" si="0"/>
        <v>0.19399999999999998</v>
      </c>
    </row>
    <row r="34" spans="1:30" x14ac:dyDescent="0.25">
      <c r="A34">
        <v>439</v>
      </c>
      <c r="B34">
        <v>16</v>
      </c>
      <c r="C34">
        <v>0</v>
      </c>
      <c r="D34">
        <v>14</v>
      </c>
      <c r="E34">
        <v>7</v>
      </c>
      <c r="F34">
        <v>28</v>
      </c>
      <c r="G34">
        <v>7</v>
      </c>
      <c r="H34">
        <v>36</v>
      </c>
      <c r="I34">
        <v>25.6</v>
      </c>
      <c r="J34">
        <v>20.9</v>
      </c>
      <c r="K34">
        <v>22.6</v>
      </c>
      <c r="L34">
        <v>21.2</v>
      </c>
      <c r="M34">
        <v>21.1</v>
      </c>
      <c r="N34">
        <v>20.399999999999999</v>
      </c>
      <c r="O34">
        <v>17.600000000000001</v>
      </c>
      <c r="P34">
        <v>16.8</v>
      </c>
      <c r="Q34">
        <v>21.5</v>
      </c>
      <c r="R34">
        <v>14.9</v>
      </c>
      <c r="S34">
        <f t="shared" si="1"/>
        <v>16</v>
      </c>
      <c r="T34" t="s">
        <v>32</v>
      </c>
      <c r="U34">
        <f t="shared" si="2"/>
        <v>0.25600000000000001</v>
      </c>
      <c r="V34">
        <f t="shared" si="0"/>
        <v>0.20899999999999999</v>
      </c>
      <c r="W34">
        <f t="shared" si="0"/>
        <v>0.22600000000000001</v>
      </c>
      <c r="X34">
        <f t="shared" si="0"/>
        <v>0.21199999999999999</v>
      </c>
      <c r="Y34">
        <f t="shared" si="0"/>
        <v>0.21100000000000002</v>
      </c>
      <c r="Z34">
        <f t="shared" si="0"/>
        <v>0.20399999999999999</v>
      </c>
      <c r="AA34">
        <f t="shared" si="0"/>
        <v>0.17600000000000002</v>
      </c>
      <c r="AB34">
        <f t="shared" si="0"/>
        <v>0.16800000000000001</v>
      </c>
      <c r="AC34">
        <f t="shared" si="0"/>
        <v>0.215</v>
      </c>
      <c r="AD34">
        <f t="shared" si="0"/>
        <v>0.14899999999999999</v>
      </c>
    </row>
    <row r="35" spans="1:30" x14ac:dyDescent="0.25">
      <c r="A35">
        <v>438</v>
      </c>
      <c r="B35">
        <v>17</v>
      </c>
      <c r="C35">
        <v>0</v>
      </c>
      <c r="D35">
        <v>14</v>
      </c>
      <c r="E35">
        <v>7</v>
      </c>
      <c r="F35">
        <v>28</v>
      </c>
      <c r="G35">
        <v>7</v>
      </c>
      <c r="H35">
        <v>41</v>
      </c>
      <c r="I35">
        <v>18.8</v>
      </c>
      <c r="J35">
        <v>18</v>
      </c>
      <c r="K35">
        <v>19.3</v>
      </c>
      <c r="L35">
        <v>20.100000000000001</v>
      </c>
      <c r="M35">
        <v>22.9</v>
      </c>
      <c r="N35">
        <v>25.8</v>
      </c>
      <c r="O35">
        <v>26.4</v>
      </c>
      <c r="P35">
        <v>22.7</v>
      </c>
      <c r="Q35">
        <v>20.100000000000001</v>
      </c>
      <c r="R35">
        <v>15.3</v>
      </c>
      <c r="S35">
        <f t="shared" si="1"/>
        <v>17</v>
      </c>
      <c r="T35" t="s">
        <v>33</v>
      </c>
      <c r="U35">
        <f t="shared" si="2"/>
        <v>0.188</v>
      </c>
      <c r="V35">
        <f t="shared" si="0"/>
        <v>0.18</v>
      </c>
      <c r="W35">
        <f t="shared" si="0"/>
        <v>0.193</v>
      </c>
      <c r="X35">
        <f t="shared" si="0"/>
        <v>0.20100000000000001</v>
      </c>
      <c r="Y35">
        <f t="shared" si="0"/>
        <v>0.22899999999999998</v>
      </c>
      <c r="Z35">
        <f t="shared" si="0"/>
        <v>0.25800000000000001</v>
      </c>
      <c r="AA35">
        <f t="shared" si="0"/>
        <v>0.26400000000000001</v>
      </c>
      <c r="AB35">
        <f t="shared" si="0"/>
        <v>0.22699999999999998</v>
      </c>
      <c r="AC35">
        <f t="shared" si="0"/>
        <v>0.20100000000000001</v>
      </c>
      <c r="AD35">
        <f t="shared" si="0"/>
        <v>0.153</v>
      </c>
    </row>
    <row r="36" spans="1:30" x14ac:dyDescent="0.25">
      <c r="A36">
        <v>437</v>
      </c>
      <c r="B36">
        <v>18</v>
      </c>
      <c r="C36">
        <v>0</v>
      </c>
      <c r="D36">
        <v>14</v>
      </c>
      <c r="E36">
        <v>7</v>
      </c>
      <c r="F36">
        <v>28</v>
      </c>
      <c r="G36">
        <v>7</v>
      </c>
      <c r="H36">
        <v>46</v>
      </c>
      <c r="I36">
        <v>21.7</v>
      </c>
      <c r="J36">
        <v>19.100000000000001</v>
      </c>
      <c r="K36">
        <v>26.8</v>
      </c>
      <c r="L36">
        <v>29.5</v>
      </c>
      <c r="M36">
        <v>24.3</v>
      </c>
      <c r="N36">
        <v>25</v>
      </c>
      <c r="O36">
        <v>23.5</v>
      </c>
      <c r="P36">
        <v>20.7</v>
      </c>
      <c r="Q36">
        <v>16.600000000000001</v>
      </c>
      <c r="R36">
        <v>7.6</v>
      </c>
      <c r="S36">
        <f t="shared" si="1"/>
        <v>18</v>
      </c>
      <c r="T36" t="s">
        <v>34</v>
      </c>
      <c r="U36">
        <f t="shared" si="2"/>
        <v>0.217</v>
      </c>
      <c r="V36">
        <f t="shared" si="0"/>
        <v>0.191</v>
      </c>
      <c r="W36">
        <f t="shared" si="0"/>
        <v>0.26800000000000002</v>
      </c>
      <c r="X36">
        <f t="shared" si="0"/>
        <v>0.29499999999999998</v>
      </c>
      <c r="Y36">
        <f t="shared" si="0"/>
        <v>0.24299999999999999</v>
      </c>
      <c r="Z36">
        <f t="shared" si="0"/>
        <v>0.25</v>
      </c>
      <c r="AA36">
        <f t="shared" si="0"/>
        <v>0.23499999999999999</v>
      </c>
      <c r="AB36">
        <f t="shared" si="0"/>
        <v>0.20699999999999999</v>
      </c>
      <c r="AC36">
        <f t="shared" si="0"/>
        <v>0.16600000000000001</v>
      </c>
      <c r="AD36">
        <f t="shared" si="0"/>
        <v>7.5999999999999998E-2</v>
      </c>
    </row>
    <row r="37" spans="1:30" x14ac:dyDescent="0.25">
      <c r="A37">
        <v>436</v>
      </c>
      <c r="B37">
        <v>19</v>
      </c>
      <c r="C37">
        <v>0</v>
      </c>
      <c r="D37">
        <v>14</v>
      </c>
      <c r="E37">
        <v>7</v>
      </c>
      <c r="F37">
        <v>28</v>
      </c>
      <c r="G37">
        <v>7</v>
      </c>
      <c r="H37">
        <v>51</v>
      </c>
      <c r="I37">
        <v>25</v>
      </c>
      <c r="J37">
        <v>22.3</v>
      </c>
      <c r="K37">
        <v>32.4</v>
      </c>
      <c r="L37">
        <v>21.2</v>
      </c>
      <c r="M37">
        <v>23</v>
      </c>
      <c r="N37">
        <v>24.3</v>
      </c>
      <c r="O37">
        <v>23.3</v>
      </c>
      <c r="P37">
        <v>19.7</v>
      </c>
      <c r="Q37">
        <v>17</v>
      </c>
      <c r="R37">
        <v>11.6</v>
      </c>
      <c r="S37">
        <f t="shared" si="1"/>
        <v>19</v>
      </c>
      <c r="T37" t="s">
        <v>65</v>
      </c>
      <c r="U37">
        <f t="shared" si="2"/>
        <v>0.25</v>
      </c>
      <c r="V37">
        <f t="shared" si="0"/>
        <v>0.223</v>
      </c>
      <c r="W37">
        <f t="shared" si="0"/>
        <v>0.32400000000000001</v>
      </c>
      <c r="X37">
        <f t="shared" si="0"/>
        <v>0.21199999999999999</v>
      </c>
      <c r="Y37">
        <f t="shared" si="0"/>
        <v>0.23</v>
      </c>
      <c r="Z37">
        <f t="shared" si="0"/>
        <v>0.24299999999999999</v>
      </c>
      <c r="AA37">
        <f t="shared" si="0"/>
        <v>0.23300000000000001</v>
      </c>
      <c r="AB37">
        <f t="shared" si="0"/>
        <v>0.19699999999999998</v>
      </c>
      <c r="AC37">
        <f t="shared" si="0"/>
        <v>0.17</v>
      </c>
      <c r="AD37">
        <f t="shared" si="0"/>
        <v>0.11599999999999999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7</v>
      </c>
      <c r="F38">
        <v>28</v>
      </c>
      <c r="G38">
        <v>7</v>
      </c>
      <c r="H38">
        <v>51</v>
      </c>
      <c r="I38">
        <v>-5.9</v>
      </c>
      <c r="J38">
        <v>-5.9</v>
      </c>
      <c r="K38">
        <v>-5.9</v>
      </c>
      <c r="L38">
        <v>-5.9</v>
      </c>
      <c r="M38">
        <v>29.5</v>
      </c>
      <c r="N38">
        <v>27.2</v>
      </c>
      <c r="O38">
        <v>25.8</v>
      </c>
      <c r="P38">
        <v>18.7</v>
      </c>
      <c r="Q38">
        <v>16.600000000000001</v>
      </c>
      <c r="R38">
        <v>9.8000000000000007</v>
      </c>
      <c r="S38">
        <f t="shared" si="1"/>
        <v>20</v>
      </c>
      <c r="T38" t="s">
        <v>66</v>
      </c>
      <c r="U38" t="str">
        <f t="shared" si="2"/>
        <v/>
      </c>
      <c r="V38" t="str">
        <f t="shared" si="0"/>
        <v/>
      </c>
      <c r="W38" t="str">
        <f t="shared" si="0"/>
        <v/>
      </c>
      <c r="X38" t="str">
        <f t="shared" si="0"/>
        <v/>
      </c>
      <c r="Y38">
        <f t="shared" si="0"/>
        <v>0.29499999999999998</v>
      </c>
      <c r="Z38">
        <f t="shared" si="0"/>
        <v>0.27200000000000002</v>
      </c>
      <c r="AA38">
        <f t="shared" si="0"/>
        <v>0.25800000000000001</v>
      </c>
      <c r="AB38">
        <f t="shared" si="0"/>
        <v>0.187</v>
      </c>
      <c r="AC38">
        <f t="shared" si="0"/>
        <v>0.16600000000000001</v>
      </c>
      <c r="AD38">
        <f t="shared" si="0"/>
        <v>9.8000000000000004E-2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7</v>
      </c>
      <c r="F39">
        <v>28</v>
      </c>
      <c r="G39">
        <v>8</v>
      </c>
      <c r="H39">
        <v>3</v>
      </c>
      <c r="I39">
        <v>23.7</v>
      </c>
      <c r="J39">
        <v>22.1</v>
      </c>
      <c r="K39">
        <v>21.8</v>
      </c>
      <c r="L39">
        <v>23.2</v>
      </c>
      <c r="M39">
        <v>25.1</v>
      </c>
      <c r="N39">
        <v>22.6</v>
      </c>
      <c r="O39">
        <v>21.7</v>
      </c>
      <c r="P39">
        <v>23.9</v>
      </c>
      <c r="Q39">
        <v>20.8</v>
      </c>
      <c r="R39">
        <v>13.1</v>
      </c>
      <c r="S39">
        <f t="shared" si="1"/>
        <v>21</v>
      </c>
      <c r="T39" t="s">
        <v>67</v>
      </c>
      <c r="U39">
        <f t="shared" si="2"/>
        <v>0.23699999999999999</v>
      </c>
      <c r="V39">
        <f t="shared" si="0"/>
        <v>0.221</v>
      </c>
      <c r="W39">
        <f t="shared" si="0"/>
        <v>0.218</v>
      </c>
      <c r="X39">
        <f t="shared" si="0"/>
        <v>0.23199999999999998</v>
      </c>
      <c r="Y39">
        <f t="shared" si="0"/>
        <v>0.251</v>
      </c>
      <c r="Z39">
        <f t="shared" si="0"/>
        <v>0.22600000000000001</v>
      </c>
      <c r="AA39">
        <f t="shared" si="0"/>
        <v>0.217</v>
      </c>
      <c r="AB39">
        <f t="shared" si="0"/>
        <v>0.23899999999999999</v>
      </c>
      <c r="AC39">
        <f t="shared" si="0"/>
        <v>0.20800000000000002</v>
      </c>
      <c r="AD39">
        <f t="shared" si="0"/>
        <v>0.13100000000000001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7</v>
      </c>
      <c r="F40">
        <v>28</v>
      </c>
      <c r="G40">
        <v>8</v>
      </c>
      <c r="H40">
        <v>1</v>
      </c>
      <c r="I40">
        <v>20.2</v>
      </c>
      <c r="J40">
        <v>19.3</v>
      </c>
      <c r="K40">
        <v>21.5</v>
      </c>
      <c r="L40">
        <v>22.5</v>
      </c>
      <c r="M40">
        <v>24.8</v>
      </c>
      <c r="N40">
        <v>27.4</v>
      </c>
      <c r="O40">
        <v>27.1</v>
      </c>
      <c r="P40">
        <v>27.2</v>
      </c>
      <c r="Q40">
        <v>23.9</v>
      </c>
      <c r="R40">
        <v>16.600000000000001</v>
      </c>
      <c r="S40">
        <f t="shared" si="1"/>
        <v>22</v>
      </c>
      <c r="T40" t="s">
        <v>68</v>
      </c>
      <c r="U40">
        <f t="shared" si="2"/>
        <v>0.20199999999999999</v>
      </c>
      <c r="V40">
        <f t="shared" si="0"/>
        <v>0.193</v>
      </c>
      <c r="W40">
        <f t="shared" si="0"/>
        <v>0.215</v>
      </c>
      <c r="X40">
        <f t="shared" si="0"/>
        <v>0.22500000000000001</v>
      </c>
      <c r="Y40">
        <f t="shared" si="0"/>
        <v>0.248</v>
      </c>
      <c r="Z40">
        <f t="shared" si="0"/>
        <v>0.27399999999999997</v>
      </c>
      <c r="AA40">
        <f t="shared" si="0"/>
        <v>0.27100000000000002</v>
      </c>
      <c r="AB40">
        <f t="shared" si="0"/>
        <v>0.27200000000000002</v>
      </c>
      <c r="AC40">
        <f t="shared" si="0"/>
        <v>0.23899999999999999</v>
      </c>
      <c r="AD40">
        <f t="shared" si="0"/>
        <v>0.16600000000000001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7</v>
      </c>
      <c r="F41">
        <v>28</v>
      </c>
      <c r="G41">
        <v>8</v>
      </c>
      <c r="H41">
        <v>14</v>
      </c>
      <c r="I41">
        <v>19</v>
      </c>
      <c r="J41">
        <v>21.6</v>
      </c>
      <c r="K41">
        <v>24.2</v>
      </c>
      <c r="L41">
        <v>25.6</v>
      </c>
      <c r="M41">
        <v>25.2</v>
      </c>
      <c r="N41">
        <v>22.9</v>
      </c>
      <c r="O41">
        <v>23.4</v>
      </c>
      <c r="P41">
        <v>22.4</v>
      </c>
      <c r="Q41">
        <v>18.8</v>
      </c>
      <c r="R41">
        <v>11.5</v>
      </c>
      <c r="S41">
        <f t="shared" si="1"/>
        <v>23</v>
      </c>
      <c r="T41" t="s">
        <v>69</v>
      </c>
      <c r="U41">
        <f t="shared" si="2"/>
        <v>0.19</v>
      </c>
      <c r="V41">
        <f t="shared" si="0"/>
        <v>0.21600000000000003</v>
      </c>
      <c r="W41">
        <f t="shared" si="0"/>
        <v>0.24199999999999999</v>
      </c>
      <c r="X41">
        <f t="shared" si="0"/>
        <v>0.25600000000000001</v>
      </c>
      <c r="Y41">
        <f t="shared" si="0"/>
        <v>0.252</v>
      </c>
      <c r="Z41">
        <f t="shared" si="0"/>
        <v>0.22899999999999998</v>
      </c>
      <c r="AA41">
        <f t="shared" si="0"/>
        <v>0.23399999999999999</v>
      </c>
      <c r="AB41">
        <f t="shared" si="0"/>
        <v>0.22399999999999998</v>
      </c>
      <c r="AC41">
        <f t="shared" si="0"/>
        <v>0.188</v>
      </c>
      <c r="AD41">
        <f t="shared" si="0"/>
        <v>0.115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7</v>
      </c>
      <c r="F42">
        <v>28</v>
      </c>
      <c r="G42">
        <v>8</v>
      </c>
      <c r="H42">
        <v>20</v>
      </c>
      <c r="I42">
        <v>19.3</v>
      </c>
      <c r="J42">
        <v>19.600000000000001</v>
      </c>
      <c r="K42">
        <v>23.5</v>
      </c>
      <c r="L42">
        <v>25.3</v>
      </c>
      <c r="M42">
        <v>25.2</v>
      </c>
      <c r="N42">
        <v>25.5</v>
      </c>
      <c r="O42">
        <v>27.6</v>
      </c>
      <c r="P42">
        <v>24.2</v>
      </c>
      <c r="Q42">
        <v>21.4</v>
      </c>
      <c r="R42">
        <v>16.3</v>
      </c>
      <c r="S42">
        <f t="shared" si="1"/>
        <v>24</v>
      </c>
      <c r="T42" t="s">
        <v>70</v>
      </c>
      <c r="U42">
        <f t="shared" si="2"/>
        <v>0.193</v>
      </c>
      <c r="V42">
        <f t="shared" si="0"/>
        <v>0.19600000000000001</v>
      </c>
      <c r="W42">
        <f t="shared" si="0"/>
        <v>0.23499999999999999</v>
      </c>
      <c r="X42">
        <f t="shared" si="0"/>
        <v>0.253</v>
      </c>
      <c r="Y42">
        <f t="shared" si="0"/>
        <v>0.252</v>
      </c>
      <c r="Z42">
        <f t="shared" si="0"/>
        <v>0.255</v>
      </c>
      <c r="AA42">
        <f t="shared" si="0"/>
        <v>0.27600000000000002</v>
      </c>
      <c r="AB42">
        <f t="shared" si="0"/>
        <v>0.24199999999999999</v>
      </c>
      <c r="AC42">
        <f t="shared" si="0"/>
        <v>0.214</v>
      </c>
      <c r="AD42">
        <f t="shared" si="0"/>
        <v>0.16300000000000001</v>
      </c>
    </row>
    <row r="43" spans="1:30" x14ac:dyDescent="0.25">
      <c r="A43">
        <v>429</v>
      </c>
      <c r="B43">
        <v>25</v>
      </c>
      <c r="C43">
        <v>0</v>
      </c>
      <c r="D43">
        <v>14</v>
      </c>
      <c r="E43">
        <v>7</v>
      </c>
      <c r="F43">
        <v>28</v>
      </c>
      <c r="G43">
        <v>8</v>
      </c>
      <c r="H43">
        <v>41</v>
      </c>
      <c r="I43">
        <v>-5.9</v>
      </c>
      <c r="J43">
        <v>22.9</v>
      </c>
      <c r="K43">
        <v>25.8</v>
      </c>
      <c r="L43">
        <v>26.6</v>
      </c>
      <c r="M43">
        <v>26.7</v>
      </c>
      <c r="N43">
        <v>26.6</v>
      </c>
      <c r="O43">
        <v>21.8</v>
      </c>
      <c r="P43">
        <v>19.3</v>
      </c>
      <c r="Q43">
        <v>21.5</v>
      </c>
      <c r="R43">
        <v>13.4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0.22899999999999998</v>
      </c>
      <c r="W43">
        <f t="shared" si="0"/>
        <v>0.25800000000000001</v>
      </c>
      <c r="X43">
        <f t="shared" si="0"/>
        <v>0.26600000000000001</v>
      </c>
      <c r="Y43">
        <f t="shared" si="0"/>
        <v>0.26700000000000002</v>
      </c>
      <c r="Z43">
        <f t="shared" si="0"/>
        <v>0.26600000000000001</v>
      </c>
      <c r="AA43">
        <f t="shared" si="0"/>
        <v>0.218</v>
      </c>
      <c r="AB43">
        <f t="shared" si="0"/>
        <v>0.193</v>
      </c>
      <c r="AC43">
        <f t="shared" si="0"/>
        <v>0.215</v>
      </c>
      <c r="AD43">
        <f t="shared" si="0"/>
        <v>0.13400000000000001</v>
      </c>
    </row>
    <row r="44" spans="1:30" x14ac:dyDescent="0.25">
      <c r="A44">
        <v>428</v>
      </c>
      <c r="B44">
        <v>26</v>
      </c>
      <c r="C44">
        <v>0</v>
      </c>
      <c r="D44">
        <v>14</v>
      </c>
      <c r="E44">
        <v>7</v>
      </c>
      <c r="F44">
        <v>28</v>
      </c>
      <c r="G44">
        <v>8</v>
      </c>
      <c r="H44">
        <v>54</v>
      </c>
      <c r="I44">
        <v>-5.9</v>
      </c>
      <c r="J44">
        <v>19.3</v>
      </c>
      <c r="K44">
        <v>21.6</v>
      </c>
      <c r="L44">
        <v>23.3</v>
      </c>
      <c r="M44">
        <v>24.9</v>
      </c>
      <c r="N44">
        <v>21.9</v>
      </c>
      <c r="O44">
        <v>22.4</v>
      </c>
      <c r="P44">
        <v>22.4</v>
      </c>
      <c r="Q44">
        <v>19.2</v>
      </c>
      <c r="R44">
        <v>13.7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0.193</v>
      </c>
      <c r="W44">
        <f t="shared" si="0"/>
        <v>0.21600000000000003</v>
      </c>
      <c r="X44">
        <f t="shared" si="0"/>
        <v>0.23300000000000001</v>
      </c>
      <c r="Y44">
        <f t="shared" si="0"/>
        <v>0.249</v>
      </c>
      <c r="Z44">
        <f t="shared" si="0"/>
        <v>0.21899999999999997</v>
      </c>
      <c r="AA44">
        <f t="shared" si="0"/>
        <v>0.22399999999999998</v>
      </c>
      <c r="AB44">
        <f t="shared" si="0"/>
        <v>0.22399999999999998</v>
      </c>
      <c r="AC44">
        <f t="shared" si="0"/>
        <v>0.192</v>
      </c>
      <c r="AD44">
        <f t="shared" si="0"/>
        <v>0.13699999999999998</v>
      </c>
    </row>
    <row r="45" spans="1:30" x14ac:dyDescent="0.25">
      <c r="A45">
        <v>427</v>
      </c>
      <c r="B45">
        <v>27</v>
      </c>
      <c r="C45">
        <v>0</v>
      </c>
      <c r="D45">
        <v>14</v>
      </c>
      <c r="E45">
        <v>7</v>
      </c>
      <c r="F45">
        <v>28</v>
      </c>
      <c r="G45">
        <v>8</v>
      </c>
      <c r="H45">
        <v>51</v>
      </c>
      <c r="I45">
        <v>-5.9</v>
      </c>
      <c r="J45">
        <v>19.7</v>
      </c>
      <c r="K45">
        <v>17</v>
      </c>
      <c r="L45">
        <v>25.8</v>
      </c>
      <c r="M45">
        <v>24.3</v>
      </c>
      <c r="N45">
        <v>20.100000000000001</v>
      </c>
      <c r="O45">
        <v>22.1</v>
      </c>
      <c r="P45">
        <v>23.1</v>
      </c>
      <c r="Q45">
        <v>21.6</v>
      </c>
      <c r="R45">
        <v>12.4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0.17</v>
      </c>
      <c r="X45">
        <f t="shared" si="0"/>
        <v>0.25800000000000001</v>
      </c>
      <c r="Y45">
        <f t="shared" si="0"/>
        <v>0.24299999999999999</v>
      </c>
      <c r="Z45">
        <f t="shared" si="0"/>
        <v>0.20100000000000001</v>
      </c>
      <c r="AA45">
        <f t="shared" si="0"/>
        <v>0.221</v>
      </c>
      <c r="AB45">
        <f t="shared" si="0"/>
        <v>0.23100000000000001</v>
      </c>
      <c r="AC45">
        <f t="shared" si="0"/>
        <v>0.21600000000000003</v>
      </c>
      <c r="AD45">
        <f t="shared" si="0"/>
        <v>0.124</v>
      </c>
    </row>
    <row r="46" spans="1:30" x14ac:dyDescent="0.25">
      <c r="A46">
        <v>426</v>
      </c>
      <c r="B46">
        <v>28</v>
      </c>
      <c r="C46">
        <v>0</v>
      </c>
      <c r="D46">
        <v>14</v>
      </c>
      <c r="E46">
        <v>7</v>
      </c>
      <c r="F46">
        <v>28</v>
      </c>
      <c r="G46">
        <v>9</v>
      </c>
      <c r="H46">
        <v>4</v>
      </c>
      <c r="I46">
        <v>20.3</v>
      </c>
      <c r="J46">
        <v>18.100000000000001</v>
      </c>
      <c r="K46">
        <v>18.899999999999999</v>
      </c>
      <c r="L46">
        <v>21.8</v>
      </c>
      <c r="M46">
        <v>25.8</v>
      </c>
      <c r="N46">
        <v>25.9</v>
      </c>
      <c r="O46">
        <v>24.5</v>
      </c>
      <c r="P46">
        <v>25</v>
      </c>
      <c r="Q46">
        <v>19.8</v>
      </c>
      <c r="R46">
        <v>14.6</v>
      </c>
      <c r="S46">
        <f t="shared" si="1"/>
        <v>28</v>
      </c>
      <c r="T46" t="s">
        <v>76</v>
      </c>
      <c r="U46">
        <f t="shared" si="2"/>
        <v>0.20300000000000001</v>
      </c>
      <c r="V46">
        <f t="shared" si="0"/>
        <v>0.18100000000000002</v>
      </c>
      <c r="W46">
        <f t="shared" si="0"/>
        <v>0.18899999999999997</v>
      </c>
      <c r="X46">
        <f t="shared" si="0"/>
        <v>0.218</v>
      </c>
      <c r="Y46">
        <f t="shared" si="0"/>
        <v>0.25800000000000001</v>
      </c>
      <c r="Z46">
        <f t="shared" si="0"/>
        <v>0.25900000000000001</v>
      </c>
      <c r="AA46">
        <f t="shared" si="0"/>
        <v>0.245</v>
      </c>
      <c r="AB46">
        <f t="shared" si="0"/>
        <v>0.25</v>
      </c>
      <c r="AC46">
        <f t="shared" si="0"/>
        <v>0.19800000000000001</v>
      </c>
      <c r="AD46">
        <f t="shared" si="0"/>
        <v>0.14599999999999999</v>
      </c>
    </row>
    <row r="47" spans="1:30" x14ac:dyDescent="0.25">
      <c r="A47">
        <v>425</v>
      </c>
      <c r="B47">
        <v>29</v>
      </c>
      <c r="C47">
        <v>0</v>
      </c>
      <c r="D47">
        <v>14</v>
      </c>
      <c r="E47">
        <v>7</v>
      </c>
      <c r="F47">
        <v>28</v>
      </c>
      <c r="G47">
        <v>9</v>
      </c>
      <c r="H47">
        <v>10</v>
      </c>
      <c r="I47">
        <v>24.7</v>
      </c>
      <c r="J47">
        <v>33.200000000000003</v>
      </c>
      <c r="K47">
        <v>23.2</v>
      </c>
      <c r="L47">
        <v>24.9</v>
      </c>
      <c r="M47">
        <v>27.8</v>
      </c>
      <c r="N47">
        <v>27.8</v>
      </c>
      <c r="O47">
        <v>29.6</v>
      </c>
      <c r="P47">
        <v>23.4</v>
      </c>
      <c r="Q47">
        <v>23.5</v>
      </c>
      <c r="R47">
        <v>13.6</v>
      </c>
      <c r="S47">
        <f t="shared" si="1"/>
        <v>29</v>
      </c>
      <c r="T47" t="s">
        <v>53</v>
      </c>
      <c r="U47">
        <f t="shared" si="2"/>
        <v>0.247</v>
      </c>
      <c r="V47">
        <f t="shared" si="0"/>
        <v>0.33200000000000002</v>
      </c>
      <c r="W47">
        <f t="shared" si="0"/>
        <v>0.23199999999999998</v>
      </c>
      <c r="X47">
        <f t="shared" si="0"/>
        <v>0.249</v>
      </c>
      <c r="Y47">
        <f t="shared" ref="Y47:AD54" si="3">IF(M47&lt;0,"",M47/100)</f>
        <v>0.27800000000000002</v>
      </c>
      <c r="Z47">
        <f t="shared" si="3"/>
        <v>0.27800000000000002</v>
      </c>
      <c r="AA47">
        <f t="shared" si="3"/>
        <v>0.29600000000000004</v>
      </c>
      <c r="AB47">
        <f t="shared" si="3"/>
        <v>0.23399999999999999</v>
      </c>
      <c r="AC47">
        <f t="shared" si="3"/>
        <v>0.23499999999999999</v>
      </c>
      <c r="AD47">
        <f t="shared" si="3"/>
        <v>0.13600000000000001</v>
      </c>
    </row>
    <row r="48" spans="1:30" x14ac:dyDescent="0.25">
      <c r="A48">
        <v>424</v>
      </c>
      <c r="B48">
        <v>30</v>
      </c>
      <c r="C48">
        <v>0</v>
      </c>
      <c r="D48">
        <v>14</v>
      </c>
      <c r="E48">
        <v>7</v>
      </c>
      <c r="F48">
        <v>28</v>
      </c>
      <c r="G48">
        <v>9</v>
      </c>
      <c r="H48">
        <v>14</v>
      </c>
      <c r="I48">
        <v>25.6</v>
      </c>
      <c r="J48">
        <v>25.8</v>
      </c>
      <c r="K48">
        <v>27.6</v>
      </c>
      <c r="L48">
        <v>23.8</v>
      </c>
      <c r="M48">
        <v>23.5</v>
      </c>
      <c r="N48">
        <v>24</v>
      </c>
      <c r="O48">
        <v>19.7</v>
      </c>
      <c r="P48">
        <v>21.7</v>
      </c>
      <c r="Q48">
        <v>15.5</v>
      </c>
      <c r="R48">
        <v>6.7</v>
      </c>
      <c r="S48">
        <f t="shared" si="1"/>
        <v>30</v>
      </c>
      <c r="T48" t="s">
        <v>77</v>
      </c>
      <c r="U48">
        <f t="shared" si="2"/>
        <v>0.25600000000000001</v>
      </c>
      <c r="V48">
        <f t="shared" si="2"/>
        <v>0.25800000000000001</v>
      </c>
      <c r="W48">
        <f t="shared" si="2"/>
        <v>0.27600000000000002</v>
      </c>
      <c r="X48">
        <f t="shared" si="2"/>
        <v>0.23800000000000002</v>
      </c>
      <c r="Y48">
        <f t="shared" si="3"/>
        <v>0.23499999999999999</v>
      </c>
      <c r="Z48">
        <f t="shared" si="3"/>
        <v>0.24</v>
      </c>
      <c r="AA48">
        <f t="shared" si="3"/>
        <v>0.19699999999999998</v>
      </c>
      <c r="AB48">
        <f t="shared" si="3"/>
        <v>0.217</v>
      </c>
      <c r="AC48">
        <f t="shared" si="3"/>
        <v>0.155</v>
      </c>
      <c r="AD48">
        <f t="shared" si="3"/>
        <v>6.7000000000000004E-2</v>
      </c>
    </row>
    <row r="49" spans="1:30" x14ac:dyDescent="0.25">
      <c r="A49">
        <v>423</v>
      </c>
      <c r="B49">
        <v>31</v>
      </c>
      <c r="C49">
        <v>0</v>
      </c>
      <c r="D49">
        <v>14</v>
      </c>
      <c r="E49">
        <v>7</v>
      </c>
      <c r="F49">
        <v>28</v>
      </c>
      <c r="G49">
        <v>9</v>
      </c>
      <c r="H49">
        <v>11</v>
      </c>
      <c r="I49">
        <v>-5.9</v>
      </c>
      <c r="J49">
        <v>-5.9</v>
      </c>
      <c r="K49">
        <v>23.3</v>
      </c>
      <c r="L49">
        <v>22.7</v>
      </c>
      <c r="M49">
        <v>24.6</v>
      </c>
      <c r="N49">
        <v>24</v>
      </c>
      <c r="O49">
        <v>21.6</v>
      </c>
      <c r="P49">
        <v>20.7</v>
      </c>
      <c r="Q49">
        <v>17.600000000000001</v>
      </c>
      <c r="R49">
        <v>10.4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0.23300000000000001</v>
      </c>
      <c r="X49">
        <f t="shared" si="4"/>
        <v>0.22699999999999998</v>
      </c>
      <c r="Y49">
        <f t="shared" si="3"/>
        <v>0.24600000000000002</v>
      </c>
      <c r="Z49">
        <f t="shared" si="3"/>
        <v>0.24</v>
      </c>
      <c r="AA49">
        <f t="shared" si="3"/>
        <v>0.21600000000000003</v>
      </c>
      <c r="AB49">
        <f t="shared" si="3"/>
        <v>0.20699999999999999</v>
      </c>
      <c r="AC49">
        <f t="shared" si="3"/>
        <v>0.17600000000000002</v>
      </c>
      <c r="AD49">
        <f t="shared" si="3"/>
        <v>0.10400000000000001</v>
      </c>
    </row>
    <row r="50" spans="1:30" x14ac:dyDescent="0.25">
      <c r="A50">
        <v>422</v>
      </c>
      <c r="B50">
        <v>32</v>
      </c>
      <c r="C50">
        <v>0</v>
      </c>
      <c r="D50">
        <v>14</v>
      </c>
      <c r="E50">
        <v>7</v>
      </c>
      <c r="F50">
        <v>28</v>
      </c>
      <c r="G50">
        <v>9</v>
      </c>
      <c r="H50">
        <v>23</v>
      </c>
      <c r="I50">
        <v>-5.9</v>
      </c>
      <c r="J50">
        <v>-5.9</v>
      </c>
      <c r="K50">
        <v>22.2</v>
      </c>
      <c r="L50">
        <v>23.5</v>
      </c>
      <c r="M50">
        <v>26.1</v>
      </c>
      <c r="N50">
        <v>23.8</v>
      </c>
      <c r="O50">
        <v>20.7</v>
      </c>
      <c r="P50">
        <v>16.899999999999999</v>
      </c>
      <c r="Q50">
        <v>15.7</v>
      </c>
      <c r="R50">
        <v>7.3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0.222</v>
      </c>
      <c r="X50">
        <f t="shared" si="4"/>
        <v>0.23499999999999999</v>
      </c>
      <c r="Y50">
        <f t="shared" si="3"/>
        <v>0.26100000000000001</v>
      </c>
      <c r="Z50">
        <f t="shared" si="3"/>
        <v>0.23800000000000002</v>
      </c>
      <c r="AA50">
        <f t="shared" si="3"/>
        <v>0.20699999999999999</v>
      </c>
      <c r="AB50">
        <f t="shared" si="3"/>
        <v>0.16899999999999998</v>
      </c>
      <c r="AC50">
        <f t="shared" si="3"/>
        <v>0.157</v>
      </c>
      <c r="AD50">
        <f t="shared" si="3"/>
        <v>7.2999999999999995E-2</v>
      </c>
    </row>
    <row r="51" spans="1:30" x14ac:dyDescent="0.25">
      <c r="A51">
        <v>421</v>
      </c>
      <c r="B51">
        <v>33</v>
      </c>
      <c r="C51">
        <v>0</v>
      </c>
      <c r="D51">
        <v>14</v>
      </c>
      <c r="E51">
        <v>7</v>
      </c>
      <c r="F51">
        <v>28</v>
      </c>
      <c r="G51">
        <v>9</v>
      </c>
      <c r="H51">
        <v>27</v>
      </c>
      <c r="I51">
        <v>-5.9</v>
      </c>
      <c r="J51">
        <v>-5.9</v>
      </c>
      <c r="K51">
        <v>22.2</v>
      </c>
      <c r="L51">
        <v>27.2</v>
      </c>
      <c r="M51">
        <v>29.2</v>
      </c>
      <c r="N51">
        <v>30.1</v>
      </c>
      <c r="O51">
        <v>25.1</v>
      </c>
      <c r="P51">
        <v>20.399999999999999</v>
      </c>
      <c r="Q51">
        <v>15.9</v>
      </c>
      <c r="R51">
        <v>7.5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0.222</v>
      </c>
      <c r="X51">
        <f t="shared" si="4"/>
        <v>0.27200000000000002</v>
      </c>
      <c r="Y51">
        <f t="shared" si="3"/>
        <v>0.29199999999999998</v>
      </c>
      <c r="Z51">
        <f t="shared" si="3"/>
        <v>0.30099999999999999</v>
      </c>
      <c r="AA51">
        <f t="shared" si="3"/>
        <v>0.251</v>
      </c>
      <c r="AB51">
        <f t="shared" si="3"/>
        <v>0.20399999999999999</v>
      </c>
      <c r="AC51">
        <f t="shared" si="3"/>
        <v>0.159</v>
      </c>
      <c r="AD51">
        <f t="shared" si="3"/>
        <v>7.4999999999999997E-2</v>
      </c>
    </row>
    <row r="52" spans="1:30" x14ac:dyDescent="0.25">
      <c r="A52">
        <v>419</v>
      </c>
      <c r="B52">
        <v>34</v>
      </c>
      <c r="C52">
        <v>0</v>
      </c>
      <c r="D52">
        <v>14</v>
      </c>
      <c r="E52">
        <v>7</v>
      </c>
      <c r="F52">
        <v>28</v>
      </c>
      <c r="G52">
        <v>9</v>
      </c>
      <c r="H52">
        <v>32</v>
      </c>
      <c r="I52">
        <v>-5.9</v>
      </c>
      <c r="J52">
        <v>-5.9</v>
      </c>
      <c r="K52">
        <v>23.2</v>
      </c>
      <c r="L52">
        <v>26.4</v>
      </c>
      <c r="M52">
        <v>25.6</v>
      </c>
      <c r="N52">
        <v>25.3</v>
      </c>
      <c r="O52">
        <v>23.6</v>
      </c>
      <c r="P52">
        <v>18.7</v>
      </c>
      <c r="Q52">
        <v>16.3</v>
      </c>
      <c r="R52">
        <v>8.3000000000000007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0.23199999999999998</v>
      </c>
      <c r="X52">
        <f t="shared" si="4"/>
        <v>0.26400000000000001</v>
      </c>
      <c r="Y52">
        <f t="shared" si="3"/>
        <v>0.25600000000000001</v>
      </c>
      <c r="Z52">
        <f t="shared" si="3"/>
        <v>0.253</v>
      </c>
      <c r="AA52">
        <f t="shared" si="3"/>
        <v>0.23600000000000002</v>
      </c>
      <c r="AB52">
        <f t="shared" si="3"/>
        <v>0.187</v>
      </c>
      <c r="AC52">
        <f t="shared" si="3"/>
        <v>0.16300000000000001</v>
      </c>
      <c r="AD52">
        <f t="shared" si="3"/>
        <v>8.3000000000000004E-2</v>
      </c>
    </row>
    <row r="53" spans="1:30" x14ac:dyDescent="0.25">
      <c r="A53">
        <v>418</v>
      </c>
      <c r="B53">
        <v>35</v>
      </c>
      <c r="C53">
        <v>0</v>
      </c>
      <c r="D53">
        <v>14</v>
      </c>
      <c r="E53">
        <v>7</v>
      </c>
      <c r="F53">
        <v>28</v>
      </c>
      <c r="G53">
        <v>9</v>
      </c>
      <c r="H53">
        <v>36</v>
      </c>
      <c r="I53">
        <v>-5.9</v>
      </c>
      <c r="J53">
        <v>-5.9</v>
      </c>
      <c r="K53">
        <v>26.4</v>
      </c>
      <c r="L53">
        <v>28</v>
      </c>
      <c r="M53">
        <v>28.5</v>
      </c>
      <c r="N53">
        <v>24</v>
      </c>
      <c r="O53">
        <v>19.3</v>
      </c>
      <c r="P53">
        <v>15.4</v>
      </c>
      <c r="Q53">
        <v>15.6</v>
      </c>
      <c r="R53">
        <v>7.4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0.26400000000000001</v>
      </c>
      <c r="X53">
        <f t="shared" si="4"/>
        <v>0.28000000000000003</v>
      </c>
      <c r="Y53">
        <f t="shared" si="3"/>
        <v>0.28499999999999998</v>
      </c>
      <c r="Z53">
        <f t="shared" si="3"/>
        <v>0.24</v>
      </c>
      <c r="AA53">
        <f t="shared" si="3"/>
        <v>0.193</v>
      </c>
      <c r="AB53">
        <f t="shared" si="3"/>
        <v>0.154</v>
      </c>
      <c r="AC53">
        <f t="shared" si="3"/>
        <v>0.156</v>
      </c>
      <c r="AD53">
        <f t="shared" si="3"/>
        <v>7.400000000000001E-2</v>
      </c>
    </row>
    <row r="54" spans="1:30" x14ac:dyDescent="0.25">
      <c r="A54">
        <v>417</v>
      </c>
      <c r="B54">
        <v>36</v>
      </c>
      <c r="C54">
        <v>0</v>
      </c>
      <c r="D54">
        <v>14</v>
      </c>
      <c r="E54">
        <v>7</v>
      </c>
      <c r="F54">
        <v>28</v>
      </c>
      <c r="G54">
        <v>9</v>
      </c>
      <c r="H54">
        <v>40</v>
      </c>
      <c r="I54">
        <v>-5.9</v>
      </c>
      <c r="J54">
        <v>20.2</v>
      </c>
      <c r="K54">
        <v>26.9</v>
      </c>
      <c r="L54">
        <v>27.9</v>
      </c>
      <c r="M54">
        <v>22</v>
      </c>
      <c r="N54">
        <v>24.3</v>
      </c>
      <c r="O54">
        <v>20.8</v>
      </c>
      <c r="P54">
        <v>19.3</v>
      </c>
      <c r="Q54">
        <v>18.899999999999999</v>
      </c>
      <c r="R54">
        <v>8.6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0.20199999999999999</v>
      </c>
      <c r="W54">
        <f t="shared" si="4"/>
        <v>0.26899999999999996</v>
      </c>
      <c r="X54">
        <f t="shared" si="4"/>
        <v>0.27899999999999997</v>
      </c>
      <c r="Y54">
        <f t="shared" si="3"/>
        <v>0.22</v>
      </c>
      <c r="Z54">
        <f t="shared" si="3"/>
        <v>0.24299999999999999</v>
      </c>
      <c r="AA54">
        <f t="shared" si="3"/>
        <v>0.20800000000000002</v>
      </c>
      <c r="AB54">
        <f t="shared" si="3"/>
        <v>0.193</v>
      </c>
      <c r="AC54">
        <f t="shared" si="3"/>
        <v>0.18899999999999997</v>
      </c>
      <c r="AD54">
        <f t="shared" si="3"/>
        <v>8.5999999999999993E-2</v>
      </c>
    </row>
    <row r="56" spans="1:30" x14ac:dyDescent="0.25">
      <c r="A56" s="2">
        <v>41848</v>
      </c>
    </row>
    <row r="57" spans="1:30" x14ac:dyDescent="0.25">
      <c r="A57" t="s">
        <v>3</v>
      </c>
      <c r="B57">
        <v>6116</v>
      </c>
      <c r="C57" t="s">
        <v>4</v>
      </c>
      <c r="D57">
        <v>12941</v>
      </c>
      <c r="E57">
        <v>0</v>
      </c>
      <c r="F57">
        <v>10</v>
      </c>
    </row>
    <row r="58" spans="1:30" x14ac:dyDescent="0.25">
      <c r="A58">
        <v>0</v>
      </c>
      <c r="B58">
        <v>11</v>
      </c>
      <c r="C58">
        <v>8</v>
      </c>
      <c r="D58">
        <v>25</v>
      </c>
      <c r="E58">
        <v>21.641999999999999</v>
      </c>
      <c r="F58">
        <v>-4.968</v>
      </c>
      <c r="G58" t="s">
        <v>24</v>
      </c>
    </row>
    <row r="59" spans="1:30" x14ac:dyDescent="0.25">
      <c r="A59">
        <v>1</v>
      </c>
      <c r="B59">
        <v>95</v>
      </c>
      <c r="C59">
        <v>36280</v>
      </c>
      <c r="D59">
        <v>72</v>
      </c>
      <c r="E59">
        <v>0</v>
      </c>
      <c r="F59">
        <v>0</v>
      </c>
    </row>
    <row r="60" spans="1:30" x14ac:dyDescent="0.25">
      <c r="A60">
        <v>2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3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4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5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6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7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8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9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10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11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12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13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14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15</v>
      </c>
      <c r="B73">
        <v>95</v>
      </c>
      <c r="C73">
        <v>36280</v>
      </c>
      <c r="D73">
        <v>72</v>
      </c>
      <c r="E73">
        <v>0</v>
      </c>
      <c r="F73">
        <v>0</v>
      </c>
      <c r="S73" t="s">
        <v>0</v>
      </c>
      <c r="T73" t="s">
        <v>28</v>
      </c>
      <c r="U73">
        <v>190</v>
      </c>
      <c r="V73">
        <v>170</v>
      </c>
      <c r="W73">
        <v>150</v>
      </c>
      <c r="X73">
        <v>130</v>
      </c>
      <c r="Y73">
        <v>110</v>
      </c>
      <c r="Z73">
        <v>90</v>
      </c>
      <c r="AA73">
        <v>70</v>
      </c>
      <c r="AB73">
        <v>50</v>
      </c>
      <c r="AC73">
        <v>30</v>
      </c>
      <c r="AD73">
        <v>10</v>
      </c>
    </row>
    <row r="74" spans="1:30" x14ac:dyDescent="0.25">
      <c r="A74">
        <v>455</v>
      </c>
      <c r="B74">
        <v>66</v>
      </c>
      <c r="C74">
        <v>0</v>
      </c>
      <c r="D74">
        <v>14</v>
      </c>
      <c r="E74">
        <v>7</v>
      </c>
      <c r="F74">
        <v>28</v>
      </c>
      <c r="G74">
        <v>6</v>
      </c>
      <c r="H74">
        <v>13</v>
      </c>
      <c r="I74">
        <v>19.2</v>
      </c>
      <c r="J74">
        <v>21.9</v>
      </c>
      <c r="K74">
        <v>20.3</v>
      </c>
      <c r="L74">
        <v>17.5</v>
      </c>
      <c r="M74">
        <v>16.100000000000001</v>
      </c>
      <c r="N74">
        <v>16.5</v>
      </c>
      <c r="O74">
        <v>15.3</v>
      </c>
      <c r="P74">
        <v>14.5</v>
      </c>
      <c r="Q74">
        <v>15.6</v>
      </c>
      <c r="R74">
        <v>11</v>
      </c>
      <c r="S74">
        <f>B74</f>
        <v>66</v>
      </c>
      <c r="T74" t="s">
        <v>50</v>
      </c>
      <c r="U74">
        <f>IF(I74&lt;0,"",I74/100)</f>
        <v>0.192</v>
      </c>
      <c r="V74">
        <f t="shared" ref="V74:AD102" si="5">IF(J74&lt;0,"",J74/100)</f>
        <v>0.21899999999999997</v>
      </c>
      <c r="W74">
        <f t="shared" si="5"/>
        <v>0.20300000000000001</v>
      </c>
      <c r="X74">
        <f t="shared" si="5"/>
        <v>0.17499999999999999</v>
      </c>
      <c r="Y74">
        <f t="shared" si="5"/>
        <v>0.161</v>
      </c>
      <c r="Z74">
        <f t="shared" si="5"/>
        <v>0.16500000000000001</v>
      </c>
      <c r="AA74">
        <f t="shared" si="5"/>
        <v>0.153</v>
      </c>
      <c r="AB74">
        <f t="shared" si="5"/>
        <v>0.14499999999999999</v>
      </c>
      <c r="AC74">
        <f t="shared" si="5"/>
        <v>0.156</v>
      </c>
      <c r="AD74">
        <f t="shared" si="5"/>
        <v>0.11</v>
      </c>
    </row>
    <row r="75" spans="1:30" x14ac:dyDescent="0.25">
      <c r="A75">
        <v>454</v>
      </c>
      <c r="B75">
        <v>65</v>
      </c>
      <c r="C75">
        <v>0</v>
      </c>
      <c r="D75">
        <v>14</v>
      </c>
      <c r="E75">
        <v>7</v>
      </c>
      <c r="F75">
        <v>28</v>
      </c>
      <c r="G75">
        <v>6</v>
      </c>
      <c r="H75">
        <v>17</v>
      </c>
      <c r="I75">
        <v>18</v>
      </c>
      <c r="J75">
        <v>20.8</v>
      </c>
      <c r="K75">
        <v>22.5</v>
      </c>
      <c r="L75">
        <v>22.5</v>
      </c>
      <c r="M75">
        <v>21.6</v>
      </c>
      <c r="N75">
        <v>17.2</v>
      </c>
      <c r="O75">
        <v>13.7</v>
      </c>
      <c r="P75">
        <v>15.2</v>
      </c>
      <c r="Q75">
        <v>16.2</v>
      </c>
      <c r="R75">
        <v>9.1</v>
      </c>
      <c r="S75">
        <f t="shared" ref="S75:S103" si="6">B75</f>
        <v>65</v>
      </c>
      <c r="T75" t="s">
        <v>49</v>
      </c>
      <c r="U75">
        <f t="shared" ref="U75:X103" si="7">IF(I75&lt;0,"",I75/100)</f>
        <v>0.18</v>
      </c>
      <c r="V75">
        <f t="shared" si="5"/>
        <v>0.20800000000000002</v>
      </c>
      <c r="W75">
        <f t="shared" si="5"/>
        <v>0.22500000000000001</v>
      </c>
      <c r="X75">
        <f t="shared" si="5"/>
        <v>0.22500000000000001</v>
      </c>
      <c r="Y75">
        <f t="shared" si="5"/>
        <v>0.21600000000000003</v>
      </c>
      <c r="Z75">
        <f t="shared" si="5"/>
        <v>0.17199999999999999</v>
      </c>
      <c r="AA75">
        <f t="shared" si="5"/>
        <v>0.13699999999999998</v>
      </c>
      <c r="AB75">
        <f t="shared" si="5"/>
        <v>0.152</v>
      </c>
      <c r="AC75">
        <f t="shared" si="5"/>
        <v>0.16200000000000001</v>
      </c>
      <c r="AD75">
        <f t="shared" si="5"/>
        <v>9.0999999999999998E-2</v>
      </c>
    </row>
    <row r="76" spans="1:30" x14ac:dyDescent="0.25">
      <c r="A76">
        <v>453</v>
      </c>
      <c r="B76">
        <v>64</v>
      </c>
      <c r="C76">
        <v>0</v>
      </c>
      <c r="D76">
        <v>14</v>
      </c>
      <c r="E76">
        <v>7</v>
      </c>
      <c r="F76">
        <v>28</v>
      </c>
      <c r="G76">
        <v>6</v>
      </c>
      <c r="H76">
        <v>22</v>
      </c>
      <c r="I76">
        <v>14.3</v>
      </c>
      <c r="J76">
        <v>13.2</v>
      </c>
      <c r="K76">
        <v>12.1</v>
      </c>
      <c r="L76">
        <v>11.5</v>
      </c>
      <c r="M76">
        <v>10</v>
      </c>
      <c r="N76">
        <v>10</v>
      </c>
      <c r="O76">
        <v>10.7</v>
      </c>
      <c r="P76">
        <v>15.5</v>
      </c>
      <c r="Q76">
        <v>19.100000000000001</v>
      </c>
      <c r="R76">
        <v>12.8</v>
      </c>
      <c r="S76">
        <f t="shared" si="6"/>
        <v>64</v>
      </c>
      <c r="T76" t="s">
        <v>48</v>
      </c>
      <c r="U76">
        <f t="shared" si="7"/>
        <v>0.14300000000000002</v>
      </c>
      <c r="V76">
        <f t="shared" si="5"/>
        <v>0.13200000000000001</v>
      </c>
      <c r="W76">
        <f t="shared" si="5"/>
        <v>0.121</v>
      </c>
      <c r="X76">
        <f t="shared" si="5"/>
        <v>0.115</v>
      </c>
      <c r="Y76">
        <f t="shared" si="5"/>
        <v>0.1</v>
      </c>
      <c r="Z76">
        <f t="shared" si="5"/>
        <v>0.1</v>
      </c>
      <c r="AA76">
        <f t="shared" si="5"/>
        <v>0.107</v>
      </c>
      <c r="AB76">
        <f t="shared" si="5"/>
        <v>0.155</v>
      </c>
      <c r="AC76">
        <f t="shared" si="5"/>
        <v>0.191</v>
      </c>
      <c r="AD76">
        <f t="shared" si="5"/>
        <v>0.128</v>
      </c>
    </row>
    <row r="77" spans="1:30" x14ac:dyDescent="0.25">
      <c r="A77">
        <v>452</v>
      </c>
      <c r="B77">
        <v>63</v>
      </c>
      <c r="C77">
        <v>0</v>
      </c>
      <c r="D77">
        <v>14</v>
      </c>
      <c r="E77">
        <v>7</v>
      </c>
      <c r="F77">
        <v>28</v>
      </c>
      <c r="G77">
        <v>6</v>
      </c>
      <c r="H77">
        <v>20</v>
      </c>
      <c r="I77">
        <v>21.3</v>
      </c>
      <c r="J77">
        <v>19.899999999999999</v>
      </c>
      <c r="K77">
        <v>22.1</v>
      </c>
      <c r="L77">
        <v>21.8</v>
      </c>
      <c r="M77">
        <v>20.100000000000001</v>
      </c>
      <c r="N77">
        <v>18.600000000000001</v>
      </c>
      <c r="O77">
        <v>17.399999999999999</v>
      </c>
      <c r="P77">
        <v>18.600000000000001</v>
      </c>
      <c r="Q77">
        <v>17.7</v>
      </c>
      <c r="R77">
        <v>10.9</v>
      </c>
      <c r="S77">
        <f t="shared" si="6"/>
        <v>63</v>
      </c>
      <c r="T77" t="s">
        <v>47</v>
      </c>
      <c r="U77">
        <f t="shared" si="7"/>
        <v>0.21299999999999999</v>
      </c>
      <c r="V77">
        <f t="shared" si="5"/>
        <v>0.19899999999999998</v>
      </c>
      <c r="W77">
        <f t="shared" si="5"/>
        <v>0.221</v>
      </c>
      <c r="X77">
        <f t="shared" si="5"/>
        <v>0.218</v>
      </c>
      <c r="Y77">
        <f t="shared" si="5"/>
        <v>0.20100000000000001</v>
      </c>
      <c r="Z77">
        <f t="shared" si="5"/>
        <v>0.18600000000000003</v>
      </c>
      <c r="AA77">
        <f t="shared" si="5"/>
        <v>0.17399999999999999</v>
      </c>
      <c r="AB77">
        <f t="shared" si="5"/>
        <v>0.18600000000000003</v>
      </c>
      <c r="AC77">
        <f t="shared" si="5"/>
        <v>0.17699999999999999</v>
      </c>
      <c r="AD77">
        <f t="shared" si="5"/>
        <v>0.109</v>
      </c>
    </row>
    <row r="78" spans="1:30" x14ac:dyDescent="0.25">
      <c r="A78">
        <v>451</v>
      </c>
      <c r="B78">
        <v>62</v>
      </c>
      <c r="C78">
        <v>0</v>
      </c>
      <c r="D78">
        <v>14</v>
      </c>
      <c r="E78">
        <v>7</v>
      </c>
      <c r="F78">
        <v>28</v>
      </c>
      <c r="G78">
        <v>6</v>
      </c>
      <c r="H78">
        <v>35</v>
      </c>
      <c r="I78">
        <v>23.5</v>
      </c>
      <c r="J78">
        <v>23.4</v>
      </c>
      <c r="K78">
        <v>23.9</v>
      </c>
      <c r="L78">
        <v>23.9</v>
      </c>
      <c r="M78">
        <v>22.3</v>
      </c>
      <c r="N78">
        <v>21.1</v>
      </c>
      <c r="O78">
        <v>20.3</v>
      </c>
      <c r="P78">
        <v>19.8</v>
      </c>
      <c r="Q78">
        <v>18.5</v>
      </c>
      <c r="R78">
        <v>12.2</v>
      </c>
      <c r="S78">
        <f t="shared" si="6"/>
        <v>62</v>
      </c>
      <c r="T78" t="s">
        <v>46</v>
      </c>
      <c r="U78">
        <f t="shared" si="7"/>
        <v>0.23499999999999999</v>
      </c>
      <c r="V78">
        <f t="shared" si="5"/>
        <v>0.23399999999999999</v>
      </c>
      <c r="W78">
        <f t="shared" si="5"/>
        <v>0.23899999999999999</v>
      </c>
      <c r="X78">
        <f t="shared" si="5"/>
        <v>0.23899999999999999</v>
      </c>
      <c r="Y78">
        <f t="shared" si="5"/>
        <v>0.223</v>
      </c>
      <c r="Z78">
        <f t="shared" si="5"/>
        <v>0.21100000000000002</v>
      </c>
      <c r="AA78">
        <f t="shared" si="5"/>
        <v>0.20300000000000001</v>
      </c>
      <c r="AB78">
        <f t="shared" si="5"/>
        <v>0.19800000000000001</v>
      </c>
      <c r="AC78">
        <f t="shared" si="5"/>
        <v>0.185</v>
      </c>
      <c r="AD78">
        <f t="shared" si="5"/>
        <v>0.122</v>
      </c>
    </row>
    <row r="79" spans="1:30" x14ac:dyDescent="0.25">
      <c r="A79">
        <v>450</v>
      </c>
      <c r="B79">
        <v>61</v>
      </c>
      <c r="C79">
        <v>0</v>
      </c>
      <c r="D79">
        <v>14</v>
      </c>
      <c r="E79">
        <v>7</v>
      </c>
      <c r="F79">
        <v>28</v>
      </c>
      <c r="G79">
        <v>6</v>
      </c>
      <c r="H79">
        <v>40</v>
      </c>
      <c r="I79">
        <v>22.4</v>
      </c>
      <c r="J79">
        <v>22.4</v>
      </c>
      <c r="K79">
        <v>22.2</v>
      </c>
      <c r="L79">
        <v>23.5</v>
      </c>
      <c r="M79">
        <v>22</v>
      </c>
      <c r="N79">
        <v>18.7</v>
      </c>
      <c r="O79">
        <v>16.8</v>
      </c>
      <c r="P79">
        <v>16.7</v>
      </c>
      <c r="Q79">
        <v>16.7</v>
      </c>
      <c r="R79">
        <v>10.8</v>
      </c>
      <c r="S79">
        <f t="shared" si="6"/>
        <v>61</v>
      </c>
      <c r="T79" t="s">
        <v>45</v>
      </c>
      <c r="U79">
        <f t="shared" si="7"/>
        <v>0.22399999999999998</v>
      </c>
      <c r="V79">
        <f t="shared" si="5"/>
        <v>0.22399999999999998</v>
      </c>
      <c r="W79">
        <f t="shared" si="5"/>
        <v>0.222</v>
      </c>
      <c r="X79">
        <f t="shared" si="5"/>
        <v>0.23499999999999999</v>
      </c>
      <c r="Y79">
        <f t="shared" si="5"/>
        <v>0.22</v>
      </c>
      <c r="Z79">
        <f t="shared" si="5"/>
        <v>0.187</v>
      </c>
      <c r="AA79">
        <f t="shared" si="5"/>
        <v>0.16800000000000001</v>
      </c>
      <c r="AB79">
        <f t="shared" si="5"/>
        <v>0.16699999999999998</v>
      </c>
      <c r="AC79">
        <f t="shared" si="5"/>
        <v>0.16699999999999998</v>
      </c>
      <c r="AD79">
        <f t="shared" si="5"/>
        <v>0.10800000000000001</v>
      </c>
    </row>
    <row r="80" spans="1:30" x14ac:dyDescent="0.25">
      <c r="A80">
        <v>449</v>
      </c>
      <c r="B80">
        <v>60</v>
      </c>
      <c r="C80">
        <v>0</v>
      </c>
      <c r="D80">
        <v>14</v>
      </c>
      <c r="E80">
        <v>7</v>
      </c>
      <c r="F80">
        <v>28</v>
      </c>
      <c r="G80">
        <v>7</v>
      </c>
      <c r="H80">
        <v>1</v>
      </c>
      <c r="I80">
        <v>-5</v>
      </c>
      <c r="J80">
        <v>20.399999999999999</v>
      </c>
      <c r="K80">
        <v>20.8</v>
      </c>
      <c r="L80">
        <v>20.8</v>
      </c>
      <c r="M80">
        <v>18.5</v>
      </c>
      <c r="N80">
        <v>12.9</v>
      </c>
      <c r="O80">
        <v>12.6</v>
      </c>
      <c r="P80">
        <v>15</v>
      </c>
      <c r="Q80">
        <v>14.3</v>
      </c>
      <c r="R80">
        <v>7.7</v>
      </c>
      <c r="S80">
        <f t="shared" si="6"/>
        <v>60</v>
      </c>
      <c r="T80" t="s">
        <v>94</v>
      </c>
      <c r="U80" t="str">
        <f t="shared" si="7"/>
        <v/>
      </c>
      <c r="V80">
        <f t="shared" si="5"/>
        <v>0.20399999999999999</v>
      </c>
      <c r="W80">
        <f t="shared" si="5"/>
        <v>0.20800000000000002</v>
      </c>
      <c r="X80">
        <f t="shared" si="5"/>
        <v>0.20800000000000002</v>
      </c>
      <c r="Y80">
        <f t="shared" si="5"/>
        <v>0.185</v>
      </c>
      <c r="Z80">
        <f t="shared" si="5"/>
        <v>0.129</v>
      </c>
      <c r="AA80">
        <f t="shared" si="5"/>
        <v>0.126</v>
      </c>
      <c r="AB80">
        <f t="shared" si="5"/>
        <v>0.15</v>
      </c>
      <c r="AC80">
        <f t="shared" si="5"/>
        <v>0.14300000000000002</v>
      </c>
      <c r="AD80">
        <f t="shared" si="5"/>
        <v>7.6999999999999999E-2</v>
      </c>
    </row>
    <row r="81" spans="1:30" x14ac:dyDescent="0.25">
      <c r="A81">
        <v>448</v>
      </c>
      <c r="B81">
        <v>59</v>
      </c>
      <c r="C81">
        <v>0</v>
      </c>
      <c r="D81">
        <v>14</v>
      </c>
      <c r="E81">
        <v>7</v>
      </c>
      <c r="F81">
        <v>28</v>
      </c>
      <c r="G81">
        <v>7</v>
      </c>
      <c r="H81">
        <v>5</v>
      </c>
      <c r="I81">
        <v>21.2</v>
      </c>
      <c r="J81">
        <v>21.1</v>
      </c>
      <c r="K81">
        <v>21.5</v>
      </c>
      <c r="L81">
        <v>19.8</v>
      </c>
      <c r="M81">
        <v>15.3</v>
      </c>
      <c r="N81">
        <v>12.3</v>
      </c>
      <c r="O81">
        <v>11.6</v>
      </c>
      <c r="P81">
        <v>15</v>
      </c>
      <c r="Q81">
        <v>15.7</v>
      </c>
      <c r="R81">
        <v>10.9</v>
      </c>
      <c r="S81">
        <f t="shared" si="6"/>
        <v>59</v>
      </c>
      <c r="T81" t="s">
        <v>93</v>
      </c>
      <c r="U81">
        <f t="shared" si="7"/>
        <v>0.21199999999999999</v>
      </c>
      <c r="V81">
        <f t="shared" si="5"/>
        <v>0.21100000000000002</v>
      </c>
      <c r="W81">
        <f t="shared" si="5"/>
        <v>0.215</v>
      </c>
      <c r="X81">
        <f t="shared" si="5"/>
        <v>0.19800000000000001</v>
      </c>
      <c r="Y81">
        <f t="shared" si="5"/>
        <v>0.153</v>
      </c>
      <c r="Z81">
        <f t="shared" si="5"/>
        <v>0.12300000000000001</v>
      </c>
      <c r="AA81">
        <f t="shared" si="5"/>
        <v>0.11599999999999999</v>
      </c>
      <c r="AB81">
        <f t="shared" si="5"/>
        <v>0.15</v>
      </c>
      <c r="AC81">
        <f t="shared" si="5"/>
        <v>0.157</v>
      </c>
      <c r="AD81">
        <f t="shared" si="5"/>
        <v>0.109</v>
      </c>
    </row>
    <row r="82" spans="1:30" x14ac:dyDescent="0.25">
      <c r="A82">
        <v>447</v>
      </c>
      <c r="B82">
        <v>58</v>
      </c>
      <c r="C82">
        <v>0</v>
      </c>
      <c r="D82">
        <v>14</v>
      </c>
      <c r="E82">
        <v>7</v>
      </c>
      <c r="F82">
        <v>28</v>
      </c>
      <c r="G82">
        <v>7</v>
      </c>
      <c r="H82">
        <v>11</v>
      </c>
      <c r="I82">
        <v>19.2</v>
      </c>
      <c r="J82">
        <v>19.600000000000001</v>
      </c>
      <c r="K82">
        <v>23.3</v>
      </c>
      <c r="L82">
        <v>21.5</v>
      </c>
      <c r="M82">
        <v>19.2</v>
      </c>
      <c r="N82">
        <v>16.8</v>
      </c>
      <c r="O82">
        <v>14.4</v>
      </c>
      <c r="P82">
        <v>16.899999999999999</v>
      </c>
      <c r="Q82">
        <v>18.2</v>
      </c>
      <c r="R82">
        <v>13.2</v>
      </c>
      <c r="S82">
        <f t="shared" si="6"/>
        <v>58</v>
      </c>
      <c r="T82" t="s">
        <v>92</v>
      </c>
      <c r="U82">
        <f t="shared" si="7"/>
        <v>0.192</v>
      </c>
      <c r="V82">
        <f t="shared" si="5"/>
        <v>0.19600000000000001</v>
      </c>
      <c r="W82">
        <f t="shared" si="5"/>
        <v>0.23300000000000001</v>
      </c>
      <c r="X82">
        <f t="shared" si="5"/>
        <v>0.215</v>
      </c>
      <c r="Y82">
        <f t="shared" si="5"/>
        <v>0.192</v>
      </c>
      <c r="Z82">
        <f t="shared" si="5"/>
        <v>0.16800000000000001</v>
      </c>
      <c r="AA82">
        <f t="shared" si="5"/>
        <v>0.14400000000000002</v>
      </c>
      <c r="AB82">
        <f t="shared" si="5"/>
        <v>0.16899999999999998</v>
      </c>
      <c r="AC82">
        <f t="shared" si="5"/>
        <v>0.182</v>
      </c>
      <c r="AD82">
        <f t="shared" si="5"/>
        <v>0.13200000000000001</v>
      </c>
    </row>
    <row r="83" spans="1:30" x14ac:dyDescent="0.25">
      <c r="A83">
        <v>446</v>
      </c>
      <c r="B83">
        <v>57</v>
      </c>
      <c r="C83">
        <v>0</v>
      </c>
      <c r="D83">
        <v>14</v>
      </c>
      <c r="E83">
        <v>7</v>
      </c>
      <c r="F83">
        <v>28</v>
      </c>
      <c r="G83">
        <v>7</v>
      </c>
      <c r="H83">
        <v>15</v>
      </c>
      <c r="I83">
        <v>16.100000000000001</v>
      </c>
      <c r="J83">
        <v>19</v>
      </c>
      <c r="K83">
        <v>24.3</v>
      </c>
      <c r="L83">
        <v>25.6</v>
      </c>
      <c r="M83">
        <v>24.6</v>
      </c>
      <c r="N83">
        <v>25</v>
      </c>
      <c r="O83">
        <v>20.399999999999999</v>
      </c>
      <c r="P83">
        <v>19</v>
      </c>
      <c r="Q83">
        <v>18.100000000000001</v>
      </c>
      <c r="R83">
        <v>13.2</v>
      </c>
      <c r="S83">
        <f t="shared" si="6"/>
        <v>57</v>
      </c>
      <c r="T83" t="s">
        <v>91</v>
      </c>
      <c r="U83">
        <f t="shared" si="7"/>
        <v>0.161</v>
      </c>
      <c r="V83">
        <f t="shared" si="5"/>
        <v>0.19</v>
      </c>
      <c r="W83">
        <f t="shared" si="5"/>
        <v>0.24299999999999999</v>
      </c>
      <c r="X83">
        <f t="shared" si="5"/>
        <v>0.25600000000000001</v>
      </c>
      <c r="Y83">
        <f t="shared" si="5"/>
        <v>0.24600000000000002</v>
      </c>
      <c r="Z83">
        <f t="shared" si="5"/>
        <v>0.25</v>
      </c>
      <c r="AA83">
        <f t="shared" si="5"/>
        <v>0.20399999999999999</v>
      </c>
      <c r="AB83">
        <f t="shared" si="5"/>
        <v>0.19</v>
      </c>
      <c r="AC83">
        <f t="shared" si="5"/>
        <v>0.18100000000000002</v>
      </c>
      <c r="AD83">
        <f t="shared" si="5"/>
        <v>0.13200000000000001</v>
      </c>
    </row>
    <row r="84" spans="1:30" x14ac:dyDescent="0.25">
      <c r="A84">
        <v>445</v>
      </c>
      <c r="B84">
        <v>56</v>
      </c>
      <c r="C84">
        <v>0</v>
      </c>
      <c r="D84">
        <v>14</v>
      </c>
      <c r="E84">
        <v>7</v>
      </c>
      <c r="F84">
        <v>28</v>
      </c>
      <c r="G84">
        <v>7</v>
      </c>
      <c r="H84">
        <v>21</v>
      </c>
      <c r="I84">
        <v>19.899999999999999</v>
      </c>
      <c r="J84">
        <v>20</v>
      </c>
      <c r="K84">
        <v>19.100000000000001</v>
      </c>
      <c r="L84">
        <v>21</v>
      </c>
      <c r="M84">
        <v>21.2</v>
      </c>
      <c r="N84">
        <v>20</v>
      </c>
      <c r="O84">
        <v>19.899999999999999</v>
      </c>
      <c r="P84">
        <v>16.100000000000001</v>
      </c>
      <c r="Q84">
        <v>15.1</v>
      </c>
      <c r="R84">
        <v>9.4</v>
      </c>
      <c r="S84">
        <f t="shared" si="6"/>
        <v>56</v>
      </c>
      <c r="T84" t="s">
        <v>90</v>
      </c>
      <c r="U84">
        <f t="shared" si="7"/>
        <v>0.19899999999999998</v>
      </c>
      <c r="V84">
        <f t="shared" si="5"/>
        <v>0.2</v>
      </c>
      <c r="W84">
        <f t="shared" si="5"/>
        <v>0.191</v>
      </c>
      <c r="X84">
        <f t="shared" si="5"/>
        <v>0.21</v>
      </c>
      <c r="Y84">
        <f t="shared" si="5"/>
        <v>0.21199999999999999</v>
      </c>
      <c r="Z84">
        <f t="shared" si="5"/>
        <v>0.2</v>
      </c>
      <c r="AA84">
        <f t="shared" si="5"/>
        <v>0.19899999999999998</v>
      </c>
      <c r="AB84">
        <f t="shared" si="5"/>
        <v>0.161</v>
      </c>
      <c r="AC84">
        <f t="shared" si="5"/>
        <v>0.151</v>
      </c>
      <c r="AD84">
        <f t="shared" si="5"/>
        <v>9.4E-2</v>
      </c>
    </row>
    <row r="85" spans="1:30" x14ac:dyDescent="0.25">
      <c r="A85">
        <v>444</v>
      </c>
      <c r="B85">
        <v>55</v>
      </c>
      <c r="C85">
        <v>0</v>
      </c>
      <c r="D85">
        <v>14</v>
      </c>
      <c r="E85">
        <v>7</v>
      </c>
      <c r="F85">
        <v>28</v>
      </c>
      <c r="G85">
        <v>7</v>
      </c>
      <c r="H85">
        <v>25</v>
      </c>
      <c r="I85">
        <v>17</v>
      </c>
      <c r="J85">
        <v>17.5</v>
      </c>
      <c r="K85">
        <v>21.3</v>
      </c>
      <c r="L85">
        <v>24</v>
      </c>
      <c r="M85">
        <v>24</v>
      </c>
      <c r="N85">
        <v>21.8</v>
      </c>
      <c r="O85">
        <v>19.100000000000001</v>
      </c>
      <c r="P85">
        <v>16.5</v>
      </c>
      <c r="Q85">
        <v>18</v>
      </c>
      <c r="R85">
        <v>12.5</v>
      </c>
      <c r="S85">
        <f t="shared" si="6"/>
        <v>55</v>
      </c>
      <c r="T85" t="s">
        <v>89</v>
      </c>
      <c r="U85">
        <f t="shared" si="7"/>
        <v>0.17</v>
      </c>
      <c r="V85">
        <f t="shared" si="5"/>
        <v>0.17499999999999999</v>
      </c>
      <c r="W85">
        <f t="shared" si="5"/>
        <v>0.21299999999999999</v>
      </c>
      <c r="X85">
        <f t="shared" si="5"/>
        <v>0.24</v>
      </c>
      <c r="Y85">
        <f t="shared" si="5"/>
        <v>0.24</v>
      </c>
      <c r="Z85">
        <f t="shared" si="5"/>
        <v>0.218</v>
      </c>
      <c r="AA85">
        <f t="shared" si="5"/>
        <v>0.191</v>
      </c>
      <c r="AB85">
        <f t="shared" si="5"/>
        <v>0.16500000000000001</v>
      </c>
      <c r="AC85">
        <f t="shared" si="5"/>
        <v>0.18</v>
      </c>
      <c r="AD85">
        <f t="shared" si="5"/>
        <v>0.125</v>
      </c>
    </row>
    <row r="86" spans="1:30" x14ac:dyDescent="0.25">
      <c r="A86">
        <v>443</v>
      </c>
      <c r="B86">
        <v>54</v>
      </c>
      <c r="C86">
        <v>0</v>
      </c>
      <c r="D86">
        <v>14</v>
      </c>
      <c r="E86">
        <v>7</v>
      </c>
      <c r="F86">
        <v>28</v>
      </c>
      <c r="G86">
        <v>7</v>
      </c>
      <c r="H86">
        <v>30</v>
      </c>
      <c r="I86">
        <v>15.5</v>
      </c>
      <c r="J86">
        <v>15.8</v>
      </c>
      <c r="K86">
        <v>17.8</v>
      </c>
      <c r="L86">
        <v>21.6</v>
      </c>
      <c r="M86">
        <v>20.8</v>
      </c>
      <c r="N86">
        <v>16.8</v>
      </c>
      <c r="O86">
        <v>14.5</v>
      </c>
      <c r="P86">
        <v>14.8</v>
      </c>
      <c r="Q86">
        <v>14.7</v>
      </c>
      <c r="R86">
        <v>7.3</v>
      </c>
      <c r="S86">
        <f t="shared" si="6"/>
        <v>54</v>
      </c>
      <c r="T86" t="s">
        <v>36</v>
      </c>
      <c r="U86">
        <f t="shared" si="7"/>
        <v>0.155</v>
      </c>
      <c r="V86">
        <f t="shared" si="5"/>
        <v>0.158</v>
      </c>
      <c r="W86">
        <f t="shared" si="5"/>
        <v>0.17800000000000002</v>
      </c>
      <c r="X86">
        <f t="shared" si="5"/>
        <v>0.21600000000000003</v>
      </c>
      <c r="Y86">
        <f t="shared" si="5"/>
        <v>0.20800000000000002</v>
      </c>
      <c r="Z86">
        <f t="shared" si="5"/>
        <v>0.16800000000000001</v>
      </c>
      <c r="AA86">
        <f t="shared" si="5"/>
        <v>0.14499999999999999</v>
      </c>
      <c r="AB86">
        <f t="shared" si="5"/>
        <v>0.14800000000000002</v>
      </c>
      <c r="AC86">
        <f t="shared" si="5"/>
        <v>0.14699999999999999</v>
      </c>
      <c r="AD86">
        <f t="shared" si="5"/>
        <v>7.2999999999999995E-2</v>
      </c>
    </row>
    <row r="87" spans="1:30" x14ac:dyDescent="0.25">
      <c r="A87">
        <v>442</v>
      </c>
      <c r="B87">
        <v>53</v>
      </c>
      <c r="C87">
        <v>0</v>
      </c>
      <c r="D87">
        <v>14</v>
      </c>
      <c r="E87">
        <v>7</v>
      </c>
      <c r="F87">
        <v>28</v>
      </c>
      <c r="G87">
        <v>7</v>
      </c>
      <c r="H87">
        <v>35</v>
      </c>
      <c r="I87">
        <v>21.8</v>
      </c>
      <c r="J87">
        <v>21.4</v>
      </c>
      <c r="K87">
        <v>21.8</v>
      </c>
      <c r="L87">
        <v>22</v>
      </c>
      <c r="M87">
        <v>21.8</v>
      </c>
      <c r="N87">
        <v>18.600000000000001</v>
      </c>
      <c r="O87">
        <v>17.100000000000001</v>
      </c>
      <c r="P87">
        <v>14</v>
      </c>
      <c r="Q87">
        <v>14.4</v>
      </c>
      <c r="R87">
        <v>8.1999999999999993</v>
      </c>
      <c r="S87">
        <f t="shared" si="6"/>
        <v>53</v>
      </c>
      <c r="T87" t="s">
        <v>88</v>
      </c>
      <c r="U87">
        <f t="shared" si="7"/>
        <v>0.218</v>
      </c>
      <c r="V87">
        <f t="shared" si="5"/>
        <v>0.214</v>
      </c>
      <c r="W87">
        <f t="shared" si="5"/>
        <v>0.218</v>
      </c>
      <c r="X87">
        <f t="shared" si="5"/>
        <v>0.22</v>
      </c>
      <c r="Y87">
        <f t="shared" si="5"/>
        <v>0.218</v>
      </c>
      <c r="Z87">
        <f t="shared" si="5"/>
        <v>0.18600000000000003</v>
      </c>
      <c r="AA87">
        <f t="shared" si="5"/>
        <v>0.17100000000000001</v>
      </c>
      <c r="AB87">
        <f t="shared" si="5"/>
        <v>0.14000000000000001</v>
      </c>
      <c r="AC87">
        <f t="shared" si="5"/>
        <v>0.14400000000000002</v>
      </c>
      <c r="AD87">
        <f t="shared" si="5"/>
        <v>8.199999999999999E-2</v>
      </c>
    </row>
    <row r="88" spans="1:30" x14ac:dyDescent="0.25">
      <c r="A88">
        <v>441</v>
      </c>
      <c r="B88">
        <v>52</v>
      </c>
      <c r="C88">
        <v>0</v>
      </c>
      <c r="D88">
        <v>14</v>
      </c>
      <c r="E88">
        <v>7</v>
      </c>
      <c r="F88">
        <v>28</v>
      </c>
      <c r="G88">
        <v>7</v>
      </c>
      <c r="H88">
        <v>40</v>
      </c>
      <c r="I88">
        <v>-5</v>
      </c>
      <c r="J88">
        <v>18.8</v>
      </c>
      <c r="K88">
        <v>21.3</v>
      </c>
      <c r="L88">
        <v>25.1</v>
      </c>
      <c r="M88">
        <v>23</v>
      </c>
      <c r="N88">
        <v>22.9</v>
      </c>
      <c r="O88">
        <v>19.600000000000001</v>
      </c>
      <c r="P88">
        <v>17.100000000000001</v>
      </c>
      <c r="Q88">
        <v>16.5</v>
      </c>
      <c r="R88">
        <v>10.1</v>
      </c>
      <c r="S88">
        <f t="shared" si="6"/>
        <v>52</v>
      </c>
      <c r="T88" t="s">
        <v>87</v>
      </c>
      <c r="U88" t="str">
        <f t="shared" si="7"/>
        <v/>
      </c>
      <c r="V88">
        <f t="shared" si="5"/>
        <v>0.188</v>
      </c>
      <c r="W88">
        <f t="shared" si="5"/>
        <v>0.21299999999999999</v>
      </c>
      <c r="X88">
        <f t="shared" si="5"/>
        <v>0.251</v>
      </c>
      <c r="Y88">
        <f t="shared" si="5"/>
        <v>0.23</v>
      </c>
      <c r="Z88">
        <f t="shared" si="5"/>
        <v>0.22899999999999998</v>
      </c>
      <c r="AA88">
        <f t="shared" si="5"/>
        <v>0.19600000000000001</v>
      </c>
      <c r="AB88">
        <f t="shared" si="5"/>
        <v>0.17100000000000001</v>
      </c>
      <c r="AC88">
        <f t="shared" si="5"/>
        <v>0.16500000000000001</v>
      </c>
      <c r="AD88">
        <f t="shared" si="5"/>
        <v>0.10099999999999999</v>
      </c>
    </row>
    <row r="89" spans="1:30" x14ac:dyDescent="0.25">
      <c r="A89">
        <v>440</v>
      </c>
      <c r="B89">
        <v>51</v>
      </c>
      <c r="C89">
        <v>0</v>
      </c>
      <c r="D89">
        <v>14</v>
      </c>
      <c r="E89">
        <v>7</v>
      </c>
      <c r="F89">
        <v>28</v>
      </c>
      <c r="G89">
        <v>7</v>
      </c>
      <c r="H89">
        <v>45</v>
      </c>
      <c r="I89">
        <v>17</v>
      </c>
      <c r="J89">
        <v>17.8</v>
      </c>
      <c r="K89">
        <v>23.2</v>
      </c>
      <c r="L89">
        <v>23.7</v>
      </c>
      <c r="M89">
        <v>24</v>
      </c>
      <c r="N89">
        <v>19.5</v>
      </c>
      <c r="O89">
        <v>18.3</v>
      </c>
      <c r="P89">
        <v>18.399999999999999</v>
      </c>
      <c r="Q89">
        <v>19.899999999999999</v>
      </c>
      <c r="R89">
        <v>13.9</v>
      </c>
      <c r="S89">
        <f t="shared" si="6"/>
        <v>51</v>
      </c>
      <c r="T89" t="s">
        <v>86</v>
      </c>
      <c r="U89">
        <f t="shared" si="7"/>
        <v>0.17</v>
      </c>
      <c r="V89">
        <f t="shared" si="5"/>
        <v>0.17800000000000002</v>
      </c>
      <c r="W89">
        <f t="shared" si="5"/>
        <v>0.23199999999999998</v>
      </c>
      <c r="X89">
        <f t="shared" si="5"/>
        <v>0.23699999999999999</v>
      </c>
      <c r="Y89">
        <f t="shared" si="5"/>
        <v>0.24</v>
      </c>
      <c r="Z89">
        <f t="shared" si="5"/>
        <v>0.19500000000000001</v>
      </c>
      <c r="AA89">
        <f t="shared" si="5"/>
        <v>0.183</v>
      </c>
      <c r="AB89">
        <f t="shared" si="5"/>
        <v>0.184</v>
      </c>
      <c r="AC89">
        <f t="shared" si="5"/>
        <v>0.19899999999999998</v>
      </c>
      <c r="AD89">
        <f t="shared" si="5"/>
        <v>0.13900000000000001</v>
      </c>
    </row>
    <row r="90" spans="1:30" x14ac:dyDescent="0.25">
      <c r="A90">
        <v>439</v>
      </c>
      <c r="B90">
        <v>50</v>
      </c>
      <c r="C90">
        <v>0</v>
      </c>
      <c r="D90">
        <v>14</v>
      </c>
      <c r="E90">
        <v>7</v>
      </c>
      <c r="F90">
        <v>28</v>
      </c>
      <c r="G90">
        <v>7</v>
      </c>
      <c r="H90">
        <v>50</v>
      </c>
      <c r="I90">
        <v>20.399999999999999</v>
      </c>
      <c r="J90">
        <v>20.2</v>
      </c>
      <c r="K90">
        <v>20.100000000000001</v>
      </c>
      <c r="L90">
        <v>25.1</v>
      </c>
      <c r="M90">
        <v>25.8</v>
      </c>
      <c r="N90">
        <v>22.3</v>
      </c>
      <c r="O90">
        <v>22.8</v>
      </c>
      <c r="P90">
        <v>20.9</v>
      </c>
      <c r="Q90">
        <v>19.399999999999999</v>
      </c>
      <c r="R90">
        <v>12.8</v>
      </c>
      <c r="S90">
        <f t="shared" si="6"/>
        <v>50</v>
      </c>
      <c r="T90" t="s">
        <v>39</v>
      </c>
      <c r="U90">
        <f t="shared" si="7"/>
        <v>0.20399999999999999</v>
      </c>
      <c r="V90">
        <f t="shared" si="5"/>
        <v>0.20199999999999999</v>
      </c>
      <c r="W90">
        <f t="shared" si="5"/>
        <v>0.20100000000000001</v>
      </c>
      <c r="X90">
        <f t="shared" si="5"/>
        <v>0.251</v>
      </c>
      <c r="Y90">
        <f t="shared" si="5"/>
        <v>0.25800000000000001</v>
      </c>
      <c r="Z90">
        <f t="shared" si="5"/>
        <v>0.223</v>
      </c>
      <c r="AA90">
        <f t="shared" si="5"/>
        <v>0.22800000000000001</v>
      </c>
      <c r="AB90">
        <f t="shared" si="5"/>
        <v>0.20899999999999999</v>
      </c>
      <c r="AC90">
        <f t="shared" si="5"/>
        <v>0.19399999999999998</v>
      </c>
      <c r="AD90">
        <f t="shared" si="5"/>
        <v>0.128</v>
      </c>
    </row>
    <row r="91" spans="1:30" x14ac:dyDescent="0.25">
      <c r="A91">
        <v>438</v>
      </c>
      <c r="B91">
        <v>49</v>
      </c>
      <c r="C91">
        <v>0</v>
      </c>
      <c r="D91">
        <v>14</v>
      </c>
      <c r="E91">
        <v>7</v>
      </c>
      <c r="F91">
        <v>28</v>
      </c>
      <c r="G91">
        <v>7</v>
      </c>
      <c r="H91">
        <v>54</v>
      </c>
      <c r="I91">
        <v>23.4</v>
      </c>
      <c r="J91">
        <v>23</v>
      </c>
      <c r="K91">
        <v>23.8</v>
      </c>
      <c r="L91">
        <v>26.1</v>
      </c>
      <c r="M91">
        <v>23.1</v>
      </c>
      <c r="N91">
        <v>15.8</v>
      </c>
      <c r="O91">
        <v>14</v>
      </c>
      <c r="P91">
        <v>17.7</v>
      </c>
      <c r="Q91">
        <v>20.100000000000001</v>
      </c>
      <c r="R91">
        <v>12.9</v>
      </c>
      <c r="S91">
        <f t="shared" si="6"/>
        <v>49</v>
      </c>
      <c r="T91" t="s">
        <v>72</v>
      </c>
      <c r="U91">
        <f t="shared" si="7"/>
        <v>0.23399999999999999</v>
      </c>
      <c r="V91">
        <f t="shared" si="5"/>
        <v>0.23</v>
      </c>
      <c r="W91">
        <f t="shared" si="5"/>
        <v>0.23800000000000002</v>
      </c>
      <c r="X91">
        <f t="shared" si="5"/>
        <v>0.26100000000000001</v>
      </c>
      <c r="Y91">
        <f t="shared" si="5"/>
        <v>0.23100000000000001</v>
      </c>
      <c r="Z91">
        <f t="shared" si="5"/>
        <v>0.158</v>
      </c>
      <c r="AA91">
        <f t="shared" si="5"/>
        <v>0.14000000000000001</v>
      </c>
      <c r="AB91">
        <f t="shared" si="5"/>
        <v>0.17699999999999999</v>
      </c>
      <c r="AC91">
        <f t="shared" si="5"/>
        <v>0.20100000000000001</v>
      </c>
      <c r="AD91">
        <f t="shared" si="5"/>
        <v>0.129</v>
      </c>
    </row>
    <row r="92" spans="1:30" x14ac:dyDescent="0.25">
      <c r="A92">
        <v>437</v>
      </c>
      <c r="B92">
        <v>48</v>
      </c>
      <c r="C92">
        <v>0</v>
      </c>
      <c r="D92">
        <v>14</v>
      </c>
      <c r="E92">
        <v>7</v>
      </c>
      <c r="F92">
        <v>28</v>
      </c>
      <c r="G92">
        <v>8</v>
      </c>
      <c r="H92">
        <v>3</v>
      </c>
      <c r="I92">
        <v>21.5</v>
      </c>
      <c r="J92">
        <v>23</v>
      </c>
      <c r="K92">
        <v>25.3</v>
      </c>
      <c r="L92">
        <v>26.3</v>
      </c>
      <c r="M92">
        <v>23.1</v>
      </c>
      <c r="N92">
        <v>18.7</v>
      </c>
      <c r="O92">
        <v>15</v>
      </c>
      <c r="P92">
        <v>17.399999999999999</v>
      </c>
      <c r="Q92">
        <v>15.3</v>
      </c>
      <c r="R92">
        <v>9.1999999999999993</v>
      </c>
      <c r="S92">
        <f t="shared" si="6"/>
        <v>48</v>
      </c>
      <c r="T92" t="s">
        <v>38</v>
      </c>
      <c r="U92">
        <f t="shared" si="7"/>
        <v>0.215</v>
      </c>
      <c r="V92">
        <f t="shared" si="5"/>
        <v>0.23</v>
      </c>
      <c r="W92">
        <f t="shared" si="5"/>
        <v>0.253</v>
      </c>
      <c r="X92">
        <f t="shared" si="5"/>
        <v>0.26300000000000001</v>
      </c>
      <c r="Y92">
        <f t="shared" si="5"/>
        <v>0.23100000000000001</v>
      </c>
      <c r="Z92">
        <f t="shared" si="5"/>
        <v>0.187</v>
      </c>
      <c r="AA92">
        <f t="shared" si="5"/>
        <v>0.15</v>
      </c>
      <c r="AB92">
        <f t="shared" si="5"/>
        <v>0.17399999999999999</v>
      </c>
      <c r="AC92">
        <f t="shared" si="5"/>
        <v>0.153</v>
      </c>
      <c r="AD92">
        <f t="shared" si="5"/>
        <v>9.1999999999999998E-2</v>
      </c>
    </row>
    <row r="93" spans="1:30" x14ac:dyDescent="0.25">
      <c r="A93">
        <v>436</v>
      </c>
      <c r="B93">
        <v>47</v>
      </c>
      <c r="C93">
        <v>0</v>
      </c>
      <c r="D93">
        <v>14</v>
      </c>
      <c r="E93">
        <v>7</v>
      </c>
      <c r="F93">
        <v>28</v>
      </c>
      <c r="G93">
        <v>8</v>
      </c>
      <c r="H93">
        <v>7</v>
      </c>
      <c r="I93">
        <v>20.9</v>
      </c>
      <c r="J93">
        <v>20.3</v>
      </c>
      <c r="K93">
        <v>23.1</v>
      </c>
      <c r="L93">
        <v>24.7</v>
      </c>
      <c r="M93">
        <v>25.4</v>
      </c>
      <c r="N93">
        <v>23.2</v>
      </c>
      <c r="O93">
        <v>20.2</v>
      </c>
      <c r="P93">
        <v>17.7</v>
      </c>
      <c r="Q93">
        <v>17.899999999999999</v>
      </c>
      <c r="R93">
        <v>12</v>
      </c>
      <c r="S93">
        <f t="shared" si="6"/>
        <v>47</v>
      </c>
      <c r="T93" t="s">
        <v>85</v>
      </c>
      <c r="U93">
        <f t="shared" si="7"/>
        <v>0.20899999999999999</v>
      </c>
      <c r="V93">
        <f t="shared" si="5"/>
        <v>0.20300000000000001</v>
      </c>
      <c r="W93">
        <f t="shared" si="5"/>
        <v>0.23100000000000001</v>
      </c>
      <c r="X93">
        <f t="shared" si="5"/>
        <v>0.247</v>
      </c>
      <c r="Y93">
        <f t="shared" si="5"/>
        <v>0.254</v>
      </c>
      <c r="Z93">
        <f t="shared" si="5"/>
        <v>0.23199999999999998</v>
      </c>
      <c r="AA93">
        <f t="shared" si="5"/>
        <v>0.20199999999999999</v>
      </c>
      <c r="AB93">
        <f t="shared" si="5"/>
        <v>0.17699999999999999</v>
      </c>
      <c r="AC93">
        <f t="shared" si="5"/>
        <v>0.17899999999999999</v>
      </c>
      <c r="AD93">
        <f t="shared" si="5"/>
        <v>0.12</v>
      </c>
    </row>
    <row r="94" spans="1:30" x14ac:dyDescent="0.25">
      <c r="A94">
        <v>435</v>
      </c>
      <c r="B94">
        <v>46</v>
      </c>
      <c r="C94">
        <v>0</v>
      </c>
      <c r="D94">
        <v>14</v>
      </c>
      <c r="E94">
        <v>7</v>
      </c>
      <c r="F94">
        <v>28</v>
      </c>
      <c r="G94">
        <v>8</v>
      </c>
      <c r="H94">
        <v>12</v>
      </c>
      <c r="I94">
        <v>23</v>
      </c>
      <c r="J94">
        <v>23.8</v>
      </c>
      <c r="K94">
        <v>25.6</v>
      </c>
      <c r="L94">
        <v>24.9</v>
      </c>
      <c r="M94">
        <v>25.6</v>
      </c>
      <c r="N94">
        <v>23.9</v>
      </c>
      <c r="O94">
        <v>22.6</v>
      </c>
      <c r="P94">
        <v>16.2</v>
      </c>
      <c r="Q94">
        <v>16.399999999999999</v>
      </c>
      <c r="R94">
        <v>10.5</v>
      </c>
      <c r="S94">
        <f t="shared" si="6"/>
        <v>46</v>
      </c>
      <c r="T94" t="s">
        <v>84</v>
      </c>
      <c r="U94">
        <f t="shared" si="7"/>
        <v>0.23</v>
      </c>
      <c r="V94">
        <f t="shared" si="5"/>
        <v>0.23800000000000002</v>
      </c>
      <c r="W94">
        <f t="shared" si="5"/>
        <v>0.25600000000000001</v>
      </c>
      <c r="X94">
        <f t="shared" si="5"/>
        <v>0.249</v>
      </c>
      <c r="Y94">
        <f t="shared" si="5"/>
        <v>0.25600000000000001</v>
      </c>
      <c r="Z94">
        <f t="shared" si="5"/>
        <v>0.23899999999999999</v>
      </c>
      <c r="AA94">
        <f t="shared" si="5"/>
        <v>0.22600000000000001</v>
      </c>
      <c r="AB94">
        <f t="shared" si="5"/>
        <v>0.16200000000000001</v>
      </c>
      <c r="AC94">
        <f t="shared" si="5"/>
        <v>0.16399999999999998</v>
      </c>
      <c r="AD94">
        <f t="shared" si="5"/>
        <v>0.105</v>
      </c>
    </row>
    <row r="95" spans="1:30" x14ac:dyDescent="0.25">
      <c r="A95">
        <v>434</v>
      </c>
      <c r="B95">
        <v>45</v>
      </c>
      <c r="C95">
        <v>0</v>
      </c>
      <c r="D95">
        <v>14</v>
      </c>
      <c r="E95">
        <v>7</v>
      </c>
      <c r="F95">
        <v>28</v>
      </c>
      <c r="G95">
        <v>8</v>
      </c>
      <c r="H95">
        <v>17</v>
      </c>
      <c r="I95">
        <v>-5</v>
      </c>
      <c r="J95">
        <v>23.9</v>
      </c>
      <c r="K95">
        <v>24</v>
      </c>
      <c r="L95">
        <v>25.6</v>
      </c>
      <c r="M95">
        <v>24.9</v>
      </c>
      <c r="N95">
        <v>24.8</v>
      </c>
      <c r="O95">
        <v>23.7</v>
      </c>
      <c r="P95">
        <v>19.100000000000001</v>
      </c>
      <c r="Q95">
        <v>18.899999999999999</v>
      </c>
      <c r="R95">
        <v>13.3</v>
      </c>
      <c r="S95">
        <f t="shared" si="6"/>
        <v>45</v>
      </c>
      <c r="T95" t="s">
        <v>42</v>
      </c>
      <c r="U95" t="str">
        <f t="shared" si="7"/>
        <v/>
      </c>
      <c r="V95">
        <f t="shared" si="5"/>
        <v>0.23899999999999999</v>
      </c>
      <c r="W95">
        <f t="shared" si="5"/>
        <v>0.24</v>
      </c>
      <c r="X95">
        <f t="shared" si="5"/>
        <v>0.25600000000000001</v>
      </c>
      <c r="Y95">
        <f t="shared" si="5"/>
        <v>0.249</v>
      </c>
      <c r="Z95">
        <f t="shared" si="5"/>
        <v>0.248</v>
      </c>
      <c r="AA95">
        <f t="shared" si="5"/>
        <v>0.23699999999999999</v>
      </c>
      <c r="AB95">
        <f t="shared" si="5"/>
        <v>0.191</v>
      </c>
      <c r="AC95">
        <f t="shared" si="5"/>
        <v>0.18899999999999997</v>
      </c>
      <c r="AD95">
        <f t="shared" si="5"/>
        <v>0.13300000000000001</v>
      </c>
    </row>
    <row r="96" spans="1:30" x14ac:dyDescent="0.25">
      <c r="A96">
        <v>433</v>
      </c>
      <c r="B96">
        <v>44</v>
      </c>
      <c r="C96">
        <v>0</v>
      </c>
      <c r="D96">
        <v>14</v>
      </c>
      <c r="E96">
        <v>7</v>
      </c>
      <c r="F96">
        <v>28</v>
      </c>
      <c r="G96">
        <v>8</v>
      </c>
      <c r="H96">
        <v>21</v>
      </c>
      <c r="I96">
        <v>17.8</v>
      </c>
      <c r="J96">
        <v>17.7</v>
      </c>
      <c r="K96">
        <v>24</v>
      </c>
      <c r="L96">
        <v>27.1</v>
      </c>
      <c r="M96">
        <v>24.1</v>
      </c>
      <c r="N96">
        <v>18.899999999999999</v>
      </c>
      <c r="O96">
        <v>14</v>
      </c>
      <c r="P96">
        <v>13</v>
      </c>
      <c r="Q96">
        <v>12.8</v>
      </c>
      <c r="R96">
        <v>8</v>
      </c>
      <c r="S96">
        <f t="shared" si="6"/>
        <v>44</v>
      </c>
      <c r="T96" t="s">
        <v>83</v>
      </c>
      <c r="U96">
        <f t="shared" si="7"/>
        <v>0.17800000000000002</v>
      </c>
      <c r="V96">
        <f t="shared" si="5"/>
        <v>0.17699999999999999</v>
      </c>
      <c r="W96">
        <f t="shared" si="5"/>
        <v>0.24</v>
      </c>
      <c r="X96">
        <f t="shared" si="5"/>
        <v>0.27100000000000002</v>
      </c>
      <c r="Y96">
        <f t="shared" si="5"/>
        <v>0.24100000000000002</v>
      </c>
      <c r="Z96">
        <f t="shared" si="5"/>
        <v>0.18899999999999997</v>
      </c>
      <c r="AA96">
        <f t="shared" si="5"/>
        <v>0.14000000000000001</v>
      </c>
      <c r="AB96">
        <f t="shared" si="5"/>
        <v>0.13</v>
      </c>
      <c r="AC96">
        <f t="shared" si="5"/>
        <v>0.128</v>
      </c>
      <c r="AD96">
        <f t="shared" si="5"/>
        <v>0.08</v>
      </c>
    </row>
    <row r="97" spans="1:30" x14ac:dyDescent="0.25">
      <c r="A97">
        <v>432</v>
      </c>
      <c r="B97">
        <v>43</v>
      </c>
      <c r="C97">
        <v>0</v>
      </c>
      <c r="D97">
        <v>14</v>
      </c>
      <c r="E97">
        <v>7</v>
      </c>
      <c r="F97">
        <v>28</v>
      </c>
      <c r="G97">
        <v>8</v>
      </c>
      <c r="H97">
        <v>20</v>
      </c>
      <c r="I97">
        <v>17.399999999999999</v>
      </c>
      <c r="J97">
        <v>16.7</v>
      </c>
      <c r="K97">
        <v>17.100000000000001</v>
      </c>
      <c r="L97">
        <v>22.7</v>
      </c>
      <c r="M97">
        <v>25.8</v>
      </c>
      <c r="N97">
        <v>21.6</v>
      </c>
      <c r="O97">
        <v>17.899999999999999</v>
      </c>
      <c r="P97">
        <v>14.9</v>
      </c>
      <c r="Q97">
        <v>16.899999999999999</v>
      </c>
      <c r="R97">
        <v>11.1</v>
      </c>
      <c r="S97">
        <f t="shared" si="6"/>
        <v>43</v>
      </c>
      <c r="T97" t="s">
        <v>82</v>
      </c>
      <c r="U97">
        <f t="shared" si="7"/>
        <v>0.17399999999999999</v>
      </c>
      <c r="V97">
        <f t="shared" si="5"/>
        <v>0.16699999999999998</v>
      </c>
      <c r="W97">
        <f t="shared" si="5"/>
        <v>0.17100000000000001</v>
      </c>
      <c r="X97">
        <f t="shared" si="5"/>
        <v>0.22699999999999998</v>
      </c>
      <c r="Y97">
        <f t="shared" si="5"/>
        <v>0.25800000000000001</v>
      </c>
      <c r="Z97">
        <f t="shared" si="5"/>
        <v>0.21600000000000003</v>
      </c>
      <c r="AA97">
        <f t="shared" si="5"/>
        <v>0.17899999999999999</v>
      </c>
      <c r="AB97">
        <f t="shared" si="5"/>
        <v>0.14899999999999999</v>
      </c>
      <c r="AC97">
        <f t="shared" si="5"/>
        <v>0.16899999999999998</v>
      </c>
      <c r="AD97">
        <f t="shared" si="5"/>
        <v>0.111</v>
      </c>
    </row>
    <row r="98" spans="1:30" x14ac:dyDescent="0.25">
      <c r="A98">
        <v>431</v>
      </c>
      <c r="B98">
        <v>42</v>
      </c>
      <c r="C98">
        <v>0</v>
      </c>
      <c r="D98">
        <v>14</v>
      </c>
      <c r="E98">
        <v>7</v>
      </c>
      <c r="F98">
        <v>28</v>
      </c>
      <c r="G98">
        <v>8</v>
      </c>
      <c r="H98">
        <v>34</v>
      </c>
      <c r="I98">
        <v>-5</v>
      </c>
      <c r="J98">
        <v>22.4</v>
      </c>
      <c r="K98">
        <v>16.899999999999999</v>
      </c>
      <c r="L98">
        <v>15.7</v>
      </c>
      <c r="M98">
        <v>13.1</v>
      </c>
      <c r="N98">
        <v>11.9</v>
      </c>
      <c r="O98">
        <v>10.9</v>
      </c>
      <c r="P98">
        <v>11</v>
      </c>
      <c r="Q98">
        <v>12.9</v>
      </c>
      <c r="R98">
        <v>7.3</v>
      </c>
      <c r="S98">
        <f t="shared" si="6"/>
        <v>42</v>
      </c>
      <c r="T98" t="s">
        <v>44</v>
      </c>
      <c r="U98" t="str">
        <f t="shared" si="7"/>
        <v/>
      </c>
      <c r="V98">
        <f t="shared" si="5"/>
        <v>0.22399999999999998</v>
      </c>
      <c r="W98">
        <f t="shared" si="5"/>
        <v>0.16899999999999998</v>
      </c>
      <c r="X98">
        <f t="shared" si="5"/>
        <v>0.157</v>
      </c>
      <c r="Y98">
        <f t="shared" si="5"/>
        <v>0.13100000000000001</v>
      </c>
      <c r="Z98">
        <f t="shared" si="5"/>
        <v>0.11900000000000001</v>
      </c>
      <c r="AA98">
        <f t="shared" si="5"/>
        <v>0.109</v>
      </c>
      <c r="AB98">
        <f t="shared" si="5"/>
        <v>0.11</v>
      </c>
      <c r="AC98">
        <f t="shared" si="5"/>
        <v>0.129</v>
      </c>
      <c r="AD98">
        <f t="shared" si="5"/>
        <v>7.2999999999999995E-2</v>
      </c>
    </row>
    <row r="99" spans="1:30" x14ac:dyDescent="0.25">
      <c r="A99">
        <v>430</v>
      </c>
      <c r="B99">
        <v>41</v>
      </c>
      <c r="C99">
        <v>0</v>
      </c>
      <c r="D99">
        <v>14</v>
      </c>
      <c r="E99">
        <v>7</v>
      </c>
      <c r="F99">
        <v>28</v>
      </c>
      <c r="G99">
        <v>8</v>
      </c>
      <c r="H99">
        <v>30</v>
      </c>
      <c r="I99">
        <v>25.2</v>
      </c>
      <c r="J99">
        <v>22.6</v>
      </c>
      <c r="K99">
        <v>18.100000000000001</v>
      </c>
      <c r="L99">
        <v>17.2</v>
      </c>
      <c r="M99">
        <v>16.5</v>
      </c>
      <c r="N99">
        <v>15.6</v>
      </c>
      <c r="O99">
        <v>14.1</v>
      </c>
      <c r="P99">
        <v>12</v>
      </c>
      <c r="Q99">
        <v>13.7</v>
      </c>
      <c r="R99">
        <v>8.4</v>
      </c>
      <c r="S99">
        <f t="shared" si="6"/>
        <v>41</v>
      </c>
      <c r="T99" t="s">
        <v>43</v>
      </c>
      <c r="U99">
        <f t="shared" si="7"/>
        <v>0.252</v>
      </c>
      <c r="V99">
        <f t="shared" si="5"/>
        <v>0.22600000000000001</v>
      </c>
      <c r="W99">
        <f t="shared" si="5"/>
        <v>0.18100000000000002</v>
      </c>
      <c r="X99">
        <f t="shared" si="5"/>
        <v>0.17199999999999999</v>
      </c>
      <c r="Y99">
        <f t="shared" si="5"/>
        <v>0.16500000000000001</v>
      </c>
      <c r="Z99">
        <f t="shared" si="5"/>
        <v>0.156</v>
      </c>
      <c r="AA99">
        <f t="shared" si="5"/>
        <v>0.14099999999999999</v>
      </c>
      <c r="AB99">
        <f t="shared" si="5"/>
        <v>0.12</v>
      </c>
      <c r="AC99">
        <f t="shared" si="5"/>
        <v>0.13699999999999998</v>
      </c>
      <c r="AD99">
        <f t="shared" si="5"/>
        <v>8.4000000000000005E-2</v>
      </c>
    </row>
    <row r="100" spans="1:30" x14ac:dyDescent="0.25">
      <c r="A100">
        <v>429</v>
      </c>
      <c r="B100">
        <v>40</v>
      </c>
      <c r="C100">
        <v>0</v>
      </c>
      <c r="D100">
        <v>14</v>
      </c>
      <c r="E100">
        <v>7</v>
      </c>
      <c r="F100">
        <v>28</v>
      </c>
      <c r="G100">
        <v>8</v>
      </c>
      <c r="H100">
        <v>45</v>
      </c>
      <c r="I100">
        <v>23.8</v>
      </c>
      <c r="J100">
        <v>23.3</v>
      </c>
      <c r="K100">
        <v>24.9</v>
      </c>
      <c r="L100">
        <v>19.899999999999999</v>
      </c>
      <c r="M100">
        <v>18.5</v>
      </c>
      <c r="N100">
        <v>19.600000000000001</v>
      </c>
      <c r="O100">
        <v>22.3</v>
      </c>
      <c r="P100">
        <v>18.899999999999999</v>
      </c>
      <c r="Q100">
        <v>19</v>
      </c>
      <c r="R100">
        <v>15</v>
      </c>
      <c r="S100">
        <f t="shared" si="6"/>
        <v>40</v>
      </c>
      <c r="T100" t="s">
        <v>41</v>
      </c>
      <c r="U100">
        <f t="shared" si="7"/>
        <v>0.23800000000000002</v>
      </c>
      <c r="V100">
        <f t="shared" si="5"/>
        <v>0.23300000000000001</v>
      </c>
      <c r="W100">
        <f t="shared" si="5"/>
        <v>0.249</v>
      </c>
      <c r="X100">
        <f t="shared" si="5"/>
        <v>0.19899999999999998</v>
      </c>
      <c r="Y100">
        <f t="shared" si="5"/>
        <v>0.185</v>
      </c>
      <c r="Z100">
        <f t="shared" si="5"/>
        <v>0.19600000000000001</v>
      </c>
      <c r="AA100">
        <f t="shared" si="5"/>
        <v>0.223</v>
      </c>
      <c r="AB100">
        <f t="shared" si="5"/>
        <v>0.18899999999999997</v>
      </c>
      <c r="AC100">
        <f t="shared" si="5"/>
        <v>0.19</v>
      </c>
      <c r="AD100">
        <f t="shared" si="5"/>
        <v>0.15</v>
      </c>
    </row>
    <row r="101" spans="1:30" x14ac:dyDescent="0.25">
      <c r="A101">
        <v>428</v>
      </c>
      <c r="B101">
        <v>39</v>
      </c>
      <c r="C101">
        <v>0</v>
      </c>
      <c r="D101">
        <v>14</v>
      </c>
      <c r="E101">
        <v>7</v>
      </c>
      <c r="F101">
        <v>28</v>
      </c>
      <c r="G101">
        <v>8</v>
      </c>
      <c r="H101">
        <v>51</v>
      </c>
      <c r="I101">
        <v>-5</v>
      </c>
      <c r="J101">
        <v>20.3</v>
      </c>
      <c r="K101">
        <v>21.4</v>
      </c>
      <c r="L101">
        <v>22</v>
      </c>
      <c r="M101">
        <v>21.8</v>
      </c>
      <c r="N101">
        <v>20.100000000000001</v>
      </c>
      <c r="O101">
        <v>17.600000000000001</v>
      </c>
      <c r="P101">
        <v>16</v>
      </c>
      <c r="Q101">
        <v>19.100000000000001</v>
      </c>
      <c r="R101">
        <v>14.1</v>
      </c>
      <c r="S101">
        <f t="shared" si="6"/>
        <v>39</v>
      </c>
      <c r="T101" t="s">
        <v>40</v>
      </c>
      <c r="U101" t="str">
        <f t="shared" si="7"/>
        <v/>
      </c>
      <c r="V101">
        <f t="shared" si="5"/>
        <v>0.20300000000000001</v>
      </c>
      <c r="W101">
        <f t="shared" si="5"/>
        <v>0.214</v>
      </c>
      <c r="X101">
        <f t="shared" si="5"/>
        <v>0.22</v>
      </c>
      <c r="Y101">
        <f t="shared" si="5"/>
        <v>0.218</v>
      </c>
      <c r="Z101">
        <f t="shared" si="5"/>
        <v>0.20100000000000001</v>
      </c>
      <c r="AA101">
        <f t="shared" si="5"/>
        <v>0.17600000000000002</v>
      </c>
      <c r="AB101">
        <f t="shared" si="5"/>
        <v>0.16</v>
      </c>
      <c r="AC101">
        <f t="shared" si="5"/>
        <v>0.191</v>
      </c>
      <c r="AD101">
        <f t="shared" si="5"/>
        <v>0.14099999999999999</v>
      </c>
    </row>
    <row r="102" spans="1:30" x14ac:dyDescent="0.25">
      <c r="A102">
        <v>427</v>
      </c>
      <c r="B102">
        <v>38</v>
      </c>
      <c r="C102">
        <v>0</v>
      </c>
      <c r="D102">
        <v>14</v>
      </c>
      <c r="E102">
        <v>7</v>
      </c>
      <c r="F102">
        <v>28</v>
      </c>
      <c r="G102">
        <v>8</v>
      </c>
      <c r="H102">
        <v>50</v>
      </c>
      <c r="I102">
        <v>-5</v>
      </c>
      <c r="J102">
        <v>24.6</v>
      </c>
      <c r="K102">
        <v>24.9</v>
      </c>
      <c r="L102">
        <v>24.1</v>
      </c>
      <c r="M102">
        <v>22.4</v>
      </c>
      <c r="N102">
        <v>21</v>
      </c>
      <c r="O102">
        <v>18.399999999999999</v>
      </c>
      <c r="P102">
        <v>16.3</v>
      </c>
      <c r="Q102">
        <v>20.5</v>
      </c>
      <c r="R102">
        <v>17.399999999999999</v>
      </c>
      <c r="S102">
        <f t="shared" si="6"/>
        <v>38</v>
      </c>
      <c r="T102" t="s">
        <v>37</v>
      </c>
      <c r="U102" t="str">
        <f t="shared" si="7"/>
        <v/>
      </c>
      <c r="V102">
        <f t="shared" si="5"/>
        <v>0.24600000000000002</v>
      </c>
      <c r="W102">
        <f t="shared" si="5"/>
        <v>0.249</v>
      </c>
      <c r="X102">
        <f t="shared" si="5"/>
        <v>0.24100000000000002</v>
      </c>
      <c r="Y102">
        <f t="shared" ref="Y102:AD103" si="8">IF(M102&lt;0,"",M102/100)</f>
        <v>0.22399999999999998</v>
      </c>
      <c r="Z102">
        <f t="shared" si="8"/>
        <v>0.21</v>
      </c>
      <c r="AA102">
        <f t="shared" si="8"/>
        <v>0.184</v>
      </c>
      <c r="AB102">
        <f t="shared" si="8"/>
        <v>0.16300000000000001</v>
      </c>
      <c r="AC102">
        <f t="shared" si="8"/>
        <v>0.20499999999999999</v>
      </c>
      <c r="AD102">
        <f t="shared" si="8"/>
        <v>0.17399999999999999</v>
      </c>
    </row>
    <row r="103" spans="1:30" x14ac:dyDescent="0.25">
      <c r="A103">
        <v>426</v>
      </c>
      <c r="B103">
        <v>37</v>
      </c>
      <c r="C103">
        <v>0</v>
      </c>
      <c r="D103">
        <v>14</v>
      </c>
      <c r="E103">
        <v>7</v>
      </c>
      <c r="F103">
        <v>28</v>
      </c>
      <c r="G103">
        <v>9</v>
      </c>
      <c r="H103">
        <v>5</v>
      </c>
      <c r="I103">
        <v>-5</v>
      </c>
      <c r="J103">
        <v>23</v>
      </c>
      <c r="K103">
        <v>21.5</v>
      </c>
      <c r="L103">
        <v>18.3</v>
      </c>
      <c r="M103">
        <v>16.399999999999999</v>
      </c>
      <c r="N103">
        <v>16.600000000000001</v>
      </c>
      <c r="O103">
        <v>15.6</v>
      </c>
      <c r="P103">
        <v>18.100000000000001</v>
      </c>
      <c r="Q103">
        <v>18.3</v>
      </c>
      <c r="R103">
        <v>12.7</v>
      </c>
      <c r="S103">
        <f t="shared" si="6"/>
        <v>37</v>
      </c>
      <c r="T103" t="s">
        <v>35</v>
      </c>
      <c r="U103" t="str">
        <f t="shared" si="7"/>
        <v/>
      </c>
      <c r="V103">
        <f t="shared" si="7"/>
        <v>0.23</v>
      </c>
      <c r="W103">
        <f t="shared" si="7"/>
        <v>0.215</v>
      </c>
      <c r="X103">
        <f t="shared" si="7"/>
        <v>0.183</v>
      </c>
      <c r="Y103">
        <f t="shared" si="8"/>
        <v>0.16399999999999998</v>
      </c>
      <c r="Z103">
        <f t="shared" si="8"/>
        <v>0.16600000000000001</v>
      </c>
      <c r="AA103">
        <f t="shared" si="8"/>
        <v>0.156</v>
      </c>
      <c r="AB103">
        <f t="shared" si="8"/>
        <v>0.18100000000000002</v>
      </c>
      <c r="AC103">
        <f t="shared" si="8"/>
        <v>0.183</v>
      </c>
      <c r="AD103">
        <f t="shared" si="8"/>
        <v>0.127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04"/>
  <sheetViews>
    <sheetView topLeftCell="O39" workbookViewId="0">
      <selection activeCell="T69" sqref="T69:AD104"/>
    </sheetView>
  </sheetViews>
  <sheetFormatPr defaultRowHeight="15" x14ac:dyDescent="0.25"/>
  <sheetData>
    <row r="1" spans="1:7" x14ac:dyDescent="0.25">
      <c r="A1" s="2">
        <v>41855</v>
      </c>
    </row>
    <row r="2" spans="1:7" x14ac:dyDescent="0.25">
      <c r="A2" t="s">
        <v>3</v>
      </c>
      <c r="B2">
        <v>6116</v>
      </c>
      <c r="C2" t="s">
        <v>4</v>
      </c>
      <c r="D2">
        <v>13207</v>
      </c>
      <c r="E2">
        <v>0</v>
      </c>
      <c r="F2">
        <v>10</v>
      </c>
    </row>
    <row r="3" spans="1:7" x14ac:dyDescent="0.25">
      <c r="A3">
        <v>0</v>
      </c>
      <c r="B3">
        <v>11</v>
      </c>
      <c r="C3">
        <v>8</v>
      </c>
      <c r="D3">
        <v>25</v>
      </c>
      <c r="E3">
        <v>21.641999999999999</v>
      </c>
      <c r="F3">
        <v>-4.968</v>
      </c>
      <c r="G3" t="s">
        <v>24</v>
      </c>
    </row>
    <row r="4" spans="1:7" x14ac:dyDescent="0.25">
      <c r="A4">
        <v>1</v>
      </c>
      <c r="B4">
        <v>95</v>
      </c>
      <c r="C4">
        <v>36280</v>
      </c>
      <c r="D4">
        <v>72</v>
      </c>
      <c r="E4">
        <v>0</v>
      </c>
      <c r="F4">
        <v>0</v>
      </c>
    </row>
    <row r="5" spans="1:7" x14ac:dyDescent="0.25">
      <c r="A5">
        <v>2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3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66</v>
      </c>
      <c r="C19">
        <v>0</v>
      </c>
      <c r="D19">
        <v>14</v>
      </c>
      <c r="E19">
        <v>8</v>
      </c>
      <c r="F19">
        <v>4</v>
      </c>
      <c r="G19">
        <v>7</v>
      </c>
      <c r="H19">
        <v>36</v>
      </c>
      <c r="I19">
        <v>18.8</v>
      </c>
      <c r="J19">
        <v>20.7</v>
      </c>
      <c r="K19">
        <v>19.7</v>
      </c>
      <c r="L19">
        <v>17.8</v>
      </c>
      <c r="M19">
        <v>15.1</v>
      </c>
      <c r="N19">
        <v>15.5</v>
      </c>
      <c r="O19">
        <v>14.8</v>
      </c>
      <c r="P19">
        <v>13.5</v>
      </c>
      <c r="Q19">
        <v>15.2</v>
      </c>
      <c r="R19">
        <v>11.8</v>
      </c>
      <c r="S19">
        <f>B19</f>
        <v>66</v>
      </c>
      <c r="T19" t="s">
        <v>50</v>
      </c>
      <c r="U19">
        <f>IF(I19&lt;0,"",I19/100)</f>
        <v>0.188</v>
      </c>
      <c r="V19">
        <f t="shared" ref="V19:AD47" si="0">IF(J19&lt;0,"",J19/100)</f>
        <v>0.20699999999999999</v>
      </c>
      <c r="W19">
        <f t="shared" si="0"/>
        <v>0.19699999999999998</v>
      </c>
      <c r="X19">
        <f t="shared" si="0"/>
        <v>0.17800000000000002</v>
      </c>
      <c r="Y19">
        <f t="shared" si="0"/>
        <v>0.151</v>
      </c>
      <c r="Z19">
        <f t="shared" si="0"/>
        <v>0.155</v>
      </c>
      <c r="AA19">
        <f t="shared" si="0"/>
        <v>0.14800000000000002</v>
      </c>
      <c r="AB19">
        <f t="shared" si="0"/>
        <v>0.13500000000000001</v>
      </c>
      <c r="AC19">
        <f t="shared" si="0"/>
        <v>0.152</v>
      </c>
      <c r="AD19">
        <f t="shared" si="0"/>
        <v>0.11800000000000001</v>
      </c>
    </row>
    <row r="20" spans="1:30" x14ac:dyDescent="0.25">
      <c r="A20">
        <v>454</v>
      </c>
      <c r="B20">
        <v>65</v>
      </c>
      <c r="C20">
        <v>0</v>
      </c>
      <c r="D20">
        <v>14</v>
      </c>
      <c r="E20">
        <v>8</v>
      </c>
      <c r="F20">
        <v>4</v>
      </c>
      <c r="G20">
        <v>7</v>
      </c>
      <c r="H20">
        <v>42</v>
      </c>
      <c r="I20">
        <v>17.3</v>
      </c>
      <c r="J20">
        <v>19.600000000000001</v>
      </c>
      <c r="K20">
        <v>21.4</v>
      </c>
      <c r="L20">
        <v>21.8</v>
      </c>
      <c r="M20">
        <v>20.9</v>
      </c>
      <c r="N20">
        <v>16.7</v>
      </c>
      <c r="O20">
        <v>13.5</v>
      </c>
      <c r="P20">
        <v>14.1</v>
      </c>
      <c r="Q20">
        <v>15.6</v>
      </c>
      <c r="R20">
        <v>9.8000000000000007</v>
      </c>
      <c r="S20">
        <f t="shared" ref="S20:S48" si="1">B20</f>
        <v>65</v>
      </c>
      <c r="T20" t="s">
        <v>49</v>
      </c>
      <c r="U20">
        <f t="shared" ref="U20:X48" si="2">IF(I20&lt;0,"",I20/100)</f>
        <v>0.17300000000000001</v>
      </c>
      <c r="V20">
        <f t="shared" si="0"/>
        <v>0.19600000000000001</v>
      </c>
      <c r="W20">
        <f t="shared" si="0"/>
        <v>0.214</v>
      </c>
      <c r="X20">
        <f t="shared" si="0"/>
        <v>0.218</v>
      </c>
      <c r="Y20">
        <f t="shared" si="0"/>
        <v>0.20899999999999999</v>
      </c>
      <c r="Z20">
        <f t="shared" si="0"/>
        <v>0.16699999999999998</v>
      </c>
      <c r="AA20">
        <f t="shared" si="0"/>
        <v>0.13500000000000001</v>
      </c>
      <c r="AB20">
        <f t="shared" si="0"/>
        <v>0.14099999999999999</v>
      </c>
      <c r="AC20">
        <f t="shared" si="0"/>
        <v>0.156</v>
      </c>
      <c r="AD20">
        <f t="shared" si="0"/>
        <v>9.8000000000000004E-2</v>
      </c>
    </row>
    <row r="21" spans="1:30" x14ac:dyDescent="0.25">
      <c r="A21">
        <v>453</v>
      </c>
      <c r="B21">
        <v>64</v>
      </c>
      <c r="C21">
        <v>0</v>
      </c>
      <c r="D21">
        <v>14</v>
      </c>
      <c r="E21">
        <v>8</v>
      </c>
      <c r="F21">
        <v>4</v>
      </c>
      <c r="G21">
        <v>7</v>
      </c>
      <c r="H21">
        <v>47</v>
      </c>
      <c r="I21">
        <v>14.4</v>
      </c>
      <c r="J21">
        <v>12.9</v>
      </c>
      <c r="K21">
        <v>11.6</v>
      </c>
      <c r="L21">
        <v>11.1</v>
      </c>
      <c r="M21">
        <v>9.5</v>
      </c>
      <c r="N21">
        <v>9.6</v>
      </c>
      <c r="O21">
        <v>9.6999999999999993</v>
      </c>
      <c r="P21">
        <v>14.1</v>
      </c>
      <c r="Q21">
        <v>17.600000000000001</v>
      </c>
      <c r="R21">
        <v>13.9</v>
      </c>
      <c r="S21">
        <f t="shared" si="1"/>
        <v>64</v>
      </c>
      <c r="T21" t="s">
        <v>48</v>
      </c>
      <c r="U21">
        <f t="shared" si="2"/>
        <v>0.14400000000000002</v>
      </c>
      <c r="V21">
        <f t="shared" si="0"/>
        <v>0.129</v>
      </c>
      <c r="W21">
        <f t="shared" si="0"/>
        <v>0.11599999999999999</v>
      </c>
      <c r="X21">
        <f t="shared" si="0"/>
        <v>0.111</v>
      </c>
      <c r="Y21">
        <f t="shared" si="0"/>
        <v>9.5000000000000001E-2</v>
      </c>
      <c r="Z21">
        <f t="shared" si="0"/>
        <v>9.6000000000000002E-2</v>
      </c>
      <c r="AA21">
        <f t="shared" si="0"/>
        <v>9.6999999999999989E-2</v>
      </c>
      <c r="AB21">
        <f t="shared" si="0"/>
        <v>0.14099999999999999</v>
      </c>
      <c r="AC21">
        <f t="shared" si="0"/>
        <v>0.17600000000000002</v>
      </c>
      <c r="AD21">
        <f t="shared" si="0"/>
        <v>0.13900000000000001</v>
      </c>
    </row>
    <row r="22" spans="1:30" x14ac:dyDescent="0.25">
      <c r="A22">
        <v>452</v>
      </c>
      <c r="B22">
        <v>63</v>
      </c>
      <c r="C22">
        <v>0</v>
      </c>
      <c r="D22">
        <v>14</v>
      </c>
      <c r="E22">
        <v>8</v>
      </c>
      <c r="F22">
        <v>4</v>
      </c>
      <c r="G22">
        <v>7</v>
      </c>
      <c r="H22">
        <v>52</v>
      </c>
      <c r="I22">
        <v>22</v>
      </c>
      <c r="J22">
        <v>19.2</v>
      </c>
      <c r="K22">
        <v>21</v>
      </c>
      <c r="L22">
        <v>20.7</v>
      </c>
      <c r="M22">
        <v>18.3</v>
      </c>
      <c r="N22">
        <v>17.399999999999999</v>
      </c>
      <c r="O22">
        <v>17</v>
      </c>
      <c r="P22">
        <v>18.100000000000001</v>
      </c>
      <c r="Q22">
        <v>17</v>
      </c>
      <c r="R22">
        <v>13.2</v>
      </c>
      <c r="S22">
        <f t="shared" si="1"/>
        <v>63</v>
      </c>
      <c r="T22" t="s">
        <v>47</v>
      </c>
      <c r="U22">
        <f t="shared" si="2"/>
        <v>0.22</v>
      </c>
      <c r="V22">
        <f t="shared" si="0"/>
        <v>0.192</v>
      </c>
      <c r="W22">
        <f t="shared" si="0"/>
        <v>0.21</v>
      </c>
      <c r="X22">
        <f t="shared" si="0"/>
        <v>0.20699999999999999</v>
      </c>
      <c r="Y22">
        <f t="shared" si="0"/>
        <v>0.183</v>
      </c>
      <c r="Z22">
        <f t="shared" si="0"/>
        <v>0.17399999999999999</v>
      </c>
      <c r="AA22">
        <f t="shared" si="0"/>
        <v>0.17</v>
      </c>
      <c r="AB22">
        <f t="shared" si="0"/>
        <v>0.18100000000000002</v>
      </c>
      <c r="AC22">
        <f t="shared" si="0"/>
        <v>0.17</v>
      </c>
      <c r="AD22">
        <f t="shared" si="0"/>
        <v>0.13200000000000001</v>
      </c>
    </row>
    <row r="23" spans="1:30" x14ac:dyDescent="0.25">
      <c r="A23">
        <v>451</v>
      </c>
      <c r="B23">
        <v>62</v>
      </c>
      <c r="C23">
        <v>0</v>
      </c>
      <c r="D23">
        <v>14</v>
      </c>
      <c r="E23">
        <v>8</v>
      </c>
      <c r="F23">
        <v>4</v>
      </c>
      <c r="G23">
        <v>7</v>
      </c>
      <c r="H23">
        <v>57</v>
      </c>
      <c r="I23">
        <v>22.7</v>
      </c>
      <c r="J23">
        <v>22.8</v>
      </c>
      <c r="K23">
        <v>22.3</v>
      </c>
      <c r="L23">
        <v>23.4</v>
      </c>
      <c r="M23">
        <v>21.9</v>
      </c>
      <c r="N23">
        <v>20.100000000000001</v>
      </c>
      <c r="O23">
        <v>20.100000000000001</v>
      </c>
      <c r="P23">
        <v>19.3</v>
      </c>
      <c r="Q23">
        <v>17.7</v>
      </c>
      <c r="R23">
        <v>13.6</v>
      </c>
      <c r="S23">
        <f t="shared" si="1"/>
        <v>62</v>
      </c>
      <c r="T23" t="s">
        <v>46</v>
      </c>
      <c r="U23">
        <f t="shared" si="2"/>
        <v>0.22699999999999998</v>
      </c>
      <c r="V23">
        <f t="shared" si="0"/>
        <v>0.22800000000000001</v>
      </c>
      <c r="W23">
        <f t="shared" si="0"/>
        <v>0.223</v>
      </c>
      <c r="X23">
        <f t="shared" si="0"/>
        <v>0.23399999999999999</v>
      </c>
      <c r="Y23">
        <f t="shared" si="0"/>
        <v>0.21899999999999997</v>
      </c>
      <c r="Z23">
        <f t="shared" si="0"/>
        <v>0.20100000000000001</v>
      </c>
      <c r="AA23">
        <f t="shared" si="0"/>
        <v>0.20100000000000001</v>
      </c>
      <c r="AB23">
        <f t="shared" si="0"/>
        <v>0.193</v>
      </c>
      <c r="AC23">
        <f t="shared" si="0"/>
        <v>0.17699999999999999</v>
      </c>
      <c r="AD23">
        <f t="shared" si="0"/>
        <v>0.13600000000000001</v>
      </c>
    </row>
    <row r="24" spans="1:30" x14ac:dyDescent="0.25">
      <c r="A24">
        <v>450</v>
      </c>
      <c r="B24">
        <v>61</v>
      </c>
      <c r="C24">
        <v>0</v>
      </c>
      <c r="D24">
        <v>14</v>
      </c>
      <c r="E24">
        <v>8</v>
      </c>
      <c r="F24">
        <v>4</v>
      </c>
      <c r="G24">
        <v>8</v>
      </c>
      <c r="H24">
        <v>2</v>
      </c>
      <c r="I24">
        <v>-5</v>
      </c>
      <c r="J24">
        <v>21.6</v>
      </c>
      <c r="K24">
        <v>21.2</v>
      </c>
      <c r="L24">
        <v>22.3</v>
      </c>
      <c r="M24">
        <v>21.7</v>
      </c>
      <c r="N24">
        <v>17.899999999999999</v>
      </c>
      <c r="O24">
        <v>16.7</v>
      </c>
      <c r="P24">
        <v>16.5</v>
      </c>
      <c r="Q24">
        <v>16.899999999999999</v>
      </c>
      <c r="R24">
        <v>13.4</v>
      </c>
      <c r="S24">
        <f t="shared" si="1"/>
        <v>61</v>
      </c>
      <c r="T24" t="s">
        <v>45</v>
      </c>
      <c r="U24" t="str">
        <f t="shared" si="2"/>
        <v/>
      </c>
      <c r="V24">
        <f t="shared" si="0"/>
        <v>0.21600000000000003</v>
      </c>
      <c r="W24">
        <f t="shared" si="0"/>
        <v>0.21199999999999999</v>
      </c>
      <c r="X24">
        <f t="shared" si="0"/>
        <v>0.223</v>
      </c>
      <c r="Y24">
        <f t="shared" si="0"/>
        <v>0.217</v>
      </c>
      <c r="Z24">
        <f t="shared" si="0"/>
        <v>0.17899999999999999</v>
      </c>
      <c r="AA24">
        <f t="shared" si="0"/>
        <v>0.16699999999999998</v>
      </c>
      <c r="AB24">
        <f t="shared" si="0"/>
        <v>0.16500000000000001</v>
      </c>
      <c r="AC24">
        <f t="shared" si="0"/>
        <v>0.16899999999999998</v>
      </c>
      <c r="AD24">
        <f t="shared" si="0"/>
        <v>0.13400000000000001</v>
      </c>
    </row>
    <row r="25" spans="1:30" x14ac:dyDescent="0.25">
      <c r="A25">
        <v>449</v>
      </c>
      <c r="B25">
        <v>60</v>
      </c>
      <c r="C25">
        <v>0</v>
      </c>
      <c r="D25">
        <v>14</v>
      </c>
      <c r="E25">
        <v>8</v>
      </c>
      <c r="F25">
        <v>4</v>
      </c>
      <c r="G25">
        <v>8</v>
      </c>
      <c r="H25">
        <v>10</v>
      </c>
      <c r="I25">
        <v>-5</v>
      </c>
      <c r="J25">
        <v>20.6</v>
      </c>
      <c r="K25">
        <v>19.8</v>
      </c>
      <c r="L25">
        <v>20</v>
      </c>
      <c r="M25">
        <v>17.8</v>
      </c>
      <c r="N25">
        <v>12.9</v>
      </c>
      <c r="O25">
        <v>11.7</v>
      </c>
      <c r="P25">
        <v>14.3</v>
      </c>
      <c r="Q25">
        <v>13.6</v>
      </c>
      <c r="R25">
        <v>8.4</v>
      </c>
      <c r="S25">
        <f t="shared" si="1"/>
        <v>60</v>
      </c>
      <c r="T25" t="s">
        <v>94</v>
      </c>
      <c r="U25" t="str">
        <f t="shared" si="2"/>
        <v/>
      </c>
      <c r="V25">
        <f t="shared" si="0"/>
        <v>0.20600000000000002</v>
      </c>
      <c r="W25">
        <f t="shared" si="0"/>
        <v>0.19800000000000001</v>
      </c>
      <c r="X25">
        <f t="shared" si="0"/>
        <v>0.2</v>
      </c>
      <c r="Y25">
        <f t="shared" si="0"/>
        <v>0.17800000000000002</v>
      </c>
      <c r="Z25">
        <f t="shared" si="0"/>
        <v>0.129</v>
      </c>
      <c r="AA25">
        <f t="shared" si="0"/>
        <v>0.11699999999999999</v>
      </c>
      <c r="AB25">
        <f t="shared" si="0"/>
        <v>0.14300000000000002</v>
      </c>
      <c r="AC25">
        <f t="shared" si="0"/>
        <v>0.13600000000000001</v>
      </c>
      <c r="AD25">
        <f t="shared" si="0"/>
        <v>8.4000000000000005E-2</v>
      </c>
    </row>
    <row r="26" spans="1:30" x14ac:dyDescent="0.25">
      <c r="A26">
        <v>448</v>
      </c>
      <c r="B26">
        <v>59</v>
      </c>
      <c r="C26">
        <v>0</v>
      </c>
      <c r="D26">
        <v>14</v>
      </c>
      <c r="E26">
        <v>8</v>
      </c>
      <c r="F26">
        <v>4</v>
      </c>
      <c r="G26">
        <v>8</v>
      </c>
      <c r="H26">
        <v>23</v>
      </c>
      <c r="I26">
        <v>20</v>
      </c>
      <c r="J26">
        <v>20.9</v>
      </c>
      <c r="K26">
        <v>20.6</v>
      </c>
      <c r="L26">
        <v>18.399999999999999</v>
      </c>
      <c r="M26">
        <v>14.5</v>
      </c>
      <c r="N26">
        <v>12.2</v>
      </c>
      <c r="O26">
        <v>10.9</v>
      </c>
      <c r="P26">
        <v>14.5</v>
      </c>
      <c r="Q26">
        <v>15.3</v>
      </c>
      <c r="R26">
        <v>12.5</v>
      </c>
      <c r="S26">
        <f t="shared" si="1"/>
        <v>59</v>
      </c>
      <c r="T26" t="s">
        <v>93</v>
      </c>
      <c r="U26">
        <f t="shared" si="2"/>
        <v>0.2</v>
      </c>
      <c r="V26">
        <f t="shared" si="0"/>
        <v>0.20899999999999999</v>
      </c>
      <c r="W26">
        <f t="shared" si="0"/>
        <v>0.20600000000000002</v>
      </c>
      <c r="X26">
        <f t="shared" si="0"/>
        <v>0.184</v>
      </c>
      <c r="Y26">
        <f t="shared" si="0"/>
        <v>0.14499999999999999</v>
      </c>
      <c r="Z26">
        <f t="shared" si="0"/>
        <v>0.122</v>
      </c>
      <c r="AA26">
        <f t="shared" si="0"/>
        <v>0.109</v>
      </c>
      <c r="AB26">
        <f t="shared" si="0"/>
        <v>0.14499999999999999</v>
      </c>
      <c r="AC26">
        <f t="shared" si="0"/>
        <v>0.153</v>
      </c>
      <c r="AD26">
        <f t="shared" si="0"/>
        <v>0.125</v>
      </c>
    </row>
    <row r="27" spans="1:30" x14ac:dyDescent="0.25">
      <c r="A27">
        <v>447</v>
      </c>
      <c r="B27">
        <v>58</v>
      </c>
      <c r="C27">
        <v>0</v>
      </c>
      <c r="D27">
        <v>14</v>
      </c>
      <c r="E27">
        <v>8</v>
      </c>
      <c r="F27">
        <v>4</v>
      </c>
      <c r="G27">
        <v>8</v>
      </c>
      <c r="H27">
        <v>21</v>
      </c>
      <c r="I27">
        <v>-5</v>
      </c>
      <c r="J27">
        <v>18.899999999999999</v>
      </c>
      <c r="K27">
        <v>21.1</v>
      </c>
      <c r="L27">
        <v>19.899999999999999</v>
      </c>
      <c r="M27">
        <v>17</v>
      </c>
      <c r="N27">
        <v>16.2</v>
      </c>
      <c r="O27">
        <v>13.8</v>
      </c>
      <c r="P27">
        <v>16.2</v>
      </c>
      <c r="Q27">
        <v>18.600000000000001</v>
      </c>
      <c r="R27">
        <v>14.8</v>
      </c>
      <c r="S27">
        <f t="shared" si="1"/>
        <v>58</v>
      </c>
      <c r="T27" t="s">
        <v>92</v>
      </c>
      <c r="U27" t="str">
        <f t="shared" si="2"/>
        <v/>
      </c>
      <c r="V27">
        <f t="shared" si="0"/>
        <v>0.18899999999999997</v>
      </c>
      <c r="W27">
        <f t="shared" si="0"/>
        <v>0.21100000000000002</v>
      </c>
      <c r="X27">
        <f t="shared" si="0"/>
        <v>0.19899999999999998</v>
      </c>
      <c r="Y27">
        <f t="shared" si="0"/>
        <v>0.17</v>
      </c>
      <c r="Z27">
        <f t="shared" si="0"/>
        <v>0.16200000000000001</v>
      </c>
      <c r="AA27">
        <f t="shared" si="0"/>
        <v>0.13800000000000001</v>
      </c>
      <c r="AB27">
        <f t="shared" si="0"/>
        <v>0.16200000000000001</v>
      </c>
      <c r="AC27">
        <f t="shared" si="0"/>
        <v>0.18600000000000003</v>
      </c>
      <c r="AD27">
        <f t="shared" si="0"/>
        <v>0.14800000000000002</v>
      </c>
    </row>
    <row r="28" spans="1:30" x14ac:dyDescent="0.25">
      <c r="A28">
        <v>446</v>
      </c>
      <c r="B28">
        <v>57</v>
      </c>
      <c r="C28">
        <v>0</v>
      </c>
      <c r="D28">
        <v>14</v>
      </c>
      <c r="E28">
        <v>8</v>
      </c>
      <c r="F28">
        <v>4</v>
      </c>
      <c r="G28">
        <v>8</v>
      </c>
      <c r="H28">
        <v>34</v>
      </c>
      <c r="I28">
        <v>14.9</v>
      </c>
      <c r="J28">
        <v>17.899999999999999</v>
      </c>
      <c r="K28">
        <v>23.7</v>
      </c>
      <c r="L28">
        <v>24.7</v>
      </c>
      <c r="M28">
        <v>23.6</v>
      </c>
      <c r="N28">
        <v>24.1</v>
      </c>
      <c r="O28">
        <v>20.100000000000001</v>
      </c>
      <c r="P28">
        <v>17.8</v>
      </c>
      <c r="Q28">
        <v>18.3</v>
      </c>
      <c r="R28">
        <v>15.2</v>
      </c>
      <c r="S28">
        <f t="shared" si="1"/>
        <v>57</v>
      </c>
      <c r="T28" t="s">
        <v>91</v>
      </c>
      <c r="U28">
        <f t="shared" si="2"/>
        <v>0.14899999999999999</v>
      </c>
      <c r="V28">
        <f t="shared" si="0"/>
        <v>0.17899999999999999</v>
      </c>
      <c r="W28">
        <f t="shared" si="0"/>
        <v>0.23699999999999999</v>
      </c>
      <c r="X28">
        <f t="shared" si="0"/>
        <v>0.247</v>
      </c>
      <c r="Y28">
        <f t="shared" si="0"/>
        <v>0.23600000000000002</v>
      </c>
      <c r="Z28">
        <f t="shared" si="0"/>
        <v>0.24100000000000002</v>
      </c>
      <c r="AA28">
        <f t="shared" si="0"/>
        <v>0.20100000000000001</v>
      </c>
      <c r="AB28">
        <f t="shared" si="0"/>
        <v>0.17800000000000002</v>
      </c>
      <c r="AC28">
        <f t="shared" si="0"/>
        <v>0.183</v>
      </c>
      <c r="AD28">
        <f t="shared" si="0"/>
        <v>0.152</v>
      </c>
    </row>
    <row r="29" spans="1:30" x14ac:dyDescent="0.25">
      <c r="A29">
        <v>445</v>
      </c>
      <c r="B29">
        <v>56</v>
      </c>
      <c r="C29">
        <v>0</v>
      </c>
      <c r="D29">
        <v>14</v>
      </c>
      <c r="E29">
        <v>8</v>
      </c>
      <c r="F29">
        <v>4</v>
      </c>
      <c r="G29">
        <v>8</v>
      </c>
      <c r="H29">
        <v>31</v>
      </c>
      <c r="I29">
        <v>19.2</v>
      </c>
      <c r="J29">
        <v>19.600000000000001</v>
      </c>
      <c r="K29">
        <v>18.7</v>
      </c>
      <c r="L29">
        <v>19.8</v>
      </c>
      <c r="M29">
        <v>21</v>
      </c>
      <c r="N29">
        <v>18.399999999999999</v>
      </c>
      <c r="O29">
        <v>18.7</v>
      </c>
      <c r="P29">
        <v>15.9</v>
      </c>
      <c r="Q29">
        <v>15.6</v>
      </c>
      <c r="R29">
        <v>11</v>
      </c>
      <c r="S29">
        <f t="shared" si="1"/>
        <v>56</v>
      </c>
      <c r="T29" t="s">
        <v>90</v>
      </c>
      <c r="U29">
        <f t="shared" si="2"/>
        <v>0.192</v>
      </c>
      <c r="V29">
        <f t="shared" si="0"/>
        <v>0.19600000000000001</v>
      </c>
      <c r="W29">
        <f t="shared" si="0"/>
        <v>0.187</v>
      </c>
      <c r="X29">
        <f t="shared" si="0"/>
        <v>0.19800000000000001</v>
      </c>
      <c r="Y29">
        <f t="shared" si="0"/>
        <v>0.21</v>
      </c>
      <c r="Z29">
        <f t="shared" si="0"/>
        <v>0.184</v>
      </c>
      <c r="AA29">
        <f t="shared" si="0"/>
        <v>0.187</v>
      </c>
      <c r="AB29">
        <f t="shared" si="0"/>
        <v>0.159</v>
      </c>
      <c r="AC29">
        <f t="shared" si="0"/>
        <v>0.156</v>
      </c>
      <c r="AD29">
        <f t="shared" si="0"/>
        <v>0.11</v>
      </c>
    </row>
    <row r="30" spans="1:30" x14ac:dyDescent="0.25">
      <c r="A30">
        <v>444</v>
      </c>
      <c r="B30">
        <v>55</v>
      </c>
      <c r="C30">
        <v>0</v>
      </c>
      <c r="D30">
        <v>14</v>
      </c>
      <c r="E30">
        <v>8</v>
      </c>
      <c r="F30">
        <v>4</v>
      </c>
      <c r="G30">
        <v>8</v>
      </c>
      <c r="H30">
        <v>44</v>
      </c>
      <c r="I30">
        <v>16.2</v>
      </c>
      <c r="J30">
        <v>16.600000000000001</v>
      </c>
      <c r="K30">
        <v>19.5</v>
      </c>
      <c r="L30">
        <v>23.4</v>
      </c>
      <c r="M30">
        <v>23.2</v>
      </c>
      <c r="N30">
        <v>20.8</v>
      </c>
      <c r="O30">
        <v>18.899999999999999</v>
      </c>
      <c r="P30">
        <v>16.3</v>
      </c>
      <c r="Q30">
        <v>17.3</v>
      </c>
      <c r="R30">
        <v>13.3</v>
      </c>
      <c r="S30">
        <f t="shared" si="1"/>
        <v>55</v>
      </c>
      <c r="T30" t="s">
        <v>89</v>
      </c>
      <c r="U30">
        <f t="shared" si="2"/>
        <v>0.16200000000000001</v>
      </c>
      <c r="V30">
        <f t="shared" si="0"/>
        <v>0.16600000000000001</v>
      </c>
      <c r="W30">
        <f t="shared" si="0"/>
        <v>0.19500000000000001</v>
      </c>
      <c r="X30">
        <f t="shared" si="0"/>
        <v>0.23399999999999999</v>
      </c>
      <c r="Y30">
        <f t="shared" si="0"/>
        <v>0.23199999999999998</v>
      </c>
      <c r="Z30">
        <f t="shared" si="0"/>
        <v>0.20800000000000002</v>
      </c>
      <c r="AA30">
        <f t="shared" si="0"/>
        <v>0.18899999999999997</v>
      </c>
      <c r="AB30">
        <f t="shared" si="0"/>
        <v>0.16300000000000001</v>
      </c>
      <c r="AC30">
        <f t="shared" si="0"/>
        <v>0.17300000000000001</v>
      </c>
      <c r="AD30">
        <f t="shared" si="0"/>
        <v>0.13300000000000001</v>
      </c>
    </row>
    <row r="31" spans="1:30" x14ac:dyDescent="0.25">
      <c r="A31">
        <v>443</v>
      </c>
      <c r="B31">
        <v>54</v>
      </c>
      <c r="C31">
        <v>0</v>
      </c>
      <c r="D31">
        <v>14</v>
      </c>
      <c r="E31">
        <v>8</v>
      </c>
      <c r="F31">
        <v>4</v>
      </c>
      <c r="G31">
        <v>8</v>
      </c>
      <c r="H31">
        <v>51</v>
      </c>
      <c r="I31">
        <v>14.8</v>
      </c>
      <c r="J31">
        <v>15.2</v>
      </c>
      <c r="K31">
        <v>16.399999999999999</v>
      </c>
      <c r="L31">
        <v>19.2</v>
      </c>
      <c r="M31">
        <v>20.100000000000001</v>
      </c>
      <c r="N31">
        <v>16.399999999999999</v>
      </c>
      <c r="O31">
        <v>13.9</v>
      </c>
      <c r="P31">
        <v>14.2</v>
      </c>
      <c r="Q31">
        <v>14</v>
      </c>
      <c r="R31">
        <v>9</v>
      </c>
      <c r="S31">
        <f t="shared" si="1"/>
        <v>54</v>
      </c>
      <c r="T31" t="s">
        <v>36</v>
      </c>
      <c r="U31">
        <f t="shared" si="2"/>
        <v>0.14800000000000002</v>
      </c>
      <c r="V31">
        <f t="shared" si="0"/>
        <v>0.152</v>
      </c>
      <c r="W31">
        <f t="shared" si="0"/>
        <v>0.16399999999999998</v>
      </c>
      <c r="X31">
        <f t="shared" si="0"/>
        <v>0.192</v>
      </c>
      <c r="Y31">
        <f t="shared" si="0"/>
        <v>0.20100000000000001</v>
      </c>
      <c r="Z31">
        <f t="shared" si="0"/>
        <v>0.16399999999999998</v>
      </c>
      <c r="AA31">
        <f t="shared" si="0"/>
        <v>0.13900000000000001</v>
      </c>
      <c r="AB31">
        <f t="shared" si="0"/>
        <v>0.14199999999999999</v>
      </c>
      <c r="AC31">
        <f t="shared" si="0"/>
        <v>0.14000000000000001</v>
      </c>
      <c r="AD31">
        <f t="shared" si="0"/>
        <v>0.09</v>
      </c>
    </row>
    <row r="32" spans="1:30" x14ac:dyDescent="0.25">
      <c r="A32">
        <v>442</v>
      </c>
      <c r="B32">
        <v>53</v>
      </c>
      <c r="C32">
        <v>0</v>
      </c>
      <c r="D32">
        <v>14</v>
      </c>
      <c r="E32">
        <v>8</v>
      </c>
      <c r="F32">
        <v>4</v>
      </c>
      <c r="G32">
        <v>8</v>
      </c>
      <c r="H32">
        <v>57</v>
      </c>
      <c r="I32">
        <v>21.1</v>
      </c>
      <c r="J32">
        <v>20.8</v>
      </c>
      <c r="K32">
        <v>20.8</v>
      </c>
      <c r="L32">
        <v>21.6</v>
      </c>
      <c r="M32">
        <v>20.9</v>
      </c>
      <c r="N32">
        <v>18</v>
      </c>
      <c r="O32">
        <v>15.9</v>
      </c>
      <c r="P32">
        <v>13.5</v>
      </c>
      <c r="Q32">
        <v>13.9</v>
      </c>
      <c r="R32">
        <v>9.9</v>
      </c>
      <c r="S32">
        <f t="shared" si="1"/>
        <v>53</v>
      </c>
      <c r="T32" t="s">
        <v>88</v>
      </c>
      <c r="U32">
        <f t="shared" si="2"/>
        <v>0.21100000000000002</v>
      </c>
      <c r="V32">
        <f t="shared" si="0"/>
        <v>0.20800000000000002</v>
      </c>
      <c r="W32">
        <f t="shared" si="0"/>
        <v>0.20800000000000002</v>
      </c>
      <c r="X32">
        <f t="shared" si="0"/>
        <v>0.21600000000000003</v>
      </c>
      <c r="Y32">
        <f t="shared" si="0"/>
        <v>0.20899999999999999</v>
      </c>
      <c r="Z32">
        <f t="shared" si="0"/>
        <v>0.18</v>
      </c>
      <c r="AA32">
        <f t="shared" si="0"/>
        <v>0.159</v>
      </c>
      <c r="AB32">
        <f t="shared" si="0"/>
        <v>0.13500000000000001</v>
      </c>
      <c r="AC32">
        <f t="shared" si="0"/>
        <v>0.13900000000000001</v>
      </c>
      <c r="AD32">
        <f t="shared" si="0"/>
        <v>9.9000000000000005E-2</v>
      </c>
    </row>
    <row r="33" spans="1:30" x14ac:dyDescent="0.25">
      <c r="A33">
        <v>441</v>
      </c>
      <c r="B33">
        <v>52</v>
      </c>
      <c r="C33">
        <v>0</v>
      </c>
      <c r="D33">
        <v>14</v>
      </c>
      <c r="E33">
        <v>8</v>
      </c>
      <c r="F33">
        <v>4</v>
      </c>
      <c r="G33">
        <v>9</v>
      </c>
      <c r="H33">
        <v>4</v>
      </c>
      <c r="I33">
        <v>-5</v>
      </c>
      <c r="J33">
        <v>18.399999999999999</v>
      </c>
      <c r="K33">
        <v>19.7</v>
      </c>
      <c r="L33">
        <v>23.9</v>
      </c>
      <c r="M33">
        <v>23.3</v>
      </c>
      <c r="N33">
        <v>21.1</v>
      </c>
      <c r="O33">
        <v>18.899999999999999</v>
      </c>
      <c r="P33">
        <v>16.2</v>
      </c>
      <c r="Q33">
        <v>15.9</v>
      </c>
      <c r="R33">
        <v>12.6</v>
      </c>
      <c r="S33">
        <f t="shared" si="1"/>
        <v>52</v>
      </c>
      <c r="T33" t="s">
        <v>87</v>
      </c>
      <c r="U33" t="str">
        <f t="shared" si="2"/>
        <v/>
      </c>
      <c r="V33">
        <f t="shared" si="0"/>
        <v>0.184</v>
      </c>
      <c r="W33">
        <f t="shared" si="0"/>
        <v>0.19699999999999998</v>
      </c>
      <c r="X33">
        <f t="shared" si="0"/>
        <v>0.23899999999999999</v>
      </c>
      <c r="Y33">
        <f t="shared" si="0"/>
        <v>0.23300000000000001</v>
      </c>
      <c r="Z33">
        <f t="shared" si="0"/>
        <v>0.21100000000000002</v>
      </c>
      <c r="AA33">
        <f t="shared" si="0"/>
        <v>0.18899999999999997</v>
      </c>
      <c r="AB33">
        <f t="shared" si="0"/>
        <v>0.16200000000000001</v>
      </c>
      <c r="AC33">
        <f t="shared" si="0"/>
        <v>0.159</v>
      </c>
      <c r="AD33">
        <f t="shared" si="0"/>
        <v>0.126</v>
      </c>
    </row>
    <row r="34" spans="1:30" x14ac:dyDescent="0.25">
      <c r="A34">
        <v>440</v>
      </c>
      <c r="B34">
        <v>51</v>
      </c>
      <c r="C34">
        <v>0</v>
      </c>
      <c r="D34">
        <v>14</v>
      </c>
      <c r="E34">
        <v>8</v>
      </c>
      <c r="F34">
        <v>4</v>
      </c>
      <c r="G34">
        <v>9</v>
      </c>
      <c r="H34">
        <v>1</v>
      </c>
      <c r="I34">
        <v>16.5</v>
      </c>
      <c r="J34">
        <v>16.8</v>
      </c>
      <c r="K34">
        <v>21.9</v>
      </c>
      <c r="L34">
        <v>22.5</v>
      </c>
      <c r="M34">
        <v>23.4</v>
      </c>
      <c r="N34">
        <v>18.600000000000001</v>
      </c>
      <c r="O34">
        <v>17.3</v>
      </c>
      <c r="P34">
        <v>17.600000000000001</v>
      </c>
      <c r="Q34">
        <v>18.399999999999999</v>
      </c>
      <c r="R34">
        <v>14.8</v>
      </c>
      <c r="S34">
        <f t="shared" si="1"/>
        <v>51</v>
      </c>
      <c r="T34" t="s">
        <v>86</v>
      </c>
      <c r="U34">
        <f t="shared" si="2"/>
        <v>0.16500000000000001</v>
      </c>
      <c r="V34">
        <f t="shared" si="0"/>
        <v>0.16800000000000001</v>
      </c>
      <c r="W34">
        <f t="shared" si="0"/>
        <v>0.21899999999999997</v>
      </c>
      <c r="X34">
        <f t="shared" si="0"/>
        <v>0.22500000000000001</v>
      </c>
      <c r="Y34">
        <f t="shared" si="0"/>
        <v>0.23399999999999999</v>
      </c>
      <c r="Z34">
        <f t="shared" si="0"/>
        <v>0.18600000000000003</v>
      </c>
      <c r="AA34">
        <f t="shared" si="0"/>
        <v>0.17300000000000001</v>
      </c>
      <c r="AB34">
        <f t="shared" si="0"/>
        <v>0.17600000000000002</v>
      </c>
      <c r="AC34">
        <f t="shared" si="0"/>
        <v>0.184</v>
      </c>
      <c r="AD34">
        <f t="shared" si="0"/>
        <v>0.14800000000000002</v>
      </c>
    </row>
    <row r="35" spans="1:30" x14ac:dyDescent="0.25">
      <c r="A35">
        <v>439</v>
      </c>
      <c r="B35">
        <v>50</v>
      </c>
      <c r="C35">
        <v>0</v>
      </c>
      <c r="D35">
        <v>14</v>
      </c>
      <c r="E35">
        <v>8</v>
      </c>
      <c r="F35">
        <v>4</v>
      </c>
      <c r="G35">
        <v>9</v>
      </c>
      <c r="H35">
        <v>17</v>
      </c>
      <c r="I35">
        <v>19.7</v>
      </c>
      <c r="J35">
        <v>19.899999999999999</v>
      </c>
      <c r="K35">
        <v>18.899999999999999</v>
      </c>
      <c r="L35">
        <v>23.7</v>
      </c>
      <c r="M35">
        <v>24.6</v>
      </c>
      <c r="N35">
        <v>21.5</v>
      </c>
      <c r="O35">
        <v>21.5</v>
      </c>
      <c r="P35">
        <v>19.399999999999999</v>
      </c>
      <c r="Q35">
        <v>18.8</v>
      </c>
      <c r="R35">
        <v>15.7</v>
      </c>
      <c r="S35">
        <f t="shared" si="1"/>
        <v>50</v>
      </c>
      <c r="T35" t="s">
        <v>39</v>
      </c>
      <c r="U35">
        <f t="shared" si="2"/>
        <v>0.19699999999999998</v>
      </c>
      <c r="V35">
        <f t="shared" si="0"/>
        <v>0.19899999999999998</v>
      </c>
      <c r="W35">
        <f t="shared" si="0"/>
        <v>0.18899999999999997</v>
      </c>
      <c r="X35">
        <f t="shared" si="0"/>
        <v>0.23699999999999999</v>
      </c>
      <c r="Y35">
        <f t="shared" si="0"/>
        <v>0.24600000000000002</v>
      </c>
      <c r="Z35">
        <f t="shared" si="0"/>
        <v>0.215</v>
      </c>
      <c r="AA35">
        <f t="shared" si="0"/>
        <v>0.215</v>
      </c>
      <c r="AB35">
        <f t="shared" si="0"/>
        <v>0.19399999999999998</v>
      </c>
      <c r="AC35">
        <f t="shared" si="0"/>
        <v>0.188</v>
      </c>
      <c r="AD35">
        <f t="shared" si="0"/>
        <v>0.157</v>
      </c>
    </row>
    <row r="36" spans="1:30" x14ac:dyDescent="0.25">
      <c r="A36">
        <v>438</v>
      </c>
      <c r="B36">
        <v>49</v>
      </c>
      <c r="C36">
        <v>0</v>
      </c>
      <c r="D36">
        <v>14</v>
      </c>
      <c r="E36">
        <v>8</v>
      </c>
      <c r="F36">
        <v>4</v>
      </c>
      <c r="G36">
        <v>9</v>
      </c>
      <c r="H36">
        <v>22</v>
      </c>
      <c r="I36">
        <v>-5</v>
      </c>
      <c r="J36">
        <v>22.6</v>
      </c>
      <c r="K36">
        <v>22.7</v>
      </c>
      <c r="L36">
        <v>24.7</v>
      </c>
      <c r="M36">
        <v>23.8</v>
      </c>
      <c r="N36">
        <v>16.100000000000001</v>
      </c>
      <c r="O36">
        <v>13.6</v>
      </c>
      <c r="P36">
        <v>15.8</v>
      </c>
      <c r="Q36">
        <v>17.100000000000001</v>
      </c>
      <c r="R36">
        <v>13.9</v>
      </c>
      <c r="S36">
        <f t="shared" si="1"/>
        <v>49</v>
      </c>
      <c r="T36" t="s">
        <v>72</v>
      </c>
      <c r="U36" t="str">
        <f t="shared" si="2"/>
        <v/>
      </c>
      <c r="V36">
        <f t="shared" si="0"/>
        <v>0.22600000000000001</v>
      </c>
      <c r="W36">
        <f t="shared" si="0"/>
        <v>0.22699999999999998</v>
      </c>
      <c r="X36">
        <f t="shared" si="0"/>
        <v>0.247</v>
      </c>
      <c r="Y36">
        <f t="shared" si="0"/>
        <v>0.23800000000000002</v>
      </c>
      <c r="Z36">
        <f t="shared" si="0"/>
        <v>0.161</v>
      </c>
      <c r="AA36">
        <f t="shared" si="0"/>
        <v>0.13600000000000001</v>
      </c>
      <c r="AB36">
        <f t="shared" si="0"/>
        <v>0.158</v>
      </c>
      <c r="AC36">
        <f t="shared" si="0"/>
        <v>0.17100000000000001</v>
      </c>
      <c r="AD36">
        <f t="shared" si="0"/>
        <v>0.13900000000000001</v>
      </c>
    </row>
    <row r="37" spans="1:30" x14ac:dyDescent="0.25">
      <c r="A37">
        <v>437</v>
      </c>
      <c r="B37">
        <v>48</v>
      </c>
      <c r="C37">
        <v>0</v>
      </c>
      <c r="D37">
        <v>14</v>
      </c>
      <c r="E37">
        <v>8</v>
      </c>
      <c r="F37">
        <v>4</v>
      </c>
      <c r="G37">
        <v>9</v>
      </c>
      <c r="H37">
        <v>32</v>
      </c>
      <c r="I37">
        <v>21.3</v>
      </c>
      <c r="J37">
        <v>22.1</v>
      </c>
      <c r="K37">
        <v>24.3</v>
      </c>
      <c r="L37">
        <v>25.2</v>
      </c>
      <c r="M37">
        <v>22.6</v>
      </c>
      <c r="N37">
        <v>18.2</v>
      </c>
      <c r="O37">
        <v>14.2</v>
      </c>
      <c r="P37">
        <v>16</v>
      </c>
      <c r="Q37">
        <v>16.3</v>
      </c>
      <c r="R37">
        <v>12.5</v>
      </c>
      <c r="S37">
        <f t="shared" si="1"/>
        <v>48</v>
      </c>
      <c r="T37" t="s">
        <v>38</v>
      </c>
      <c r="U37">
        <f t="shared" si="2"/>
        <v>0.21299999999999999</v>
      </c>
      <c r="V37">
        <f t="shared" si="0"/>
        <v>0.221</v>
      </c>
      <c r="W37">
        <f t="shared" si="0"/>
        <v>0.24299999999999999</v>
      </c>
      <c r="X37">
        <f t="shared" si="0"/>
        <v>0.252</v>
      </c>
      <c r="Y37">
        <f t="shared" si="0"/>
        <v>0.22600000000000001</v>
      </c>
      <c r="Z37">
        <f t="shared" si="0"/>
        <v>0.182</v>
      </c>
      <c r="AA37">
        <f t="shared" si="0"/>
        <v>0.14199999999999999</v>
      </c>
      <c r="AB37">
        <f t="shared" si="0"/>
        <v>0.16</v>
      </c>
      <c r="AC37">
        <f t="shared" si="0"/>
        <v>0.16300000000000001</v>
      </c>
      <c r="AD37">
        <f t="shared" si="0"/>
        <v>0.125</v>
      </c>
    </row>
    <row r="38" spans="1:30" x14ac:dyDescent="0.25">
      <c r="A38">
        <v>436</v>
      </c>
      <c r="B38">
        <v>47</v>
      </c>
      <c r="C38">
        <v>0</v>
      </c>
      <c r="D38">
        <v>14</v>
      </c>
      <c r="E38">
        <v>8</v>
      </c>
      <c r="F38">
        <v>4</v>
      </c>
      <c r="G38">
        <v>9</v>
      </c>
      <c r="H38">
        <v>37</v>
      </c>
      <c r="I38">
        <v>20.3</v>
      </c>
      <c r="J38">
        <v>19.5</v>
      </c>
      <c r="K38">
        <v>21.6</v>
      </c>
      <c r="L38">
        <v>24.3</v>
      </c>
      <c r="M38">
        <v>23.4</v>
      </c>
      <c r="N38">
        <v>21.6</v>
      </c>
      <c r="O38">
        <v>19</v>
      </c>
      <c r="P38">
        <v>16.3</v>
      </c>
      <c r="Q38">
        <v>19.2</v>
      </c>
      <c r="R38">
        <v>15.6</v>
      </c>
      <c r="S38">
        <f t="shared" si="1"/>
        <v>47</v>
      </c>
      <c r="T38" t="s">
        <v>85</v>
      </c>
      <c r="U38">
        <f t="shared" si="2"/>
        <v>0.20300000000000001</v>
      </c>
      <c r="V38">
        <f t="shared" si="0"/>
        <v>0.19500000000000001</v>
      </c>
      <c r="W38">
        <f t="shared" si="0"/>
        <v>0.21600000000000003</v>
      </c>
      <c r="X38">
        <f t="shared" si="0"/>
        <v>0.24299999999999999</v>
      </c>
      <c r="Y38">
        <f t="shared" si="0"/>
        <v>0.23399999999999999</v>
      </c>
      <c r="Z38">
        <f t="shared" si="0"/>
        <v>0.21600000000000003</v>
      </c>
      <c r="AA38">
        <f t="shared" si="0"/>
        <v>0.19</v>
      </c>
      <c r="AB38">
        <f t="shared" si="0"/>
        <v>0.16300000000000001</v>
      </c>
      <c r="AC38">
        <f t="shared" si="0"/>
        <v>0.192</v>
      </c>
      <c r="AD38">
        <f t="shared" si="0"/>
        <v>0.156</v>
      </c>
    </row>
    <row r="39" spans="1:30" x14ac:dyDescent="0.25">
      <c r="A39">
        <v>435</v>
      </c>
      <c r="B39">
        <v>46</v>
      </c>
      <c r="C39">
        <v>0</v>
      </c>
      <c r="D39">
        <v>14</v>
      </c>
      <c r="E39">
        <v>8</v>
      </c>
      <c r="F39">
        <v>4</v>
      </c>
      <c r="G39">
        <v>9</v>
      </c>
      <c r="H39">
        <v>42</v>
      </c>
      <c r="I39">
        <v>-5</v>
      </c>
      <c r="J39">
        <v>22.4</v>
      </c>
      <c r="K39">
        <v>24.2</v>
      </c>
      <c r="L39">
        <v>25.4</v>
      </c>
      <c r="M39">
        <v>24.4</v>
      </c>
      <c r="N39">
        <v>22.5</v>
      </c>
      <c r="O39">
        <v>21.8</v>
      </c>
      <c r="P39">
        <v>16.600000000000001</v>
      </c>
      <c r="Q39">
        <v>15.5</v>
      </c>
      <c r="R39">
        <v>12.8</v>
      </c>
      <c r="S39">
        <f t="shared" si="1"/>
        <v>46</v>
      </c>
      <c r="T39" t="s">
        <v>84</v>
      </c>
      <c r="U39" t="str">
        <f t="shared" si="2"/>
        <v/>
      </c>
      <c r="V39">
        <f t="shared" si="0"/>
        <v>0.22399999999999998</v>
      </c>
      <c r="W39">
        <f t="shared" si="0"/>
        <v>0.24199999999999999</v>
      </c>
      <c r="X39">
        <f t="shared" si="0"/>
        <v>0.254</v>
      </c>
      <c r="Y39">
        <f t="shared" si="0"/>
        <v>0.24399999999999999</v>
      </c>
      <c r="Z39">
        <f t="shared" si="0"/>
        <v>0.22500000000000001</v>
      </c>
      <c r="AA39">
        <f t="shared" si="0"/>
        <v>0.218</v>
      </c>
      <c r="AB39">
        <f t="shared" si="0"/>
        <v>0.16600000000000001</v>
      </c>
      <c r="AC39">
        <f t="shared" si="0"/>
        <v>0.155</v>
      </c>
      <c r="AD39">
        <f t="shared" si="0"/>
        <v>0.128</v>
      </c>
    </row>
    <row r="40" spans="1:30" x14ac:dyDescent="0.25">
      <c r="A40">
        <v>434</v>
      </c>
      <c r="B40">
        <v>45</v>
      </c>
      <c r="C40">
        <v>0</v>
      </c>
      <c r="D40">
        <v>14</v>
      </c>
      <c r="E40">
        <v>8</v>
      </c>
      <c r="F40">
        <v>4</v>
      </c>
      <c r="G40">
        <v>9</v>
      </c>
      <c r="H40">
        <v>47</v>
      </c>
      <c r="I40">
        <v>-5</v>
      </c>
      <c r="J40">
        <v>23.4</v>
      </c>
      <c r="K40">
        <v>23.1</v>
      </c>
      <c r="L40">
        <v>24.6</v>
      </c>
      <c r="M40">
        <v>23.2</v>
      </c>
      <c r="N40">
        <v>23.7</v>
      </c>
      <c r="O40">
        <v>22.1</v>
      </c>
      <c r="P40">
        <v>18.7</v>
      </c>
      <c r="Q40">
        <v>19.600000000000001</v>
      </c>
      <c r="R40">
        <v>15.8</v>
      </c>
      <c r="S40">
        <f t="shared" si="1"/>
        <v>45</v>
      </c>
      <c r="T40" t="s">
        <v>42</v>
      </c>
      <c r="U40" t="str">
        <f t="shared" si="2"/>
        <v/>
      </c>
      <c r="V40">
        <f t="shared" si="0"/>
        <v>0.23399999999999999</v>
      </c>
      <c r="W40">
        <f t="shared" si="0"/>
        <v>0.23100000000000001</v>
      </c>
      <c r="X40">
        <f t="shared" si="0"/>
        <v>0.24600000000000002</v>
      </c>
      <c r="Y40">
        <f t="shared" si="0"/>
        <v>0.23199999999999998</v>
      </c>
      <c r="Z40">
        <f t="shared" si="0"/>
        <v>0.23699999999999999</v>
      </c>
      <c r="AA40">
        <f t="shared" si="0"/>
        <v>0.221</v>
      </c>
      <c r="AB40">
        <f t="shared" si="0"/>
        <v>0.187</v>
      </c>
      <c r="AC40">
        <f t="shared" si="0"/>
        <v>0.19600000000000001</v>
      </c>
      <c r="AD40">
        <f t="shared" si="0"/>
        <v>0.158</v>
      </c>
    </row>
    <row r="41" spans="1:30" x14ac:dyDescent="0.25">
      <c r="A41">
        <v>433</v>
      </c>
      <c r="B41">
        <v>44</v>
      </c>
      <c r="C41">
        <v>0</v>
      </c>
      <c r="D41">
        <v>14</v>
      </c>
      <c r="E41">
        <v>8</v>
      </c>
      <c r="F41">
        <v>4</v>
      </c>
      <c r="G41">
        <v>9</v>
      </c>
      <c r="H41">
        <v>52</v>
      </c>
      <c r="I41">
        <v>18</v>
      </c>
      <c r="J41">
        <v>16.3</v>
      </c>
      <c r="K41">
        <v>21.4</v>
      </c>
      <c r="L41">
        <v>26.4</v>
      </c>
      <c r="M41">
        <v>24</v>
      </c>
      <c r="N41">
        <v>18.600000000000001</v>
      </c>
      <c r="O41">
        <v>13.6</v>
      </c>
      <c r="P41">
        <v>12.1</v>
      </c>
      <c r="Q41">
        <v>12.9</v>
      </c>
      <c r="R41">
        <v>10.6</v>
      </c>
      <c r="S41">
        <f t="shared" si="1"/>
        <v>44</v>
      </c>
      <c r="T41" t="s">
        <v>83</v>
      </c>
      <c r="U41">
        <f t="shared" si="2"/>
        <v>0.18</v>
      </c>
      <c r="V41">
        <f t="shared" si="0"/>
        <v>0.16300000000000001</v>
      </c>
      <c r="W41">
        <f t="shared" si="0"/>
        <v>0.214</v>
      </c>
      <c r="X41">
        <f t="shared" si="0"/>
        <v>0.26400000000000001</v>
      </c>
      <c r="Y41">
        <f t="shared" si="0"/>
        <v>0.24</v>
      </c>
      <c r="Z41">
        <f t="shared" si="0"/>
        <v>0.18600000000000003</v>
      </c>
      <c r="AA41">
        <f t="shared" si="0"/>
        <v>0.13600000000000001</v>
      </c>
      <c r="AB41">
        <f t="shared" si="0"/>
        <v>0.121</v>
      </c>
      <c r="AC41">
        <f t="shared" si="0"/>
        <v>0.129</v>
      </c>
      <c r="AD41">
        <f t="shared" si="0"/>
        <v>0.106</v>
      </c>
    </row>
    <row r="42" spans="1:30" x14ac:dyDescent="0.25">
      <c r="A42">
        <v>432</v>
      </c>
      <c r="B42">
        <v>43</v>
      </c>
      <c r="C42">
        <v>0</v>
      </c>
      <c r="D42">
        <v>14</v>
      </c>
      <c r="E42">
        <v>8</v>
      </c>
      <c r="F42">
        <v>4</v>
      </c>
      <c r="G42">
        <v>10</v>
      </c>
      <c r="H42">
        <v>2</v>
      </c>
      <c r="I42">
        <v>16.8</v>
      </c>
      <c r="J42">
        <v>16.2</v>
      </c>
      <c r="K42">
        <v>16.399999999999999</v>
      </c>
      <c r="L42">
        <v>20.3</v>
      </c>
      <c r="M42">
        <v>24.3</v>
      </c>
      <c r="N42">
        <v>20.3</v>
      </c>
      <c r="O42">
        <v>17.100000000000001</v>
      </c>
      <c r="P42">
        <v>14.3</v>
      </c>
      <c r="Q42">
        <v>15.2</v>
      </c>
      <c r="R42">
        <v>12.9</v>
      </c>
      <c r="S42">
        <f t="shared" si="1"/>
        <v>43</v>
      </c>
      <c r="T42" t="s">
        <v>82</v>
      </c>
      <c r="U42">
        <f t="shared" si="2"/>
        <v>0.16800000000000001</v>
      </c>
      <c r="V42">
        <f t="shared" si="0"/>
        <v>0.16200000000000001</v>
      </c>
      <c r="W42">
        <f t="shared" si="0"/>
        <v>0.16399999999999998</v>
      </c>
      <c r="X42">
        <f t="shared" si="0"/>
        <v>0.20300000000000001</v>
      </c>
      <c r="Y42">
        <f t="shared" si="0"/>
        <v>0.24299999999999999</v>
      </c>
      <c r="Z42">
        <f t="shared" si="0"/>
        <v>0.20300000000000001</v>
      </c>
      <c r="AA42">
        <f t="shared" si="0"/>
        <v>0.17100000000000001</v>
      </c>
      <c r="AB42">
        <f t="shared" si="0"/>
        <v>0.14300000000000002</v>
      </c>
      <c r="AC42">
        <f t="shared" si="0"/>
        <v>0.152</v>
      </c>
      <c r="AD42">
        <f t="shared" si="0"/>
        <v>0.129</v>
      </c>
    </row>
    <row r="43" spans="1:30" x14ac:dyDescent="0.25">
      <c r="A43">
        <v>431</v>
      </c>
      <c r="B43">
        <v>42</v>
      </c>
      <c r="C43">
        <v>0</v>
      </c>
      <c r="D43">
        <v>14</v>
      </c>
      <c r="E43">
        <v>8</v>
      </c>
      <c r="F43">
        <v>4</v>
      </c>
      <c r="G43">
        <v>10</v>
      </c>
      <c r="H43">
        <v>7</v>
      </c>
      <c r="I43">
        <v>-5</v>
      </c>
      <c r="J43">
        <v>22.7</v>
      </c>
      <c r="K43">
        <v>17</v>
      </c>
      <c r="L43">
        <v>15.3</v>
      </c>
      <c r="M43">
        <v>12.1</v>
      </c>
      <c r="N43">
        <v>10.7</v>
      </c>
      <c r="O43">
        <v>10.1</v>
      </c>
      <c r="P43">
        <v>10.199999999999999</v>
      </c>
      <c r="Q43">
        <v>12.6</v>
      </c>
      <c r="R43">
        <v>9.1999999999999993</v>
      </c>
      <c r="S43">
        <f t="shared" si="1"/>
        <v>42</v>
      </c>
      <c r="T43" t="s">
        <v>44</v>
      </c>
      <c r="U43" t="str">
        <f t="shared" si="2"/>
        <v/>
      </c>
      <c r="V43">
        <f t="shared" si="0"/>
        <v>0.22699999999999998</v>
      </c>
      <c r="W43">
        <f t="shared" si="0"/>
        <v>0.17</v>
      </c>
      <c r="X43">
        <f t="shared" si="0"/>
        <v>0.153</v>
      </c>
      <c r="Y43">
        <f t="shared" si="0"/>
        <v>0.121</v>
      </c>
      <c r="Z43">
        <f t="shared" si="0"/>
        <v>0.107</v>
      </c>
      <c r="AA43">
        <f t="shared" si="0"/>
        <v>0.10099999999999999</v>
      </c>
      <c r="AB43">
        <f t="shared" si="0"/>
        <v>0.10199999999999999</v>
      </c>
      <c r="AC43">
        <f t="shared" si="0"/>
        <v>0.126</v>
      </c>
      <c r="AD43">
        <f t="shared" si="0"/>
        <v>9.1999999999999998E-2</v>
      </c>
    </row>
    <row r="44" spans="1:30" x14ac:dyDescent="0.25">
      <c r="A44">
        <v>430</v>
      </c>
      <c r="B44">
        <v>41</v>
      </c>
      <c r="C44">
        <v>0</v>
      </c>
      <c r="D44">
        <v>14</v>
      </c>
      <c r="E44">
        <v>8</v>
      </c>
      <c r="F44">
        <v>4</v>
      </c>
      <c r="G44">
        <v>10</v>
      </c>
      <c r="H44">
        <v>12</v>
      </c>
      <c r="I44">
        <v>24.5</v>
      </c>
      <c r="J44">
        <v>22.9</v>
      </c>
      <c r="K44">
        <v>17.899999999999999</v>
      </c>
      <c r="L44">
        <v>16.3</v>
      </c>
      <c r="M44">
        <v>16.399999999999999</v>
      </c>
      <c r="N44">
        <v>15.1</v>
      </c>
      <c r="O44">
        <v>13.2</v>
      </c>
      <c r="P44">
        <v>11.3</v>
      </c>
      <c r="Q44">
        <v>12.8</v>
      </c>
      <c r="R44">
        <v>9.9</v>
      </c>
      <c r="S44">
        <f t="shared" si="1"/>
        <v>41</v>
      </c>
      <c r="T44" t="s">
        <v>43</v>
      </c>
      <c r="U44">
        <f t="shared" si="2"/>
        <v>0.245</v>
      </c>
      <c r="V44">
        <f t="shared" si="0"/>
        <v>0.22899999999999998</v>
      </c>
      <c r="W44">
        <f t="shared" si="0"/>
        <v>0.17899999999999999</v>
      </c>
      <c r="X44">
        <f t="shared" si="0"/>
        <v>0.16300000000000001</v>
      </c>
      <c r="Y44">
        <f t="shared" si="0"/>
        <v>0.16399999999999998</v>
      </c>
      <c r="Z44">
        <f t="shared" si="0"/>
        <v>0.151</v>
      </c>
      <c r="AA44">
        <f t="shared" si="0"/>
        <v>0.13200000000000001</v>
      </c>
      <c r="AB44">
        <f t="shared" si="0"/>
        <v>0.113</v>
      </c>
      <c r="AC44">
        <f t="shared" si="0"/>
        <v>0.128</v>
      </c>
      <c r="AD44">
        <f t="shared" si="0"/>
        <v>9.9000000000000005E-2</v>
      </c>
    </row>
    <row r="45" spans="1:30" x14ac:dyDescent="0.25">
      <c r="A45">
        <v>429</v>
      </c>
      <c r="B45">
        <v>40</v>
      </c>
      <c r="C45">
        <v>0</v>
      </c>
      <c r="D45">
        <v>14</v>
      </c>
      <c r="E45">
        <v>8</v>
      </c>
      <c r="F45">
        <v>4</v>
      </c>
      <c r="G45">
        <v>10</v>
      </c>
      <c r="H45">
        <v>17</v>
      </c>
      <c r="I45">
        <v>-5</v>
      </c>
      <c r="J45">
        <v>22.8</v>
      </c>
      <c r="K45">
        <v>23.6</v>
      </c>
      <c r="L45">
        <v>20.399999999999999</v>
      </c>
      <c r="M45">
        <v>18.2</v>
      </c>
      <c r="N45">
        <v>18.7</v>
      </c>
      <c r="O45">
        <v>21</v>
      </c>
      <c r="P45">
        <v>18.8</v>
      </c>
      <c r="Q45">
        <v>18.5</v>
      </c>
      <c r="R45">
        <v>16.3</v>
      </c>
      <c r="S45">
        <f t="shared" si="1"/>
        <v>40</v>
      </c>
      <c r="T45" t="s">
        <v>41</v>
      </c>
      <c r="U45" t="str">
        <f t="shared" si="2"/>
        <v/>
      </c>
      <c r="V45">
        <f t="shared" si="0"/>
        <v>0.22800000000000001</v>
      </c>
      <c r="W45">
        <f t="shared" si="0"/>
        <v>0.23600000000000002</v>
      </c>
      <c r="X45">
        <f t="shared" si="0"/>
        <v>0.20399999999999999</v>
      </c>
      <c r="Y45">
        <f t="shared" si="0"/>
        <v>0.182</v>
      </c>
      <c r="Z45">
        <f t="shared" si="0"/>
        <v>0.187</v>
      </c>
      <c r="AA45">
        <f t="shared" si="0"/>
        <v>0.21</v>
      </c>
      <c r="AB45">
        <f t="shared" si="0"/>
        <v>0.188</v>
      </c>
      <c r="AC45">
        <f t="shared" si="0"/>
        <v>0.185</v>
      </c>
      <c r="AD45">
        <f t="shared" si="0"/>
        <v>0.16300000000000001</v>
      </c>
    </row>
    <row r="46" spans="1:30" x14ac:dyDescent="0.25">
      <c r="A46">
        <v>428</v>
      </c>
      <c r="B46">
        <v>39</v>
      </c>
      <c r="C46">
        <v>0</v>
      </c>
      <c r="D46">
        <v>14</v>
      </c>
      <c r="E46">
        <v>8</v>
      </c>
      <c r="F46">
        <v>4</v>
      </c>
      <c r="G46">
        <v>10</v>
      </c>
      <c r="H46">
        <v>21</v>
      </c>
      <c r="I46">
        <v>-5</v>
      </c>
      <c r="J46">
        <v>19.899999999999999</v>
      </c>
      <c r="K46">
        <v>20.7</v>
      </c>
      <c r="L46">
        <v>21</v>
      </c>
      <c r="M46">
        <v>20.8</v>
      </c>
      <c r="N46">
        <v>18.7</v>
      </c>
      <c r="O46">
        <v>17.8</v>
      </c>
      <c r="P46">
        <v>14.6</v>
      </c>
      <c r="Q46">
        <v>17.600000000000001</v>
      </c>
      <c r="R46">
        <v>14.9</v>
      </c>
      <c r="S46">
        <f t="shared" si="1"/>
        <v>39</v>
      </c>
      <c r="T46" t="s">
        <v>40</v>
      </c>
      <c r="U46" t="str">
        <f t="shared" si="2"/>
        <v/>
      </c>
      <c r="V46">
        <f t="shared" si="0"/>
        <v>0.19899999999999998</v>
      </c>
      <c r="W46">
        <f t="shared" si="0"/>
        <v>0.20699999999999999</v>
      </c>
      <c r="X46">
        <f t="shared" si="0"/>
        <v>0.21</v>
      </c>
      <c r="Y46">
        <f t="shared" si="0"/>
        <v>0.20800000000000002</v>
      </c>
      <c r="Z46">
        <f t="shared" si="0"/>
        <v>0.187</v>
      </c>
      <c r="AA46">
        <f t="shared" si="0"/>
        <v>0.17800000000000002</v>
      </c>
      <c r="AB46">
        <f t="shared" si="0"/>
        <v>0.14599999999999999</v>
      </c>
      <c r="AC46">
        <f t="shared" si="0"/>
        <v>0.17600000000000002</v>
      </c>
      <c r="AD46">
        <f t="shared" si="0"/>
        <v>0.14899999999999999</v>
      </c>
    </row>
    <row r="47" spans="1:30" x14ac:dyDescent="0.25">
      <c r="A47">
        <v>427</v>
      </c>
      <c r="B47">
        <v>38</v>
      </c>
      <c r="C47">
        <v>0</v>
      </c>
      <c r="D47">
        <v>14</v>
      </c>
      <c r="E47">
        <v>8</v>
      </c>
      <c r="F47">
        <v>4</v>
      </c>
      <c r="G47">
        <v>10</v>
      </c>
      <c r="H47">
        <v>26</v>
      </c>
      <c r="I47">
        <v>-5</v>
      </c>
      <c r="J47">
        <v>23.5</v>
      </c>
      <c r="K47">
        <v>23.9</v>
      </c>
      <c r="L47">
        <v>23.8</v>
      </c>
      <c r="M47">
        <v>21.7</v>
      </c>
      <c r="N47">
        <v>19.5</v>
      </c>
      <c r="O47">
        <v>18.100000000000001</v>
      </c>
      <c r="P47">
        <v>15.8</v>
      </c>
      <c r="Q47">
        <v>20.8</v>
      </c>
      <c r="R47">
        <v>17.8</v>
      </c>
      <c r="S47">
        <f t="shared" si="1"/>
        <v>38</v>
      </c>
      <c r="T47" t="s">
        <v>37</v>
      </c>
      <c r="U47" t="str">
        <f t="shared" si="2"/>
        <v/>
      </c>
      <c r="V47">
        <f t="shared" si="0"/>
        <v>0.23499999999999999</v>
      </c>
      <c r="W47">
        <f t="shared" si="0"/>
        <v>0.23899999999999999</v>
      </c>
      <c r="X47">
        <f t="shared" si="0"/>
        <v>0.23800000000000002</v>
      </c>
      <c r="Y47">
        <f t="shared" ref="Y47:AD54" si="3">IF(M47&lt;0,"",M47/100)</f>
        <v>0.217</v>
      </c>
      <c r="Z47">
        <f t="shared" si="3"/>
        <v>0.19500000000000001</v>
      </c>
      <c r="AA47">
        <f t="shared" si="3"/>
        <v>0.18100000000000002</v>
      </c>
      <c r="AB47">
        <f t="shared" si="3"/>
        <v>0.158</v>
      </c>
      <c r="AC47">
        <f t="shared" si="3"/>
        <v>0.20800000000000002</v>
      </c>
      <c r="AD47">
        <f t="shared" si="3"/>
        <v>0.17800000000000002</v>
      </c>
    </row>
    <row r="48" spans="1:30" x14ac:dyDescent="0.25">
      <c r="A48">
        <v>426</v>
      </c>
      <c r="B48">
        <v>37</v>
      </c>
      <c r="C48">
        <v>0</v>
      </c>
      <c r="D48">
        <v>14</v>
      </c>
      <c r="E48">
        <v>8</v>
      </c>
      <c r="F48">
        <v>4</v>
      </c>
      <c r="G48">
        <v>10</v>
      </c>
      <c r="H48">
        <v>30</v>
      </c>
      <c r="I48">
        <v>-5</v>
      </c>
      <c r="J48">
        <v>23</v>
      </c>
      <c r="K48">
        <v>21.2</v>
      </c>
      <c r="L48">
        <v>18.100000000000001</v>
      </c>
      <c r="M48">
        <v>15.8</v>
      </c>
      <c r="N48">
        <v>15.7</v>
      </c>
      <c r="O48">
        <v>15.2</v>
      </c>
      <c r="P48">
        <v>16.899999999999999</v>
      </c>
      <c r="Q48">
        <v>17.5</v>
      </c>
      <c r="R48">
        <v>13.7</v>
      </c>
      <c r="S48">
        <f t="shared" si="1"/>
        <v>37</v>
      </c>
      <c r="T48" t="s">
        <v>35</v>
      </c>
      <c r="U48" t="str">
        <f t="shared" si="2"/>
        <v/>
      </c>
      <c r="V48">
        <f t="shared" si="2"/>
        <v>0.23</v>
      </c>
      <c r="W48">
        <f t="shared" si="2"/>
        <v>0.21199999999999999</v>
      </c>
      <c r="X48">
        <f t="shared" si="2"/>
        <v>0.18100000000000002</v>
      </c>
      <c r="Y48">
        <f t="shared" si="3"/>
        <v>0.158</v>
      </c>
      <c r="Z48">
        <f t="shared" si="3"/>
        <v>0.157</v>
      </c>
      <c r="AA48">
        <f t="shared" si="3"/>
        <v>0.152</v>
      </c>
      <c r="AB48">
        <f t="shared" si="3"/>
        <v>0.16899999999999998</v>
      </c>
      <c r="AC48">
        <f t="shared" si="3"/>
        <v>0.17499999999999999</v>
      </c>
      <c r="AD48">
        <f t="shared" si="3"/>
        <v>0.13699999999999998</v>
      </c>
    </row>
    <row r="51" spans="1:7" x14ac:dyDescent="0.25">
      <c r="A51" s="2">
        <v>41856</v>
      </c>
    </row>
    <row r="52" spans="1:7" x14ac:dyDescent="0.25">
      <c r="A52" t="s">
        <v>3</v>
      </c>
      <c r="B52">
        <v>6114</v>
      </c>
      <c r="C52" t="s">
        <v>4</v>
      </c>
      <c r="D52">
        <v>10321</v>
      </c>
      <c r="E52">
        <v>0</v>
      </c>
      <c r="F52">
        <v>10</v>
      </c>
    </row>
    <row r="53" spans="1:7" x14ac:dyDescent="0.25">
      <c r="A53">
        <v>0</v>
      </c>
      <c r="B53">
        <v>13</v>
      </c>
      <c r="C53">
        <v>12</v>
      </c>
      <c r="D53">
        <v>3</v>
      </c>
      <c r="E53">
        <v>22.469000000000001</v>
      </c>
      <c r="F53">
        <v>-5.875</v>
      </c>
      <c r="G53" t="s">
        <v>24</v>
      </c>
    </row>
    <row r="54" spans="1:7" x14ac:dyDescent="0.25">
      <c r="A54">
        <v>1</v>
      </c>
      <c r="B54">
        <v>13</v>
      </c>
      <c r="C54">
        <v>7</v>
      </c>
      <c r="D54">
        <v>25</v>
      </c>
      <c r="E54">
        <v>0</v>
      </c>
      <c r="F54">
        <v>0</v>
      </c>
    </row>
    <row r="55" spans="1:7" x14ac:dyDescent="0.25">
      <c r="A55">
        <v>2</v>
      </c>
      <c r="B55">
        <v>13</v>
      </c>
      <c r="C55">
        <v>7</v>
      </c>
      <c r="D55">
        <v>22</v>
      </c>
      <c r="E55">
        <v>0</v>
      </c>
      <c r="F55">
        <v>0</v>
      </c>
    </row>
    <row r="56" spans="1:7" x14ac:dyDescent="0.25">
      <c r="A56">
        <v>3</v>
      </c>
      <c r="B56">
        <v>13</v>
      </c>
      <c r="C56">
        <v>7</v>
      </c>
      <c r="D56">
        <v>25</v>
      </c>
      <c r="E56">
        <v>0</v>
      </c>
      <c r="F56">
        <v>0</v>
      </c>
    </row>
    <row r="57" spans="1:7" x14ac:dyDescent="0.25">
      <c r="A57">
        <v>4</v>
      </c>
      <c r="B57">
        <v>95</v>
      </c>
      <c r="C57">
        <v>36280</v>
      </c>
      <c r="D57">
        <v>72</v>
      </c>
      <c r="E57">
        <v>0</v>
      </c>
      <c r="F57">
        <v>0</v>
      </c>
    </row>
    <row r="58" spans="1:7" x14ac:dyDescent="0.25">
      <c r="A58">
        <v>5</v>
      </c>
      <c r="B58">
        <v>95</v>
      </c>
      <c r="C58">
        <v>36280</v>
      </c>
      <c r="D58">
        <v>72</v>
      </c>
      <c r="E58">
        <v>0</v>
      </c>
      <c r="F58">
        <v>0</v>
      </c>
    </row>
    <row r="59" spans="1:7" x14ac:dyDescent="0.25">
      <c r="A59">
        <v>6</v>
      </c>
      <c r="B59">
        <v>95</v>
      </c>
      <c r="C59">
        <v>36280</v>
      </c>
      <c r="D59">
        <v>72</v>
      </c>
      <c r="E59">
        <v>0</v>
      </c>
      <c r="F59">
        <v>0</v>
      </c>
    </row>
    <row r="60" spans="1:7" x14ac:dyDescent="0.25">
      <c r="A60">
        <v>7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7" x14ac:dyDescent="0.25">
      <c r="A61">
        <v>8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7" x14ac:dyDescent="0.25">
      <c r="A62">
        <v>9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7" x14ac:dyDescent="0.25">
      <c r="A63">
        <v>10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7" x14ac:dyDescent="0.25">
      <c r="A64">
        <v>11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12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13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14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15</v>
      </c>
      <c r="B68">
        <v>95</v>
      </c>
      <c r="C68">
        <v>36280</v>
      </c>
      <c r="D68">
        <v>72</v>
      </c>
      <c r="E68">
        <v>0</v>
      </c>
      <c r="F68">
        <v>0</v>
      </c>
      <c r="S68" t="s">
        <v>0</v>
      </c>
      <c r="T68" t="s">
        <v>28</v>
      </c>
      <c r="U68">
        <v>190</v>
      </c>
      <c r="V68">
        <v>170</v>
      </c>
      <c r="W68">
        <v>150</v>
      </c>
      <c r="X68">
        <v>130</v>
      </c>
      <c r="Y68">
        <v>110</v>
      </c>
      <c r="Z68">
        <v>90</v>
      </c>
      <c r="AA68">
        <v>70</v>
      </c>
      <c r="AB68">
        <v>50</v>
      </c>
      <c r="AC68">
        <v>30</v>
      </c>
      <c r="AD68">
        <v>10</v>
      </c>
    </row>
    <row r="69" spans="1:30" x14ac:dyDescent="0.25">
      <c r="A69">
        <v>455</v>
      </c>
      <c r="B69">
        <v>1</v>
      </c>
      <c r="C69">
        <v>0</v>
      </c>
      <c r="D69">
        <v>14</v>
      </c>
      <c r="E69">
        <v>8</v>
      </c>
      <c r="F69">
        <v>5</v>
      </c>
      <c r="G69">
        <v>7</v>
      </c>
      <c r="H69">
        <v>36</v>
      </c>
      <c r="I69">
        <v>9.5</v>
      </c>
      <c r="J69">
        <v>11</v>
      </c>
      <c r="K69">
        <v>11.6</v>
      </c>
      <c r="L69">
        <v>13.1</v>
      </c>
      <c r="M69">
        <v>14.9</v>
      </c>
      <c r="N69">
        <v>16.600000000000001</v>
      </c>
      <c r="O69">
        <v>17.5</v>
      </c>
      <c r="P69">
        <v>17.2</v>
      </c>
      <c r="Q69">
        <v>15.5</v>
      </c>
      <c r="R69">
        <v>6.4</v>
      </c>
      <c r="S69">
        <f>B69</f>
        <v>1</v>
      </c>
      <c r="T69" t="s">
        <v>51</v>
      </c>
      <c r="U69">
        <f>IF(I69&lt;0,"",I69/100)</f>
        <v>9.5000000000000001E-2</v>
      </c>
      <c r="V69">
        <f t="shared" ref="V69:AD97" si="4">IF(J69&lt;0,"",J69/100)</f>
        <v>0.11</v>
      </c>
      <c r="W69">
        <f t="shared" si="4"/>
        <v>0.11599999999999999</v>
      </c>
      <c r="X69">
        <f t="shared" si="4"/>
        <v>0.13100000000000001</v>
      </c>
      <c r="Y69">
        <f t="shared" si="4"/>
        <v>0.14899999999999999</v>
      </c>
      <c r="Z69">
        <f t="shared" si="4"/>
        <v>0.16600000000000001</v>
      </c>
      <c r="AA69">
        <f t="shared" si="4"/>
        <v>0.17499999999999999</v>
      </c>
      <c r="AB69">
        <f t="shared" si="4"/>
        <v>0.17199999999999999</v>
      </c>
      <c r="AC69">
        <f t="shared" si="4"/>
        <v>0.155</v>
      </c>
      <c r="AD69">
        <f t="shared" si="4"/>
        <v>6.4000000000000001E-2</v>
      </c>
    </row>
    <row r="70" spans="1:30" x14ac:dyDescent="0.25">
      <c r="A70">
        <v>454</v>
      </c>
      <c r="B70">
        <v>2</v>
      </c>
      <c r="C70">
        <v>0</v>
      </c>
      <c r="D70">
        <v>14</v>
      </c>
      <c r="E70">
        <v>8</v>
      </c>
      <c r="F70">
        <v>5</v>
      </c>
      <c r="G70">
        <v>7</v>
      </c>
      <c r="H70">
        <v>41</v>
      </c>
      <c r="I70">
        <v>22.4</v>
      </c>
      <c r="J70">
        <v>13.8</v>
      </c>
      <c r="K70">
        <v>11.6</v>
      </c>
      <c r="L70">
        <v>11.8</v>
      </c>
      <c r="M70">
        <v>13.9</v>
      </c>
      <c r="N70">
        <v>14.7</v>
      </c>
      <c r="O70">
        <v>15.9</v>
      </c>
      <c r="P70">
        <v>17.7</v>
      </c>
      <c r="Q70">
        <v>14.5</v>
      </c>
      <c r="R70">
        <v>8.8000000000000007</v>
      </c>
      <c r="S70">
        <f t="shared" ref="S70:S104" si="5">B70</f>
        <v>2</v>
      </c>
      <c r="T70" t="s">
        <v>55</v>
      </c>
      <c r="U70">
        <f t="shared" ref="U70:U98" si="6">IF(I70&lt;0,"",I70/100)</f>
        <v>0.22399999999999998</v>
      </c>
      <c r="V70">
        <f t="shared" si="4"/>
        <v>0.13800000000000001</v>
      </c>
      <c r="W70">
        <f t="shared" si="4"/>
        <v>0.11599999999999999</v>
      </c>
      <c r="X70">
        <f t="shared" si="4"/>
        <v>0.11800000000000001</v>
      </c>
      <c r="Y70">
        <f t="shared" si="4"/>
        <v>0.13900000000000001</v>
      </c>
      <c r="Z70">
        <f t="shared" si="4"/>
        <v>0.14699999999999999</v>
      </c>
      <c r="AA70">
        <f t="shared" si="4"/>
        <v>0.159</v>
      </c>
      <c r="AB70">
        <f t="shared" si="4"/>
        <v>0.17699999999999999</v>
      </c>
      <c r="AC70">
        <f t="shared" si="4"/>
        <v>0.14499999999999999</v>
      </c>
      <c r="AD70">
        <f t="shared" si="4"/>
        <v>8.8000000000000009E-2</v>
      </c>
    </row>
    <row r="71" spans="1:30" x14ac:dyDescent="0.25">
      <c r="A71">
        <v>453</v>
      </c>
      <c r="B71">
        <v>3</v>
      </c>
      <c r="C71">
        <v>0</v>
      </c>
      <c r="D71">
        <v>14</v>
      </c>
      <c r="E71">
        <v>8</v>
      </c>
      <c r="F71">
        <v>5</v>
      </c>
      <c r="G71">
        <v>7</v>
      </c>
      <c r="H71">
        <v>46</v>
      </c>
      <c r="I71">
        <v>12.7</v>
      </c>
      <c r="J71">
        <v>16.100000000000001</v>
      </c>
      <c r="K71">
        <v>18.899999999999999</v>
      </c>
      <c r="L71">
        <v>19.2</v>
      </c>
      <c r="M71">
        <v>16.5</v>
      </c>
      <c r="N71">
        <v>16.100000000000001</v>
      </c>
      <c r="O71">
        <v>16.2</v>
      </c>
      <c r="P71">
        <v>17.600000000000001</v>
      </c>
      <c r="Q71">
        <v>17.5</v>
      </c>
      <c r="R71">
        <v>7.7</v>
      </c>
      <c r="S71">
        <f t="shared" si="5"/>
        <v>3</v>
      </c>
      <c r="T71" t="s">
        <v>56</v>
      </c>
      <c r="U71">
        <f t="shared" si="6"/>
        <v>0.127</v>
      </c>
      <c r="V71">
        <f t="shared" si="4"/>
        <v>0.161</v>
      </c>
      <c r="W71">
        <f t="shared" si="4"/>
        <v>0.18899999999999997</v>
      </c>
      <c r="X71">
        <f t="shared" si="4"/>
        <v>0.192</v>
      </c>
      <c r="Y71">
        <f t="shared" si="4"/>
        <v>0.16500000000000001</v>
      </c>
      <c r="Z71">
        <f t="shared" si="4"/>
        <v>0.161</v>
      </c>
      <c r="AA71">
        <f t="shared" si="4"/>
        <v>0.16200000000000001</v>
      </c>
      <c r="AB71">
        <f t="shared" si="4"/>
        <v>0.17600000000000002</v>
      </c>
      <c r="AC71">
        <f t="shared" si="4"/>
        <v>0.17499999999999999</v>
      </c>
      <c r="AD71">
        <f t="shared" si="4"/>
        <v>7.6999999999999999E-2</v>
      </c>
    </row>
    <row r="72" spans="1:30" x14ac:dyDescent="0.25">
      <c r="A72">
        <v>452</v>
      </c>
      <c r="B72">
        <v>4</v>
      </c>
      <c r="C72">
        <v>0</v>
      </c>
      <c r="D72">
        <v>14</v>
      </c>
      <c r="E72">
        <v>8</v>
      </c>
      <c r="F72">
        <v>5</v>
      </c>
      <c r="G72">
        <v>7</v>
      </c>
      <c r="H72">
        <v>50</v>
      </c>
      <c r="I72">
        <v>-5.9</v>
      </c>
      <c r="J72">
        <v>13</v>
      </c>
      <c r="K72">
        <v>13.9</v>
      </c>
      <c r="L72">
        <v>16.8</v>
      </c>
      <c r="M72">
        <v>17.7</v>
      </c>
      <c r="N72">
        <v>18</v>
      </c>
      <c r="O72">
        <v>17.600000000000001</v>
      </c>
      <c r="P72">
        <v>16.100000000000001</v>
      </c>
      <c r="Q72">
        <v>14.1</v>
      </c>
      <c r="R72">
        <v>7.8</v>
      </c>
      <c r="S72">
        <f t="shared" si="5"/>
        <v>4</v>
      </c>
      <c r="T72" t="s">
        <v>57</v>
      </c>
      <c r="U72" t="str">
        <f t="shared" si="6"/>
        <v/>
      </c>
      <c r="V72">
        <f t="shared" si="4"/>
        <v>0.13</v>
      </c>
      <c r="W72">
        <f t="shared" si="4"/>
        <v>0.13900000000000001</v>
      </c>
      <c r="X72">
        <f t="shared" si="4"/>
        <v>0.16800000000000001</v>
      </c>
      <c r="Y72">
        <f t="shared" si="4"/>
        <v>0.17699999999999999</v>
      </c>
      <c r="Z72">
        <f t="shared" si="4"/>
        <v>0.18</v>
      </c>
      <c r="AA72">
        <f t="shared" si="4"/>
        <v>0.17600000000000002</v>
      </c>
      <c r="AB72">
        <f t="shared" si="4"/>
        <v>0.161</v>
      </c>
      <c r="AC72">
        <f t="shared" si="4"/>
        <v>0.14099999999999999</v>
      </c>
      <c r="AD72">
        <f t="shared" si="4"/>
        <v>7.8E-2</v>
      </c>
    </row>
    <row r="73" spans="1:30" x14ac:dyDescent="0.25">
      <c r="A73">
        <v>451</v>
      </c>
      <c r="B73">
        <v>5</v>
      </c>
      <c r="C73">
        <v>0</v>
      </c>
      <c r="D73">
        <v>14</v>
      </c>
      <c r="E73">
        <v>8</v>
      </c>
      <c r="F73">
        <v>5</v>
      </c>
      <c r="G73">
        <v>7</v>
      </c>
      <c r="H73">
        <v>54</v>
      </c>
      <c r="I73">
        <v>-5.9</v>
      </c>
      <c r="J73">
        <v>-5.9</v>
      </c>
      <c r="K73">
        <v>18.600000000000001</v>
      </c>
      <c r="L73">
        <v>23.4</v>
      </c>
      <c r="M73">
        <v>19</v>
      </c>
      <c r="N73">
        <v>19.8</v>
      </c>
      <c r="O73">
        <v>17.7</v>
      </c>
      <c r="P73">
        <v>19.100000000000001</v>
      </c>
      <c r="Q73">
        <v>20.100000000000001</v>
      </c>
      <c r="R73">
        <v>10.8</v>
      </c>
      <c r="S73">
        <f t="shared" si="5"/>
        <v>5</v>
      </c>
      <c r="T73" t="s">
        <v>58</v>
      </c>
      <c r="U73" t="str">
        <f t="shared" si="6"/>
        <v/>
      </c>
      <c r="V73" t="str">
        <f t="shared" si="4"/>
        <v/>
      </c>
      <c r="W73">
        <f t="shared" si="4"/>
        <v>0.18600000000000003</v>
      </c>
      <c r="X73">
        <f t="shared" si="4"/>
        <v>0.23399999999999999</v>
      </c>
      <c r="Y73">
        <f t="shared" si="4"/>
        <v>0.19</v>
      </c>
      <c r="Z73">
        <f t="shared" si="4"/>
        <v>0.19800000000000001</v>
      </c>
      <c r="AA73">
        <f t="shared" si="4"/>
        <v>0.17699999999999999</v>
      </c>
      <c r="AB73">
        <f t="shared" si="4"/>
        <v>0.191</v>
      </c>
      <c r="AC73">
        <f t="shared" si="4"/>
        <v>0.20100000000000001</v>
      </c>
      <c r="AD73">
        <f t="shared" si="4"/>
        <v>0.10800000000000001</v>
      </c>
    </row>
    <row r="74" spans="1:30" x14ac:dyDescent="0.25">
      <c r="A74">
        <v>450</v>
      </c>
      <c r="B74">
        <v>6</v>
      </c>
      <c r="C74">
        <v>0</v>
      </c>
      <c r="D74">
        <v>14</v>
      </c>
      <c r="E74">
        <v>8</v>
      </c>
      <c r="F74">
        <v>5</v>
      </c>
      <c r="G74">
        <v>7</v>
      </c>
      <c r="H74">
        <v>50</v>
      </c>
      <c r="I74">
        <v>-5.9</v>
      </c>
      <c r="J74">
        <v>19.3</v>
      </c>
      <c r="K74">
        <v>19</v>
      </c>
      <c r="L74">
        <v>19.600000000000001</v>
      </c>
      <c r="M74">
        <v>20.5</v>
      </c>
      <c r="N74">
        <v>19.600000000000001</v>
      </c>
      <c r="O74">
        <v>17.600000000000001</v>
      </c>
      <c r="P74">
        <v>18.899999999999999</v>
      </c>
      <c r="Q74">
        <v>17</v>
      </c>
      <c r="R74">
        <v>7.1</v>
      </c>
      <c r="S74">
        <f t="shared" si="5"/>
        <v>6</v>
      </c>
      <c r="T74" t="s">
        <v>59</v>
      </c>
      <c r="U74" t="str">
        <f t="shared" si="6"/>
        <v/>
      </c>
      <c r="V74">
        <f t="shared" si="4"/>
        <v>0.193</v>
      </c>
      <c r="W74">
        <f t="shared" si="4"/>
        <v>0.19</v>
      </c>
      <c r="X74">
        <f t="shared" si="4"/>
        <v>0.19600000000000001</v>
      </c>
      <c r="Y74">
        <f t="shared" si="4"/>
        <v>0.20499999999999999</v>
      </c>
      <c r="Z74">
        <f t="shared" si="4"/>
        <v>0.19600000000000001</v>
      </c>
      <c r="AA74">
        <f t="shared" si="4"/>
        <v>0.17600000000000002</v>
      </c>
      <c r="AB74">
        <f t="shared" si="4"/>
        <v>0.18899999999999997</v>
      </c>
      <c r="AC74">
        <f t="shared" si="4"/>
        <v>0.17</v>
      </c>
      <c r="AD74">
        <f t="shared" si="4"/>
        <v>7.0999999999999994E-2</v>
      </c>
    </row>
    <row r="75" spans="1:30" x14ac:dyDescent="0.25">
      <c r="A75">
        <v>449</v>
      </c>
      <c r="B75">
        <v>7</v>
      </c>
      <c r="C75">
        <v>0</v>
      </c>
      <c r="D75">
        <v>14</v>
      </c>
      <c r="E75">
        <v>8</v>
      </c>
      <c r="F75">
        <v>5</v>
      </c>
      <c r="G75">
        <v>8</v>
      </c>
      <c r="H75">
        <v>2</v>
      </c>
      <c r="I75">
        <v>-5.9</v>
      </c>
      <c r="J75">
        <v>-5.9</v>
      </c>
      <c r="K75">
        <v>26.3</v>
      </c>
      <c r="L75">
        <v>28</v>
      </c>
      <c r="M75">
        <v>20.9</v>
      </c>
      <c r="N75">
        <v>19.8</v>
      </c>
      <c r="O75">
        <v>22.6</v>
      </c>
      <c r="P75">
        <v>20.100000000000001</v>
      </c>
      <c r="Q75">
        <v>21.3</v>
      </c>
      <c r="R75">
        <v>12.9</v>
      </c>
      <c r="S75">
        <f t="shared" si="5"/>
        <v>7</v>
      </c>
      <c r="T75" t="s">
        <v>60</v>
      </c>
      <c r="U75" t="str">
        <f t="shared" si="6"/>
        <v/>
      </c>
      <c r="V75" t="str">
        <f t="shared" si="4"/>
        <v/>
      </c>
      <c r="W75">
        <f t="shared" si="4"/>
        <v>0.26300000000000001</v>
      </c>
      <c r="X75">
        <f t="shared" si="4"/>
        <v>0.28000000000000003</v>
      </c>
      <c r="Y75">
        <f t="shared" si="4"/>
        <v>0.20899999999999999</v>
      </c>
      <c r="Z75">
        <f t="shared" si="4"/>
        <v>0.19800000000000001</v>
      </c>
      <c r="AA75">
        <f t="shared" si="4"/>
        <v>0.22600000000000001</v>
      </c>
      <c r="AB75">
        <f t="shared" si="4"/>
        <v>0.20100000000000001</v>
      </c>
      <c r="AC75">
        <f t="shared" si="4"/>
        <v>0.21299999999999999</v>
      </c>
      <c r="AD75">
        <f t="shared" si="4"/>
        <v>0.129</v>
      </c>
    </row>
    <row r="76" spans="1:30" x14ac:dyDescent="0.25">
      <c r="A76">
        <v>448</v>
      </c>
      <c r="B76">
        <v>8</v>
      </c>
      <c r="C76">
        <v>0</v>
      </c>
      <c r="D76">
        <v>14</v>
      </c>
      <c r="E76">
        <v>8</v>
      </c>
      <c r="F76">
        <v>5</v>
      </c>
      <c r="G76">
        <v>8</v>
      </c>
      <c r="H76">
        <v>6</v>
      </c>
      <c r="I76">
        <v>-5.9</v>
      </c>
      <c r="J76">
        <v>-5.9</v>
      </c>
      <c r="K76">
        <v>26</v>
      </c>
      <c r="L76">
        <v>18.7</v>
      </c>
      <c r="M76">
        <v>19.600000000000001</v>
      </c>
      <c r="N76">
        <v>20.6</v>
      </c>
      <c r="O76">
        <v>17.100000000000001</v>
      </c>
      <c r="P76">
        <v>21.5</v>
      </c>
      <c r="Q76">
        <v>22.3</v>
      </c>
      <c r="R76">
        <v>-5.9</v>
      </c>
      <c r="S76">
        <f t="shared" si="5"/>
        <v>8</v>
      </c>
      <c r="T76" t="s">
        <v>61</v>
      </c>
      <c r="U76" t="str">
        <f t="shared" si="6"/>
        <v/>
      </c>
      <c r="V76" t="str">
        <f t="shared" si="4"/>
        <v/>
      </c>
      <c r="W76">
        <f t="shared" si="4"/>
        <v>0.26</v>
      </c>
      <c r="X76">
        <f t="shared" si="4"/>
        <v>0.187</v>
      </c>
      <c r="Y76">
        <f t="shared" si="4"/>
        <v>0.19600000000000001</v>
      </c>
      <c r="Z76">
        <f t="shared" si="4"/>
        <v>0.20600000000000002</v>
      </c>
      <c r="AA76">
        <f t="shared" si="4"/>
        <v>0.17100000000000001</v>
      </c>
      <c r="AB76">
        <f t="shared" si="4"/>
        <v>0.215</v>
      </c>
      <c r="AC76">
        <f t="shared" si="4"/>
        <v>0.223</v>
      </c>
      <c r="AD76" t="str">
        <f t="shared" si="4"/>
        <v/>
      </c>
    </row>
    <row r="77" spans="1:30" x14ac:dyDescent="0.25">
      <c r="A77">
        <v>447</v>
      </c>
      <c r="B77">
        <v>9</v>
      </c>
      <c r="C77">
        <v>0</v>
      </c>
      <c r="D77">
        <v>14</v>
      </c>
      <c r="E77">
        <v>8</v>
      </c>
      <c r="F77">
        <v>5</v>
      </c>
      <c r="G77">
        <v>8</v>
      </c>
      <c r="H77">
        <v>10</v>
      </c>
      <c r="I77">
        <v>-5.9</v>
      </c>
      <c r="J77">
        <v>15.7</v>
      </c>
      <c r="K77">
        <v>15</v>
      </c>
      <c r="L77">
        <v>19.399999999999999</v>
      </c>
      <c r="M77">
        <v>21.9</v>
      </c>
      <c r="N77">
        <v>22.4</v>
      </c>
      <c r="O77">
        <v>21.9</v>
      </c>
      <c r="P77">
        <v>18.5</v>
      </c>
      <c r="Q77">
        <v>17.100000000000001</v>
      </c>
      <c r="R77">
        <v>14.2</v>
      </c>
      <c r="S77">
        <f t="shared" si="5"/>
        <v>9</v>
      </c>
      <c r="T77" t="s">
        <v>63</v>
      </c>
      <c r="U77" t="str">
        <f t="shared" si="6"/>
        <v/>
      </c>
      <c r="V77">
        <f t="shared" si="4"/>
        <v>0.157</v>
      </c>
      <c r="W77">
        <f t="shared" si="4"/>
        <v>0.15</v>
      </c>
      <c r="X77">
        <f t="shared" si="4"/>
        <v>0.19399999999999998</v>
      </c>
      <c r="Y77">
        <f t="shared" si="4"/>
        <v>0.21899999999999997</v>
      </c>
      <c r="Z77">
        <f t="shared" si="4"/>
        <v>0.22399999999999998</v>
      </c>
      <c r="AA77">
        <f t="shared" si="4"/>
        <v>0.21899999999999997</v>
      </c>
      <c r="AB77">
        <f t="shared" si="4"/>
        <v>0.185</v>
      </c>
      <c r="AC77">
        <f t="shared" si="4"/>
        <v>0.17100000000000001</v>
      </c>
      <c r="AD77">
        <f t="shared" si="4"/>
        <v>0.14199999999999999</v>
      </c>
    </row>
    <row r="78" spans="1:30" x14ac:dyDescent="0.25">
      <c r="A78">
        <v>446</v>
      </c>
      <c r="B78">
        <v>10</v>
      </c>
      <c r="C78">
        <v>0</v>
      </c>
      <c r="D78">
        <v>14</v>
      </c>
      <c r="E78">
        <v>8</v>
      </c>
      <c r="F78">
        <v>5</v>
      </c>
      <c r="G78">
        <v>8</v>
      </c>
      <c r="H78">
        <v>14</v>
      </c>
      <c r="I78">
        <v>15.8</v>
      </c>
      <c r="J78">
        <v>13.8</v>
      </c>
      <c r="K78">
        <v>15.4</v>
      </c>
      <c r="L78">
        <v>16.5</v>
      </c>
      <c r="M78">
        <v>21.2</v>
      </c>
      <c r="N78">
        <v>22</v>
      </c>
      <c r="O78">
        <v>25.4</v>
      </c>
      <c r="P78">
        <v>28.5</v>
      </c>
      <c r="Q78">
        <v>24.2</v>
      </c>
      <c r="R78">
        <v>15.7</v>
      </c>
      <c r="S78">
        <f t="shared" si="5"/>
        <v>10</v>
      </c>
      <c r="T78" t="s">
        <v>62</v>
      </c>
      <c r="U78">
        <f t="shared" si="6"/>
        <v>0.158</v>
      </c>
      <c r="V78">
        <f t="shared" si="4"/>
        <v>0.13800000000000001</v>
      </c>
      <c r="W78">
        <f t="shared" si="4"/>
        <v>0.154</v>
      </c>
      <c r="X78">
        <f t="shared" si="4"/>
        <v>0.16500000000000001</v>
      </c>
      <c r="Y78">
        <f t="shared" si="4"/>
        <v>0.21199999999999999</v>
      </c>
      <c r="Z78">
        <f t="shared" si="4"/>
        <v>0.22</v>
      </c>
      <c r="AA78">
        <f t="shared" si="4"/>
        <v>0.254</v>
      </c>
      <c r="AB78">
        <f t="shared" si="4"/>
        <v>0.28499999999999998</v>
      </c>
      <c r="AC78">
        <f t="shared" si="4"/>
        <v>0.24199999999999999</v>
      </c>
      <c r="AD78">
        <f t="shared" si="4"/>
        <v>0.157</v>
      </c>
    </row>
    <row r="79" spans="1:30" x14ac:dyDescent="0.25">
      <c r="A79">
        <v>445</v>
      </c>
      <c r="B79">
        <v>11</v>
      </c>
      <c r="C79">
        <v>0</v>
      </c>
      <c r="D79">
        <v>14</v>
      </c>
      <c r="E79">
        <v>8</v>
      </c>
      <c r="F79">
        <v>5</v>
      </c>
      <c r="G79">
        <v>8</v>
      </c>
      <c r="H79">
        <v>11</v>
      </c>
      <c r="I79">
        <v>14.5</v>
      </c>
      <c r="J79">
        <v>15.6</v>
      </c>
      <c r="K79">
        <v>17.7</v>
      </c>
      <c r="L79">
        <v>19.600000000000001</v>
      </c>
      <c r="M79">
        <v>21.6</v>
      </c>
      <c r="N79">
        <v>23.5</v>
      </c>
      <c r="O79">
        <v>22.8</v>
      </c>
      <c r="P79">
        <v>21.7</v>
      </c>
      <c r="Q79">
        <v>19.8</v>
      </c>
      <c r="R79">
        <v>14.3</v>
      </c>
      <c r="S79">
        <f t="shared" si="5"/>
        <v>11</v>
      </c>
      <c r="T79" t="s">
        <v>52</v>
      </c>
      <c r="U79">
        <f t="shared" si="6"/>
        <v>0.14499999999999999</v>
      </c>
      <c r="V79">
        <f t="shared" si="4"/>
        <v>0.156</v>
      </c>
      <c r="W79">
        <f t="shared" si="4"/>
        <v>0.17699999999999999</v>
      </c>
      <c r="X79">
        <f t="shared" si="4"/>
        <v>0.19600000000000001</v>
      </c>
      <c r="Y79">
        <f t="shared" si="4"/>
        <v>0.21600000000000003</v>
      </c>
      <c r="Z79">
        <f t="shared" si="4"/>
        <v>0.23499999999999999</v>
      </c>
      <c r="AA79">
        <f t="shared" si="4"/>
        <v>0.22800000000000001</v>
      </c>
      <c r="AB79">
        <f t="shared" si="4"/>
        <v>0.217</v>
      </c>
      <c r="AC79">
        <f t="shared" si="4"/>
        <v>0.19800000000000001</v>
      </c>
      <c r="AD79">
        <f t="shared" si="4"/>
        <v>0.14300000000000002</v>
      </c>
    </row>
    <row r="80" spans="1:30" x14ac:dyDescent="0.25">
      <c r="A80">
        <v>444</v>
      </c>
      <c r="B80">
        <v>12</v>
      </c>
      <c r="C80">
        <v>0</v>
      </c>
      <c r="D80">
        <v>14</v>
      </c>
      <c r="E80">
        <v>8</v>
      </c>
      <c r="F80">
        <v>5</v>
      </c>
      <c r="G80">
        <v>8</v>
      </c>
      <c r="H80">
        <v>23</v>
      </c>
      <c r="I80">
        <v>24.4</v>
      </c>
      <c r="J80">
        <v>13.8</v>
      </c>
      <c r="K80">
        <v>15.3</v>
      </c>
      <c r="L80">
        <v>24.5</v>
      </c>
      <c r="M80">
        <v>22.4</v>
      </c>
      <c r="N80">
        <v>20.6</v>
      </c>
      <c r="O80">
        <v>22.2</v>
      </c>
      <c r="P80">
        <v>24.9</v>
      </c>
      <c r="Q80">
        <v>19</v>
      </c>
      <c r="R80">
        <v>13.3</v>
      </c>
      <c r="S80">
        <f t="shared" si="5"/>
        <v>12</v>
      </c>
      <c r="T80" t="s">
        <v>64</v>
      </c>
      <c r="U80">
        <f t="shared" si="6"/>
        <v>0.24399999999999999</v>
      </c>
      <c r="V80">
        <f t="shared" si="4"/>
        <v>0.13800000000000001</v>
      </c>
      <c r="W80">
        <f t="shared" si="4"/>
        <v>0.153</v>
      </c>
      <c r="X80">
        <f t="shared" si="4"/>
        <v>0.245</v>
      </c>
      <c r="Y80">
        <f t="shared" si="4"/>
        <v>0.22399999999999998</v>
      </c>
      <c r="Z80">
        <f t="shared" si="4"/>
        <v>0.20600000000000002</v>
      </c>
      <c r="AA80">
        <f t="shared" si="4"/>
        <v>0.222</v>
      </c>
      <c r="AB80">
        <f t="shared" si="4"/>
        <v>0.249</v>
      </c>
      <c r="AC80">
        <f t="shared" si="4"/>
        <v>0.19</v>
      </c>
      <c r="AD80">
        <f t="shared" si="4"/>
        <v>0.13300000000000001</v>
      </c>
    </row>
    <row r="81" spans="1:30" x14ac:dyDescent="0.25">
      <c r="A81">
        <v>443</v>
      </c>
      <c r="B81">
        <v>13</v>
      </c>
      <c r="C81">
        <v>0</v>
      </c>
      <c r="D81">
        <v>14</v>
      </c>
      <c r="E81">
        <v>8</v>
      </c>
      <c r="F81">
        <v>5</v>
      </c>
      <c r="G81">
        <v>8</v>
      </c>
      <c r="H81">
        <v>30</v>
      </c>
      <c r="I81">
        <v>18</v>
      </c>
      <c r="J81">
        <v>18.3</v>
      </c>
      <c r="K81">
        <v>18.2</v>
      </c>
      <c r="L81">
        <v>22.8</v>
      </c>
      <c r="M81">
        <v>22</v>
      </c>
      <c r="N81">
        <v>24.8</v>
      </c>
      <c r="O81">
        <v>25</v>
      </c>
      <c r="P81">
        <v>26.9</v>
      </c>
      <c r="Q81">
        <v>23.7</v>
      </c>
      <c r="R81">
        <v>16</v>
      </c>
      <c r="S81">
        <f t="shared" si="5"/>
        <v>13</v>
      </c>
      <c r="T81" t="s">
        <v>29</v>
      </c>
      <c r="U81">
        <f t="shared" si="6"/>
        <v>0.18</v>
      </c>
      <c r="V81">
        <f t="shared" si="4"/>
        <v>0.183</v>
      </c>
      <c r="W81">
        <f t="shared" si="4"/>
        <v>0.182</v>
      </c>
      <c r="X81">
        <f t="shared" si="4"/>
        <v>0.22800000000000001</v>
      </c>
      <c r="Y81">
        <f t="shared" si="4"/>
        <v>0.22</v>
      </c>
      <c r="Z81">
        <f t="shared" si="4"/>
        <v>0.248</v>
      </c>
      <c r="AA81">
        <f t="shared" si="4"/>
        <v>0.25</v>
      </c>
      <c r="AB81">
        <f t="shared" si="4"/>
        <v>0.26899999999999996</v>
      </c>
      <c r="AC81">
        <f t="shared" si="4"/>
        <v>0.23699999999999999</v>
      </c>
      <c r="AD81">
        <f t="shared" si="4"/>
        <v>0.16</v>
      </c>
    </row>
    <row r="82" spans="1:30" x14ac:dyDescent="0.25">
      <c r="A82">
        <v>442</v>
      </c>
      <c r="B82">
        <v>14</v>
      </c>
      <c r="C82">
        <v>0</v>
      </c>
      <c r="D82">
        <v>14</v>
      </c>
      <c r="E82">
        <v>8</v>
      </c>
      <c r="F82">
        <v>5</v>
      </c>
      <c r="G82">
        <v>8</v>
      </c>
      <c r="H82">
        <v>34</v>
      </c>
      <c r="I82">
        <v>18</v>
      </c>
      <c r="J82">
        <v>18.5</v>
      </c>
      <c r="K82">
        <v>22</v>
      </c>
      <c r="L82">
        <v>24.3</v>
      </c>
      <c r="M82">
        <v>23.6</v>
      </c>
      <c r="N82">
        <v>22.6</v>
      </c>
      <c r="O82">
        <v>24.5</v>
      </c>
      <c r="P82">
        <v>17.7</v>
      </c>
      <c r="Q82">
        <v>17.399999999999999</v>
      </c>
      <c r="R82">
        <v>12</v>
      </c>
      <c r="S82">
        <f t="shared" si="5"/>
        <v>14</v>
      </c>
      <c r="T82" t="s">
        <v>30</v>
      </c>
      <c r="U82">
        <f t="shared" si="6"/>
        <v>0.18</v>
      </c>
      <c r="V82">
        <f t="shared" si="4"/>
        <v>0.185</v>
      </c>
      <c r="W82">
        <f t="shared" si="4"/>
        <v>0.22</v>
      </c>
      <c r="X82">
        <f t="shared" si="4"/>
        <v>0.24299999999999999</v>
      </c>
      <c r="Y82">
        <f t="shared" si="4"/>
        <v>0.23600000000000002</v>
      </c>
      <c r="Z82">
        <f t="shared" si="4"/>
        <v>0.22600000000000001</v>
      </c>
      <c r="AA82">
        <f t="shared" si="4"/>
        <v>0.245</v>
      </c>
      <c r="AB82">
        <f t="shared" si="4"/>
        <v>0.17699999999999999</v>
      </c>
      <c r="AC82">
        <f t="shared" si="4"/>
        <v>0.17399999999999999</v>
      </c>
      <c r="AD82">
        <f t="shared" si="4"/>
        <v>0.12</v>
      </c>
    </row>
    <row r="83" spans="1:30" x14ac:dyDescent="0.25">
      <c r="A83">
        <v>441</v>
      </c>
      <c r="B83">
        <v>15</v>
      </c>
      <c r="C83">
        <v>0</v>
      </c>
      <c r="D83">
        <v>14</v>
      </c>
      <c r="E83">
        <v>8</v>
      </c>
      <c r="F83">
        <v>5</v>
      </c>
      <c r="G83">
        <v>8</v>
      </c>
      <c r="H83">
        <v>40</v>
      </c>
      <c r="I83">
        <v>18.7</v>
      </c>
      <c r="J83">
        <v>15.5</v>
      </c>
      <c r="K83">
        <v>15.6</v>
      </c>
      <c r="L83">
        <v>17.8</v>
      </c>
      <c r="M83">
        <v>23.4</v>
      </c>
      <c r="N83">
        <v>22.9</v>
      </c>
      <c r="O83">
        <v>22.1</v>
      </c>
      <c r="P83">
        <v>22.6</v>
      </c>
      <c r="Q83">
        <v>22.4</v>
      </c>
      <c r="R83">
        <v>16.399999999999999</v>
      </c>
      <c r="S83">
        <f t="shared" si="5"/>
        <v>15</v>
      </c>
      <c r="T83" t="s">
        <v>31</v>
      </c>
      <c r="U83">
        <f t="shared" si="6"/>
        <v>0.187</v>
      </c>
      <c r="V83">
        <f t="shared" si="4"/>
        <v>0.155</v>
      </c>
      <c r="W83">
        <f t="shared" si="4"/>
        <v>0.156</v>
      </c>
      <c r="X83">
        <f t="shared" si="4"/>
        <v>0.17800000000000002</v>
      </c>
      <c r="Y83">
        <f t="shared" si="4"/>
        <v>0.23399999999999999</v>
      </c>
      <c r="Z83">
        <f t="shared" si="4"/>
        <v>0.22899999999999998</v>
      </c>
      <c r="AA83">
        <f t="shared" si="4"/>
        <v>0.221</v>
      </c>
      <c r="AB83">
        <f t="shared" si="4"/>
        <v>0.22600000000000001</v>
      </c>
      <c r="AC83">
        <f t="shared" si="4"/>
        <v>0.22399999999999998</v>
      </c>
      <c r="AD83">
        <f t="shared" si="4"/>
        <v>0.16399999999999998</v>
      </c>
    </row>
    <row r="84" spans="1:30" x14ac:dyDescent="0.25">
      <c r="A84">
        <v>440</v>
      </c>
      <c r="B84">
        <v>16</v>
      </c>
      <c r="C84">
        <v>0</v>
      </c>
      <c r="D84">
        <v>14</v>
      </c>
      <c r="E84">
        <v>8</v>
      </c>
      <c r="F84">
        <v>5</v>
      </c>
      <c r="G84">
        <v>8</v>
      </c>
      <c r="H84">
        <v>44</v>
      </c>
      <c r="I84">
        <v>24.5</v>
      </c>
      <c r="J84">
        <v>19.2</v>
      </c>
      <c r="K84">
        <v>20.6</v>
      </c>
      <c r="L84">
        <v>19.5</v>
      </c>
      <c r="M84">
        <v>19.399999999999999</v>
      </c>
      <c r="N84">
        <v>18.899999999999999</v>
      </c>
      <c r="O84">
        <v>16.100000000000001</v>
      </c>
      <c r="P84">
        <v>14.8</v>
      </c>
      <c r="Q84">
        <v>20.399999999999999</v>
      </c>
      <c r="R84">
        <v>15</v>
      </c>
      <c r="S84">
        <f t="shared" si="5"/>
        <v>16</v>
      </c>
      <c r="T84" t="s">
        <v>32</v>
      </c>
      <c r="U84">
        <f t="shared" si="6"/>
        <v>0.245</v>
      </c>
      <c r="V84">
        <f t="shared" si="4"/>
        <v>0.192</v>
      </c>
      <c r="W84">
        <f t="shared" si="4"/>
        <v>0.20600000000000002</v>
      </c>
      <c r="X84">
        <f t="shared" si="4"/>
        <v>0.19500000000000001</v>
      </c>
      <c r="Y84">
        <f t="shared" si="4"/>
        <v>0.19399999999999998</v>
      </c>
      <c r="Z84">
        <f t="shared" si="4"/>
        <v>0.18899999999999997</v>
      </c>
      <c r="AA84">
        <f t="shared" si="4"/>
        <v>0.161</v>
      </c>
      <c r="AB84">
        <f t="shared" si="4"/>
        <v>0.14800000000000002</v>
      </c>
      <c r="AC84">
        <f t="shared" si="4"/>
        <v>0.20399999999999999</v>
      </c>
      <c r="AD84">
        <f t="shared" si="4"/>
        <v>0.15</v>
      </c>
    </row>
    <row r="85" spans="1:30" x14ac:dyDescent="0.25">
      <c r="A85">
        <v>439</v>
      </c>
      <c r="B85">
        <v>17</v>
      </c>
      <c r="C85">
        <v>0</v>
      </c>
      <c r="D85">
        <v>14</v>
      </c>
      <c r="E85">
        <v>8</v>
      </c>
      <c r="F85">
        <v>5</v>
      </c>
      <c r="G85">
        <v>8</v>
      </c>
      <c r="H85">
        <v>41</v>
      </c>
      <c r="I85">
        <v>17.7</v>
      </c>
      <c r="J85">
        <v>16.899999999999999</v>
      </c>
      <c r="K85">
        <v>17.8</v>
      </c>
      <c r="L85">
        <v>17.8</v>
      </c>
      <c r="M85">
        <v>20.9</v>
      </c>
      <c r="N85">
        <v>23.4</v>
      </c>
      <c r="O85">
        <v>23.1</v>
      </c>
      <c r="P85">
        <v>20.6</v>
      </c>
      <c r="Q85">
        <v>18</v>
      </c>
      <c r="R85">
        <v>13.6</v>
      </c>
      <c r="S85">
        <f t="shared" si="5"/>
        <v>17</v>
      </c>
      <c r="T85" t="s">
        <v>33</v>
      </c>
      <c r="U85">
        <f t="shared" si="6"/>
        <v>0.17699999999999999</v>
      </c>
      <c r="V85">
        <f t="shared" si="4"/>
        <v>0.16899999999999998</v>
      </c>
      <c r="W85">
        <f t="shared" si="4"/>
        <v>0.17800000000000002</v>
      </c>
      <c r="X85">
        <f t="shared" si="4"/>
        <v>0.17800000000000002</v>
      </c>
      <c r="Y85">
        <f t="shared" si="4"/>
        <v>0.20899999999999999</v>
      </c>
      <c r="Z85">
        <f t="shared" si="4"/>
        <v>0.23399999999999999</v>
      </c>
      <c r="AA85">
        <f t="shared" si="4"/>
        <v>0.23100000000000001</v>
      </c>
      <c r="AB85">
        <f t="shared" si="4"/>
        <v>0.20600000000000002</v>
      </c>
      <c r="AC85">
        <f t="shared" si="4"/>
        <v>0.18</v>
      </c>
      <c r="AD85">
        <f t="shared" si="4"/>
        <v>0.13600000000000001</v>
      </c>
    </row>
    <row r="86" spans="1:30" x14ac:dyDescent="0.25">
      <c r="A86">
        <v>438</v>
      </c>
      <c r="B86">
        <v>18</v>
      </c>
      <c r="C86">
        <v>0</v>
      </c>
      <c r="D86">
        <v>14</v>
      </c>
      <c r="E86">
        <v>8</v>
      </c>
      <c r="F86">
        <v>5</v>
      </c>
      <c r="G86">
        <v>8</v>
      </c>
      <c r="H86">
        <v>54</v>
      </c>
      <c r="I86">
        <v>19.3</v>
      </c>
      <c r="J86">
        <v>17.3</v>
      </c>
      <c r="K86">
        <v>25.4</v>
      </c>
      <c r="L86">
        <v>27.2</v>
      </c>
      <c r="M86">
        <v>22</v>
      </c>
      <c r="N86">
        <v>22.4</v>
      </c>
      <c r="O86">
        <v>20.399999999999999</v>
      </c>
      <c r="P86">
        <v>18.899999999999999</v>
      </c>
      <c r="Q86">
        <v>14.4</v>
      </c>
      <c r="R86">
        <v>7.5</v>
      </c>
      <c r="S86">
        <f t="shared" si="5"/>
        <v>18</v>
      </c>
      <c r="T86" t="s">
        <v>34</v>
      </c>
      <c r="U86">
        <f t="shared" si="6"/>
        <v>0.193</v>
      </c>
      <c r="V86">
        <f t="shared" si="4"/>
        <v>0.17300000000000001</v>
      </c>
      <c r="W86">
        <f t="shared" si="4"/>
        <v>0.254</v>
      </c>
      <c r="X86">
        <f t="shared" si="4"/>
        <v>0.27200000000000002</v>
      </c>
      <c r="Y86">
        <f t="shared" si="4"/>
        <v>0.22</v>
      </c>
      <c r="Z86">
        <f t="shared" si="4"/>
        <v>0.22399999999999998</v>
      </c>
      <c r="AA86">
        <f t="shared" si="4"/>
        <v>0.20399999999999999</v>
      </c>
      <c r="AB86">
        <f t="shared" si="4"/>
        <v>0.18899999999999997</v>
      </c>
      <c r="AC86">
        <f t="shared" si="4"/>
        <v>0.14400000000000002</v>
      </c>
      <c r="AD86">
        <f t="shared" si="4"/>
        <v>7.4999999999999997E-2</v>
      </c>
    </row>
    <row r="87" spans="1:30" x14ac:dyDescent="0.25">
      <c r="A87">
        <v>437</v>
      </c>
      <c r="B87">
        <v>19</v>
      </c>
      <c r="C87">
        <v>0</v>
      </c>
      <c r="D87">
        <v>14</v>
      </c>
      <c r="E87">
        <v>8</v>
      </c>
      <c r="F87">
        <v>5</v>
      </c>
      <c r="G87">
        <v>8</v>
      </c>
      <c r="H87">
        <v>51</v>
      </c>
      <c r="I87">
        <v>23.7</v>
      </c>
      <c r="J87">
        <v>21.1</v>
      </c>
      <c r="K87">
        <v>30.6</v>
      </c>
      <c r="L87">
        <v>19.899999999999999</v>
      </c>
      <c r="M87">
        <v>20.399999999999999</v>
      </c>
      <c r="N87">
        <v>21.2</v>
      </c>
      <c r="O87">
        <v>20.3</v>
      </c>
      <c r="P87">
        <v>17.7</v>
      </c>
      <c r="Q87">
        <v>15.8</v>
      </c>
      <c r="R87">
        <v>10.6</v>
      </c>
      <c r="S87">
        <f t="shared" si="5"/>
        <v>19</v>
      </c>
      <c r="T87" t="s">
        <v>65</v>
      </c>
      <c r="U87">
        <f t="shared" si="6"/>
        <v>0.23699999999999999</v>
      </c>
      <c r="V87">
        <f t="shared" si="4"/>
        <v>0.21100000000000002</v>
      </c>
      <c r="W87">
        <f t="shared" si="4"/>
        <v>0.30599999999999999</v>
      </c>
      <c r="X87">
        <f t="shared" si="4"/>
        <v>0.19899999999999998</v>
      </c>
      <c r="Y87">
        <f t="shared" si="4"/>
        <v>0.20399999999999999</v>
      </c>
      <c r="Z87">
        <f t="shared" si="4"/>
        <v>0.21199999999999999</v>
      </c>
      <c r="AA87">
        <f t="shared" si="4"/>
        <v>0.20300000000000001</v>
      </c>
      <c r="AB87">
        <f t="shared" si="4"/>
        <v>0.17699999999999999</v>
      </c>
      <c r="AC87">
        <f t="shared" si="4"/>
        <v>0.158</v>
      </c>
      <c r="AD87">
        <f t="shared" si="4"/>
        <v>0.106</v>
      </c>
    </row>
    <row r="88" spans="1:30" x14ac:dyDescent="0.25">
      <c r="A88">
        <v>436</v>
      </c>
      <c r="B88">
        <v>20</v>
      </c>
      <c r="C88">
        <v>0</v>
      </c>
      <c r="D88">
        <v>14</v>
      </c>
      <c r="E88">
        <v>8</v>
      </c>
      <c r="F88">
        <v>5</v>
      </c>
      <c r="G88">
        <v>9</v>
      </c>
      <c r="H88">
        <v>3</v>
      </c>
      <c r="I88">
        <v>15.9</v>
      </c>
      <c r="J88">
        <v>16.5</v>
      </c>
      <c r="K88">
        <v>25.1</v>
      </c>
      <c r="L88">
        <v>22</v>
      </c>
      <c r="M88">
        <v>23.7</v>
      </c>
      <c r="N88">
        <v>23.8</v>
      </c>
      <c r="O88">
        <v>22.9</v>
      </c>
      <c r="P88">
        <v>17.100000000000001</v>
      </c>
      <c r="Q88">
        <v>15.1</v>
      </c>
      <c r="R88">
        <v>10.199999999999999</v>
      </c>
      <c r="S88">
        <f t="shared" si="5"/>
        <v>20</v>
      </c>
      <c r="T88" t="s">
        <v>66</v>
      </c>
      <c r="U88">
        <f t="shared" si="6"/>
        <v>0.159</v>
      </c>
      <c r="V88">
        <f t="shared" si="4"/>
        <v>0.16500000000000001</v>
      </c>
      <c r="W88">
        <f t="shared" si="4"/>
        <v>0.251</v>
      </c>
      <c r="X88">
        <f t="shared" si="4"/>
        <v>0.22</v>
      </c>
      <c r="Y88">
        <f t="shared" si="4"/>
        <v>0.23699999999999999</v>
      </c>
      <c r="Z88">
        <f t="shared" si="4"/>
        <v>0.23800000000000002</v>
      </c>
      <c r="AA88">
        <f t="shared" si="4"/>
        <v>0.22899999999999998</v>
      </c>
      <c r="AB88">
        <f t="shared" si="4"/>
        <v>0.17100000000000001</v>
      </c>
      <c r="AC88">
        <f t="shared" si="4"/>
        <v>0.151</v>
      </c>
      <c r="AD88">
        <f t="shared" si="4"/>
        <v>0.10199999999999999</v>
      </c>
    </row>
    <row r="89" spans="1:30" x14ac:dyDescent="0.25">
      <c r="A89">
        <v>435</v>
      </c>
      <c r="B89">
        <v>21</v>
      </c>
      <c r="C89">
        <v>0</v>
      </c>
      <c r="D89">
        <v>14</v>
      </c>
      <c r="E89">
        <v>8</v>
      </c>
      <c r="F89">
        <v>5</v>
      </c>
      <c r="G89">
        <v>9</v>
      </c>
      <c r="H89">
        <v>0</v>
      </c>
      <c r="I89">
        <v>21.6</v>
      </c>
      <c r="J89">
        <v>21.4</v>
      </c>
      <c r="K89">
        <v>20.6</v>
      </c>
      <c r="L89">
        <v>21.4</v>
      </c>
      <c r="M89">
        <v>22.6</v>
      </c>
      <c r="N89">
        <v>20.100000000000001</v>
      </c>
      <c r="O89">
        <v>19.600000000000001</v>
      </c>
      <c r="P89">
        <v>21.9</v>
      </c>
      <c r="Q89">
        <v>19.3</v>
      </c>
      <c r="R89">
        <v>11.9</v>
      </c>
      <c r="S89">
        <f t="shared" si="5"/>
        <v>21</v>
      </c>
      <c r="T89" t="s">
        <v>67</v>
      </c>
      <c r="U89">
        <f t="shared" si="6"/>
        <v>0.21600000000000003</v>
      </c>
      <c r="V89">
        <f t="shared" si="4"/>
        <v>0.214</v>
      </c>
      <c r="W89">
        <f t="shared" si="4"/>
        <v>0.20600000000000002</v>
      </c>
      <c r="X89">
        <f t="shared" si="4"/>
        <v>0.214</v>
      </c>
      <c r="Y89">
        <f t="shared" si="4"/>
        <v>0.22600000000000001</v>
      </c>
      <c r="Z89">
        <f t="shared" si="4"/>
        <v>0.20100000000000001</v>
      </c>
      <c r="AA89">
        <f t="shared" si="4"/>
        <v>0.19600000000000001</v>
      </c>
      <c r="AB89">
        <f t="shared" si="4"/>
        <v>0.21899999999999997</v>
      </c>
      <c r="AC89">
        <f t="shared" si="4"/>
        <v>0.193</v>
      </c>
      <c r="AD89">
        <f t="shared" si="4"/>
        <v>0.11900000000000001</v>
      </c>
    </row>
    <row r="90" spans="1:30" x14ac:dyDescent="0.25">
      <c r="A90">
        <v>434</v>
      </c>
      <c r="B90">
        <v>22</v>
      </c>
      <c r="C90">
        <v>0</v>
      </c>
      <c r="D90">
        <v>14</v>
      </c>
      <c r="E90">
        <v>8</v>
      </c>
      <c r="F90">
        <v>5</v>
      </c>
      <c r="G90">
        <v>9</v>
      </c>
      <c r="H90">
        <v>13</v>
      </c>
      <c r="I90">
        <v>19.2</v>
      </c>
      <c r="J90">
        <v>18</v>
      </c>
      <c r="K90">
        <v>20.3</v>
      </c>
      <c r="L90">
        <v>20.100000000000001</v>
      </c>
      <c r="M90">
        <v>22.9</v>
      </c>
      <c r="N90">
        <v>24.9</v>
      </c>
      <c r="O90">
        <v>23.7</v>
      </c>
      <c r="P90">
        <v>23.2</v>
      </c>
      <c r="Q90">
        <v>20.3</v>
      </c>
      <c r="R90">
        <v>14.9</v>
      </c>
      <c r="S90">
        <f t="shared" si="5"/>
        <v>22</v>
      </c>
      <c r="T90" t="s">
        <v>68</v>
      </c>
      <c r="U90">
        <f t="shared" si="6"/>
        <v>0.192</v>
      </c>
      <c r="V90">
        <f t="shared" si="4"/>
        <v>0.18</v>
      </c>
      <c r="W90">
        <f t="shared" si="4"/>
        <v>0.20300000000000001</v>
      </c>
      <c r="X90">
        <f t="shared" si="4"/>
        <v>0.20100000000000001</v>
      </c>
      <c r="Y90">
        <f t="shared" si="4"/>
        <v>0.22899999999999998</v>
      </c>
      <c r="Z90">
        <f t="shared" si="4"/>
        <v>0.249</v>
      </c>
      <c r="AA90">
        <f t="shared" si="4"/>
        <v>0.23699999999999999</v>
      </c>
      <c r="AB90">
        <f t="shared" si="4"/>
        <v>0.23199999999999998</v>
      </c>
      <c r="AC90">
        <f t="shared" si="4"/>
        <v>0.20300000000000001</v>
      </c>
      <c r="AD90">
        <f t="shared" si="4"/>
        <v>0.14899999999999999</v>
      </c>
    </row>
    <row r="91" spans="1:30" x14ac:dyDescent="0.25">
      <c r="A91">
        <v>433</v>
      </c>
      <c r="B91">
        <v>23</v>
      </c>
      <c r="C91">
        <v>0</v>
      </c>
      <c r="D91">
        <v>14</v>
      </c>
      <c r="E91">
        <v>8</v>
      </c>
      <c r="F91">
        <v>5</v>
      </c>
      <c r="G91">
        <v>9</v>
      </c>
      <c r="H91">
        <v>17</v>
      </c>
      <c r="I91">
        <v>17.8</v>
      </c>
      <c r="J91">
        <v>20.2</v>
      </c>
      <c r="K91">
        <v>22.6</v>
      </c>
      <c r="L91">
        <v>23.5</v>
      </c>
      <c r="M91">
        <v>22.4</v>
      </c>
      <c r="N91">
        <v>20.9</v>
      </c>
      <c r="O91">
        <v>21.5</v>
      </c>
      <c r="P91">
        <v>20.2</v>
      </c>
      <c r="Q91">
        <v>18.5</v>
      </c>
      <c r="R91">
        <v>14.6</v>
      </c>
      <c r="S91">
        <f t="shared" si="5"/>
        <v>23</v>
      </c>
      <c r="T91" t="s">
        <v>69</v>
      </c>
      <c r="U91">
        <f t="shared" si="6"/>
        <v>0.17800000000000002</v>
      </c>
      <c r="V91">
        <f t="shared" si="4"/>
        <v>0.20199999999999999</v>
      </c>
      <c r="W91">
        <f t="shared" si="4"/>
        <v>0.22600000000000001</v>
      </c>
      <c r="X91">
        <f t="shared" si="4"/>
        <v>0.23499999999999999</v>
      </c>
      <c r="Y91">
        <f t="shared" si="4"/>
        <v>0.22399999999999998</v>
      </c>
      <c r="Z91">
        <f t="shared" si="4"/>
        <v>0.20899999999999999</v>
      </c>
      <c r="AA91">
        <f t="shared" si="4"/>
        <v>0.215</v>
      </c>
      <c r="AB91">
        <f t="shared" si="4"/>
        <v>0.20199999999999999</v>
      </c>
      <c r="AC91">
        <f t="shared" si="4"/>
        <v>0.185</v>
      </c>
      <c r="AD91">
        <f t="shared" si="4"/>
        <v>0.14599999999999999</v>
      </c>
    </row>
    <row r="92" spans="1:30" x14ac:dyDescent="0.25">
      <c r="A92">
        <v>432</v>
      </c>
      <c r="B92">
        <v>24</v>
      </c>
      <c r="C92">
        <v>0</v>
      </c>
      <c r="D92">
        <v>14</v>
      </c>
      <c r="E92">
        <v>8</v>
      </c>
      <c r="F92">
        <v>5</v>
      </c>
      <c r="G92">
        <v>9</v>
      </c>
      <c r="H92">
        <v>23</v>
      </c>
      <c r="I92">
        <v>18</v>
      </c>
      <c r="J92">
        <v>17.7</v>
      </c>
      <c r="K92">
        <v>22.4</v>
      </c>
      <c r="L92">
        <v>23.4</v>
      </c>
      <c r="M92">
        <v>23.2</v>
      </c>
      <c r="N92">
        <v>22.3</v>
      </c>
      <c r="O92">
        <v>24.1</v>
      </c>
      <c r="P92">
        <v>21.3</v>
      </c>
      <c r="Q92">
        <v>19.899999999999999</v>
      </c>
      <c r="R92">
        <v>13.2</v>
      </c>
      <c r="S92">
        <f t="shared" si="5"/>
        <v>24</v>
      </c>
      <c r="T92" t="s">
        <v>70</v>
      </c>
      <c r="U92">
        <f t="shared" si="6"/>
        <v>0.18</v>
      </c>
      <c r="V92">
        <f t="shared" si="4"/>
        <v>0.17699999999999999</v>
      </c>
      <c r="W92">
        <f t="shared" si="4"/>
        <v>0.22399999999999998</v>
      </c>
      <c r="X92">
        <f t="shared" si="4"/>
        <v>0.23399999999999999</v>
      </c>
      <c r="Y92">
        <f t="shared" si="4"/>
        <v>0.23199999999999998</v>
      </c>
      <c r="Z92">
        <f t="shared" si="4"/>
        <v>0.223</v>
      </c>
      <c r="AA92">
        <f t="shared" si="4"/>
        <v>0.24100000000000002</v>
      </c>
      <c r="AB92">
        <f t="shared" si="4"/>
        <v>0.21299999999999999</v>
      </c>
      <c r="AC92">
        <f t="shared" si="4"/>
        <v>0.19899999999999998</v>
      </c>
      <c r="AD92">
        <f t="shared" si="4"/>
        <v>0.13200000000000001</v>
      </c>
    </row>
    <row r="93" spans="1:30" x14ac:dyDescent="0.25">
      <c r="A93">
        <v>431</v>
      </c>
      <c r="B93">
        <v>25</v>
      </c>
      <c r="C93">
        <v>0</v>
      </c>
      <c r="D93">
        <v>14</v>
      </c>
      <c r="E93">
        <v>8</v>
      </c>
      <c r="F93">
        <v>5</v>
      </c>
      <c r="G93">
        <v>9</v>
      </c>
      <c r="H93">
        <v>30</v>
      </c>
      <c r="I93">
        <v>-5.9</v>
      </c>
      <c r="J93">
        <v>20.7</v>
      </c>
      <c r="K93">
        <v>24.4</v>
      </c>
      <c r="L93">
        <v>24.7</v>
      </c>
      <c r="M93">
        <v>24.3</v>
      </c>
      <c r="N93">
        <v>23</v>
      </c>
      <c r="O93">
        <v>19.8</v>
      </c>
      <c r="P93">
        <v>17.3</v>
      </c>
      <c r="Q93">
        <v>20.100000000000001</v>
      </c>
      <c r="R93">
        <v>12</v>
      </c>
      <c r="S93">
        <f t="shared" si="5"/>
        <v>25</v>
      </c>
      <c r="T93" t="s">
        <v>71</v>
      </c>
      <c r="U93" t="str">
        <f t="shared" si="6"/>
        <v/>
      </c>
      <c r="V93">
        <f t="shared" si="4"/>
        <v>0.20699999999999999</v>
      </c>
      <c r="W93">
        <f t="shared" si="4"/>
        <v>0.24399999999999999</v>
      </c>
      <c r="X93">
        <f t="shared" si="4"/>
        <v>0.247</v>
      </c>
      <c r="Y93">
        <f t="shared" si="4"/>
        <v>0.24299999999999999</v>
      </c>
      <c r="Z93">
        <f t="shared" si="4"/>
        <v>0.23</v>
      </c>
      <c r="AA93">
        <f t="shared" si="4"/>
        <v>0.19800000000000001</v>
      </c>
      <c r="AB93">
        <f t="shared" si="4"/>
        <v>0.17300000000000001</v>
      </c>
      <c r="AC93">
        <f t="shared" si="4"/>
        <v>0.20100000000000001</v>
      </c>
      <c r="AD93">
        <f t="shared" si="4"/>
        <v>0.12</v>
      </c>
    </row>
    <row r="94" spans="1:30" x14ac:dyDescent="0.25">
      <c r="A94">
        <v>430</v>
      </c>
      <c r="B94">
        <v>26</v>
      </c>
      <c r="C94">
        <v>0</v>
      </c>
      <c r="D94">
        <v>14</v>
      </c>
      <c r="E94">
        <v>8</v>
      </c>
      <c r="F94">
        <v>5</v>
      </c>
      <c r="G94">
        <v>9</v>
      </c>
      <c r="H94">
        <v>34</v>
      </c>
      <c r="I94">
        <v>-5.9</v>
      </c>
      <c r="J94">
        <v>17.899999999999999</v>
      </c>
      <c r="K94">
        <v>19.7</v>
      </c>
      <c r="L94">
        <v>21.5</v>
      </c>
      <c r="M94">
        <v>22.2</v>
      </c>
      <c r="N94">
        <v>19</v>
      </c>
      <c r="O94">
        <v>18.7</v>
      </c>
      <c r="P94">
        <v>19.5</v>
      </c>
      <c r="Q94">
        <v>17.7</v>
      </c>
      <c r="R94">
        <v>12.8</v>
      </c>
      <c r="S94">
        <f t="shared" si="5"/>
        <v>26</v>
      </c>
      <c r="T94" t="s">
        <v>74</v>
      </c>
      <c r="U94" t="str">
        <f t="shared" si="6"/>
        <v/>
      </c>
      <c r="V94">
        <f t="shared" si="4"/>
        <v>0.17899999999999999</v>
      </c>
      <c r="W94">
        <f t="shared" si="4"/>
        <v>0.19699999999999998</v>
      </c>
      <c r="X94">
        <f t="shared" si="4"/>
        <v>0.215</v>
      </c>
      <c r="Y94">
        <f t="shared" si="4"/>
        <v>0.222</v>
      </c>
      <c r="Z94">
        <f t="shared" si="4"/>
        <v>0.19</v>
      </c>
      <c r="AA94">
        <f t="shared" si="4"/>
        <v>0.187</v>
      </c>
      <c r="AB94">
        <f t="shared" si="4"/>
        <v>0.19500000000000001</v>
      </c>
      <c r="AC94">
        <f t="shared" si="4"/>
        <v>0.17699999999999999</v>
      </c>
      <c r="AD94">
        <f t="shared" si="4"/>
        <v>0.128</v>
      </c>
    </row>
    <row r="95" spans="1:30" x14ac:dyDescent="0.25">
      <c r="A95">
        <v>429</v>
      </c>
      <c r="B95">
        <v>27</v>
      </c>
      <c r="C95">
        <v>0</v>
      </c>
      <c r="D95">
        <v>14</v>
      </c>
      <c r="E95">
        <v>8</v>
      </c>
      <c r="F95">
        <v>5</v>
      </c>
      <c r="G95">
        <v>9</v>
      </c>
      <c r="H95">
        <v>31</v>
      </c>
      <c r="I95">
        <v>-5.9</v>
      </c>
      <c r="J95">
        <v>19.3</v>
      </c>
      <c r="K95">
        <v>15.9</v>
      </c>
      <c r="L95">
        <v>24.3</v>
      </c>
      <c r="M95">
        <v>22</v>
      </c>
      <c r="N95">
        <v>17.5</v>
      </c>
      <c r="O95">
        <v>19.399999999999999</v>
      </c>
      <c r="P95">
        <v>20.5</v>
      </c>
      <c r="Q95">
        <v>19.3</v>
      </c>
      <c r="R95">
        <v>13.7</v>
      </c>
      <c r="S95">
        <f t="shared" si="5"/>
        <v>27</v>
      </c>
      <c r="T95" t="s">
        <v>75</v>
      </c>
      <c r="U95" t="str">
        <f t="shared" si="6"/>
        <v/>
      </c>
      <c r="V95">
        <f t="shared" si="4"/>
        <v>0.193</v>
      </c>
      <c r="W95">
        <f t="shared" si="4"/>
        <v>0.159</v>
      </c>
      <c r="X95">
        <f t="shared" si="4"/>
        <v>0.24299999999999999</v>
      </c>
      <c r="Y95">
        <f t="shared" si="4"/>
        <v>0.22</v>
      </c>
      <c r="Z95">
        <f t="shared" si="4"/>
        <v>0.17499999999999999</v>
      </c>
      <c r="AA95">
        <f t="shared" si="4"/>
        <v>0.19399999999999998</v>
      </c>
      <c r="AB95">
        <f t="shared" si="4"/>
        <v>0.20499999999999999</v>
      </c>
      <c r="AC95">
        <f t="shared" si="4"/>
        <v>0.193</v>
      </c>
      <c r="AD95">
        <f t="shared" si="4"/>
        <v>0.13699999999999998</v>
      </c>
    </row>
    <row r="96" spans="1:30" x14ac:dyDescent="0.25">
      <c r="A96">
        <v>428</v>
      </c>
      <c r="B96">
        <v>28</v>
      </c>
      <c r="C96">
        <v>0</v>
      </c>
      <c r="D96">
        <v>14</v>
      </c>
      <c r="E96">
        <v>8</v>
      </c>
      <c r="F96">
        <v>5</v>
      </c>
      <c r="G96">
        <v>9</v>
      </c>
      <c r="H96">
        <v>43</v>
      </c>
      <c r="I96">
        <v>-5.9</v>
      </c>
      <c r="J96">
        <v>-5.9</v>
      </c>
      <c r="K96">
        <v>17.2</v>
      </c>
      <c r="L96">
        <v>19.5</v>
      </c>
      <c r="M96">
        <v>24</v>
      </c>
      <c r="N96">
        <v>23.3</v>
      </c>
      <c r="O96">
        <v>21.4</v>
      </c>
      <c r="P96">
        <v>22.4</v>
      </c>
      <c r="Q96">
        <v>20.2</v>
      </c>
      <c r="R96">
        <v>14.7</v>
      </c>
      <c r="S96">
        <f t="shared" si="5"/>
        <v>28</v>
      </c>
      <c r="T96" t="s">
        <v>76</v>
      </c>
      <c r="U96" t="str">
        <f t="shared" si="6"/>
        <v/>
      </c>
      <c r="V96" t="str">
        <f t="shared" si="4"/>
        <v/>
      </c>
      <c r="W96">
        <f t="shared" si="4"/>
        <v>0.17199999999999999</v>
      </c>
      <c r="X96">
        <f t="shared" si="4"/>
        <v>0.19500000000000001</v>
      </c>
      <c r="Y96">
        <f t="shared" si="4"/>
        <v>0.24</v>
      </c>
      <c r="Z96">
        <f t="shared" si="4"/>
        <v>0.23300000000000001</v>
      </c>
      <c r="AA96">
        <f t="shared" si="4"/>
        <v>0.214</v>
      </c>
      <c r="AB96">
        <f t="shared" si="4"/>
        <v>0.22399999999999998</v>
      </c>
      <c r="AC96">
        <f t="shared" si="4"/>
        <v>0.20199999999999999</v>
      </c>
      <c r="AD96">
        <f t="shared" si="4"/>
        <v>0.14699999999999999</v>
      </c>
    </row>
    <row r="97" spans="1:30" x14ac:dyDescent="0.25">
      <c r="A97">
        <v>427</v>
      </c>
      <c r="B97">
        <v>29</v>
      </c>
      <c r="C97">
        <v>0</v>
      </c>
      <c r="D97">
        <v>14</v>
      </c>
      <c r="E97">
        <v>8</v>
      </c>
      <c r="F97">
        <v>5</v>
      </c>
      <c r="G97">
        <v>9</v>
      </c>
      <c r="H97">
        <v>40</v>
      </c>
      <c r="I97">
        <v>23</v>
      </c>
      <c r="J97">
        <v>31.4</v>
      </c>
      <c r="K97">
        <v>21.7</v>
      </c>
      <c r="L97">
        <v>22.7</v>
      </c>
      <c r="M97">
        <v>25.6</v>
      </c>
      <c r="N97">
        <v>26.3</v>
      </c>
      <c r="O97">
        <v>26.9</v>
      </c>
      <c r="P97">
        <v>21.4</v>
      </c>
      <c r="Q97">
        <v>21.9</v>
      </c>
      <c r="R97">
        <v>12.6</v>
      </c>
      <c r="S97">
        <f t="shared" si="5"/>
        <v>29</v>
      </c>
      <c r="T97" t="s">
        <v>53</v>
      </c>
      <c r="U97">
        <f t="shared" si="6"/>
        <v>0.23</v>
      </c>
      <c r="V97">
        <f t="shared" si="4"/>
        <v>0.314</v>
      </c>
      <c r="W97">
        <f t="shared" si="4"/>
        <v>0.217</v>
      </c>
      <c r="X97">
        <f t="shared" si="4"/>
        <v>0.22699999999999998</v>
      </c>
      <c r="Y97">
        <f t="shared" ref="Y97:Y98" si="7">IF(M97&lt;0,"",M97/100)</f>
        <v>0.25600000000000001</v>
      </c>
      <c r="Z97">
        <f t="shared" ref="Z97:Z98" si="8">IF(N97&lt;0,"",N97/100)</f>
        <v>0.26300000000000001</v>
      </c>
      <c r="AA97">
        <f t="shared" ref="AA97:AA98" si="9">IF(O97&lt;0,"",O97/100)</f>
        <v>0.26899999999999996</v>
      </c>
      <c r="AB97">
        <f t="shared" ref="AB97:AB98" si="10">IF(P97&lt;0,"",P97/100)</f>
        <v>0.214</v>
      </c>
      <c r="AC97">
        <f t="shared" ref="AC97:AC98" si="11">IF(Q97&lt;0,"",Q97/100)</f>
        <v>0.21899999999999997</v>
      </c>
      <c r="AD97">
        <f t="shared" ref="AD97:AD98" si="12">IF(R97&lt;0,"",R97/100)</f>
        <v>0.126</v>
      </c>
    </row>
    <row r="98" spans="1:30" x14ac:dyDescent="0.25">
      <c r="A98">
        <v>426</v>
      </c>
      <c r="B98">
        <v>30</v>
      </c>
      <c r="C98">
        <v>0</v>
      </c>
      <c r="D98">
        <v>14</v>
      </c>
      <c r="E98">
        <v>8</v>
      </c>
      <c r="F98">
        <v>5</v>
      </c>
      <c r="G98">
        <v>9</v>
      </c>
      <c r="H98">
        <v>53</v>
      </c>
      <c r="I98">
        <v>-5.9</v>
      </c>
      <c r="J98">
        <v>23.9</v>
      </c>
      <c r="K98">
        <v>26.1</v>
      </c>
      <c r="L98">
        <v>22.8</v>
      </c>
      <c r="M98">
        <v>22</v>
      </c>
      <c r="N98">
        <v>22.5</v>
      </c>
      <c r="O98">
        <v>18.5</v>
      </c>
      <c r="P98">
        <v>19.7</v>
      </c>
      <c r="Q98">
        <v>14.3</v>
      </c>
      <c r="R98">
        <v>9</v>
      </c>
      <c r="S98">
        <f t="shared" si="5"/>
        <v>30</v>
      </c>
      <c r="T98" t="s">
        <v>77</v>
      </c>
      <c r="U98" t="str">
        <f t="shared" si="6"/>
        <v/>
      </c>
      <c r="V98">
        <f t="shared" ref="V98" si="13">IF(J98&lt;0,"",J98/100)</f>
        <v>0.23899999999999999</v>
      </c>
      <c r="W98">
        <f t="shared" ref="W98" si="14">IF(K98&lt;0,"",K98/100)</f>
        <v>0.26100000000000001</v>
      </c>
      <c r="X98">
        <f t="shared" ref="X98" si="15">IF(L98&lt;0,"",L98/100)</f>
        <v>0.22800000000000001</v>
      </c>
      <c r="Y98">
        <f t="shared" si="7"/>
        <v>0.22</v>
      </c>
      <c r="Z98">
        <f t="shared" si="8"/>
        <v>0.22500000000000001</v>
      </c>
      <c r="AA98">
        <f t="shared" si="9"/>
        <v>0.185</v>
      </c>
      <c r="AB98">
        <f t="shared" si="10"/>
        <v>0.19699999999999998</v>
      </c>
      <c r="AC98">
        <f t="shared" si="11"/>
        <v>0.14300000000000002</v>
      </c>
      <c r="AD98">
        <f t="shared" si="12"/>
        <v>0.09</v>
      </c>
    </row>
    <row r="99" spans="1:30" x14ac:dyDescent="0.25">
      <c r="A99">
        <v>425</v>
      </c>
      <c r="B99">
        <v>31</v>
      </c>
      <c r="C99">
        <v>0</v>
      </c>
      <c r="D99">
        <v>14</v>
      </c>
      <c r="E99">
        <v>8</v>
      </c>
      <c r="F99">
        <v>5</v>
      </c>
      <c r="G99">
        <v>9</v>
      </c>
      <c r="H99">
        <v>50</v>
      </c>
      <c r="I99">
        <v>-5.9</v>
      </c>
      <c r="J99">
        <v>-5.9</v>
      </c>
      <c r="K99">
        <v>21.9</v>
      </c>
      <c r="L99">
        <v>20.9</v>
      </c>
      <c r="M99">
        <v>22.9</v>
      </c>
      <c r="N99">
        <v>21.7</v>
      </c>
      <c r="O99">
        <v>19.2</v>
      </c>
      <c r="P99">
        <v>18.8</v>
      </c>
      <c r="Q99">
        <v>15.6</v>
      </c>
      <c r="R99">
        <v>6.8</v>
      </c>
      <c r="S99">
        <f t="shared" si="5"/>
        <v>31</v>
      </c>
      <c r="T99" t="s">
        <v>54</v>
      </c>
      <c r="U99" t="str">
        <f t="shared" ref="U99:U104" si="16">IF(I99&lt;0,"",I99/100)</f>
        <v/>
      </c>
      <c r="V99" t="str">
        <f t="shared" ref="V99:V104" si="17">IF(J99&lt;0,"",J99/100)</f>
        <v/>
      </c>
      <c r="W99">
        <f t="shared" ref="W99:W104" si="18">IF(K99&lt;0,"",K99/100)</f>
        <v>0.21899999999999997</v>
      </c>
      <c r="X99">
        <f t="shared" ref="X99:X104" si="19">IF(L99&lt;0,"",L99/100)</f>
        <v>0.20899999999999999</v>
      </c>
      <c r="Y99">
        <f t="shared" ref="Y99:Y104" si="20">IF(M99&lt;0,"",M99/100)</f>
        <v>0.22899999999999998</v>
      </c>
      <c r="Z99">
        <f t="shared" ref="Z99:Z104" si="21">IF(N99&lt;0,"",N99/100)</f>
        <v>0.217</v>
      </c>
      <c r="AA99">
        <f t="shared" ref="AA99:AA104" si="22">IF(O99&lt;0,"",O99/100)</f>
        <v>0.192</v>
      </c>
      <c r="AB99">
        <f t="shared" ref="AB99:AB104" si="23">IF(P99&lt;0,"",P99/100)</f>
        <v>0.188</v>
      </c>
      <c r="AC99">
        <f t="shared" ref="AC99:AC104" si="24">IF(Q99&lt;0,"",Q99/100)</f>
        <v>0.156</v>
      </c>
      <c r="AD99">
        <f t="shared" ref="AD99:AD104" si="25">IF(R99&lt;0,"",R99/100)</f>
        <v>6.8000000000000005E-2</v>
      </c>
    </row>
    <row r="100" spans="1:30" x14ac:dyDescent="0.25">
      <c r="A100">
        <v>424</v>
      </c>
      <c r="B100">
        <v>32</v>
      </c>
      <c r="C100">
        <v>0</v>
      </c>
      <c r="D100">
        <v>14</v>
      </c>
      <c r="E100">
        <v>8</v>
      </c>
      <c r="F100">
        <v>5</v>
      </c>
      <c r="G100">
        <v>10</v>
      </c>
      <c r="H100">
        <v>2</v>
      </c>
      <c r="I100">
        <v>-5.9</v>
      </c>
      <c r="J100">
        <v>-5.9</v>
      </c>
      <c r="K100">
        <v>20.6</v>
      </c>
      <c r="L100">
        <v>21.8</v>
      </c>
      <c r="M100">
        <v>23</v>
      </c>
      <c r="N100">
        <v>21</v>
      </c>
      <c r="O100">
        <v>18.5</v>
      </c>
      <c r="P100">
        <v>15.8</v>
      </c>
      <c r="Q100">
        <v>14.5</v>
      </c>
      <c r="R100">
        <v>8.4</v>
      </c>
      <c r="S100">
        <f t="shared" si="5"/>
        <v>32</v>
      </c>
      <c r="T100" t="s">
        <v>78</v>
      </c>
      <c r="U100" t="str">
        <f t="shared" si="16"/>
        <v/>
      </c>
      <c r="V100" t="str">
        <f t="shared" si="17"/>
        <v/>
      </c>
      <c r="W100">
        <f t="shared" si="18"/>
        <v>0.20600000000000002</v>
      </c>
      <c r="X100">
        <f t="shared" si="19"/>
        <v>0.218</v>
      </c>
      <c r="Y100">
        <f t="shared" si="20"/>
        <v>0.23</v>
      </c>
      <c r="Z100">
        <f t="shared" si="21"/>
        <v>0.21</v>
      </c>
      <c r="AA100">
        <f t="shared" si="22"/>
        <v>0.185</v>
      </c>
      <c r="AB100">
        <f t="shared" si="23"/>
        <v>0.158</v>
      </c>
      <c r="AC100">
        <f t="shared" si="24"/>
        <v>0.14499999999999999</v>
      </c>
      <c r="AD100">
        <f t="shared" si="25"/>
        <v>8.4000000000000005E-2</v>
      </c>
    </row>
    <row r="101" spans="1:30" x14ac:dyDescent="0.25">
      <c r="A101">
        <v>423</v>
      </c>
      <c r="B101">
        <v>33</v>
      </c>
      <c r="C101">
        <v>0</v>
      </c>
      <c r="D101">
        <v>14</v>
      </c>
      <c r="E101">
        <v>8</v>
      </c>
      <c r="F101">
        <v>5</v>
      </c>
      <c r="G101">
        <v>10</v>
      </c>
      <c r="H101">
        <v>6</v>
      </c>
      <c r="I101">
        <v>-5.9</v>
      </c>
      <c r="J101">
        <v>-5.9</v>
      </c>
      <c r="K101">
        <v>20.2</v>
      </c>
      <c r="L101">
        <v>25</v>
      </c>
      <c r="M101">
        <v>26.3</v>
      </c>
      <c r="N101">
        <v>26.7</v>
      </c>
      <c r="O101">
        <v>22.4</v>
      </c>
      <c r="P101">
        <v>18.399999999999999</v>
      </c>
      <c r="Q101">
        <v>14.5</v>
      </c>
      <c r="R101">
        <v>7.7</v>
      </c>
      <c r="S101">
        <f t="shared" si="5"/>
        <v>33</v>
      </c>
      <c r="T101" t="s">
        <v>79</v>
      </c>
      <c r="U101" t="str">
        <f t="shared" si="16"/>
        <v/>
      </c>
      <c r="V101" t="str">
        <f t="shared" si="17"/>
        <v/>
      </c>
      <c r="W101">
        <f t="shared" si="18"/>
        <v>0.20199999999999999</v>
      </c>
      <c r="X101">
        <f t="shared" si="19"/>
        <v>0.25</v>
      </c>
      <c r="Y101">
        <f t="shared" si="20"/>
        <v>0.26300000000000001</v>
      </c>
      <c r="Z101">
        <f t="shared" si="21"/>
        <v>0.26700000000000002</v>
      </c>
      <c r="AA101">
        <f t="shared" si="22"/>
        <v>0.22399999999999998</v>
      </c>
      <c r="AB101">
        <f t="shared" si="23"/>
        <v>0.184</v>
      </c>
      <c r="AC101">
        <f t="shared" si="24"/>
        <v>0.14499999999999999</v>
      </c>
      <c r="AD101">
        <f t="shared" si="25"/>
        <v>7.6999999999999999E-2</v>
      </c>
    </row>
    <row r="102" spans="1:30" x14ac:dyDescent="0.25">
      <c r="A102">
        <v>422</v>
      </c>
      <c r="B102">
        <v>34</v>
      </c>
      <c r="C102">
        <v>0</v>
      </c>
      <c r="D102">
        <v>14</v>
      </c>
      <c r="E102">
        <v>8</v>
      </c>
      <c r="F102">
        <v>5</v>
      </c>
      <c r="G102">
        <v>10</v>
      </c>
      <c r="H102">
        <v>10</v>
      </c>
      <c r="I102">
        <v>-5.9</v>
      </c>
      <c r="J102">
        <v>-5.9</v>
      </c>
      <c r="K102">
        <v>21.2</v>
      </c>
      <c r="L102">
        <v>24.4</v>
      </c>
      <c r="M102">
        <v>23.6</v>
      </c>
      <c r="N102">
        <v>22.2</v>
      </c>
      <c r="O102">
        <v>21.2</v>
      </c>
      <c r="P102">
        <v>17.399999999999999</v>
      </c>
      <c r="Q102">
        <v>15.2</v>
      </c>
      <c r="R102">
        <v>10</v>
      </c>
      <c r="S102">
        <f t="shared" si="5"/>
        <v>34</v>
      </c>
      <c r="T102" t="s">
        <v>80</v>
      </c>
      <c r="U102" t="str">
        <f t="shared" si="16"/>
        <v/>
      </c>
      <c r="V102" t="str">
        <f t="shared" si="17"/>
        <v/>
      </c>
      <c r="W102">
        <f t="shared" si="18"/>
        <v>0.21199999999999999</v>
      </c>
      <c r="X102">
        <f t="shared" si="19"/>
        <v>0.24399999999999999</v>
      </c>
      <c r="Y102">
        <f t="shared" si="20"/>
        <v>0.23600000000000002</v>
      </c>
      <c r="Z102">
        <f t="shared" si="21"/>
        <v>0.222</v>
      </c>
      <c r="AA102">
        <f t="shared" si="22"/>
        <v>0.21199999999999999</v>
      </c>
      <c r="AB102">
        <f t="shared" si="23"/>
        <v>0.17399999999999999</v>
      </c>
      <c r="AC102">
        <f t="shared" si="24"/>
        <v>0.152</v>
      </c>
      <c r="AD102">
        <f t="shared" si="25"/>
        <v>0.1</v>
      </c>
    </row>
    <row r="103" spans="1:30" x14ac:dyDescent="0.25">
      <c r="A103">
        <v>421</v>
      </c>
      <c r="B103">
        <v>35</v>
      </c>
      <c r="C103">
        <v>0</v>
      </c>
      <c r="D103">
        <v>14</v>
      </c>
      <c r="E103">
        <v>8</v>
      </c>
      <c r="F103">
        <v>5</v>
      </c>
      <c r="G103">
        <v>10</v>
      </c>
      <c r="H103">
        <v>14</v>
      </c>
      <c r="I103">
        <v>-5.9</v>
      </c>
      <c r="J103">
        <v>25.6</v>
      </c>
      <c r="K103">
        <v>24.8</v>
      </c>
      <c r="L103">
        <v>25.7</v>
      </c>
      <c r="M103">
        <v>26.5</v>
      </c>
      <c r="N103">
        <v>20.9</v>
      </c>
      <c r="O103">
        <v>18.2</v>
      </c>
      <c r="P103">
        <v>14.4</v>
      </c>
      <c r="Q103">
        <v>14.4</v>
      </c>
      <c r="R103">
        <v>8.8000000000000007</v>
      </c>
      <c r="S103">
        <f t="shared" si="5"/>
        <v>35</v>
      </c>
      <c r="T103" t="s">
        <v>81</v>
      </c>
      <c r="U103" t="str">
        <f t="shared" si="16"/>
        <v/>
      </c>
      <c r="V103">
        <f t="shared" si="17"/>
        <v>0.25600000000000001</v>
      </c>
      <c r="W103">
        <f t="shared" si="18"/>
        <v>0.248</v>
      </c>
      <c r="X103">
        <f t="shared" si="19"/>
        <v>0.25700000000000001</v>
      </c>
      <c r="Y103">
        <f t="shared" si="20"/>
        <v>0.26500000000000001</v>
      </c>
      <c r="Z103">
        <f t="shared" si="21"/>
        <v>0.20899999999999999</v>
      </c>
      <c r="AA103">
        <f t="shared" si="22"/>
        <v>0.182</v>
      </c>
      <c r="AB103">
        <f t="shared" si="23"/>
        <v>0.14400000000000002</v>
      </c>
      <c r="AC103">
        <f t="shared" si="24"/>
        <v>0.14400000000000002</v>
      </c>
      <c r="AD103">
        <f t="shared" si="25"/>
        <v>8.8000000000000009E-2</v>
      </c>
    </row>
    <row r="104" spans="1:30" x14ac:dyDescent="0.25">
      <c r="A104">
        <v>420</v>
      </c>
      <c r="B104">
        <v>36</v>
      </c>
      <c r="C104">
        <v>0</v>
      </c>
      <c r="D104">
        <v>14</v>
      </c>
      <c r="E104">
        <v>8</v>
      </c>
      <c r="F104">
        <v>5</v>
      </c>
      <c r="G104">
        <v>10</v>
      </c>
      <c r="H104">
        <v>10</v>
      </c>
      <c r="I104">
        <v>-5.9</v>
      </c>
      <c r="J104">
        <v>18.8</v>
      </c>
      <c r="K104">
        <v>25</v>
      </c>
      <c r="L104">
        <v>26.3</v>
      </c>
      <c r="M104">
        <v>20.5</v>
      </c>
      <c r="N104">
        <v>22</v>
      </c>
      <c r="O104">
        <v>19.7</v>
      </c>
      <c r="P104">
        <v>16.8</v>
      </c>
      <c r="Q104">
        <v>15.7</v>
      </c>
      <c r="R104">
        <v>7.4</v>
      </c>
      <c r="S104">
        <f t="shared" si="5"/>
        <v>36</v>
      </c>
      <c r="T104" t="s">
        <v>73</v>
      </c>
      <c r="U104" t="str">
        <f t="shared" si="16"/>
        <v/>
      </c>
      <c r="V104">
        <f t="shared" si="17"/>
        <v>0.188</v>
      </c>
      <c r="W104">
        <f t="shared" si="18"/>
        <v>0.25</v>
      </c>
      <c r="X104">
        <f t="shared" si="19"/>
        <v>0.26300000000000001</v>
      </c>
      <c r="Y104">
        <f t="shared" si="20"/>
        <v>0.20499999999999999</v>
      </c>
      <c r="Z104">
        <f t="shared" si="21"/>
        <v>0.22</v>
      </c>
      <c r="AA104">
        <f t="shared" si="22"/>
        <v>0.19699999999999998</v>
      </c>
      <c r="AB104">
        <f t="shared" si="23"/>
        <v>0.16800000000000001</v>
      </c>
      <c r="AC104">
        <f t="shared" si="24"/>
        <v>0.157</v>
      </c>
      <c r="AD104">
        <f t="shared" si="25"/>
        <v>7.400000000000001E-2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41862</v>
      </c>
    </row>
    <row r="2" spans="1:7" x14ac:dyDescent="0.25">
      <c r="A2" t="s">
        <v>3</v>
      </c>
      <c r="B2">
        <v>6114</v>
      </c>
      <c r="C2" t="s">
        <v>4</v>
      </c>
      <c r="D2">
        <v>9956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454</v>
      </c>
      <c r="B19">
        <v>1</v>
      </c>
      <c r="C19">
        <v>0</v>
      </c>
      <c r="D19">
        <v>14</v>
      </c>
      <c r="E19">
        <v>8</v>
      </c>
      <c r="F19">
        <v>11</v>
      </c>
      <c r="G19">
        <v>6</v>
      </c>
      <c r="H19">
        <v>14</v>
      </c>
      <c r="I19">
        <v>9.6</v>
      </c>
      <c r="J19">
        <v>11.5</v>
      </c>
      <c r="K19">
        <v>11.7</v>
      </c>
      <c r="L19">
        <v>13</v>
      </c>
      <c r="M19">
        <v>14.8</v>
      </c>
      <c r="N19">
        <v>16.8</v>
      </c>
      <c r="O19">
        <v>18.3</v>
      </c>
      <c r="P19">
        <v>18.7</v>
      </c>
      <c r="Q19">
        <v>16.2</v>
      </c>
      <c r="R19">
        <v>6.4</v>
      </c>
      <c r="S19">
        <f>B19</f>
        <v>1</v>
      </c>
      <c r="T19" t="s">
        <v>51</v>
      </c>
      <c r="U19">
        <f>IF(I19&lt;0,"",I19/100)</f>
        <v>9.6000000000000002E-2</v>
      </c>
      <c r="V19">
        <f t="shared" ref="V19:AD47" si="0">IF(J19&lt;0,"",J19/100)</f>
        <v>0.115</v>
      </c>
      <c r="W19">
        <f t="shared" si="0"/>
        <v>0.11699999999999999</v>
      </c>
      <c r="X19">
        <f t="shared" si="0"/>
        <v>0.13</v>
      </c>
      <c r="Y19">
        <f t="shared" si="0"/>
        <v>0.14800000000000002</v>
      </c>
      <c r="Z19">
        <f t="shared" si="0"/>
        <v>0.16800000000000001</v>
      </c>
      <c r="AA19">
        <f t="shared" si="0"/>
        <v>0.183</v>
      </c>
      <c r="AB19">
        <f t="shared" si="0"/>
        <v>0.187</v>
      </c>
      <c r="AC19">
        <f t="shared" si="0"/>
        <v>0.16200000000000001</v>
      </c>
      <c r="AD19">
        <f t="shared" si="0"/>
        <v>6.4000000000000001E-2</v>
      </c>
    </row>
    <row r="20" spans="1:30" x14ac:dyDescent="0.25">
      <c r="A20">
        <v>453</v>
      </c>
      <c r="B20">
        <v>2</v>
      </c>
      <c r="C20">
        <v>0</v>
      </c>
      <c r="D20">
        <v>14</v>
      </c>
      <c r="E20">
        <v>8</v>
      </c>
      <c r="F20">
        <v>11</v>
      </c>
      <c r="G20">
        <v>6</v>
      </c>
      <c r="H20">
        <v>11</v>
      </c>
      <c r="I20">
        <v>22</v>
      </c>
      <c r="J20">
        <v>14.2</v>
      </c>
      <c r="K20">
        <v>11.6</v>
      </c>
      <c r="L20">
        <v>12.1</v>
      </c>
      <c r="M20">
        <v>14</v>
      </c>
      <c r="N20">
        <v>15.7</v>
      </c>
      <c r="O20">
        <v>17.2</v>
      </c>
      <c r="P20">
        <v>18.8</v>
      </c>
      <c r="Q20">
        <v>17.7</v>
      </c>
      <c r="R20">
        <v>8.3000000000000007</v>
      </c>
      <c r="S20">
        <f t="shared" ref="S20:S54" si="1">B20</f>
        <v>2</v>
      </c>
      <c r="T20" t="s">
        <v>55</v>
      </c>
      <c r="U20">
        <f t="shared" ref="U20:X48" si="2">IF(I20&lt;0,"",I20/100)</f>
        <v>0.22</v>
      </c>
      <c r="V20">
        <f t="shared" si="0"/>
        <v>0.14199999999999999</v>
      </c>
      <c r="W20">
        <f t="shared" si="0"/>
        <v>0.11599999999999999</v>
      </c>
      <c r="X20">
        <f t="shared" si="0"/>
        <v>0.121</v>
      </c>
      <c r="Y20">
        <f t="shared" si="0"/>
        <v>0.14000000000000001</v>
      </c>
      <c r="Z20">
        <f t="shared" si="0"/>
        <v>0.157</v>
      </c>
      <c r="AA20">
        <f t="shared" si="0"/>
        <v>0.17199999999999999</v>
      </c>
      <c r="AB20">
        <f t="shared" si="0"/>
        <v>0.188</v>
      </c>
      <c r="AC20">
        <f t="shared" si="0"/>
        <v>0.17699999999999999</v>
      </c>
      <c r="AD20">
        <f t="shared" si="0"/>
        <v>8.3000000000000004E-2</v>
      </c>
    </row>
    <row r="21" spans="1:30" x14ac:dyDescent="0.25">
      <c r="A21">
        <v>452</v>
      </c>
      <c r="B21">
        <v>3</v>
      </c>
      <c r="C21">
        <v>0</v>
      </c>
      <c r="D21">
        <v>14</v>
      </c>
      <c r="E21">
        <v>8</v>
      </c>
      <c r="F21">
        <v>11</v>
      </c>
      <c r="G21">
        <v>6</v>
      </c>
      <c r="H21">
        <v>23</v>
      </c>
      <c r="I21">
        <v>13.2</v>
      </c>
      <c r="J21">
        <v>17.100000000000001</v>
      </c>
      <c r="K21">
        <v>19.7</v>
      </c>
      <c r="L21">
        <v>19.399999999999999</v>
      </c>
      <c r="M21">
        <v>17.2</v>
      </c>
      <c r="N21">
        <v>16.8</v>
      </c>
      <c r="O21">
        <v>17.3</v>
      </c>
      <c r="P21">
        <v>19.5</v>
      </c>
      <c r="Q21">
        <v>24.6</v>
      </c>
      <c r="R21">
        <v>14.6</v>
      </c>
      <c r="S21">
        <f t="shared" si="1"/>
        <v>3</v>
      </c>
      <c r="T21" t="s">
        <v>56</v>
      </c>
      <c r="U21">
        <f t="shared" si="2"/>
        <v>0.13200000000000001</v>
      </c>
      <c r="V21">
        <f t="shared" si="0"/>
        <v>0.17100000000000001</v>
      </c>
      <c r="W21">
        <f t="shared" si="0"/>
        <v>0.19699999999999998</v>
      </c>
      <c r="X21">
        <f t="shared" si="0"/>
        <v>0.19399999999999998</v>
      </c>
      <c r="Y21">
        <f t="shared" si="0"/>
        <v>0.17199999999999999</v>
      </c>
      <c r="Z21">
        <f t="shared" si="0"/>
        <v>0.16800000000000001</v>
      </c>
      <c r="AA21">
        <f t="shared" si="0"/>
        <v>0.17300000000000001</v>
      </c>
      <c r="AB21">
        <f t="shared" si="0"/>
        <v>0.19500000000000001</v>
      </c>
      <c r="AC21">
        <f t="shared" si="0"/>
        <v>0.24600000000000002</v>
      </c>
      <c r="AD21">
        <f t="shared" si="0"/>
        <v>0.14599999999999999</v>
      </c>
    </row>
    <row r="22" spans="1:30" x14ac:dyDescent="0.25">
      <c r="A22">
        <v>451</v>
      </c>
      <c r="B22">
        <v>4</v>
      </c>
      <c r="C22">
        <v>0</v>
      </c>
      <c r="D22">
        <v>14</v>
      </c>
      <c r="E22">
        <v>8</v>
      </c>
      <c r="F22">
        <v>11</v>
      </c>
      <c r="G22">
        <v>6</v>
      </c>
      <c r="H22">
        <v>20</v>
      </c>
      <c r="I22">
        <v>-5.9</v>
      </c>
      <c r="J22">
        <v>13.6</v>
      </c>
      <c r="K22">
        <v>14.1</v>
      </c>
      <c r="L22">
        <v>17.600000000000001</v>
      </c>
      <c r="M22">
        <v>18.399999999999999</v>
      </c>
      <c r="N22">
        <v>17.8</v>
      </c>
      <c r="O22">
        <v>18.100000000000001</v>
      </c>
      <c r="P22">
        <v>17.600000000000001</v>
      </c>
      <c r="Q22">
        <v>14.9</v>
      </c>
      <c r="R22">
        <v>8.1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0.13600000000000001</v>
      </c>
      <c r="W22">
        <f t="shared" si="0"/>
        <v>0.14099999999999999</v>
      </c>
      <c r="X22">
        <f t="shared" si="0"/>
        <v>0.17600000000000002</v>
      </c>
      <c r="Y22">
        <f t="shared" si="0"/>
        <v>0.184</v>
      </c>
      <c r="Z22">
        <f t="shared" si="0"/>
        <v>0.17800000000000002</v>
      </c>
      <c r="AA22">
        <f t="shared" si="0"/>
        <v>0.18100000000000002</v>
      </c>
      <c r="AB22">
        <f t="shared" si="0"/>
        <v>0.17600000000000002</v>
      </c>
      <c r="AC22">
        <f t="shared" si="0"/>
        <v>0.14899999999999999</v>
      </c>
      <c r="AD22">
        <f t="shared" si="0"/>
        <v>8.1000000000000003E-2</v>
      </c>
    </row>
    <row r="23" spans="1:30" x14ac:dyDescent="0.25">
      <c r="A23">
        <v>450</v>
      </c>
      <c r="B23">
        <v>5</v>
      </c>
      <c r="C23">
        <v>0</v>
      </c>
      <c r="D23">
        <v>14</v>
      </c>
      <c r="E23">
        <v>8</v>
      </c>
      <c r="F23">
        <v>11</v>
      </c>
      <c r="G23">
        <v>6</v>
      </c>
      <c r="H23">
        <v>32</v>
      </c>
      <c r="I23">
        <v>-5.9</v>
      </c>
      <c r="J23">
        <v>-5.9</v>
      </c>
      <c r="K23">
        <v>-5.9</v>
      </c>
      <c r="L23">
        <v>24.7</v>
      </c>
      <c r="M23">
        <v>19.5</v>
      </c>
      <c r="N23">
        <v>20.100000000000001</v>
      </c>
      <c r="O23">
        <v>18.8</v>
      </c>
      <c r="P23">
        <v>19.899999999999999</v>
      </c>
      <c r="Q23">
        <v>21</v>
      </c>
      <c r="R23">
        <v>11.4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0.247</v>
      </c>
      <c r="Y23">
        <f t="shared" si="0"/>
        <v>0.19500000000000001</v>
      </c>
      <c r="Z23">
        <f t="shared" si="0"/>
        <v>0.20100000000000001</v>
      </c>
      <c r="AA23">
        <f t="shared" si="0"/>
        <v>0.188</v>
      </c>
      <c r="AB23">
        <f t="shared" si="0"/>
        <v>0.19899999999999998</v>
      </c>
      <c r="AC23">
        <f t="shared" si="0"/>
        <v>0.21</v>
      </c>
      <c r="AD23">
        <f t="shared" si="0"/>
        <v>0.114</v>
      </c>
    </row>
    <row r="24" spans="1:30" x14ac:dyDescent="0.25">
      <c r="A24">
        <v>449</v>
      </c>
      <c r="B24">
        <v>6</v>
      </c>
      <c r="C24">
        <v>0</v>
      </c>
      <c r="D24">
        <v>14</v>
      </c>
      <c r="E24">
        <v>8</v>
      </c>
      <c r="F24">
        <v>11</v>
      </c>
      <c r="G24">
        <v>6</v>
      </c>
      <c r="H24">
        <v>36</v>
      </c>
      <c r="I24">
        <v>-5.9</v>
      </c>
      <c r="J24">
        <v>20.100000000000001</v>
      </c>
      <c r="K24">
        <v>20.6</v>
      </c>
      <c r="L24">
        <v>19.7</v>
      </c>
      <c r="M24">
        <v>21.7</v>
      </c>
      <c r="N24">
        <v>19.8</v>
      </c>
      <c r="O24">
        <v>18</v>
      </c>
      <c r="P24">
        <v>19.399999999999999</v>
      </c>
      <c r="Q24">
        <v>19</v>
      </c>
      <c r="R24">
        <v>7.1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0.20100000000000001</v>
      </c>
      <c r="W24">
        <f t="shared" si="0"/>
        <v>0.20600000000000002</v>
      </c>
      <c r="X24">
        <f t="shared" si="0"/>
        <v>0.19699999999999998</v>
      </c>
      <c r="Y24">
        <f t="shared" si="0"/>
        <v>0.217</v>
      </c>
      <c r="Z24">
        <f t="shared" si="0"/>
        <v>0.19800000000000001</v>
      </c>
      <c r="AA24">
        <f t="shared" si="0"/>
        <v>0.18</v>
      </c>
      <c r="AB24">
        <f t="shared" si="0"/>
        <v>0.19399999999999998</v>
      </c>
      <c r="AC24">
        <f t="shared" si="0"/>
        <v>0.19</v>
      </c>
      <c r="AD24">
        <f t="shared" si="0"/>
        <v>7.0999999999999994E-2</v>
      </c>
    </row>
    <row r="25" spans="1:30" x14ac:dyDescent="0.25">
      <c r="A25">
        <v>448</v>
      </c>
      <c r="B25">
        <v>7</v>
      </c>
      <c r="C25">
        <v>0</v>
      </c>
      <c r="D25">
        <v>14</v>
      </c>
      <c r="E25">
        <v>8</v>
      </c>
      <c r="F25">
        <v>11</v>
      </c>
      <c r="G25">
        <v>6</v>
      </c>
      <c r="H25">
        <v>40</v>
      </c>
      <c r="I25">
        <v>-5.9</v>
      </c>
      <c r="J25">
        <v>-5.9</v>
      </c>
      <c r="K25">
        <v>27.2</v>
      </c>
      <c r="L25">
        <v>30</v>
      </c>
      <c r="M25">
        <v>22.1</v>
      </c>
      <c r="N25">
        <v>20.9</v>
      </c>
      <c r="O25">
        <v>23</v>
      </c>
      <c r="P25">
        <v>21</v>
      </c>
      <c r="Q25">
        <v>22.1</v>
      </c>
      <c r="R25">
        <v>15.5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0.27200000000000002</v>
      </c>
      <c r="X25">
        <f t="shared" si="0"/>
        <v>0.3</v>
      </c>
      <c r="Y25">
        <f t="shared" si="0"/>
        <v>0.221</v>
      </c>
      <c r="Z25">
        <f t="shared" si="0"/>
        <v>0.20899999999999999</v>
      </c>
      <c r="AA25">
        <f t="shared" si="0"/>
        <v>0.23</v>
      </c>
      <c r="AB25">
        <f t="shared" si="0"/>
        <v>0.21</v>
      </c>
      <c r="AC25">
        <f t="shared" si="0"/>
        <v>0.221</v>
      </c>
      <c r="AD25">
        <f t="shared" si="0"/>
        <v>0.155</v>
      </c>
    </row>
    <row r="26" spans="1:30" x14ac:dyDescent="0.25">
      <c r="A26">
        <v>447</v>
      </c>
      <c r="B26">
        <v>8</v>
      </c>
      <c r="C26">
        <v>0</v>
      </c>
      <c r="D26">
        <v>14</v>
      </c>
      <c r="E26">
        <v>8</v>
      </c>
      <c r="F26">
        <v>11</v>
      </c>
      <c r="G26">
        <v>6</v>
      </c>
      <c r="H26">
        <v>44</v>
      </c>
      <c r="I26">
        <v>-5.9</v>
      </c>
      <c r="J26">
        <v>32.799999999999997</v>
      </c>
      <c r="K26">
        <v>27.5</v>
      </c>
      <c r="L26">
        <v>19.5</v>
      </c>
      <c r="M26">
        <v>20.100000000000001</v>
      </c>
      <c r="N26">
        <v>20.399999999999999</v>
      </c>
      <c r="O26">
        <v>17.600000000000001</v>
      </c>
      <c r="P26">
        <v>22.3</v>
      </c>
      <c r="Q26">
        <v>23.5</v>
      </c>
      <c r="R26">
        <v>14.7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0.32799999999999996</v>
      </c>
      <c r="W26">
        <f t="shared" si="0"/>
        <v>0.27500000000000002</v>
      </c>
      <c r="X26">
        <f t="shared" si="0"/>
        <v>0.19500000000000001</v>
      </c>
      <c r="Y26">
        <f t="shared" si="0"/>
        <v>0.20100000000000001</v>
      </c>
      <c r="Z26">
        <f t="shared" si="0"/>
        <v>0.20399999999999999</v>
      </c>
      <c r="AA26">
        <f t="shared" si="0"/>
        <v>0.17600000000000002</v>
      </c>
      <c r="AB26">
        <f t="shared" si="0"/>
        <v>0.223</v>
      </c>
      <c r="AC26">
        <f t="shared" si="0"/>
        <v>0.23499999999999999</v>
      </c>
      <c r="AD26">
        <f t="shared" si="0"/>
        <v>0.14699999999999999</v>
      </c>
    </row>
    <row r="27" spans="1:30" x14ac:dyDescent="0.25">
      <c r="A27">
        <v>446</v>
      </c>
      <c r="B27">
        <v>9</v>
      </c>
      <c r="C27">
        <v>0</v>
      </c>
      <c r="D27">
        <v>14</v>
      </c>
      <c r="E27">
        <v>8</v>
      </c>
      <c r="F27">
        <v>11</v>
      </c>
      <c r="G27">
        <v>6</v>
      </c>
      <c r="H27">
        <v>41</v>
      </c>
      <c r="I27">
        <v>17.7</v>
      </c>
      <c r="J27">
        <v>15.8</v>
      </c>
      <c r="K27">
        <v>15.4</v>
      </c>
      <c r="L27">
        <v>19.2</v>
      </c>
      <c r="M27">
        <v>21.9</v>
      </c>
      <c r="N27">
        <v>23.4</v>
      </c>
      <c r="O27">
        <v>22.6</v>
      </c>
      <c r="P27">
        <v>20.2</v>
      </c>
      <c r="Q27">
        <v>16.899999999999999</v>
      </c>
      <c r="R27">
        <v>11.6</v>
      </c>
      <c r="S27">
        <f t="shared" si="1"/>
        <v>9</v>
      </c>
      <c r="T27" t="s">
        <v>63</v>
      </c>
      <c r="U27">
        <f t="shared" si="2"/>
        <v>0.17699999999999999</v>
      </c>
      <c r="V27">
        <f t="shared" si="0"/>
        <v>0.158</v>
      </c>
      <c r="W27">
        <f t="shared" si="0"/>
        <v>0.154</v>
      </c>
      <c r="X27">
        <f t="shared" si="0"/>
        <v>0.192</v>
      </c>
      <c r="Y27">
        <f t="shared" si="0"/>
        <v>0.21899999999999997</v>
      </c>
      <c r="Z27">
        <f t="shared" si="0"/>
        <v>0.23399999999999999</v>
      </c>
      <c r="AA27">
        <f t="shared" si="0"/>
        <v>0.22600000000000001</v>
      </c>
      <c r="AB27">
        <f t="shared" si="0"/>
        <v>0.20199999999999999</v>
      </c>
      <c r="AC27">
        <f t="shared" si="0"/>
        <v>0.16899999999999998</v>
      </c>
      <c r="AD27">
        <f t="shared" si="0"/>
        <v>0.11599999999999999</v>
      </c>
    </row>
    <row r="28" spans="1:30" x14ac:dyDescent="0.25">
      <c r="A28">
        <v>445</v>
      </c>
      <c r="B28">
        <v>10</v>
      </c>
      <c r="C28">
        <v>0</v>
      </c>
      <c r="D28">
        <v>14</v>
      </c>
      <c r="E28">
        <v>8</v>
      </c>
      <c r="F28">
        <v>11</v>
      </c>
      <c r="G28">
        <v>6</v>
      </c>
      <c r="H28">
        <v>54</v>
      </c>
      <c r="I28">
        <v>17.399999999999999</v>
      </c>
      <c r="J28">
        <v>14.7</v>
      </c>
      <c r="K28">
        <v>16</v>
      </c>
      <c r="L28">
        <v>16.899999999999999</v>
      </c>
      <c r="M28">
        <v>21.5</v>
      </c>
      <c r="N28">
        <v>22.8</v>
      </c>
      <c r="O28">
        <v>25.5</v>
      </c>
      <c r="P28">
        <v>27.1</v>
      </c>
      <c r="Q28">
        <v>26</v>
      </c>
      <c r="R28">
        <v>14.7</v>
      </c>
      <c r="S28">
        <f t="shared" si="1"/>
        <v>10</v>
      </c>
      <c r="T28" t="s">
        <v>62</v>
      </c>
      <c r="U28">
        <f t="shared" si="2"/>
        <v>0.17399999999999999</v>
      </c>
      <c r="V28">
        <f t="shared" si="0"/>
        <v>0.14699999999999999</v>
      </c>
      <c r="W28">
        <f t="shared" si="0"/>
        <v>0.16</v>
      </c>
      <c r="X28">
        <f t="shared" si="0"/>
        <v>0.16899999999999998</v>
      </c>
      <c r="Y28">
        <f t="shared" si="0"/>
        <v>0.215</v>
      </c>
      <c r="Z28">
        <f t="shared" si="0"/>
        <v>0.22800000000000001</v>
      </c>
      <c r="AA28">
        <f t="shared" si="0"/>
        <v>0.255</v>
      </c>
      <c r="AB28">
        <f t="shared" si="0"/>
        <v>0.27100000000000002</v>
      </c>
      <c r="AC28">
        <f t="shared" si="0"/>
        <v>0.26</v>
      </c>
      <c r="AD28">
        <f t="shared" si="0"/>
        <v>0.14699999999999999</v>
      </c>
    </row>
    <row r="29" spans="1:30" x14ac:dyDescent="0.25">
      <c r="A29">
        <v>444</v>
      </c>
      <c r="B29">
        <v>11</v>
      </c>
      <c r="C29">
        <v>0</v>
      </c>
      <c r="D29">
        <v>14</v>
      </c>
      <c r="E29">
        <v>8</v>
      </c>
      <c r="F29">
        <v>11</v>
      </c>
      <c r="G29">
        <v>6</v>
      </c>
      <c r="H29">
        <v>51</v>
      </c>
      <c r="I29">
        <v>15</v>
      </c>
      <c r="J29">
        <v>16.5</v>
      </c>
      <c r="K29">
        <v>18</v>
      </c>
      <c r="L29">
        <v>19.5</v>
      </c>
      <c r="M29">
        <v>21.2</v>
      </c>
      <c r="N29">
        <v>24</v>
      </c>
      <c r="O29">
        <v>23.7</v>
      </c>
      <c r="P29">
        <v>23</v>
      </c>
      <c r="Q29">
        <v>20.100000000000001</v>
      </c>
      <c r="R29">
        <v>13.2</v>
      </c>
      <c r="S29">
        <f t="shared" si="1"/>
        <v>11</v>
      </c>
      <c r="T29" t="s">
        <v>52</v>
      </c>
      <c r="U29">
        <f t="shared" si="2"/>
        <v>0.15</v>
      </c>
      <c r="V29">
        <f t="shared" si="0"/>
        <v>0.16500000000000001</v>
      </c>
      <c r="W29">
        <f t="shared" si="0"/>
        <v>0.18</v>
      </c>
      <c r="X29">
        <f t="shared" si="0"/>
        <v>0.19500000000000001</v>
      </c>
      <c r="Y29">
        <f t="shared" si="0"/>
        <v>0.21199999999999999</v>
      </c>
      <c r="Z29">
        <f t="shared" si="0"/>
        <v>0.24</v>
      </c>
      <c r="AA29">
        <f t="shared" si="0"/>
        <v>0.23699999999999999</v>
      </c>
      <c r="AB29">
        <f t="shared" si="0"/>
        <v>0.23</v>
      </c>
      <c r="AC29">
        <f t="shared" si="0"/>
        <v>0.20100000000000001</v>
      </c>
      <c r="AD29">
        <f t="shared" si="0"/>
        <v>0.13200000000000001</v>
      </c>
    </row>
    <row r="30" spans="1:30" x14ac:dyDescent="0.25">
      <c r="A30">
        <v>443</v>
      </c>
      <c r="B30">
        <v>12</v>
      </c>
      <c r="C30">
        <v>0</v>
      </c>
      <c r="D30">
        <v>14</v>
      </c>
      <c r="E30">
        <v>8</v>
      </c>
      <c r="F30">
        <v>11</v>
      </c>
      <c r="G30">
        <v>7</v>
      </c>
      <c r="H30">
        <v>7</v>
      </c>
      <c r="I30">
        <v>23.8</v>
      </c>
      <c r="J30">
        <v>14.8</v>
      </c>
      <c r="K30">
        <v>15.5</v>
      </c>
      <c r="L30">
        <v>24.7</v>
      </c>
      <c r="M30">
        <v>23.6</v>
      </c>
      <c r="N30">
        <v>21.7</v>
      </c>
      <c r="O30">
        <v>22.7</v>
      </c>
      <c r="P30">
        <v>22.6</v>
      </c>
      <c r="Q30">
        <v>18.3</v>
      </c>
      <c r="R30">
        <v>12.1</v>
      </c>
      <c r="S30">
        <f t="shared" si="1"/>
        <v>12</v>
      </c>
      <c r="T30" t="s">
        <v>64</v>
      </c>
      <c r="U30">
        <f t="shared" si="2"/>
        <v>0.23800000000000002</v>
      </c>
      <c r="V30">
        <f t="shared" si="0"/>
        <v>0.14800000000000002</v>
      </c>
      <c r="W30">
        <f t="shared" si="0"/>
        <v>0.155</v>
      </c>
      <c r="X30">
        <f t="shared" si="0"/>
        <v>0.247</v>
      </c>
      <c r="Y30">
        <f t="shared" si="0"/>
        <v>0.23600000000000002</v>
      </c>
      <c r="Z30">
        <f t="shared" si="0"/>
        <v>0.217</v>
      </c>
      <c r="AA30">
        <f t="shared" si="0"/>
        <v>0.22699999999999998</v>
      </c>
      <c r="AB30">
        <f t="shared" si="0"/>
        <v>0.22600000000000001</v>
      </c>
      <c r="AC30">
        <f t="shared" si="0"/>
        <v>0.183</v>
      </c>
      <c r="AD30">
        <f t="shared" si="0"/>
        <v>0.121</v>
      </c>
    </row>
    <row r="31" spans="1:30" x14ac:dyDescent="0.25">
      <c r="A31">
        <v>441</v>
      </c>
      <c r="B31">
        <v>13</v>
      </c>
      <c r="C31">
        <v>0</v>
      </c>
      <c r="D31">
        <v>14</v>
      </c>
      <c r="E31">
        <v>8</v>
      </c>
      <c r="F31">
        <v>11</v>
      </c>
      <c r="G31">
        <v>7</v>
      </c>
      <c r="H31">
        <v>22</v>
      </c>
      <c r="I31">
        <v>18.8</v>
      </c>
      <c r="J31">
        <v>18.7</v>
      </c>
      <c r="K31">
        <v>18.600000000000001</v>
      </c>
      <c r="L31">
        <v>24.7</v>
      </c>
      <c r="M31">
        <v>21.6</v>
      </c>
      <c r="N31">
        <v>26.3</v>
      </c>
      <c r="O31">
        <v>25.2</v>
      </c>
      <c r="P31">
        <v>25.5</v>
      </c>
      <c r="Q31">
        <v>24</v>
      </c>
      <c r="R31">
        <v>15.7</v>
      </c>
      <c r="S31">
        <f t="shared" si="1"/>
        <v>13</v>
      </c>
      <c r="T31" t="s">
        <v>29</v>
      </c>
      <c r="U31">
        <f t="shared" si="2"/>
        <v>0.188</v>
      </c>
      <c r="V31">
        <f t="shared" si="0"/>
        <v>0.187</v>
      </c>
      <c r="W31">
        <f t="shared" si="0"/>
        <v>0.18600000000000003</v>
      </c>
      <c r="X31">
        <f t="shared" si="0"/>
        <v>0.247</v>
      </c>
      <c r="Y31">
        <f t="shared" si="0"/>
        <v>0.21600000000000003</v>
      </c>
      <c r="Z31">
        <f t="shared" si="0"/>
        <v>0.26300000000000001</v>
      </c>
      <c r="AA31">
        <f t="shared" si="0"/>
        <v>0.252</v>
      </c>
      <c r="AB31">
        <f t="shared" si="0"/>
        <v>0.255</v>
      </c>
      <c r="AC31">
        <f t="shared" si="0"/>
        <v>0.24</v>
      </c>
      <c r="AD31">
        <f t="shared" si="0"/>
        <v>0.157</v>
      </c>
    </row>
    <row r="32" spans="1:30" x14ac:dyDescent="0.25">
      <c r="A32">
        <v>440</v>
      </c>
      <c r="B32">
        <v>14</v>
      </c>
      <c r="C32">
        <v>0</v>
      </c>
      <c r="D32">
        <v>14</v>
      </c>
      <c r="E32">
        <v>8</v>
      </c>
      <c r="F32">
        <v>11</v>
      </c>
      <c r="G32">
        <v>7</v>
      </c>
      <c r="H32">
        <v>20</v>
      </c>
      <c r="I32">
        <v>18.7</v>
      </c>
      <c r="J32">
        <v>19.5</v>
      </c>
      <c r="K32">
        <v>23.1</v>
      </c>
      <c r="L32">
        <v>25.6</v>
      </c>
      <c r="M32">
        <v>24</v>
      </c>
      <c r="N32">
        <v>23.2</v>
      </c>
      <c r="O32">
        <v>24.8</v>
      </c>
      <c r="P32">
        <v>20.100000000000001</v>
      </c>
      <c r="Q32">
        <v>17.100000000000001</v>
      </c>
      <c r="R32">
        <v>11.1</v>
      </c>
      <c r="S32">
        <f t="shared" si="1"/>
        <v>14</v>
      </c>
      <c r="T32" t="s">
        <v>30</v>
      </c>
      <c r="U32">
        <f t="shared" si="2"/>
        <v>0.187</v>
      </c>
      <c r="V32">
        <f t="shared" si="0"/>
        <v>0.19500000000000001</v>
      </c>
      <c r="W32">
        <f t="shared" si="0"/>
        <v>0.23100000000000001</v>
      </c>
      <c r="X32">
        <f t="shared" si="0"/>
        <v>0.25600000000000001</v>
      </c>
      <c r="Y32">
        <f t="shared" si="0"/>
        <v>0.24</v>
      </c>
      <c r="Z32">
        <f t="shared" si="0"/>
        <v>0.23199999999999998</v>
      </c>
      <c r="AA32">
        <f t="shared" si="0"/>
        <v>0.248</v>
      </c>
      <c r="AB32">
        <f t="shared" si="0"/>
        <v>0.20100000000000001</v>
      </c>
      <c r="AC32">
        <f t="shared" si="0"/>
        <v>0.17100000000000001</v>
      </c>
      <c r="AD32">
        <f t="shared" si="0"/>
        <v>0.111</v>
      </c>
    </row>
    <row r="33" spans="1:30" x14ac:dyDescent="0.25">
      <c r="A33">
        <v>439</v>
      </c>
      <c r="B33">
        <v>15</v>
      </c>
      <c r="C33">
        <v>0</v>
      </c>
      <c r="D33">
        <v>14</v>
      </c>
      <c r="E33">
        <v>8</v>
      </c>
      <c r="F33">
        <v>11</v>
      </c>
      <c r="G33">
        <v>7</v>
      </c>
      <c r="H33">
        <v>34</v>
      </c>
      <c r="I33">
        <v>19.100000000000001</v>
      </c>
      <c r="J33">
        <v>16.600000000000001</v>
      </c>
      <c r="K33">
        <v>16.399999999999999</v>
      </c>
      <c r="L33">
        <v>18.2</v>
      </c>
      <c r="M33">
        <v>23.3</v>
      </c>
      <c r="N33">
        <v>22.7</v>
      </c>
      <c r="O33">
        <v>21.8</v>
      </c>
      <c r="P33">
        <v>22.4</v>
      </c>
      <c r="Q33">
        <v>20.7</v>
      </c>
      <c r="R33">
        <v>16</v>
      </c>
      <c r="S33">
        <f t="shared" si="1"/>
        <v>15</v>
      </c>
      <c r="T33" t="s">
        <v>31</v>
      </c>
      <c r="U33">
        <f t="shared" si="2"/>
        <v>0.191</v>
      </c>
      <c r="V33">
        <f t="shared" si="0"/>
        <v>0.16600000000000001</v>
      </c>
      <c r="W33">
        <f t="shared" si="0"/>
        <v>0.16399999999999998</v>
      </c>
      <c r="X33">
        <f t="shared" si="0"/>
        <v>0.182</v>
      </c>
      <c r="Y33">
        <f t="shared" si="0"/>
        <v>0.23300000000000001</v>
      </c>
      <c r="Z33">
        <f t="shared" si="0"/>
        <v>0.22699999999999998</v>
      </c>
      <c r="AA33">
        <f t="shared" si="0"/>
        <v>0.218</v>
      </c>
      <c r="AB33">
        <f t="shared" si="0"/>
        <v>0.22399999999999998</v>
      </c>
      <c r="AC33">
        <f t="shared" si="0"/>
        <v>0.20699999999999999</v>
      </c>
      <c r="AD33">
        <f t="shared" si="0"/>
        <v>0.16</v>
      </c>
    </row>
    <row r="34" spans="1:30" x14ac:dyDescent="0.25">
      <c r="A34">
        <v>438</v>
      </c>
      <c r="B34">
        <v>16</v>
      </c>
      <c r="C34">
        <v>0</v>
      </c>
      <c r="D34">
        <v>14</v>
      </c>
      <c r="E34">
        <v>8</v>
      </c>
      <c r="F34">
        <v>11</v>
      </c>
      <c r="G34">
        <v>7</v>
      </c>
      <c r="H34">
        <v>31</v>
      </c>
      <c r="I34">
        <v>25.7</v>
      </c>
      <c r="J34">
        <v>19.600000000000001</v>
      </c>
      <c r="K34">
        <v>21.5</v>
      </c>
      <c r="L34">
        <v>20.8</v>
      </c>
      <c r="M34">
        <v>20.3</v>
      </c>
      <c r="N34">
        <v>19.8</v>
      </c>
      <c r="O34">
        <v>16.399999999999999</v>
      </c>
      <c r="P34">
        <v>15.7</v>
      </c>
      <c r="Q34">
        <v>18</v>
      </c>
      <c r="R34">
        <v>13.5</v>
      </c>
      <c r="S34">
        <f t="shared" si="1"/>
        <v>16</v>
      </c>
      <c r="T34" t="s">
        <v>32</v>
      </c>
      <c r="U34">
        <f t="shared" si="2"/>
        <v>0.25700000000000001</v>
      </c>
      <c r="V34">
        <f t="shared" si="0"/>
        <v>0.19600000000000001</v>
      </c>
      <c r="W34">
        <f t="shared" si="0"/>
        <v>0.215</v>
      </c>
      <c r="X34">
        <f t="shared" si="0"/>
        <v>0.20800000000000002</v>
      </c>
      <c r="Y34">
        <f t="shared" si="0"/>
        <v>0.20300000000000001</v>
      </c>
      <c r="Z34">
        <f t="shared" si="0"/>
        <v>0.19800000000000001</v>
      </c>
      <c r="AA34">
        <f t="shared" si="0"/>
        <v>0.16399999999999998</v>
      </c>
      <c r="AB34">
        <f t="shared" si="0"/>
        <v>0.157</v>
      </c>
      <c r="AC34">
        <f t="shared" si="0"/>
        <v>0.18</v>
      </c>
      <c r="AD34">
        <f t="shared" si="0"/>
        <v>0.13500000000000001</v>
      </c>
    </row>
    <row r="35" spans="1:30" x14ac:dyDescent="0.25">
      <c r="A35">
        <v>437</v>
      </c>
      <c r="B35">
        <v>17</v>
      </c>
      <c r="C35">
        <v>0</v>
      </c>
      <c r="D35">
        <v>14</v>
      </c>
      <c r="E35">
        <v>8</v>
      </c>
      <c r="F35">
        <v>11</v>
      </c>
      <c r="G35">
        <v>7</v>
      </c>
      <c r="H35">
        <v>44</v>
      </c>
      <c r="I35">
        <v>18.2</v>
      </c>
      <c r="J35">
        <v>17.600000000000001</v>
      </c>
      <c r="K35">
        <v>18.600000000000001</v>
      </c>
      <c r="L35">
        <v>18.7</v>
      </c>
      <c r="M35">
        <v>20.9</v>
      </c>
      <c r="N35">
        <v>23.9</v>
      </c>
      <c r="O35">
        <v>23.6</v>
      </c>
      <c r="P35">
        <v>22.4</v>
      </c>
      <c r="Q35">
        <v>19</v>
      </c>
      <c r="R35">
        <v>14.1</v>
      </c>
      <c r="S35">
        <f t="shared" si="1"/>
        <v>17</v>
      </c>
      <c r="T35" t="s">
        <v>33</v>
      </c>
      <c r="U35">
        <f t="shared" si="2"/>
        <v>0.182</v>
      </c>
      <c r="V35">
        <f t="shared" si="0"/>
        <v>0.17600000000000002</v>
      </c>
      <c r="W35">
        <f t="shared" si="0"/>
        <v>0.18600000000000003</v>
      </c>
      <c r="X35">
        <f t="shared" si="0"/>
        <v>0.187</v>
      </c>
      <c r="Y35">
        <f t="shared" si="0"/>
        <v>0.20899999999999999</v>
      </c>
      <c r="Z35">
        <f t="shared" si="0"/>
        <v>0.23899999999999999</v>
      </c>
      <c r="AA35">
        <f t="shared" si="0"/>
        <v>0.23600000000000002</v>
      </c>
      <c r="AB35">
        <f t="shared" si="0"/>
        <v>0.22399999999999998</v>
      </c>
      <c r="AC35">
        <f t="shared" si="0"/>
        <v>0.19</v>
      </c>
      <c r="AD35">
        <f t="shared" si="0"/>
        <v>0.14099999999999999</v>
      </c>
    </row>
    <row r="36" spans="1:30" x14ac:dyDescent="0.25">
      <c r="A36">
        <v>436</v>
      </c>
      <c r="B36">
        <v>18</v>
      </c>
      <c r="C36">
        <v>0</v>
      </c>
      <c r="D36">
        <v>14</v>
      </c>
      <c r="E36">
        <v>8</v>
      </c>
      <c r="F36">
        <v>11</v>
      </c>
      <c r="G36">
        <v>7</v>
      </c>
      <c r="H36">
        <v>41</v>
      </c>
      <c r="I36">
        <v>21</v>
      </c>
      <c r="J36">
        <v>18.5</v>
      </c>
      <c r="K36">
        <v>26.5</v>
      </c>
      <c r="L36">
        <v>27.9</v>
      </c>
      <c r="M36">
        <v>23.1</v>
      </c>
      <c r="N36">
        <v>22.6</v>
      </c>
      <c r="O36">
        <v>21.2</v>
      </c>
      <c r="P36">
        <v>20</v>
      </c>
      <c r="Q36">
        <v>17</v>
      </c>
      <c r="R36">
        <v>7.8</v>
      </c>
      <c r="S36">
        <f t="shared" si="1"/>
        <v>18</v>
      </c>
      <c r="T36" t="s">
        <v>34</v>
      </c>
      <c r="U36">
        <f t="shared" si="2"/>
        <v>0.21</v>
      </c>
      <c r="V36">
        <f t="shared" si="0"/>
        <v>0.185</v>
      </c>
      <c r="W36">
        <f t="shared" si="0"/>
        <v>0.26500000000000001</v>
      </c>
      <c r="X36">
        <f t="shared" si="0"/>
        <v>0.27899999999999997</v>
      </c>
      <c r="Y36">
        <f t="shared" si="0"/>
        <v>0.23100000000000001</v>
      </c>
      <c r="Z36">
        <f t="shared" si="0"/>
        <v>0.22600000000000001</v>
      </c>
      <c r="AA36">
        <f t="shared" si="0"/>
        <v>0.21199999999999999</v>
      </c>
      <c r="AB36">
        <f t="shared" si="0"/>
        <v>0.2</v>
      </c>
      <c r="AC36">
        <f t="shared" si="0"/>
        <v>0.17</v>
      </c>
      <c r="AD36">
        <f t="shared" si="0"/>
        <v>7.8E-2</v>
      </c>
    </row>
    <row r="37" spans="1:30" x14ac:dyDescent="0.25">
      <c r="A37">
        <v>435</v>
      </c>
      <c r="B37">
        <v>19</v>
      </c>
      <c r="C37">
        <v>0</v>
      </c>
      <c r="D37">
        <v>14</v>
      </c>
      <c r="E37">
        <v>8</v>
      </c>
      <c r="F37">
        <v>11</v>
      </c>
      <c r="G37">
        <v>7</v>
      </c>
      <c r="H37">
        <v>54</v>
      </c>
      <c r="I37">
        <v>24.2</v>
      </c>
      <c r="J37">
        <v>21.8</v>
      </c>
      <c r="K37">
        <v>31.4</v>
      </c>
      <c r="L37">
        <v>21.6</v>
      </c>
      <c r="M37">
        <v>20.3</v>
      </c>
      <c r="N37">
        <v>21.5</v>
      </c>
      <c r="O37">
        <v>20</v>
      </c>
      <c r="P37">
        <v>19.2</v>
      </c>
      <c r="Q37">
        <v>15.9</v>
      </c>
      <c r="R37">
        <v>10.1</v>
      </c>
      <c r="S37">
        <f t="shared" si="1"/>
        <v>19</v>
      </c>
      <c r="T37" t="s">
        <v>65</v>
      </c>
      <c r="U37">
        <f t="shared" si="2"/>
        <v>0.24199999999999999</v>
      </c>
      <c r="V37">
        <f t="shared" si="0"/>
        <v>0.218</v>
      </c>
      <c r="W37">
        <f t="shared" si="0"/>
        <v>0.314</v>
      </c>
      <c r="X37">
        <f t="shared" si="0"/>
        <v>0.21600000000000003</v>
      </c>
      <c r="Y37">
        <f t="shared" si="0"/>
        <v>0.20300000000000001</v>
      </c>
      <c r="Z37">
        <f t="shared" si="0"/>
        <v>0.215</v>
      </c>
      <c r="AA37">
        <f t="shared" si="0"/>
        <v>0.2</v>
      </c>
      <c r="AB37">
        <f t="shared" si="0"/>
        <v>0.192</v>
      </c>
      <c r="AC37">
        <f t="shared" si="0"/>
        <v>0.159</v>
      </c>
      <c r="AD37">
        <f t="shared" si="0"/>
        <v>0.10099999999999999</v>
      </c>
    </row>
    <row r="38" spans="1:30" x14ac:dyDescent="0.25">
      <c r="A38">
        <v>434</v>
      </c>
      <c r="B38">
        <v>20</v>
      </c>
      <c r="C38">
        <v>0</v>
      </c>
      <c r="D38">
        <v>14</v>
      </c>
      <c r="E38">
        <v>8</v>
      </c>
      <c r="F38">
        <v>11</v>
      </c>
      <c r="G38">
        <v>8</v>
      </c>
      <c r="H38">
        <v>0</v>
      </c>
      <c r="I38">
        <v>16.5</v>
      </c>
      <c r="J38">
        <v>18.100000000000001</v>
      </c>
      <c r="K38">
        <v>26.5</v>
      </c>
      <c r="L38">
        <v>21.1</v>
      </c>
      <c r="M38">
        <v>22.9</v>
      </c>
      <c r="N38">
        <v>23.6</v>
      </c>
      <c r="O38">
        <v>22.7</v>
      </c>
      <c r="P38">
        <v>19</v>
      </c>
      <c r="Q38">
        <v>15</v>
      </c>
      <c r="R38">
        <v>10.7</v>
      </c>
      <c r="S38">
        <f t="shared" si="1"/>
        <v>20</v>
      </c>
      <c r="T38" t="s">
        <v>66</v>
      </c>
      <c r="U38">
        <f t="shared" si="2"/>
        <v>0.16500000000000001</v>
      </c>
      <c r="V38">
        <f t="shared" si="0"/>
        <v>0.18100000000000002</v>
      </c>
      <c r="W38">
        <f t="shared" si="0"/>
        <v>0.26500000000000001</v>
      </c>
      <c r="X38">
        <f t="shared" si="0"/>
        <v>0.21100000000000002</v>
      </c>
      <c r="Y38">
        <f t="shared" si="0"/>
        <v>0.22899999999999998</v>
      </c>
      <c r="Z38">
        <f t="shared" si="0"/>
        <v>0.23600000000000002</v>
      </c>
      <c r="AA38">
        <f t="shared" si="0"/>
        <v>0.22699999999999998</v>
      </c>
      <c r="AB38">
        <f t="shared" si="0"/>
        <v>0.19</v>
      </c>
      <c r="AC38">
        <f t="shared" si="0"/>
        <v>0.15</v>
      </c>
      <c r="AD38">
        <f t="shared" si="0"/>
        <v>0.107</v>
      </c>
    </row>
    <row r="39" spans="1:30" x14ac:dyDescent="0.25">
      <c r="A39">
        <v>433</v>
      </c>
      <c r="B39">
        <v>21</v>
      </c>
      <c r="C39">
        <v>0</v>
      </c>
      <c r="D39">
        <v>14</v>
      </c>
      <c r="E39">
        <v>8</v>
      </c>
      <c r="F39">
        <v>11</v>
      </c>
      <c r="G39">
        <v>8</v>
      </c>
      <c r="H39">
        <v>4</v>
      </c>
      <c r="I39">
        <v>22.2</v>
      </c>
      <c r="J39">
        <v>22.4</v>
      </c>
      <c r="K39">
        <v>21.4</v>
      </c>
      <c r="L39">
        <v>21.8</v>
      </c>
      <c r="M39">
        <v>23.5</v>
      </c>
      <c r="N39">
        <v>20.3</v>
      </c>
      <c r="O39">
        <v>19.899999999999999</v>
      </c>
      <c r="P39">
        <v>22.5</v>
      </c>
      <c r="Q39">
        <v>19.8</v>
      </c>
      <c r="R39">
        <v>11.8</v>
      </c>
      <c r="S39">
        <f t="shared" si="1"/>
        <v>21</v>
      </c>
      <c r="T39" t="s">
        <v>67</v>
      </c>
      <c r="U39">
        <f t="shared" si="2"/>
        <v>0.222</v>
      </c>
      <c r="V39">
        <f t="shared" si="0"/>
        <v>0.22399999999999998</v>
      </c>
      <c r="W39">
        <f t="shared" si="0"/>
        <v>0.214</v>
      </c>
      <c r="X39">
        <f t="shared" si="0"/>
        <v>0.218</v>
      </c>
      <c r="Y39">
        <f t="shared" si="0"/>
        <v>0.23499999999999999</v>
      </c>
      <c r="Z39">
        <f t="shared" si="0"/>
        <v>0.20300000000000001</v>
      </c>
      <c r="AA39">
        <f t="shared" si="0"/>
        <v>0.19899999999999998</v>
      </c>
      <c r="AB39">
        <f t="shared" si="0"/>
        <v>0.22500000000000001</v>
      </c>
      <c r="AC39">
        <f t="shared" si="0"/>
        <v>0.19800000000000001</v>
      </c>
      <c r="AD39">
        <f t="shared" si="0"/>
        <v>0.11800000000000001</v>
      </c>
    </row>
    <row r="40" spans="1:30" x14ac:dyDescent="0.25">
      <c r="A40">
        <v>432</v>
      </c>
      <c r="B40">
        <v>22</v>
      </c>
      <c r="C40">
        <v>0</v>
      </c>
      <c r="D40">
        <v>14</v>
      </c>
      <c r="E40">
        <v>8</v>
      </c>
      <c r="F40">
        <v>11</v>
      </c>
      <c r="G40">
        <v>8</v>
      </c>
      <c r="H40">
        <v>10</v>
      </c>
      <c r="I40">
        <v>19.2</v>
      </c>
      <c r="J40">
        <v>18.5</v>
      </c>
      <c r="K40">
        <v>20.9</v>
      </c>
      <c r="L40">
        <v>21.4</v>
      </c>
      <c r="M40">
        <v>22.8</v>
      </c>
      <c r="N40">
        <v>26</v>
      </c>
      <c r="O40">
        <v>24.2</v>
      </c>
      <c r="P40">
        <v>25.1</v>
      </c>
      <c r="Q40">
        <v>20</v>
      </c>
      <c r="R40">
        <v>13.6</v>
      </c>
      <c r="S40">
        <f t="shared" si="1"/>
        <v>22</v>
      </c>
      <c r="T40" t="s">
        <v>68</v>
      </c>
      <c r="U40">
        <f t="shared" si="2"/>
        <v>0.192</v>
      </c>
      <c r="V40">
        <f t="shared" si="0"/>
        <v>0.185</v>
      </c>
      <c r="W40">
        <f t="shared" si="0"/>
        <v>0.20899999999999999</v>
      </c>
      <c r="X40">
        <f t="shared" si="0"/>
        <v>0.214</v>
      </c>
      <c r="Y40">
        <f t="shared" si="0"/>
        <v>0.22800000000000001</v>
      </c>
      <c r="Z40">
        <f t="shared" si="0"/>
        <v>0.26</v>
      </c>
      <c r="AA40">
        <f t="shared" si="0"/>
        <v>0.24199999999999999</v>
      </c>
      <c r="AB40">
        <f t="shared" si="0"/>
        <v>0.251</v>
      </c>
      <c r="AC40">
        <f t="shared" si="0"/>
        <v>0.2</v>
      </c>
      <c r="AD40">
        <f t="shared" si="0"/>
        <v>0.13600000000000001</v>
      </c>
    </row>
    <row r="41" spans="1:30" x14ac:dyDescent="0.25">
      <c r="A41">
        <v>431</v>
      </c>
      <c r="B41">
        <v>23</v>
      </c>
      <c r="C41">
        <v>0</v>
      </c>
      <c r="D41">
        <v>14</v>
      </c>
      <c r="E41">
        <v>8</v>
      </c>
      <c r="F41">
        <v>11</v>
      </c>
      <c r="G41">
        <v>8</v>
      </c>
      <c r="H41">
        <v>14</v>
      </c>
      <c r="I41">
        <v>18.5</v>
      </c>
      <c r="J41">
        <v>21.5</v>
      </c>
      <c r="K41">
        <v>23.7</v>
      </c>
      <c r="L41">
        <v>23.4</v>
      </c>
      <c r="M41">
        <v>24.1</v>
      </c>
      <c r="N41">
        <v>21.8</v>
      </c>
      <c r="O41">
        <v>22.4</v>
      </c>
      <c r="P41">
        <v>22</v>
      </c>
      <c r="Q41">
        <v>19.100000000000001</v>
      </c>
      <c r="R41">
        <v>14.6</v>
      </c>
      <c r="S41">
        <f t="shared" si="1"/>
        <v>23</v>
      </c>
      <c r="T41" t="s">
        <v>69</v>
      </c>
      <c r="U41">
        <f t="shared" si="2"/>
        <v>0.185</v>
      </c>
      <c r="V41">
        <f t="shared" si="0"/>
        <v>0.215</v>
      </c>
      <c r="W41">
        <f t="shared" si="0"/>
        <v>0.23699999999999999</v>
      </c>
      <c r="X41">
        <f t="shared" si="0"/>
        <v>0.23399999999999999</v>
      </c>
      <c r="Y41">
        <f t="shared" si="0"/>
        <v>0.24100000000000002</v>
      </c>
      <c r="Z41">
        <f t="shared" si="0"/>
        <v>0.218</v>
      </c>
      <c r="AA41">
        <f t="shared" si="0"/>
        <v>0.22399999999999998</v>
      </c>
      <c r="AB41">
        <f t="shared" si="0"/>
        <v>0.22</v>
      </c>
      <c r="AC41">
        <f t="shared" si="0"/>
        <v>0.191</v>
      </c>
      <c r="AD41">
        <f t="shared" si="0"/>
        <v>0.14599999999999999</v>
      </c>
    </row>
    <row r="42" spans="1:30" x14ac:dyDescent="0.25">
      <c r="A42">
        <v>430</v>
      </c>
      <c r="B42">
        <v>24</v>
      </c>
      <c r="C42">
        <v>0</v>
      </c>
      <c r="D42">
        <v>14</v>
      </c>
      <c r="E42">
        <v>8</v>
      </c>
      <c r="F42">
        <v>11</v>
      </c>
      <c r="G42">
        <v>8</v>
      </c>
      <c r="H42">
        <v>11</v>
      </c>
      <c r="I42">
        <v>19.100000000000001</v>
      </c>
      <c r="J42">
        <v>18.3</v>
      </c>
      <c r="K42">
        <v>22.5</v>
      </c>
      <c r="L42">
        <v>24.8</v>
      </c>
      <c r="M42">
        <v>22.9</v>
      </c>
      <c r="N42">
        <v>21.9</v>
      </c>
      <c r="O42">
        <v>24.1</v>
      </c>
      <c r="P42">
        <v>23.5</v>
      </c>
      <c r="Q42">
        <v>18.7</v>
      </c>
      <c r="R42">
        <v>13.3</v>
      </c>
      <c r="S42">
        <f t="shared" si="1"/>
        <v>24</v>
      </c>
      <c r="T42" t="s">
        <v>70</v>
      </c>
      <c r="U42">
        <f t="shared" si="2"/>
        <v>0.191</v>
      </c>
      <c r="V42">
        <f t="shared" si="0"/>
        <v>0.183</v>
      </c>
      <c r="W42">
        <f t="shared" si="0"/>
        <v>0.22500000000000001</v>
      </c>
      <c r="X42">
        <f t="shared" si="0"/>
        <v>0.248</v>
      </c>
      <c r="Y42">
        <f t="shared" si="0"/>
        <v>0.22899999999999998</v>
      </c>
      <c r="Z42">
        <f t="shared" si="0"/>
        <v>0.21899999999999997</v>
      </c>
      <c r="AA42">
        <f t="shared" si="0"/>
        <v>0.24100000000000002</v>
      </c>
      <c r="AB42">
        <f t="shared" si="0"/>
        <v>0.23499999999999999</v>
      </c>
      <c r="AC42">
        <f t="shared" si="0"/>
        <v>0.187</v>
      </c>
      <c r="AD42">
        <f t="shared" si="0"/>
        <v>0.13300000000000001</v>
      </c>
    </row>
    <row r="43" spans="1:30" x14ac:dyDescent="0.25">
      <c r="A43">
        <v>428</v>
      </c>
      <c r="B43">
        <v>25</v>
      </c>
      <c r="C43">
        <v>0</v>
      </c>
      <c r="D43">
        <v>14</v>
      </c>
      <c r="E43">
        <v>8</v>
      </c>
      <c r="F43">
        <v>11</v>
      </c>
      <c r="G43">
        <v>8</v>
      </c>
      <c r="H43">
        <v>37</v>
      </c>
      <c r="I43">
        <v>-5.9</v>
      </c>
      <c r="J43">
        <v>22.3</v>
      </c>
      <c r="K43">
        <v>25.2</v>
      </c>
      <c r="L43">
        <v>25.2</v>
      </c>
      <c r="M43">
        <v>24.5</v>
      </c>
      <c r="N43">
        <v>22.2</v>
      </c>
      <c r="O43">
        <v>18.399999999999999</v>
      </c>
      <c r="P43">
        <v>17</v>
      </c>
      <c r="Q43">
        <v>17.5</v>
      </c>
      <c r="R43">
        <v>10.9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0.223</v>
      </c>
      <c r="W43">
        <f t="shared" si="0"/>
        <v>0.252</v>
      </c>
      <c r="X43">
        <f t="shared" si="0"/>
        <v>0.252</v>
      </c>
      <c r="Y43">
        <f t="shared" si="0"/>
        <v>0.245</v>
      </c>
      <c r="Z43">
        <f t="shared" si="0"/>
        <v>0.222</v>
      </c>
      <c r="AA43">
        <f t="shared" si="0"/>
        <v>0.184</v>
      </c>
      <c r="AB43">
        <f t="shared" si="0"/>
        <v>0.17</v>
      </c>
      <c r="AC43">
        <f t="shared" si="0"/>
        <v>0.17499999999999999</v>
      </c>
      <c r="AD43">
        <f t="shared" si="0"/>
        <v>0.109</v>
      </c>
    </row>
    <row r="44" spans="1:30" x14ac:dyDescent="0.25">
      <c r="A44">
        <v>426</v>
      </c>
      <c r="B44">
        <v>26</v>
      </c>
      <c r="C44">
        <v>0</v>
      </c>
      <c r="D44">
        <v>14</v>
      </c>
      <c r="E44">
        <v>8</v>
      </c>
      <c r="F44">
        <v>11</v>
      </c>
      <c r="G44">
        <v>8</v>
      </c>
      <c r="H44">
        <v>46</v>
      </c>
      <c r="I44">
        <v>-5.9</v>
      </c>
      <c r="J44">
        <v>18.600000000000001</v>
      </c>
      <c r="K44">
        <v>20.399999999999999</v>
      </c>
      <c r="L44">
        <v>21.8</v>
      </c>
      <c r="M44">
        <v>22.5</v>
      </c>
      <c r="N44">
        <v>19.7</v>
      </c>
      <c r="O44">
        <v>19.5</v>
      </c>
      <c r="P44">
        <v>21.2</v>
      </c>
      <c r="Q44">
        <v>18.100000000000001</v>
      </c>
      <c r="R44">
        <v>12.6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0.18600000000000003</v>
      </c>
      <c r="W44">
        <f t="shared" si="0"/>
        <v>0.20399999999999999</v>
      </c>
      <c r="X44">
        <f t="shared" si="0"/>
        <v>0.218</v>
      </c>
      <c r="Y44">
        <f t="shared" si="0"/>
        <v>0.22500000000000001</v>
      </c>
      <c r="Z44">
        <f t="shared" si="0"/>
        <v>0.19699999999999998</v>
      </c>
      <c r="AA44">
        <f t="shared" si="0"/>
        <v>0.19500000000000001</v>
      </c>
      <c r="AB44">
        <f t="shared" si="0"/>
        <v>0.21199999999999999</v>
      </c>
      <c r="AC44">
        <f t="shared" si="0"/>
        <v>0.18100000000000002</v>
      </c>
      <c r="AD44">
        <f t="shared" si="0"/>
        <v>0.126</v>
      </c>
    </row>
    <row r="45" spans="1:30" x14ac:dyDescent="0.25">
      <c r="A45">
        <v>425</v>
      </c>
      <c r="B45">
        <v>27</v>
      </c>
      <c r="C45">
        <v>0</v>
      </c>
      <c r="D45">
        <v>14</v>
      </c>
      <c r="E45">
        <v>8</v>
      </c>
      <c r="F45">
        <v>11</v>
      </c>
      <c r="G45">
        <v>8</v>
      </c>
      <c r="H45">
        <v>51</v>
      </c>
      <c r="I45">
        <v>-5.9</v>
      </c>
      <c r="J45">
        <v>19.7</v>
      </c>
      <c r="K45">
        <v>16.899999999999999</v>
      </c>
      <c r="L45">
        <v>23.7</v>
      </c>
      <c r="M45">
        <v>24.3</v>
      </c>
      <c r="N45">
        <v>17.7</v>
      </c>
      <c r="O45">
        <v>20.6</v>
      </c>
      <c r="P45">
        <v>21.8</v>
      </c>
      <c r="Q45">
        <v>19.2</v>
      </c>
      <c r="R45">
        <v>13.1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0.19699999999999998</v>
      </c>
      <c r="W45">
        <f t="shared" si="0"/>
        <v>0.16899999999999998</v>
      </c>
      <c r="X45">
        <f t="shared" si="0"/>
        <v>0.23699999999999999</v>
      </c>
      <c r="Y45">
        <f t="shared" si="0"/>
        <v>0.24299999999999999</v>
      </c>
      <c r="Z45">
        <f t="shared" si="0"/>
        <v>0.17699999999999999</v>
      </c>
      <c r="AA45">
        <f t="shared" si="0"/>
        <v>0.20600000000000002</v>
      </c>
      <c r="AB45">
        <f t="shared" si="0"/>
        <v>0.218</v>
      </c>
      <c r="AC45">
        <f t="shared" si="0"/>
        <v>0.192</v>
      </c>
      <c r="AD45">
        <f t="shared" si="0"/>
        <v>0.13100000000000001</v>
      </c>
    </row>
    <row r="46" spans="1:30" x14ac:dyDescent="0.25">
      <c r="A46">
        <v>424</v>
      </c>
      <c r="B46">
        <v>28</v>
      </c>
      <c r="C46">
        <v>0</v>
      </c>
      <c r="D46">
        <v>14</v>
      </c>
      <c r="E46">
        <v>8</v>
      </c>
      <c r="F46">
        <v>11</v>
      </c>
      <c r="G46">
        <v>8</v>
      </c>
      <c r="H46">
        <v>56</v>
      </c>
      <c r="I46">
        <v>19.2</v>
      </c>
      <c r="J46">
        <v>17.5</v>
      </c>
      <c r="K46">
        <v>17.899999999999999</v>
      </c>
      <c r="L46">
        <v>19.7</v>
      </c>
      <c r="M46">
        <v>23.4</v>
      </c>
      <c r="N46">
        <v>23.6</v>
      </c>
      <c r="O46">
        <v>21.8</v>
      </c>
      <c r="P46">
        <v>24.1</v>
      </c>
      <c r="Q46">
        <v>20.8</v>
      </c>
      <c r="R46">
        <v>15.5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0.17499999999999999</v>
      </c>
      <c r="W46">
        <f t="shared" si="0"/>
        <v>0.17899999999999999</v>
      </c>
      <c r="X46">
        <f t="shared" si="0"/>
        <v>0.19699999999999998</v>
      </c>
      <c r="Y46">
        <f t="shared" si="0"/>
        <v>0.23399999999999999</v>
      </c>
      <c r="Z46">
        <f t="shared" si="0"/>
        <v>0.23600000000000002</v>
      </c>
      <c r="AA46">
        <f t="shared" si="0"/>
        <v>0.218</v>
      </c>
      <c r="AB46">
        <f t="shared" si="0"/>
        <v>0.24100000000000002</v>
      </c>
      <c r="AC46">
        <f t="shared" si="0"/>
        <v>0.20800000000000002</v>
      </c>
      <c r="AD46">
        <f t="shared" si="0"/>
        <v>0.155</v>
      </c>
    </row>
    <row r="47" spans="1:30" x14ac:dyDescent="0.25">
      <c r="A47">
        <v>423</v>
      </c>
      <c r="B47">
        <v>29</v>
      </c>
      <c r="C47">
        <v>0</v>
      </c>
      <c r="D47">
        <v>14</v>
      </c>
      <c r="E47">
        <v>8</v>
      </c>
      <c r="F47">
        <v>11</v>
      </c>
      <c r="G47">
        <v>9</v>
      </c>
      <c r="H47">
        <v>1</v>
      </c>
      <c r="I47">
        <v>23.7</v>
      </c>
      <c r="J47">
        <v>32.700000000000003</v>
      </c>
      <c r="K47">
        <v>22.8</v>
      </c>
      <c r="L47">
        <v>23.5</v>
      </c>
      <c r="M47">
        <v>26.5</v>
      </c>
      <c r="N47">
        <v>27.7</v>
      </c>
      <c r="O47">
        <v>27.8</v>
      </c>
      <c r="P47">
        <v>23.1</v>
      </c>
      <c r="Q47">
        <v>22.7</v>
      </c>
      <c r="R47">
        <v>14.2</v>
      </c>
      <c r="S47">
        <f t="shared" si="1"/>
        <v>29</v>
      </c>
      <c r="T47" t="s">
        <v>53</v>
      </c>
      <c r="U47">
        <f t="shared" si="2"/>
        <v>0.23699999999999999</v>
      </c>
      <c r="V47">
        <f t="shared" si="0"/>
        <v>0.32700000000000001</v>
      </c>
      <c r="W47">
        <f t="shared" si="0"/>
        <v>0.22800000000000001</v>
      </c>
      <c r="X47">
        <f t="shared" si="0"/>
        <v>0.23499999999999999</v>
      </c>
      <c r="Y47">
        <f t="shared" ref="Y47:AD54" si="3">IF(M47&lt;0,"",M47/100)</f>
        <v>0.26500000000000001</v>
      </c>
      <c r="Z47">
        <f t="shared" si="3"/>
        <v>0.27699999999999997</v>
      </c>
      <c r="AA47">
        <f t="shared" si="3"/>
        <v>0.27800000000000002</v>
      </c>
      <c r="AB47">
        <f t="shared" si="3"/>
        <v>0.23100000000000001</v>
      </c>
      <c r="AC47">
        <f t="shared" si="3"/>
        <v>0.22699999999999998</v>
      </c>
      <c r="AD47">
        <f t="shared" si="3"/>
        <v>0.14199999999999999</v>
      </c>
    </row>
    <row r="48" spans="1:30" x14ac:dyDescent="0.25">
      <c r="A48">
        <v>422</v>
      </c>
      <c r="B48">
        <v>30</v>
      </c>
      <c r="C48">
        <v>0</v>
      </c>
      <c r="D48">
        <v>14</v>
      </c>
      <c r="E48">
        <v>8</v>
      </c>
      <c r="F48">
        <v>11</v>
      </c>
      <c r="G48">
        <v>9</v>
      </c>
      <c r="H48">
        <v>6</v>
      </c>
      <c r="I48">
        <v>25.4</v>
      </c>
      <c r="J48">
        <v>25.2</v>
      </c>
      <c r="K48">
        <v>26.7</v>
      </c>
      <c r="L48">
        <v>24.1</v>
      </c>
      <c r="M48">
        <v>23.3</v>
      </c>
      <c r="N48">
        <v>23.9</v>
      </c>
      <c r="O48">
        <v>18.8</v>
      </c>
      <c r="P48">
        <v>19.899999999999999</v>
      </c>
      <c r="Q48">
        <v>19.100000000000001</v>
      </c>
      <c r="R48">
        <v>9</v>
      </c>
      <c r="S48">
        <f t="shared" si="1"/>
        <v>30</v>
      </c>
      <c r="T48" t="s">
        <v>77</v>
      </c>
      <c r="U48">
        <f t="shared" si="2"/>
        <v>0.254</v>
      </c>
      <c r="V48">
        <f t="shared" si="2"/>
        <v>0.252</v>
      </c>
      <c r="W48">
        <f t="shared" si="2"/>
        <v>0.26700000000000002</v>
      </c>
      <c r="X48">
        <f t="shared" si="2"/>
        <v>0.24100000000000002</v>
      </c>
      <c r="Y48">
        <f t="shared" si="3"/>
        <v>0.23300000000000001</v>
      </c>
      <c r="Z48">
        <f t="shared" si="3"/>
        <v>0.23899999999999999</v>
      </c>
      <c r="AA48">
        <f t="shared" si="3"/>
        <v>0.188</v>
      </c>
      <c r="AB48">
        <f t="shared" si="3"/>
        <v>0.19899999999999998</v>
      </c>
      <c r="AC48">
        <f t="shared" si="3"/>
        <v>0.191</v>
      </c>
      <c r="AD48">
        <f t="shared" si="3"/>
        <v>0.09</v>
      </c>
    </row>
    <row r="49" spans="1:30" x14ac:dyDescent="0.25">
      <c r="A49">
        <v>421</v>
      </c>
      <c r="B49">
        <v>31</v>
      </c>
      <c r="C49">
        <v>0</v>
      </c>
      <c r="D49">
        <v>14</v>
      </c>
      <c r="E49">
        <v>8</v>
      </c>
      <c r="F49">
        <v>11</v>
      </c>
      <c r="G49">
        <v>9</v>
      </c>
      <c r="H49">
        <v>11</v>
      </c>
      <c r="I49">
        <v>-5.9</v>
      </c>
      <c r="J49">
        <v>-5.9</v>
      </c>
      <c r="K49">
        <v>23.2</v>
      </c>
      <c r="L49">
        <v>21.4</v>
      </c>
      <c r="M49">
        <v>24</v>
      </c>
      <c r="N49">
        <v>22.2</v>
      </c>
      <c r="O49">
        <v>19.2</v>
      </c>
      <c r="P49">
        <v>19</v>
      </c>
      <c r="Q49">
        <v>18.100000000000001</v>
      </c>
      <c r="R49">
        <v>7.5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0.23199999999999998</v>
      </c>
      <c r="X49">
        <f t="shared" si="4"/>
        <v>0.214</v>
      </c>
      <c r="Y49">
        <f t="shared" si="3"/>
        <v>0.24</v>
      </c>
      <c r="Z49">
        <f t="shared" si="3"/>
        <v>0.222</v>
      </c>
      <c r="AA49">
        <f t="shared" si="3"/>
        <v>0.192</v>
      </c>
      <c r="AB49">
        <f t="shared" si="3"/>
        <v>0.19</v>
      </c>
      <c r="AC49">
        <f t="shared" si="3"/>
        <v>0.18100000000000002</v>
      </c>
      <c r="AD49">
        <f t="shared" si="3"/>
        <v>7.4999999999999997E-2</v>
      </c>
    </row>
    <row r="50" spans="1:30" x14ac:dyDescent="0.25">
      <c r="A50">
        <v>420</v>
      </c>
      <c r="B50">
        <v>32</v>
      </c>
      <c r="C50">
        <v>0</v>
      </c>
      <c r="D50">
        <v>14</v>
      </c>
      <c r="E50">
        <v>8</v>
      </c>
      <c r="F50">
        <v>11</v>
      </c>
      <c r="G50">
        <v>9</v>
      </c>
      <c r="H50">
        <v>15</v>
      </c>
      <c r="I50">
        <v>-5.9</v>
      </c>
      <c r="J50">
        <v>-5.9</v>
      </c>
      <c r="K50">
        <v>21.5</v>
      </c>
      <c r="L50">
        <v>21.7</v>
      </c>
      <c r="M50">
        <v>22.9</v>
      </c>
      <c r="N50">
        <v>20.5</v>
      </c>
      <c r="O50">
        <v>19.3</v>
      </c>
      <c r="P50">
        <v>16.3</v>
      </c>
      <c r="Q50">
        <v>15.1</v>
      </c>
      <c r="R50">
        <v>8.1999999999999993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0.215</v>
      </c>
      <c r="X50">
        <f t="shared" si="4"/>
        <v>0.217</v>
      </c>
      <c r="Y50">
        <f t="shared" si="3"/>
        <v>0.22899999999999998</v>
      </c>
      <c r="Z50">
        <f t="shared" si="3"/>
        <v>0.20499999999999999</v>
      </c>
      <c r="AA50">
        <f t="shared" si="3"/>
        <v>0.193</v>
      </c>
      <c r="AB50">
        <f t="shared" si="3"/>
        <v>0.16300000000000001</v>
      </c>
      <c r="AC50">
        <f t="shared" si="3"/>
        <v>0.151</v>
      </c>
      <c r="AD50">
        <f t="shared" si="3"/>
        <v>8.199999999999999E-2</v>
      </c>
    </row>
    <row r="51" spans="1:30" x14ac:dyDescent="0.25">
      <c r="A51">
        <v>419</v>
      </c>
      <c r="B51">
        <v>33</v>
      </c>
      <c r="C51">
        <v>0</v>
      </c>
      <c r="D51">
        <v>14</v>
      </c>
      <c r="E51">
        <v>8</v>
      </c>
      <c r="F51">
        <v>11</v>
      </c>
      <c r="G51">
        <v>9</v>
      </c>
      <c r="H51">
        <v>11</v>
      </c>
      <c r="I51">
        <v>-5.9</v>
      </c>
      <c r="J51">
        <v>-5.9</v>
      </c>
      <c r="K51">
        <v>21.3</v>
      </c>
      <c r="L51">
        <v>24.7</v>
      </c>
      <c r="M51">
        <v>26.3</v>
      </c>
      <c r="N51">
        <v>26.3</v>
      </c>
      <c r="O51">
        <v>21.7</v>
      </c>
      <c r="P51">
        <v>20.2</v>
      </c>
      <c r="Q51">
        <v>17.100000000000001</v>
      </c>
      <c r="R51">
        <v>7.9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0.21299999999999999</v>
      </c>
      <c r="X51">
        <f t="shared" si="4"/>
        <v>0.247</v>
      </c>
      <c r="Y51">
        <f t="shared" si="3"/>
        <v>0.26300000000000001</v>
      </c>
      <c r="Z51">
        <f t="shared" si="3"/>
        <v>0.26300000000000001</v>
      </c>
      <c r="AA51">
        <f t="shared" si="3"/>
        <v>0.217</v>
      </c>
      <c r="AB51">
        <f t="shared" si="3"/>
        <v>0.20199999999999999</v>
      </c>
      <c r="AC51">
        <f t="shared" si="3"/>
        <v>0.17100000000000001</v>
      </c>
      <c r="AD51">
        <f t="shared" si="3"/>
        <v>7.9000000000000001E-2</v>
      </c>
    </row>
    <row r="52" spans="1:30" x14ac:dyDescent="0.25">
      <c r="A52">
        <v>418</v>
      </c>
      <c r="B52">
        <v>34</v>
      </c>
      <c r="C52">
        <v>0</v>
      </c>
      <c r="D52">
        <v>14</v>
      </c>
      <c r="E52">
        <v>8</v>
      </c>
      <c r="F52">
        <v>11</v>
      </c>
      <c r="G52">
        <v>9</v>
      </c>
      <c r="H52">
        <v>23</v>
      </c>
      <c r="I52">
        <v>-5.9</v>
      </c>
      <c r="J52">
        <v>-5.9</v>
      </c>
      <c r="K52">
        <v>22.2</v>
      </c>
      <c r="L52">
        <v>24.6</v>
      </c>
      <c r="M52">
        <v>24.3</v>
      </c>
      <c r="N52">
        <v>22.4</v>
      </c>
      <c r="O52">
        <v>22.3</v>
      </c>
      <c r="P52">
        <v>19.600000000000001</v>
      </c>
      <c r="Q52">
        <v>16</v>
      </c>
      <c r="R52">
        <v>9.5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0.222</v>
      </c>
      <c r="X52">
        <f t="shared" si="4"/>
        <v>0.24600000000000002</v>
      </c>
      <c r="Y52">
        <f t="shared" si="3"/>
        <v>0.24299999999999999</v>
      </c>
      <c r="Z52">
        <f t="shared" si="3"/>
        <v>0.22399999999999998</v>
      </c>
      <c r="AA52">
        <f t="shared" si="3"/>
        <v>0.223</v>
      </c>
      <c r="AB52">
        <f t="shared" si="3"/>
        <v>0.19600000000000001</v>
      </c>
      <c r="AC52">
        <f t="shared" si="3"/>
        <v>0.16</v>
      </c>
      <c r="AD52">
        <f t="shared" si="3"/>
        <v>9.5000000000000001E-2</v>
      </c>
    </row>
    <row r="53" spans="1:30" x14ac:dyDescent="0.25">
      <c r="A53">
        <v>417</v>
      </c>
      <c r="B53">
        <v>35</v>
      </c>
      <c r="C53">
        <v>0</v>
      </c>
      <c r="D53">
        <v>14</v>
      </c>
      <c r="E53">
        <v>8</v>
      </c>
      <c r="F53">
        <v>11</v>
      </c>
      <c r="G53">
        <v>9</v>
      </c>
      <c r="H53">
        <v>20</v>
      </c>
      <c r="I53">
        <v>-5.9</v>
      </c>
      <c r="J53">
        <v>-5.9</v>
      </c>
      <c r="K53">
        <v>25.2</v>
      </c>
      <c r="L53">
        <v>25.5</v>
      </c>
      <c r="M53">
        <v>26</v>
      </c>
      <c r="N53">
        <v>20.8</v>
      </c>
      <c r="O53">
        <v>18.7</v>
      </c>
      <c r="P53">
        <v>14.9</v>
      </c>
      <c r="Q53">
        <v>15.4</v>
      </c>
      <c r="R53">
        <v>8.1999999999999993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0.255</v>
      </c>
      <c r="Y53">
        <f t="shared" si="3"/>
        <v>0.26</v>
      </c>
      <c r="Z53">
        <f t="shared" si="3"/>
        <v>0.20800000000000002</v>
      </c>
      <c r="AA53">
        <f t="shared" si="3"/>
        <v>0.187</v>
      </c>
      <c r="AB53">
        <f t="shared" si="3"/>
        <v>0.14899999999999999</v>
      </c>
      <c r="AC53">
        <f t="shared" si="3"/>
        <v>0.154</v>
      </c>
      <c r="AD53">
        <f t="shared" si="3"/>
        <v>8.199999999999999E-2</v>
      </c>
    </row>
    <row r="54" spans="1:30" x14ac:dyDescent="0.25">
      <c r="A54">
        <v>416</v>
      </c>
      <c r="B54">
        <v>36</v>
      </c>
      <c r="C54">
        <v>0</v>
      </c>
      <c r="D54">
        <v>14</v>
      </c>
      <c r="E54">
        <v>8</v>
      </c>
      <c r="F54">
        <v>11</v>
      </c>
      <c r="G54">
        <v>9</v>
      </c>
      <c r="H54">
        <v>32</v>
      </c>
      <c r="I54">
        <v>-5.9</v>
      </c>
      <c r="J54">
        <v>20.2</v>
      </c>
      <c r="K54">
        <v>26</v>
      </c>
      <c r="L54">
        <v>27.5</v>
      </c>
      <c r="M54">
        <v>22.4</v>
      </c>
      <c r="N54">
        <v>22.8</v>
      </c>
      <c r="O54">
        <v>20.100000000000001</v>
      </c>
      <c r="P54">
        <v>17.899999999999999</v>
      </c>
      <c r="Q54">
        <v>17.5</v>
      </c>
      <c r="R54">
        <v>7.1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0.20199999999999999</v>
      </c>
      <c r="W54">
        <f t="shared" si="4"/>
        <v>0.26</v>
      </c>
      <c r="X54">
        <f t="shared" si="4"/>
        <v>0.27500000000000002</v>
      </c>
      <c r="Y54">
        <f t="shared" si="3"/>
        <v>0.22399999999999998</v>
      </c>
      <c r="Z54">
        <f t="shared" si="3"/>
        <v>0.22800000000000001</v>
      </c>
      <c r="AA54">
        <f t="shared" si="3"/>
        <v>0.20100000000000001</v>
      </c>
      <c r="AB54">
        <f t="shared" si="3"/>
        <v>0.17899999999999999</v>
      </c>
      <c r="AC54">
        <f t="shared" si="3"/>
        <v>0.17499999999999999</v>
      </c>
      <c r="AD54">
        <f t="shared" si="3"/>
        <v>7.0999999999999994E-2</v>
      </c>
    </row>
    <row r="57" spans="1:30" x14ac:dyDescent="0.25">
      <c r="A57" s="2">
        <v>41862</v>
      </c>
    </row>
    <row r="58" spans="1:30" x14ac:dyDescent="0.25">
      <c r="A58" t="s">
        <v>3</v>
      </c>
      <c r="B58">
        <v>6116</v>
      </c>
      <c r="C58" t="s">
        <v>4</v>
      </c>
      <c r="D58">
        <v>12931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37</v>
      </c>
      <c r="C75">
        <v>0</v>
      </c>
      <c r="D75">
        <v>14</v>
      </c>
      <c r="E75">
        <v>8</v>
      </c>
      <c r="F75">
        <v>11</v>
      </c>
      <c r="G75">
        <v>7</v>
      </c>
      <c r="H75">
        <v>25</v>
      </c>
      <c r="I75">
        <v>-5</v>
      </c>
      <c r="J75">
        <v>23.3</v>
      </c>
      <c r="K75">
        <v>21</v>
      </c>
      <c r="L75">
        <v>17.100000000000001</v>
      </c>
      <c r="M75">
        <v>15.4</v>
      </c>
      <c r="N75">
        <v>15.8</v>
      </c>
      <c r="O75">
        <v>15.2</v>
      </c>
      <c r="P75">
        <v>17.3</v>
      </c>
      <c r="Q75">
        <v>16.7</v>
      </c>
      <c r="R75">
        <v>10.5</v>
      </c>
      <c r="S75">
        <f>B75</f>
        <v>37</v>
      </c>
      <c r="T75" t="s">
        <v>35</v>
      </c>
      <c r="U75" t="str">
        <f>IF(I75&lt;0,"",I75/100)</f>
        <v/>
      </c>
      <c r="V75">
        <f t="shared" ref="V75:AD103" si="5">IF(J75&lt;0,"",J75/100)</f>
        <v>0.23300000000000001</v>
      </c>
      <c r="W75">
        <f t="shared" si="5"/>
        <v>0.21</v>
      </c>
      <c r="X75">
        <f t="shared" si="5"/>
        <v>0.17100000000000001</v>
      </c>
      <c r="Y75">
        <f t="shared" si="5"/>
        <v>0.154</v>
      </c>
      <c r="Z75">
        <f t="shared" si="5"/>
        <v>0.158</v>
      </c>
      <c r="AA75">
        <f t="shared" si="5"/>
        <v>0.152</v>
      </c>
      <c r="AB75">
        <f t="shared" si="5"/>
        <v>0.17300000000000001</v>
      </c>
      <c r="AC75">
        <f t="shared" si="5"/>
        <v>0.16699999999999998</v>
      </c>
      <c r="AD75">
        <f t="shared" si="5"/>
        <v>0.105</v>
      </c>
    </row>
    <row r="76" spans="1:30" x14ac:dyDescent="0.25">
      <c r="A76">
        <v>454</v>
      </c>
      <c r="B76">
        <v>38</v>
      </c>
      <c r="C76">
        <v>0</v>
      </c>
      <c r="D76">
        <v>14</v>
      </c>
      <c r="E76">
        <v>8</v>
      </c>
      <c r="F76">
        <v>11</v>
      </c>
      <c r="G76">
        <v>7</v>
      </c>
      <c r="H76">
        <v>30</v>
      </c>
      <c r="I76">
        <v>-5</v>
      </c>
      <c r="J76">
        <v>24</v>
      </c>
      <c r="K76">
        <v>23.9</v>
      </c>
      <c r="L76">
        <v>23.6</v>
      </c>
      <c r="M76">
        <v>21</v>
      </c>
      <c r="N76">
        <v>19.399999999999999</v>
      </c>
      <c r="O76">
        <v>17.600000000000001</v>
      </c>
      <c r="P76">
        <v>16</v>
      </c>
      <c r="Q76">
        <v>18.8</v>
      </c>
      <c r="R76">
        <v>16.600000000000001</v>
      </c>
      <c r="S76">
        <f t="shared" ref="S76:S104" si="6">B76</f>
        <v>38</v>
      </c>
      <c r="T76" t="s">
        <v>37</v>
      </c>
      <c r="U76" t="str">
        <f t="shared" ref="U76:X104" si="7">IF(I76&lt;0,"",I76/100)</f>
        <v/>
      </c>
      <c r="V76">
        <f t="shared" si="5"/>
        <v>0.24</v>
      </c>
      <c r="W76">
        <f t="shared" si="5"/>
        <v>0.23899999999999999</v>
      </c>
      <c r="X76">
        <f t="shared" si="5"/>
        <v>0.23600000000000002</v>
      </c>
      <c r="Y76">
        <f t="shared" si="5"/>
        <v>0.21</v>
      </c>
      <c r="Z76">
        <f t="shared" si="5"/>
        <v>0.19399999999999998</v>
      </c>
      <c r="AA76">
        <f t="shared" si="5"/>
        <v>0.17600000000000002</v>
      </c>
      <c r="AB76">
        <f t="shared" si="5"/>
        <v>0.16</v>
      </c>
      <c r="AC76">
        <f t="shared" si="5"/>
        <v>0.188</v>
      </c>
      <c r="AD76">
        <f t="shared" si="5"/>
        <v>0.16600000000000001</v>
      </c>
    </row>
    <row r="77" spans="1:30" x14ac:dyDescent="0.25">
      <c r="A77">
        <v>453</v>
      </c>
      <c r="B77">
        <v>39</v>
      </c>
      <c r="C77">
        <v>0</v>
      </c>
      <c r="D77">
        <v>14</v>
      </c>
      <c r="E77">
        <v>8</v>
      </c>
      <c r="F77">
        <v>11</v>
      </c>
      <c r="G77">
        <v>7</v>
      </c>
      <c r="H77">
        <v>35</v>
      </c>
      <c r="I77">
        <v>19.7</v>
      </c>
      <c r="J77">
        <v>19.899999999999999</v>
      </c>
      <c r="K77">
        <v>21.1</v>
      </c>
      <c r="L77">
        <v>21</v>
      </c>
      <c r="M77">
        <v>19.899999999999999</v>
      </c>
      <c r="N77">
        <v>19.2</v>
      </c>
      <c r="O77">
        <v>16.7</v>
      </c>
      <c r="P77">
        <v>15.1</v>
      </c>
      <c r="Q77">
        <v>17.600000000000001</v>
      </c>
      <c r="R77">
        <v>12.2</v>
      </c>
      <c r="S77">
        <f t="shared" si="6"/>
        <v>39</v>
      </c>
      <c r="T77" t="s">
        <v>40</v>
      </c>
      <c r="U77">
        <f t="shared" si="7"/>
        <v>0.19699999999999998</v>
      </c>
      <c r="V77">
        <f t="shared" si="5"/>
        <v>0.19899999999999998</v>
      </c>
      <c r="W77">
        <f t="shared" si="5"/>
        <v>0.21100000000000002</v>
      </c>
      <c r="X77">
        <f t="shared" si="5"/>
        <v>0.21</v>
      </c>
      <c r="Y77">
        <f t="shared" si="5"/>
        <v>0.19899999999999998</v>
      </c>
      <c r="Z77">
        <f t="shared" si="5"/>
        <v>0.192</v>
      </c>
      <c r="AA77">
        <f t="shared" si="5"/>
        <v>0.16699999999999998</v>
      </c>
      <c r="AB77">
        <f t="shared" si="5"/>
        <v>0.151</v>
      </c>
      <c r="AC77">
        <f t="shared" si="5"/>
        <v>0.17600000000000002</v>
      </c>
      <c r="AD77">
        <f t="shared" si="5"/>
        <v>0.122</v>
      </c>
    </row>
    <row r="78" spans="1:30" x14ac:dyDescent="0.25">
      <c r="A78">
        <v>452</v>
      </c>
      <c r="B78">
        <v>40</v>
      </c>
      <c r="C78">
        <v>0</v>
      </c>
      <c r="D78">
        <v>14</v>
      </c>
      <c r="E78">
        <v>8</v>
      </c>
      <c r="F78">
        <v>11</v>
      </c>
      <c r="G78">
        <v>7</v>
      </c>
      <c r="H78">
        <v>31</v>
      </c>
      <c r="I78">
        <v>24</v>
      </c>
      <c r="J78">
        <v>23</v>
      </c>
      <c r="K78">
        <v>24.4</v>
      </c>
      <c r="L78">
        <v>19.7</v>
      </c>
      <c r="M78">
        <v>18.100000000000001</v>
      </c>
      <c r="N78">
        <v>18.600000000000001</v>
      </c>
      <c r="O78">
        <v>20.9</v>
      </c>
      <c r="P78">
        <v>18</v>
      </c>
      <c r="Q78">
        <v>16.5</v>
      </c>
      <c r="R78">
        <v>13.1</v>
      </c>
      <c r="S78">
        <f t="shared" si="6"/>
        <v>40</v>
      </c>
      <c r="T78" t="s">
        <v>41</v>
      </c>
      <c r="U78">
        <f t="shared" si="7"/>
        <v>0.24</v>
      </c>
      <c r="V78">
        <f t="shared" si="5"/>
        <v>0.23</v>
      </c>
      <c r="W78">
        <f t="shared" si="5"/>
        <v>0.24399999999999999</v>
      </c>
      <c r="X78">
        <f t="shared" si="5"/>
        <v>0.19699999999999998</v>
      </c>
      <c r="Y78">
        <f t="shared" si="5"/>
        <v>0.18100000000000002</v>
      </c>
      <c r="Z78">
        <f t="shared" si="5"/>
        <v>0.18600000000000003</v>
      </c>
      <c r="AA78">
        <f t="shared" si="5"/>
        <v>0.20899999999999999</v>
      </c>
      <c r="AB78">
        <f t="shared" si="5"/>
        <v>0.18</v>
      </c>
      <c r="AC78">
        <f t="shared" si="5"/>
        <v>0.16500000000000001</v>
      </c>
      <c r="AD78">
        <f t="shared" si="5"/>
        <v>0.13100000000000001</v>
      </c>
    </row>
    <row r="79" spans="1:30" x14ac:dyDescent="0.25">
      <c r="A79">
        <v>451</v>
      </c>
      <c r="B79">
        <v>41</v>
      </c>
      <c r="C79">
        <v>0</v>
      </c>
      <c r="D79">
        <v>14</v>
      </c>
      <c r="E79">
        <v>8</v>
      </c>
      <c r="F79">
        <v>11</v>
      </c>
      <c r="G79">
        <v>7</v>
      </c>
      <c r="H79">
        <v>44</v>
      </c>
      <c r="I79">
        <v>24.9</v>
      </c>
      <c r="J79">
        <v>22.2</v>
      </c>
      <c r="K79">
        <v>17.8</v>
      </c>
      <c r="L79">
        <v>16.8</v>
      </c>
      <c r="M79">
        <v>16.2</v>
      </c>
      <c r="N79">
        <v>14.9</v>
      </c>
      <c r="O79">
        <v>12.1</v>
      </c>
      <c r="P79">
        <v>11.8</v>
      </c>
      <c r="Q79">
        <v>13</v>
      </c>
      <c r="R79">
        <v>8.6999999999999993</v>
      </c>
      <c r="S79">
        <f t="shared" si="6"/>
        <v>41</v>
      </c>
      <c r="T79" t="s">
        <v>43</v>
      </c>
      <c r="U79">
        <f t="shared" si="7"/>
        <v>0.249</v>
      </c>
      <c r="V79">
        <f t="shared" si="5"/>
        <v>0.222</v>
      </c>
      <c r="W79">
        <f t="shared" si="5"/>
        <v>0.17800000000000002</v>
      </c>
      <c r="X79">
        <f t="shared" si="5"/>
        <v>0.16800000000000001</v>
      </c>
      <c r="Y79">
        <f t="shared" si="5"/>
        <v>0.16200000000000001</v>
      </c>
      <c r="Z79">
        <f t="shared" si="5"/>
        <v>0.14899999999999999</v>
      </c>
      <c r="AA79">
        <f t="shared" si="5"/>
        <v>0.121</v>
      </c>
      <c r="AB79">
        <f t="shared" si="5"/>
        <v>0.11800000000000001</v>
      </c>
      <c r="AC79">
        <f t="shared" si="5"/>
        <v>0.13</v>
      </c>
      <c r="AD79">
        <f t="shared" si="5"/>
        <v>8.6999999999999994E-2</v>
      </c>
    </row>
    <row r="80" spans="1:30" x14ac:dyDescent="0.25">
      <c r="A80">
        <v>450</v>
      </c>
      <c r="B80">
        <v>42</v>
      </c>
      <c r="C80">
        <v>0</v>
      </c>
      <c r="D80">
        <v>14</v>
      </c>
      <c r="E80">
        <v>8</v>
      </c>
      <c r="F80">
        <v>11</v>
      </c>
      <c r="G80">
        <v>7</v>
      </c>
      <c r="H80">
        <v>40</v>
      </c>
      <c r="I80">
        <v>23.2</v>
      </c>
      <c r="J80">
        <v>22.5</v>
      </c>
      <c r="K80">
        <v>16.5</v>
      </c>
      <c r="L80">
        <v>15.3</v>
      </c>
      <c r="M80">
        <v>11.7</v>
      </c>
      <c r="N80">
        <v>10.9</v>
      </c>
      <c r="O80">
        <v>9.8000000000000007</v>
      </c>
      <c r="P80">
        <v>10.199999999999999</v>
      </c>
      <c r="Q80">
        <v>12.8</v>
      </c>
      <c r="R80">
        <v>7.9</v>
      </c>
      <c r="S80">
        <f t="shared" si="6"/>
        <v>42</v>
      </c>
      <c r="T80" t="s">
        <v>44</v>
      </c>
      <c r="U80">
        <f t="shared" si="7"/>
        <v>0.23199999999999998</v>
      </c>
      <c r="V80">
        <f t="shared" si="5"/>
        <v>0.22500000000000001</v>
      </c>
      <c r="W80">
        <f t="shared" si="5"/>
        <v>0.16500000000000001</v>
      </c>
      <c r="X80">
        <f t="shared" si="5"/>
        <v>0.153</v>
      </c>
      <c r="Y80">
        <f t="shared" si="5"/>
        <v>0.11699999999999999</v>
      </c>
      <c r="Z80">
        <f t="shared" si="5"/>
        <v>0.109</v>
      </c>
      <c r="AA80">
        <f t="shared" si="5"/>
        <v>9.8000000000000004E-2</v>
      </c>
      <c r="AB80">
        <f t="shared" si="5"/>
        <v>0.10199999999999999</v>
      </c>
      <c r="AC80">
        <f t="shared" si="5"/>
        <v>0.128</v>
      </c>
      <c r="AD80">
        <f t="shared" si="5"/>
        <v>7.9000000000000001E-2</v>
      </c>
    </row>
    <row r="81" spans="1:30" x14ac:dyDescent="0.25">
      <c r="A81">
        <v>449</v>
      </c>
      <c r="B81">
        <v>43</v>
      </c>
      <c r="C81">
        <v>0</v>
      </c>
      <c r="D81">
        <v>14</v>
      </c>
      <c r="E81">
        <v>8</v>
      </c>
      <c r="F81">
        <v>11</v>
      </c>
      <c r="G81">
        <v>7</v>
      </c>
      <c r="H81">
        <v>53</v>
      </c>
      <c r="I81">
        <v>17.399999999999999</v>
      </c>
      <c r="J81">
        <v>17.100000000000001</v>
      </c>
      <c r="K81">
        <v>16.899999999999999</v>
      </c>
      <c r="L81">
        <v>21.5</v>
      </c>
      <c r="M81">
        <v>23.7</v>
      </c>
      <c r="N81">
        <v>20.100000000000001</v>
      </c>
      <c r="O81">
        <v>17.100000000000001</v>
      </c>
      <c r="P81">
        <v>14.5</v>
      </c>
      <c r="Q81">
        <v>15.1</v>
      </c>
      <c r="R81">
        <v>11.1</v>
      </c>
      <c r="S81">
        <f t="shared" si="6"/>
        <v>43</v>
      </c>
      <c r="T81" t="s">
        <v>82</v>
      </c>
      <c r="U81">
        <f t="shared" si="7"/>
        <v>0.17399999999999999</v>
      </c>
      <c r="V81">
        <f t="shared" si="5"/>
        <v>0.17100000000000001</v>
      </c>
      <c r="W81">
        <f t="shared" si="5"/>
        <v>0.16899999999999998</v>
      </c>
      <c r="X81">
        <f t="shared" si="5"/>
        <v>0.215</v>
      </c>
      <c r="Y81">
        <f t="shared" si="5"/>
        <v>0.23699999999999999</v>
      </c>
      <c r="Z81">
        <f t="shared" si="5"/>
        <v>0.20100000000000001</v>
      </c>
      <c r="AA81">
        <f t="shared" si="5"/>
        <v>0.17100000000000001</v>
      </c>
      <c r="AB81">
        <f t="shared" si="5"/>
        <v>0.14499999999999999</v>
      </c>
      <c r="AC81">
        <f t="shared" si="5"/>
        <v>0.151</v>
      </c>
      <c r="AD81">
        <f t="shared" si="5"/>
        <v>0.111</v>
      </c>
    </row>
    <row r="82" spans="1:30" x14ac:dyDescent="0.25">
      <c r="A82">
        <v>448</v>
      </c>
      <c r="B82">
        <v>44</v>
      </c>
      <c r="C82">
        <v>0</v>
      </c>
      <c r="D82">
        <v>14</v>
      </c>
      <c r="E82">
        <v>8</v>
      </c>
      <c r="F82">
        <v>11</v>
      </c>
      <c r="G82">
        <v>7</v>
      </c>
      <c r="H82">
        <v>57</v>
      </c>
      <c r="I82">
        <v>17.399999999999999</v>
      </c>
      <c r="J82">
        <v>16.8</v>
      </c>
      <c r="K82">
        <v>22.6</v>
      </c>
      <c r="L82">
        <v>25.3</v>
      </c>
      <c r="M82">
        <v>21.9</v>
      </c>
      <c r="N82">
        <v>17.3</v>
      </c>
      <c r="O82">
        <v>12.6</v>
      </c>
      <c r="P82">
        <v>12.5</v>
      </c>
      <c r="Q82">
        <v>13</v>
      </c>
      <c r="R82">
        <v>9</v>
      </c>
      <c r="S82">
        <f t="shared" si="6"/>
        <v>44</v>
      </c>
      <c r="T82" t="s">
        <v>83</v>
      </c>
      <c r="U82">
        <f t="shared" si="7"/>
        <v>0.17399999999999999</v>
      </c>
      <c r="V82">
        <f t="shared" si="5"/>
        <v>0.16800000000000001</v>
      </c>
      <c r="W82">
        <f t="shared" si="5"/>
        <v>0.22600000000000001</v>
      </c>
      <c r="X82">
        <f t="shared" si="5"/>
        <v>0.253</v>
      </c>
      <c r="Y82">
        <f t="shared" si="5"/>
        <v>0.21899999999999997</v>
      </c>
      <c r="Z82">
        <f t="shared" si="5"/>
        <v>0.17300000000000001</v>
      </c>
      <c r="AA82">
        <f t="shared" si="5"/>
        <v>0.126</v>
      </c>
      <c r="AB82">
        <f t="shared" si="5"/>
        <v>0.125</v>
      </c>
      <c r="AC82">
        <f t="shared" si="5"/>
        <v>0.13</v>
      </c>
      <c r="AD82">
        <f t="shared" si="5"/>
        <v>0.09</v>
      </c>
    </row>
    <row r="83" spans="1:30" x14ac:dyDescent="0.25">
      <c r="A83">
        <v>447</v>
      </c>
      <c r="B83">
        <v>45</v>
      </c>
      <c r="C83">
        <v>0</v>
      </c>
      <c r="D83">
        <v>14</v>
      </c>
      <c r="E83">
        <v>8</v>
      </c>
      <c r="F83">
        <v>11</v>
      </c>
      <c r="G83">
        <v>8</v>
      </c>
      <c r="H83">
        <v>1</v>
      </c>
      <c r="I83">
        <v>-5</v>
      </c>
      <c r="J83">
        <v>23.8</v>
      </c>
      <c r="K83">
        <v>23.1</v>
      </c>
      <c r="L83">
        <v>24.9</v>
      </c>
      <c r="M83">
        <v>23.6</v>
      </c>
      <c r="N83">
        <v>22.9</v>
      </c>
      <c r="O83">
        <v>21.8</v>
      </c>
      <c r="P83">
        <v>18.2</v>
      </c>
      <c r="Q83">
        <v>17.600000000000001</v>
      </c>
      <c r="R83">
        <v>13.1</v>
      </c>
      <c r="S83">
        <f t="shared" si="6"/>
        <v>45</v>
      </c>
      <c r="T83" t="s">
        <v>42</v>
      </c>
      <c r="U83" t="str">
        <f t="shared" si="7"/>
        <v/>
      </c>
      <c r="V83">
        <f t="shared" si="5"/>
        <v>0.23800000000000002</v>
      </c>
      <c r="W83">
        <f t="shared" si="5"/>
        <v>0.23100000000000001</v>
      </c>
      <c r="X83">
        <f t="shared" si="5"/>
        <v>0.249</v>
      </c>
      <c r="Y83">
        <f t="shared" si="5"/>
        <v>0.23600000000000002</v>
      </c>
      <c r="Z83">
        <f t="shared" si="5"/>
        <v>0.22899999999999998</v>
      </c>
      <c r="AA83">
        <f t="shared" si="5"/>
        <v>0.218</v>
      </c>
      <c r="AB83">
        <f t="shared" si="5"/>
        <v>0.182</v>
      </c>
      <c r="AC83">
        <f t="shared" si="5"/>
        <v>0.17600000000000002</v>
      </c>
      <c r="AD83">
        <f t="shared" si="5"/>
        <v>0.13100000000000001</v>
      </c>
    </row>
    <row r="84" spans="1:30" x14ac:dyDescent="0.25">
      <c r="A84">
        <v>446</v>
      </c>
      <c r="B84">
        <v>46</v>
      </c>
      <c r="C84">
        <v>0</v>
      </c>
      <c r="D84">
        <v>14</v>
      </c>
      <c r="E84">
        <v>8</v>
      </c>
      <c r="F84">
        <v>11</v>
      </c>
      <c r="G84">
        <v>8</v>
      </c>
      <c r="H84">
        <v>5</v>
      </c>
      <c r="I84">
        <v>-5</v>
      </c>
      <c r="J84">
        <v>22.9</v>
      </c>
      <c r="K84">
        <v>25.4</v>
      </c>
      <c r="L84">
        <v>25.1</v>
      </c>
      <c r="M84">
        <v>24</v>
      </c>
      <c r="N84">
        <v>22.3</v>
      </c>
      <c r="O84">
        <v>22.4</v>
      </c>
      <c r="P84">
        <v>16.399999999999999</v>
      </c>
      <c r="Q84">
        <v>15.6</v>
      </c>
      <c r="R84">
        <v>10.5</v>
      </c>
      <c r="S84">
        <f t="shared" si="6"/>
        <v>46</v>
      </c>
      <c r="T84" t="s">
        <v>84</v>
      </c>
      <c r="U84" t="str">
        <f t="shared" si="7"/>
        <v/>
      </c>
      <c r="V84">
        <f t="shared" si="5"/>
        <v>0.22899999999999998</v>
      </c>
      <c r="W84">
        <f t="shared" si="5"/>
        <v>0.254</v>
      </c>
      <c r="X84">
        <f t="shared" si="5"/>
        <v>0.251</v>
      </c>
      <c r="Y84">
        <f t="shared" si="5"/>
        <v>0.24</v>
      </c>
      <c r="Z84">
        <f t="shared" si="5"/>
        <v>0.223</v>
      </c>
      <c r="AA84">
        <f t="shared" si="5"/>
        <v>0.22399999999999998</v>
      </c>
      <c r="AB84">
        <f t="shared" si="5"/>
        <v>0.16399999999999998</v>
      </c>
      <c r="AC84">
        <f t="shared" si="5"/>
        <v>0.156</v>
      </c>
      <c r="AD84">
        <f t="shared" si="5"/>
        <v>0.105</v>
      </c>
    </row>
    <row r="85" spans="1:30" x14ac:dyDescent="0.25">
      <c r="A85">
        <v>445</v>
      </c>
      <c r="B85">
        <v>47</v>
      </c>
      <c r="C85">
        <v>0</v>
      </c>
      <c r="D85">
        <v>14</v>
      </c>
      <c r="E85">
        <v>8</v>
      </c>
      <c r="F85">
        <v>11</v>
      </c>
      <c r="G85">
        <v>8</v>
      </c>
      <c r="H85">
        <v>10</v>
      </c>
      <c r="I85">
        <v>21</v>
      </c>
      <c r="J85">
        <v>20</v>
      </c>
      <c r="K85">
        <v>22.6</v>
      </c>
      <c r="L85">
        <v>24.2</v>
      </c>
      <c r="M85">
        <v>23.8</v>
      </c>
      <c r="N85">
        <v>21.1</v>
      </c>
      <c r="O85">
        <v>18.399999999999999</v>
      </c>
      <c r="P85">
        <v>16.8</v>
      </c>
      <c r="Q85">
        <v>18.100000000000001</v>
      </c>
      <c r="R85">
        <v>12.2</v>
      </c>
      <c r="S85">
        <f t="shared" si="6"/>
        <v>47</v>
      </c>
      <c r="T85" t="s">
        <v>85</v>
      </c>
      <c r="U85">
        <f t="shared" si="7"/>
        <v>0.21</v>
      </c>
      <c r="V85">
        <f t="shared" si="5"/>
        <v>0.2</v>
      </c>
      <c r="W85">
        <f t="shared" si="5"/>
        <v>0.22600000000000001</v>
      </c>
      <c r="X85">
        <f t="shared" si="5"/>
        <v>0.24199999999999999</v>
      </c>
      <c r="Y85">
        <f t="shared" si="5"/>
        <v>0.23800000000000002</v>
      </c>
      <c r="Z85">
        <f t="shared" si="5"/>
        <v>0.21100000000000002</v>
      </c>
      <c r="AA85">
        <f t="shared" si="5"/>
        <v>0.184</v>
      </c>
      <c r="AB85">
        <f t="shared" si="5"/>
        <v>0.16800000000000001</v>
      </c>
      <c r="AC85">
        <f t="shared" si="5"/>
        <v>0.18100000000000002</v>
      </c>
      <c r="AD85">
        <f t="shared" si="5"/>
        <v>0.122</v>
      </c>
    </row>
    <row r="86" spans="1:30" x14ac:dyDescent="0.25">
      <c r="A86">
        <v>444</v>
      </c>
      <c r="B86">
        <v>48</v>
      </c>
      <c r="C86">
        <v>0</v>
      </c>
      <c r="D86">
        <v>14</v>
      </c>
      <c r="E86">
        <v>8</v>
      </c>
      <c r="F86">
        <v>11</v>
      </c>
      <c r="G86">
        <v>8</v>
      </c>
      <c r="H86">
        <v>15</v>
      </c>
      <c r="I86">
        <v>21.3</v>
      </c>
      <c r="J86">
        <v>22.7</v>
      </c>
      <c r="K86">
        <v>25.2</v>
      </c>
      <c r="L86">
        <v>25.2</v>
      </c>
      <c r="M86">
        <v>20.5</v>
      </c>
      <c r="N86">
        <v>17.399999999999999</v>
      </c>
      <c r="O86">
        <v>14.7</v>
      </c>
      <c r="P86">
        <v>17.399999999999999</v>
      </c>
      <c r="Q86">
        <v>15.8</v>
      </c>
      <c r="R86">
        <v>10.199999999999999</v>
      </c>
      <c r="S86">
        <f t="shared" si="6"/>
        <v>48</v>
      </c>
      <c r="T86" t="s">
        <v>38</v>
      </c>
      <c r="U86">
        <f t="shared" si="7"/>
        <v>0.21299999999999999</v>
      </c>
      <c r="V86">
        <f t="shared" si="5"/>
        <v>0.22699999999999998</v>
      </c>
      <c r="W86">
        <f t="shared" si="5"/>
        <v>0.252</v>
      </c>
      <c r="X86">
        <f t="shared" si="5"/>
        <v>0.252</v>
      </c>
      <c r="Y86">
        <f t="shared" si="5"/>
        <v>0.20499999999999999</v>
      </c>
      <c r="Z86">
        <f t="shared" si="5"/>
        <v>0.17399999999999999</v>
      </c>
      <c r="AA86">
        <f t="shared" si="5"/>
        <v>0.14699999999999999</v>
      </c>
      <c r="AB86">
        <f t="shared" si="5"/>
        <v>0.17399999999999999</v>
      </c>
      <c r="AC86">
        <f t="shared" si="5"/>
        <v>0.158</v>
      </c>
      <c r="AD86">
        <f t="shared" si="5"/>
        <v>0.10199999999999999</v>
      </c>
    </row>
    <row r="87" spans="1:30" x14ac:dyDescent="0.25">
      <c r="A87">
        <v>443</v>
      </c>
      <c r="B87">
        <v>49</v>
      </c>
      <c r="C87">
        <v>0</v>
      </c>
      <c r="D87">
        <v>14</v>
      </c>
      <c r="E87">
        <v>8</v>
      </c>
      <c r="F87">
        <v>11</v>
      </c>
      <c r="G87">
        <v>8</v>
      </c>
      <c r="H87">
        <v>33</v>
      </c>
      <c r="I87">
        <v>23.2</v>
      </c>
      <c r="J87">
        <v>23.1</v>
      </c>
      <c r="K87">
        <v>23.3</v>
      </c>
      <c r="L87">
        <v>25.1</v>
      </c>
      <c r="M87">
        <v>21.3</v>
      </c>
      <c r="N87">
        <v>15</v>
      </c>
      <c r="O87">
        <v>13.9</v>
      </c>
      <c r="P87">
        <v>16.8</v>
      </c>
      <c r="Q87">
        <v>16.5</v>
      </c>
      <c r="R87">
        <v>9.9</v>
      </c>
      <c r="S87">
        <f t="shared" si="6"/>
        <v>49</v>
      </c>
      <c r="T87" t="s">
        <v>72</v>
      </c>
      <c r="U87">
        <f t="shared" si="7"/>
        <v>0.23199999999999998</v>
      </c>
      <c r="V87">
        <f t="shared" si="5"/>
        <v>0.23100000000000001</v>
      </c>
      <c r="W87">
        <f t="shared" si="5"/>
        <v>0.23300000000000001</v>
      </c>
      <c r="X87">
        <f t="shared" si="5"/>
        <v>0.251</v>
      </c>
      <c r="Y87">
        <f t="shared" si="5"/>
        <v>0.21299999999999999</v>
      </c>
      <c r="Z87">
        <f t="shared" si="5"/>
        <v>0.15</v>
      </c>
      <c r="AA87">
        <f t="shared" si="5"/>
        <v>0.13900000000000001</v>
      </c>
      <c r="AB87">
        <f t="shared" si="5"/>
        <v>0.16800000000000001</v>
      </c>
      <c r="AC87">
        <f t="shared" si="5"/>
        <v>0.16500000000000001</v>
      </c>
      <c r="AD87">
        <f t="shared" si="5"/>
        <v>9.9000000000000005E-2</v>
      </c>
    </row>
    <row r="88" spans="1:30" x14ac:dyDescent="0.25">
      <c r="A88">
        <v>442</v>
      </c>
      <c r="B88">
        <v>50</v>
      </c>
      <c r="C88">
        <v>0</v>
      </c>
      <c r="D88">
        <v>14</v>
      </c>
      <c r="E88">
        <v>8</v>
      </c>
      <c r="F88">
        <v>11</v>
      </c>
      <c r="G88">
        <v>8</v>
      </c>
      <c r="H88">
        <v>30</v>
      </c>
      <c r="I88">
        <v>19.899999999999999</v>
      </c>
      <c r="J88">
        <v>19.7</v>
      </c>
      <c r="K88">
        <v>19.600000000000001</v>
      </c>
      <c r="L88">
        <v>24.2</v>
      </c>
      <c r="M88">
        <v>23.9</v>
      </c>
      <c r="N88">
        <v>20.7</v>
      </c>
      <c r="O88">
        <v>21.6</v>
      </c>
      <c r="P88">
        <v>19.600000000000001</v>
      </c>
      <c r="Q88">
        <v>18.5</v>
      </c>
      <c r="R88">
        <v>13.3</v>
      </c>
      <c r="S88">
        <f t="shared" si="6"/>
        <v>50</v>
      </c>
      <c r="T88" t="s">
        <v>39</v>
      </c>
      <c r="U88">
        <f t="shared" si="7"/>
        <v>0.19899999999999998</v>
      </c>
      <c r="V88">
        <f t="shared" si="5"/>
        <v>0.19699999999999998</v>
      </c>
      <c r="W88">
        <f t="shared" si="5"/>
        <v>0.19600000000000001</v>
      </c>
      <c r="X88">
        <f t="shared" si="5"/>
        <v>0.24199999999999999</v>
      </c>
      <c r="Y88">
        <f t="shared" si="5"/>
        <v>0.23899999999999999</v>
      </c>
      <c r="Z88">
        <f t="shared" si="5"/>
        <v>0.20699999999999999</v>
      </c>
      <c r="AA88">
        <f t="shared" si="5"/>
        <v>0.21600000000000003</v>
      </c>
      <c r="AB88">
        <f t="shared" si="5"/>
        <v>0.19600000000000001</v>
      </c>
      <c r="AC88">
        <f t="shared" si="5"/>
        <v>0.185</v>
      </c>
      <c r="AD88">
        <f t="shared" si="5"/>
        <v>0.13300000000000001</v>
      </c>
    </row>
    <row r="89" spans="1:30" x14ac:dyDescent="0.25">
      <c r="A89">
        <v>441</v>
      </c>
      <c r="B89">
        <v>51</v>
      </c>
      <c r="C89">
        <v>0</v>
      </c>
      <c r="D89">
        <v>14</v>
      </c>
      <c r="E89">
        <v>8</v>
      </c>
      <c r="F89">
        <v>11</v>
      </c>
      <c r="G89">
        <v>8</v>
      </c>
      <c r="H89">
        <v>42</v>
      </c>
      <c r="I89">
        <v>16.7</v>
      </c>
      <c r="J89">
        <v>17.899999999999999</v>
      </c>
      <c r="K89">
        <v>22.4</v>
      </c>
      <c r="L89">
        <v>22.9</v>
      </c>
      <c r="M89">
        <v>21.5</v>
      </c>
      <c r="N89">
        <v>18.399999999999999</v>
      </c>
      <c r="O89">
        <v>17.600000000000001</v>
      </c>
      <c r="P89">
        <v>17.7</v>
      </c>
      <c r="Q89">
        <v>18.7</v>
      </c>
      <c r="R89">
        <v>11.6</v>
      </c>
      <c r="S89">
        <f t="shared" si="6"/>
        <v>51</v>
      </c>
      <c r="T89" t="s">
        <v>86</v>
      </c>
      <c r="U89">
        <f t="shared" si="7"/>
        <v>0.16699999999999998</v>
      </c>
      <c r="V89">
        <f t="shared" si="5"/>
        <v>0.17899999999999999</v>
      </c>
      <c r="W89">
        <f t="shared" si="5"/>
        <v>0.22399999999999998</v>
      </c>
      <c r="X89">
        <f t="shared" si="5"/>
        <v>0.22899999999999998</v>
      </c>
      <c r="Y89">
        <f t="shared" si="5"/>
        <v>0.215</v>
      </c>
      <c r="Z89">
        <f t="shared" si="5"/>
        <v>0.184</v>
      </c>
      <c r="AA89">
        <f t="shared" si="5"/>
        <v>0.17600000000000002</v>
      </c>
      <c r="AB89">
        <f t="shared" si="5"/>
        <v>0.17699999999999999</v>
      </c>
      <c r="AC89">
        <f t="shared" si="5"/>
        <v>0.187</v>
      </c>
      <c r="AD89">
        <f t="shared" si="5"/>
        <v>0.11599999999999999</v>
      </c>
    </row>
    <row r="90" spans="1:30" x14ac:dyDescent="0.25">
      <c r="A90">
        <v>440</v>
      </c>
      <c r="B90">
        <v>52</v>
      </c>
      <c r="C90">
        <v>0</v>
      </c>
      <c r="D90">
        <v>14</v>
      </c>
      <c r="E90">
        <v>8</v>
      </c>
      <c r="F90">
        <v>11</v>
      </c>
      <c r="G90">
        <v>8</v>
      </c>
      <c r="H90">
        <v>47</v>
      </c>
      <c r="I90">
        <v>-5</v>
      </c>
      <c r="J90">
        <v>18.7</v>
      </c>
      <c r="K90">
        <v>21.2</v>
      </c>
      <c r="L90">
        <v>25</v>
      </c>
      <c r="M90">
        <v>22.1</v>
      </c>
      <c r="N90">
        <v>20.8</v>
      </c>
      <c r="O90">
        <v>19.2</v>
      </c>
      <c r="P90">
        <v>16.399999999999999</v>
      </c>
      <c r="Q90">
        <v>15.7</v>
      </c>
      <c r="R90">
        <v>11.5</v>
      </c>
      <c r="S90">
        <f t="shared" si="6"/>
        <v>52</v>
      </c>
      <c r="T90" t="s">
        <v>87</v>
      </c>
      <c r="U90" t="str">
        <f t="shared" si="7"/>
        <v/>
      </c>
      <c r="V90">
        <f t="shared" si="5"/>
        <v>0.187</v>
      </c>
      <c r="W90">
        <f t="shared" si="5"/>
        <v>0.21199999999999999</v>
      </c>
      <c r="X90">
        <f t="shared" si="5"/>
        <v>0.25</v>
      </c>
      <c r="Y90">
        <f t="shared" si="5"/>
        <v>0.221</v>
      </c>
      <c r="Z90">
        <f t="shared" si="5"/>
        <v>0.20800000000000002</v>
      </c>
      <c r="AA90">
        <f t="shared" si="5"/>
        <v>0.192</v>
      </c>
      <c r="AB90">
        <f t="shared" si="5"/>
        <v>0.16399999999999998</v>
      </c>
      <c r="AC90">
        <f t="shared" si="5"/>
        <v>0.157</v>
      </c>
      <c r="AD90">
        <f t="shared" si="5"/>
        <v>0.115</v>
      </c>
    </row>
    <row r="91" spans="1:30" x14ac:dyDescent="0.25">
      <c r="A91">
        <v>439</v>
      </c>
      <c r="B91">
        <v>53</v>
      </c>
      <c r="C91">
        <v>0</v>
      </c>
      <c r="D91">
        <v>14</v>
      </c>
      <c r="E91">
        <v>8</v>
      </c>
      <c r="F91">
        <v>11</v>
      </c>
      <c r="G91">
        <v>8</v>
      </c>
      <c r="H91">
        <v>51</v>
      </c>
      <c r="I91">
        <v>21.9</v>
      </c>
      <c r="J91">
        <v>20.6</v>
      </c>
      <c r="K91">
        <v>21.6</v>
      </c>
      <c r="L91">
        <v>21.6</v>
      </c>
      <c r="M91">
        <v>20.399999999999999</v>
      </c>
      <c r="N91">
        <v>17.399999999999999</v>
      </c>
      <c r="O91">
        <v>16.399999999999999</v>
      </c>
      <c r="P91">
        <v>13.3</v>
      </c>
      <c r="Q91">
        <v>14.1</v>
      </c>
      <c r="R91">
        <v>9.1</v>
      </c>
      <c r="S91">
        <f t="shared" si="6"/>
        <v>53</v>
      </c>
      <c r="T91" t="s">
        <v>88</v>
      </c>
      <c r="U91">
        <f t="shared" si="7"/>
        <v>0.21899999999999997</v>
      </c>
      <c r="V91">
        <f t="shared" si="5"/>
        <v>0.20600000000000002</v>
      </c>
      <c r="W91">
        <f t="shared" si="5"/>
        <v>0.21600000000000003</v>
      </c>
      <c r="X91">
        <f t="shared" si="5"/>
        <v>0.21600000000000003</v>
      </c>
      <c r="Y91">
        <f t="shared" si="5"/>
        <v>0.20399999999999999</v>
      </c>
      <c r="Z91">
        <f t="shared" si="5"/>
        <v>0.17399999999999999</v>
      </c>
      <c r="AA91">
        <f t="shared" si="5"/>
        <v>0.16399999999999998</v>
      </c>
      <c r="AB91">
        <f t="shared" si="5"/>
        <v>0.13300000000000001</v>
      </c>
      <c r="AC91">
        <f t="shared" si="5"/>
        <v>0.14099999999999999</v>
      </c>
      <c r="AD91">
        <f t="shared" si="5"/>
        <v>9.0999999999999998E-2</v>
      </c>
    </row>
    <row r="92" spans="1:30" x14ac:dyDescent="0.25">
      <c r="A92">
        <v>438</v>
      </c>
      <c r="B92">
        <v>54</v>
      </c>
      <c r="C92">
        <v>0</v>
      </c>
      <c r="D92">
        <v>14</v>
      </c>
      <c r="E92">
        <v>8</v>
      </c>
      <c r="F92">
        <v>11</v>
      </c>
      <c r="G92">
        <v>8</v>
      </c>
      <c r="H92">
        <v>55</v>
      </c>
      <c r="I92">
        <v>15.5</v>
      </c>
      <c r="J92">
        <v>15.6</v>
      </c>
      <c r="K92">
        <v>17</v>
      </c>
      <c r="L92">
        <v>19.600000000000001</v>
      </c>
      <c r="M92">
        <v>18.8</v>
      </c>
      <c r="N92">
        <v>16.7</v>
      </c>
      <c r="O92">
        <v>14.6</v>
      </c>
      <c r="P92">
        <v>14.4</v>
      </c>
      <c r="Q92">
        <v>14.6</v>
      </c>
      <c r="R92">
        <v>9.1</v>
      </c>
      <c r="S92">
        <f t="shared" si="6"/>
        <v>54</v>
      </c>
      <c r="T92" t="s">
        <v>36</v>
      </c>
      <c r="U92">
        <f t="shared" si="7"/>
        <v>0.155</v>
      </c>
      <c r="V92">
        <f t="shared" si="5"/>
        <v>0.156</v>
      </c>
      <c r="W92">
        <f t="shared" si="5"/>
        <v>0.17</v>
      </c>
      <c r="X92">
        <f t="shared" si="5"/>
        <v>0.19600000000000001</v>
      </c>
      <c r="Y92">
        <f t="shared" si="5"/>
        <v>0.188</v>
      </c>
      <c r="Z92">
        <f t="shared" si="5"/>
        <v>0.16699999999999998</v>
      </c>
      <c r="AA92">
        <f t="shared" si="5"/>
        <v>0.14599999999999999</v>
      </c>
      <c r="AB92">
        <f t="shared" si="5"/>
        <v>0.14400000000000002</v>
      </c>
      <c r="AC92">
        <f t="shared" si="5"/>
        <v>0.14599999999999999</v>
      </c>
      <c r="AD92">
        <f t="shared" si="5"/>
        <v>9.0999999999999998E-2</v>
      </c>
    </row>
    <row r="93" spans="1:30" x14ac:dyDescent="0.25">
      <c r="A93">
        <v>437</v>
      </c>
      <c r="B93">
        <v>55</v>
      </c>
      <c r="C93">
        <v>0</v>
      </c>
      <c r="D93">
        <v>14</v>
      </c>
      <c r="E93">
        <v>8</v>
      </c>
      <c r="F93">
        <v>11</v>
      </c>
      <c r="G93">
        <v>9</v>
      </c>
      <c r="H93">
        <v>0</v>
      </c>
      <c r="I93">
        <v>17</v>
      </c>
      <c r="J93">
        <v>17.3</v>
      </c>
      <c r="K93">
        <v>21</v>
      </c>
      <c r="L93">
        <v>23.9</v>
      </c>
      <c r="M93">
        <v>23.5</v>
      </c>
      <c r="N93">
        <v>20.3</v>
      </c>
      <c r="O93">
        <v>19.3</v>
      </c>
      <c r="P93">
        <v>16.5</v>
      </c>
      <c r="Q93">
        <v>15.8</v>
      </c>
      <c r="R93">
        <v>10.4</v>
      </c>
      <c r="S93">
        <f t="shared" si="6"/>
        <v>55</v>
      </c>
      <c r="T93" t="s">
        <v>89</v>
      </c>
      <c r="U93">
        <f t="shared" si="7"/>
        <v>0.17</v>
      </c>
      <c r="V93">
        <f t="shared" si="5"/>
        <v>0.17300000000000001</v>
      </c>
      <c r="W93">
        <f t="shared" si="5"/>
        <v>0.21</v>
      </c>
      <c r="X93">
        <f t="shared" si="5"/>
        <v>0.23899999999999999</v>
      </c>
      <c r="Y93">
        <f t="shared" si="5"/>
        <v>0.23499999999999999</v>
      </c>
      <c r="Z93">
        <f t="shared" si="5"/>
        <v>0.20300000000000001</v>
      </c>
      <c r="AA93">
        <f t="shared" si="5"/>
        <v>0.193</v>
      </c>
      <c r="AB93">
        <f t="shared" si="5"/>
        <v>0.16500000000000001</v>
      </c>
      <c r="AC93">
        <f t="shared" si="5"/>
        <v>0.158</v>
      </c>
      <c r="AD93">
        <f t="shared" si="5"/>
        <v>0.10400000000000001</v>
      </c>
    </row>
    <row r="94" spans="1:30" x14ac:dyDescent="0.25">
      <c r="A94">
        <v>436</v>
      </c>
      <c r="B94">
        <v>56</v>
      </c>
      <c r="C94">
        <v>0</v>
      </c>
      <c r="D94">
        <v>14</v>
      </c>
      <c r="E94">
        <v>8</v>
      </c>
      <c r="F94">
        <v>11</v>
      </c>
      <c r="G94">
        <v>9</v>
      </c>
      <c r="H94">
        <v>4</v>
      </c>
      <c r="I94">
        <v>19.7</v>
      </c>
      <c r="J94">
        <v>20.100000000000001</v>
      </c>
      <c r="K94">
        <v>18.899999999999999</v>
      </c>
      <c r="L94">
        <v>20.8</v>
      </c>
      <c r="M94">
        <v>19.7</v>
      </c>
      <c r="N94">
        <v>18.8</v>
      </c>
      <c r="O94">
        <v>19.2</v>
      </c>
      <c r="P94">
        <v>16.399999999999999</v>
      </c>
      <c r="Q94">
        <v>15.2</v>
      </c>
      <c r="R94">
        <v>9.4</v>
      </c>
      <c r="S94">
        <f t="shared" si="6"/>
        <v>56</v>
      </c>
      <c r="T94" t="s">
        <v>90</v>
      </c>
      <c r="U94">
        <f t="shared" si="7"/>
        <v>0.19699999999999998</v>
      </c>
      <c r="V94">
        <f t="shared" si="5"/>
        <v>0.20100000000000001</v>
      </c>
      <c r="W94">
        <f t="shared" si="5"/>
        <v>0.18899999999999997</v>
      </c>
      <c r="X94">
        <f t="shared" si="5"/>
        <v>0.20800000000000002</v>
      </c>
      <c r="Y94">
        <f t="shared" si="5"/>
        <v>0.19699999999999998</v>
      </c>
      <c r="Z94">
        <f t="shared" si="5"/>
        <v>0.188</v>
      </c>
      <c r="AA94">
        <f t="shared" si="5"/>
        <v>0.192</v>
      </c>
      <c r="AB94">
        <f t="shared" si="5"/>
        <v>0.16399999999999998</v>
      </c>
      <c r="AC94">
        <f t="shared" si="5"/>
        <v>0.152</v>
      </c>
      <c r="AD94">
        <f t="shared" si="5"/>
        <v>9.4E-2</v>
      </c>
    </row>
    <row r="95" spans="1:30" x14ac:dyDescent="0.25">
      <c r="A95">
        <v>435</v>
      </c>
      <c r="B95">
        <v>57</v>
      </c>
      <c r="C95">
        <v>0</v>
      </c>
      <c r="D95">
        <v>14</v>
      </c>
      <c r="E95">
        <v>8</v>
      </c>
      <c r="F95">
        <v>11</v>
      </c>
      <c r="G95">
        <v>9</v>
      </c>
      <c r="H95">
        <v>0</v>
      </c>
      <c r="I95">
        <v>15.7</v>
      </c>
      <c r="J95">
        <v>18.5</v>
      </c>
      <c r="K95">
        <v>24.4</v>
      </c>
      <c r="L95">
        <v>25.6</v>
      </c>
      <c r="M95">
        <v>24.6</v>
      </c>
      <c r="N95">
        <v>24.6</v>
      </c>
      <c r="O95">
        <v>19.5</v>
      </c>
      <c r="P95">
        <v>19</v>
      </c>
      <c r="Q95">
        <v>18.100000000000001</v>
      </c>
      <c r="R95">
        <v>13.7</v>
      </c>
      <c r="S95">
        <f t="shared" si="6"/>
        <v>57</v>
      </c>
      <c r="T95" t="s">
        <v>91</v>
      </c>
      <c r="U95">
        <f t="shared" si="7"/>
        <v>0.157</v>
      </c>
      <c r="V95">
        <f t="shared" si="5"/>
        <v>0.185</v>
      </c>
      <c r="W95">
        <f t="shared" si="5"/>
        <v>0.24399999999999999</v>
      </c>
      <c r="X95">
        <f t="shared" si="5"/>
        <v>0.25600000000000001</v>
      </c>
      <c r="Y95">
        <f t="shared" si="5"/>
        <v>0.24600000000000002</v>
      </c>
      <c r="Z95">
        <f t="shared" si="5"/>
        <v>0.24600000000000002</v>
      </c>
      <c r="AA95">
        <f t="shared" si="5"/>
        <v>0.19500000000000001</v>
      </c>
      <c r="AB95">
        <f t="shared" si="5"/>
        <v>0.19</v>
      </c>
      <c r="AC95">
        <f t="shared" si="5"/>
        <v>0.18100000000000002</v>
      </c>
      <c r="AD95">
        <f t="shared" si="5"/>
        <v>0.13699999999999998</v>
      </c>
    </row>
    <row r="96" spans="1:30" x14ac:dyDescent="0.25">
      <c r="A96">
        <v>434</v>
      </c>
      <c r="B96">
        <v>58</v>
      </c>
      <c r="C96">
        <v>0</v>
      </c>
      <c r="D96">
        <v>14</v>
      </c>
      <c r="E96">
        <v>8</v>
      </c>
      <c r="F96">
        <v>11</v>
      </c>
      <c r="G96">
        <v>9</v>
      </c>
      <c r="H96">
        <v>13</v>
      </c>
      <c r="I96">
        <v>19</v>
      </c>
      <c r="J96">
        <v>19.3</v>
      </c>
      <c r="K96">
        <v>21.9</v>
      </c>
      <c r="L96">
        <v>18.600000000000001</v>
      </c>
      <c r="M96">
        <v>17.399999999999999</v>
      </c>
      <c r="N96">
        <v>16.100000000000001</v>
      </c>
      <c r="O96">
        <v>14.5</v>
      </c>
      <c r="P96">
        <v>17.3</v>
      </c>
      <c r="Q96">
        <v>17.8</v>
      </c>
      <c r="R96">
        <v>12.7</v>
      </c>
      <c r="S96">
        <f t="shared" si="6"/>
        <v>58</v>
      </c>
      <c r="T96" t="s">
        <v>92</v>
      </c>
      <c r="U96">
        <f t="shared" si="7"/>
        <v>0.19</v>
      </c>
      <c r="V96">
        <f t="shared" si="5"/>
        <v>0.193</v>
      </c>
      <c r="W96">
        <f t="shared" si="5"/>
        <v>0.21899999999999997</v>
      </c>
      <c r="X96">
        <f t="shared" si="5"/>
        <v>0.18600000000000003</v>
      </c>
      <c r="Y96">
        <f t="shared" si="5"/>
        <v>0.17399999999999999</v>
      </c>
      <c r="Z96">
        <f t="shared" si="5"/>
        <v>0.161</v>
      </c>
      <c r="AA96">
        <f t="shared" si="5"/>
        <v>0.14499999999999999</v>
      </c>
      <c r="AB96">
        <f t="shared" si="5"/>
        <v>0.17300000000000001</v>
      </c>
      <c r="AC96">
        <f t="shared" si="5"/>
        <v>0.17800000000000002</v>
      </c>
      <c r="AD96">
        <f t="shared" si="5"/>
        <v>0.127</v>
      </c>
    </row>
    <row r="97" spans="1:30" x14ac:dyDescent="0.25">
      <c r="A97">
        <v>433</v>
      </c>
      <c r="B97">
        <v>59</v>
      </c>
      <c r="C97">
        <v>0</v>
      </c>
      <c r="D97">
        <v>14</v>
      </c>
      <c r="E97">
        <v>8</v>
      </c>
      <c r="F97">
        <v>11</v>
      </c>
      <c r="G97">
        <v>9</v>
      </c>
      <c r="H97">
        <v>17</v>
      </c>
      <c r="I97">
        <v>20.9</v>
      </c>
      <c r="J97">
        <v>21.1</v>
      </c>
      <c r="K97">
        <v>19.600000000000001</v>
      </c>
      <c r="L97">
        <v>17</v>
      </c>
      <c r="M97">
        <v>14.1</v>
      </c>
      <c r="N97">
        <v>12.2</v>
      </c>
      <c r="O97">
        <v>11.4</v>
      </c>
      <c r="P97">
        <v>15.1</v>
      </c>
      <c r="Q97">
        <v>15.7</v>
      </c>
      <c r="R97">
        <v>11.5</v>
      </c>
      <c r="S97">
        <f t="shared" si="6"/>
        <v>59</v>
      </c>
      <c r="T97" t="s">
        <v>93</v>
      </c>
      <c r="U97">
        <f t="shared" si="7"/>
        <v>0.20899999999999999</v>
      </c>
      <c r="V97">
        <f t="shared" si="5"/>
        <v>0.21100000000000002</v>
      </c>
      <c r="W97">
        <f t="shared" si="5"/>
        <v>0.19600000000000001</v>
      </c>
      <c r="X97">
        <f t="shared" si="5"/>
        <v>0.17</v>
      </c>
      <c r="Y97">
        <f t="shared" si="5"/>
        <v>0.14099999999999999</v>
      </c>
      <c r="Z97">
        <f t="shared" si="5"/>
        <v>0.122</v>
      </c>
      <c r="AA97">
        <f t="shared" si="5"/>
        <v>0.114</v>
      </c>
      <c r="AB97">
        <f t="shared" si="5"/>
        <v>0.151</v>
      </c>
      <c r="AC97">
        <f t="shared" si="5"/>
        <v>0.157</v>
      </c>
      <c r="AD97">
        <f t="shared" si="5"/>
        <v>0.115</v>
      </c>
    </row>
    <row r="98" spans="1:30" x14ac:dyDescent="0.25">
      <c r="A98">
        <v>432</v>
      </c>
      <c r="B98">
        <v>60</v>
      </c>
      <c r="C98">
        <v>0</v>
      </c>
      <c r="D98">
        <v>14</v>
      </c>
      <c r="E98">
        <v>8</v>
      </c>
      <c r="F98">
        <v>11</v>
      </c>
      <c r="G98">
        <v>9</v>
      </c>
      <c r="H98">
        <v>21</v>
      </c>
      <c r="I98">
        <v>21.6</v>
      </c>
      <c r="J98">
        <v>20.8</v>
      </c>
      <c r="K98">
        <v>20</v>
      </c>
      <c r="L98">
        <v>19.7</v>
      </c>
      <c r="M98">
        <v>16.600000000000001</v>
      </c>
      <c r="N98">
        <v>12.9</v>
      </c>
      <c r="O98">
        <v>12.6</v>
      </c>
      <c r="P98">
        <v>15.3</v>
      </c>
      <c r="Q98">
        <v>14</v>
      </c>
      <c r="R98">
        <v>8.1</v>
      </c>
      <c r="S98">
        <f t="shared" si="6"/>
        <v>60</v>
      </c>
      <c r="T98" t="s">
        <v>94</v>
      </c>
      <c r="U98">
        <f t="shared" si="7"/>
        <v>0.21600000000000003</v>
      </c>
      <c r="V98">
        <f t="shared" si="5"/>
        <v>0.20800000000000002</v>
      </c>
      <c r="W98">
        <f t="shared" si="5"/>
        <v>0.2</v>
      </c>
      <c r="X98">
        <f t="shared" si="5"/>
        <v>0.19699999999999998</v>
      </c>
      <c r="Y98">
        <f t="shared" si="5"/>
        <v>0.16600000000000001</v>
      </c>
      <c r="Z98">
        <f t="shared" si="5"/>
        <v>0.129</v>
      </c>
      <c r="AA98">
        <f t="shared" si="5"/>
        <v>0.126</v>
      </c>
      <c r="AB98">
        <f t="shared" si="5"/>
        <v>0.153</v>
      </c>
      <c r="AC98">
        <f t="shared" si="5"/>
        <v>0.14000000000000001</v>
      </c>
      <c r="AD98">
        <f t="shared" si="5"/>
        <v>8.1000000000000003E-2</v>
      </c>
    </row>
    <row r="99" spans="1:30" x14ac:dyDescent="0.25">
      <c r="A99">
        <v>431</v>
      </c>
      <c r="B99">
        <v>61</v>
      </c>
      <c r="C99">
        <v>0</v>
      </c>
      <c r="D99">
        <v>14</v>
      </c>
      <c r="E99">
        <v>8</v>
      </c>
      <c r="F99">
        <v>11</v>
      </c>
      <c r="G99">
        <v>9</v>
      </c>
      <c r="H99">
        <v>40</v>
      </c>
      <c r="I99">
        <v>22.2</v>
      </c>
      <c r="J99">
        <v>21.8</v>
      </c>
      <c r="K99">
        <v>21.5</v>
      </c>
      <c r="L99">
        <v>22.6</v>
      </c>
      <c r="M99">
        <v>20.5</v>
      </c>
      <c r="N99">
        <v>18.2</v>
      </c>
      <c r="O99">
        <v>16.399999999999999</v>
      </c>
      <c r="P99">
        <v>16.899999999999999</v>
      </c>
      <c r="Q99">
        <v>16.399999999999999</v>
      </c>
      <c r="R99">
        <v>9.8000000000000007</v>
      </c>
      <c r="S99">
        <f t="shared" si="6"/>
        <v>61</v>
      </c>
      <c r="T99" t="s">
        <v>45</v>
      </c>
      <c r="U99">
        <f t="shared" si="7"/>
        <v>0.222</v>
      </c>
      <c r="V99">
        <f t="shared" si="5"/>
        <v>0.218</v>
      </c>
      <c r="W99">
        <f t="shared" si="5"/>
        <v>0.215</v>
      </c>
      <c r="X99">
        <f t="shared" si="5"/>
        <v>0.22600000000000001</v>
      </c>
      <c r="Y99">
        <f t="shared" si="5"/>
        <v>0.20499999999999999</v>
      </c>
      <c r="Z99">
        <f t="shared" si="5"/>
        <v>0.182</v>
      </c>
      <c r="AA99">
        <f t="shared" si="5"/>
        <v>0.16399999999999998</v>
      </c>
      <c r="AB99">
        <f t="shared" si="5"/>
        <v>0.16899999999999998</v>
      </c>
      <c r="AC99">
        <f t="shared" si="5"/>
        <v>0.16399999999999998</v>
      </c>
      <c r="AD99">
        <f t="shared" si="5"/>
        <v>9.8000000000000004E-2</v>
      </c>
    </row>
    <row r="100" spans="1:30" x14ac:dyDescent="0.25">
      <c r="A100">
        <v>430</v>
      </c>
      <c r="B100">
        <v>62</v>
      </c>
      <c r="C100">
        <v>0</v>
      </c>
      <c r="D100">
        <v>14</v>
      </c>
      <c r="E100">
        <v>8</v>
      </c>
      <c r="F100">
        <v>11</v>
      </c>
      <c r="G100">
        <v>10</v>
      </c>
      <c r="H100">
        <v>0</v>
      </c>
      <c r="I100">
        <v>22.5</v>
      </c>
      <c r="J100">
        <v>23.2</v>
      </c>
      <c r="K100">
        <v>23.7</v>
      </c>
      <c r="L100">
        <v>22.3</v>
      </c>
      <c r="M100">
        <v>20.9</v>
      </c>
      <c r="N100">
        <v>20.2</v>
      </c>
      <c r="O100">
        <v>19.8</v>
      </c>
      <c r="P100">
        <v>19.399999999999999</v>
      </c>
      <c r="Q100">
        <v>17.7</v>
      </c>
      <c r="R100">
        <v>10.9</v>
      </c>
      <c r="S100">
        <f t="shared" si="6"/>
        <v>62</v>
      </c>
      <c r="T100" t="s">
        <v>46</v>
      </c>
      <c r="U100">
        <f t="shared" si="7"/>
        <v>0.22500000000000001</v>
      </c>
      <c r="V100">
        <f t="shared" si="5"/>
        <v>0.23199999999999998</v>
      </c>
      <c r="W100">
        <f t="shared" si="5"/>
        <v>0.23699999999999999</v>
      </c>
      <c r="X100">
        <f t="shared" si="5"/>
        <v>0.223</v>
      </c>
      <c r="Y100">
        <f t="shared" si="5"/>
        <v>0.20899999999999999</v>
      </c>
      <c r="Z100">
        <f t="shared" si="5"/>
        <v>0.20199999999999999</v>
      </c>
      <c r="AA100">
        <f t="shared" si="5"/>
        <v>0.19800000000000001</v>
      </c>
      <c r="AB100">
        <f t="shared" si="5"/>
        <v>0.19399999999999998</v>
      </c>
      <c r="AC100">
        <f t="shared" si="5"/>
        <v>0.17699999999999999</v>
      </c>
      <c r="AD100">
        <f t="shared" si="5"/>
        <v>0.109</v>
      </c>
    </row>
    <row r="101" spans="1:30" x14ac:dyDescent="0.25">
      <c r="A101">
        <v>429</v>
      </c>
      <c r="B101">
        <v>63</v>
      </c>
      <c r="C101">
        <v>0</v>
      </c>
      <c r="D101">
        <v>14</v>
      </c>
      <c r="E101">
        <v>8</v>
      </c>
      <c r="F101">
        <v>11</v>
      </c>
      <c r="G101">
        <v>10</v>
      </c>
      <c r="H101">
        <v>13</v>
      </c>
      <c r="I101">
        <v>22.5</v>
      </c>
      <c r="J101">
        <v>19.7</v>
      </c>
      <c r="K101">
        <v>21</v>
      </c>
      <c r="L101">
        <v>19.5</v>
      </c>
      <c r="M101">
        <v>17.100000000000001</v>
      </c>
      <c r="N101">
        <v>17.5</v>
      </c>
      <c r="O101">
        <v>16.899999999999999</v>
      </c>
      <c r="P101">
        <v>17.899999999999999</v>
      </c>
      <c r="Q101">
        <v>16.899999999999999</v>
      </c>
      <c r="R101">
        <v>10.8</v>
      </c>
      <c r="S101">
        <f t="shared" si="6"/>
        <v>63</v>
      </c>
      <c r="T101" t="s">
        <v>47</v>
      </c>
      <c r="U101">
        <f t="shared" si="7"/>
        <v>0.22500000000000001</v>
      </c>
      <c r="V101">
        <f t="shared" si="5"/>
        <v>0.19699999999999998</v>
      </c>
      <c r="W101">
        <f t="shared" si="5"/>
        <v>0.21</v>
      </c>
      <c r="X101">
        <f t="shared" si="5"/>
        <v>0.19500000000000001</v>
      </c>
      <c r="Y101">
        <f t="shared" si="5"/>
        <v>0.17100000000000001</v>
      </c>
      <c r="Z101">
        <f t="shared" si="5"/>
        <v>0.17499999999999999</v>
      </c>
      <c r="AA101">
        <f t="shared" si="5"/>
        <v>0.16899999999999998</v>
      </c>
      <c r="AB101">
        <f t="shared" si="5"/>
        <v>0.17899999999999999</v>
      </c>
      <c r="AC101">
        <f t="shared" si="5"/>
        <v>0.16899999999999998</v>
      </c>
      <c r="AD101">
        <f t="shared" si="5"/>
        <v>0.10800000000000001</v>
      </c>
    </row>
    <row r="102" spans="1:30" x14ac:dyDescent="0.25">
      <c r="A102">
        <v>428</v>
      </c>
      <c r="B102">
        <v>64</v>
      </c>
      <c r="C102">
        <v>0</v>
      </c>
      <c r="D102">
        <v>14</v>
      </c>
      <c r="E102">
        <v>8</v>
      </c>
      <c r="F102">
        <v>11</v>
      </c>
      <c r="G102">
        <v>10</v>
      </c>
      <c r="H102">
        <v>17</v>
      </c>
      <c r="I102">
        <v>14</v>
      </c>
      <c r="J102">
        <v>12.7</v>
      </c>
      <c r="K102">
        <v>11.3</v>
      </c>
      <c r="L102">
        <v>10.8</v>
      </c>
      <c r="M102">
        <v>9.1999999999999993</v>
      </c>
      <c r="N102">
        <v>9.1</v>
      </c>
      <c r="O102">
        <v>9.6</v>
      </c>
      <c r="P102">
        <v>14.8</v>
      </c>
      <c r="Q102">
        <v>16.899999999999999</v>
      </c>
      <c r="R102">
        <v>9.9</v>
      </c>
      <c r="S102">
        <f t="shared" si="6"/>
        <v>64</v>
      </c>
      <c r="T102" t="s">
        <v>48</v>
      </c>
      <c r="U102">
        <f t="shared" si="7"/>
        <v>0.14000000000000001</v>
      </c>
      <c r="V102">
        <f t="shared" si="5"/>
        <v>0.127</v>
      </c>
      <c r="W102">
        <f t="shared" si="5"/>
        <v>0.113</v>
      </c>
      <c r="X102">
        <f t="shared" si="5"/>
        <v>0.10800000000000001</v>
      </c>
      <c r="Y102">
        <f t="shared" si="5"/>
        <v>9.1999999999999998E-2</v>
      </c>
      <c r="Z102">
        <f t="shared" si="5"/>
        <v>9.0999999999999998E-2</v>
      </c>
      <c r="AA102">
        <f t="shared" si="5"/>
        <v>9.6000000000000002E-2</v>
      </c>
      <c r="AB102">
        <f t="shared" si="5"/>
        <v>0.14800000000000002</v>
      </c>
      <c r="AC102">
        <f t="shared" si="5"/>
        <v>0.16899999999999998</v>
      </c>
      <c r="AD102">
        <f t="shared" si="5"/>
        <v>9.9000000000000005E-2</v>
      </c>
    </row>
    <row r="103" spans="1:30" x14ac:dyDescent="0.25">
      <c r="A103">
        <v>427</v>
      </c>
      <c r="B103">
        <v>65</v>
      </c>
      <c r="C103">
        <v>0</v>
      </c>
      <c r="D103">
        <v>14</v>
      </c>
      <c r="E103">
        <v>8</v>
      </c>
      <c r="F103">
        <v>11</v>
      </c>
      <c r="G103">
        <v>10</v>
      </c>
      <c r="H103">
        <v>22</v>
      </c>
      <c r="I103">
        <v>17.899999999999999</v>
      </c>
      <c r="J103">
        <v>20.5</v>
      </c>
      <c r="K103">
        <v>22.1</v>
      </c>
      <c r="L103">
        <v>22.3</v>
      </c>
      <c r="M103">
        <v>19.5</v>
      </c>
      <c r="N103">
        <v>16</v>
      </c>
      <c r="O103">
        <v>13.7</v>
      </c>
      <c r="P103">
        <v>14.9</v>
      </c>
      <c r="Q103">
        <v>15.8</v>
      </c>
      <c r="R103">
        <v>10.1</v>
      </c>
      <c r="S103">
        <f t="shared" si="6"/>
        <v>65</v>
      </c>
      <c r="T103" t="s">
        <v>49</v>
      </c>
      <c r="U103">
        <f t="shared" si="7"/>
        <v>0.17899999999999999</v>
      </c>
      <c r="V103">
        <f t="shared" si="5"/>
        <v>0.20499999999999999</v>
      </c>
      <c r="W103">
        <f t="shared" si="5"/>
        <v>0.221</v>
      </c>
      <c r="X103">
        <f t="shared" si="5"/>
        <v>0.223</v>
      </c>
      <c r="Y103">
        <f t="shared" ref="Y103:AD110" si="8">IF(M103&lt;0,"",M103/100)</f>
        <v>0.19500000000000001</v>
      </c>
      <c r="Z103">
        <f t="shared" si="8"/>
        <v>0.16</v>
      </c>
      <c r="AA103">
        <f t="shared" si="8"/>
        <v>0.13699999999999998</v>
      </c>
      <c r="AB103">
        <f t="shared" si="8"/>
        <v>0.14899999999999999</v>
      </c>
      <c r="AC103">
        <f t="shared" si="8"/>
        <v>0.158</v>
      </c>
      <c r="AD103">
        <f t="shared" si="8"/>
        <v>0.10099999999999999</v>
      </c>
    </row>
    <row r="104" spans="1:30" x14ac:dyDescent="0.25">
      <c r="A104">
        <v>426</v>
      </c>
      <c r="B104">
        <v>66</v>
      </c>
      <c r="C104">
        <v>0</v>
      </c>
      <c r="D104">
        <v>14</v>
      </c>
      <c r="E104">
        <v>8</v>
      </c>
      <c r="F104">
        <v>11</v>
      </c>
      <c r="G104">
        <v>10</v>
      </c>
      <c r="H104">
        <v>26</v>
      </c>
      <c r="I104">
        <v>19.2</v>
      </c>
      <c r="J104">
        <v>21.7</v>
      </c>
      <c r="K104">
        <v>19.8</v>
      </c>
      <c r="L104">
        <v>17.399999999999999</v>
      </c>
      <c r="M104">
        <v>15.9</v>
      </c>
      <c r="N104">
        <v>15.9</v>
      </c>
      <c r="O104">
        <v>14.6</v>
      </c>
      <c r="P104">
        <v>14.4</v>
      </c>
      <c r="Q104">
        <v>15</v>
      </c>
      <c r="R104">
        <v>10.4</v>
      </c>
      <c r="S104">
        <f t="shared" si="6"/>
        <v>66</v>
      </c>
      <c r="T104" t="s">
        <v>50</v>
      </c>
      <c r="U104">
        <f t="shared" si="7"/>
        <v>0.192</v>
      </c>
      <c r="V104">
        <f t="shared" si="7"/>
        <v>0.217</v>
      </c>
      <c r="W104">
        <f t="shared" si="7"/>
        <v>0.19800000000000001</v>
      </c>
      <c r="X104">
        <f t="shared" si="7"/>
        <v>0.17399999999999999</v>
      </c>
      <c r="Y104">
        <f t="shared" si="8"/>
        <v>0.159</v>
      </c>
      <c r="Z104">
        <f t="shared" si="8"/>
        <v>0.159</v>
      </c>
      <c r="AA104">
        <f t="shared" si="8"/>
        <v>0.14599999999999999</v>
      </c>
      <c r="AB104">
        <f t="shared" si="8"/>
        <v>0.14400000000000002</v>
      </c>
      <c r="AC104">
        <f t="shared" si="8"/>
        <v>0.15</v>
      </c>
      <c r="AD104">
        <f t="shared" si="8"/>
        <v>0.10400000000000001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04"/>
  <sheetViews>
    <sheetView topLeftCell="A39" workbookViewId="0">
      <selection activeCell="T75" sqref="T75:AD104"/>
    </sheetView>
  </sheetViews>
  <sheetFormatPr defaultRowHeight="15" x14ac:dyDescent="0.25"/>
  <sheetData>
    <row r="1" spans="1:7" x14ac:dyDescent="0.25">
      <c r="A1" s="2">
        <v>41869</v>
      </c>
    </row>
    <row r="2" spans="1:7" x14ac:dyDescent="0.25">
      <c r="A2" t="s">
        <v>3</v>
      </c>
      <c r="B2">
        <v>6114</v>
      </c>
      <c r="C2" t="s">
        <v>4</v>
      </c>
      <c r="D2">
        <v>10172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8</v>
      </c>
      <c r="F19">
        <v>18</v>
      </c>
      <c r="G19">
        <v>7</v>
      </c>
      <c r="H19">
        <v>46</v>
      </c>
      <c r="I19">
        <v>9</v>
      </c>
      <c r="J19">
        <v>10.5</v>
      </c>
      <c r="K19">
        <v>11.1</v>
      </c>
      <c r="L19">
        <v>11.8</v>
      </c>
      <c r="M19">
        <v>14.4</v>
      </c>
      <c r="N19">
        <v>16.2</v>
      </c>
      <c r="O19">
        <v>17.7</v>
      </c>
      <c r="P19">
        <v>17.100000000000001</v>
      </c>
      <c r="Q19">
        <v>15.4</v>
      </c>
      <c r="R19">
        <v>8.1999999999999993</v>
      </c>
      <c r="S19">
        <f>B19</f>
        <v>1</v>
      </c>
      <c r="T19" t="s">
        <v>51</v>
      </c>
      <c r="U19">
        <f>IF(I19&lt;0,"",I19/100)</f>
        <v>0.09</v>
      </c>
      <c r="V19">
        <f t="shared" ref="V19:AD47" si="0">IF(J19&lt;0,"",J19/100)</f>
        <v>0.105</v>
      </c>
      <c r="W19">
        <f t="shared" si="0"/>
        <v>0.111</v>
      </c>
      <c r="X19">
        <f t="shared" si="0"/>
        <v>0.11800000000000001</v>
      </c>
      <c r="Y19">
        <f t="shared" si="0"/>
        <v>0.14400000000000002</v>
      </c>
      <c r="Z19">
        <f t="shared" si="0"/>
        <v>0.16200000000000001</v>
      </c>
      <c r="AA19">
        <f t="shared" si="0"/>
        <v>0.17699999999999999</v>
      </c>
      <c r="AB19">
        <f t="shared" si="0"/>
        <v>0.17100000000000001</v>
      </c>
      <c r="AC19">
        <f t="shared" si="0"/>
        <v>0.154</v>
      </c>
      <c r="AD19">
        <f t="shared" si="0"/>
        <v>8.199999999999999E-2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8</v>
      </c>
      <c r="F20">
        <v>18</v>
      </c>
      <c r="G20">
        <v>7</v>
      </c>
      <c r="H20">
        <v>51</v>
      </c>
      <c r="I20">
        <v>20.9</v>
      </c>
      <c r="J20">
        <v>13.6</v>
      </c>
      <c r="K20">
        <v>11</v>
      </c>
      <c r="L20">
        <v>11.9</v>
      </c>
      <c r="M20">
        <v>13.7</v>
      </c>
      <c r="N20">
        <v>14.7</v>
      </c>
      <c r="O20">
        <v>16.399999999999999</v>
      </c>
      <c r="P20">
        <v>17.5</v>
      </c>
      <c r="Q20">
        <v>15.8</v>
      </c>
      <c r="R20">
        <v>10.8</v>
      </c>
      <c r="S20">
        <f t="shared" ref="S20:S54" si="1">B20</f>
        <v>2</v>
      </c>
      <c r="T20" t="s">
        <v>55</v>
      </c>
      <c r="U20">
        <f t="shared" ref="U20:X48" si="2">IF(I20&lt;0,"",I20/100)</f>
        <v>0.20899999999999999</v>
      </c>
      <c r="V20">
        <f t="shared" si="0"/>
        <v>0.13600000000000001</v>
      </c>
      <c r="W20">
        <f t="shared" si="0"/>
        <v>0.11</v>
      </c>
      <c r="X20">
        <f t="shared" si="0"/>
        <v>0.11900000000000001</v>
      </c>
      <c r="Y20">
        <f t="shared" si="0"/>
        <v>0.13699999999999998</v>
      </c>
      <c r="Z20">
        <f t="shared" si="0"/>
        <v>0.14699999999999999</v>
      </c>
      <c r="AA20">
        <f t="shared" si="0"/>
        <v>0.16399999999999998</v>
      </c>
      <c r="AB20">
        <f t="shared" si="0"/>
        <v>0.17499999999999999</v>
      </c>
      <c r="AC20">
        <f t="shared" si="0"/>
        <v>0.158</v>
      </c>
      <c r="AD20">
        <f t="shared" si="0"/>
        <v>0.10800000000000001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8</v>
      </c>
      <c r="F21">
        <v>18</v>
      </c>
      <c r="G21">
        <v>7</v>
      </c>
      <c r="H21">
        <v>56</v>
      </c>
      <c r="I21">
        <v>12.5</v>
      </c>
      <c r="J21">
        <v>16.399999999999999</v>
      </c>
      <c r="K21">
        <v>19</v>
      </c>
      <c r="L21">
        <v>18.8</v>
      </c>
      <c r="M21">
        <v>15.6</v>
      </c>
      <c r="N21">
        <v>15.9</v>
      </c>
      <c r="O21">
        <v>16.3</v>
      </c>
      <c r="P21">
        <v>18.899999999999999</v>
      </c>
      <c r="Q21">
        <v>20.2</v>
      </c>
      <c r="R21">
        <v>12</v>
      </c>
      <c r="S21">
        <f t="shared" si="1"/>
        <v>3</v>
      </c>
      <c r="T21" t="s">
        <v>56</v>
      </c>
      <c r="U21">
        <f t="shared" si="2"/>
        <v>0.125</v>
      </c>
      <c r="V21">
        <f t="shared" si="0"/>
        <v>0.16399999999999998</v>
      </c>
      <c r="W21">
        <f t="shared" si="0"/>
        <v>0.19</v>
      </c>
      <c r="X21">
        <f t="shared" si="0"/>
        <v>0.188</v>
      </c>
      <c r="Y21">
        <f t="shared" si="0"/>
        <v>0.156</v>
      </c>
      <c r="Z21">
        <f t="shared" si="0"/>
        <v>0.159</v>
      </c>
      <c r="AA21">
        <f t="shared" si="0"/>
        <v>0.16300000000000001</v>
      </c>
      <c r="AB21">
        <f t="shared" si="0"/>
        <v>0.18899999999999997</v>
      </c>
      <c r="AC21">
        <f t="shared" si="0"/>
        <v>0.20199999999999999</v>
      </c>
      <c r="AD21">
        <f t="shared" si="0"/>
        <v>0.12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8</v>
      </c>
      <c r="F22">
        <v>18</v>
      </c>
      <c r="G22">
        <v>8</v>
      </c>
      <c r="H22">
        <v>1</v>
      </c>
      <c r="I22">
        <v>13.8</v>
      </c>
      <c r="J22">
        <v>13.7</v>
      </c>
      <c r="K22">
        <v>13.5</v>
      </c>
      <c r="L22">
        <v>16.899999999999999</v>
      </c>
      <c r="M22">
        <v>17.3</v>
      </c>
      <c r="N22">
        <v>17.100000000000001</v>
      </c>
      <c r="O22">
        <v>16.899999999999999</v>
      </c>
      <c r="P22">
        <v>16.5</v>
      </c>
      <c r="Q22">
        <v>14.7</v>
      </c>
      <c r="R22">
        <v>8.1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0.13699999999999998</v>
      </c>
      <c r="W22">
        <f t="shared" si="0"/>
        <v>0.13500000000000001</v>
      </c>
      <c r="X22">
        <f t="shared" si="0"/>
        <v>0.16899999999999998</v>
      </c>
      <c r="Y22">
        <f t="shared" si="0"/>
        <v>0.17300000000000001</v>
      </c>
      <c r="Z22">
        <f t="shared" si="0"/>
        <v>0.17100000000000001</v>
      </c>
      <c r="AA22">
        <f t="shared" si="0"/>
        <v>0.16899999999999998</v>
      </c>
      <c r="AB22">
        <f t="shared" si="0"/>
        <v>0.16500000000000001</v>
      </c>
      <c r="AC22">
        <f t="shared" si="0"/>
        <v>0.14699999999999999</v>
      </c>
      <c r="AD22">
        <f t="shared" si="0"/>
        <v>8.1000000000000003E-2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8</v>
      </c>
      <c r="F23">
        <v>18</v>
      </c>
      <c r="G23">
        <v>8</v>
      </c>
      <c r="H23">
        <v>6</v>
      </c>
      <c r="I23">
        <v>-5.9</v>
      </c>
      <c r="J23">
        <v>-5.9</v>
      </c>
      <c r="K23">
        <v>-5.9</v>
      </c>
      <c r="L23">
        <v>23.5</v>
      </c>
      <c r="M23">
        <v>18.600000000000001</v>
      </c>
      <c r="N23">
        <v>18.899999999999999</v>
      </c>
      <c r="O23">
        <v>17.8</v>
      </c>
      <c r="P23">
        <v>19.100000000000001</v>
      </c>
      <c r="Q23">
        <v>20.100000000000001</v>
      </c>
      <c r="R23">
        <v>12.8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0.23499999999999999</v>
      </c>
      <c r="Y23">
        <f t="shared" si="0"/>
        <v>0.18600000000000003</v>
      </c>
      <c r="Z23">
        <f t="shared" si="0"/>
        <v>0.18899999999999997</v>
      </c>
      <c r="AA23">
        <f t="shared" si="0"/>
        <v>0.17800000000000002</v>
      </c>
      <c r="AB23">
        <f t="shared" si="0"/>
        <v>0.191</v>
      </c>
      <c r="AC23">
        <f t="shared" si="0"/>
        <v>0.20100000000000001</v>
      </c>
      <c r="AD23">
        <f t="shared" si="0"/>
        <v>0.128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8</v>
      </c>
      <c r="F24">
        <v>18</v>
      </c>
      <c r="G24">
        <v>8</v>
      </c>
      <c r="H24">
        <v>10</v>
      </c>
      <c r="I24">
        <v>-5.9</v>
      </c>
      <c r="J24">
        <v>19.399999999999999</v>
      </c>
      <c r="K24">
        <v>19.3</v>
      </c>
      <c r="L24">
        <v>19</v>
      </c>
      <c r="M24">
        <v>19.600000000000001</v>
      </c>
      <c r="N24">
        <v>18.899999999999999</v>
      </c>
      <c r="O24">
        <v>16.600000000000001</v>
      </c>
      <c r="P24">
        <v>19.5</v>
      </c>
      <c r="Q24">
        <v>17.2</v>
      </c>
      <c r="R24">
        <v>8.5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0.19399999999999998</v>
      </c>
      <c r="W24">
        <f t="shared" si="0"/>
        <v>0.193</v>
      </c>
      <c r="X24">
        <f t="shared" si="0"/>
        <v>0.19</v>
      </c>
      <c r="Y24">
        <f t="shared" si="0"/>
        <v>0.19600000000000001</v>
      </c>
      <c r="Z24">
        <f t="shared" si="0"/>
        <v>0.18899999999999997</v>
      </c>
      <c r="AA24">
        <f t="shared" si="0"/>
        <v>0.16600000000000001</v>
      </c>
      <c r="AB24">
        <f t="shared" si="0"/>
        <v>0.19500000000000001</v>
      </c>
      <c r="AC24">
        <f t="shared" si="0"/>
        <v>0.17199999999999999</v>
      </c>
      <c r="AD24">
        <f t="shared" si="0"/>
        <v>8.5000000000000006E-2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8</v>
      </c>
      <c r="F25">
        <v>18</v>
      </c>
      <c r="G25">
        <v>8</v>
      </c>
      <c r="H25">
        <v>15</v>
      </c>
      <c r="I25">
        <v>-5.9</v>
      </c>
      <c r="J25">
        <v>-5.9</v>
      </c>
      <c r="K25">
        <v>25.8</v>
      </c>
      <c r="L25">
        <v>28.7</v>
      </c>
      <c r="M25">
        <v>20.5</v>
      </c>
      <c r="N25">
        <v>19.5</v>
      </c>
      <c r="O25">
        <v>22.8</v>
      </c>
      <c r="P25">
        <v>20.5</v>
      </c>
      <c r="Q25">
        <v>20</v>
      </c>
      <c r="R25">
        <v>13.5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0.25800000000000001</v>
      </c>
      <c r="X25">
        <f t="shared" si="0"/>
        <v>0.28699999999999998</v>
      </c>
      <c r="Y25">
        <f t="shared" si="0"/>
        <v>0.20499999999999999</v>
      </c>
      <c r="Z25">
        <f t="shared" si="0"/>
        <v>0.19500000000000001</v>
      </c>
      <c r="AA25">
        <f t="shared" si="0"/>
        <v>0.22800000000000001</v>
      </c>
      <c r="AB25">
        <f t="shared" si="0"/>
        <v>0.20499999999999999</v>
      </c>
      <c r="AC25">
        <f t="shared" si="0"/>
        <v>0.2</v>
      </c>
      <c r="AD25">
        <f t="shared" si="0"/>
        <v>0.13500000000000001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8</v>
      </c>
      <c r="F26">
        <v>18</v>
      </c>
      <c r="G26">
        <v>8</v>
      </c>
      <c r="H26">
        <v>11</v>
      </c>
      <c r="I26">
        <v>-5.9</v>
      </c>
      <c r="J26">
        <v>31.7</v>
      </c>
      <c r="K26">
        <v>26.8</v>
      </c>
      <c r="L26">
        <v>18.100000000000001</v>
      </c>
      <c r="M26">
        <v>18.7</v>
      </c>
      <c r="N26">
        <v>19.100000000000001</v>
      </c>
      <c r="O26">
        <v>16.8</v>
      </c>
      <c r="P26">
        <v>22</v>
      </c>
      <c r="Q26">
        <v>22.8</v>
      </c>
      <c r="R26">
        <v>15.1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0.317</v>
      </c>
      <c r="W26">
        <f t="shared" si="0"/>
        <v>0.26800000000000002</v>
      </c>
      <c r="X26">
        <f t="shared" si="0"/>
        <v>0.18100000000000002</v>
      </c>
      <c r="Y26">
        <f t="shared" si="0"/>
        <v>0.187</v>
      </c>
      <c r="Z26">
        <f t="shared" si="0"/>
        <v>0.191</v>
      </c>
      <c r="AA26">
        <f t="shared" si="0"/>
        <v>0.16800000000000001</v>
      </c>
      <c r="AB26">
        <f t="shared" si="0"/>
        <v>0.22</v>
      </c>
      <c r="AC26">
        <f t="shared" si="0"/>
        <v>0.22800000000000001</v>
      </c>
      <c r="AD26">
        <f t="shared" si="0"/>
        <v>0.151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8</v>
      </c>
      <c r="F27">
        <v>18</v>
      </c>
      <c r="G27">
        <v>8</v>
      </c>
      <c r="H27">
        <v>24</v>
      </c>
      <c r="I27">
        <v>-5.9</v>
      </c>
      <c r="J27">
        <v>16.100000000000001</v>
      </c>
      <c r="K27">
        <v>15.2</v>
      </c>
      <c r="L27">
        <v>18.899999999999999</v>
      </c>
      <c r="M27">
        <v>21.2</v>
      </c>
      <c r="N27">
        <v>22.1</v>
      </c>
      <c r="O27">
        <v>21.4</v>
      </c>
      <c r="P27">
        <v>18.100000000000001</v>
      </c>
      <c r="Q27">
        <v>18.8</v>
      </c>
      <c r="R27">
        <v>14.5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0.161</v>
      </c>
      <c r="W27">
        <f t="shared" si="0"/>
        <v>0.152</v>
      </c>
      <c r="X27">
        <f t="shared" si="0"/>
        <v>0.18899999999999997</v>
      </c>
      <c r="Y27">
        <f t="shared" si="0"/>
        <v>0.21199999999999999</v>
      </c>
      <c r="Z27">
        <f t="shared" si="0"/>
        <v>0.221</v>
      </c>
      <c r="AA27">
        <f t="shared" si="0"/>
        <v>0.214</v>
      </c>
      <c r="AB27">
        <f t="shared" si="0"/>
        <v>0.18100000000000002</v>
      </c>
      <c r="AC27">
        <f t="shared" si="0"/>
        <v>0.188</v>
      </c>
      <c r="AD27">
        <f t="shared" si="0"/>
        <v>0.14499999999999999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8</v>
      </c>
      <c r="F28">
        <v>18</v>
      </c>
      <c r="G28">
        <v>8</v>
      </c>
      <c r="H28">
        <v>21</v>
      </c>
      <c r="I28">
        <v>17</v>
      </c>
      <c r="J28">
        <v>13.7</v>
      </c>
      <c r="K28">
        <v>15.7</v>
      </c>
      <c r="L28">
        <v>16.8</v>
      </c>
      <c r="M28">
        <v>20.9</v>
      </c>
      <c r="N28">
        <v>21.9</v>
      </c>
      <c r="O28">
        <v>23.2</v>
      </c>
      <c r="P28">
        <v>24.9</v>
      </c>
      <c r="Q28">
        <v>22.8</v>
      </c>
      <c r="R28">
        <v>13.3</v>
      </c>
      <c r="S28">
        <f t="shared" si="1"/>
        <v>10</v>
      </c>
      <c r="T28" t="s">
        <v>62</v>
      </c>
      <c r="U28">
        <f t="shared" si="2"/>
        <v>0.17</v>
      </c>
      <c r="V28">
        <f t="shared" si="0"/>
        <v>0.13699999999999998</v>
      </c>
      <c r="W28">
        <f t="shared" si="0"/>
        <v>0.157</v>
      </c>
      <c r="X28">
        <f t="shared" si="0"/>
        <v>0.16800000000000001</v>
      </c>
      <c r="Y28">
        <f t="shared" si="0"/>
        <v>0.20899999999999999</v>
      </c>
      <c r="Z28">
        <f t="shared" si="0"/>
        <v>0.21899999999999997</v>
      </c>
      <c r="AA28">
        <f t="shared" si="0"/>
        <v>0.23199999999999998</v>
      </c>
      <c r="AB28">
        <f t="shared" si="0"/>
        <v>0.249</v>
      </c>
      <c r="AC28">
        <f t="shared" si="0"/>
        <v>0.22800000000000001</v>
      </c>
      <c r="AD28">
        <f t="shared" si="0"/>
        <v>0.13300000000000001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8</v>
      </c>
      <c r="F29">
        <v>18</v>
      </c>
      <c r="G29">
        <v>8</v>
      </c>
      <c r="H29">
        <v>35</v>
      </c>
      <c r="I29">
        <v>15.1</v>
      </c>
      <c r="J29">
        <v>15.5</v>
      </c>
      <c r="K29">
        <v>17.600000000000001</v>
      </c>
      <c r="L29">
        <v>18.399999999999999</v>
      </c>
      <c r="M29">
        <v>20.8</v>
      </c>
      <c r="N29">
        <v>23.2</v>
      </c>
      <c r="O29">
        <v>22.8</v>
      </c>
      <c r="P29">
        <v>22.5</v>
      </c>
      <c r="Q29">
        <v>17.600000000000001</v>
      </c>
      <c r="R29">
        <v>14.4</v>
      </c>
      <c r="S29">
        <f t="shared" si="1"/>
        <v>11</v>
      </c>
      <c r="T29" t="s">
        <v>52</v>
      </c>
      <c r="U29">
        <f t="shared" si="2"/>
        <v>0.151</v>
      </c>
      <c r="V29">
        <f t="shared" si="0"/>
        <v>0.155</v>
      </c>
      <c r="W29">
        <f t="shared" si="0"/>
        <v>0.17600000000000002</v>
      </c>
      <c r="X29">
        <f t="shared" si="0"/>
        <v>0.184</v>
      </c>
      <c r="Y29">
        <f t="shared" si="0"/>
        <v>0.20800000000000002</v>
      </c>
      <c r="Z29">
        <f t="shared" si="0"/>
        <v>0.23199999999999998</v>
      </c>
      <c r="AA29">
        <f t="shared" si="0"/>
        <v>0.22800000000000001</v>
      </c>
      <c r="AB29">
        <f t="shared" si="0"/>
        <v>0.22500000000000001</v>
      </c>
      <c r="AC29">
        <f t="shared" si="0"/>
        <v>0.17600000000000002</v>
      </c>
      <c r="AD29">
        <f t="shared" si="0"/>
        <v>0.14400000000000002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8</v>
      </c>
      <c r="F30">
        <v>18</v>
      </c>
      <c r="G30">
        <v>8</v>
      </c>
      <c r="H30">
        <v>42</v>
      </c>
      <c r="I30">
        <v>25.3</v>
      </c>
      <c r="J30">
        <v>14.3</v>
      </c>
      <c r="K30">
        <v>14.7</v>
      </c>
      <c r="L30">
        <v>23.8</v>
      </c>
      <c r="M30">
        <v>21.9</v>
      </c>
      <c r="N30">
        <v>20.3</v>
      </c>
      <c r="O30">
        <v>22</v>
      </c>
      <c r="P30">
        <v>24.2</v>
      </c>
      <c r="Q30">
        <v>19.399999999999999</v>
      </c>
      <c r="R30">
        <v>13.2</v>
      </c>
      <c r="S30">
        <f t="shared" si="1"/>
        <v>12</v>
      </c>
      <c r="T30" t="s">
        <v>64</v>
      </c>
      <c r="U30">
        <f t="shared" si="2"/>
        <v>0.253</v>
      </c>
      <c r="V30">
        <f t="shared" si="0"/>
        <v>0.14300000000000002</v>
      </c>
      <c r="W30">
        <f t="shared" si="0"/>
        <v>0.14699999999999999</v>
      </c>
      <c r="X30">
        <f t="shared" si="0"/>
        <v>0.23800000000000002</v>
      </c>
      <c r="Y30">
        <f t="shared" si="0"/>
        <v>0.21899999999999997</v>
      </c>
      <c r="Z30">
        <f t="shared" si="0"/>
        <v>0.20300000000000001</v>
      </c>
      <c r="AA30">
        <f t="shared" si="0"/>
        <v>0.22</v>
      </c>
      <c r="AB30">
        <f t="shared" si="0"/>
        <v>0.24199999999999999</v>
      </c>
      <c r="AC30">
        <f t="shared" si="0"/>
        <v>0.19399999999999998</v>
      </c>
      <c r="AD30">
        <f t="shared" si="0"/>
        <v>0.13200000000000001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8</v>
      </c>
      <c r="F31">
        <v>18</v>
      </c>
      <c r="G31">
        <v>9</v>
      </c>
      <c r="H31">
        <v>1</v>
      </c>
      <c r="I31">
        <v>18.3</v>
      </c>
      <c r="J31">
        <v>19</v>
      </c>
      <c r="K31">
        <v>17.899999999999999</v>
      </c>
      <c r="L31">
        <v>22.7</v>
      </c>
      <c r="M31">
        <v>21.9</v>
      </c>
      <c r="N31">
        <v>24.5</v>
      </c>
      <c r="O31">
        <v>23.9</v>
      </c>
      <c r="P31">
        <v>24.6</v>
      </c>
      <c r="Q31">
        <v>23.1</v>
      </c>
      <c r="R31">
        <v>14.7</v>
      </c>
      <c r="S31">
        <f t="shared" si="1"/>
        <v>13</v>
      </c>
      <c r="T31" t="s">
        <v>29</v>
      </c>
      <c r="U31">
        <f t="shared" si="2"/>
        <v>0.183</v>
      </c>
      <c r="V31">
        <f t="shared" si="0"/>
        <v>0.19</v>
      </c>
      <c r="W31">
        <f t="shared" si="0"/>
        <v>0.17899999999999999</v>
      </c>
      <c r="X31">
        <f t="shared" si="0"/>
        <v>0.22699999999999998</v>
      </c>
      <c r="Y31">
        <f t="shared" si="0"/>
        <v>0.21899999999999997</v>
      </c>
      <c r="Z31">
        <f t="shared" si="0"/>
        <v>0.245</v>
      </c>
      <c r="AA31">
        <f t="shared" si="0"/>
        <v>0.23899999999999999</v>
      </c>
      <c r="AB31">
        <f t="shared" si="0"/>
        <v>0.24600000000000002</v>
      </c>
      <c r="AC31">
        <f t="shared" si="0"/>
        <v>0.23100000000000001</v>
      </c>
      <c r="AD31">
        <f t="shared" si="0"/>
        <v>0.14699999999999999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8</v>
      </c>
      <c r="F32">
        <v>18</v>
      </c>
      <c r="G32">
        <v>9</v>
      </c>
      <c r="H32">
        <v>7</v>
      </c>
      <c r="I32">
        <v>18.5</v>
      </c>
      <c r="J32">
        <v>18.3</v>
      </c>
      <c r="K32">
        <v>21.9</v>
      </c>
      <c r="L32">
        <v>25.1</v>
      </c>
      <c r="M32">
        <v>23.1</v>
      </c>
      <c r="N32">
        <v>22</v>
      </c>
      <c r="O32">
        <v>23.8</v>
      </c>
      <c r="P32">
        <v>17.899999999999999</v>
      </c>
      <c r="Q32">
        <v>16.2</v>
      </c>
      <c r="R32">
        <v>10.8</v>
      </c>
      <c r="S32">
        <f t="shared" si="1"/>
        <v>14</v>
      </c>
      <c r="T32" t="s">
        <v>30</v>
      </c>
      <c r="U32">
        <f t="shared" si="2"/>
        <v>0.185</v>
      </c>
      <c r="V32">
        <f t="shared" si="0"/>
        <v>0.183</v>
      </c>
      <c r="W32">
        <f t="shared" si="0"/>
        <v>0.21899999999999997</v>
      </c>
      <c r="X32">
        <f t="shared" si="0"/>
        <v>0.251</v>
      </c>
      <c r="Y32">
        <f t="shared" si="0"/>
        <v>0.23100000000000001</v>
      </c>
      <c r="Z32">
        <f t="shared" si="0"/>
        <v>0.22</v>
      </c>
      <c r="AA32">
        <f t="shared" si="0"/>
        <v>0.23800000000000002</v>
      </c>
      <c r="AB32">
        <f t="shared" si="0"/>
        <v>0.17899999999999999</v>
      </c>
      <c r="AC32">
        <f t="shared" si="0"/>
        <v>0.16200000000000001</v>
      </c>
      <c r="AD32">
        <f t="shared" si="0"/>
        <v>0.10800000000000001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8</v>
      </c>
      <c r="F33">
        <v>18</v>
      </c>
      <c r="G33">
        <v>9</v>
      </c>
      <c r="H33">
        <v>14</v>
      </c>
      <c r="I33">
        <v>18.7</v>
      </c>
      <c r="J33">
        <v>15.8</v>
      </c>
      <c r="K33">
        <v>15.9</v>
      </c>
      <c r="L33">
        <v>17.600000000000001</v>
      </c>
      <c r="M33">
        <v>22.5</v>
      </c>
      <c r="N33">
        <v>22</v>
      </c>
      <c r="O33">
        <v>21</v>
      </c>
      <c r="P33">
        <v>20.8</v>
      </c>
      <c r="Q33">
        <v>20.399999999999999</v>
      </c>
      <c r="R33">
        <v>15.8</v>
      </c>
      <c r="S33">
        <f t="shared" si="1"/>
        <v>15</v>
      </c>
      <c r="T33" t="s">
        <v>31</v>
      </c>
      <c r="U33">
        <f t="shared" si="2"/>
        <v>0.187</v>
      </c>
      <c r="V33">
        <f t="shared" si="0"/>
        <v>0.158</v>
      </c>
      <c r="W33">
        <f t="shared" si="0"/>
        <v>0.159</v>
      </c>
      <c r="X33">
        <f t="shared" si="0"/>
        <v>0.17600000000000002</v>
      </c>
      <c r="Y33">
        <f t="shared" si="0"/>
        <v>0.22500000000000001</v>
      </c>
      <c r="Z33">
        <f t="shared" si="0"/>
        <v>0.22</v>
      </c>
      <c r="AA33">
        <f t="shared" si="0"/>
        <v>0.21</v>
      </c>
      <c r="AB33">
        <f t="shared" si="0"/>
        <v>0.20800000000000002</v>
      </c>
      <c r="AC33">
        <f t="shared" si="0"/>
        <v>0.20399999999999999</v>
      </c>
      <c r="AD33">
        <f t="shared" si="0"/>
        <v>0.158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8</v>
      </c>
      <c r="F34">
        <v>18</v>
      </c>
      <c r="G34">
        <v>9</v>
      </c>
      <c r="H34">
        <v>21</v>
      </c>
      <c r="I34">
        <v>24.3</v>
      </c>
      <c r="J34">
        <v>19.600000000000001</v>
      </c>
      <c r="K34">
        <v>20.8</v>
      </c>
      <c r="L34">
        <v>19.5</v>
      </c>
      <c r="M34">
        <v>19.600000000000001</v>
      </c>
      <c r="N34">
        <v>18.8</v>
      </c>
      <c r="O34">
        <v>15.9</v>
      </c>
      <c r="P34">
        <v>15.1</v>
      </c>
      <c r="Q34">
        <v>19.8</v>
      </c>
      <c r="R34">
        <v>13.6</v>
      </c>
      <c r="S34">
        <f t="shared" si="1"/>
        <v>16</v>
      </c>
      <c r="T34" t="s">
        <v>32</v>
      </c>
      <c r="U34">
        <f t="shared" si="2"/>
        <v>0.24299999999999999</v>
      </c>
      <c r="V34">
        <f t="shared" si="0"/>
        <v>0.19600000000000001</v>
      </c>
      <c r="W34">
        <f t="shared" si="0"/>
        <v>0.20800000000000002</v>
      </c>
      <c r="X34">
        <f t="shared" si="0"/>
        <v>0.19500000000000001</v>
      </c>
      <c r="Y34">
        <f t="shared" si="0"/>
        <v>0.19600000000000001</v>
      </c>
      <c r="Z34">
        <f t="shared" si="0"/>
        <v>0.188</v>
      </c>
      <c r="AA34">
        <f t="shared" si="0"/>
        <v>0.159</v>
      </c>
      <c r="AB34">
        <f t="shared" si="0"/>
        <v>0.151</v>
      </c>
      <c r="AC34">
        <f t="shared" si="0"/>
        <v>0.19800000000000001</v>
      </c>
      <c r="AD34">
        <f t="shared" si="0"/>
        <v>0.13600000000000001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8</v>
      </c>
      <c r="F35">
        <v>18</v>
      </c>
      <c r="G35">
        <v>9</v>
      </c>
      <c r="H35">
        <v>27</v>
      </c>
      <c r="I35">
        <v>17.399999999999999</v>
      </c>
      <c r="J35">
        <v>17.100000000000001</v>
      </c>
      <c r="K35">
        <v>18</v>
      </c>
      <c r="L35">
        <v>17.899999999999999</v>
      </c>
      <c r="M35">
        <v>19.8</v>
      </c>
      <c r="N35">
        <v>23.2</v>
      </c>
      <c r="O35">
        <v>23.6</v>
      </c>
      <c r="P35">
        <v>20.3</v>
      </c>
      <c r="Q35">
        <v>19.600000000000001</v>
      </c>
      <c r="R35">
        <v>15.8</v>
      </c>
      <c r="S35">
        <f t="shared" si="1"/>
        <v>17</v>
      </c>
      <c r="T35" t="s">
        <v>33</v>
      </c>
      <c r="U35">
        <f t="shared" si="2"/>
        <v>0.17399999999999999</v>
      </c>
      <c r="V35">
        <f t="shared" si="0"/>
        <v>0.17100000000000001</v>
      </c>
      <c r="W35">
        <f t="shared" si="0"/>
        <v>0.18</v>
      </c>
      <c r="X35">
        <f t="shared" si="0"/>
        <v>0.17899999999999999</v>
      </c>
      <c r="Y35">
        <f t="shared" si="0"/>
        <v>0.19800000000000001</v>
      </c>
      <c r="Z35">
        <f t="shared" si="0"/>
        <v>0.23199999999999998</v>
      </c>
      <c r="AA35">
        <f t="shared" si="0"/>
        <v>0.23600000000000002</v>
      </c>
      <c r="AB35">
        <f t="shared" si="0"/>
        <v>0.20300000000000001</v>
      </c>
      <c r="AC35">
        <f t="shared" si="0"/>
        <v>0.19600000000000001</v>
      </c>
      <c r="AD35">
        <f t="shared" si="0"/>
        <v>0.158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8</v>
      </c>
      <c r="F36">
        <v>18</v>
      </c>
      <c r="G36">
        <v>9</v>
      </c>
      <c r="H36">
        <v>32</v>
      </c>
      <c r="I36">
        <v>20</v>
      </c>
      <c r="J36">
        <v>17.899999999999999</v>
      </c>
      <c r="K36">
        <v>24.9</v>
      </c>
      <c r="L36">
        <v>27.6</v>
      </c>
      <c r="M36">
        <v>21.3</v>
      </c>
      <c r="N36">
        <v>21.3</v>
      </c>
      <c r="O36">
        <v>20.100000000000001</v>
      </c>
      <c r="P36">
        <v>19.2</v>
      </c>
      <c r="Q36">
        <v>14.7</v>
      </c>
      <c r="R36">
        <v>9.4</v>
      </c>
      <c r="S36">
        <f t="shared" si="1"/>
        <v>18</v>
      </c>
      <c r="T36" t="s">
        <v>34</v>
      </c>
      <c r="U36">
        <f t="shared" si="2"/>
        <v>0.2</v>
      </c>
      <c r="V36">
        <f t="shared" si="0"/>
        <v>0.17899999999999999</v>
      </c>
      <c r="W36">
        <f t="shared" si="0"/>
        <v>0.249</v>
      </c>
      <c r="X36">
        <f t="shared" si="0"/>
        <v>0.27600000000000002</v>
      </c>
      <c r="Y36">
        <f t="shared" si="0"/>
        <v>0.21299999999999999</v>
      </c>
      <c r="Z36">
        <f t="shared" si="0"/>
        <v>0.21299999999999999</v>
      </c>
      <c r="AA36">
        <f t="shared" si="0"/>
        <v>0.20100000000000001</v>
      </c>
      <c r="AB36">
        <f t="shared" si="0"/>
        <v>0.192</v>
      </c>
      <c r="AC36">
        <f t="shared" si="0"/>
        <v>0.14699999999999999</v>
      </c>
      <c r="AD36">
        <f t="shared" si="0"/>
        <v>9.4E-2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8</v>
      </c>
      <c r="F37">
        <v>18</v>
      </c>
      <c r="G37">
        <v>9</v>
      </c>
      <c r="H37">
        <v>37</v>
      </c>
      <c r="I37">
        <v>23.7</v>
      </c>
      <c r="J37">
        <v>20.399999999999999</v>
      </c>
      <c r="K37">
        <v>31</v>
      </c>
      <c r="L37">
        <v>19.7</v>
      </c>
      <c r="M37">
        <v>19.5</v>
      </c>
      <c r="N37">
        <v>19.8</v>
      </c>
      <c r="O37">
        <v>19.2</v>
      </c>
      <c r="P37">
        <v>17.8</v>
      </c>
      <c r="Q37">
        <v>15.8</v>
      </c>
      <c r="R37">
        <v>11.6</v>
      </c>
      <c r="S37">
        <f t="shared" si="1"/>
        <v>19</v>
      </c>
      <c r="T37" t="s">
        <v>65</v>
      </c>
      <c r="U37">
        <f t="shared" si="2"/>
        <v>0.23699999999999999</v>
      </c>
      <c r="V37">
        <f t="shared" si="0"/>
        <v>0.20399999999999999</v>
      </c>
      <c r="W37">
        <f t="shared" si="0"/>
        <v>0.31</v>
      </c>
      <c r="X37">
        <f t="shared" si="0"/>
        <v>0.19699999999999998</v>
      </c>
      <c r="Y37">
        <f t="shared" si="0"/>
        <v>0.19500000000000001</v>
      </c>
      <c r="Z37">
        <f t="shared" si="0"/>
        <v>0.19800000000000001</v>
      </c>
      <c r="AA37">
        <f t="shared" si="0"/>
        <v>0.192</v>
      </c>
      <c r="AB37">
        <f t="shared" si="0"/>
        <v>0.17800000000000002</v>
      </c>
      <c r="AC37">
        <f t="shared" si="0"/>
        <v>0.158</v>
      </c>
      <c r="AD37">
        <f t="shared" si="0"/>
        <v>0.11599999999999999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8</v>
      </c>
      <c r="F38">
        <v>18</v>
      </c>
      <c r="G38">
        <v>9</v>
      </c>
      <c r="H38">
        <v>42</v>
      </c>
      <c r="I38">
        <v>16.399999999999999</v>
      </c>
      <c r="J38">
        <v>16.100000000000001</v>
      </c>
      <c r="K38">
        <v>25.4</v>
      </c>
      <c r="L38">
        <v>21.1</v>
      </c>
      <c r="M38">
        <v>22.6</v>
      </c>
      <c r="N38">
        <v>22.1</v>
      </c>
      <c r="O38">
        <v>21.7</v>
      </c>
      <c r="P38">
        <v>16.7</v>
      </c>
      <c r="Q38">
        <v>15.7</v>
      </c>
      <c r="R38">
        <v>14.1</v>
      </c>
      <c r="S38">
        <f t="shared" si="1"/>
        <v>20</v>
      </c>
      <c r="T38" t="s">
        <v>66</v>
      </c>
      <c r="U38">
        <f t="shared" si="2"/>
        <v>0.16399999999999998</v>
      </c>
      <c r="V38">
        <f t="shared" si="0"/>
        <v>0.161</v>
      </c>
      <c r="W38">
        <f t="shared" si="0"/>
        <v>0.254</v>
      </c>
      <c r="X38">
        <f t="shared" si="0"/>
        <v>0.21100000000000002</v>
      </c>
      <c r="Y38">
        <f t="shared" si="0"/>
        <v>0.22600000000000001</v>
      </c>
      <c r="Z38">
        <f t="shared" si="0"/>
        <v>0.221</v>
      </c>
      <c r="AA38">
        <f t="shared" si="0"/>
        <v>0.217</v>
      </c>
      <c r="AB38">
        <f t="shared" si="0"/>
        <v>0.16699999999999998</v>
      </c>
      <c r="AC38">
        <f t="shared" si="0"/>
        <v>0.157</v>
      </c>
      <c r="AD38">
        <f t="shared" si="0"/>
        <v>0.14099999999999999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8</v>
      </c>
      <c r="F39">
        <v>18</v>
      </c>
      <c r="G39">
        <v>9</v>
      </c>
      <c r="H39">
        <v>40</v>
      </c>
      <c r="I39">
        <v>21.8</v>
      </c>
      <c r="J39">
        <v>20.8</v>
      </c>
      <c r="K39">
        <v>20.5</v>
      </c>
      <c r="L39">
        <v>20.7</v>
      </c>
      <c r="M39">
        <v>22.2</v>
      </c>
      <c r="N39">
        <v>19.3</v>
      </c>
      <c r="O39">
        <v>18.899999999999999</v>
      </c>
      <c r="P39">
        <v>22</v>
      </c>
      <c r="Q39">
        <v>19.7</v>
      </c>
      <c r="R39">
        <v>14.5</v>
      </c>
      <c r="S39">
        <f t="shared" si="1"/>
        <v>21</v>
      </c>
      <c r="T39" t="s">
        <v>67</v>
      </c>
      <c r="U39">
        <f t="shared" si="2"/>
        <v>0.218</v>
      </c>
      <c r="V39">
        <f t="shared" si="0"/>
        <v>0.20800000000000002</v>
      </c>
      <c r="W39">
        <f t="shared" si="0"/>
        <v>0.20499999999999999</v>
      </c>
      <c r="X39">
        <f t="shared" si="0"/>
        <v>0.20699999999999999</v>
      </c>
      <c r="Y39">
        <f t="shared" si="0"/>
        <v>0.222</v>
      </c>
      <c r="Z39">
        <f t="shared" si="0"/>
        <v>0.193</v>
      </c>
      <c r="AA39">
        <f t="shared" si="0"/>
        <v>0.18899999999999997</v>
      </c>
      <c r="AB39">
        <f t="shared" si="0"/>
        <v>0.22</v>
      </c>
      <c r="AC39">
        <f t="shared" si="0"/>
        <v>0.19699999999999998</v>
      </c>
      <c r="AD39">
        <f t="shared" si="0"/>
        <v>0.14499999999999999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8</v>
      </c>
      <c r="F40">
        <v>18</v>
      </c>
      <c r="G40">
        <v>9</v>
      </c>
      <c r="H40">
        <v>54</v>
      </c>
      <c r="I40">
        <v>19.399999999999999</v>
      </c>
      <c r="J40">
        <v>18.3</v>
      </c>
      <c r="K40">
        <v>20</v>
      </c>
      <c r="L40">
        <v>19.899999999999999</v>
      </c>
      <c r="M40">
        <v>22.9</v>
      </c>
      <c r="N40">
        <v>24.6</v>
      </c>
      <c r="O40">
        <v>22.6</v>
      </c>
      <c r="P40">
        <v>21.9</v>
      </c>
      <c r="Q40">
        <v>18.100000000000001</v>
      </c>
      <c r="R40">
        <v>13.4</v>
      </c>
      <c r="S40">
        <f t="shared" si="1"/>
        <v>22</v>
      </c>
      <c r="T40" t="s">
        <v>68</v>
      </c>
      <c r="U40">
        <f t="shared" si="2"/>
        <v>0.19399999999999998</v>
      </c>
      <c r="V40">
        <f t="shared" si="0"/>
        <v>0.183</v>
      </c>
      <c r="W40">
        <f t="shared" si="0"/>
        <v>0.2</v>
      </c>
      <c r="X40">
        <f t="shared" si="0"/>
        <v>0.19899999999999998</v>
      </c>
      <c r="Y40">
        <f t="shared" si="0"/>
        <v>0.22899999999999998</v>
      </c>
      <c r="Z40">
        <f t="shared" si="0"/>
        <v>0.24600000000000002</v>
      </c>
      <c r="AA40">
        <f t="shared" si="0"/>
        <v>0.22600000000000001</v>
      </c>
      <c r="AB40">
        <f t="shared" si="0"/>
        <v>0.21899999999999997</v>
      </c>
      <c r="AC40">
        <f t="shared" si="0"/>
        <v>0.18100000000000002</v>
      </c>
      <c r="AD40">
        <f t="shared" si="0"/>
        <v>0.13400000000000001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8</v>
      </c>
      <c r="F41">
        <v>18</v>
      </c>
      <c r="G41">
        <v>10</v>
      </c>
      <c r="H41">
        <v>1</v>
      </c>
      <c r="I41">
        <v>17.5</v>
      </c>
      <c r="J41">
        <v>20.100000000000001</v>
      </c>
      <c r="K41">
        <v>22.6</v>
      </c>
      <c r="L41">
        <v>23.4</v>
      </c>
      <c r="M41">
        <v>22.4</v>
      </c>
      <c r="N41">
        <v>20.2</v>
      </c>
      <c r="O41">
        <v>21.3</v>
      </c>
      <c r="P41">
        <v>20.5</v>
      </c>
      <c r="Q41">
        <v>18.899999999999999</v>
      </c>
      <c r="R41">
        <v>14.7</v>
      </c>
      <c r="S41">
        <f t="shared" si="1"/>
        <v>23</v>
      </c>
      <c r="T41" t="s">
        <v>69</v>
      </c>
      <c r="U41">
        <f t="shared" si="2"/>
        <v>0.17499999999999999</v>
      </c>
      <c r="V41">
        <f t="shared" si="0"/>
        <v>0.20100000000000001</v>
      </c>
      <c r="W41">
        <f t="shared" si="0"/>
        <v>0.22600000000000001</v>
      </c>
      <c r="X41">
        <f t="shared" si="0"/>
        <v>0.23399999999999999</v>
      </c>
      <c r="Y41">
        <f t="shared" si="0"/>
        <v>0.22399999999999998</v>
      </c>
      <c r="Z41">
        <f t="shared" si="0"/>
        <v>0.20199999999999999</v>
      </c>
      <c r="AA41">
        <f t="shared" si="0"/>
        <v>0.21299999999999999</v>
      </c>
      <c r="AB41">
        <f t="shared" si="0"/>
        <v>0.20499999999999999</v>
      </c>
      <c r="AC41">
        <f t="shared" si="0"/>
        <v>0.18899999999999997</v>
      </c>
      <c r="AD41">
        <f t="shared" si="0"/>
        <v>0.14699999999999999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8</v>
      </c>
      <c r="F42">
        <v>18</v>
      </c>
      <c r="G42">
        <v>10</v>
      </c>
      <c r="H42">
        <v>0</v>
      </c>
      <c r="I42">
        <v>17.8</v>
      </c>
      <c r="J42">
        <v>17.3</v>
      </c>
      <c r="K42">
        <v>21.7</v>
      </c>
      <c r="L42">
        <v>22.9</v>
      </c>
      <c r="M42">
        <v>22.1</v>
      </c>
      <c r="N42">
        <v>21</v>
      </c>
      <c r="O42">
        <v>24</v>
      </c>
      <c r="P42">
        <v>22</v>
      </c>
      <c r="Q42">
        <v>20.100000000000001</v>
      </c>
      <c r="R42">
        <v>14.7</v>
      </c>
      <c r="S42">
        <f t="shared" si="1"/>
        <v>24</v>
      </c>
      <c r="T42" t="s">
        <v>70</v>
      </c>
      <c r="U42">
        <f t="shared" si="2"/>
        <v>0.17800000000000002</v>
      </c>
      <c r="V42">
        <f t="shared" si="0"/>
        <v>0.17300000000000001</v>
      </c>
      <c r="W42">
        <f t="shared" si="0"/>
        <v>0.217</v>
      </c>
      <c r="X42">
        <f t="shared" si="0"/>
        <v>0.22899999999999998</v>
      </c>
      <c r="Y42">
        <f t="shared" si="0"/>
        <v>0.221</v>
      </c>
      <c r="Z42">
        <f t="shared" si="0"/>
        <v>0.21</v>
      </c>
      <c r="AA42">
        <f t="shared" si="0"/>
        <v>0.24</v>
      </c>
      <c r="AB42">
        <f t="shared" si="0"/>
        <v>0.22</v>
      </c>
      <c r="AC42">
        <f t="shared" si="0"/>
        <v>0.20100000000000001</v>
      </c>
      <c r="AD42">
        <f t="shared" si="0"/>
        <v>0.14699999999999999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8</v>
      </c>
      <c r="F43">
        <v>18</v>
      </c>
      <c r="G43">
        <v>10</v>
      </c>
      <c r="H43">
        <v>16</v>
      </c>
      <c r="I43">
        <v>-5.9</v>
      </c>
      <c r="J43">
        <v>20.9</v>
      </c>
      <c r="K43">
        <v>24.4</v>
      </c>
      <c r="L43">
        <v>24.3</v>
      </c>
      <c r="M43">
        <v>22.7</v>
      </c>
      <c r="N43">
        <v>20.3</v>
      </c>
      <c r="O43">
        <v>17.899999999999999</v>
      </c>
      <c r="P43">
        <v>16.100000000000001</v>
      </c>
      <c r="Q43">
        <v>16.899999999999999</v>
      </c>
      <c r="R43">
        <v>10.9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0.20899999999999999</v>
      </c>
      <c r="W43">
        <f t="shared" si="0"/>
        <v>0.24399999999999999</v>
      </c>
      <c r="X43">
        <f t="shared" si="0"/>
        <v>0.24299999999999999</v>
      </c>
      <c r="Y43">
        <f t="shared" si="0"/>
        <v>0.22699999999999998</v>
      </c>
      <c r="Z43">
        <f t="shared" si="0"/>
        <v>0.20300000000000001</v>
      </c>
      <c r="AA43">
        <f t="shared" si="0"/>
        <v>0.17899999999999999</v>
      </c>
      <c r="AB43">
        <f t="shared" si="0"/>
        <v>0.161</v>
      </c>
      <c r="AC43">
        <f t="shared" si="0"/>
        <v>0.16899999999999998</v>
      </c>
      <c r="AD43">
        <f t="shared" si="0"/>
        <v>0.109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8</v>
      </c>
      <c r="F44">
        <v>18</v>
      </c>
      <c r="G44">
        <v>10</v>
      </c>
      <c r="H44">
        <v>21</v>
      </c>
      <c r="I44">
        <v>-5.9</v>
      </c>
      <c r="J44">
        <v>17.899999999999999</v>
      </c>
      <c r="K44">
        <v>19.5</v>
      </c>
      <c r="L44">
        <v>20.8</v>
      </c>
      <c r="M44">
        <v>21</v>
      </c>
      <c r="N44">
        <v>17.899999999999999</v>
      </c>
      <c r="O44">
        <v>19.2</v>
      </c>
      <c r="P44">
        <v>23</v>
      </c>
      <c r="Q44">
        <v>21.2</v>
      </c>
      <c r="R44">
        <v>15.3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0.17899999999999999</v>
      </c>
      <c r="W44">
        <f t="shared" si="0"/>
        <v>0.19500000000000001</v>
      </c>
      <c r="X44">
        <f t="shared" si="0"/>
        <v>0.20800000000000002</v>
      </c>
      <c r="Y44">
        <f t="shared" si="0"/>
        <v>0.21</v>
      </c>
      <c r="Z44">
        <f t="shared" si="0"/>
        <v>0.17899999999999999</v>
      </c>
      <c r="AA44">
        <f t="shared" si="0"/>
        <v>0.192</v>
      </c>
      <c r="AB44">
        <f t="shared" si="0"/>
        <v>0.23</v>
      </c>
      <c r="AC44">
        <f t="shared" si="0"/>
        <v>0.21199999999999999</v>
      </c>
      <c r="AD44">
        <f t="shared" si="0"/>
        <v>0.153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8</v>
      </c>
      <c r="F45">
        <v>18</v>
      </c>
      <c r="G45">
        <v>10</v>
      </c>
      <c r="H45">
        <v>20</v>
      </c>
      <c r="I45">
        <v>-5.9</v>
      </c>
      <c r="J45">
        <v>19.2</v>
      </c>
      <c r="K45">
        <v>16.100000000000001</v>
      </c>
      <c r="L45">
        <v>24.1</v>
      </c>
      <c r="M45">
        <v>20.6</v>
      </c>
      <c r="N45">
        <v>16.600000000000001</v>
      </c>
      <c r="O45">
        <v>19.2</v>
      </c>
      <c r="P45">
        <v>20.3</v>
      </c>
      <c r="Q45">
        <v>19</v>
      </c>
      <c r="R45">
        <v>13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0.192</v>
      </c>
      <c r="W45">
        <f t="shared" si="0"/>
        <v>0.161</v>
      </c>
      <c r="X45">
        <f t="shared" si="0"/>
        <v>0.24100000000000002</v>
      </c>
      <c r="Y45">
        <f t="shared" si="0"/>
        <v>0.20600000000000002</v>
      </c>
      <c r="Z45">
        <f t="shared" si="0"/>
        <v>0.16600000000000001</v>
      </c>
      <c r="AA45">
        <f t="shared" si="0"/>
        <v>0.192</v>
      </c>
      <c r="AB45">
        <f t="shared" si="0"/>
        <v>0.20300000000000001</v>
      </c>
      <c r="AC45">
        <f t="shared" si="0"/>
        <v>0.19</v>
      </c>
      <c r="AD45">
        <f t="shared" si="0"/>
        <v>0.13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8</v>
      </c>
      <c r="F46">
        <v>18</v>
      </c>
      <c r="G46">
        <v>10</v>
      </c>
      <c r="H46">
        <v>34</v>
      </c>
      <c r="I46">
        <v>19.100000000000001</v>
      </c>
      <c r="J46">
        <v>16.899999999999999</v>
      </c>
      <c r="K46">
        <v>17</v>
      </c>
      <c r="L46">
        <v>19.7</v>
      </c>
      <c r="M46">
        <v>22.6</v>
      </c>
      <c r="N46">
        <v>21.7</v>
      </c>
      <c r="O46">
        <v>20.399999999999999</v>
      </c>
      <c r="P46">
        <v>22.8</v>
      </c>
      <c r="Q46">
        <v>19.8</v>
      </c>
      <c r="R46">
        <v>16.3</v>
      </c>
      <c r="S46">
        <f t="shared" si="1"/>
        <v>28</v>
      </c>
      <c r="T46" t="s">
        <v>76</v>
      </c>
      <c r="U46">
        <f t="shared" si="2"/>
        <v>0.191</v>
      </c>
      <c r="V46">
        <f t="shared" si="0"/>
        <v>0.16899999999999998</v>
      </c>
      <c r="W46">
        <f t="shared" si="0"/>
        <v>0.17</v>
      </c>
      <c r="X46">
        <f t="shared" si="0"/>
        <v>0.19699999999999998</v>
      </c>
      <c r="Y46">
        <f t="shared" si="0"/>
        <v>0.22600000000000001</v>
      </c>
      <c r="Z46">
        <f t="shared" si="0"/>
        <v>0.217</v>
      </c>
      <c r="AA46">
        <f t="shared" si="0"/>
        <v>0.20399999999999999</v>
      </c>
      <c r="AB46">
        <f t="shared" si="0"/>
        <v>0.22800000000000001</v>
      </c>
      <c r="AC46">
        <f t="shared" si="0"/>
        <v>0.19800000000000001</v>
      </c>
      <c r="AD46">
        <f t="shared" si="0"/>
        <v>0.16300000000000001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8</v>
      </c>
      <c r="F47">
        <v>18</v>
      </c>
      <c r="G47">
        <v>10</v>
      </c>
      <c r="H47">
        <v>31</v>
      </c>
      <c r="I47">
        <v>22.6</v>
      </c>
      <c r="J47">
        <v>32.1</v>
      </c>
      <c r="K47">
        <v>22.2</v>
      </c>
      <c r="L47">
        <v>22.6</v>
      </c>
      <c r="M47">
        <v>25.9</v>
      </c>
      <c r="N47">
        <v>26</v>
      </c>
      <c r="O47">
        <v>25.7</v>
      </c>
      <c r="P47">
        <v>21.2</v>
      </c>
      <c r="Q47">
        <v>22.3</v>
      </c>
      <c r="R47">
        <v>13.6</v>
      </c>
      <c r="S47">
        <f t="shared" si="1"/>
        <v>29</v>
      </c>
      <c r="T47" t="s">
        <v>53</v>
      </c>
      <c r="U47">
        <f t="shared" si="2"/>
        <v>0.22600000000000001</v>
      </c>
      <c r="V47">
        <f t="shared" si="0"/>
        <v>0.32100000000000001</v>
      </c>
      <c r="W47">
        <f t="shared" si="0"/>
        <v>0.222</v>
      </c>
      <c r="X47">
        <f t="shared" si="0"/>
        <v>0.22600000000000001</v>
      </c>
      <c r="Y47">
        <f t="shared" ref="Y47:AD54" si="3">IF(M47&lt;0,"",M47/100)</f>
        <v>0.25900000000000001</v>
      </c>
      <c r="Z47">
        <f t="shared" si="3"/>
        <v>0.26</v>
      </c>
      <c r="AA47">
        <f t="shared" si="3"/>
        <v>0.25700000000000001</v>
      </c>
      <c r="AB47">
        <f t="shared" si="3"/>
        <v>0.21199999999999999</v>
      </c>
      <c r="AC47">
        <f t="shared" si="3"/>
        <v>0.223</v>
      </c>
      <c r="AD47">
        <f t="shared" si="3"/>
        <v>0.13600000000000001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8</v>
      </c>
      <c r="F48">
        <v>18</v>
      </c>
      <c r="G48">
        <v>10</v>
      </c>
      <c r="H48">
        <v>44</v>
      </c>
      <c r="I48">
        <v>25.2</v>
      </c>
      <c r="J48">
        <v>24.4</v>
      </c>
      <c r="K48">
        <v>26.3</v>
      </c>
      <c r="L48">
        <v>23</v>
      </c>
      <c r="M48">
        <v>22.4</v>
      </c>
      <c r="N48">
        <v>22.8</v>
      </c>
      <c r="O48">
        <v>18.100000000000001</v>
      </c>
      <c r="P48">
        <v>20</v>
      </c>
      <c r="Q48">
        <v>14.8</v>
      </c>
      <c r="R48">
        <v>11.7</v>
      </c>
      <c r="S48">
        <f t="shared" si="1"/>
        <v>30</v>
      </c>
      <c r="T48" t="s">
        <v>77</v>
      </c>
      <c r="U48">
        <f t="shared" si="2"/>
        <v>0.252</v>
      </c>
      <c r="V48">
        <f t="shared" si="2"/>
        <v>0.24399999999999999</v>
      </c>
      <c r="W48">
        <f t="shared" si="2"/>
        <v>0.26300000000000001</v>
      </c>
      <c r="X48">
        <f t="shared" si="2"/>
        <v>0.23</v>
      </c>
      <c r="Y48">
        <f t="shared" si="3"/>
        <v>0.22399999999999998</v>
      </c>
      <c r="Z48">
        <f t="shared" si="3"/>
        <v>0.22800000000000001</v>
      </c>
      <c r="AA48">
        <f t="shared" si="3"/>
        <v>0.18100000000000002</v>
      </c>
      <c r="AB48">
        <f t="shared" si="3"/>
        <v>0.2</v>
      </c>
      <c r="AC48">
        <f t="shared" si="3"/>
        <v>0.14800000000000002</v>
      </c>
      <c r="AD48">
        <f t="shared" si="3"/>
        <v>0.11699999999999999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8</v>
      </c>
      <c r="F49">
        <v>18</v>
      </c>
      <c r="G49">
        <v>10</v>
      </c>
      <c r="H49">
        <v>51</v>
      </c>
      <c r="I49">
        <v>-5.9</v>
      </c>
      <c r="J49">
        <v>-5.9</v>
      </c>
      <c r="K49">
        <v>22.2</v>
      </c>
      <c r="L49">
        <v>21.3</v>
      </c>
      <c r="M49">
        <v>22.6</v>
      </c>
      <c r="N49">
        <v>20.6</v>
      </c>
      <c r="O49">
        <v>18.2</v>
      </c>
      <c r="P49">
        <v>18.7</v>
      </c>
      <c r="Q49">
        <v>15.6</v>
      </c>
      <c r="R49">
        <v>8.4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0.222</v>
      </c>
      <c r="X49">
        <f t="shared" si="4"/>
        <v>0.21299999999999999</v>
      </c>
      <c r="Y49">
        <f t="shared" si="3"/>
        <v>0.22600000000000001</v>
      </c>
      <c r="Z49">
        <f t="shared" si="3"/>
        <v>0.20600000000000002</v>
      </c>
      <c r="AA49">
        <f t="shared" si="3"/>
        <v>0.182</v>
      </c>
      <c r="AB49">
        <f t="shared" si="3"/>
        <v>0.187</v>
      </c>
      <c r="AC49">
        <f t="shared" si="3"/>
        <v>0.156</v>
      </c>
      <c r="AD49">
        <f t="shared" si="3"/>
        <v>8.4000000000000005E-2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8</v>
      </c>
      <c r="F50">
        <v>18</v>
      </c>
      <c r="G50">
        <v>11</v>
      </c>
      <c r="H50">
        <v>3</v>
      </c>
      <c r="I50">
        <v>-5.9</v>
      </c>
      <c r="J50">
        <v>-5.9</v>
      </c>
      <c r="K50">
        <v>20.9</v>
      </c>
      <c r="L50">
        <v>21</v>
      </c>
      <c r="M50">
        <v>21.1</v>
      </c>
      <c r="N50">
        <v>19.100000000000001</v>
      </c>
      <c r="O50">
        <v>18.2</v>
      </c>
      <c r="P50">
        <v>16.399999999999999</v>
      </c>
      <c r="Q50">
        <v>15.1</v>
      </c>
      <c r="R50">
        <v>9.4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0.20899999999999999</v>
      </c>
      <c r="X50">
        <f t="shared" si="4"/>
        <v>0.21</v>
      </c>
      <c r="Y50">
        <f t="shared" si="3"/>
        <v>0.21100000000000002</v>
      </c>
      <c r="Z50">
        <f t="shared" si="3"/>
        <v>0.191</v>
      </c>
      <c r="AA50">
        <f t="shared" si="3"/>
        <v>0.182</v>
      </c>
      <c r="AB50">
        <f t="shared" si="3"/>
        <v>0.16399999999999998</v>
      </c>
      <c r="AC50">
        <f t="shared" si="3"/>
        <v>0.151</v>
      </c>
      <c r="AD50">
        <f t="shared" si="3"/>
        <v>9.4E-2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8</v>
      </c>
      <c r="F51">
        <v>18</v>
      </c>
      <c r="G51">
        <v>11</v>
      </c>
      <c r="H51">
        <v>7</v>
      </c>
      <c r="I51">
        <v>-5.9</v>
      </c>
      <c r="J51">
        <v>-5.9</v>
      </c>
      <c r="K51">
        <v>20.100000000000001</v>
      </c>
      <c r="L51">
        <v>23.5</v>
      </c>
      <c r="M51">
        <v>23.7</v>
      </c>
      <c r="N51">
        <v>22.9</v>
      </c>
      <c r="O51">
        <v>20.399999999999999</v>
      </c>
      <c r="P51">
        <v>19.399999999999999</v>
      </c>
      <c r="Q51">
        <v>14.8</v>
      </c>
      <c r="R51">
        <v>9.8000000000000007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0.20100000000000001</v>
      </c>
      <c r="X51">
        <f t="shared" si="4"/>
        <v>0.23499999999999999</v>
      </c>
      <c r="Y51">
        <f t="shared" si="3"/>
        <v>0.23699999999999999</v>
      </c>
      <c r="Z51">
        <f t="shared" si="3"/>
        <v>0.22899999999999998</v>
      </c>
      <c r="AA51">
        <f t="shared" si="3"/>
        <v>0.20399999999999999</v>
      </c>
      <c r="AB51">
        <f t="shared" si="3"/>
        <v>0.19399999999999998</v>
      </c>
      <c r="AC51">
        <f t="shared" si="3"/>
        <v>0.14800000000000002</v>
      </c>
      <c r="AD51">
        <f t="shared" si="3"/>
        <v>9.8000000000000004E-2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8</v>
      </c>
      <c r="F52">
        <v>18</v>
      </c>
      <c r="G52">
        <v>11</v>
      </c>
      <c r="H52">
        <v>11</v>
      </c>
      <c r="I52">
        <v>-5.9</v>
      </c>
      <c r="J52">
        <v>-5.9</v>
      </c>
      <c r="K52">
        <v>21.2</v>
      </c>
      <c r="L52">
        <v>23.8</v>
      </c>
      <c r="M52">
        <v>22.5</v>
      </c>
      <c r="N52">
        <v>21.2</v>
      </c>
      <c r="O52">
        <v>21.2</v>
      </c>
      <c r="P52">
        <v>17.7</v>
      </c>
      <c r="Q52">
        <v>15.3</v>
      </c>
      <c r="R52">
        <v>11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0.21199999999999999</v>
      </c>
      <c r="X52">
        <f t="shared" si="4"/>
        <v>0.23800000000000002</v>
      </c>
      <c r="Y52">
        <f t="shared" si="3"/>
        <v>0.22500000000000001</v>
      </c>
      <c r="Z52">
        <f t="shared" si="3"/>
        <v>0.21199999999999999</v>
      </c>
      <c r="AA52">
        <f t="shared" si="3"/>
        <v>0.21199999999999999</v>
      </c>
      <c r="AB52">
        <f t="shared" si="3"/>
        <v>0.17699999999999999</v>
      </c>
      <c r="AC52">
        <f t="shared" si="3"/>
        <v>0.153</v>
      </c>
      <c r="AD52">
        <f t="shared" si="3"/>
        <v>0.11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8</v>
      </c>
      <c r="F53">
        <v>18</v>
      </c>
      <c r="G53">
        <v>11</v>
      </c>
      <c r="H53">
        <v>15</v>
      </c>
      <c r="I53">
        <v>-5.9</v>
      </c>
      <c r="J53">
        <v>24.9</v>
      </c>
      <c r="K53">
        <v>25.1</v>
      </c>
      <c r="L53">
        <v>25.1</v>
      </c>
      <c r="M53">
        <v>23.9</v>
      </c>
      <c r="N53">
        <v>20</v>
      </c>
      <c r="O53">
        <v>17.8</v>
      </c>
      <c r="P53">
        <v>14</v>
      </c>
      <c r="Q53">
        <v>15.2</v>
      </c>
      <c r="R53">
        <v>9.4</v>
      </c>
      <c r="S53">
        <f t="shared" si="1"/>
        <v>35</v>
      </c>
      <c r="T53" t="s">
        <v>81</v>
      </c>
      <c r="U53" t="str">
        <f t="shared" si="4"/>
        <v/>
      </c>
      <c r="V53">
        <f t="shared" si="4"/>
        <v>0.249</v>
      </c>
      <c r="W53">
        <f t="shared" si="4"/>
        <v>0.251</v>
      </c>
      <c r="X53">
        <f t="shared" si="4"/>
        <v>0.251</v>
      </c>
      <c r="Y53">
        <f t="shared" si="3"/>
        <v>0.23899999999999999</v>
      </c>
      <c r="Z53">
        <f t="shared" si="3"/>
        <v>0.2</v>
      </c>
      <c r="AA53">
        <f t="shared" si="3"/>
        <v>0.17800000000000002</v>
      </c>
      <c r="AB53">
        <f t="shared" si="3"/>
        <v>0.14000000000000001</v>
      </c>
      <c r="AC53">
        <f t="shared" si="3"/>
        <v>0.152</v>
      </c>
      <c r="AD53">
        <f t="shared" si="3"/>
        <v>9.4E-2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8</v>
      </c>
      <c r="F54">
        <v>18</v>
      </c>
      <c r="G54">
        <v>11</v>
      </c>
      <c r="H54">
        <v>11</v>
      </c>
      <c r="I54">
        <v>-5.9</v>
      </c>
      <c r="J54">
        <v>18.399999999999999</v>
      </c>
      <c r="K54">
        <v>24.5</v>
      </c>
      <c r="L54">
        <v>25.9</v>
      </c>
      <c r="M54">
        <v>20.8</v>
      </c>
      <c r="N54">
        <v>22.1</v>
      </c>
      <c r="O54">
        <v>19.3</v>
      </c>
      <c r="P54">
        <v>16.3</v>
      </c>
      <c r="Q54">
        <v>15.3</v>
      </c>
      <c r="R54">
        <v>8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0.184</v>
      </c>
      <c r="W54">
        <f t="shared" si="4"/>
        <v>0.245</v>
      </c>
      <c r="X54">
        <f t="shared" si="4"/>
        <v>0.25900000000000001</v>
      </c>
      <c r="Y54">
        <f t="shared" si="3"/>
        <v>0.20800000000000002</v>
      </c>
      <c r="Z54">
        <f t="shared" si="3"/>
        <v>0.221</v>
      </c>
      <c r="AA54">
        <f t="shared" si="3"/>
        <v>0.193</v>
      </c>
      <c r="AB54">
        <f t="shared" si="3"/>
        <v>0.16300000000000001</v>
      </c>
      <c r="AC54">
        <f t="shared" si="3"/>
        <v>0.153</v>
      </c>
      <c r="AD54">
        <f t="shared" si="3"/>
        <v>0.08</v>
      </c>
    </row>
    <row r="57" spans="1:30" x14ac:dyDescent="0.25">
      <c r="A57" s="2">
        <v>41869</v>
      </c>
    </row>
    <row r="58" spans="1:30" x14ac:dyDescent="0.25">
      <c r="A58" t="s">
        <v>3</v>
      </c>
      <c r="B58">
        <v>6116</v>
      </c>
      <c r="C58" t="s">
        <v>4</v>
      </c>
      <c r="D58">
        <v>12983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8</v>
      </c>
      <c r="F75">
        <v>18</v>
      </c>
      <c r="G75">
        <v>12</v>
      </c>
      <c r="H75">
        <v>20</v>
      </c>
      <c r="I75">
        <v>19.3</v>
      </c>
      <c r="J75">
        <v>21.3</v>
      </c>
      <c r="K75">
        <v>19.399999999999999</v>
      </c>
      <c r="L75">
        <v>17.399999999999999</v>
      </c>
      <c r="M75">
        <v>15.1</v>
      </c>
      <c r="N75">
        <v>15.4</v>
      </c>
      <c r="O75">
        <v>14.5</v>
      </c>
      <c r="P75">
        <v>13.9</v>
      </c>
      <c r="Q75">
        <v>15.7</v>
      </c>
      <c r="R75">
        <v>11.8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0.21299999999999999</v>
      </c>
      <c r="W75">
        <f t="shared" si="5"/>
        <v>0.19399999999999998</v>
      </c>
      <c r="X75">
        <f t="shared" si="5"/>
        <v>0.17399999999999999</v>
      </c>
      <c r="Y75">
        <f t="shared" si="5"/>
        <v>0.151</v>
      </c>
      <c r="Z75">
        <f t="shared" si="5"/>
        <v>0.154</v>
      </c>
      <c r="AA75">
        <f t="shared" si="5"/>
        <v>0.14499999999999999</v>
      </c>
      <c r="AB75">
        <f t="shared" si="5"/>
        <v>0.13900000000000001</v>
      </c>
      <c r="AC75">
        <f t="shared" si="5"/>
        <v>0.157</v>
      </c>
      <c r="AD75">
        <f t="shared" si="5"/>
        <v>0.11800000000000001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8</v>
      </c>
      <c r="F76">
        <v>18</v>
      </c>
      <c r="G76">
        <v>12</v>
      </c>
      <c r="H76">
        <v>24</v>
      </c>
      <c r="I76">
        <v>17.5</v>
      </c>
      <c r="J76">
        <v>20.2</v>
      </c>
      <c r="K76">
        <v>22</v>
      </c>
      <c r="L76">
        <v>22.1</v>
      </c>
      <c r="M76">
        <v>18.7</v>
      </c>
      <c r="N76">
        <v>15.6</v>
      </c>
      <c r="O76">
        <v>13.7</v>
      </c>
      <c r="P76">
        <v>14.8</v>
      </c>
      <c r="Q76">
        <v>16.5</v>
      </c>
      <c r="R76">
        <v>13</v>
      </c>
      <c r="S76">
        <f t="shared" ref="S76:S104" si="6">B76</f>
        <v>65</v>
      </c>
      <c r="T76" t="s">
        <v>49</v>
      </c>
      <c r="U76">
        <f t="shared" ref="U76:X104" si="7">IF(I76&lt;0,"",I76/100)</f>
        <v>0.17499999999999999</v>
      </c>
      <c r="V76">
        <f t="shared" si="5"/>
        <v>0.20199999999999999</v>
      </c>
      <c r="W76">
        <f t="shared" si="5"/>
        <v>0.22</v>
      </c>
      <c r="X76">
        <f t="shared" si="5"/>
        <v>0.221</v>
      </c>
      <c r="Y76">
        <f t="shared" si="5"/>
        <v>0.187</v>
      </c>
      <c r="Z76">
        <f t="shared" si="5"/>
        <v>0.156</v>
      </c>
      <c r="AA76">
        <f t="shared" si="5"/>
        <v>0.13699999999999998</v>
      </c>
      <c r="AB76">
        <f t="shared" si="5"/>
        <v>0.14800000000000002</v>
      </c>
      <c r="AC76">
        <f t="shared" si="5"/>
        <v>0.16500000000000001</v>
      </c>
      <c r="AD76">
        <f t="shared" si="5"/>
        <v>0.13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8</v>
      </c>
      <c r="F77">
        <v>18</v>
      </c>
      <c r="G77">
        <v>12</v>
      </c>
      <c r="H77">
        <v>21</v>
      </c>
      <c r="I77">
        <v>13.6</v>
      </c>
      <c r="J77">
        <v>12.9</v>
      </c>
      <c r="K77">
        <v>11.3</v>
      </c>
      <c r="L77">
        <v>10.1</v>
      </c>
      <c r="M77">
        <v>8.6999999999999993</v>
      </c>
      <c r="N77">
        <v>8.6999999999999993</v>
      </c>
      <c r="O77">
        <v>9.3000000000000007</v>
      </c>
      <c r="P77">
        <v>14.5</v>
      </c>
      <c r="Q77">
        <v>18.5</v>
      </c>
      <c r="R77">
        <v>14.7</v>
      </c>
      <c r="S77">
        <f t="shared" si="6"/>
        <v>64</v>
      </c>
      <c r="T77" t="s">
        <v>48</v>
      </c>
      <c r="U77">
        <f t="shared" si="7"/>
        <v>0.13600000000000001</v>
      </c>
      <c r="V77">
        <f t="shared" si="5"/>
        <v>0.129</v>
      </c>
      <c r="W77">
        <f t="shared" si="5"/>
        <v>0.113</v>
      </c>
      <c r="X77">
        <f t="shared" si="5"/>
        <v>0.10099999999999999</v>
      </c>
      <c r="Y77">
        <f t="shared" si="5"/>
        <v>8.6999999999999994E-2</v>
      </c>
      <c r="Z77">
        <f t="shared" si="5"/>
        <v>8.6999999999999994E-2</v>
      </c>
      <c r="AA77">
        <f t="shared" si="5"/>
        <v>9.3000000000000013E-2</v>
      </c>
      <c r="AB77">
        <f t="shared" si="5"/>
        <v>0.14499999999999999</v>
      </c>
      <c r="AC77">
        <f t="shared" si="5"/>
        <v>0.185</v>
      </c>
      <c r="AD77">
        <f t="shared" si="5"/>
        <v>0.14699999999999999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8</v>
      </c>
      <c r="F78">
        <v>18</v>
      </c>
      <c r="G78">
        <v>12</v>
      </c>
      <c r="H78">
        <v>35</v>
      </c>
      <c r="I78">
        <v>21.7</v>
      </c>
      <c r="J78">
        <v>19.600000000000001</v>
      </c>
      <c r="K78">
        <v>20.3</v>
      </c>
      <c r="L78">
        <v>18.8</v>
      </c>
      <c r="M78">
        <v>17.600000000000001</v>
      </c>
      <c r="N78">
        <v>16.8</v>
      </c>
      <c r="O78">
        <v>17</v>
      </c>
      <c r="P78">
        <v>17.899999999999999</v>
      </c>
      <c r="Q78">
        <v>17</v>
      </c>
      <c r="R78">
        <v>13</v>
      </c>
      <c r="S78">
        <f t="shared" si="6"/>
        <v>63</v>
      </c>
      <c r="T78" t="s">
        <v>47</v>
      </c>
      <c r="U78">
        <f t="shared" si="7"/>
        <v>0.217</v>
      </c>
      <c r="V78">
        <f t="shared" si="5"/>
        <v>0.19600000000000001</v>
      </c>
      <c r="W78">
        <f t="shared" si="5"/>
        <v>0.20300000000000001</v>
      </c>
      <c r="X78">
        <f t="shared" si="5"/>
        <v>0.188</v>
      </c>
      <c r="Y78">
        <f t="shared" si="5"/>
        <v>0.17600000000000002</v>
      </c>
      <c r="Z78">
        <f t="shared" si="5"/>
        <v>0.16800000000000001</v>
      </c>
      <c r="AA78">
        <f t="shared" si="5"/>
        <v>0.17</v>
      </c>
      <c r="AB78">
        <f t="shared" si="5"/>
        <v>0.17899999999999999</v>
      </c>
      <c r="AC78">
        <f t="shared" si="5"/>
        <v>0.17</v>
      </c>
      <c r="AD78">
        <f t="shared" si="5"/>
        <v>0.13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8</v>
      </c>
      <c r="F79">
        <v>18</v>
      </c>
      <c r="G79">
        <v>12</v>
      </c>
      <c r="H79">
        <v>40</v>
      </c>
      <c r="I79">
        <v>22.9</v>
      </c>
      <c r="J79">
        <v>23.1</v>
      </c>
      <c r="K79">
        <v>22.8</v>
      </c>
      <c r="L79">
        <v>22.4</v>
      </c>
      <c r="M79">
        <v>20.2</v>
      </c>
      <c r="N79">
        <v>19.7</v>
      </c>
      <c r="O79">
        <v>19.899999999999999</v>
      </c>
      <c r="P79">
        <v>19.100000000000001</v>
      </c>
      <c r="Q79">
        <v>17.8</v>
      </c>
      <c r="R79">
        <v>13.3</v>
      </c>
      <c r="S79">
        <f t="shared" si="6"/>
        <v>62</v>
      </c>
      <c r="T79" t="s">
        <v>46</v>
      </c>
      <c r="U79">
        <f t="shared" si="7"/>
        <v>0.22899999999999998</v>
      </c>
      <c r="V79">
        <f t="shared" si="5"/>
        <v>0.23100000000000001</v>
      </c>
      <c r="W79">
        <f t="shared" si="5"/>
        <v>0.22800000000000001</v>
      </c>
      <c r="X79">
        <f t="shared" si="5"/>
        <v>0.22399999999999998</v>
      </c>
      <c r="Y79">
        <f t="shared" si="5"/>
        <v>0.20199999999999999</v>
      </c>
      <c r="Z79">
        <f t="shared" si="5"/>
        <v>0.19699999999999998</v>
      </c>
      <c r="AA79">
        <f t="shared" si="5"/>
        <v>0.19899999999999998</v>
      </c>
      <c r="AB79">
        <f t="shared" si="5"/>
        <v>0.191</v>
      </c>
      <c r="AC79">
        <f t="shared" si="5"/>
        <v>0.17800000000000002</v>
      </c>
      <c r="AD79">
        <f t="shared" si="5"/>
        <v>0.13300000000000001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8</v>
      </c>
      <c r="F80">
        <v>18</v>
      </c>
      <c r="G80">
        <v>12</v>
      </c>
      <c r="H80">
        <v>45</v>
      </c>
      <c r="I80">
        <v>-5</v>
      </c>
      <c r="J80">
        <v>21.7</v>
      </c>
      <c r="K80">
        <v>21.3</v>
      </c>
      <c r="L80">
        <v>22.4</v>
      </c>
      <c r="M80">
        <v>20.7</v>
      </c>
      <c r="N80">
        <v>18.100000000000001</v>
      </c>
      <c r="O80">
        <v>16.7</v>
      </c>
      <c r="P80">
        <v>20.3</v>
      </c>
      <c r="Q80">
        <v>21.1</v>
      </c>
      <c r="R80">
        <v>13.4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0.217</v>
      </c>
      <c r="W80">
        <f t="shared" si="5"/>
        <v>0.21299999999999999</v>
      </c>
      <c r="X80">
        <f t="shared" si="5"/>
        <v>0.22399999999999998</v>
      </c>
      <c r="Y80">
        <f t="shared" si="5"/>
        <v>0.20699999999999999</v>
      </c>
      <c r="Z80">
        <f t="shared" si="5"/>
        <v>0.18100000000000002</v>
      </c>
      <c r="AA80">
        <f t="shared" si="5"/>
        <v>0.16699999999999998</v>
      </c>
      <c r="AB80">
        <f t="shared" si="5"/>
        <v>0.20300000000000001</v>
      </c>
      <c r="AC80">
        <f t="shared" si="5"/>
        <v>0.21100000000000002</v>
      </c>
      <c r="AD80">
        <f t="shared" si="5"/>
        <v>0.13400000000000001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8</v>
      </c>
      <c r="F81">
        <v>18</v>
      </c>
      <c r="G81">
        <v>12</v>
      </c>
      <c r="H81">
        <v>57</v>
      </c>
      <c r="I81">
        <v>-5</v>
      </c>
      <c r="J81">
        <v>19.7</v>
      </c>
      <c r="K81">
        <v>19</v>
      </c>
      <c r="L81">
        <v>18.2</v>
      </c>
      <c r="M81">
        <v>16.5</v>
      </c>
      <c r="N81">
        <v>12.4</v>
      </c>
      <c r="O81">
        <v>12</v>
      </c>
      <c r="P81">
        <v>14.8</v>
      </c>
      <c r="Q81">
        <v>14.2</v>
      </c>
      <c r="R81">
        <v>10.3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0.19699999999999998</v>
      </c>
      <c r="W81">
        <f t="shared" si="5"/>
        <v>0.19</v>
      </c>
      <c r="X81">
        <f t="shared" si="5"/>
        <v>0.182</v>
      </c>
      <c r="Y81">
        <f t="shared" si="5"/>
        <v>0.16500000000000001</v>
      </c>
      <c r="Z81">
        <f t="shared" si="5"/>
        <v>0.124</v>
      </c>
      <c r="AA81">
        <f t="shared" si="5"/>
        <v>0.12</v>
      </c>
      <c r="AB81">
        <f t="shared" si="5"/>
        <v>0.14800000000000002</v>
      </c>
      <c r="AC81">
        <f t="shared" si="5"/>
        <v>0.14199999999999999</v>
      </c>
      <c r="AD81">
        <f t="shared" si="5"/>
        <v>0.10300000000000001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8</v>
      </c>
      <c r="F82">
        <v>18</v>
      </c>
      <c r="G82">
        <v>13</v>
      </c>
      <c r="H82">
        <v>2</v>
      </c>
      <c r="I82">
        <v>20.6</v>
      </c>
      <c r="J82">
        <v>20.3</v>
      </c>
      <c r="K82">
        <v>18.7</v>
      </c>
      <c r="L82">
        <v>16.7</v>
      </c>
      <c r="M82">
        <v>13.8</v>
      </c>
      <c r="N82">
        <v>12.2</v>
      </c>
      <c r="O82">
        <v>11.4</v>
      </c>
      <c r="P82">
        <v>15</v>
      </c>
      <c r="Q82">
        <v>17</v>
      </c>
      <c r="R82">
        <v>13.9</v>
      </c>
      <c r="S82">
        <f t="shared" si="6"/>
        <v>59</v>
      </c>
      <c r="T82" t="s">
        <v>93</v>
      </c>
      <c r="U82">
        <f t="shared" si="7"/>
        <v>0.20600000000000002</v>
      </c>
      <c r="V82">
        <f t="shared" si="5"/>
        <v>0.20300000000000001</v>
      </c>
      <c r="W82">
        <f t="shared" si="5"/>
        <v>0.187</v>
      </c>
      <c r="X82">
        <f t="shared" si="5"/>
        <v>0.16699999999999998</v>
      </c>
      <c r="Y82">
        <f t="shared" si="5"/>
        <v>0.13800000000000001</v>
      </c>
      <c r="Z82">
        <f t="shared" si="5"/>
        <v>0.122</v>
      </c>
      <c r="AA82">
        <f t="shared" si="5"/>
        <v>0.114</v>
      </c>
      <c r="AB82">
        <f t="shared" si="5"/>
        <v>0.15</v>
      </c>
      <c r="AC82">
        <f t="shared" si="5"/>
        <v>0.17</v>
      </c>
      <c r="AD82">
        <f t="shared" si="5"/>
        <v>0.13900000000000001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8</v>
      </c>
      <c r="F83">
        <v>18</v>
      </c>
      <c r="G83">
        <v>13</v>
      </c>
      <c r="H83">
        <v>0</v>
      </c>
      <c r="I83">
        <v>-5</v>
      </c>
      <c r="J83">
        <v>18.7</v>
      </c>
      <c r="K83">
        <v>20.100000000000001</v>
      </c>
      <c r="L83">
        <v>17.399999999999999</v>
      </c>
      <c r="M83">
        <v>16.2</v>
      </c>
      <c r="N83">
        <v>15.9</v>
      </c>
      <c r="O83">
        <v>13.6</v>
      </c>
      <c r="P83">
        <v>16.899999999999999</v>
      </c>
      <c r="Q83">
        <v>17.3</v>
      </c>
      <c r="R83">
        <v>13.1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0.187</v>
      </c>
      <c r="W83">
        <f t="shared" si="5"/>
        <v>0.20100000000000001</v>
      </c>
      <c r="X83">
        <f t="shared" si="5"/>
        <v>0.17399999999999999</v>
      </c>
      <c r="Y83">
        <f t="shared" si="5"/>
        <v>0.16200000000000001</v>
      </c>
      <c r="Z83">
        <f t="shared" si="5"/>
        <v>0.159</v>
      </c>
      <c r="AA83">
        <f t="shared" si="5"/>
        <v>0.13600000000000001</v>
      </c>
      <c r="AB83">
        <f t="shared" si="5"/>
        <v>0.16899999999999998</v>
      </c>
      <c r="AC83">
        <f t="shared" si="5"/>
        <v>0.17300000000000001</v>
      </c>
      <c r="AD83">
        <f t="shared" si="5"/>
        <v>0.13100000000000001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8</v>
      </c>
      <c r="F84">
        <v>18</v>
      </c>
      <c r="G84">
        <v>13</v>
      </c>
      <c r="H84">
        <v>14</v>
      </c>
      <c r="I84">
        <v>15.7</v>
      </c>
      <c r="J84">
        <v>18.600000000000001</v>
      </c>
      <c r="K84">
        <v>24.2</v>
      </c>
      <c r="L84">
        <v>25.1</v>
      </c>
      <c r="M84">
        <v>23.7</v>
      </c>
      <c r="N84">
        <v>23.8</v>
      </c>
      <c r="O84">
        <v>19.3</v>
      </c>
      <c r="P84">
        <v>18.7</v>
      </c>
      <c r="Q84">
        <v>18.899999999999999</v>
      </c>
      <c r="R84">
        <v>14.6</v>
      </c>
      <c r="S84">
        <f t="shared" si="6"/>
        <v>57</v>
      </c>
      <c r="T84" t="s">
        <v>91</v>
      </c>
      <c r="U84">
        <f t="shared" si="7"/>
        <v>0.157</v>
      </c>
      <c r="V84">
        <f t="shared" si="5"/>
        <v>0.18600000000000003</v>
      </c>
      <c r="W84">
        <f t="shared" si="5"/>
        <v>0.24199999999999999</v>
      </c>
      <c r="X84">
        <f t="shared" si="5"/>
        <v>0.251</v>
      </c>
      <c r="Y84">
        <f t="shared" si="5"/>
        <v>0.23699999999999999</v>
      </c>
      <c r="Z84">
        <f t="shared" si="5"/>
        <v>0.23800000000000002</v>
      </c>
      <c r="AA84">
        <f t="shared" si="5"/>
        <v>0.193</v>
      </c>
      <c r="AB84">
        <f t="shared" si="5"/>
        <v>0.187</v>
      </c>
      <c r="AC84">
        <f t="shared" si="5"/>
        <v>0.18899999999999997</v>
      </c>
      <c r="AD84">
        <f t="shared" si="5"/>
        <v>0.14599999999999999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8</v>
      </c>
      <c r="F85">
        <v>18</v>
      </c>
      <c r="G85">
        <v>13</v>
      </c>
      <c r="H85">
        <v>23</v>
      </c>
      <c r="I85">
        <v>19.8</v>
      </c>
      <c r="J85">
        <v>19.8</v>
      </c>
      <c r="K85">
        <v>18.5</v>
      </c>
      <c r="L85">
        <v>20.9</v>
      </c>
      <c r="M85">
        <v>19</v>
      </c>
      <c r="N85">
        <v>18.600000000000001</v>
      </c>
      <c r="O85">
        <v>19.2</v>
      </c>
      <c r="P85">
        <v>16</v>
      </c>
      <c r="Q85">
        <v>14.9</v>
      </c>
      <c r="R85">
        <v>9.5</v>
      </c>
      <c r="S85">
        <f t="shared" si="6"/>
        <v>56</v>
      </c>
      <c r="T85" t="s">
        <v>90</v>
      </c>
      <c r="U85">
        <f t="shared" si="7"/>
        <v>0.19800000000000001</v>
      </c>
      <c r="V85">
        <f t="shared" si="5"/>
        <v>0.19800000000000001</v>
      </c>
      <c r="W85">
        <f t="shared" si="5"/>
        <v>0.185</v>
      </c>
      <c r="X85">
        <f t="shared" si="5"/>
        <v>0.20899999999999999</v>
      </c>
      <c r="Y85">
        <f t="shared" si="5"/>
        <v>0.19</v>
      </c>
      <c r="Z85">
        <f t="shared" si="5"/>
        <v>0.18600000000000003</v>
      </c>
      <c r="AA85">
        <f t="shared" si="5"/>
        <v>0.192</v>
      </c>
      <c r="AB85">
        <f t="shared" si="5"/>
        <v>0.16</v>
      </c>
      <c r="AC85">
        <f t="shared" si="5"/>
        <v>0.14899999999999999</v>
      </c>
      <c r="AD85">
        <f t="shared" si="5"/>
        <v>9.5000000000000001E-2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8</v>
      </c>
      <c r="F86">
        <v>18</v>
      </c>
      <c r="G86">
        <v>13</v>
      </c>
      <c r="H86">
        <v>20</v>
      </c>
      <c r="I86">
        <v>17</v>
      </c>
      <c r="J86">
        <v>17</v>
      </c>
      <c r="K86">
        <v>20.2</v>
      </c>
      <c r="L86">
        <v>22.9</v>
      </c>
      <c r="M86">
        <v>21.7</v>
      </c>
      <c r="N86">
        <v>20.3</v>
      </c>
      <c r="O86">
        <v>19.2</v>
      </c>
      <c r="P86">
        <v>16.7</v>
      </c>
      <c r="Q86">
        <v>15.7</v>
      </c>
      <c r="R86">
        <v>11.4</v>
      </c>
      <c r="S86">
        <f t="shared" si="6"/>
        <v>55</v>
      </c>
      <c r="T86" t="s">
        <v>89</v>
      </c>
      <c r="U86">
        <f t="shared" si="7"/>
        <v>0.17</v>
      </c>
      <c r="V86">
        <f t="shared" si="5"/>
        <v>0.17</v>
      </c>
      <c r="W86">
        <f t="shared" si="5"/>
        <v>0.20199999999999999</v>
      </c>
      <c r="X86">
        <f t="shared" si="5"/>
        <v>0.22899999999999998</v>
      </c>
      <c r="Y86">
        <f t="shared" si="5"/>
        <v>0.217</v>
      </c>
      <c r="Z86">
        <f t="shared" si="5"/>
        <v>0.20300000000000001</v>
      </c>
      <c r="AA86">
        <f t="shared" si="5"/>
        <v>0.192</v>
      </c>
      <c r="AB86">
        <f t="shared" si="5"/>
        <v>0.16699999999999998</v>
      </c>
      <c r="AC86">
        <f t="shared" si="5"/>
        <v>0.157</v>
      </c>
      <c r="AD86">
        <f t="shared" si="5"/>
        <v>0.114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8</v>
      </c>
      <c r="F87">
        <v>18</v>
      </c>
      <c r="G87">
        <v>13</v>
      </c>
      <c r="H87">
        <v>34</v>
      </c>
      <c r="I87">
        <v>15.1</v>
      </c>
      <c r="J87">
        <v>15.5</v>
      </c>
      <c r="K87">
        <v>16.7</v>
      </c>
      <c r="L87">
        <v>18.5</v>
      </c>
      <c r="M87">
        <v>18.3</v>
      </c>
      <c r="N87">
        <v>16.100000000000001</v>
      </c>
      <c r="O87">
        <v>14.5</v>
      </c>
      <c r="P87">
        <v>14.6</v>
      </c>
      <c r="Q87">
        <v>14.8</v>
      </c>
      <c r="R87">
        <v>10.9</v>
      </c>
      <c r="S87">
        <f t="shared" si="6"/>
        <v>54</v>
      </c>
      <c r="T87" t="s">
        <v>36</v>
      </c>
      <c r="U87">
        <f t="shared" si="7"/>
        <v>0.151</v>
      </c>
      <c r="V87">
        <f t="shared" si="5"/>
        <v>0.155</v>
      </c>
      <c r="W87">
        <f t="shared" si="5"/>
        <v>0.16699999999999998</v>
      </c>
      <c r="X87">
        <f t="shared" si="5"/>
        <v>0.185</v>
      </c>
      <c r="Y87">
        <f t="shared" si="5"/>
        <v>0.183</v>
      </c>
      <c r="Z87">
        <f t="shared" si="5"/>
        <v>0.161</v>
      </c>
      <c r="AA87">
        <f t="shared" si="5"/>
        <v>0.14499999999999999</v>
      </c>
      <c r="AB87">
        <f t="shared" si="5"/>
        <v>0.14599999999999999</v>
      </c>
      <c r="AC87">
        <f t="shared" si="5"/>
        <v>0.14800000000000002</v>
      </c>
      <c r="AD87">
        <f t="shared" si="5"/>
        <v>0.109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8</v>
      </c>
      <c r="F88">
        <v>18</v>
      </c>
      <c r="G88">
        <v>13</v>
      </c>
      <c r="H88">
        <v>31</v>
      </c>
      <c r="I88">
        <v>21.5</v>
      </c>
      <c r="J88">
        <v>21</v>
      </c>
      <c r="K88">
        <v>21</v>
      </c>
      <c r="L88">
        <v>21.5</v>
      </c>
      <c r="M88">
        <v>19.8</v>
      </c>
      <c r="N88">
        <v>17.2</v>
      </c>
      <c r="O88">
        <v>16.100000000000001</v>
      </c>
      <c r="P88">
        <v>13.5</v>
      </c>
      <c r="Q88">
        <v>14.5</v>
      </c>
      <c r="R88">
        <v>11.2</v>
      </c>
      <c r="S88">
        <f t="shared" si="6"/>
        <v>53</v>
      </c>
      <c r="T88" t="s">
        <v>88</v>
      </c>
      <c r="U88">
        <f t="shared" si="7"/>
        <v>0.215</v>
      </c>
      <c r="V88">
        <f t="shared" si="5"/>
        <v>0.21</v>
      </c>
      <c r="W88">
        <f t="shared" si="5"/>
        <v>0.21</v>
      </c>
      <c r="X88">
        <f t="shared" si="5"/>
        <v>0.215</v>
      </c>
      <c r="Y88">
        <f t="shared" si="5"/>
        <v>0.19800000000000001</v>
      </c>
      <c r="Z88">
        <f t="shared" si="5"/>
        <v>0.17199999999999999</v>
      </c>
      <c r="AA88">
        <f t="shared" si="5"/>
        <v>0.161</v>
      </c>
      <c r="AB88">
        <f t="shared" si="5"/>
        <v>0.13500000000000001</v>
      </c>
      <c r="AC88">
        <f t="shared" si="5"/>
        <v>0.14499999999999999</v>
      </c>
      <c r="AD88">
        <f t="shared" si="5"/>
        <v>0.11199999999999999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8</v>
      </c>
      <c r="F89">
        <v>18</v>
      </c>
      <c r="G89">
        <v>13</v>
      </c>
      <c r="H89">
        <v>46</v>
      </c>
      <c r="I89">
        <v>-5</v>
      </c>
      <c r="J89">
        <v>18.3</v>
      </c>
      <c r="K89">
        <v>20.6</v>
      </c>
      <c r="L89">
        <v>24.6</v>
      </c>
      <c r="M89">
        <v>21.8</v>
      </c>
      <c r="N89">
        <v>19.8</v>
      </c>
      <c r="O89">
        <v>18.7</v>
      </c>
      <c r="P89">
        <v>16.7</v>
      </c>
      <c r="Q89">
        <v>16.100000000000001</v>
      </c>
      <c r="R89">
        <v>14.5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0.183</v>
      </c>
      <c r="W89">
        <f t="shared" si="5"/>
        <v>0.20600000000000002</v>
      </c>
      <c r="X89">
        <f t="shared" si="5"/>
        <v>0.24600000000000002</v>
      </c>
      <c r="Y89">
        <f t="shared" si="5"/>
        <v>0.218</v>
      </c>
      <c r="Z89">
        <f t="shared" si="5"/>
        <v>0.19800000000000001</v>
      </c>
      <c r="AA89">
        <f t="shared" si="5"/>
        <v>0.187</v>
      </c>
      <c r="AB89">
        <f t="shared" si="5"/>
        <v>0.16699999999999998</v>
      </c>
      <c r="AC89">
        <f t="shared" si="5"/>
        <v>0.161</v>
      </c>
      <c r="AD89">
        <f t="shared" si="5"/>
        <v>0.14499999999999999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8</v>
      </c>
      <c r="F90">
        <v>18</v>
      </c>
      <c r="G90">
        <v>13</v>
      </c>
      <c r="H90">
        <v>51</v>
      </c>
      <c r="I90">
        <v>16.5</v>
      </c>
      <c r="J90">
        <v>17.3</v>
      </c>
      <c r="K90">
        <v>22.8</v>
      </c>
      <c r="L90">
        <v>22.6</v>
      </c>
      <c r="M90">
        <v>20.7</v>
      </c>
      <c r="N90">
        <v>18.2</v>
      </c>
      <c r="O90">
        <v>17.2</v>
      </c>
      <c r="P90">
        <v>17.7</v>
      </c>
      <c r="Q90">
        <v>18.7</v>
      </c>
      <c r="R90">
        <v>14.8</v>
      </c>
      <c r="S90">
        <f t="shared" si="6"/>
        <v>51</v>
      </c>
      <c r="T90" t="s">
        <v>86</v>
      </c>
      <c r="U90">
        <f t="shared" si="7"/>
        <v>0.16500000000000001</v>
      </c>
      <c r="V90">
        <f t="shared" si="5"/>
        <v>0.17300000000000001</v>
      </c>
      <c r="W90">
        <f t="shared" si="5"/>
        <v>0.22800000000000001</v>
      </c>
      <c r="X90">
        <f t="shared" si="5"/>
        <v>0.22600000000000001</v>
      </c>
      <c r="Y90">
        <f t="shared" si="5"/>
        <v>0.20699999999999999</v>
      </c>
      <c r="Z90">
        <f t="shared" si="5"/>
        <v>0.182</v>
      </c>
      <c r="AA90">
        <f t="shared" si="5"/>
        <v>0.17199999999999999</v>
      </c>
      <c r="AB90">
        <f t="shared" si="5"/>
        <v>0.17699999999999999</v>
      </c>
      <c r="AC90">
        <f t="shared" si="5"/>
        <v>0.187</v>
      </c>
      <c r="AD90">
        <f t="shared" si="5"/>
        <v>0.14800000000000002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8</v>
      </c>
      <c r="F91">
        <v>18</v>
      </c>
      <c r="G91">
        <v>13</v>
      </c>
      <c r="H91">
        <v>57</v>
      </c>
      <c r="I91">
        <v>20</v>
      </c>
      <c r="J91">
        <v>19.8</v>
      </c>
      <c r="K91">
        <v>20</v>
      </c>
      <c r="L91">
        <v>24.2</v>
      </c>
      <c r="M91">
        <v>23.4</v>
      </c>
      <c r="N91">
        <v>20.7</v>
      </c>
      <c r="O91">
        <v>21.3</v>
      </c>
      <c r="P91">
        <v>19.2</v>
      </c>
      <c r="Q91">
        <v>19.3</v>
      </c>
      <c r="R91">
        <v>15.6</v>
      </c>
      <c r="S91">
        <f t="shared" si="6"/>
        <v>50</v>
      </c>
      <c r="T91" t="s">
        <v>39</v>
      </c>
      <c r="U91">
        <f t="shared" si="7"/>
        <v>0.2</v>
      </c>
      <c r="V91">
        <f t="shared" si="5"/>
        <v>0.19800000000000001</v>
      </c>
      <c r="W91">
        <f t="shared" si="5"/>
        <v>0.2</v>
      </c>
      <c r="X91">
        <f t="shared" si="5"/>
        <v>0.24199999999999999</v>
      </c>
      <c r="Y91">
        <f t="shared" si="5"/>
        <v>0.23399999999999999</v>
      </c>
      <c r="Z91">
        <f t="shared" si="5"/>
        <v>0.20699999999999999</v>
      </c>
      <c r="AA91">
        <f t="shared" si="5"/>
        <v>0.21299999999999999</v>
      </c>
      <c r="AB91">
        <f t="shared" si="5"/>
        <v>0.192</v>
      </c>
      <c r="AC91">
        <f t="shared" si="5"/>
        <v>0.193</v>
      </c>
      <c r="AD91">
        <f t="shared" si="5"/>
        <v>0.156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8</v>
      </c>
      <c r="F92">
        <v>18</v>
      </c>
      <c r="G92">
        <v>14</v>
      </c>
      <c r="H92">
        <v>2</v>
      </c>
      <c r="I92">
        <v>-5</v>
      </c>
      <c r="J92">
        <v>23.2</v>
      </c>
      <c r="K92">
        <v>23.1</v>
      </c>
      <c r="L92">
        <v>23.7</v>
      </c>
      <c r="M92">
        <v>20.3</v>
      </c>
      <c r="N92">
        <v>14.9</v>
      </c>
      <c r="O92">
        <v>13.9</v>
      </c>
      <c r="P92">
        <v>16.899999999999999</v>
      </c>
      <c r="Q92">
        <v>17</v>
      </c>
      <c r="R92">
        <v>12.4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0.23199999999999998</v>
      </c>
      <c r="W92">
        <f t="shared" si="5"/>
        <v>0.23100000000000001</v>
      </c>
      <c r="X92">
        <f t="shared" si="5"/>
        <v>0.23699999999999999</v>
      </c>
      <c r="Y92">
        <f t="shared" si="5"/>
        <v>0.20300000000000001</v>
      </c>
      <c r="Z92">
        <f t="shared" si="5"/>
        <v>0.14899999999999999</v>
      </c>
      <c r="AA92">
        <f t="shared" si="5"/>
        <v>0.13900000000000001</v>
      </c>
      <c r="AB92">
        <f t="shared" si="5"/>
        <v>0.16899999999999998</v>
      </c>
      <c r="AC92">
        <f t="shared" si="5"/>
        <v>0.17</v>
      </c>
      <c r="AD92">
        <f t="shared" si="5"/>
        <v>0.124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8</v>
      </c>
      <c r="F93">
        <v>18</v>
      </c>
      <c r="G93">
        <v>14</v>
      </c>
      <c r="H93">
        <v>10</v>
      </c>
      <c r="I93">
        <v>-5</v>
      </c>
      <c r="J93">
        <v>22.4</v>
      </c>
      <c r="K93">
        <v>24.5</v>
      </c>
      <c r="L93">
        <v>23.7</v>
      </c>
      <c r="M93">
        <v>19.600000000000001</v>
      </c>
      <c r="N93">
        <v>17.100000000000001</v>
      </c>
      <c r="O93">
        <v>14</v>
      </c>
      <c r="P93">
        <v>17.2</v>
      </c>
      <c r="Q93">
        <v>16.100000000000001</v>
      </c>
      <c r="R93">
        <v>12.1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0.22399999999999998</v>
      </c>
      <c r="W93">
        <f t="shared" si="5"/>
        <v>0.245</v>
      </c>
      <c r="X93">
        <f t="shared" si="5"/>
        <v>0.23699999999999999</v>
      </c>
      <c r="Y93">
        <f t="shared" si="5"/>
        <v>0.19600000000000001</v>
      </c>
      <c r="Z93">
        <f t="shared" si="5"/>
        <v>0.17100000000000001</v>
      </c>
      <c r="AA93">
        <f t="shared" si="5"/>
        <v>0.14000000000000001</v>
      </c>
      <c r="AB93">
        <f t="shared" si="5"/>
        <v>0.17199999999999999</v>
      </c>
      <c r="AC93">
        <f t="shared" si="5"/>
        <v>0.161</v>
      </c>
      <c r="AD93">
        <f t="shared" si="5"/>
        <v>0.121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8</v>
      </c>
      <c r="F94">
        <v>18</v>
      </c>
      <c r="G94">
        <v>14</v>
      </c>
      <c r="H94">
        <v>15</v>
      </c>
      <c r="I94">
        <v>20.399999999999999</v>
      </c>
      <c r="J94">
        <v>19.600000000000001</v>
      </c>
      <c r="K94">
        <v>22.9</v>
      </c>
      <c r="L94">
        <v>24.4</v>
      </c>
      <c r="M94">
        <v>23</v>
      </c>
      <c r="N94">
        <v>20.399999999999999</v>
      </c>
      <c r="O94">
        <v>17.899999999999999</v>
      </c>
      <c r="P94">
        <v>16.399999999999999</v>
      </c>
      <c r="Q94">
        <v>17.3</v>
      </c>
      <c r="R94">
        <v>13.6</v>
      </c>
      <c r="S94">
        <f t="shared" si="6"/>
        <v>47</v>
      </c>
      <c r="T94" t="s">
        <v>85</v>
      </c>
      <c r="U94">
        <f t="shared" si="7"/>
        <v>0.20399999999999999</v>
      </c>
      <c r="V94">
        <f t="shared" si="5"/>
        <v>0.19600000000000001</v>
      </c>
      <c r="W94">
        <f t="shared" si="5"/>
        <v>0.22899999999999998</v>
      </c>
      <c r="X94">
        <f t="shared" si="5"/>
        <v>0.24399999999999999</v>
      </c>
      <c r="Y94">
        <f t="shared" si="5"/>
        <v>0.23</v>
      </c>
      <c r="Z94">
        <f t="shared" si="5"/>
        <v>0.20399999999999999</v>
      </c>
      <c r="AA94">
        <f t="shared" si="5"/>
        <v>0.17899999999999999</v>
      </c>
      <c r="AB94">
        <f t="shared" si="5"/>
        <v>0.16399999999999998</v>
      </c>
      <c r="AC94">
        <f t="shared" si="5"/>
        <v>0.17300000000000001</v>
      </c>
      <c r="AD94">
        <f t="shared" si="5"/>
        <v>0.13600000000000001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8</v>
      </c>
      <c r="F95">
        <v>18</v>
      </c>
      <c r="G95">
        <v>14</v>
      </c>
      <c r="H95">
        <v>20</v>
      </c>
      <c r="I95">
        <v>-5</v>
      </c>
      <c r="J95">
        <v>22.9</v>
      </c>
      <c r="K95">
        <v>25.2</v>
      </c>
      <c r="L95">
        <v>24.5</v>
      </c>
      <c r="M95">
        <v>23.3</v>
      </c>
      <c r="N95">
        <v>21.5</v>
      </c>
      <c r="O95">
        <v>21.8</v>
      </c>
      <c r="P95">
        <v>15.9</v>
      </c>
      <c r="Q95">
        <v>15.4</v>
      </c>
      <c r="R95">
        <v>12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0.22899999999999998</v>
      </c>
      <c r="W95">
        <f t="shared" si="5"/>
        <v>0.252</v>
      </c>
      <c r="X95">
        <f t="shared" si="5"/>
        <v>0.245</v>
      </c>
      <c r="Y95">
        <f t="shared" si="5"/>
        <v>0.23300000000000001</v>
      </c>
      <c r="Z95">
        <f t="shared" si="5"/>
        <v>0.215</v>
      </c>
      <c r="AA95">
        <f t="shared" si="5"/>
        <v>0.218</v>
      </c>
      <c r="AB95">
        <f t="shared" si="5"/>
        <v>0.159</v>
      </c>
      <c r="AC95">
        <f t="shared" si="5"/>
        <v>0.154</v>
      </c>
      <c r="AD95">
        <f t="shared" si="5"/>
        <v>0.12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8</v>
      </c>
      <c r="F96">
        <v>18</v>
      </c>
      <c r="G96">
        <v>14</v>
      </c>
      <c r="H96">
        <v>24</v>
      </c>
      <c r="I96">
        <v>-5</v>
      </c>
      <c r="J96">
        <v>23.7</v>
      </c>
      <c r="K96">
        <v>23.1</v>
      </c>
      <c r="L96">
        <v>24.5</v>
      </c>
      <c r="M96">
        <v>23.2</v>
      </c>
      <c r="N96">
        <v>21.7</v>
      </c>
      <c r="O96">
        <v>21.1</v>
      </c>
      <c r="P96">
        <v>17.7</v>
      </c>
      <c r="Q96">
        <v>18.600000000000001</v>
      </c>
      <c r="R96">
        <v>14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0.23699999999999999</v>
      </c>
      <c r="W96">
        <f t="shared" si="5"/>
        <v>0.23100000000000001</v>
      </c>
      <c r="X96">
        <f t="shared" si="5"/>
        <v>0.245</v>
      </c>
      <c r="Y96">
        <f t="shared" si="5"/>
        <v>0.23199999999999998</v>
      </c>
      <c r="Z96">
        <f t="shared" si="5"/>
        <v>0.217</v>
      </c>
      <c r="AA96">
        <f t="shared" si="5"/>
        <v>0.21100000000000002</v>
      </c>
      <c r="AB96">
        <f t="shared" si="5"/>
        <v>0.17699999999999999</v>
      </c>
      <c r="AC96">
        <f t="shared" si="5"/>
        <v>0.18600000000000003</v>
      </c>
      <c r="AD96">
        <f t="shared" si="5"/>
        <v>0.14000000000000001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8</v>
      </c>
      <c r="F97">
        <v>18</v>
      </c>
      <c r="G97">
        <v>14</v>
      </c>
      <c r="H97">
        <v>21</v>
      </c>
      <c r="I97">
        <v>17.7</v>
      </c>
      <c r="J97">
        <v>16.7</v>
      </c>
      <c r="K97">
        <v>21.8</v>
      </c>
      <c r="L97">
        <v>24</v>
      </c>
      <c r="M97">
        <v>20.9</v>
      </c>
      <c r="N97">
        <v>16.5</v>
      </c>
      <c r="O97">
        <v>12.4</v>
      </c>
      <c r="P97">
        <v>12.7</v>
      </c>
      <c r="Q97">
        <v>12.9</v>
      </c>
      <c r="R97">
        <v>9.6999999999999993</v>
      </c>
      <c r="S97">
        <f t="shared" si="6"/>
        <v>44</v>
      </c>
      <c r="T97" t="s">
        <v>83</v>
      </c>
      <c r="U97">
        <f t="shared" si="7"/>
        <v>0.17699999999999999</v>
      </c>
      <c r="V97">
        <f t="shared" si="5"/>
        <v>0.16699999999999998</v>
      </c>
      <c r="W97">
        <f t="shared" si="5"/>
        <v>0.218</v>
      </c>
      <c r="X97">
        <f t="shared" si="5"/>
        <v>0.24</v>
      </c>
      <c r="Y97">
        <f t="shared" si="5"/>
        <v>0.20899999999999999</v>
      </c>
      <c r="Z97">
        <f t="shared" si="5"/>
        <v>0.16500000000000001</v>
      </c>
      <c r="AA97">
        <f t="shared" si="5"/>
        <v>0.124</v>
      </c>
      <c r="AB97">
        <f t="shared" si="5"/>
        <v>0.127</v>
      </c>
      <c r="AC97">
        <f t="shared" si="5"/>
        <v>0.129</v>
      </c>
      <c r="AD97">
        <f t="shared" si="5"/>
        <v>9.6999999999999989E-2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8</v>
      </c>
      <c r="F98">
        <v>18</v>
      </c>
      <c r="G98">
        <v>14</v>
      </c>
      <c r="H98">
        <v>33</v>
      </c>
      <c r="I98">
        <v>-5</v>
      </c>
      <c r="J98">
        <v>16.7</v>
      </c>
      <c r="K98">
        <v>16.600000000000001</v>
      </c>
      <c r="L98">
        <v>20.3</v>
      </c>
      <c r="M98">
        <v>22.3</v>
      </c>
      <c r="N98">
        <v>19.600000000000001</v>
      </c>
      <c r="O98">
        <v>17.100000000000001</v>
      </c>
      <c r="P98">
        <v>14.7</v>
      </c>
      <c r="Q98">
        <v>14.8</v>
      </c>
      <c r="R98">
        <v>12.5</v>
      </c>
      <c r="S98">
        <f t="shared" si="6"/>
        <v>43</v>
      </c>
      <c r="T98" t="s">
        <v>82</v>
      </c>
      <c r="U98" t="str">
        <f t="shared" si="7"/>
        <v/>
      </c>
      <c r="V98">
        <f t="shared" si="5"/>
        <v>0.16699999999999998</v>
      </c>
      <c r="W98">
        <f t="shared" si="5"/>
        <v>0.16600000000000001</v>
      </c>
      <c r="X98">
        <f t="shared" si="5"/>
        <v>0.20300000000000001</v>
      </c>
      <c r="Y98">
        <f t="shared" si="5"/>
        <v>0.223</v>
      </c>
      <c r="Z98">
        <f t="shared" si="5"/>
        <v>0.19600000000000001</v>
      </c>
      <c r="AA98">
        <f t="shared" si="5"/>
        <v>0.17100000000000001</v>
      </c>
      <c r="AB98">
        <f t="shared" si="5"/>
        <v>0.14699999999999999</v>
      </c>
      <c r="AC98">
        <f t="shared" si="5"/>
        <v>0.14800000000000002</v>
      </c>
      <c r="AD98">
        <f t="shared" si="5"/>
        <v>0.125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8</v>
      </c>
      <c r="F99">
        <v>18</v>
      </c>
      <c r="G99">
        <v>14</v>
      </c>
      <c r="H99">
        <v>30</v>
      </c>
      <c r="I99">
        <v>22.7</v>
      </c>
      <c r="J99">
        <v>22.2</v>
      </c>
      <c r="K99">
        <v>16.2</v>
      </c>
      <c r="L99">
        <v>14.3</v>
      </c>
      <c r="M99">
        <v>10.6</v>
      </c>
      <c r="N99">
        <v>10.199999999999999</v>
      </c>
      <c r="O99">
        <v>9.6</v>
      </c>
      <c r="P99">
        <v>10.199999999999999</v>
      </c>
      <c r="Q99">
        <v>13.1</v>
      </c>
      <c r="R99">
        <v>11.5</v>
      </c>
      <c r="S99">
        <f t="shared" si="6"/>
        <v>42</v>
      </c>
      <c r="T99" t="s">
        <v>44</v>
      </c>
      <c r="U99">
        <f t="shared" si="7"/>
        <v>0.22699999999999998</v>
      </c>
      <c r="V99">
        <f t="shared" si="5"/>
        <v>0.222</v>
      </c>
      <c r="W99">
        <f t="shared" si="5"/>
        <v>0.16200000000000001</v>
      </c>
      <c r="X99">
        <f t="shared" si="5"/>
        <v>0.14300000000000002</v>
      </c>
      <c r="Y99">
        <f t="shared" si="5"/>
        <v>0.106</v>
      </c>
      <c r="Z99">
        <f t="shared" si="5"/>
        <v>0.10199999999999999</v>
      </c>
      <c r="AA99">
        <f t="shared" si="5"/>
        <v>9.6000000000000002E-2</v>
      </c>
      <c r="AB99">
        <f t="shared" si="5"/>
        <v>0.10199999999999999</v>
      </c>
      <c r="AC99">
        <f t="shared" si="5"/>
        <v>0.13100000000000001</v>
      </c>
      <c r="AD99">
        <f t="shared" si="5"/>
        <v>0.115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8</v>
      </c>
      <c r="F100">
        <v>18</v>
      </c>
      <c r="G100">
        <v>14</v>
      </c>
      <c r="H100">
        <v>43</v>
      </c>
      <c r="I100">
        <v>-5</v>
      </c>
      <c r="J100">
        <v>22.4</v>
      </c>
      <c r="K100">
        <v>17.5</v>
      </c>
      <c r="L100">
        <v>16.5</v>
      </c>
      <c r="M100">
        <v>15.5</v>
      </c>
      <c r="N100">
        <v>14</v>
      </c>
      <c r="O100">
        <v>12</v>
      </c>
      <c r="P100">
        <v>11.5</v>
      </c>
      <c r="Q100">
        <v>13</v>
      </c>
      <c r="R100">
        <v>11</v>
      </c>
      <c r="S100">
        <f t="shared" si="6"/>
        <v>41</v>
      </c>
      <c r="T100" t="s">
        <v>43</v>
      </c>
      <c r="U100" t="str">
        <f t="shared" si="7"/>
        <v/>
      </c>
      <c r="V100">
        <f t="shared" si="5"/>
        <v>0.22399999999999998</v>
      </c>
      <c r="W100">
        <f t="shared" si="5"/>
        <v>0.17499999999999999</v>
      </c>
      <c r="X100">
        <f t="shared" si="5"/>
        <v>0.16500000000000001</v>
      </c>
      <c r="Y100">
        <f t="shared" si="5"/>
        <v>0.155</v>
      </c>
      <c r="Z100">
        <f t="shared" si="5"/>
        <v>0.14000000000000001</v>
      </c>
      <c r="AA100">
        <f t="shared" si="5"/>
        <v>0.12</v>
      </c>
      <c r="AB100">
        <f t="shared" si="5"/>
        <v>0.115</v>
      </c>
      <c r="AC100">
        <f t="shared" si="5"/>
        <v>0.13</v>
      </c>
      <c r="AD100">
        <f t="shared" si="5"/>
        <v>0.11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8</v>
      </c>
      <c r="F101">
        <v>18</v>
      </c>
      <c r="G101">
        <v>14</v>
      </c>
      <c r="H101">
        <v>40</v>
      </c>
      <c r="I101">
        <v>-5</v>
      </c>
      <c r="J101">
        <v>22.9</v>
      </c>
      <c r="K101">
        <v>24.2</v>
      </c>
      <c r="L101">
        <v>19.600000000000001</v>
      </c>
      <c r="M101">
        <v>17.899999999999999</v>
      </c>
      <c r="N101">
        <v>18.399999999999999</v>
      </c>
      <c r="O101">
        <v>20.399999999999999</v>
      </c>
      <c r="P101">
        <v>18.100000000000001</v>
      </c>
      <c r="Q101">
        <v>16.399999999999999</v>
      </c>
      <c r="R101">
        <v>14.1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0.22899999999999998</v>
      </c>
      <c r="W101">
        <f t="shared" si="5"/>
        <v>0.24199999999999999</v>
      </c>
      <c r="X101">
        <f t="shared" si="5"/>
        <v>0.19600000000000001</v>
      </c>
      <c r="Y101">
        <f t="shared" si="5"/>
        <v>0.17899999999999999</v>
      </c>
      <c r="Z101">
        <f t="shared" si="5"/>
        <v>0.184</v>
      </c>
      <c r="AA101">
        <f t="shared" si="5"/>
        <v>0.20399999999999999</v>
      </c>
      <c r="AB101">
        <f t="shared" si="5"/>
        <v>0.18100000000000002</v>
      </c>
      <c r="AC101">
        <f t="shared" si="5"/>
        <v>0.16399999999999998</v>
      </c>
      <c r="AD101">
        <f t="shared" si="5"/>
        <v>0.14099999999999999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8</v>
      </c>
      <c r="F102">
        <v>18</v>
      </c>
      <c r="G102">
        <v>14</v>
      </c>
      <c r="H102">
        <v>52</v>
      </c>
      <c r="I102">
        <v>-5</v>
      </c>
      <c r="J102">
        <v>19.7</v>
      </c>
      <c r="K102">
        <v>21.4</v>
      </c>
      <c r="L102">
        <v>20.7</v>
      </c>
      <c r="M102">
        <v>19.7</v>
      </c>
      <c r="N102">
        <v>18.8</v>
      </c>
      <c r="O102">
        <v>17.3</v>
      </c>
      <c r="P102">
        <v>14.8</v>
      </c>
      <c r="Q102">
        <v>17.5</v>
      </c>
      <c r="R102">
        <v>13.7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0.19699999999999998</v>
      </c>
      <c r="W102">
        <f t="shared" si="5"/>
        <v>0.214</v>
      </c>
      <c r="X102">
        <f t="shared" si="5"/>
        <v>0.20699999999999999</v>
      </c>
      <c r="Y102">
        <f t="shared" si="5"/>
        <v>0.19699999999999998</v>
      </c>
      <c r="Z102">
        <f t="shared" si="5"/>
        <v>0.188</v>
      </c>
      <c r="AA102">
        <f t="shared" si="5"/>
        <v>0.17300000000000001</v>
      </c>
      <c r="AB102">
        <f t="shared" si="5"/>
        <v>0.14800000000000002</v>
      </c>
      <c r="AC102">
        <f t="shared" si="5"/>
        <v>0.17499999999999999</v>
      </c>
      <c r="AD102">
        <f t="shared" si="5"/>
        <v>0.13699999999999998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8</v>
      </c>
      <c r="F103">
        <v>18</v>
      </c>
      <c r="G103">
        <v>14</v>
      </c>
      <c r="H103">
        <v>51</v>
      </c>
      <c r="I103">
        <v>-5</v>
      </c>
      <c r="J103">
        <v>23.9</v>
      </c>
      <c r="K103">
        <v>23.8</v>
      </c>
      <c r="L103">
        <v>23.6</v>
      </c>
      <c r="M103">
        <v>19.899999999999999</v>
      </c>
      <c r="N103">
        <v>19.3</v>
      </c>
      <c r="O103">
        <v>17.3</v>
      </c>
      <c r="P103">
        <v>16</v>
      </c>
      <c r="Q103">
        <v>18.3</v>
      </c>
      <c r="R103">
        <v>16.399999999999999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0.23899999999999999</v>
      </c>
      <c r="W103">
        <f t="shared" si="5"/>
        <v>0.23800000000000002</v>
      </c>
      <c r="X103">
        <f t="shared" si="5"/>
        <v>0.23600000000000002</v>
      </c>
      <c r="Y103">
        <f t="shared" ref="Y103:AD104" si="8">IF(M103&lt;0,"",M103/100)</f>
        <v>0.19899999999999998</v>
      </c>
      <c r="Z103">
        <f t="shared" si="8"/>
        <v>0.193</v>
      </c>
      <c r="AA103">
        <f t="shared" si="8"/>
        <v>0.17300000000000001</v>
      </c>
      <c r="AB103">
        <f t="shared" si="8"/>
        <v>0.16</v>
      </c>
      <c r="AC103">
        <f t="shared" si="8"/>
        <v>0.183</v>
      </c>
      <c r="AD103">
        <f t="shared" si="8"/>
        <v>0.16399999999999998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8</v>
      </c>
      <c r="F104">
        <v>18</v>
      </c>
      <c r="G104">
        <v>15</v>
      </c>
      <c r="H104">
        <v>3</v>
      </c>
      <c r="I104">
        <v>-5</v>
      </c>
      <c r="J104">
        <v>23.4</v>
      </c>
      <c r="K104">
        <v>20.8</v>
      </c>
      <c r="L104">
        <v>17.2</v>
      </c>
      <c r="M104">
        <v>15.3</v>
      </c>
      <c r="N104">
        <v>16</v>
      </c>
      <c r="O104">
        <v>15.4</v>
      </c>
      <c r="P104">
        <v>17</v>
      </c>
      <c r="Q104">
        <v>16.5</v>
      </c>
      <c r="R104">
        <v>11.8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0.23399999999999999</v>
      </c>
      <c r="W104">
        <f t="shared" si="7"/>
        <v>0.20800000000000002</v>
      </c>
      <c r="X104">
        <f t="shared" si="7"/>
        <v>0.17199999999999999</v>
      </c>
      <c r="Y104">
        <f t="shared" si="8"/>
        <v>0.153</v>
      </c>
      <c r="Z104">
        <f t="shared" si="8"/>
        <v>0.16</v>
      </c>
      <c r="AA104">
        <f t="shared" si="8"/>
        <v>0.154</v>
      </c>
      <c r="AB104">
        <f t="shared" si="8"/>
        <v>0.17</v>
      </c>
      <c r="AC104">
        <f t="shared" si="8"/>
        <v>0.16500000000000001</v>
      </c>
      <c r="AD104">
        <f t="shared" si="8"/>
        <v>0.11800000000000001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104"/>
  <sheetViews>
    <sheetView topLeftCell="A13" workbookViewId="0">
      <selection activeCell="T75" sqref="T75:AD104"/>
    </sheetView>
  </sheetViews>
  <sheetFormatPr defaultRowHeight="15" x14ac:dyDescent="0.25"/>
  <sheetData>
    <row r="1" spans="1:7" x14ac:dyDescent="0.25">
      <c r="A1" s="2">
        <v>41876</v>
      </c>
    </row>
    <row r="2" spans="1:7" x14ac:dyDescent="0.25">
      <c r="A2" t="s">
        <v>3</v>
      </c>
      <c r="B2">
        <v>6114</v>
      </c>
      <c r="C2" t="s">
        <v>4</v>
      </c>
      <c r="D2">
        <v>10078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8</v>
      </c>
      <c r="F19">
        <v>25</v>
      </c>
      <c r="G19">
        <v>12</v>
      </c>
      <c r="H19">
        <v>45</v>
      </c>
      <c r="I19">
        <v>8.8000000000000007</v>
      </c>
      <c r="J19">
        <v>10.6</v>
      </c>
      <c r="K19">
        <v>11.4</v>
      </c>
      <c r="L19">
        <v>11.8</v>
      </c>
      <c r="M19">
        <v>14.2</v>
      </c>
      <c r="N19">
        <v>16.600000000000001</v>
      </c>
      <c r="O19">
        <v>17.600000000000001</v>
      </c>
      <c r="P19">
        <v>17.600000000000001</v>
      </c>
      <c r="Q19">
        <v>15.3</v>
      </c>
      <c r="R19">
        <v>7.5</v>
      </c>
      <c r="S19">
        <f>B19</f>
        <v>1</v>
      </c>
      <c r="T19" t="s">
        <v>51</v>
      </c>
      <c r="U19">
        <f>IF(I19&lt;0,"",I19/100)</f>
        <v>8.8000000000000009E-2</v>
      </c>
      <c r="V19">
        <f t="shared" ref="V19:AD47" si="0">IF(J19&lt;0,"",J19/100)</f>
        <v>0.106</v>
      </c>
      <c r="W19">
        <f t="shared" si="0"/>
        <v>0.114</v>
      </c>
      <c r="X19">
        <f t="shared" si="0"/>
        <v>0.11800000000000001</v>
      </c>
      <c r="Y19">
        <f t="shared" si="0"/>
        <v>0.14199999999999999</v>
      </c>
      <c r="Z19">
        <f t="shared" si="0"/>
        <v>0.16600000000000001</v>
      </c>
      <c r="AA19">
        <f t="shared" si="0"/>
        <v>0.17600000000000002</v>
      </c>
      <c r="AB19">
        <f t="shared" si="0"/>
        <v>0.17600000000000002</v>
      </c>
      <c r="AC19">
        <f t="shared" si="0"/>
        <v>0.153</v>
      </c>
      <c r="AD19">
        <f t="shared" si="0"/>
        <v>7.4999999999999997E-2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8</v>
      </c>
      <c r="F20">
        <v>25</v>
      </c>
      <c r="G20">
        <v>12</v>
      </c>
      <c r="H20">
        <v>50</v>
      </c>
      <c r="I20">
        <v>20.100000000000001</v>
      </c>
      <c r="J20">
        <v>13.7</v>
      </c>
      <c r="K20">
        <v>11</v>
      </c>
      <c r="L20">
        <v>11.8</v>
      </c>
      <c r="M20">
        <v>13.6</v>
      </c>
      <c r="N20">
        <v>15.3</v>
      </c>
      <c r="O20">
        <v>16.3</v>
      </c>
      <c r="P20">
        <v>19</v>
      </c>
      <c r="Q20">
        <v>15.6</v>
      </c>
      <c r="R20">
        <v>9.5</v>
      </c>
      <c r="S20">
        <f t="shared" ref="S20:S54" si="1">B20</f>
        <v>2</v>
      </c>
      <c r="T20" t="s">
        <v>55</v>
      </c>
      <c r="U20">
        <f t="shared" ref="U20:X48" si="2">IF(I20&lt;0,"",I20/100)</f>
        <v>0.20100000000000001</v>
      </c>
      <c r="V20">
        <f t="shared" si="0"/>
        <v>0.13699999999999998</v>
      </c>
      <c r="W20">
        <f t="shared" si="0"/>
        <v>0.11</v>
      </c>
      <c r="X20">
        <f t="shared" si="0"/>
        <v>0.11800000000000001</v>
      </c>
      <c r="Y20">
        <f t="shared" si="0"/>
        <v>0.13600000000000001</v>
      </c>
      <c r="Z20">
        <f t="shared" si="0"/>
        <v>0.153</v>
      </c>
      <c r="AA20">
        <f t="shared" si="0"/>
        <v>0.16300000000000001</v>
      </c>
      <c r="AB20">
        <f t="shared" si="0"/>
        <v>0.19</v>
      </c>
      <c r="AC20">
        <f t="shared" si="0"/>
        <v>0.156</v>
      </c>
      <c r="AD20">
        <f t="shared" si="0"/>
        <v>9.5000000000000001E-2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8</v>
      </c>
      <c r="F21">
        <v>25</v>
      </c>
      <c r="G21">
        <v>12</v>
      </c>
      <c r="H21">
        <v>55</v>
      </c>
      <c r="I21">
        <v>12.9</v>
      </c>
      <c r="J21">
        <v>16.399999999999999</v>
      </c>
      <c r="K21">
        <v>18.7</v>
      </c>
      <c r="L21">
        <v>17.2</v>
      </c>
      <c r="M21">
        <v>16.100000000000001</v>
      </c>
      <c r="N21">
        <v>16.2</v>
      </c>
      <c r="O21">
        <v>16.600000000000001</v>
      </c>
      <c r="P21">
        <v>18.8</v>
      </c>
      <c r="Q21">
        <v>18.100000000000001</v>
      </c>
      <c r="R21">
        <v>9.4</v>
      </c>
      <c r="S21">
        <f t="shared" si="1"/>
        <v>3</v>
      </c>
      <c r="T21" t="s">
        <v>56</v>
      </c>
      <c r="U21">
        <f t="shared" si="2"/>
        <v>0.129</v>
      </c>
      <c r="V21">
        <f t="shared" si="0"/>
        <v>0.16399999999999998</v>
      </c>
      <c r="W21">
        <f t="shared" si="0"/>
        <v>0.187</v>
      </c>
      <c r="X21">
        <f t="shared" si="0"/>
        <v>0.17199999999999999</v>
      </c>
      <c r="Y21">
        <f t="shared" si="0"/>
        <v>0.161</v>
      </c>
      <c r="Z21">
        <f t="shared" si="0"/>
        <v>0.16200000000000001</v>
      </c>
      <c r="AA21">
        <f t="shared" si="0"/>
        <v>0.16600000000000001</v>
      </c>
      <c r="AB21">
        <f t="shared" si="0"/>
        <v>0.188</v>
      </c>
      <c r="AC21">
        <f t="shared" si="0"/>
        <v>0.18100000000000002</v>
      </c>
      <c r="AD21">
        <f t="shared" si="0"/>
        <v>9.4E-2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8</v>
      </c>
      <c r="F22">
        <v>25</v>
      </c>
      <c r="G22">
        <v>12</v>
      </c>
      <c r="H22">
        <v>51</v>
      </c>
      <c r="I22">
        <v>13.4</v>
      </c>
      <c r="J22">
        <v>13.3</v>
      </c>
      <c r="K22">
        <v>13.5</v>
      </c>
      <c r="L22">
        <v>16.899999999999999</v>
      </c>
      <c r="M22">
        <v>17</v>
      </c>
      <c r="N22">
        <v>16.3</v>
      </c>
      <c r="O22">
        <v>16.5</v>
      </c>
      <c r="P22">
        <v>16.5</v>
      </c>
      <c r="Q22">
        <v>14.5</v>
      </c>
      <c r="R22">
        <v>8.1999999999999993</v>
      </c>
      <c r="S22">
        <f t="shared" si="1"/>
        <v>4</v>
      </c>
      <c r="T22" t="s">
        <v>57</v>
      </c>
      <c r="U22">
        <f t="shared" si="2"/>
        <v>0.13400000000000001</v>
      </c>
      <c r="V22">
        <f t="shared" si="0"/>
        <v>0.13300000000000001</v>
      </c>
      <c r="W22">
        <f t="shared" si="0"/>
        <v>0.13500000000000001</v>
      </c>
      <c r="X22">
        <f t="shared" si="0"/>
        <v>0.16899999999999998</v>
      </c>
      <c r="Y22">
        <f t="shared" si="0"/>
        <v>0.17</v>
      </c>
      <c r="Z22">
        <f t="shared" si="0"/>
        <v>0.16300000000000001</v>
      </c>
      <c r="AA22">
        <f t="shared" si="0"/>
        <v>0.16500000000000001</v>
      </c>
      <c r="AB22">
        <f t="shared" si="0"/>
        <v>0.16500000000000001</v>
      </c>
      <c r="AC22">
        <f t="shared" si="0"/>
        <v>0.14499999999999999</v>
      </c>
      <c r="AD22">
        <f t="shared" si="0"/>
        <v>8.199999999999999E-2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8</v>
      </c>
      <c r="F23">
        <v>25</v>
      </c>
      <c r="G23">
        <v>13</v>
      </c>
      <c r="H23">
        <v>3</v>
      </c>
      <c r="I23">
        <v>-5.9</v>
      </c>
      <c r="J23">
        <v>-5.9</v>
      </c>
      <c r="K23">
        <v>-5.9</v>
      </c>
      <c r="L23">
        <v>23.2</v>
      </c>
      <c r="M23">
        <v>18.5</v>
      </c>
      <c r="N23">
        <v>19.3</v>
      </c>
      <c r="O23">
        <v>17.5</v>
      </c>
      <c r="P23">
        <v>19.5</v>
      </c>
      <c r="Q23">
        <v>20.399999999999999</v>
      </c>
      <c r="R23">
        <v>12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0.23199999999999998</v>
      </c>
      <c r="Y23">
        <f t="shared" si="0"/>
        <v>0.185</v>
      </c>
      <c r="Z23">
        <f t="shared" si="0"/>
        <v>0.193</v>
      </c>
      <c r="AA23">
        <f t="shared" si="0"/>
        <v>0.17499999999999999</v>
      </c>
      <c r="AB23">
        <f t="shared" si="0"/>
        <v>0.19500000000000001</v>
      </c>
      <c r="AC23">
        <f t="shared" si="0"/>
        <v>0.20399999999999999</v>
      </c>
      <c r="AD23">
        <f t="shared" si="0"/>
        <v>0.12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8</v>
      </c>
      <c r="F24">
        <v>25</v>
      </c>
      <c r="G24">
        <v>13</v>
      </c>
      <c r="H24">
        <v>7</v>
      </c>
      <c r="I24">
        <v>-5.9</v>
      </c>
      <c r="J24">
        <v>20</v>
      </c>
      <c r="K24">
        <v>19.7</v>
      </c>
      <c r="L24">
        <v>19.399999999999999</v>
      </c>
      <c r="M24">
        <v>19.8</v>
      </c>
      <c r="N24">
        <v>18.2</v>
      </c>
      <c r="O24">
        <v>16.100000000000001</v>
      </c>
      <c r="P24">
        <v>19.2</v>
      </c>
      <c r="Q24">
        <v>17.899999999999999</v>
      </c>
      <c r="R24">
        <v>10.8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0.2</v>
      </c>
      <c r="W24">
        <f t="shared" si="0"/>
        <v>0.19699999999999998</v>
      </c>
      <c r="X24">
        <f t="shared" si="0"/>
        <v>0.19399999999999998</v>
      </c>
      <c r="Y24">
        <f t="shared" si="0"/>
        <v>0.19800000000000001</v>
      </c>
      <c r="Z24">
        <f t="shared" si="0"/>
        <v>0.182</v>
      </c>
      <c r="AA24">
        <f t="shared" si="0"/>
        <v>0.161</v>
      </c>
      <c r="AB24">
        <f t="shared" si="0"/>
        <v>0.192</v>
      </c>
      <c r="AC24">
        <f t="shared" si="0"/>
        <v>0.17899999999999999</v>
      </c>
      <c r="AD24">
        <f t="shared" si="0"/>
        <v>0.10800000000000001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8</v>
      </c>
      <c r="F25">
        <v>25</v>
      </c>
      <c r="G25">
        <v>13</v>
      </c>
      <c r="H25">
        <v>11</v>
      </c>
      <c r="I25">
        <v>-5.9</v>
      </c>
      <c r="J25">
        <v>-5.9</v>
      </c>
      <c r="K25">
        <v>26.7</v>
      </c>
      <c r="L25">
        <v>28.8</v>
      </c>
      <c r="M25">
        <v>20</v>
      </c>
      <c r="N25">
        <v>19.5</v>
      </c>
      <c r="O25">
        <v>22.7</v>
      </c>
      <c r="P25">
        <v>20.399999999999999</v>
      </c>
      <c r="Q25">
        <v>21.8</v>
      </c>
      <c r="R25">
        <v>15.7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0.26700000000000002</v>
      </c>
      <c r="X25">
        <f t="shared" si="0"/>
        <v>0.28800000000000003</v>
      </c>
      <c r="Y25">
        <f t="shared" si="0"/>
        <v>0.2</v>
      </c>
      <c r="Z25">
        <f t="shared" si="0"/>
        <v>0.19500000000000001</v>
      </c>
      <c r="AA25">
        <f t="shared" si="0"/>
        <v>0.22699999999999998</v>
      </c>
      <c r="AB25">
        <f t="shared" si="0"/>
        <v>0.20399999999999999</v>
      </c>
      <c r="AC25">
        <f t="shared" si="0"/>
        <v>0.218</v>
      </c>
      <c r="AD25">
        <f t="shared" si="0"/>
        <v>0.157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8</v>
      </c>
      <c r="F26">
        <v>25</v>
      </c>
      <c r="G26">
        <v>13</v>
      </c>
      <c r="H26">
        <v>15</v>
      </c>
      <c r="I26">
        <v>-5.9</v>
      </c>
      <c r="J26">
        <v>31.5</v>
      </c>
      <c r="K26">
        <v>27.1</v>
      </c>
      <c r="L26">
        <v>18.899999999999999</v>
      </c>
      <c r="M26">
        <v>18.600000000000001</v>
      </c>
      <c r="N26">
        <v>19.100000000000001</v>
      </c>
      <c r="O26">
        <v>16.3</v>
      </c>
      <c r="P26">
        <v>22.3</v>
      </c>
      <c r="Q26">
        <v>24.8</v>
      </c>
      <c r="R26">
        <v>16.100000000000001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0.315</v>
      </c>
      <c r="W26">
        <f t="shared" si="0"/>
        <v>0.27100000000000002</v>
      </c>
      <c r="X26">
        <f t="shared" si="0"/>
        <v>0.18899999999999997</v>
      </c>
      <c r="Y26">
        <f t="shared" si="0"/>
        <v>0.18600000000000003</v>
      </c>
      <c r="Z26">
        <f t="shared" si="0"/>
        <v>0.191</v>
      </c>
      <c r="AA26">
        <f t="shared" si="0"/>
        <v>0.16300000000000001</v>
      </c>
      <c r="AB26">
        <f t="shared" si="0"/>
        <v>0.223</v>
      </c>
      <c r="AC26">
        <f t="shared" si="0"/>
        <v>0.248</v>
      </c>
      <c r="AD26">
        <f t="shared" si="0"/>
        <v>0.161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8</v>
      </c>
      <c r="F27">
        <v>25</v>
      </c>
      <c r="G27">
        <v>13</v>
      </c>
      <c r="H27">
        <v>11</v>
      </c>
      <c r="I27">
        <v>-5.9</v>
      </c>
      <c r="J27">
        <v>15.8</v>
      </c>
      <c r="K27">
        <v>15.5</v>
      </c>
      <c r="L27">
        <v>18.5</v>
      </c>
      <c r="M27">
        <v>21.6</v>
      </c>
      <c r="N27">
        <v>21.9</v>
      </c>
      <c r="O27">
        <v>21.8</v>
      </c>
      <c r="P27">
        <v>18.7</v>
      </c>
      <c r="Q27">
        <v>20.5</v>
      </c>
      <c r="R27">
        <v>14.8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0.158</v>
      </c>
      <c r="W27">
        <f t="shared" si="0"/>
        <v>0.155</v>
      </c>
      <c r="X27">
        <f t="shared" si="0"/>
        <v>0.185</v>
      </c>
      <c r="Y27">
        <f t="shared" si="0"/>
        <v>0.21600000000000003</v>
      </c>
      <c r="Z27">
        <f t="shared" si="0"/>
        <v>0.21899999999999997</v>
      </c>
      <c r="AA27">
        <f t="shared" si="0"/>
        <v>0.218</v>
      </c>
      <c r="AB27">
        <f t="shared" si="0"/>
        <v>0.187</v>
      </c>
      <c r="AC27">
        <f t="shared" si="0"/>
        <v>0.20499999999999999</v>
      </c>
      <c r="AD27">
        <f t="shared" si="0"/>
        <v>0.14800000000000002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8</v>
      </c>
      <c r="F28">
        <v>25</v>
      </c>
      <c r="G28">
        <v>13</v>
      </c>
      <c r="H28">
        <v>24</v>
      </c>
      <c r="I28">
        <v>16.8</v>
      </c>
      <c r="J28">
        <v>14.3</v>
      </c>
      <c r="K28">
        <v>15.4</v>
      </c>
      <c r="L28">
        <v>16.2</v>
      </c>
      <c r="M28">
        <v>20.3</v>
      </c>
      <c r="N28">
        <v>21.8</v>
      </c>
      <c r="O28">
        <v>23.2</v>
      </c>
      <c r="P28">
        <v>22.9</v>
      </c>
      <c r="Q28">
        <v>20.6</v>
      </c>
      <c r="R28">
        <v>12.3</v>
      </c>
      <c r="S28">
        <f t="shared" si="1"/>
        <v>10</v>
      </c>
      <c r="T28" t="s">
        <v>62</v>
      </c>
      <c r="U28">
        <f t="shared" si="2"/>
        <v>0.16800000000000001</v>
      </c>
      <c r="V28">
        <f t="shared" si="0"/>
        <v>0.14300000000000002</v>
      </c>
      <c r="W28">
        <f t="shared" si="0"/>
        <v>0.154</v>
      </c>
      <c r="X28">
        <f t="shared" si="0"/>
        <v>0.16200000000000001</v>
      </c>
      <c r="Y28">
        <f t="shared" si="0"/>
        <v>0.20300000000000001</v>
      </c>
      <c r="Z28">
        <f t="shared" si="0"/>
        <v>0.218</v>
      </c>
      <c r="AA28">
        <f t="shared" si="0"/>
        <v>0.23199999999999998</v>
      </c>
      <c r="AB28">
        <f t="shared" si="0"/>
        <v>0.22899999999999998</v>
      </c>
      <c r="AC28">
        <f t="shared" si="0"/>
        <v>0.20600000000000002</v>
      </c>
      <c r="AD28">
        <f t="shared" si="0"/>
        <v>0.12300000000000001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8</v>
      </c>
      <c r="F29">
        <v>25</v>
      </c>
      <c r="G29">
        <v>13</v>
      </c>
      <c r="H29">
        <v>21</v>
      </c>
      <c r="I29">
        <v>15.2</v>
      </c>
      <c r="J29">
        <v>15.9</v>
      </c>
      <c r="K29">
        <v>17.8</v>
      </c>
      <c r="L29">
        <v>18.2</v>
      </c>
      <c r="M29">
        <v>20.2</v>
      </c>
      <c r="N29">
        <v>23</v>
      </c>
      <c r="O29">
        <v>22.9</v>
      </c>
      <c r="P29">
        <v>22.6</v>
      </c>
      <c r="Q29">
        <v>20.2</v>
      </c>
      <c r="R29">
        <v>16.3</v>
      </c>
      <c r="S29">
        <f t="shared" si="1"/>
        <v>11</v>
      </c>
      <c r="T29" t="s">
        <v>52</v>
      </c>
      <c r="U29">
        <f t="shared" si="2"/>
        <v>0.152</v>
      </c>
      <c r="V29">
        <f t="shared" si="0"/>
        <v>0.159</v>
      </c>
      <c r="W29">
        <f t="shared" si="0"/>
        <v>0.17800000000000002</v>
      </c>
      <c r="X29">
        <f t="shared" si="0"/>
        <v>0.182</v>
      </c>
      <c r="Y29">
        <f t="shared" si="0"/>
        <v>0.20199999999999999</v>
      </c>
      <c r="Z29">
        <f t="shared" si="0"/>
        <v>0.23</v>
      </c>
      <c r="AA29">
        <f t="shared" si="0"/>
        <v>0.22899999999999998</v>
      </c>
      <c r="AB29">
        <f t="shared" si="0"/>
        <v>0.22600000000000001</v>
      </c>
      <c r="AC29">
        <f t="shared" si="0"/>
        <v>0.20199999999999999</v>
      </c>
      <c r="AD29">
        <f t="shared" si="0"/>
        <v>0.16300000000000001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8</v>
      </c>
      <c r="F30">
        <v>25</v>
      </c>
      <c r="G30">
        <v>13</v>
      </c>
      <c r="H30">
        <v>35</v>
      </c>
      <c r="I30">
        <v>23.7</v>
      </c>
      <c r="J30">
        <v>14.9</v>
      </c>
      <c r="K30">
        <v>15</v>
      </c>
      <c r="L30">
        <v>24</v>
      </c>
      <c r="M30">
        <v>21.4</v>
      </c>
      <c r="N30">
        <v>20.9</v>
      </c>
      <c r="O30">
        <v>22</v>
      </c>
      <c r="P30">
        <v>21.5</v>
      </c>
      <c r="Q30">
        <v>19.5</v>
      </c>
      <c r="R30">
        <v>14.7</v>
      </c>
      <c r="S30">
        <f t="shared" si="1"/>
        <v>12</v>
      </c>
      <c r="T30" t="s">
        <v>64</v>
      </c>
      <c r="U30">
        <f t="shared" si="2"/>
        <v>0.23699999999999999</v>
      </c>
      <c r="V30">
        <f t="shared" si="0"/>
        <v>0.14899999999999999</v>
      </c>
      <c r="W30">
        <f t="shared" si="0"/>
        <v>0.15</v>
      </c>
      <c r="X30">
        <f t="shared" si="0"/>
        <v>0.24</v>
      </c>
      <c r="Y30">
        <f t="shared" si="0"/>
        <v>0.214</v>
      </c>
      <c r="Z30">
        <f t="shared" si="0"/>
        <v>0.20899999999999999</v>
      </c>
      <c r="AA30">
        <f t="shared" si="0"/>
        <v>0.22</v>
      </c>
      <c r="AB30">
        <f t="shared" si="0"/>
        <v>0.215</v>
      </c>
      <c r="AC30">
        <f t="shared" si="0"/>
        <v>0.19500000000000001</v>
      </c>
      <c r="AD30">
        <f t="shared" si="0"/>
        <v>0.14699999999999999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8</v>
      </c>
      <c r="F31">
        <v>25</v>
      </c>
      <c r="G31">
        <v>13</v>
      </c>
      <c r="H31">
        <v>41</v>
      </c>
      <c r="I31">
        <v>18.3</v>
      </c>
      <c r="J31">
        <v>19.3</v>
      </c>
      <c r="K31">
        <v>17.2</v>
      </c>
      <c r="L31">
        <v>22.5</v>
      </c>
      <c r="M31">
        <v>21.3</v>
      </c>
      <c r="N31">
        <v>24.4</v>
      </c>
      <c r="O31">
        <v>23.9</v>
      </c>
      <c r="P31">
        <v>26.6</v>
      </c>
      <c r="Q31">
        <v>24.5</v>
      </c>
      <c r="R31">
        <v>16.5</v>
      </c>
      <c r="S31">
        <f t="shared" si="1"/>
        <v>13</v>
      </c>
      <c r="T31" t="s">
        <v>29</v>
      </c>
      <c r="U31">
        <f t="shared" si="2"/>
        <v>0.183</v>
      </c>
      <c r="V31">
        <f t="shared" si="0"/>
        <v>0.193</v>
      </c>
      <c r="W31">
        <f t="shared" si="0"/>
        <v>0.17199999999999999</v>
      </c>
      <c r="X31">
        <f t="shared" si="0"/>
        <v>0.22500000000000001</v>
      </c>
      <c r="Y31">
        <f t="shared" si="0"/>
        <v>0.21299999999999999</v>
      </c>
      <c r="Z31">
        <f t="shared" si="0"/>
        <v>0.24399999999999999</v>
      </c>
      <c r="AA31">
        <f t="shared" si="0"/>
        <v>0.23899999999999999</v>
      </c>
      <c r="AB31">
        <f t="shared" si="0"/>
        <v>0.26600000000000001</v>
      </c>
      <c r="AC31">
        <f t="shared" si="0"/>
        <v>0.245</v>
      </c>
      <c r="AD31">
        <f t="shared" si="0"/>
        <v>0.16500000000000001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8</v>
      </c>
      <c r="F32">
        <v>25</v>
      </c>
      <c r="G32">
        <v>13</v>
      </c>
      <c r="H32">
        <v>55</v>
      </c>
      <c r="I32">
        <v>18.5</v>
      </c>
      <c r="J32">
        <v>19</v>
      </c>
      <c r="K32">
        <v>22.2</v>
      </c>
      <c r="L32">
        <v>24.5</v>
      </c>
      <c r="M32">
        <v>22.9</v>
      </c>
      <c r="N32">
        <v>22.4</v>
      </c>
      <c r="O32">
        <v>23.9</v>
      </c>
      <c r="P32">
        <v>17.8</v>
      </c>
      <c r="Q32">
        <v>15.9</v>
      </c>
      <c r="R32">
        <v>11.2</v>
      </c>
      <c r="S32">
        <f t="shared" si="1"/>
        <v>14</v>
      </c>
      <c r="T32" t="s">
        <v>30</v>
      </c>
      <c r="U32">
        <f t="shared" si="2"/>
        <v>0.185</v>
      </c>
      <c r="V32">
        <f t="shared" si="0"/>
        <v>0.19</v>
      </c>
      <c r="W32">
        <f t="shared" si="0"/>
        <v>0.222</v>
      </c>
      <c r="X32">
        <f t="shared" si="0"/>
        <v>0.245</v>
      </c>
      <c r="Y32">
        <f t="shared" si="0"/>
        <v>0.22899999999999998</v>
      </c>
      <c r="Z32">
        <f t="shared" si="0"/>
        <v>0.22399999999999998</v>
      </c>
      <c r="AA32">
        <f t="shared" si="0"/>
        <v>0.23899999999999999</v>
      </c>
      <c r="AB32">
        <f t="shared" si="0"/>
        <v>0.17800000000000002</v>
      </c>
      <c r="AC32">
        <f t="shared" si="0"/>
        <v>0.159</v>
      </c>
      <c r="AD32">
        <f t="shared" si="0"/>
        <v>0.11199999999999999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8</v>
      </c>
      <c r="F33">
        <v>25</v>
      </c>
      <c r="G33">
        <v>14</v>
      </c>
      <c r="H33">
        <v>11</v>
      </c>
      <c r="I33">
        <v>18.5</v>
      </c>
      <c r="J33">
        <v>16</v>
      </c>
      <c r="K33">
        <v>16.100000000000001</v>
      </c>
      <c r="L33">
        <v>17.399999999999999</v>
      </c>
      <c r="M33">
        <v>22.1</v>
      </c>
      <c r="N33">
        <v>21.8</v>
      </c>
      <c r="O33">
        <v>20.7</v>
      </c>
      <c r="P33">
        <v>20.8</v>
      </c>
      <c r="Q33">
        <v>22</v>
      </c>
      <c r="R33">
        <v>16.100000000000001</v>
      </c>
      <c r="S33">
        <f t="shared" si="1"/>
        <v>15</v>
      </c>
      <c r="T33" t="s">
        <v>31</v>
      </c>
      <c r="U33">
        <f t="shared" si="2"/>
        <v>0.185</v>
      </c>
      <c r="V33">
        <f t="shared" si="0"/>
        <v>0.16</v>
      </c>
      <c r="W33">
        <f t="shared" si="0"/>
        <v>0.161</v>
      </c>
      <c r="X33">
        <f t="shared" si="0"/>
        <v>0.17399999999999999</v>
      </c>
      <c r="Y33">
        <f t="shared" si="0"/>
        <v>0.221</v>
      </c>
      <c r="Z33">
        <f t="shared" si="0"/>
        <v>0.218</v>
      </c>
      <c r="AA33">
        <f t="shared" si="0"/>
        <v>0.20699999999999999</v>
      </c>
      <c r="AB33">
        <f t="shared" si="0"/>
        <v>0.20800000000000002</v>
      </c>
      <c r="AC33">
        <f t="shared" si="0"/>
        <v>0.22</v>
      </c>
      <c r="AD33">
        <f t="shared" si="0"/>
        <v>0.161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8</v>
      </c>
      <c r="F34">
        <v>25</v>
      </c>
      <c r="G34">
        <v>14</v>
      </c>
      <c r="H34">
        <v>17</v>
      </c>
      <c r="I34">
        <v>25.2</v>
      </c>
      <c r="J34">
        <v>19.3</v>
      </c>
      <c r="K34">
        <v>21.4</v>
      </c>
      <c r="L34">
        <v>19.7</v>
      </c>
      <c r="M34">
        <v>19.600000000000001</v>
      </c>
      <c r="N34">
        <v>19.399999999999999</v>
      </c>
      <c r="O34">
        <v>15.6</v>
      </c>
      <c r="P34">
        <v>15.1</v>
      </c>
      <c r="Q34">
        <v>21.9</v>
      </c>
      <c r="R34">
        <v>14.2</v>
      </c>
      <c r="S34">
        <f t="shared" si="1"/>
        <v>16</v>
      </c>
      <c r="T34" t="s">
        <v>32</v>
      </c>
      <c r="U34">
        <f t="shared" si="2"/>
        <v>0.252</v>
      </c>
      <c r="V34">
        <f t="shared" si="0"/>
        <v>0.193</v>
      </c>
      <c r="W34">
        <f t="shared" si="0"/>
        <v>0.214</v>
      </c>
      <c r="X34">
        <f t="shared" si="0"/>
        <v>0.19699999999999998</v>
      </c>
      <c r="Y34">
        <f t="shared" si="0"/>
        <v>0.19600000000000001</v>
      </c>
      <c r="Z34">
        <f t="shared" si="0"/>
        <v>0.19399999999999998</v>
      </c>
      <c r="AA34">
        <f t="shared" si="0"/>
        <v>0.156</v>
      </c>
      <c r="AB34">
        <f t="shared" si="0"/>
        <v>0.151</v>
      </c>
      <c r="AC34">
        <f t="shared" si="0"/>
        <v>0.21899999999999997</v>
      </c>
      <c r="AD34">
        <f t="shared" si="0"/>
        <v>0.14199999999999999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8</v>
      </c>
      <c r="F35">
        <v>25</v>
      </c>
      <c r="G35">
        <v>14</v>
      </c>
      <c r="H35">
        <v>22</v>
      </c>
      <c r="I35">
        <v>17.600000000000001</v>
      </c>
      <c r="J35">
        <v>16.8</v>
      </c>
      <c r="K35">
        <v>17.7</v>
      </c>
      <c r="L35">
        <v>17.899999999999999</v>
      </c>
      <c r="M35">
        <v>19.8</v>
      </c>
      <c r="N35">
        <v>23.1</v>
      </c>
      <c r="O35">
        <v>22.8</v>
      </c>
      <c r="P35">
        <v>20.7</v>
      </c>
      <c r="Q35">
        <v>19</v>
      </c>
      <c r="R35">
        <v>16</v>
      </c>
      <c r="S35">
        <f t="shared" si="1"/>
        <v>17</v>
      </c>
      <c r="T35" t="s">
        <v>33</v>
      </c>
      <c r="U35">
        <f t="shared" si="2"/>
        <v>0.17600000000000002</v>
      </c>
      <c r="V35">
        <f t="shared" si="0"/>
        <v>0.16800000000000001</v>
      </c>
      <c r="W35">
        <f t="shared" si="0"/>
        <v>0.17699999999999999</v>
      </c>
      <c r="X35">
        <f t="shared" si="0"/>
        <v>0.17899999999999999</v>
      </c>
      <c r="Y35">
        <f t="shared" si="0"/>
        <v>0.19800000000000001</v>
      </c>
      <c r="Z35">
        <f t="shared" si="0"/>
        <v>0.23100000000000001</v>
      </c>
      <c r="AA35">
        <f t="shared" si="0"/>
        <v>0.22800000000000001</v>
      </c>
      <c r="AB35">
        <f t="shared" si="0"/>
        <v>0.20699999999999999</v>
      </c>
      <c r="AC35">
        <f t="shared" si="0"/>
        <v>0.19</v>
      </c>
      <c r="AD35">
        <f t="shared" si="0"/>
        <v>0.16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8</v>
      </c>
      <c r="F36">
        <v>25</v>
      </c>
      <c r="G36">
        <v>14</v>
      </c>
      <c r="H36">
        <v>27</v>
      </c>
      <c r="I36">
        <v>20</v>
      </c>
      <c r="J36">
        <v>17.8</v>
      </c>
      <c r="K36">
        <v>25.3</v>
      </c>
      <c r="L36">
        <v>27.6</v>
      </c>
      <c r="M36">
        <v>21.7</v>
      </c>
      <c r="N36">
        <v>21.1</v>
      </c>
      <c r="O36">
        <v>20</v>
      </c>
      <c r="P36">
        <v>19.5</v>
      </c>
      <c r="Q36">
        <v>15.1</v>
      </c>
      <c r="R36">
        <v>10.199999999999999</v>
      </c>
      <c r="S36">
        <f t="shared" si="1"/>
        <v>18</v>
      </c>
      <c r="T36" t="s">
        <v>34</v>
      </c>
      <c r="U36">
        <f t="shared" si="2"/>
        <v>0.2</v>
      </c>
      <c r="V36">
        <f t="shared" si="0"/>
        <v>0.17800000000000002</v>
      </c>
      <c r="W36">
        <f t="shared" si="0"/>
        <v>0.253</v>
      </c>
      <c r="X36">
        <f t="shared" si="0"/>
        <v>0.27600000000000002</v>
      </c>
      <c r="Y36">
        <f t="shared" si="0"/>
        <v>0.217</v>
      </c>
      <c r="Z36">
        <f t="shared" si="0"/>
        <v>0.21100000000000002</v>
      </c>
      <c r="AA36">
        <f t="shared" si="0"/>
        <v>0.2</v>
      </c>
      <c r="AB36">
        <f t="shared" si="0"/>
        <v>0.19500000000000001</v>
      </c>
      <c r="AC36">
        <f t="shared" si="0"/>
        <v>0.151</v>
      </c>
      <c r="AD36">
        <f t="shared" si="0"/>
        <v>0.10199999999999999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8</v>
      </c>
      <c r="F37">
        <v>25</v>
      </c>
      <c r="G37">
        <v>14</v>
      </c>
      <c r="H37">
        <v>32</v>
      </c>
      <c r="I37">
        <v>24.1</v>
      </c>
      <c r="J37">
        <v>21.3</v>
      </c>
      <c r="K37">
        <v>31.3</v>
      </c>
      <c r="L37">
        <v>19.3</v>
      </c>
      <c r="M37">
        <v>19.3</v>
      </c>
      <c r="N37">
        <v>19.5</v>
      </c>
      <c r="O37">
        <v>19.600000000000001</v>
      </c>
      <c r="P37">
        <v>18.7</v>
      </c>
      <c r="Q37">
        <v>17.5</v>
      </c>
      <c r="R37">
        <v>13.6</v>
      </c>
      <c r="S37">
        <f t="shared" si="1"/>
        <v>19</v>
      </c>
      <c r="T37" t="s">
        <v>65</v>
      </c>
      <c r="U37">
        <f t="shared" si="2"/>
        <v>0.24100000000000002</v>
      </c>
      <c r="V37">
        <f t="shared" si="0"/>
        <v>0.21299999999999999</v>
      </c>
      <c r="W37">
        <f t="shared" si="0"/>
        <v>0.313</v>
      </c>
      <c r="X37">
        <f t="shared" si="0"/>
        <v>0.193</v>
      </c>
      <c r="Y37">
        <f t="shared" si="0"/>
        <v>0.193</v>
      </c>
      <c r="Z37">
        <f t="shared" si="0"/>
        <v>0.19500000000000001</v>
      </c>
      <c r="AA37">
        <f t="shared" si="0"/>
        <v>0.19600000000000001</v>
      </c>
      <c r="AB37">
        <f t="shared" si="0"/>
        <v>0.187</v>
      </c>
      <c r="AC37">
        <f t="shared" si="0"/>
        <v>0.17499999999999999</v>
      </c>
      <c r="AD37">
        <f t="shared" si="0"/>
        <v>0.13600000000000001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8</v>
      </c>
      <c r="F38">
        <v>25</v>
      </c>
      <c r="G38">
        <v>14</v>
      </c>
      <c r="H38">
        <v>30</v>
      </c>
      <c r="I38">
        <v>16.2</v>
      </c>
      <c r="J38">
        <v>16.600000000000001</v>
      </c>
      <c r="K38">
        <v>25.9</v>
      </c>
      <c r="L38">
        <v>20.8</v>
      </c>
      <c r="M38">
        <v>21.9</v>
      </c>
      <c r="N38">
        <v>22.4</v>
      </c>
      <c r="O38">
        <v>21.5</v>
      </c>
      <c r="P38">
        <v>17.3</v>
      </c>
      <c r="Q38">
        <v>17.100000000000001</v>
      </c>
      <c r="R38">
        <v>14.8</v>
      </c>
      <c r="S38">
        <f t="shared" si="1"/>
        <v>20</v>
      </c>
      <c r="T38" t="s">
        <v>66</v>
      </c>
      <c r="U38">
        <f t="shared" si="2"/>
        <v>0.16200000000000001</v>
      </c>
      <c r="V38">
        <f t="shared" si="0"/>
        <v>0.16600000000000001</v>
      </c>
      <c r="W38">
        <f t="shared" si="0"/>
        <v>0.25900000000000001</v>
      </c>
      <c r="X38">
        <f t="shared" si="0"/>
        <v>0.20800000000000002</v>
      </c>
      <c r="Y38">
        <f t="shared" si="0"/>
        <v>0.21899999999999997</v>
      </c>
      <c r="Z38">
        <f t="shared" si="0"/>
        <v>0.22399999999999998</v>
      </c>
      <c r="AA38">
        <f t="shared" si="0"/>
        <v>0.215</v>
      </c>
      <c r="AB38">
        <f t="shared" si="0"/>
        <v>0.17300000000000001</v>
      </c>
      <c r="AC38">
        <f t="shared" si="0"/>
        <v>0.17100000000000001</v>
      </c>
      <c r="AD38">
        <f t="shared" si="0"/>
        <v>0.14800000000000002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8</v>
      </c>
      <c r="F39">
        <v>25</v>
      </c>
      <c r="G39">
        <v>14</v>
      </c>
      <c r="H39">
        <v>42</v>
      </c>
      <c r="I39">
        <v>22.4</v>
      </c>
      <c r="J39">
        <v>21</v>
      </c>
      <c r="K39">
        <v>20.5</v>
      </c>
      <c r="L39">
        <v>21.2</v>
      </c>
      <c r="M39">
        <v>22.1</v>
      </c>
      <c r="N39">
        <v>19</v>
      </c>
      <c r="O39">
        <v>18.600000000000001</v>
      </c>
      <c r="P39">
        <v>23</v>
      </c>
      <c r="Q39">
        <v>23.2</v>
      </c>
      <c r="R39">
        <v>16.2</v>
      </c>
      <c r="S39">
        <f t="shared" si="1"/>
        <v>21</v>
      </c>
      <c r="T39" t="s">
        <v>67</v>
      </c>
      <c r="U39">
        <f t="shared" si="2"/>
        <v>0.22399999999999998</v>
      </c>
      <c r="V39">
        <f t="shared" si="0"/>
        <v>0.21</v>
      </c>
      <c r="W39">
        <f t="shared" si="0"/>
        <v>0.20499999999999999</v>
      </c>
      <c r="X39">
        <f t="shared" si="0"/>
        <v>0.21199999999999999</v>
      </c>
      <c r="Y39">
        <f t="shared" si="0"/>
        <v>0.221</v>
      </c>
      <c r="Z39">
        <f t="shared" si="0"/>
        <v>0.19</v>
      </c>
      <c r="AA39">
        <f t="shared" si="0"/>
        <v>0.18600000000000003</v>
      </c>
      <c r="AB39">
        <f t="shared" si="0"/>
        <v>0.23</v>
      </c>
      <c r="AC39">
        <f t="shared" si="0"/>
        <v>0.23199999999999998</v>
      </c>
      <c r="AD39">
        <f t="shared" si="0"/>
        <v>0.16200000000000001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8</v>
      </c>
      <c r="F40">
        <v>25</v>
      </c>
      <c r="G40">
        <v>14</v>
      </c>
      <c r="H40">
        <v>47</v>
      </c>
      <c r="I40">
        <v>19.5</v>
      </c>
      <c r="J40">
        <v>18.3</v>
      </c>
      <c r="K40">
        <v>19.8</v>
      </c>
      <c r="L40">
        <v>20.3</v>
      </c>
      <c r="M40">
        <v>22.8</v>
      </c>
      <c r="N40">
        <v>24.5</v>
      </c>
      <c r="O40">
        <v>22.5</v>
      </c>
      <c r="P40">
        <v>21.8</v>
      </c>
      <c r="Q40">
        <v>18.3</v>
      </c>
      <c r="R40">
        <v>13.5</v>
      </c>
      <c r="S40">
        <f t="shared" si="1"/>
        <v>22</v>
      </c>
      <c r="T40" t="s">
        <v>68</v>
      </c>
      <c r="U40">
        <f t="shared" si="2"/>
        <v>0.19500000000000001</v>
      </c>
      <c r="V40">
        <f t="shared" si="0"/>
        <v>0.183</v>
      </c>
      <c r="W40">
        <f t="shared" si="0"/>
        <v>0.19800000000000001</v>
      </c>
      <c r="X40">
        <f t="shared" si="0"/>
        <v>0.20300000000000001</v>
      </c>
      <c r="Y40">
        <f t="shared" si="0"/>
        <v>0.22800000000000001</v>
      </c>
      <c r="Z40">
        <f t="shared" si="0"/>
        <v>0.245</v>
      </c>
      <c r="AA40">
        <f t="shared" si="0"/>
        <v>0.22500000000000001</v>
      </c>
      <c r="AB40">
        <f t="shared" si="0"/>
        <v>0.218</v>
      </c>
      <c r="AC40">
        <f t="shared" si="0"/>
        <v>0.183</v>
      </c>
      <c r="AD40">
        <f t="shared" si="0"/>
        <v>0.13500000000000001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8</v>
      </c>
      <c r="F41">
        <v>25</v>
      </c>
      <c r="G41">
        <v>14</v>
      </c>
      <c r="H41">
        <v>53</v>
      </c>
      <c r="I41">
        <v>18.3</v>
      </c>
      <c r="J41">
        <v>20.5</v>
      </c>
      <c r="K41">
        <v>23.4</v>
      </c>
      <c r="L41">
        <v>22.8</v>
      </c>
      <c r="M41">
        <v>22.4</v>
      </c>
      <c r="N41">
        <v>21.2</v>
      </c>
      <c r="O41">
        <v>21.4</v>
      </c>
      <c r="P41">
        <v>20.3</v>
      </c>
      <c r="Q41">
        <v>20.8</v>
      </c>
      <c r="R41">
        <v>14.2</v>
      </c>
      <c r="S41">
        <f t="shared" si="1"/>
        <v>23</v>
      </c>
      <c r="T41" t="s">
        <v>69</v>
      </c>
      <c r="U41">
        <f t="shared" si="2"/>
        <v>0.183</v>
      </c>
      <c r="V41">
        <f t="shared" si="0"/>
        <v>0.20499999999999999</v>
      </c>
      <c r="W41">
        <f t="shared" si="0"/>
        <v>0.23399999999999999</v>
      </c>
      <c r="X41">
        <f t="shared" si="0"/>
        <v>0.22800000000000001</v>
      </c>
      <c r="Y41">
        <f t="shared" si="0"/>
        <v>0.22399999999999998</v>
      </c>
      <c r="Z41">
        <f t="shared" si="0"/>
        <v>0.21199999999999999</v>
      </c>
      <c r="AA41">
        <f t="shared" si="0"/>
        <v>0.214</v>
      </c>
      <c r="AB41">
        <f t="shared" si="0"/>
        <v>0.20300000000000001</v>
      </c>
      <c r="AC41">
        <f t="shared" si="0"/>
        <v>0.20800000000000002</v>
      </c>
      <c r="AD41">
        <f t="shared" si="0"/>
        <v>0.14199999999999999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8</v>
      </c>
      <c r="F42">
        <v>25</v>
      </c>
      <c r="G42">
        <v>14</v>
      </c>
      <c r="H42">
        <v>50</v>
      </c>
      <c r="I42">
        <v>17.899999999999999</v>
      </c>
      <c r="J42">
        <v>17.899999999999999</v>
      </c>
      <c r="K42">
        <v>21.9</v>
      </c>
      <c r="L42">
        <v>23</v>
      </c>
      <c r="M42">
        <v>21.5</v>
      </c>
      <c r="N42">
        <v>21.1</v>
      </c>
      <c r="O42">
        <v>22.9</v>
      </c>
      <c r="P42">
        <v>24.4</v>
      </c>
      <c r="Q42">
        <v>22.9</v>
      </c>
      <c r="R42">
        <v>18.100000000000001</v>
      </c>
      <c r="S42">
        <f t="shared" si="1"/>
        <v>24</v>
      </c>
      <c r="T42" t="s">
        <v>70</v>
      </c>
      <c r="U42">
        <f t="shared" si="2"/>
        <v>0.17899999999999999</v>
      </c>
      <c r="V42">
        <f t="shared" si="0"/>
        <v>0.17899999999999999</v>
      </c>
      <c r="W42">
        <f t="shared" si="0"/>
        <v>0.21899999999999997</v>
      </c>
      <c r="X42">
        <f t="shared" si="0"/>
        <v>0.23</v>
      </c>
      <c r="Y42">
        <f t="shared" si="0"/>
        <v>0.215</v>
      </c>
      <c r="Z42">
        <f t="shared" si="0"/>
        <v>0.21100000000000002</v>
      </c>
      <c r="AA42">
        <f t="shared" si="0"/>
        <v>0.22899999999999998</v>
      </c>
      <c r="AB42">
        <f t="shared" si="0"/>
        <v>0.24399999999999999</v>
      </c>
      <c r="AC42">
        <f t="shared" si="0"/>
        <v>0.22899999999999998</v>
      </c>
      <c r="AD42">
        <f t="shared" si="0"/>
        <v>0.18100000000000002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8</v>
      </c>
      <c r="F43">
        <v>25</v>
      </c>
      <c r="G43">
        <v>15</v>
      </c>
      <c r="H43">
        <v>4</v>
      </c>
      <c r="I43">
        <v>20.100000000000001</v>
      </c>
      <c r="J43">
        <v>20.399999999999999</v>
      </c>
      <c r="K43">
        <v>24.7</v>
      </c>
      <c r="L43">
        <v>25.1</v>
      </c>
      <c r="M43">
        <v>22.1</v>
      </c>
      <c r="N43">
        <v>21</v>
      </c>
      <c r="O43">
        <v>17.8</v>
      </c>
      <c r="P43">
        <v>15.9</v>
      </c>
      <c r="Q43">
        <v>20.5</v>
      </c>
      <c r="R43">
        <v>14</v>
      </c>
      <c r="S43">
        <f t="shared" si="1"/>
        <v>25</v>
      </c>
      <c r="T43" t="s">
        <v>71</v>
      </c>
      <c r="U43">
        <f t="shared" si="2"/>
        <v>0.20100000000000001</v>
      </c>
      <c r="V43">
        <f t="shared" si="0"/>
        <v>0.20399999999999999</v>
      </c>
      <c r="W43">
        <f t="shared" si="0"/>
        <v>0.247</v>
      </c>
      <c r="X43">
        <f t="shared" si="0"/>
        <v>0.251</v>
      </c>
      <c r="Y43">
        <f t="shared" si="0"/>
        <v>0.221</v>
      </c>
      <c r="Z43">
        <f t="shared" si="0"/>
        <v>0.21</v>
      </c>
      <c r="AA43">
        <f t="shared" si="0"/>
        <v>0.17800000000000002</v>
      </c>
      <c r="AB43">
        <f t="shared" si="0"/>
        <v>0.159</v>
      </c>
      <c r="AC43">
        <f t="shared" si="0"/>
        <v>0.20499999999999999</v>
      </c>
      <c r="AD43">
        <f t="shared" si="0"/>
        <v>0.14000000000000001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8</v>
      </c>
      <c r="F44">
        <v>25</v>
      </c>
      <c r="G44">
        <v>15</v>
      </c>
      <c r="H44">
        <v>1</v>
      </c>
      <c r="I44">
        <v>-5.9</v>
      </c>
      <c r="J44">
        <v>16.899999999999999</v>
      </c>
      <c r="K44">
        <v>19.100000000000001</v>
      </c>
      <c r="L44">
        <v>20.5</v>
      </c>
      <c r="M44">
        <v>20.399999999999999</v>
      </c>
      <c r="N44">
        <v>18.100000000000001</v>
      </c>
      <c r="O44">
        <v>18.8</v>
      </c>
      <c r="P44">
        <v>22.1</v>
      </c>
      <c r="Q44">
        <v>21.5</v>
      </c>
      <c r="R44">
        <v>15.2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0.16899999999999998</v>
      </c>
      <c r="W44">
        <f t="shared" si="0"/>
        <v>0.191</v>
      </c>
      <c r="X44">
        <f t="shared" si="0"/>
        <v>0.20499999999999999</v>
      </c>
      <c r="Y44">
        <f t="shared" si="0"/>
        <v>0.20399999999999999</v>
      </c>
      <c r="Z44">
        <f t="shared" si="0"/>
        <v>0.18100000000000002</v>
      </c>
      <c r="AA44">
        <f t="shared" si="0"/>
        <v>0.188</v>
      </c>
      <c r="AB44">
        <f t="shared" si="0"/>
        <v>0.221</v>
      </c>
      <c r="AC44">
        <f t="shared" si="0"/>
        <v>0.215</v>
      </c>
      <c r="AD44">
        <f t="shared" si="0"/>
        <v>0.152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8</v>
      </c>
      <c r="F45">
        <v>25</v>
      </c>
      <c r="G45">
        <v>15</v>
      </c>
      <c r="H45">
        <v>15</v>
      </c>
      <c r="I45">
        <v>-5.9</v>
      </c>
      <c r="J45">
        <v>19.5</v>
      </c>
      <c r="K45">
        <v>16.100000000000001</v>
      </c>
      <c r="L45">
        <v>23.7</v>
      </c>
      <c r="M45">
        <v>19.600000000000001</v>
      </c>
      <c r="N45">
        <v>16.7</v>
      </c>
      <c r="O45">
        <v>19.600000000000001</v>
      </c>
      <c r="P45">
        <v>20.7</v>
      </c>
      <c r="Q45">
        <v>19.399999999999999</v>
      </c>
      <c r="R45">
        <v>15.4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0.19500000000000001</v>
      </c>
      <c r="W45">
        <f t="shared" si="0"/>
        <v>0.161</v>
      </c>
      <c r="X45">
        <f t="shared" si="0"/>
        <v>0.23699999999999999</v>
      </c>
      <c r="Y45">
        <f t="shared" si="0"/>
        <v>0.19600000000000001</v>
      </c>
      <c r="Z45">
        <f t="shared" si="0"/>
        <v>0.16699999999999998</v>
      </c>
      <c r="AA45">
        <f t="shared" si="0"/>
        <v>0.19600000000000001</v>
      </c>
      <c r="AB45">
        <f t="shared" si="0"/>
        <v>0.20699999999999999</v>
      </c>
      <c r="AC45">
        <f t="shared" si="0"/>
        <v>0.19399999999999998</v>
      </c>
      <c r="AD45">
        <f t="shared" si="0"/>
        <v>0.154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8</v>
      </c>
      <c r="F46">
        <v>25</v>
      </c>
      <c r="G46">
        <v>15</v>
      </c>
      <c r="H46">
        <v>21</v>
      </c>
      <c r="I46">
        <v>19.2</v>
      </c>
      <c r="J46">
        <v>16.7</v>
      </c>
      <c r="K46">
        <v>17.3</v>
      </c>
      <c r="L46">
        <v>19.2</v>
      </c>
      <c r="M46">
        <v>22.5</v>
      </c>
      <c r="N46">
        <v>21.9</v>
      </c>
      <c r="O46">
        <v>20.3</v>
      </c>
      <c r="P46">
        <v>22.4</v>
      </c>
      <c r="Q46">
        <v>21.8</v>
      </c>
      <c r="R46">
        <v>16.899999999999999</v>
      </c>
      <c r="S46">
        <f t="shared" si="1"/>
        <v>28</v>
      </c>
      <c r="T46" t="s">
        <v>76</v>
      </c>
      <c r="U46">
        <f t="shared" si="2"/>
        <v>0.192</v>
      </c>
      <c r="V46">
        <f t="shared" si="0"/>
        <v>0.16699999999999998</v>
      </c>
      <c r="W46">
        <f t="shared" si="0"/>
        <v>0.17300000000000001</v>
      </c>
      <c r="X46">
        <f t="shared" si="0"/>
        <v>0.192</v>
      </c>
      <c r="Y46">
        <f t="shared" si="0"/>
        <v>0.22500000000000001</v>
      </c>
      <c r="Z46">
        <f t="shared" si="0"/>
        <v>0.21899999999999997</v>
      </c>
      <c r="AA46">
        <f t="shared" si="0"/>
        <v>0.20300000000000001</v>
      </c>
      <c r="AB46">
        <f t="shared" si="0"/>
        <v>0.22399999999999998</v>
      </c>
      <c r="AC46">
        <f t="shared" si="0"/>
        <v>0.218</v>
      </c>
      <c r="AD46">
        <f t="shared" si="0"/>
        <v>0.16899999999999998</v>
      </c>
    </row>
    <row r="47" spans="1:30" x14ac:dyDescent="0.25">
      <c r="A47">
        <v>427</v>
      </c>
      <c r="B47">
        <v>29</v>
      </c>
      <c r="C47">
        <v>0</v>
      </c>
      <c r="D47">
        <v>14</v>
      </c>
      <c r="E47">
        <v>8</v>
      </c>
      <c r="F47">
        <v>25</v>
      </c>
      <c r="G47">
        <v>15</v>
      </c>
      <c r="H47">
        <v>27</v>
      </c>
      <c r="I47">
        <v>23.8</v>
      </c>
      <c r="J47">
        <v>31.7</v>
      </c>
      <c r="K47">
        <v>22.6</v>
      </c>
      <c r="L47">
        <v>23.4</v>
      </c>
      <c r="M47">
        <v>25.9</v>
      </c>
      <c r="N47">
        <v>25.6</v>
      </c>
      <c r="O47">
        <v>25.5</v>
      </c>
      <c r="P47">
        <v>21.3</v>
      </c>
      <c r="Q47">
        <v>23.1</v>
      </c>
      <c r="R47">
        <v>14.7</v>
      </c>
      <c r="S47">
        <f t="shared" si="1"/>
        <v>29</v>
      </c>
      <c r="T47" t="s">
        <v>53</v>
      </c>
      <c r="U47">
        <f t="shared" si="2"/>
        <v>0.23800000000000002</v>
      </c>
      <c r="V47">
        <f t="shared" si="0"/>
        <v>0.317</v>
      </c>
      <c r="W47">
        <f t="shared" si="0"/>
        <v>0.22600000000000001</v>
      </c>
      <c r="X47">
        <f t="shared" si="0"/>
        <v>0.23399999999999999</v>
      </c>
      <c r="Y47">
        <f t="shared" ref="Y47:AD54" si="3">IF(M47&lt;0,"",M47/100)</f>
        <v>0.25900000000000001</v>
      </c>
      <c r="Z47">
        <f t="shared" si="3"/>
        <v>0.25600000000000001</v>
      </c>
      <c r="AA47">
        <f t="shared" si="3"/>
        <v>0.255</v>
      </c>
      <c r="AB47">
        <f t="shared" si="3"/>
        <v>0.21299999999999999</v>
      </c>
      <c r="AC47">
        <f t="shared" si="3"/>
        <v>0.23100000000000001</v>
      </c>
      <c r="AD47">
        <f t="shared" si="3"/>
        <v>0.14699999999999999</v>
      </c>
    </row>
    <row r="48" spans="1:30" x14ac:dyDescent="0.25">
      <c r="A48">
        <v>426</v>
      </c>
      <c r="B48">
        <v>30</v>
      </c>
      <c r="C48">
        <v>0</v>
      </c>
      <c r="D48">
        <v>14</v>
      </c>
      <c r="E48">
        <v>8</v>
      </c>
      <c r="F48">
        <v>25</v>
      </c>
      <c r="G48">
        <v>15</v>
      </c>
      <c r="H48">
        <v>32</v>
      </c>
      <c r="I48">
        <v>25.3</v>
      </c>
      <c r="J48">
        <v>25</v>
      </c>
      <c r="K48">
        <v>26.5</v>
      </c>
      <c r="L48">
        <v>22.8</v>
      </c>
      <c r="M48">
        <v>22.2</v>
      </c>
      <c r="N48">
        <v>22.8</v>
      </c>
      <c r="O48">
        <v>17.7</v>
      </c>
      <c r="P48">
        <v>20.3</v>
      </c>
      <c r="Q48">
        <v>17.600000000000001</v>
      </c>
      <c r="R48">
        <v>13.8</v>
      </c>
      <c r="S48">
        <f t="shared" si="1"/>
        <v>30</v>
      </c>
      <c r="T48" t="s">
        <v>77</v>
      </c>
      <c r="U48">
        <f t="shared" si="2"/>
        <v>0.253</v>
      </c>
      <c r="V48">
        <f t="shared" si="2"/>
        <v>0.25</v>
      </c>
      <c r="W48">
        <f t="shared" si="2"/>
        <v>0.26500000000000001</v>
      </c>
      <c r="X48">
        <f t="shared" si="2"/>
        <v>0.22800000000000001</v>
      </c>
      <c r="Y48">
        <f t="shared" si="3"/>
        <v>0.222</v>
      </c>
      <c r="Z48">
        <f t="shared" si="3"/>
        <v>0.22800000000000001</v>
      </c>
      <c r="AA48">
        <f t="shared" si="3"/>
        <v>0.17699999999999999</v>
      </c>
      <c r="AB48">
        <f t="shared" si="3"/>
        <v>0.20300000000000001</v>
      </c>
      <c r="AC48">
        <f t="shared" si="3"/>
        <v>0.17600000000000002</v>
      </c>
      <c r="AD48">
        <f t="shared" si="3"/>
        <v>0.13800000000000001</v>
      </c>
    </row>
    <row r="49" spans="1:30" x14ac:dyDescent="0.25">
      <c r="A49">
        <v>425</v>
      </c>
      <c r="B49">
        <v>31</v>
      </c>
      <c r="C49">
        <v>0</v>
      </c>
      <c r="D49">
        <v>14</v>
      </c>
      <c r="E49">
        <v>8</v>
      </c>
      <c r="F49">
        <v>25</v>
      </c>
      <c r="G49">
        <v>15</v>
      </c>
      <c r="H49">
        <v>37</v>
      </c>
      <c r="I49">
        <v>-5.9</v>
      </c>
      <c r="J49">
        <v>-5.9</v>
      </c>
      <c r="K49">
        <v>22.6</v>
      </c>
      <c r="L49">
        <v>21</v>
      </c>
      <c r="M49">
        <v>21.7</v>
      </c>
      <c r="N49">
        <v>20.2</v>
      </c>
      <c r="O49">
        <v>18.7</v>
      </c>
      <c r="P49">
        <v>19.399999999999999</v>
      </c>
      <c r="Q49">
        <v>16</v>
      </c>
      <c r="R49">
        <v>8.8000000000000007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0.22600000000000001</v>
      </c>
      <c r="X49">
        <f t="shared" si="4"/>
        <v>0.21</v>
      </c>
      <c r="Y49">
        <f t="shared" si="3"/>
        <v>0.217</v>
      </c>
      <c r="Z49">
        <f t="shared" si="3"/>
        <v>0.20199999999999999</v>
      </c>
      <c r="AA49">
        <f t="shared" si="3"/>
        <v>0.187</v>
      </c>
      <c r="AB49">
        <f t="shared" si="3"/>
        <v>0.19399999999999998</v>
      </c>
      <c r="AC49">
        <f t="shared" si="3"/>
        <v>0.16</v>
      </c>
      <c r="AD49">
        <f t="shared" si="3"/>
        <v>8.8000000000000009E-2</v>
      </c>
    </row>
    <row r="50" spans="1:30" x14ac:dyDescent="0.25">
      <c r="A50">
        <v>424</v>
      </c>
      <c r="B50">
        <v>32</v>
      </c>
      <c r="C50">
        <v>0</v>
      </c>
      <c r="D50">
        <v>14</v>
      </c>
      <c r="E50">
        <v>8</v>
      </c>
      <c r="F50">
        <v>25</v>
      </c>
      <c r="G50">
        <v>15</v>
      </c>
      <c r="H50">
        <v>41</v>
      </c>
      <c r="I50">
        <v>-5.9</v>
      </c>
      <c r="J50">
        <v>-5.9</v>
      </c>
      <c r="K50">
        <v>21</v>
      </c>
      <c r="L50">
        <v>20.5</v>
      </c>
      <c r="M50">
        <v>20.399999999999999</v>
      </c>
      <c r="N50">
        <v>19.2</v>
      </c>
      <c r="O50">
        <v>18.7</v>
      </c>
      <c r="P50">
        <v>16.100000000000001</v>
      </c>
      <c r="Q50">
        <v>14.9</v>
      </c>
      <c r="R50">
        <v>8.6999999999999993</v>
      </c>
      <c r="S50">
        <f t="shared" si="1"/>
        <v>32</v>
      </c>
      <c r="T50" t="s">
        <v>78</v>
      </c>
      <c r="U50" t="str">
        <f t="shared" si="4"/>
        <v/>
      </c>
      <c r="V50" t="str">
        <f t="shared" si="4"/>
        <v/>
      </c>
      <c r="W50">
        <f t="shared" si="4"/>
        <v>0.21</v>
      </c>
      <c r="X50">
        <f t="shared" si="4"/>
        <v>0.20499999999999999</v>
      </c>
      <c r="Y50">
        <f t="shared" si="3"/>
        <v>0.20399999999999999</v>
      </c>
      <c r="Z50">
        <f t="shared" si="3"/>
        <v>0.192</v>
      </c>
      <c r="AA50">
        <f t="shared" si="3"/>
        <v>0.187</v>
      </c>
      <c r="AB50">
        <f t="shared" si="3"/>
        <v>0.161</v>
      </c>
      <c r="AC50">
        <f t="shared" si="3"/>
        <v>0.14899999999999999</v>
      </c>
      <c r="AD50">
        <f t="shared" si="3"/>
        <v>8.6999999999999994E-2</v>
      </c>
    </row>
    <row r="51" spans="1:30" x14ac:dyDescent="0.25">
      <c r="A51">
        <v>423</v>
      </c>
      <c r="B51">
        <v>33</v>
      </c>
      <c r="C51">
        <v>0</v>
      </c>
      <c r="D51">
        <v>14</v>
      </c>
      <c r="E51">
        <v>8</v>
      </c>
      <c r="F51">
        <v>25</v>
      </c>
      <c r="G51">
        <v>15</v>
      </c>
      <c r="H51">
        <v>45</v>
      </c>
      <c r="I51">
        <v>-5.9</v>
      </c>
      <c r="J51">
        <v>-5.9</v>
      </c>
      <c r="K51">
        <v>19.8</v>
      </c>
      <c r="L51">
        <v>23.2</v>
      </c>
      <c r="M51">
        <v>22.9</v>
      </c>
      <c r="N51">
        <v>22.6</v>
      </c>
      <c r="O51">
        <v>20.5</v>
      </c>
      <c r="P51">
        <v>18.899999999999999</v>
      </c>
      <c r="Q51">
        <v>15</v>
      </c>
      <c r="R51">
        <v>8.6999999999999993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0.19800000000000001</v>
      </c>
      <c r="X51">
        <f t="shared" si="4"/>
        <v>0.23199999999999998</v>
      </c>
      <c r="Y51">
        <f t="shared" si="3"/>
        <v>0.22899999999999998</v>
      </c>
      <c r="Z51">
        <f t="shared" si="3"/>
        <v>0.22600000000000001</v>
      </c>
      <c r="AA51">
        <f t="shared" si="3"/>
        <v>0.20499999999999999</v>
      </c>
      <c r="AB51">
        <f t="shared" si="3"/>
        <v>0.18899999999999997</v>
      </c>
      <c r="AC51">
        <f t="shared" si="3"/>
        <v>0.15</v>
      </c>
      <c r="AD51">
        <f t="shared" si="3"/>
        <v>8.6999999999999994E-2</v>
      </c>
    </row>
    <row r="52" spans="1:30" x14ac:dyDescent="0.25">
      <c r="A52">
        <v>422</v>
      </c>
      <c r="B52">
        <v>34</v>
      </c>
      <c r="C52">
        <v>0</v>
      </c>
      <c r="D52">
        <v>14</v>
      </c>
      <c r="E52">
        <v>8</v>
      </c>
      <c r="F52">
        <v>25</v>
      </c>
      <c r="G52">
        <v>15</v>
      </c>
      <c r="H52">
        <v>41</v>
      </c>
      <c r="I52">
        <v>-5.9</v>
      </c>
      <c r="J52">
        <v>-5.9</v>
      </c>
      <c r="K52">
        <v>21.3</v>
      </c>
      <c r="L52">
        <v>24.4</v>
      </c>
      <c r="M52">
        <v>22.1</v>
      </c>
      <c r="N52">
        <v>21.5</v>
      </c>
      <c r="O52">
        <v>21.1</v>
      </c>
      <c r="P52">
        <v>17.8</v>
      </c>
      <c r="Q52">
        <v>15.4</v>
      </c>
      <c r="R52">
        <v>10.4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0.21299999999999999</v>
      </c>
      <c r="X52">
        <f t="shared" si="4"/>
        <v>0.24399999999999999</v>
      </c>
      <c r="Y52">
        <f t="shared" si="3"/>
        <v>0.221</v>
      </c>
      <c r="Z52">
        <f t="shared" si="3"/>
        <v>0.215</v>
      </c>
      <c r="AA52">
        <f t="shared" si="3"/>
        <v>0.21100000000000002</v>
      </c>
      <c r="AB52">
        <f t="shared" si="3"/>
        <v>0.17800000000000002</v>
      </c>
      <c r="AC52">
        <f t="shared" si="3"/>
        <v>0.154</v>
      </c>
      <c r="AD52">
        <f t="shared" si="3"/>
        <v>0.10400000000000001</v>
      </c>
    </row>
    <row r="53" spans="1:30" x14ac:dyDescent="0.25">
      <c r="A53">
        <v>421</v>
      </c>
      <c r="B53">
        <v>35</v>
      </c>
      <c r="C53">
        <v>0</v>
      </c>
      <c r="D53">
        <v>14</v>
      </c>
      <c r="E53">
        <v>8</v>
      </c>
      <c r="F53">
        <v>25</v>
      </c>
      <c r="G53">
        <v>15</v>
      </c>
      <c r="H53">
        <v>53</v>
      </c>
      <c r="I53">
        <v>-5.9</v>
      </c>
      <c r="J53">
        <v>-5.9</v>
      </c>
      <c r="K53">
        <v>25.2</v>
      </c>
      <c r="L53">
        <v>24.5</v>
      </c>
      <c r="M53">
        <v>23.8</v>
      </c>
      <c r="N53">
        <v>19.600000000000001</v>
      </c>
      <c r="O53">
        <v>18.100000000000001</v>
      </c>
      <c r="P53">
        <v>15</v>
      </c>
      <c r="Q53">
        <v>17.100000000000001</v>
      </c>
      <c r="R53">
        <v>10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0.252</v>
      </c>
      <c r="X53">
        <f t="shared" si="4"/>
        <v>0.245</v>
      </c>
      <c r="Y53">
        <f t="shared" si="3"/>
        <v>0.23800000000000002</v>
      </c>
      <c r="Z53">
        <f t="shared" si="3"/>
        <v>0.19600000000000001</v>
      </c>
      <c r="AA53">
        <f t="shared" si="3"/>
        <v>0.18100000000000002</v>
      </c>
      <c r="AB53">
        <f t="shared" si="3"/>
        <v>0.15</v>
      </c>
      <c r="AC53">
        <f t="shared" si="3"/>
        <v>0.17100000000000001</v>
      </c>
      <c r="AD53">
        <f t="shared" si="3"/>
        <v>0.1</v>
      </c>
    </row>
    <row r="54" spans="1:30" x14ac:dyDescent="0.25">
      <c r="A54">
        <v>420</v>
      </c>
      <c r="B54">
        <v>36</v>
      </c>
      <c r="C54">
        <v>0</v>
      </c>
      <c r="D54">
        <v>14</v>
      </c>
      <c r="E54">
        <v>8</v>
      </c>
      <c r="F54">
        <v>25</v>
      </c>
      <c r="G54">
        <v>15</v>
      </c>
      <c r="H54">
        <v>57</v>
      </c>
      <c r="I54">
        <v>-5.9</v>
      </c>
      <c r="J54">
        <v>18.5</v>
      </c>
      <c r="K54">
        <v>25.5</v>
      </c>
      <c r="L54">
        <v>26.8</v>
      </c>
      <c r="M54">
        <v>21.3</v>
      </c>
      <c r="N54">
        <v>21.4</v>
      </c>
      <c r="O54">
        <v>19.7</v>
      </c>
      <c r="P54">
        <v>16.8</v>
      </c>
      <c r="Q54">
        <v>15.2</v>
      </c>
      <c r="R54">
        <v>7.7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0.185</v>
      </c>
      <c r="W54">
        <f t="shared" si="4"/>
        <v>0.255</v>
      </c>
      <c r="X54">
        <f t="shared" si="4"/>
        <v>0.26800000000000002</v>
      </c>
      <c r="Y54">
        <f t="shared" si="3"/>
        <v>0.21299999999999999</v>
      </c>
      <c r="Z54">
        <f t="shared" si="3"/>
        <v>0.214</v>
      </c>
      <c r="AA54">
        <f t="shared" si="3"/>
        <v>0.19699999999999998</v>
      </c>
      <c r="AB54">
        <f t="shared" si="3"/>
        <v>0.16800000000000001</v>
      </c>
      <c r="AC54">
        <f t="shared" si="3"/>
        <v>0.152</v>
      </c>
      <c r="AD54">
        <f t="shared" si="3"/>
        <v>7.6999999999999999E-2</v>
      </c>
    </row>
    <row r="57" spans="1:30" x14ac:dyDescent="0.25">
      <c r="A57" s="2">
        <v>41876</v>
      </c>
    </row>
    <row r="58" spans="1:30" x14ac:dyDescent="0.25">
      <c r="A58" t="s">
        <v>3</v>
      </c>
      <c r="B58">
        <v>6116</v>
      </c>
      <c r="C58" t="s">
        <v>4</v>
      </c>
      <c r="D58">
        <v>12953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8</v>
      </c>
      <c r="F75">
        <v>25</v>
      </c>
      <c r="G75">
        <v>8</v>
      </c>
      <c r="H75">
        <v>1</v>
      </c>
      <c r="I75">
        <v>19.3</v>
      </c>
      <c r="J75">
        <v>21.5</v>
      </c>
      <c r="K75">
        <v>19</v>
      </c>
      <c r="L75">
        <v>17.100000000000001</v>
      </c>
      <c r="M75">
        <v>14.8</v>
      </c>
      <c r="N75">
        <v>15.1</v>
      </c>
      <c r="O75">
        <v>14.6</v>
      </c>
      <c r="P75">
        <v>14.5</v>
      </c>
      <c r="Q75">
        <v>17.899999999999999</v>
      </c>
      <c r="R75">
        <v>14.6</v>
      </c>
      <c r="S75">
        <f>B75</f>
        <v>66</v>
      </c>
      <c r="T75" t="s">
        <v>50</v>
      </c>
      <c r="U75">
        <f>IF(I75&lt;0,"",I75/100)</f>
        <v>0.193</v>
      </c>
      <c r="V75">
        <f t="shared" ref="V75:AD103" si="5">IF(J75&lt;0,"",J75/100)</f>
        <v>0.215</v>
      </c>
      <c r="W75">
        <f t="shared" si="5"/>
        <v>0.19</v>
      </c>
      <c r="X75">
        <f t="shared" si="5"/>
        <v>0.17100000000000001</v>
      </c>
      <c r="Y75">
        <f t="shared" si="5"/>
        <v>0.14800000000000002</v>
      </c>
      <c r="Z75">
        <f t="shared" si="5"/>
        <v>0.151</v>
      </c>
      <c r="AA75">
        <f t="shared" si="5"/>
        <v>0.14599999999999999</v>
      </c>
      <c r="AB75">
        <f t="shared" si="5"/>
        <v>0.14499999999999999</v>
      </c>
      <c r="AC75">
        <f t="shared" si="5"/>
        <v>0.17899999999999999</v>
      </c>
      <c r="AD75">
        <f t="shared" si="5"/>
        <v>0.14599999999999999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8</v>
      </c>
      <c r="F76">
        <v>25</v>
      </c>
      <c r="G76">
        <v>8</v>
      </c>
      <c r="H76">
        <v>14</v>
      </c>
      <c r="I76">
        <v>17.600000000000001</v>
      </c>
      <c r="J76">
        <v>20.3</v>
      </c>
      <c r="K76">
        <v>21.6</v>
      </c>
      <c r="L76">
        <v>21.6</v>
      </c>
      <c r="M76">
        <v>18</v>
      </c>
      <c r="N76">
        <v>15.7</v>
      </c>
      <c r="O76">
        <v>13.6</v>
      </c>
      <c r="P76">
        <v>14.2</v>
      </c>
      <c r="Q76">
        <v>16.3</v>
      </c>
      <c r="R76">
        <v>12.8</v>
      </c>
      <c r="S76">
        <f t="shared" ref="S76:S104" si="6">B76</f>
        <v>65</v>
      </c>
      <c r="T76" t="s">
        <v>49</v>
      </c>
      <c r="U76">
        <f t="shared" ref="U76:X104" si="7">IF(I76&lt;0,"",I76/100)</f>
        <v>0.17600000000000002</v>
      </c>
      <c r="V76">
        <f t="shared" si="5"/>
        <v>0.20300000000000001</v>
      </c>
      <c r="W76">
        <f t="shared" si="5"/>
        <v>0.21600000000000003</v>
      </c>
      <c r="X76">
        <f t="shared" si="5"/>
        <v>0.21600000000000003</v>
      </c>
      <c r="Y76">
        <f t="shared" si="5"/>
        <v>0.18</v>
      </c>
      <c r="Z76">
        <f t="shared" si="5"/>
        <v>0.157</v>
      </c>
      <c r="AA76">
        <f t="shared" si="5"/>
        <v>0.13600000000000001</v>
      </c>
      <c r="AB76">
        <f t="shared" si="5"/>
        <v>0.14199999999999999</v>
      </c>
      <c r="AC76">
        <f t="shared" si="5"/>
        <v>0.16300000000000001</v>
      </c>
      <c r="AD76">
        <f t="shared" si="5"/>
        <v>0.128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8</v>
      </c>
      <c r="F77">
        <v>25</v>
      </c>
      <c r="G77">
        <v>8</v>
      </c>
      <c r="H77">
        <v>20</v>
      </c>
      <c r="I77">
        <v>13.6</v>
      </c>
      <c r="J77">
        <v>12.5</v>
      </c>
      <c r="K77">
        <v>10.9</v>
      </c>
      <c r="L77">
        <v>10.199999999999999</v>
      </c>
      <c r="M77">
        <v>8.4</v>
      </c>
      <c r="N77">
        <v>8.5</v>
      </c>
      <c r="O77">
        <v>9.1999999999999993</v>
      </c>
      <c r="P77">
        <v>14.9</v>
      </c>
      <c r="Q77">
        <v>19.2</v>
      </c>
      <c r="R77">
        <v>15.8</v>
      </c>
      <c r="S77">
        <f t="shared" si="6"/>
        <v>64</v>
      </c>
      <c r="T77" t="s">
        <v>48</v>
      </c>
      <c r="U77">
        <f t="shared" si="7"/>
        <v>0.13600000000000001</v>
      </c>
      <c r="V77">
        <f t="shared" si="5"/>
        <v>0.125</v>
      </c>
      <c r="W77">
        <f t="shared" si="5"/>
        <v>0.109</v>
      </c>
      <c r="X77">
        <f t="shared" si="5"/>
        <v>0.10199999999999999</v>
      </c>
      <c r="Y77">
        <f t="shared" si="5"/>
        <v>8.4000000000000005E-2</v>
      </c>
      <c r="Z77">
        <f t="shared" si="5"/>
        <v>8.5000000000000006E-2</v>
      </c>
      <c r="AA77">
        <f t="shared" si="5"/>
        <v>9.1999999999999998E-2</v>
      </c>
      <c r="AB77">
        <f t="shared" si="5"/>
        <v>0.14899999999999999</v>
      </c>
      <c r="AC77">
        <f t="shared" si="5"/>
        <v>0.192</v>
      </c>
      <c r="AD77">
        <f t="shared" si="5"/>
        <v>0.158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8</v>
      </c>
      <c r="F78">
        <v>25</v>
      </c>
      <c r="G78">
        <v>8</v>
      </c>
      <c r="H78">
        <v>26</v>
      </c>
      <c r="I78">
        <v>-5</v>
      </c>
      <c r="J78">
        <v>19.600000000000001</v>
      </c>
      <c r="K78">
        <v>20</v>
      </c>
      <c r="L78">
        <v>18.899999999999999</v>
      </c>
      <c r="M78">
        <v>16.899999999999999</v>
      </c>
      <c r="N78">
        <v>17</v>
      </c>
      <c r="O78">
        <v>16.8</v>
      </c>
      <c r="P78">
        <v>18</v>
      </c>
      <c r="Q78">
        <v>16.899999999999999</v>
      </c>
      <c r="R78">
        <v>11.8</v>
      </c>
      <c r="S78">
        <f t="shared" si="6"/>
        <v>63</v>
      </c>
      <c r="T78" t="s">
        <v>47</v>
      </c>
      <c r="U78" t="str">
        <f t="shared" si="7"/>
        <v/>
      </c>
      <c r="V78">
        <f t="shared" si="5"/>
        <v>0.19600000000000001</v>
      </c>
      <c r="W78">
        <f t="shared" si="5"/>
        <v>0.2</v>
      </c>
      <c r="X78">
        <f t="shared" si="5"/>
        <v>0.18899999999999997</v>
      </c>
      <c r="Y78">
        <f t="shared" si="5"/>
        <v>0.16899999999999998</v>
      </c>
      <c r="Z78">
        <f t="shared" si="5"/>
        <v>0.17</v>
      </c>
      <c r="AA78">
        <f t="shared" si="5"/>
        <v>0.16800000000000001</v>
      </c>
      <c r="AB78">
        <f t="shared" si="5"/>
        <v>0.18</v>
      </c>
      <c r="AC78">
        <f t="shared" si="5"/>
        <v>0.16899999999999998</v>
      </c>
      <c r="AD78">
        <f t="shared" si="5"/>
        <v>0.11800000000000001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8</v>
      </c>
      <c r="F79">
        <v>25</v>
      </c>
      <c r="G79">
        <v>8</v>
      </c>
      <c r="H79">
        <v>31</v>
      </c>
      <c r="I79">
        <v>22.8</v>
      </c>
      <c r="J79">
        <v>22.8</v>
      </c>
      <c r="K79">
        <v>22.9</v>
      </c>
      <c r="L79">
        <v>21.9</v>
      </c>
      <c r="M79">
        <v>19.7</v>
      </c>
      <c r="N79">
        <v>20</v>
      </c>
      <c r="O79">
        <v>19.899999999999999</v>
      </c>
      <c r="P79">
        <v>19.100000000000001</v>
      </c>
      <c r="Q79">
        <v>17.7</v>
      </c>
      <c r="R79">
        <v>12.7</v>
      </c>
      <c r="S79">
        <f t="shared" si="6"/>
        <v>62</v>
      </c>
      <c r="T79" t="s">
        <v>46</v>
      </c>
      <c r="U79">
        <f t="shared" si="7"/>
        <v>0.22800000000000001</v>
      </c>
      <c r="V79">
        <f t="shared" si="5"/>
        <v>0.22800000000000001</v>
      </c>
      <c r="W79">
        <f t="shared" si="5"/>
        <v>0.22899999999999998</v>
      </c>
      <c r="X79">
        <f t="shared" si="5"/>
        <v>0.21899999999999997</v>
      </c>
      <c r="Y79">
        <f t="shared" si="5"/>
        <v>0.19699999999999998</v>
      </c>
      <c r="Z79">
        <f t="shared" si="5"/>
        <v>0.2</v>
      </c>
      <c r="AA79">
        <f t="shared" si="5"/>
        <v>0.19899999999999998</v>
      </c>
      <c r="AB79">
        <f t="shared" si="5"/>
        <v>0.191</v>
      </c>
      <c r="AC79">
        <f t="shared" si="5"/>
        <v>0.17699999999999999</v>
      </c>
      <c r="AD79">
        <f t="shared" si="5"/>
        <v>0.127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8</v>
      </c>
      <c r="F80">
        <v>25</v>
      </c>
      <c r="G80">
        <v>8</v>
      </c>
      <c r="H80">
        <v>36</v>
      </c>
      <c r="I80">
        <v>-5</v>
      </c>
      <c r="J80">
        <v>21.8</v>
      </c>
      <c r="K80">
        <v>21.9</v>
      </c>
      <c r="L80">
        <v>22.1</v>
      </c>
      <c r="M80">
        <v>20.9</v>
      </c>
      <c r="N80">
        <v>18.3</v>
      </c>
      <c r="O80">
        <v>17.399999999999999</v>
      </c>
      <c r="P80">
        <v>18.5</v>
      </c>
      <c r="Q80">
        <v>20.2</v>
      </c>
      <c r="R80">
        <v>15.7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0.218</v>
      </c>
      <c r="W80">
        <f t="shared" si="5"/>
        <v>0.21899999999999997</v>
      </c>
      <c r="X80">
        <f t="shared" si="5"/>
        <v>0.221</v>
      </c>
      <c r="Y80">
        <f t="shared" si="5"/>
        <v>0.20899999999999999</v>
      </c>
      <c r="Z80">
        <f t="shared" si="5"/>
        <v>0.183</v>
      </c>
      <c r="AA80">
        <f t="shared" si="5"/>
        <v>0.17399999999999999</v>
      </c>
      <c r="AB80">
        <f t="shared" si="5"/>
        <v>0.185</v>
      </c>
      <c r="AC80">
        <f t="shared" si="5"/>
        <v>0.20199999999999999</v>
      </c>
      <c r="AD80">
        <f t="shared" si="5"/>
        <v>0.157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8</v>
      </c>
      <c r="F81">
        <v>25</v>
      </c>
      <c r="G81">
        <v>8</v>
      </c>
      <c r="H81">
        <v>51</v>
      </c>
      <c r="I81">
        <v>-5</v>
      </c>
      <c r="J81">
        <v>19.3</v>
      </c>
      <c r="K81">
        <v>18.8</v>
      </c>
      <c r="L81">
        <v>17.8</v>
      </c>
      <c r="M81">
        <v>16.100000000000001</v>
      </c>
      <c r="N81">
        <v>12.3</v>
      </c>
      <c r="O81">
        <v>12.3</v>
      </c>
      <c r="P81">
        <v>14.7</v>
      </c>
      <c r="Q81">
        <v>14.5</v>
      </c>
      <c r="R81">
        <v>11.4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0.193</v>
      </c>
      <c r="W81">
        <f t="shared" si="5"/>
        <v>0.188</v>
      </c>
      <c r="X81">
        <f t="shared" si="5"/>
        <v>0.17800000000000002</v>
      </c>
      <c r="Y81">
        <f t="shared" si="5"/>
        <v>0.161</v>
      </c>
      <c r="Z81">
        <f t="shared" si="5"/>
        <v>0.12300000000000001</v>
      </c>
      <c r="AA81">
        <f t="shared" si="5"/>
        <v>0.12300000000000001</v>
      </c>
      <c r="AB81">
        <f t="shared" si="5"/>
        <v>0.14699999999999999</v>
      </c>
      <c r="AC81">
        <f t="shared" si="5"/>
        <v>0.14499999999999999</v>
      </c>
      <c r="AD81">
        <f t="shared" si="5"/>
        <v>0.114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8</v>
      </c>
      <c r="F82">
        <v>25</v>
      </c>
      <c r="G82">
        <v>9</v>
      </c>
      <c r="H82">
        <v>4</v>
      </c>
      <c r="I82">
        <v>20.3</v>
      </c>
      <c r="J82">
        <v>19.8</v>
      </c>
      <c r="K82">
        <v>18.399999999999999</v>
      </c>
      <c r="L82">
        <v>16.5</v>
      </c>
      <c r="M82">
        <v>13.1</v>
      </c>
      <c r="N82">
        <v>12.3</v>
      </c>
      <c r="O82">
        <v>11.3</v>
      </c>
      <c r="P82">
        <v>14.8</v>
      </c>
      <c r="Q82">
        <v>16.5</v>
      </c>
      <c r="R82">
        <v>13.3</v>
      </c>
      <c r="S82">
        <f t="shared" si="6"/>
        <v>59</v>
      </c>
      <c r="T82" t="s">
        <v>93</v>
      </c>
      <c r="U82">
        <f t="shared" si="7"/>
        <v>0.20300000000000001</v>
      </c>
      <c r="V82">
        <f t="shared" si="5"/>
        <v>0.19800000000000001</v>
      </c>
      <c r="W82">
        <f t="shared" si="5"/>
        <v>0.184</v>
      </c>
      <c r="X82">
        <f t="shared" si="5"/>
        <v>0.16500000000000001</v>
      </c>
      <c r="Y82">
        <f t="shared" si="5"/>
        <v>0.13100000000000001</v>
      </c>
      <c r="Z82">
        <f t="shared" si="5"/>
        <v>0.12300000000000001</v>
      </c>
      <c r="AA82">
        <f t="shared" si="5"/>
        <v>0.113</v>
      </c>
      <c r="AB82">
        <f t="shared" si="5"/>
        <v>0.14800000000000002</v>
      </c>
      <c r="AC82">
        <f t="shared" si="5"/>
        <v>0.16500000000000001</v>
      </c>
      <c r="AD82">
        <f t="shared" si="5"/>
        <v>0.13300000000000001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8</v>
      </c>
      <c r="F83">
        <v>25</v>
      </c>
      <c r="G83">
        <v>9</v>
      </c>
      <c r="H83">
        <v>11</v>
      </c>
      <c r="I83">
        <v>-5</v>
      </c>
      <c r="J83">
        <v>18.600000000000001</v>
      </c>
      <c r="K83">
        <v>19.100000000000001</v>
      </c>
      <c r="L83">
        <v>17</v>
      </c>
      <c r="M83">
        <v>16.3</v>
      </c>
      <c r="N83">
        <v>15.4</v>
      </c>
      <c r="O83">
        <v>13.8</v>
      </c>
      <c r="P83">
        <v>16.8</v>
      </c>
      <c r="Q83">
        <v>17.5</v>
      </c>
      <c r="R83">
        <v>13.9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0.18600000000000003</v>
      </c>
      <c r="W83">
        <f t="shared" si="5"/>
        <v>0.191</v>
      </c>
      <c r="X83">
        <f t="shared" si="5"/>
        <v>0.17</v>
      </c>
      <c r="Y83">
        <f t="shared" si="5"/>
        <v>0.16300000000000001</v>
      </c>
      <c r="Z83">
        <f t="shared" si="5"/>
        <v>0.154</v>
      </c>
      <c r="AA83">
        <f t="shared" si="5"/>
        <v>0.13800000000000001</v>
      </c>
      <c r="AB83">
        <f t="shared" si="5"/>
        <v>0.16800000000000001</v>
      </c>
      <c r="AC83">
        <f t="shared" si="5"/>
        <v>0.17499999999999999</v>
      </c>
      <c r="AD83">
        <f t="shared" si="5"/>
        <v>0.13900000000000001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8</v>
      </c>
      <c r="F84">
        <v>25</v>
      </c>
      <c r="G84">
        <v>9</v>
      </c>
      <c r="H84">
        <v>11</v>
      </c>
      <c r="I84">
        <v>15.5</v>
      </c>
      <c r="J84">
        <v>18.2</v>
      </c>
      <c r="K84">
        <v>24</v>
      </c>
      <c r="L84">
        <v>24.3</v>
      </c>
      <c r="M84">
        <v>23.8</v>
      </c>
      <c r="N84">
        <v>23.5</v>
      </c>
      <c r="O84">
        <v>19.100000000000001</v>
      </c>
      <c r="P84">
        <v>18.600000000000001</v>
      </c>
      <c r="Q84">
        <v>19.3</v>
      </c>
      <c r="R84">
        <v>16.8</v>
      </c>
      <c r="S84">
        <f t="shared" si="6"/>
        <v>57</v>
      </c>
      <c r="T84" t="s">
        <v>91</v>
      </c>
      <c r="U84">
        <f t="shared" si="7"/>
        <v>0.155</v>
      </c>
      <c r="V84">
        <f t="shared" si="5"/>
        <v>0.182</v>
      </c>
      <c r="W84">
        <f t="shared" si="5"/>
        <v>0.24</v>
      </c>
      <c r="X84">
        <f t="shared" si="5"/>
        <v>0.24299999999999999</v>
      </c>
      <c r="Y84">
        <f t="shared" si="5"/>
        <v>0.23800000000000002</v>
      </c>
      <c r="Z84">
        <f t="shared" si="5"/>
        <v>0.23499999999999999</v>
      </c>
      <c r="AA84">
        <f t="shared" si="5"/>
        <v>0.191</v>
      </c>
      <c r="AB84">
        <f t="shared" si="5"/>
        <v>0.18600000000000003</v>
      </c>
      <c r="AC84">
        <f t="shared" si="5"/>
        <v>0.193</v>
      </c>
      <c r="AD84">
        <f t="shared" si="5"/>
        <v>0.16800000000000001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8</v>
      </c>
      <c r="F85">
        <v>25</v>
      </c>
      <c r="G85">
        <v>9</v>
      </c>
      <c r="H85">
        <v>25</v>
      </c>
      <c r="I85">
        <v>-5</v>
      </c>
      <c r="J85">
        <v>19.8</v>
      </c>
      <c r="K85">
        <v>18.8</v>
      </c>
      <c r="L85">
        <v>20.2</v>
      </c>
      <c r="M85">
        <v>18.399999999999999</v>
      </c>
      <c r="N85">
        <v>18.2</v>
      </c>
      <c r="O85">
        <v>19.5</v>
      </c>
      <c r="P85">
        <v>16.2</v>
      </c>
      <c r="Q85">
        <v>15.4</v>
      </c>
      <c r="R85">
        <v>11.8</v>
      </c>
      <c r="S85">
        <f t="shared" si="6"/>
        <v>56</v>
      </c>
      <c r="T85" t="s">
        <v>90</v>
      </c>
      <c r="U85" t="str">
        <f t="shared" si="7"/>
        <v/>
      </c>
      <c r="V85">
        <f t="shared" si="5"/>
        <v>0.19800000000000001</v>
      </c>
      <c r="W85">
        <f t="shared" si="5"/>
        <v>0.188</v>
      </c>
      <c r="X85">
        <f t="shared" si="5"/>
        <v>0.20199999999999999</v>
      </c>
      <c r="Y85">
        <f t="shared" si="5"/>
        <v>0.184</v>
      </c>
      <c r="Z85">
        <f t="shared" si="5"/>
        <v>0.182</v>
      </c>
      <c r="AA85">
        <f t="shared" si="5"/>
        <v>0.19500000000000001</v>
      </c>
      <c r="AB85">
        <f t="shared" si="5"/>
        <v>0.16200000000000001</v>
      </c>
      <c r="AC85">
        <f t="shared" si="5"/>
        <v>0.154</v>
      </c>
      <c r="AD85">
        <f t="shared" si="5"/>
        <v>0.11800000000000001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8</v>
      </c>
      <c r="F86">
        <v>25</v>
      </c>
      <c r="G86">
        <v>9</v>
      </c>
      <c r="H86">
        <v>30</v>
      </c>
      <c r="I86">
        <v>16.7</v>
      </c>
      <c r="J86">
        <v>17</v>
      </c>
      <c r="K86">
        <v>19.8</v>
      </c>
      <c r="L86">
        <v>21.5</v>
      </c>
      <c r="M86">
        <v>21</v>
      </c>
      <c r="N86">
        <v>19.8</v>
      </c>
      <c r="O86">
        <v>19.100000000000001</v>
      </c>
      <c r="P86">
        <v>16.3</v>
      </c>
      <c r="Q86">
        <v>16.8</v>
      </c>
      <c r="R86">
        <v>14.4</v>
      </c>
      <c r="S86">
        <f t="shared" si="6"/>
        <v>55</v>
      </c>
      <c r="T86" t="s">
        <v>89</v>
      </c>
      <c r="U86">
        <f t="shared" si="7"/>
        <v>0.16699999999999998</v>
      </c>
      <c r="V86">
        <f t="shared" si="5"/>
        <v>0.17</v>
      </c>
      <c r="W86">
        <f t="shared" si="5"/>
        <v>0.19800000000000001</v>
      </c>
      <c r="X86">
        <f t="shared" si="5"/>
        <v>0.215</v>
      </c>
      <c r="Y86">
        <f t="shared" si="5"/>
        <v>0.21</v>
      </c>
      <c r="Z86">
        <f t="shared" si="5"/>
        <v>0.19800000000000001</v>
      </c>
      <c r="AA86">
        <f t="shared" si="5"/>
        <v>0.191</v>
      </c>
      <c r="AB86">
        <f t="shared" si="5"/>
        <v>0.16300000000000001</v>
      </c>
      <c r="AC86">
        <f t="shared" si="5"/>
        <v>0.16800000000000001</v>
      </c>
      <c r="AD86">
        <f t="shared" si="5"/>
        <v>0.14400000000000002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8</v>
      </c>
      <c r="F87">
        <v>25</v>
      </c>
      <c r="G87">
        <v>9</v>
      </c>
      <c r="H87">
        <v>30</v>
      </c>
      <c r="I87">
        <v>15.1</v>
      </c>
      <c r="J87">
        <v>15</v>
      </c>
      <c r="K87">
        <v>16.2</v>
      </c>
      <c r="L87">
        <v>17.7</v>
      </c>
      <c r="M87">
        <v>18</v>
      </c>
      <c r="N87">
        <v>16.3</v>
      </c>
      <c r="O87">
        <v>14.6</v>
      </c>
      <c r="P87">
        <v>14.4</v>
      </c>
      <c r="Q87">
        <v>16.5</v>
      </c>
      <c r="R87">
        <v>14</v>
      </c>
      <c r="S87">
        <f t="shared" si="6"/>
        <v>54</v>
      </c>
      <c r="T87" t="s">
        <v>36</v>
      </c>
      <c r="U87">
        <f t="shared" si="7"/>
        <v>0.151</v>
      </c>
      <c r="V87">
        <f t="shared" si="5"/>
        <v>0.15</v>
      </c>
      <c r="W87">
        <f t="shared" si="5"/>
        <v>0.16200000000000001</v>
      </c>
      <c r="X87">
        <f t="shared" si="5"/>
        <v>0.17699999999999999</v>
      </c>
      <c r="Y87">
        <f t="shared" si="5"/>
        <v>0.18</v>
      </c>
      <c r="Z87">
        <f t="shared" si="5"/>
        <v>0.16300000000000001</v>
      </c>
      <c r="AA87">
        <f t="shared" si="5"/>
        <v>0.14599999999999999</v>
      </c>
      <c r="AB87">
        <f t="shared" si="5"/>
        <v>0.14400000000000002</v>
      </c>
      <c r="AC87">
        <f t="shared" si="5"/>
        <v>0.16500000000000001</v>
      </c>
      <c r="AD87">
        <f t="shared" si="5"/>
        <v>0.14000000000000001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8</v>
      </c>
      <c r="F88">
        <v>25</v>
      </c>
      <c r="G88">
        <v>9</v>
      </c>
      <c r="H88">
        <v>44</v>
      </c>
      <c r="I88">
        <v>21.7</v>
      </c>
      <c r="J88">
        <v>20.100000000000001</v>
      </c>
      <c r="K88">
        <v>20.7</v>
      </c>
      <c r="L88">
        <v>21.1</v>
      </c>
      <c r="M88">
        <v>19.3</v>
      </c>
      <c r="N88">
        <v>17.3</v>
      </c>
      <c r="O88">
        <v>16.399999999999999</v>
      </c>
      <c r="P88">
        <v>13.9</v>
      </c>
      <c r="Q88">
        <v>14.9</v>
      </c>
      <c r="R88">
        <v>12.2</v>
      </c>
      <c r="S88">
        <f t="shared" si="6"/>
        <v>53</v>
      </c>
      <c r="T88" t="s">
        <v>88</v>
      </c>
      <c r="U88">
        <f t="shared" si="7"/>
        <v>0.217</v>
      </c>
      <c r="V88">
        <f t="shared" si="5"/>
        <v>0.20100000000000001</v>
      </c>
      <c r="W88">
        <f t="shared" si="5"/>
        <v>0.20699999999999999</v>
      </c>
      <c r="X88">
        <f t="shared" si="5"/>
        <v>0.21100000000000002</v>
      </c>
      <c r="Y88">
        <f t="shared" si="5"/>
        <v>0.193</v>
      </c>
      <c r="Z88">
        <f t="shared" si="5"/>
        <v>0.17300000000000001</v>
      </c>
      <c r="AA88">
        <f t="shared" si="5"/>
        <v>0.16399999999999998</v>
      </c>
      <c r="AB88">
        <f t="shared" si="5"/>
        <v>0.13900000000000001</v>
      </c>
      <c r="AC88">
        <f t="shared" si="5"/>
        <v>0.14899999999999999</v>
      </c>
      <c r="AD88">
        <f t="shared" si="5"/>
        <v>0.122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8</v>
      </c>
      <c r="F89">
        <v>25</v>
      </c>
      <c r="G89">
        <v>9</v>
      </c>
      <c r="H89">
        <v>52</v>
      </c>
      <c r="I89">
        <v>-5</v>
      </c>
      <c r="J89">
        <v>18.399999999999999</v>
      </c>
      <c r="K89">
        <v>20.6</v>
      </c>
      <c r="L89">
        <v>24.4</v>
      </c>
      <c r="M89">
        <v>21.7</v>
      </c>
      <c r="N89">
        <v>19.899999999999999</v>
      </c>
      <c r="O89">
        <v>19.100000000000001</v>
      </c>
      <c r="P89">
        <v>16.600000000000001</v>
      </c>
      <c r="Q89">
        <v>18.8</v>
      </c>
      <c r="R89">
        <v>15.9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0.184</v>
      </c>
      <c r="W89">
        <f t="shared" si="5"/>
        <v>0.20600000000000002</v>
      </c>
      <c r="X89">
        <f t="shared" si="5"/>
        <v>0.24399999999999999</v>
      </c>
      <c r="Y89">
        <f t="shared" si="5"/>
        <v>0.217</v>
      </c>
      <c r="Z89">
        <f t="shared" si="5"/>
        <v>0.19899999999999998</v>
      </c>
      <c r="AA89">
        <f t="shared" si="5"/>
        <v>0.191</v>
      </c>
      <c r="AB89">
        <f t="shared" si="5"/>
        <v>0.16600000000000001</v>
      </c>
      <c r="AC89">
        <f t="shared" si="5"/>
        <v>0.188</v>
      </c>
      <c r="AD89">
        <f t="shared" si="5"/>
        <v>0.159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8</v>
      </c>
      <c r="F90">
        <v>25</v>
      </c>
      <c r="G90">
        <v>9</v>
      </c>
      <c r="H90">
        <v>51</v>
      </c>
      <c r="I90">
        <v>16.7</v>
      </c>
      <c r="J90">
        <v>17</v>
      </c>
      <c r="K90">
        <v>21.9</v>
      </c>
      <c r="L90">
        <v>22.1</v>
      </c>
      <c r="M90">
        <v>21</v>
      </c>
      <c r="N90">
        <v>17.8</v>
      </c>
      <c r="O90">
        <v>17</v>
      </c>
      <c r="P90">
        <v>17.5</v>
      </c>
      <c r="Q90">
        <v>18.8</v>
      </c>
      <c r="R90">
        <v>16.5</v>
      </c>
      <c r="S90">
        <f t="shared" si="6"/>
        <v>51</v>
      </c>
      <c r="T90" t="s">
        <v>86</v>
      </c>
      <c r="U90">
        <f t="shared" si="7"/>
        <v>0.16699999999999998</v>
      </c>
      <c r="V90">
        <f t="shared" si="5"/>
        <v>0.17</v>
      </c>
      <c r="W90">
        <f t="shared" si="5"/>
        <v>0.21899999999999997</v>
      </c>
      <c r="X90">
        <f t="shared" si="5"/>
        <v>0.221</v>
      </c>
      <c r="Y90">
        <f t="shared" si="5"/>
        <v>0.21</v>
      </c>
      <c r="Z90">
        <f t="shared" si="5"/>
        <v>0.17800000000000002</v>
      </c>
      <c r="AA90">
        <f t="shared" si="5"/>
        <v>0.17</v>
      </c>
      <c r="AB90">
        <f t="shared" si="5"/>
        <v>0.17499999999999999</v>
      </c>
      <c r="AC90">
        <f t="shared" si="5"/>
        <v>0.188</v>
      </c>
      <c r="AD90">
        <f t="shared" si="5"/>
        <v>0.16500000000000001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8</v>
      </c>
      <c r="F91">
        <v>25</v>
      </c>
      <c r="G91">
        <v>10</v>
      </c>
      <c r="H91">
        <v>6</v>
      </c>
      <c r="I91">
        <v>19.899999999999999</v>
      </c>
      <c r="J91">
        <v>20</v>
      </c>
      <c r="K91">
        <v>19.3</v>
      </c>
      <c r="L91">
        <v>23.7</v>
      </c>
      <c r="M91">
        <v>22.7</v>
      </c>
      <c r="N91">
        <v>20.5</v>
      </c>
      <c r="O91">
        <v>20.9</v>
      </c>
      <c r="P91">
        <v>19.7</v>
      </c>
      <c r="Q91">
        <v>19.5</v>
      </c>
      <c r="R91">
        <v>16.7</v>
      </c>
      <c r="S91">
        <f t="shared" si="6"/>
        <v>50</v>
      </c>
      <c r="T91" t="s">
        <v>39</v>
      </c>
      <c r="U91">
        <f t="shared" si="7"/>
        <v>0.19899999999999998</v>
      </c>
      <c r="V91">
        <f t="shared" si="5"/>
        <v>0.2</v>
      </c>
      <c r="W91">
        <f t="shared" si="5"/>
        <v>0.193</v>
      </c>
      <c r="X91">
        <f t="shared" si="5"/>
        <v>0.23699999999999999</v>
      </c>
      <c r="Y91">
        <f t="shared" si="5"/>
        <v>0.22699999999999998</v>
      </c>
      <c r="Z91">
        <f t="shared" si="5"/>
        <v>0.20499999999999999</v>
      </c>
      <c r="AA91">
        <f t="shared" si="5"/>
        <v>0.20899999999999999</v>
      </c>
      <c r="AB91">
        <f t="shared" si="5"/>
        <v>0.19699999999999998</v>
      </c>
      <c r="AC91">
        <f t="shared" si="5"/>
        <v>0.19500000000000001</v>
      </c>
      <c r="AD91">
        <f t="shared" si="5"/>
        <v>0.16699999999999998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8</v>
      </c>
      <c r="F92">
        <v>25</v>
      </c>
      <c r="G92">
        <v>10</v>
      </c>
      <c r="H92">
        <v>11</v>
      </c>
      <c r="I92">
        <v>-5</v>
      </c>
      <c r="J92">
        <v>22.8</v>
      </c>
      <c r="K92">
        <v>23.2</v>
      </c>
      <c r="L92">
        <v>22.6</v>
      </c>
      <c r="M92">
        <v>18.600000000000001</v>
      </c>
      <c r="N92">
        <v>14.8</v>
      </c>
      <c r="O92">
        <v>13.8</v>
      </c>
      <c r="P92">
        <v>16.5</v>
      </c>
      <c r="Q92">
        <v>17.7</v>
      </c>
      <c r="R92">
        <v>15.7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0.22800000000000001</v>
      </c>
      <c r="W92">
        <f t="shared" si="5"/>
        <v>0.23199999999999998</v>
      </c>
      <c r="X92">
        <f t="shared" si="5"/>
        <v>0.22600000000000001</v>
      </c>
      <c r="Y92">
        <f t="shared" si="5"/>
        <v>0.18600000000000003</v>
      </c>
      <c r="Z92">
        <f t="shared" si="5"/>
        <v>0.14800000000000002</v>
      </c>
      <c r="AA92">
        <f t="shared" si="5"/>
        <v>0.13800000000000001</v>
      </c>
      <c r="AB92">
        <f t="shared" si="5"/>
        <v>0.16500000000000001</v>
      </c>
      <c r="AC92">
        <f t="shared" si="5"/>
        <v>0.17699999999999999</v>
      </c>
      <c r="AD92">
        <f t="shared" si="5"/>
        <v>0.157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8</v>
      </c>
      <c r="F93">
        <v>25</v>
      </c>
      <c r="G93">
        <v>10</v>
      </c>
      <c r="H93">
        <v>24</v>
      </c>
      <c r="I93">
        <v>-5</v>
      </c>
      <c r="J93">
        <v>22.4</v>
      </c>
      <c r="K93">
        <v>24.5</v>
      </c>
      <c r="L93">
        <v>23.4</v>
      </c>
      <c r="M93">
        <v>19.100000000000001</v>
      </c>
      <c r="N93">
        <v>17</v>
      </c>
      <c r="O93">
        <v>14.4</v>
      </c>
      <c r="P93">
        <v>17.5</v>
      </c>
      <c r="Q93">
        <v>17.5</v>
      </c>
      <c r="R93">
        <v>15.3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0.22399999999999998</v>
      </c>
      <c r="W93">
        <f t="shared" si="5"/>
        <v>0.245</v>
      </c>
      <c r="X93">
        <f t="shared" si="5"/>
        <v>0.23399999999999999</v>
      </c>
      <c r="Y93">
        <f t="shared" si="5"/>
        <v>0.191</v>
      </c>
      <c r="Z93">
        <f t="shared" si="5"/>
        <v>0.17</v>
      </c>
      <c r="AA93">
        <f t="shared" si="5"/>
        <v>0.14400000000000002</v>
      </c>
      <c r="AB93">
        <f t="shared" si="5"/>
        <v>0.17499999999999999</v>
      </c>
      <c r="AC93">
        <f t="shared" si="5"/>
        <v>0.17499999999999999</v>
      </c>
      <c r="AD93">
        <f t="shared" si="5"/>
        <v>0.153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8</v>
      </c>
      <c r="F94">
        <v>25</v>
      </c>
      <c r="G94">
        <v>10</v>
      </c>
      <c r="H94">
        <v>21</v>
      </c>
      <c r="I94">
        <v>20.100000000000001</v>
      </c>
      <c r="J94">
        <v>19.8</v>
      </c>
      <c r="K94">
        <v>22.6</v>
      </c>
      <c r="L94">
        <v>23.7</v>
      </c>
      <c r="M94">
        <v>22.8</v>
      </c>
      <c r="N94">
        <v>19.600000000000001</v>
      </c>
      <c r="O94">
        <v>17.899999999999999</v>
      </c>
      <c r="P94">
        <v>16.399999999999999</v>
      </c>
      <c r="Q94">
        <v>18.3</v>
      </c>
      <c r="R94">
        <v>14.7</v>
      </c>
      <c r="S94">
        <f t="shared" si="6"/>
        <v>47</v>
      </c>
      <c r="T94" t="s">
        <v>85</v>
      </c>
      <c r="U94">
        <f t="shared" si="7"/>
        <v>0.20100000000000001</v>
      </c>
      <c r="V94">
        <f t="shared" si="5"/>
        <v>0.19800000000000001</v>
      </c>
      <c r="W94">
        <f t="shared" si="5"/>
        <v>0.22600000000000001</v>
      </c>
      <c r="X94">
        <f t="shared" si="5"/>
        <v>0.23699999999999999</v>
      </c>
      <c r="Y94">
        <f t="shared" si="5"/>
        <v>0.22800000000000001</v>
      </c>
      <c r="Z94">
        <f t="shared" si="5"/>
        <v>0.19600000000000001</v>
      </c>
      <c r="AA94">
        <f t="shared" si="5"/>
        <v>0.17899999999999999</v>
      </c>
      <c r="AB94">
        <f t="shared" si="5"/>
        <v>0.16399999999999998</v>
      </c>
      <c r="AC94">
        <f t="shared" si="5"/>
        <v>0.183</v>
      </c>
      <c r="AD94">
        <f t="shared" si="5"/>
        <v>0.14699999999999999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8</v>
      </c>
      <c r="F95">
        <v>25</v>
      </c>
      <c r="G95">
        <v>10</v>
      </c>
      <c r="H95">
        <v>33</v>
      </c>
      <c r="I95">
        <v>-5</v>
      </c>
      <c r="J95">
        <v>22.6</v>
      </c>
      <c r="K95">
        <v>25.6</v>
      </c>
      <c r="L95">
        <v>24.4</v>
      </c>
      <c r="M95">
        <v>23.2</v>
      </c>
      <c r="N95">
        <v>21.4</v>
      </c>
      <c r="O95">
        <v>21.6</v>
      </c>
      <c r="P95">
        <v>16.100000000000001</v>
      </c>
      <c r="Q95">
        <v>16</v>
      </c>
      <c r="R95">
        <v>14.1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0.22600000000000001</v>
      </c>
      <c r="W95">
        <f t="shared" si="5"/>
        <v>0.25600000000000001</v>
      </c>
      <c r="X95">
        <f t="shared" si="5"/>
        <v>0.24399999999999999</v>
      </c>
      <c r="Y95">
        <f t="shared" si="5"/>
        <v>0.23199999999999998</v>
      </c>
      <c r="Z95">
        <f t="shared" si="5"/>
        <v>0.214</v>
      </c>
      <c r="AA95">
        <f t="shared" si="5"/>
        <v>0.21600000000000003</v>
      </c>
      <c r="AB95">
        <f t="shared" si="5"/>
        <v>0.161</v>
      </c>
      <c r="AC95">
        <f t="shared" si="5"/>
        <v>0.16</v>
      </c>
      <c r="AD95">
        <f t="shared" si="5"/>
        <v>0.14099999999999999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8</v>
      </c>
      <c r="F96">
        <v>25</v>
      </c>
      <c r="G96">
        <v>10</v>
      </c>
      <c r="H96">
        <v>30</v>
      </c>
      <c r="I96">
        <v>-5</v>
      </c>
      <c r="J96">
        <v>23.2</v>
      </c>
      <c r="K96">
        <v>23.2</v>
      </c>
      <c r="L96">
        <v>23.9</v>
      </c>
      <c r="M96">
        <v>22.4</v>
      </c>
      <c r="N96">
        <v>21.2</v>
      </c>
      <c r="O96">
        <v>20.5</v>
      </c>
      <c r="P96">
        <v>17.899999999999999</v>
      </c>
      <c r="Q96">
        <v>20.399999999999999</v>
      </c>
      <c r="R96">
        <v>15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0.23199999999999998</v>
      </c>
      <c r="W96">
        <f t="shared" si="5"/>
        <v>0.23199999999999998</v>
      </c>
      <c r="X96">
        <f t="shared" si="5"/>
        <v>0.23899999999999999</v>
      </c>
      <c r="Y96">
        <f t="shared" si="5"/>
        <v>0.22399999999999998</v>
      </c>
      <c r="Z96">
        <f t="shared" si="5"/>
        <v>0.21199999999999999</v>
      </c>
      <c r="AA96">
        <f t="shared" si="5"/>
        <v>0.20499999999999999</v>
      </c>
      <c r="AB96">
        <f t="shared" si="5"/>
        <v>0.17899999999999999</v>
      </c>
      <c r="AC96">
        <f t="shared" si="5"/>
        <v>0.20399999999999999</v>
      </c>
      <c r="AD96">
        <f t="shared" si="5"/>
        <v>0.15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8</v>
      </c>
      <c r="F97">
        <v>25</v>
      </c>
      <c r="G97">
        <v>10</v>
      </c>
      <c r="H97">
        <v>43</v>
      </c>
      <c r="I97">
        <v>17.2</v>
      </c>
      <c r="J97">
        <v>16.2</v>
      </c>
      <c r="K97">
        <v>21.4</v>
      </c>
      <c r="L97">
        <v>22.8</v>
      </c>
      <c r="M97">
        <v>20.100000000000001</v>
      </c>
      <c r="N97">
        <v>16.3</v>
      </c>
      <c r="O97">
        <v>12.3</v>
      </c>
      <c r="P97">
        <v>12.4</v>
      </c>
      <c r="Q97">
        <v>13.3</v>
      </c>
      <c r="R97">
        <v>10.8</v>
      </c>
      <c r="S97">
        <f t="shared" si="6"/>
        <v>44</v>
      </c>
      <c r="T97" t="s">
        <v>83</v>
      </c>
      <c r="U97">
        <f t="shared" si="7"/>
        <v>0.17199999999999999</v>
      </c>
      <c r="V97">
        <f t="shared" si="5"/>
        <v>0.16200000000000001</v>
      </c>
      <c r="W97">
        <f t="shared" si="5"/>
        <v>0.214</v>
      </c>
      <c r="X97">
        <f t="shared" si="5"/>
        <v>0.22800000000000001</v>
      </c>
      <c r="Y97">
        <f t="shared" si="5"/>
        <v>0.20100000000000001</v>
      </c>
      <c r="Z97">
        <f t="shared" si="5"/>
        <v>0.16300000000000001</v>
      </c>
      <c r="AA97">
        <f t="shared" si="5"/>
        <v>0.12300000000000001</v>
      </c>
      <c r="AB97">
        <f t="shared" si="5"/>
        <v>0.124</v>
      </c>
      <c r="AC97">
        <f t="shared" si="5"/>
        <v>0.13300000000000001</v>
      </c>
      <c r="AD97">
        <f t="shared" si="5"/>
        <v>0.10800000000000001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8</v>
      </c>
      <c r="F98">
        <v>25</v>
      </c>
      <c r="G98">
        <v>10</v>
      </c>
      <c r="H98">
        <v>47</v>
      </c>
      <c r="I98">
        <v>17.3</v>
      </c>
      <c r="J98">
        <v>16.600000000000001</v>
      </c>
      <c r="K98">
        <v>16.5</v>
      </c>
      <c r="L98">
        <v>19.600000000000001</v>
      </c>
      <c r="M98">
        <v>22</v>
      </c>
      <c r="N98">
        <v>19.899999999999999</v>
      </c>
      <c r="O98">
        <v>17</v>
      </c>
      <c r="P98">
        <v>14.5</v>
      </c>
      <c r="Q98">
        <v>16.5</v>
      </c>
      <c r="R98">
        <v>15.5</v>
      </c>
      <c r="S98">
        <f t="shared" si="6"/>
        <v>43</v>
      </c>
      <c r="T98" t="s">
        <v>82</v>
      </c>
      <c r="U98">
        <f t="shared" si="7"/>
        <v>0.17300000000000001</v>
      </c>
      <c r="V98">
        <f t="shared" si="5"/>
        <v>0.16600000000000001</v>
      </c>
      <c r="W98">
        <f t="shared" si="5"/>
        <v>0.16500000000000001</v>
      </c>
      <c r="X98">
        <f t="shared" si="5"/>
        <v>0.19600000000000001</v>
      </c>
      <c r="Y98">
        <f t="shared" si="5"/>
        <v>0.22</v>
      </c>
      <c r="Z98">
        <f t="shared" si="5"/>
        <v>0.19899999999999998</v>
      </c>
      <c r="AA98">
        <f t="shared" si="5"/>
        <v>0.17</v>
      </c>
      <c r="AB98">
        <f t="shared" si="5"/>
        <v>0.14499999999999999</v>
      </c>
      <c r="AC98">
        <f t="shared" si="5"/>
        <v>0.16500000000000001</v>
      </c>
      <c r="AD98">
        <f t="shared" si="5"/>
        <v>0.155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8</v>
      </c>
      <c r="F99">
        <v>25</v>
      </c>
      <c r="G99">
        <v>10</v>
      </c>
      <c r="H99">
        <v>52</v>
      </c>
      <c r="I99">
        <v>-5</v>
      </c>
      <c r="J99">
        <v>22.1</v>
      </c>
      <c r="K99">
        <v>16.2</v>
      </c>
      <c r="L99">
        <v>13.5</v>
      </c>
      <c r="M99">
        <v>10.7</v>
      </c>
      <c r="N99">
        <v>10</v>
      </c>
      <c r="O99">
        <v>9.9</v>
      </c>
      <c r="P99">
        <v>10.1</v>
      </c>
      <c r="Q99">
        <v>14.1</v>
      </c>
      <c r="R99">
        <v>13.2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0.221</v>
      </c>
      <c r="W99">
        <f t="shared" si="5"/>
        <v>0.16200000000000001</v>
      </c>
      <c r="X99">
        <f t="shared" si="5"/>
        <v>0.13500000000000001</v>
      </c>
      <c r="Y99">
        <f t="shared" si="5"/>
        <v>0.107</v>
      </c>
      <c r="Z99">
        <f t="shared" si="5"/>
        <v>0.1</v>
      </c>
      <c r="AA99">
        <f t="shared" si="5"/>
        <v>9.9000000000000005E-2</v>
      </c>
      <c r="AB99">
        <f t="shared" si="5"/>
        <v>0.10099999999999999</v>
      </c>
      <c r="AC99">
        <f t="shared" si="5"/>
        <v>0.14099999999999999</v>
      </c>
      <c r="AD99">
        <f t="shared" si="5"/>
        <v>0.13200000000000001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8</v>
      </c>
      <c r="F100">
        <v>25</v>
      </c>
      <c r="G100">
        <v>10</v>
      </c>
      <c r="H100">
        <v>57</v>
      </c>
      <c r="I100">
        <v>24.6</v>
      </c>
      <c r="J100">
        <v>22.2</v>
      </c>
      <c r="K100">
        <v>17.5</v>
      </c>
      <c r="L100">
        <v>16.5</v>
      </c>
      <c r="M100">
        <v>15.4</v>
      </c>
      <c r="N100">
        <v>14.1</v>
      </c>
      <c r="O100">
        <v>11.9</v>
      </c>
      <c r="P100">
        <v>11.2</v>
      </c>
      <c r="Q100">
        <v>13.7</v>
      </c>
      <c r="R100">
        <v>12.2</v>
      </c>
      <c r="S100">
        <f t="shared" si="6"/>
        <v>41</v>
      </c>
      <c r="T100" t="s">
        <v>43</v>
      </c>
      <c r="U100">
        <f t="shared" si="7"/>
        <v>0.24600000000000002</v>
      </c>
      <c r="V100">
        <f t="shared" si="5"/>
        <v>0.222</v>
      </c>
      <c r="W100">
        <f t="shared" si="5"/>
        <v>0.17499999999999999</v>
      </c>
      <c r="X100">
        <f t="shared" si="5"/>
        <v>0.16500000000000001</v>
      </c>
      <c r="Y100">
        <f t="shared" si="5"/>
        <v>0.154</v>
      </c>
      <c r="Z100">
        <f t="shared" si="5"/>
        <v>0.14099999999999999</v>
      </c>
      <c r="AA100">
        <f t="shared" si="5"/>
        <v>0.11900000000000001</v>
      </c>
      <c r="AB100">
        <f t="shared" si="5"/>
        <v>0.11199999999999999</v>
      </c>
      <c r="AC100">
        <f t="shared" si="5"/>
        <v>0.13699999999999998</v>
      </c>
      <c r="AD100">
        <f t="shared" si="5"/>
        <v>0.122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8</v>
      </c>
      <c r="F101">
        <v>25</v>
      </c>
      <c r="G101">
        <v>11</v>
      </c>
      <c r="H101">
        <v>2</v>
      </c>
      <c r="I101">
        <v>-5</v>
      </c>
      <c r="J101">
        <v>22.7</v>
      </c>
      <c r="K101">
        <v>24.4</v>
      </c>
      <c r="L101">
        <v>19.8</v>
      </c>
      <c r="M101">
        <v>17.3</v>
      </c>
      <c r="N101">
        <v>18</v>
      </c>
      <c r="O101">
        <v>19.899999999999999</v>
      </c>
      <c r="P101">
        <v>18</v>
      </c>
      <c r="Q101">
        <v>17.8</v>
      </c>
      <c r="R101">
        <v>16.5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0.22699999999999998</v>
      </c>
      <c r="W101">
        <f t="shared" si="5"/>
        <v>0.24399999999999999</v>
      </c>
      <c r="X101">
        <f t="shared" si="5"/>
        <v>0.19800000000000001</v>
      </c>
      <c r="Y101">
        <f t="shared" si="5"/>
        <v>0.17300000000000001</v>
      </c>
      <c r="Z101">
        <f t="shared" si="5"/>
        <v>0.18</v>
      </c>
      <c r="AA101">
        <f t="shared" si="5"/>
        <v>0.19899999999999998</v>
      </c>
      <c r="AB101">
        <f t="shared" si="5"/>
        <v>0.18</v>
      </c>
      <c r="AC101">
        <f t="shared" si="5"/>
        <v>0.17800000000000002</v>
      </c>
      <c r="AD101">
        <f t="shared" si="5"/>
        <v>0.16500000000000001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8</v>
      </c>
      <c r="F102">
        <v>25</v>
      </c>
      <c r="G102">
        <v>11</v>
      </c>
      <c r="H102">
        <v>7</v>
      </c>
      <c r="I102">
        <v>-5</v>
      </c>
      <c r="J102">
        <v>19.5</v>
      </c>
      <c r="K102">
        <v>21.5</v>
      </c>
      <c r="L102">
        <v>20.2</v>
      </c>
      <c r="M102">
        <v>19.399999999999999</v>
      </c>
      <c r="N102">
        <v>18.899999999999999</v>
      </c>
      <c r="O102">
        <v>17</v>
      </c>
      <c r="P102">
        <v>14.9</v>
      </c>
      <c r="Q102">
        <v>18</v>
      </c>
      <c r="R102">
        <v>14.6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0.19500000000000001</v>
      </c>
      <c r="W102">
        <f t="shared" si="5"/>
        <v>0.215</v>
      </c>
      <c r="X102">
        <f t="shared" si="5"/>
        <v>0.20199999999999999</v>
      </c>
      <c r="Y102">
        <f t="shared" si="5"/>
        <v>0.19399999999999998</v>
      </c>
      <c r="Z102">
        <f t="shared" si="5"/>
        <v>0.18899999999999997</v>
      </c>
      <c r="AA102">
        <f t="shared" si="5"/>
        <v>0.17</v>
      </c>
      <c r="AB102">
        <f t="shared" si="5"/>
        <v>0.14899999999999999</v>
      </c>
      <c r="AC102">
        <f t="shared" si="5"/>
        <v>0.18</v>
      </c>
      <c r="AD102">
        <f t="shared" si="5"/>
        <v>0.14599999999999999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8</v>
      </c>
      <c r="F103">
        <v>25</v>
      </c>
      <c r="G103">
        <v>11</v>
      </c>
      <c r="H103">
        <v>13</v>
      </c>
      <c r="I103">
        <v>-5</v>
      </c>
      <c r="J103">
        <v>23.7</v>
      </c>
      <c r="K103">
        <v>23.7</v>
      </c>
      <c r="L103">
        <v>22.6</v>
      </c>
      <c r="M103">
        <v>19.8</v>
      </c>
      <c r="N103">
        <v>18.8</v>
      </c>
      <c r="O103">
        <v>17.2</v>
      </c>
      <c r="P103">
        <v>16</v>
      </c>
      <c r="Q103">
        <v>18.100000000000001</v>
      </c>
      <c r="R103">
        <v>17.7</v>
      </c>
      <c r="S103">
        <f t="shared" si="6"/>
        <v>38</v>
      </c>
      <c r="T103" t="s">
        <v>37</v>
      </c>
      <c r="U103" t="str">
        <f t="shared" si="7"/>
        <v/>
      </c>
      <c r="V103">
        <f t="shared" si="5"/>
        <v>0.23699999999999999</v>
      </c>
      <c r="W103">
        <f t="shared" si="5"/>
        <v>0.23699999999999999</v>
      </c>
      <c r="X103">
        <f t="shared" si="5"/>
        <v>0.22600000000000001</v>
      </c>
      <c r="Y103">
        <f t="shared" ref="Y103:AD104" si="8">IF(M103&lt;0,"",M103/100)</f>
        <v>0.19800000000000001</v>
      </c>
      <c r="Z103">
        <f t="shared" si="8"/>
        <v>0.188</v>
      </c>
      <c r="AA103">
        <f t="shared" si="8"/>
        <v>0.17199999999999999</v>
      </c>
      <c r="AB103">
        <f t="shared" si="8"/>
        <v>0.16</v>
      </c>
      <c r="AC103">
        <f t="shared" si="8"/>
        <v>0.18100000000000002</v>
      </c>
      <c r="AD103">
        <f t="shared" si="8"/>
        <v>0.17699999999999999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8</v>
      </c>
      <c r="F104">
        <v>25</v>
      </c>
      <c r="G104">
        <v>11</v>
      </c>
      <c r="H104">
        <v>10</v>
      </c>
      <c r="I104">
        <v>-5</v>
      </c>
      <c r="J104">
        <v>23</v>
      </c>
      <c r="K104">
        <v>20.8</v>
      </c>
      <c r="L104">
        <v>17.2</v>
      </c>
      <c r="M104">
        <v>15.2</v>
      </c>
      <c r="N104">
        <v>15.9</v>
      </c>
      <c r="O104">
        <v>15</v>
      </c>
      <c r="P104">
        <v>17</v>
      </c>
      <c r="Q104">
        <v>19.2</v>
      </c>
      <c r="R104">
        <v>15.4</v>
      </c>
      <c r="S104">
        <f t="shared" si="6"/>
        <v>37</v>
      </c>
      <c r="T104" t="s">
        <v>35</v>
      </c>
      <c r="U104" t="str">
        <f t="shared" si="7"/>
        <v/>
      </c>
      <c r="V104">
        <f t="shared" si="7"/>
        <v>0.23</v>
      </c>
      <c r="W104">
        <f t="shared" si="7"/>
        <v>0.20800000000000002</v>
      </c>
      <c r="X104">
        <f t="shared" si="7"/>
        <v>0.17199999999999999</v>
      </c>
      <c r="Y104">
        <f t="shared" si="8"/>
        <v>0.152</v>
      </c>
      <c r="Z104">
        <f t="shared" si="8"/>
        <v>0.159</v>
      </c>
      <c r="AA104">
        <f t="shared" si="8"/>
        <v>0.15</v>
      </c>
      <c r="AB104">
        <f t="shared" si="8"/>
        <v>0.17</v>
      </c>
      <c r="AC104">
        <f t="shared" si="8"/>
        <v>0.192</v>
      </c>
      <c r="AD104">
        <f t="shared" si="8"/>
        <v>0.154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D49"/>
  <sheetViews>
    <sheetView topLeftCell="N1" workbookViewId="0">
      <selection activeCell="T20" sqref="T20:AD49"/>
    </sheetView>
  </sheetViews>
  <sheetFormatPr defaultRowHeight="15" x14ac:dyDescent="0.25"/>
  <sheetData>
    <row r="2" spans="1:7" x14ac:dyDescent="0.25">
      <c r="A2" s="2">
        <v>41884</v>
      </c>
    </row>
    <row r="3" spans="1:7" x14ac:dyDescent="0.25">
      <c r="A3" t="s">
        <v>3</v>
      </c>
      <c r="B3">
        <v>6116</v>
      </c>
      <c r="C3" t="s">
        <v>4</v>
      </c>
      <c r="D3">
        <v>12106</v>
      </c>
      <c r="E3">
        <v>0</v>
      </c>
      <c r="F3">
        <v>10</v>
      </c>
    </row>
    <row r="4" spans="1:7" x14ac:dyDescent="0.25">
      <c r="A4">
        <v>0</v>
      </c>
      <c r="B4">
        <v>11</v>
      </c>
      <c r="C4">
        <v>8</v>
      </c>
      <c r="D4">
        <v>25</v>
      </c>
      <c r="E4">
        <v>21.641999999999999</v>
      </c>
      <c r="F4">
        <v>-4.968</v>
      </c>
      <c r="G4" t="s">
        <v>24</v>
      </c>
    </row>
    <row r="5" spans="1:7" x14ac:dyDescent="0.25">
      <c r="A5">
        <v>1</v>
      </c>
      <c r="B5">
        <v>95</v>
      </c>
      <c r="C5">
        <v>36280</v>
      </c>
      <c r="D5">
        <v>72</v>
      </c>
      <c r="E5">
        <v>0</v>
      </c>
      <c r="F5">
        <v>0</v>
      </c>
    </row>
    <row r="6" spans="1:7" x14ac:dyDescent="0.25">
      <c r="A6">
        <v>2</v>
      </c>
      <c r="B6">
        <v>95</v>
      </c>
      <c r="C6">
        <v>36280</v>
      </c>
      <c r="D6">
        <v>72</v>
      </c>
      <c r="E6">
        <v>0</v>
      </c>
      <c r="F6">
        <v>0</v>
      </c>
    </row>
    <row r="7" spans="1:7" x14ac:dyDescent="0.25">
      <c r="A7">
        <v>3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4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5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6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7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8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9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10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11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12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13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14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30" x14ac:dyDescent="0.25">
      <c r="A19">
        <v>15</v>
      </c>
      <c r="B19">
        <v>95</v>
      </c>
      <c r="C19">
        <v>36280</v>
      </c>
      <c r="D19">
        <v>72</v>
      </c>
      <c r="E19">
        <v>0</v>
      </c>
      <c r="F19">
        <v>0</v>
      </c>
      <c r="S19" t="s">
        <v>0</v>
      </c>
      <c r="T19" t="s">
        <v>28</v>
      </c>
      <c r="U19">
        <v>190</v>
      </c>
      <c r="V19">
        <v>170</v>
      </c>
      <c r="W19">
        <v>150</v>
      </c>
      <c r="X19">
        <v>130</v>
      </c>
      <c r="Y19">
        <v>110</v>
      </c>
      <c r="Z19">
        <v>90</v>
      </c>
      <c r="AA19">
        <v>70</v>
      </c>
      <c r="AB19">
        <v>50</v>
      </c>
      <c r="AC19">
        <v>30</v>
      </c>
      <c r="AD19">
        <v>10</v>
      </c>
    </row>
    <row r="20" spans="1:30" x14ac:dyDescent="0.25">
      <c r="A20">
        <v>455</v>
      </c>
      <c r="B20">
        <v>66</v>
      </c>
      <c r="C20">
        <v>0</v>
      </c>
      <c r="D20">
        <v>14</v>
      </c>
      <c r="E20">
        <v>9</v>
      </c>
      <c r="F20">
        <v>2</v>
      </c>
      <c r="G20">
        <v>8</v>
      </c>
      <c r="H20">
        <v>1</v>
      </c>
      <c r="I20">
        <v>20.6</v>
      </c>
      <c r="J20">
        <v>21.7</v>
      </c>
      <c r="K20">
        <v>20.8</v>
      </c>
      <c r="L20">
        <v>18.3</v>
      </c>
      <c r="M20">
        <v>15.5</v>
      </c>
      <c r="N20">
        <v>16.100000000000001</v>
      </c>
      <c r="O20">
        <v>15.6</v>
      </c>
      <c r="P20">
        <v>14.9</v>
      </c>
      <c r="Q20">
        <v>16.5</v>
      </c>
      <c r="R20">
        <v>10.5</v>
      </c>
      <c r="S20">
        <f>B20</f>
        <v>66</v>
      </c>
      <c r="T20" t="s">
        <v>50</v>
      </c>
      <c r="U20">
        <f>IF(I20&lt;0,"",I20/100)</f>
        <v>0.20600000000000002</v>
      </c>
      <c r="V20">
        <f t="shared" ref="V20:AD48" si="0">IF(J20&lt;0,"",J20/100)</f>
        <v>0.217</v>
      </c>
      <c r="W20">
        <f t="shared" si="0"/>
        <v>0.20800000000000002</v>
      </c>
      <c r="X20">
        <f t="shared" si="0"/>
        <v>0.183</v>
      </c>
      <c r="Y20">
        <f t="shared" si="0"/>
        <v>0.155</v>
      </c>
      <c r="Z20">
        <f t="shared" si="0"/>
        <v>0.161</v>
      </c>
      <c r="AA20">
        <f t="shared" si="0"/>
        <v>0.156</v>
      </c>
      <c r="AB20">
        <f t="shared" si="0"/>
        <v>0.14899999999999999</v>
      </c>
      <c r="AC20">
        <f t="shared" si="0"/>
        <v>0.16500000000000001</v>
      </c>
      <c r="AD20">
        <f t="shared" si="0"/>
        <v>0.105</v>
      </c>
    </row>
    <row r="21" spans="1:30" x14ac:dyDescent="0.25">
      <c r="A21">
        <v>454</v>
      </c>
      <c r="B21">
        <v>65</v>
      </c>
      <c r="C21">
        <v>0</v>
      </c>
      <c r="D21">
        <v>14</v>
      </c>
      <c r="E21">
        <v>9</v>
      </c>
      <c r="F21">
        <v>2</v>
      </c>
      <c r="G21">
        <v>8</v>
      </c>
      <c r="H21">
        <v>13</v>
      </c>
      <c r="I21">
        <v>18.899999999999999</v>
      </c>
      <c r="J21">
        <v>20.9</v>
      </c>
      <c r="K21">
        <v>22.8</v>
      </c>
      <c r="L21">
        <v>22.3</v>
      </c>
      <c r="M21">
        <v>18.7</v>
      </c>
      <c r="N21">
        <v>17.399999999999999</v>
      </c>
      <c r="O21">
        <v>15.4</v>
      </c>
      <c r="P21">
        <v>15.4</v>
      </c>
      <c r="Q21">
        <v>17.2</v>
      </c>
      <c r="R21">
        <v>10.8</v>
      </c>
      <c r="S21">
        <f t="shared" ref="S21:S49" si="1">B21</f>
        <v>65</v>
      </c>
      <c r="T21" t="s">
        <v>49</v>
      </c>
      <c r="U21">
        <f t="shared" ref="U21:X49" si="2">IF(I21&lt;0,"",I21/100)</f>
        <v>0.18899999999999997</v>
      </c>
      <c r="V21">
        <f t="shared" si="0"/>
        <v>0.20899999999999999</v>
      </c>
      <c r="W21">
        <f t="shared" si="0"/>
        <v>0.22800000000000001</v>
      </c>
      <c r="X21">
        <f t="shared" si="0"/>
        <v>0.223</v>
      </c>
      <c r="Y21">
        <f t="shared" si="0"/>
        <v>0.187</v>
      </c>
      <c r="Z21">
        <f t="shared" si="0"/>
        <v>0.17399999999999999</v>
      </c>
      <c r="AA21">
        <f t="shared" si="0"/>
        <v>0.154</v>
      </c>
      <c r="AB21">
        <f t="shared" si="0"/>
        <v>0.154</v>
      </c>
      <c r="AC21">
        <f t="shared" si="0"/>
        <v>0.17199999999999999</v>
      </c>
      <c r="AD21">
        <f t="shared" si="0"/>
        <v>0.10800000000000001</v>
      </c>
    </row>
    <row r="22" spans="1:30" x14ac:dyDescent="0.25">
      <c r="A22">
        <v>453</v>
      </c>
      <c r="B22">
        <v>64</v>
      </c>
      <c r="C22">
        <v>0</v>
      </c>
      <c r="D22">
        <v>14</v>
      </c>
      <c r="E22">
        <v>9</v>
      </c>
      <c r="F22">
        <v>2</v>
      </c>
      <c r="G22">
        <v>8</v>
      </c>
      <c r="H22">
        <v>17</v>
      </c>
      <c r="I22">
        <v>15.2</v>
      </c>
      <c r="J22">
        <v>13.9</v>
      </c>
      <c r="K22">
        <v>11.9</v>
      </c>
      <c r="L22">
        <v>10.7</v>
      </c>
      <c r="M22">
        <v>9.5</v>
      </c>
      <c r="N22">
        <v>9</v>
      </c>
      <c r="O22">
        <v>9.8000000000000007</v>
      </c>
      <c r="P22">
        <v>14.9</v>
      </c>
      <c r="Q22">
        <v>18.100000000000001</v>
      </c>
      <c r="R22">
        <v>10.9</v>
      </c>
      <c r="S22">
        <f t="shared" si="1"/>
        <v>64</v>
      </c>
      <c r="T22" t="s">
        <v>48</v>
      </c>
      <c r="U22">
        <f t="shared" si="2"/>
        <v>0.152</v>
      </c>
      <c r="V22">
        <f t="shared" si="0"/>
        <v>0.13900000000000001</v>
      </c>
      <c r="W22">
        <f t="shared" si="0"/>
        <v>0.11900000000000001</v>
      </c>
      <c r="X22">
        <f t="shared" si="0"/>
        <v>0.107</v>
      </c>
      <c r="Y22">
        <f t="shared" si="0"/>
        <v>9.5000000000000001E-2</v>
      </c>
      <c r="Z22">
        <f t="shared" si="0"/>
        <v>0.09</v>
      </c>
      <c r="AA22">
        <f t="shared" si="0"/>
        <v>9.8000000000000004E-2</v>
      </c>
      <c r="AB22">
        <f t="shared" si="0"/>
        <v>0.14899999999999999</v>
      </c>
      <c r="AC22">
        <f t="shared" si="0"/>
        <v>0.18100000000000002</v>
      </c>
      <c r="AD22">
        <f t="shared" si="0"/>
        <v>0.109</v>
      </c>
    </row>
    <row r="23" spans="1:30" x14ac:dyDescent="0.25">
      <c r="A23">
        <v>452</v>
      </c>
      <c r="B23">
        <v>63</v>
      </c>
      <c r="C23">
        <v>0</v>
      </c>
      <c r="D23">
        <v>14</v>
      </c>
      <c r="E23">
        <v>9</v>
      </c>
      <c r="F23">
        <v>2</v>
      </c>
      <c r="G23">
        <v>8</v>
      </c>
      <c r="H23">
        <v>22</v>
      </c>
      <c r="I23">
        <v>-5</v>
      </c>
      <c r="J23">
        <v>20.399999999999999</v>
      </c>
      <c r="K23">
        <v>21.5</v>
      </c>
      <c r="L23">
        <v>18.899999999999999</v>
      </c>
      <c r="M23">
        <v>17.7</v>
      </c>
      <c r="N23">
        <v>17.7</v>
      </c>
      <c r="O23">
        <v>18.100000000000001</v>
      </c>
      <c r="P23">
        <v>18.8</v>
      </c>
      <c r="Q23">
        <v>17.7</v>
      </c>
      <c r="R23">
        <v>10.9</v>
      </c>
      <c r="S23">
        <f t="shared" si="1"/>
        <v>63</v>
      </c>
      <c r="T23" t="s">
        <v>47</v>
      </c>
      <c r="U23" t="str">
        <f t="shared" si="2"/>
        <v/>
      </c>
      <c r="V23">
        <f t="shared" si="0"/>
        <v>0.20399999999999999</v>
      </c>
      <c r="W23">
        <f t="shared" si="0"/>
        <v>0.215</v>
      </c>
      <c r="X23">
        <f t="shared" si="0"/>
        <v>0.18899999999999997</v>
      </c>
      <c r="Y23">
        <f t="shared" si="0"/>
        <v>0.17699999999999999</v>
      </c>
      <c r="Z23">
        <f t="shared" si="0"/>
        <v>0.17699999999999999</v>
      </c>
      <c r="AA23">
        <f t="shared" si="0"/>
        <v>0.18100000000000002</v>
      </c>
      <c r="AB23">
        <f t="shared" si="0"/>
        <v>0.188</v>
      </c>
      <c r="AC23">
        <f t="shared" si="0"/>
        <v>0.17699999999999999</v>
      </c>
      <c r="AD23">
        <f t="shared" si="0"/>
        <v>0.109</v>
      </c>
    </row>
    <row r="24" spans="1:30" x14ac:dyDescent="0.25">
      <c r="A24">
        <v>451</v>
      </c>
      <c r="B24">
        <v>62</v>
      </c>
      <c r="C24">
        <v>0</v>
      </c>
      <c r="D24">
        <v>14</v>
      </c>
      <c r="E24">
        <v>9</v>
      </c>
      <c r="F24">
        <v>2</v>
      </c>
      <c r="G24">
        <v>8</v>
      </c>
      <c r="H24">
        <v>26</v>
      </c>
      <c r="I24">
        <v>24.5</v>
      </c>
      <c r="J24">
        <v>25</v>
      </c>
      <c r="K24">
        <v>24.1</v>
      </c>
      <c r="L24">
        <v>23.2</v>
      </c>
      <c r="M24">
        <v>21.4</v>
      </c>
      <c r="N24">
        <v>21</v>
      </c>
      <c r="O24">
        <v>21.6</v>
      </c>
      <c r="P24">
        <v>20.6</v>
      </c>
      <c r="Q24">
        <v>18.899999999999999</v>
      </c>
      <c r="R24">
        <v>11.6</v>
      </c>
      <c r="S24">
        <f t="shared" si="1"/>
        <v>62</v>
      </c>
      <c r="T24" t="s">
        <v>46</v>
      </c>
      <c r="U24">
        <f t="shared" si="2"/>
        <v>0.245</v>
      </c>
      <c r="V24">
        <f t="shared" si="0"/>
        <v>0.25</v>
      </c>
      <c r="W24">
        <f t="shared" si="0"/>
        <v>0.24100000000000002</v>
      </c>
      <c r="X24">
        <f t="shared" si="0"/>
        <v>0.23199999999999998</v>
      </c>
      <c r="Y24">
        <f t="shared" si="0"/>
        <v>0.214</v>
      </c>
      <c r="Z24">
        <f t="shared" si="0"/>
        <v>0.21</v>
      </c>
      <c r="AA24">
        <f t="shared" si="0"/>
        <v>0.21600000000000003</v>
      </c>
      <c r="AB24">
        <f t="shared" si="0"/>
        <v>0.20600000000000002</v>
      </c>
      <c r="AC24">
        <f t="shared" si="0"/>
        <v>0.18899999999999997</v>
      </c>
      <c r="AD24">
        <f t="shared" si="0"/>
        <v>0.11599999999999999</v>
      </c>
    </row>
    <row r="25" spans="1:30" x14ac:dyDescent="0.25">
      <c r="A25">
        <v>450</v>
      </c>
      <c r="B25">
        <v>61</v>
      </c>
      <c r="C25">
        <v>0</v>
      </c>
      <c r="D25">
        <v>14</v>
      </c>
      <c r="E25">
        <v>9</v>
      </c>
      <c r="F25">
        <v>2</v>
      </c>
      <c r="G25">
        <v>8</v>
      </c>
      <c r="H25">
        <v>31</v>
      </c>
      <c r="I25">
        <v>-5</v>
      </c>
      <c r="J25">
        <v>23.5</v>
      </c>
      <c r="K25">
        <v>23.2</v>
      </c>
      <c r="L25">
        <v>24.1</v>
      </c>
      <c r="M25">
        <v>22.7</v>
      </c>
      <c r="N25">
        <v>19.899999999999999</v>
      </c>
      <c r="O25">
        <v>19</v>
      </c>
      <c r="P25">
        <v>18.7</v>
      </c>
      <c r="Q25">
        <v>18.5</v>
      </c>
      <c r="R25">
        <v>12.1</v>
      </c>
      <c r="S25">
        <f t="shared" si="1"/>
        <v>61</v>
      </c>
      <c r="T25" t="s">
        <v>45</v>
      </c>
      <c r="U25" t="str">
        <f t="shared" si="2"/>
        <v/>
      </c>
      <c r="V25">
        <f t="shared" si="0"/>
        <v>0.23499999999999999</v>
      </c>
      <c r="W25">
        <f t="shared" si="0"/>
        <v>0.23199999999999998</v>
      </c>
      <c r="X25">
        <f t="shared" si="0"/>
        <v>0.24100000000000002</v>
      </c>
      <c r="Y25">
        <f t="shared" si="0"/>
        <v>0.22699999999999998</v>
      </c>
      <c r="Z25">
        <f t="shared" si="0"/>
        <v>0.19899999999999998</v>
      </c>
      <c r="AA25">
        <f t="shared" si="0"/>
        <v>0.19</v>
      </c>
      <c r="AB25">
        <f t="shared" si="0"/>
        <v>0.187</v>
      </c>
      <c r="AC25">
        <f t="shared" si="0"/>
        <v>0.185</v>
      </c>
      <c r="AD25">
        <f t="shared" si="0"/>
        <v>0.121</v>
      </c>
    </row>
    <row r="26" spans="1:30" x14ac:dyDescent="0.25">
      <c r="A26">
        <v>449</v>
      </c>
      <c r="B26">
        <v>60</v>
      </c>
      <c r="C26">
        <v>0</v>
      </c>
      <c r="D26">
        <v>14</v>
      </c>
      <c r="E26">
        <v>9</v>
      </c>
      <c r="F26">
        <v>2</v>
      </c>
      <c r="G26">
        <v>8</v>
      </c>
      <c r="H26">
        <v>30</v>
      </c>
      <c r="I26">
        <v>-5</v>
      </c>
      <c r="J26">
        <v>22.5</v>
      </c>
      <c r="K26">
        <v>19.899999999999999</v>
      </c>
      <c r="L26">
        <v>19.3</v>
      </c>
      <c r="M26">
        <v>17.8</v>
      </c>
      <c r="N26">
        <v>14.9</v>
      </c>
      <c r="O26">
        <v>12.9</v>
      </c>
      <c r="P26">
        <v>15.8</v>
      </c>
      <c r="Q26">
        <v>16.100000000000001</v>
      </c>
      <c r="R26">
        <v>11.1</v>
      </c>
      <c r="S26">
        <f t="shared" si="1"/>
        <v>60</v>
      </c>
      <c r="T26" t="s">
        <v>94</v>
      </c>
      <c r="U26" t="str">
        <f t="shared" si="2"/>
        <v/>
      </c>
      <c r="V26">
        <f t="shared" si="0"/>
        <v>0.22500000000000001</v>
      </c>
      <c r="W26">
        <f t="shared" si="0"/>
        <v>0.19899999999999998</v>
      </c>
      <c r="X26">
        <f t="shared" si="0"/>
        <v>0.193</v>
      </c>
      <c r="Y26">
        <f t="shared" si="0"/>
        <v>0.17800000000000002</v>
      </c>
      <c r="Z26">
        <f t="shared" si="0"/>
        <v>0.14899999999999999</v>
      </c>
      <c r="AA26">
        <f t="shared" si="0"/>
        <v>0.129</v>
      </c>
      <c r="AB26">
        <f t="shared" si="0"/>
        <v>0.158</v>
      </c>
      <c r="AC26">
        <f t="shared" si="0"/>
        <v>0.161</v>
      </c>
      <c r="AD26">
        <f t="shared" si="0"/>
        <v>0.111</v>
      </c>
    </row>
    <row r="27" spans="1:30" x14ac:dyDescent="0.25">
      <c r="A27">
        <v>448</v>
      </c>
      <c r="B27">
        <v>59</v>
      </c>
      <c r="C27">
        <v>0</v>
      </c>
      <c r="D27">
        <v>14</v>
      </c>
      <c r="E27">
        <v>9</v>
      </c>
      <c r="F27">
        <v>2</v>
      </c>
      <c r="G27">
        <v>8</v>
      </c>
      <c r="H27">
        <v>43</v>
      </c>
      <c r="I27">
        <v>21.4</v>
      </c>
      <c r="J27">
        <v>21</v>
      </c>
      <c r="K27">
        <v>19.3</v>
      </c>
      <c r="L27">
        <v>17.3</v>
      </c>
      <c r="M27">
        <v>15.2</v>
      </c>
      <c r="N27">
        <v>13.4</v>
      </c>
      <c r="O27">
        <v>12.4</v>
      </c>
      <c r="P27">
        <v>15.7</v>
      </c>
      <c r="Q27">
        <v>18</v>
      </c>
      <c r="R27">
        <v>12.6</v>
      </c>
      <c r="S27">
        <f t="shared" si="1"/>
        <v>59</v>
      </c>
      <c r="T27" t="s">
        <v>93</v>
      </c>
      <c r="U27">
        <f t="shared" si="2"/>
        <v>0.214</v>
      </c>
      <c r="V27">
        <f t="shared" si="0"/>
        <v>0.21</v>
      </c>
      <c r="W27">
        <f t="shared" si="0"/>
        <v>0.193</v>
      </c>
      <c r="X27">
        <f t="shared" si="0"/>
        <v>0.17300000000000001</v>
      </c>
      <c r="Y27">
        <f t="shared" si="0"/>
        <v>0.152</v>
      </c>
      <c r="Z27">
        <f t="shared" si="0"/>
        <v>0.13400000000000001</v>
      </c>
      <c r="AA27">
        <f t="shared" si="0"/>
        <v>0.124</v>
      </c>
      <c r="AB27">
        <f t="shared" si="0"/>
        <v>0.157</v>
      </c>
      <c r="AC27">
        <f t="shared" si="0"/>
        <v>0.18</v>
      </c>
      <c r="AD27">
        <f t="shared" si="0"/>
        <v>0.126</v>
      </c>
    </row>
    <row r="28" spans="1:30" x14ac:dyDescent="0.25">
      <c r="A28">
        <v>447</v>
      </c>
      <c r="B28">
        <v>58</v>
      </c>
      <c r="C28">
        <v>0</v>
      </c>
      <c r="D28">
        <v>14</v>
      </c>
      <c r="E28">
        <v>9</v>
      </c>
      <c r="F28">
        <v>2</v>
      </c>
      <c r="G28">
        <v>8</v>
      </c>
      <c r="H28">
        <v>40</v>
      </c>
      <c r="I28">
        <v>-5</v>
      </c>
      <c r="J28">
        <v>20.399999999999999</v>
      </c>
      <c r="K28">
        <v>19.899999999999999</v>
      </c>
      <c r="L28">
        <v>17.7</v>
      </c>
      <c r="M28">
        <v>17.399999999999999</v>
      </c>
      <c r="N28">
        <v>17.899999999999999</v>
      </c>
      <c r="O28">
        <v>15.6</v>
      </c>
      <c r="P28">
        <v>17.5</v>
      </c>
      <c r="Q28">
        <v>18.399999999999999</v>
      </c>
      <c r="R28">
        <v>13</v>
      </c>
      <c r="S28">
        <f t="shared" si="1"/>
        <v>58</v>
      </c>
      <c r="T28" t="s">
        <v>92</v>
      </c>
      <c r="U28" t="str">
        <f t="shared" si="2"/>
        <v/>
      </c>
      <c r="V28">
        <f t="shared" si="0"/>
        <v>0.20399999999999999</v>
      </c>
      <c r="W28">
        <f t="shared" si="0"/>
        <v>0.19899999999999998</v>
      </c>
      <c r="X28">
        <f t="shared" si="0"/>
        <v>0.17699999999999999</v>
      </c>
      <c r="Y28">
        <f t="shared" si="0"/>
        <v>0.17399999999999999</v>
      </c>
      <c r="Z28">
        <f t="shared" si="0"/>
        <v>0.17899999999999999</v>
      </c>
      <c r="AA28">
        <f t="shared" si="0"/>
        <v>0.156</v>
      </c>
      <c r="AB28">
        <f t="shared" si="0"/>
        <v>0.17499999999999999</v>
      </c>
      <c r="AC28">
        <f t="shared" si="0"/>
        <v>0.184</v>
      </c>
      <c r="AD28">
        <f t="shared" si="0"/>
        <v>0.13</v>
      </c>
    </row>
    <row r="29" spans="1:30" x14ac:dyDescent="0.25">
      <c r="A29">
        <v>446</v>
      </c>
      <c r="B29">
        <v>57</v>
      </c>
      <c r="C29">
        <v>0</v>
      </c>
      <c r="D29">
        <v>14</v>
      </c>
      <c r="E29">
        <v>9</v>
      </c>
      <c r="F29">
        <v>2</v>
      </c>
      <c r="G29">
        <v>8</v>
      </c>
      <c r="H29">
        <v>54</v>
      </c>
      <c r="I29">
        <v>17.100000000000001</v>
      </c>
      <c r="J29">
        <v>18.600000000000001</v>
      </c>
      <c r="K29">
        <v>25.2</v>
      </c>
      <c r="L29">
        <v>26.5</v>
      </c>
      <c r="M29">
        <v>25.8</v>
      </c>
      <c r="N29">
        <v>25.7</v>
      </c>
      <c r="O29">
        <v>22.9</v>
      </c>
      <c r="P29">
        <v>19.600000000000001</v>
      </c>
      <c r="Q29">
        <v>19.8</v>
      </c>
      <c r="R29">
        <v>14.7</v>
      </c>
      <c r="S29">
        <f t="shared" si="1"/>
        <v>57</v>
      </c>
      <c r="T29" t="s">
        <v>91</v>
      </c>
      <c r="U29">
        <f t="shared" si="2"/>
        <v>0.17100000000000001</v>
      </c>
      <c r="V29">
        <f t="shared" si="0"/>
        <v>0.18600000000000003</v>
      </c>
      <c r="W29">
        <f t="shared" si="0"/>
        <v>0.252</v>
      </c>
      <c r="X29">
        <f t="shared" si="0"/>
        <v>0.26500000000000001</v>
      </c>
      <c r="Y29">
        <f t="shared" si="0"/>
        <v>0.25800000000000001</v>
      </c>
      <c r="Z29">
        <f t="shared" si="0"/>
        <v>0.25700000000000001</v>
      </c>
      <c r="AA29">
        <f t="shared" si="0"/>
        <v>0.22899999999999998</v>
      </c>
      <c r="AB29">
        <f t="shared" si="0"/>
        <v>0.19600000000000001</v>
      </c>
      <c r="AC29">
        <f t="shared" si="0"/>
        <v>0.19800000000000001</v>
      </c>
      <c r="AD29">
        <f t="shared" si="0"/>
        <v>0.14699999999999999</v>
      </c>
    </row>
    <row r="30" spans="1:30" x14ac:dyDescent="0.25">
      <c r="A30">
        <v>445</v>
      </c>
      <c r="B30">
        <v>56</v>
      </c>
      <c r="C30">
        <v>0</v>
      </c>
      <c r="D30">
        <v>14</v>
      </c>
      <c r="E30">
        <v>9</v>
      </c>
      <c r="F30">
        <v>2</v>
      </c>
      <c r="G30">
        <v>8</v>
      </c>
      <c r="H30">
        <v>51</v>
      </c>
      <c r="I30">
        <v>21.3</v>
      </c>
      <c r="J30">
        <v>21.2</v>
      </c>
      <c r="K30">
        <v>21.1</v>
      </c>
      <c r="L30">
        <v>20.5</v>
      </c>
      <c r="M30">
        <v>20.399999999999999</v>
      </c>
      <c r="N30">
        <v>20</v>
      </c>
      <c r="O30">
        <v>20.399999999999999</v>
      </c>
      <c r="P30">
        <v>18.600000000000001</v>
      </c>
      <c r="Q30">
        <v>16.8</v>
      </c>
      <c r="R30">
        <v>11.4</v>
      </c>
      <c r="S30">
        <f t="shared" si="1"/>
        <v>56</v>
      </c>
      <c r="T30" t="s">
        <v>90</v>
      </c>
      <c r="U30">
        <f t="shared" si="2"/>
        <v>0.21299999999999999</v>
      </c>
      <c r="V30">
        <f t="shared" si="0"/>
        <v>0.21199999999999999</v>
      </c>
      <c r="W30">
        <f t="shared" si="0"/>
        <v>0.21100000000000002</v>
      </c>
      <c r="X30">
        <f t="shared" si="0"/>
        <v>0.20499999999999999</v>
      </c>
      <c r="Y30">
        <f t="shared" si="0"/>
        <v>0.20399999999999999</v>
      </c>
      <c r="Z30">
        <f t="shared" si="0"/>
        <v>0.2</v>
      </c>
      <c r="AA30">
        <f t="shared" si="0"/>
        <v>0.20399999999999999</v>
      </c>
      <c r="AB30">
        <f t="shared" si="0"/>
        <v>0.18600000000000003</v>
      </c>
      <c r="AC30">
        <f t="shared" si="0"/>
        <v>0.16800000000000001</v>
      </c>
      <c r="AD30">
        <f t="shared" si="0"/>
        <v>0.114</v>
      </c>
    </row>
    <row r="31" spans="1:30" x14ac:dyDescent="0.25">
      <c r="A31">
        <v>444</v>
      </c>
      <c r="B31">
        <v>55</v>
      </c>
      <c r="C31">
        <v>0</v>
      </c>
      <c r="D31">
        <v>14</v>
      </c>
      <c r="E31">
        <v>9</v>
      </c>
      <c r="F31">
        <v>2</v>
      </c>
      <c r="G31">
        <v>9</v>
      </c>
      <c r="H31">
        <v>3</v>
      </c>
      <c r="I31">
        <v>18.100000000000001</v>
      </c>
      <c r="J31">
        <v>18.2</v>
      </c>
      <c r="K31">
        <v>20.100000000000001</v>
      </c>
      <c r="L31">
        <v>22.5</v>
      </c>
      <c r="M31">
        <v>22.5</v>
      </c>
      <c r="N31">
        <v>22.1</v>
      </c>
      <c r="O31">
        <v>20.9</v>
      </c>
      <c r="P31">
        <v>18.399999999999999</v>
      </c>
      <c r="Q31">
        <v>18</v>
      </c>
      <c r="R31">
        <v>12.6</v>
      </c>
      <c r="S31">
        <f t="shared" si="1"/>
        <v>55</v>
      </c>
      <c r="T31" t="s">
        <v>89</v>
      </c>
      <c r="U31">
        <f t="shared" si="2"/>
        <v>0.18100000000000002</v>
      </c>
      <c r="V31">
        <f t="shared" si="0"/>
        <v>0.182</v>
      </c>
      <c r="W31">
        <f t="shared" si="0"/>
        <v>0.20100000000000001</v>
      </c>
      <c r="X31">
        <f t="shared" si="0"/>
        <v>0.22500000000000001</v>
      </c>
      <c r="Y31">
        <f t="shared" si="0"/>
        <v>0.22500000000000001</v>
      </c>
      <c r="Z31">
        <f t="shared" si="0"/>
        <v>0.221</v>
      </c>
      <c r="AA31">
        <f t="shared" si="0"/>
        <v>0.20899999999999999</v>
      </c>
      <c r="AB31">
        <f t="shared" si="0"/>
        <v>0.184</v>
      </c>
      <c r="AC31">
        <f t="shared" si="0"/>
        <v>0.18</v>
      </c>
      <c r="AD31">
        <f t="shared" si="0"/>
        <v>0.126</v>
      </c>
    </row>
    <row r="32" spans="1:30" x14ac:dyDescent="0.25">
      <c r="A32">
        <v>443</v>
      </c>
      <c r="B32">
        <v>54</v>
      </c>
      <c r="C32">
        <v>0</v>
      </c>
      <c r="D32">
        <v>14</v>
      </c>
      <c r="E32">
        <v>9</v>
      </c>
      <c r="F32">
        <v>2</v>
      </c>
      <c r="G32">
        <v>9</v>
      </c>
      <c r="H32">
        <v>0</v>
      </c>
      <c r="I32">
        <v>16.399999999999999</v>
      </c>
      <c r="J32">
        <v>16.7</v>
      </c>
      <c r="K32">
        <v>16</v>
      </c>
      <c r="L32">
        <v>18.3</v>
      </c>
      <c r="M32">
        <v>19.7</v>
      </c>
      <c r="N32">
        <v>19</v>
      </c>
      <c r="O32">
        <v>16.100000000000001</v>
      </c>
      <c r="P32">
        <v>16.2</v>
      </c>
      <c r="Q32">
        <v>17.3</v>
      </c>
      <c r="R32">
        <v>11.4</v>
      </c>
      <c r="S32">
        <f t="shared" si="1"/>
        <v>54</v>
      </c>
      <c r="T32" t="s">
        <v>36</v>
      </c>
      <c r="U32">
        <f t="shared" si="2"/>
        <v>0.16399999999999998</v>
      </c>
      <c r="V32">
        <f t="shared" si="0"/>
        <v>0.16699999999999998</v>
      </c>
      <c r="W32">
        <f t="shared" si="0"/>
        <v>0.16</v>
      </c>
      <c r="X32">
        <f t="shared" si="0"/>
        <v>0.183</v>
      </c>
      <c r="Y32">
        <f t="shared" si="0"/>
        <v>0.19699999999999998</v>
      </c>
      <c r="Z32">
        <f t="shared" si="0"/>
        <v>0.19</v>
      </c>
      <c r="AA32">
        <f t="shared" si="0"/>
        <v>0.161</v>
      </c>
      <c r="AB32">
        <f t="shared" si="0"/>
        <v>0.16200000000000001</v>
      </c>
      <c r="AC32">
        <f t="shared" si="0"/>
        <v>0.17300000000000001</v>
      </c>
      <c r="AD32">
        <f t="shared" si="0"/>
        <v>0.114</v>
      </c>
    </row>
    <row r="33" spans="1:30" x14ac:dyDescent="0.25">
      <c r="A33">
        <v>442</v>
      </c>
      <c r="B33">
        <v>53</v>
      </c>
      <c r="C33">
        <v>0</v>
      </c>
      <c r="D33">
        <v>14</v>
      </c>
      <c r="E33">
        <v>9</v>
      </c>
      <c r="F33">
        <v>2</v>
      </c>
      <c r="G33">
        <v>9</v>
      </c>
      <c r="H33">
        <v>12</v>
      </c>
      <c r="I33">
        <v>23.4</v>
      </c>
      <c r="J33">
        <v>22.7</v>
      </c>
      <c r="K33">
        <v>22.2</v>
      </c>
      <c r="L33">
        <v>22.2</v>
      </c>
      <c r="M33">
        <v>20.6</v>
      </c>
      <c r="N33">
        <v>19.100000000000001</v>
      </c>
      <c r="O33">
        <v>18.2</v>
      </c>
      <c r="P33">
        <v>15.3</v>
      </c>
      <c r="Q33">
        <v>15.7</v>
      </c>
      <c r="R33">
        <v>11.8</v>
      </c>
      <c r="S33">
        <f t="shared" si="1"/>
        <v>53</v>
      </c>
      <c r="T33" t="s">
        <v>88</v>
      </c>
      <c r="U33">
        <f t="shared" si="2"/>
        <v>0.23399999999999999</v>
      </c>
      <c r="V33">
        <f t="shared" si="0"/>
        <v>0.22699999999999998</v>
      </c>
      <c r="W33">
        <f t="shared" si="0"/>
        <v>0.222</v>
      </c>
      <c r="X33">
        <f t="shared" si="0"/>
        <v>0.222</v>
      </c>
      <c r="Y33">
        <f t="shared" si="0"/>
        <v>0.20600000000000002</v>
      </c>
      <c r="Z33">
        <f t="shared" si="0"/>
        <v>0.191</v>
      </c>
      <c r="AA33">
        <f t="shared" si="0"/>
        <v>0.182</v>
      </c>
      <c r="AB33">
        <f t="shared" si="0"/>
        <v>0.153</v>
      </c>
      <c r="AC33">
        <f t="shared" si="0"/>
        <v>0.157</v>
      </c>
      <c r="AD33">
        <f t="shared" si="0"/>
        <v>0.11800000000000001</v>
      </c>
    </row>
    <row r="34" spans="1:30" x14ac:dyDescent="0.25">
      <c r="A34">
        <v>441</v>
      </c>
      <c r="B34">
        <v>52</v>
      </c>
      <c r="C34">
        <v>0</v>
      </c>
      <c r="D34">
        <v>14</v>
      </c>
      <c r="E34">
        <v>9</v>
      </c>
      <c r="F34">
        <v>2</v>
      </c>
      <c r="G34">
        <v>9</v>
      </c>
      <c r="H34">
        <v>17</v>
      </c>
      <c r="I34">
        <v>-5</v>
      </c>
      <c r="J34">
        <v>20.2</v>
      </c>
      <c r="K34">
        <v>21</v>
      </c>
      <c r="L34">
        <v>26.4</v>
      </c>
      <c r="M34">
        <v>24.8</v>
      </c>
      <c r="N34">
        <v>21.5</v>
      </c>
      <c r="O34">
        <v>21.2</v>
      </c>
      <c r="P34">
        <v>18.8</v>
      </c>
      <c r="Q34">
        <v>19.8</v>
      </c>
      <c r="R34">
        <v>15.2</v>
      </c>
      <c r="S34">
        <f t="shared" si="1"/>
        <v>52</v>
      </c>
      <c r="T34" t="s">
        <v>87</v>
      </c>
      <c r="U34" t="str">
        <f t="shared" si="2"/>
        <v/>
      </c>
      <c r="V34">
        <f t="shared" si="0"/>
        <v>0.20199999999999999</v>
      </c>
      <c r="W34">
        <f t="shared" si="0"/>
        <v>0.21</v>
      </c>
      <c r="X34">
        <f t="shared" si="0"/>
        <v>0.26400000000000001</v>
      </c>
      <c r="Y34">
        <f t="shared" si="0"/>
        <v>0.248</v>
      </c>
      <c r="Z34">
        <f t="shared" si="0"/>
        <v>0.215</v>
      </c>
      <c r="AA34">
        <f t="shared" si="0"/>
        <v>0.21199999999999999</v>
      </c>
      <c r="AB34">
        <f t="shared" si="0"/>
        <v>0.188</v>
      </c>
      <c r="AC34">
        <f t="shared" si="0"/>
        <v>0.19800000000000001</v>
      </c>
      <c r="AD34">
        <f t="shared" si="0"/>
        <v>0.152</v>
      </c>
    </row>
    <row r="35" spans="1:30" x14ac:dyDescent="0.25">
      <c r="A35">
        <v>440</v>
      </c>
      <c r="B35">
        <v>51</v>
      </c>
      <c r="C35">
        <v>0</v>
      </c>
      <c r="D35">
        <v>14</v>
      </c>
      <c r="E35">
        <v>9</v>
      </c>
      <c r="F35">
        <v>2</v>
      </c>
      <c r="G35">
        <v>9</v>
      </c>
      <c r="H35">
        <v>26</v>
      </c>
      <c r="I35">
        <v>18.100000000000001</v>
      </c>
      <c r="J35">
        <v>18.600000000000001</v>
      </c>
      <c r="K35">
        <v>23.4</v>
      </c>
      <c r="L35">
        <v>23.5</v>
      </c>
      <c r="M35">
        <v>22.6</v>
      </c>
      <c r="N35">
        <v>19.5</v>
      </c>
      <c r="O35">
        <v>19</v>
      </c>
      <c r="P35">
        <v>19.399999999999999</v>
      </c>
      <c r="Q35">
        <v>20.100000000000001</v>
      </c>
      <c r="R35">
        <v>15</v>
      </c>
      <c r="S35">
        <f t="shared" si="1"/>
        <v>51</v>
      </c>
      <c r="T35" t="s">
        <v>86</v>
      </c>
      <c r="U35">
        <f t="shared" si="2"/>
        <v>0.18100000000000002</v>
      </c>
      <c r="V35">
        <f t="shared" si="0"/>
        <v>0.18600000000000003</v>
      </c>
      <c r="W35">
        <f t="shared" si="0"/>
        <v>0.23399999999999999</v>
      </c>
      <c r="X35">
        <f t="shared" si="0"/>
        <v>0.23499999999999999</v>
      </c>
      <c r="Y35">
        <f t="shared" si="0"/>
        <v>0.22600000000000001</v>
      </c>
      <c r="Z35">
        <f t="shared" si="0"/>
        <v>0.19500000000000001</v>
      </c>
      <c r="AA35">
        <f t="shared" si="0"/>
        <v>0.19</v>
      </c>
      <c r="AB35">
        <f t="shared" si="0"/>
        <v>0.19399999999999998</v>
      </c>
      <c r="AC35">
        <f t="shared" si="0"/>
        <v>0.20100000000000001</v>
      </c>
      <c r="AD35">
        <f t="shared" si="0"/>
        <v>0.15</v>
      </c>
    </row>
    <row r="36" spans="1:30" x14ac:dyDescent="0.25">
      <c r="A36">
        <v>439</v>
      </c>
      <c r="B36">
        <v>50</v>
      </c>
      <c r="C36">
        <v>0</v>
      </c>
      <c r="D36">
        <v>14</v>
      </c>
      <c r="E36">
        <v>9</v>
      </c>
      <c r="F36">
        <v>2</v>
      </c>
      <c r="G36">
        <v>9</v>
      </c>
      <c r="H36">
        <v>30</v>
      </c>
      <c r="I36">
        <v>22</v>
      </c>
      <c r="J36">
        <v>22.2</v>
      </c>
      <c r="K36">
        <v>20.3</v>
      </c>
      <c r="L36">
        <v>24.7</v>
      </c>
      <c r="M36">
        <v>25</v>
      </c>
      <c r="N36">
        <v>22.3</v>
      </c>
      <c r="O36">
        <v>23.2</v>
      </c>
      <c r="P36">
        <v>22</v>
      </c>
      <c r="Q36">
        <v>22.2</v>
      </c>
      <c r="R36">
        <v>15.9</v>
      </c>
      <c r="S36">
        <f t="shared" si="1"/>
        <v>50</v>
      </c>
      <c r="T36" t="s">
        <v>39</v>
      </c>
      <c r="U36">
        <f t="shared" si="2"/>
        <v>0.22</v>
      </c>
      <c r="V36">
        <f t="shared" si="0"/>
        <v>0.222</v>
      </c>
      <c r="W36">
        <f t="shared" si="0"/>
        <v>0.20300000000000001</v>
      </c>
      <c r="X36">
        <f t="shared" si="0"/>
        <v>0.247</v>
      </c>
      <c r="Y36">
        <f t="shared" si="0"/>
        <v>0.25</v>
      </c>
      <c r="Z36">
        <f t="shared" si="0"/>
        <v>0.223</v>
      </c>
      <c r="AA36">
        <f t="shared" si="0"/>
        <v>0.23199999999999998</v>
      </c>
      <c r="AB36">
        <f t="shared" si="0"/>
        <v>0.22</v>
      </c>
      <c r="AC36">
        <f t="shared" si="0"/>
        <v>0.222</v>
      </c>
      <c r="AD36">
        <f t="shared" si="0"/>
        <v>0.159</v>
      </c>
    </row>
    <row r="37" spans="1:30" x14ac:dyDescent="0.25">
      <c r="A37">
        <v>438</v>
      </c>
      <c r="B37">
        <v>49</v>
      </c>
      <c r="C37">
        <v>0</v>
      </c>
      <c r="D37">
        <v>14</v>
      </c>
      <c r="E37">
        <v>9</v>
      </c>
      <c r="F37">
        <v>2</v>
      </c>
      <c r="G37">
        <v>9</v>
      </c>
      <c r="H37">
        <v>35</v>
      </c>
      <c r="I37">
        <v>-5</v>
      </c>
      <c r="J37">
        <v>24.7</v>
      </c>
      <c r="K37">
        <v>23.2</v>
      </c>
      <c r="L37">
        <v>22.3</v>
      </c>
      <c r="M37">
        <v>21.4</v>
      </c>
      <c r="N37">
        <v>16.7</v>
      </c>
      <c r="O37">
        <v>14.8</v>
      </c>
      <c r="P37">
        <v>18.100000000000001</v>
      </c>
      <c r="Q37">
        <v>19.100000000000001</v>
      </c>
      <c r="R37">
        <v>14.9</v>
      </c>
      <c r="S37">
        <f t="shared" si="1"/>
        <v>49</v>
      </c>
      <c r="T37" t="s">
        <v>72</v>
      </c>
      <c r="U37" t="str">
        <f t="shared" si="2"/>
        <v/>
      </c>
      <c r="V37">
        <f t="shared" si="0"/>
        <v>0.247</v>
      </c>
      <c r="W37">
        <f t="shared" si="0"/>
        <v>0.23199999999999998</v>
      </c>
      <c r="X37">
        <f t="shared" si="0"/>
        <v>0.223</v>
      </c>
      <c r="Y37">
        <f t="shared" si="0"/>
        <v>0.214</v>
      </c>
      <c r="Z37">
        <f t="shared" si="0"/>
        <v>0.16699999999999998</v>
      </c>
      <c r="AA37">
        <f t="shared" si="0"/>
        <v>0.14800000000000002</v>
      </c>
      <c r="AB37">
        <f t="shared" si="0"/>
        <v>0.18100000000000002</v>
      </c>
      <c r="AC37">
        <f t="shared" si="0"/>
        <v>0.191</v>
      </c>
      <c r="AD37">
        <f t="shared" si="0"/>
        <v>0.14899999999999999</v>
      </c>
    </row>
    <row r="38" spans="1:30" x14ac:dyDescent="0.25">
      <c r="A38">
        <v>437</v>
      </c>
      <c r="B38">
        <v>48</v>
      </c>
      <c r="C38">
        <v>0</v>
      </c>
      <c r="D38">
        <v>14</v>
      </c>
      <c r="E38">
        <v>9</v>
      </c>
      <c r="F38">
        <v>2</v>
      </c>
      <c r="G38">
        <v>9</v>
      </c>
      <c r="H38">
        <v>45</v>
      </c>
      <c r="I38">
        <v>23.1</v>
      </c>
      <c r="J38">
        <v>24.2</v>
      </c>
      <c r="K38">
        <v>25.4</v>
      </c>
      <c r="L38">
        <v>25.4</v>
      </c>
      <c r="M38">
        <v>21.7</v>
      </c>
      <c r="N38">
        <v>19.5</v>
      </c>
      <c r="O38">
        <v>15.9</v>
      </c>
      <c r="P38">
        <v>18.2</v>
      </c>
      <c r="Q38">
        <v>19.8</v>
      </c>
      <c r="R38">
        <v>15.7</v>
      </c>
      <c r="S38">
        <f t="shared" si="1"/>
        <v>48</v>
      </c>
      <c r="T38" t="s">
        <v>38</v>
      </c>
      <c r="U38">
        <f t="shared" si="2"/>
        <v>0.23100000000000001</v>
      </c>
      <c r="V38">
        <f t="shared" si="0"/>
        <v>0.24199999999999999</v>
      </c>
      <c r="W38">
        <f t="shared" si="0"/>
        <v>0.254</v>
      </c>
      <c r="X38">
        <f t="shared" si="0"/>
        <v>0.254</v>
      </c>
      <c r="Y38">
        <f t="shared" si="0"/>
        <v>0.217</v>
      </c>
      <c r="Z38">
        <f t="shared" si="0"/>
        <v>0.19500000000000001</v>
      </c>
      <c r="AA38">
        <f t="shared" si="0"/>
        <v>0.159</v>
      </c>
      <c r="AB38">
        <f t="shared" si="0"/>
        <v>0.182</v>
      </c>
      <c r="AC38">
        <f t="shared" si="0"/>
        <v>0.19800000000000001</v>
      </c>
      <c r="AD38">
        <f t="shared" si="0"/>
        <v>0.157</v>
      </c>
    </row>
    <row r="39" spans="1:30" x14ac:dyDescent="0.25">
      <c r="A39">
        <v>436</v>
      </c>
      <c r="B39">
        <v>47</v>
      </c>
      <c r="C39">
        <v>0</v>
      </c>
      <c r="D39">
        <v>14</v>
      </c>
      <c r="E39">
        <v>9</v>
      </c>
      <c r="F39">
        <v>2</v>
      </c>
      <c r="G39">
        <v>9</v>
      </c>
      <c r="H39">
        <v>51</v>
      </c>
      <c r="I39">
        <v>22.3</v>
      </c>
      <c r="J39">
        <v>21.6</v>
      </c>
      <c r="K39">
        <v>23.7</v>
      </c>
      <c r="L39">
        <v>25.5</v>
      </c>
      <c r="M39">
        <v>23.9</v>
      </c>
      <c r="N39">
        <v>22.5</v>
      </c>
      <c r="O39">
        <v>20.5</v>
      </c>
      <c r="P39">
        <v>17.3</v>
      </c>
      <c r="Q39">
        <v>19.7</v>
      </c>
      <c r="R39">
        <v>13.4</v>
      </c>
      <c r="S39">
        <f t="shared" si="1"/>
        <v>47</v>
      </c>
      <c r="T39" t="s">
        <v>85</v>
      </c>
      <c r="U39">
        <f t="shared" si="2"/>
        <v>0.223</v>
      </c>
      <c r="V39">
        <f t="shared" si="0"/>
        <v>0.21600000000000003</v>
      </c>
      <c r="W39">
        <f t="shared" si="0"/>
        <v>0.23699999999999999</v>
      </c>
      <c r="X39">
        <f t="shared" si="0"/>
        <v>0.255</v>
      </c>
      <c r="Y39">
        <f t="shared" si="0"/>
        <v>0.23899999999999999</v>
      </c>
      <c r="Z39">
        <f t="shared" si="0"/>
        <v>0.22500000000000001</v>
      </c>
      <c r="AA39">
        <f t="shared" si="0"/>
        <v>0.20499999999999999</v>
      </c>
      <c r="AB39">
        <f t="shared" si="0"/>
        <v>0.17300000000000001</v>
      </c>
      <c r="AC39">
        <f t="shared" si="0"/>
        <v>0.19699999999999998</v>
      </c>
      <c r="AD39">
        <f t="shared" si="0"/>
        <v>0.13400000000000001</v>
      </c>
    </row>
    <row r="40" spans="1:30" x14ac:dyDescent="0.25">
      <c r="A40">
        <v>435</v>
      </c>
      <c r="B40">
        <v>46</v>
      </c>
      <c r="C40">
        <v>0</v>
      </c>
      <c r="D40">
        <v>14</v>
      </c>
      <c r="E40">
        <v>9</v>
      </c>
      <c r="F40">
        <v>2</v>
      </c>
      <c r="G40">
        <v>9</v>
      </c>
      <c r="H40">
        <v>55</v>
      </c>
      <c r="I40">
        <v>-5</v>
      </c>
      <c r="J40">
        <v>24.6</v>
      </c>
      <c r="K40">
        <v>26</v>
      </c>
      <c r="L40">
        <v>26.6</v>
      </c>
      <c r="M40">
        <v>24.8</v>
      </c>
      <c r="N40">
        <v>23.7</v>
      </c>
      <c r="O40">
        <v>23.5</v>
      </c>
      <c r="P40">
        <v>18.100000000000001</v>
      </c>
      <c r="Q40">
        <v>17.3</v>
      </c>
      <c r="R40">
        <v>12.8</v>
      </c>
      <c r="S40">
        <f t="shared" si="1"/>
        <v>46</v>
      </c>
      <c r="T40" t="s">
        <v>84</v>
      </c>
      <c r="U40" t="str">
        <f t="shared" si="2"/>
        <v/>
      </c>
      <c r="V40">
        <f t="shared" si="0"/>
        <v>0.24600000000000002</v>
      </c>
      <c r="W40">
        <f t="shared" si="0"/>
        <v>0.26</v>
      </c>
      <c r="X40">
        <f t="shared" si="0"/>
        <v>0.26600000000000001</v>
      </c>
      <c r="Y40">
        <f t="shared" si="0"/>
        <v>0.248</v>
      </c>
      <c r="Z40">
        <f t="shared" si="0"/>
        <v>0.23699999999999999</v>
      </c>
      <c r="AA40">
        <f t="shared" si="0"/>
        <v>0.23499999999999999</v>
      </c>
      <c r="AB40">
        <f t="shared" si="0"/>
        <v>0.18100000000000002</v>
      </c>
      <c r="AC40">
        <f t="shared" si="0"/>
        <v>0.17300000000000001</v>
      </c>
      <c r="AD40">
        <f t="shared" si="0"/>
        <v>0.128</v>
      </c>
    </row>
    <row r="41" spans="1:30" x14ac:dyDescent="0.25">
      <c r="A41">
        <v>434</v>
      </c>
      <c r="B41">
        <v>45</v>
      </c>
      <c r="C41">
        <v>0</v>
      </c>
      <c r="D41">
        <v>14</v>
      </c>
      <c r="E41">
        <v>9</v>
      </c>
      <c r="F41">
        <v>2</v>
      </c>
      <c r="G41">
        <v>10</v>
      </c>
      <c r="H41">
        <v>0</v>
      </c>
      <c r="I41">
        <v>-5</v>
      </c>
      <c r="J41">
        <v>25.3</v>
      </c>
      <c r="K41">
        <v>24.5</v>
      </c>
      <c r="L41">
        <v>26.1</v>
      </c>
      <c r="M41">
        <v>23.6</v>
      </c>
      <c r="N41">
        <v>24.5</v>
      </c>
      <c r="O41">
        <v>21.9</v>
      </c>
      <c r="P41">
        <v>20.2</v>
      </c>
      <c r="Q41">
        <v>20.5</v>
      </c>
      <c r="R41">
        <v>15.3</v>
      </c>
      <c r="S41">
        <f t="shared" si="1"/>
        <v>45</v>
      </c>
      <c r="T41" t="s">
        <v>42</v>
      </c>
      <c r="U41" t="str">
        <f t="shared" si="2"/>
        <v/>
      </c>
      <c r="V41">
        <f t="shared" si="0"/>
        <v>0.253</v>
      </c>
      <c r="W41">
        <f t="shared" si="0"/>
        <v>0.245</v>
      </c>
      <c r="X41">
        <f t="shared" si="0"/>
        <v>0.26100000000000001</v>
      </c>
      <c r="Y41">
        <f t="shared" si="0"/>
        <v>0.23600000000000002</v>
      </c>
      <c r="Z41">
        <f t="shared" si="0"/>
        <v>0.245</v>
      </c>
      <c r="AA41">
        <f t="shared" si="0"/>
        <v>0.21899999999999997</v>
      </c>
      <c r="AB41">
        <f t="shared" si="0"/>
        <v>0.20199999999999999</v>
      </c>
      <c r="AC41">
        <f t="shared" si="0"/>
        <v>0.20499999999999999</v>
      </c>
      <c r="AD41">
        <f t="shared" si="0"/>
        <v>0.153</v>
      </c>
    </row>
    <row r="42" spans="1:30" x14ac:dyDescent="0.25">
      <c r="A42">
        <v>433</v>
      </c>
      <c r="B42">
        <v>44</v>
      </c>
      <c r="C42">
        <v>0</v>
      </c>
      <c r="D42">
        <v>14</v>
      </c>
      <c r="E42">
        <v>9</v>
      </c>
      <c r="F42">
        <v>2</v>
      </c>
      <c r="G42">
        <v>10</v>
      </c>
      <c r="H42">
        <v>4</v>
      </c>
      <c r="I42">
        <v>18.899999999999999</v>
      </c>
      <c r="J42">
        <v>16.7</v>
      </c>
      <c r="K42">
        <v>20.100000000000001</v>
      </c>
      <c r="L42">
        <v>23.5</v>
      </c>
      <c r="M42">
        <v>21.1</v>
      </c>
      <c r="N42">
        <v>18.899999999999999</v>
      </c>
      <c r="O42">
        <v>14.3</v>
      </c>
      <c r="P42">
        <v>13.5</v>
      </c>
      <c r="Q42">
        <v>14.8</v>
      </c>
      <c r="R42">
        <v>10.5</v>
      </c>
      <c r="S42">
        <f t="shared" si="1"/>
        <v>44</v>
      </c>
      <c r="T42" t="s">
        <v>83</v>
      </c>
      <c r="U42">
        <f t="shared" si="2"/>
        <v>0.18899999999999997</v>
      </c>
      <c r="V42">
        <f t="shared" si="0"/>
        <v>0.16699999999999998</v>
      </c>
      <c r="W42">
        <f t="shared" si="0"/>
        <v>0.20100000000000001</v>
      </c>
      <c r="X42">
        <f t="shared" si="0"/>
        <v>0.23499999999999999</v>
      </c>
      <c r="Y42">
        <f t="shared" si="0"/>
        <v>0.21100000000000002</v>
      </c>
      <c r="Z42">
        <f t="shared" si="0"/>
        <v>0.18899999999999997</v>
      </c>
      <c r="AA42">
        <f t="shared" si="0"/>
        <v>0.14300000000000002</v>
      </c>
      <c r="AB42">
        <f t="shared" si="0"/>
        <v>0.13500000000000001</v>
      </c>
      <c r="AC42">
        <f t="shared" si="0"/>
        <v>0.14800000000000002</v>
      </c>
      <c r="AD42">
        <f t="shared" si="0"/>
        <v>0.105</v>
      </c>
    </row>
    <row r="43" spans="1:30" x14ac:dyDescent="0.25">
      <c r="A43">
        <v>432</v>
      </c>
      <c r="B43">
        <v>43</v>
      </c>
      <c r="C43">
        <v>0</v>
      </c>
      <c r="D43">
        <v>14</v>
      </c>
      <c r="E43">
        <v>9</v>
      </c>
      <c r="F43">
        <v>2</v>
      </c>
      <c r="G43">
        <v>10</v>
      </c>
      <c r="H43">
        <v>1</v>
      </c>
      <c r="I43">
        <v>19.2</v>
      </c>
      <c r="J43">
        <v>18.100000000000001</v>
      </c>
      <c r="K43">
        <v>17.100000000000001</v>
      </c>
      <c r="L43">
        <v>19.7</v>
      </c>
      <c r="M43">
        <v>23.3</v>
      </c>
      <c r="N43">
        <v>23.1</v>
      </c>
      <c r="O43">
        <v>19</v>
      </c>
      <c r="P43">
        <v>16.7</v>
      </c>
      <c r="Q43">
        <v>17</v>
      </c>
      <c r="R43">
        <v>14.2</v>
      </c>
      <c r="S43">
        <f t="shared" si="1"/>
        <v>43</v>
      </c>
      <c r="T43" t="s">
        <v>82</v>
      </c>
      <c r="U43">
        <f t="shared" si="2"/>
        <v>0.192</v>
      </c>
      <c r="V43">
        <f t="shared" si="0"/>
        <v>0.18100000000000002</v>
      </c>
      <c r="W43">
        <f t="shared" si="0"/>
        <v>0.17100000000000001</v>
      </c>
      <c r="X43">
        <f t="shared" si="0"/>
        <v>0.19699999999999998</v>
      </c>
      <c r="Y43">
        <f t="shared" si="0"/>
        <v>0.23300000000000001</v>
      </c>
      <c r="Z43">
        <f t="shared" si="0"/>
        <v>0.23100000000000001</v>
      </c>
      <c r="AA43">
        <f t="shared" si="0"/>
        <v>0.19</v>
      </c>
      <c r="AB43">
        <f t="shared" si="0"/>
        <v>0.16699999999999998</v>
      </c>
      <c r="AC43">
        <f t="shared" si="0"/>
        <v>0.17</v>
      </c>
      <c r="AD43">
        <f t="shared" si="0"/>
        <v>0.14199999999999999</v>
      </c>
    </row>
    <row r="44" spans="1:30" x14ac:dyDescent="0.25">
      <c r="A44">
        <v>431</v>
      </c>
      <c r="B44">
        <v>42</v>
      </c>
      <c r="C44">
        <v>0</v>
      </c>
      <c r="D44">
        <v>14</v>
      </c>
      <c r="E44">
        <v>9</v>
      </c>
      <c r="F44">
        <v>2</v>
      </c>
      <c r="G44">
        <v>10</v>
      </c>
      <c r="H44">
        <v>14</v>
      </c>
      <c r="I44">
        <v>-5</v>
      </c>
      <c r="J44">
        <v>22.8</v>
      </c>
      <c r="K44">
        <v>17.8</v>
      </c>
      <c r="L44">
        <v>13.8</v>
      </c>
      <c r="M44">
        <v>11.4</v>
      </c>
      <c r="N44">
        <v>11.1</v>
      </c>
      <c r="O44">
        <v>10.4</v>
      </c>
      <c r="P44">
        <v>11.2</v>
      </c>
      <c r="Q44">
        <v>14.2</v>
      </c>
      <c r="R44">
        <v>9.8000000000000007</v>
      </c>
      <c r="S44">
        <f t="shared" si="1"/>
        <v>42</v>
      </c>
      <c r="T44" t="s">
        <v>44</v>
      </c>
      <c r="U44" t="str">
        <f t="shared" si="2"/>
        <v/>
      </c>
      <c r="V44">
        <f t="shared" si="0"/>
        <v>0.22800000000000001</v>
      </c>
      <c r="W44">
        <f t="shared" si="0"/>
        <v>0.17800000000000002</v>
      </c>
      <c r="X44">
        <f t="shared" si="0"/>
        <v>0.13800000000000001</v>
      </c>
      <c r="Y44">
        <f t="shared" si="0"/>
        <v>0.114</v>
      </c>
      <c r="Z44">
        <f t="shared" si="0"/>
        <v>0.111</v>
      </c>
      <c r="AA44">
        <f t="shared" si="0"/>
        <v>0.10400000000000001</v>
      </c>
      <c r="AB44">
        <f t="shared" si="0"/>
        <v>0.11199999999999999</v>
      </c>
      <c r="AC44">
        <f t="shared" si="0"/>
        <v>0.14199999999999999</v>
      </c>
      <c r="AD44">
        <f t="shared" si="0"/>
        <v>9.8000000000000004E-2</v>
      </c>
    </row>
    <row r="45" spans="1:30" x14ac:dyDescent="0.25">
      <c r="A45">
        <v>430</v>
      </c>
      <c r="B45">
        <v>41</v>
      </c>
      <c r="C45">
        <v>0</v>
      </c>
      <c r="D45">
        <v>14</v>
      </c>
      <c r="E45">
        <v>9</v>
      </c>
      <c r="F45">
        <v>2</v>
      </c>
      <c r="G45">
        <v>10</v>
      </c>
      <c r="H45">
        <v>10</v>
      </c>
      <c r="I45">
        <v>26.3</v>
      </c>
      <c r="J45">
        <v>25.7</v>
      </c>
      <c r="K45">
        <v>19.5</v>
      </c>
      <c r="L45">
        <v>17.3</v>
      </c>
      <c r="M45">
        <v>17.3</v>
      </c>
      <c r="N45">
        <v>15.3</v>
      </c>
      <c r="O45">
        <v>13.2</v>
      </c>
      <c r="P45">
        <v>12.2</v>
      </c>
      <c r="Q45">
        <v>14.2</v>
      </c>
      <c r="R45">
        <v>10.1</v>
      </c>
      <c r="S45">
        <f t="shared" si="1"/>
        <v>41</v>
      </c>
      <c r="T45" t="s">
        <v>43</v>
      </c>
      <c r="U45">
        <f t="shared" si="2"/>
        <v>0.26300000000000001</v>
      </c>
      <c r="V45">
        <f t="shared" si="0"/>
        <v>0.25700000000000001</v>
      </c>
      <c r="W45">
        <f t="shared" si="0"/>
        <v>0.19500000000000001</v>
      </c>
      <c r="X45">
        <f t="shared" si="0"/>
        <v>0.17300000000000001</v>
      </c>
      <c r="Y45">
        <f t="shared" si="0"/>
        <v>0.17300000000000001</v>
      </c>
      <c r="Z45">
        <f t="shared" si="0"/>
        <v>0.153</v>
      </c>
      <c r="AA45">
        <f t="shared" si="0"/>
        <v>0.13200000000000001</v>
      </c>
      <c r="AB45">
        <f t="shared" si="0"/>
        <v>0.122</v>
      </c>
      <c r="AC45">
        <f t="shared" si="0"/>
        <v>0.14199999999999999</v>
      </c>
      <c r="AD45">
        <f t="shared" si="0"/>
        <v>0.10099999999999999</v>
      </c>
    </row>
    <row r="46" spans="1:30" x14ac:dyDescent="0.25">
      <c r="A46">
        <v>429</v>
      </c>
      <c r="B46">
        <v>40</v>
      </c>
      <c r="C46">
        <v>0</v>
      </c>
      <c r="D46">
        <v>14</v>
      </c>
      <c r="E46">
        <v>9</v>
      </c>
      <c r="F46">
        <v>2</v>
      </c>
      <c r="G46">
        <v>10</v>
      </c>
      <c r="H46">
        <v>23</v>
      </c>
      <c r="I46">
        <v>-5</v>
      </c>
      <c r="J46">
        <v>25.2</v>
      </c>
      <c r="K46">
        <v>26.7</v>
      </c>
      <c r="L46">
        <v>22.2</v>
      </c>
      <c r="M46">
        <v>19</v>
      </c>
      <c r="N46">
        <v>18.8</v>
      </c>
      <c r="O46">
        <v>20.9</v>
      </c>
      <c r="P46">
        <v>20</v>
      </c>
      <c r="Q46">
        <v>17.399999999999999</v>
      </c>
      <c r="R46">
        <v>12.8</v>
      </c>
      <c r="S46">
        <f t="shared" si="1"/>
        <v>40</v>
      </c>
      <c r="T46" t="s">
        <v>41</v>
      </c>
      <c r="U46" t="str">
        <f t="shared" si="2"/>
        <v/>
      </c>
      <c r="V46">
        <f t="shared" si="0"/>
        <v>0.252</v>
      </c>
      <c r="W46">
        <f t="shared" si="0"/>
        <v>0.26700000000000002</v>
      </c>
      <c r="X46">
        <f t="shared" si="0"/>
        <v>0.222</v>
      </c>
      <c r="Y46">
        <f t="shared" si="0"/>
        <v>0.19</v>
      </c>
      <c r="Z46">
        <f t="shared" si="0"/>
        <v>0.188</v>
      </c>
      <c r="AA46">
        <f t="shared" si="0"/>
        <v>0.20899999999999999</v>
      </c>
      <c r="AB46">
        <f t="shared" si="0"/>
        <v>0.2</v>
      </c>
      <c r="AC46">
        <f t="shared" si="0"/>
        <v>0.17399999999999999</v>
      </c>
      <c r="AD46">
        <f t="shared" si="0"/>
        <v>0.128</v>
      </c>
    </row>
    <row r="47" spans="1:30" x14ac:dyDescent="0.25">
      <c r="A47">
        <v>428</v>
      </c>
      <c r="B47">
        <v>39</v>
      </c>
      <c r="C47">
        <v>0</v>
      </c>
      <c r="D47">
        <v>14</v>
      </c>
      <c r="E47">
        <v>9</v>
      </c>
      <c r="F47">
        <v>2</v>
      </c>
      <c r="G47">
        <v>10</v>
      </c>
      <c r="H47">
        <v>27</v>
      </c>
      <c r="I47">
        <v>-5</v>
      </c>
      <c r="J47">
        <v>21.7</v>
      </c>
      <c r="K47">
        <v>22</v>
      </c>
      <c r="L47">
        <v>21.3</v>
      </c>
      <c r="M47">
        <v>19.8</v>
      </c>
      <c r="N47">
        <v>19.2</v>
      </c>
      <c r="O47">
        <v>20.3</v>
      </c>
      <c r="P47">
        <v>15.9</v>
      </c>
      <c r="Q47">
        <v>18.7</v>
      </c>
      <c r="R47">
        <v>12.1</v>
      </c>
      <c r="S47">
        <f t="shared" si="1"/>
        <v>39</v>
      </c>
      <c r="T47" t="s">
        <v>40</v>
      </c>
      <c r="U47" t="str">
        <f t="shared" si="2"/>
        <v/>
      </c>
      <c r="V47">
        <f t="shared" si="0"/>
        <v>0.217</v>
      </c>
      <c r="W47">
        <f t="shared" si="0"/>
        <v>0.22</v>
      </c>
      <c r="X47">
        <f t="shared" si="0"/>
        <v>0.21299999999999999</v>
      </c>
      <c r="Y47">
        <f t="shared" si="0"/>
        <v>0.19800000000000001</v>
      </c>
      <c r="Z47">
        <f t="shared" si="0"/>
        <v>0.192</v>
      </c>
      <c r="AA47">
        <f t="shared" si="0"/>
        <v>0.20300000000000001</v>
      </c>
      <c r="AB47">
        <f t="shared" si="0"/>
        <v>0.159</v>
      </c>
      <c r="AC47">
        <f t="shared" si="0"/>
        <v>0.187</v>
      </c>
      <c r="AD47">
        <f t="shared" si="0"/>
        <v>0.121</v>
      </c>
    </row>
    <row r="48" spans="1:30" x14ac:dyDescent="0.25">
      <c r="A48">
        <v>427</v>
      </c>
      <c r="B48">
        <v>38</v>
      </c>
      <c r="C48">
        <v>0</v>
      </c>
      <c r="D48">
        <v>14</v>
      </c>
      <c r="E48">
        <v>9</v>
      </c>
      <c r="F48">
        <v>2</v>
      </c>
      <c r="G48">
        <v>10</v>
      </c>
      <c r="H48">
        <v>33</v>
      </c>
      <c r="I48">
        <v>-5</v>
      </c>
      <c r="J48">
        <v>25.8</v>
      </c>
      <c r="K48">
        <v>25.6</v>
      </c>
      <c r="L48">
        <v>24</v>
      </c>
      <c r="M48">
        <v>21.1</v>
      </c>
      <c r="N48">
        <v>20</v>
      </c>
      <c r="O48">
        <v>19.3</v>
      </c>
      <c r="P48">
        <v>16.100000000000001</v>
      </c>
      <c r="Q48">
        <v>18.100000000000001</v>
      </c>
      <c r="R48">
        <v>14.4</v>
      </c>
      <c r="S48">
        <f t="shared" si="1"/>
        <v>38</v>
      </c>
      <c r="T48" t="s">
        <v>37</v>
      </c>
      <c r="U48" t="str">
        <f t="shared" si="2"/>
        <v/>
      </c>
      <c r="V48">
        <f t="shared" si="0"/>
        <v>0.25800000000000001</v>
      </c>
      <c r="W48">
        <f t="shared" si="0"/>
        <v>0.25600000000000001</v>
      </c>
      <c r="X48">
        <f t="shared" si="0"/>
        <v>0.24</v>
      </c>
      <c r="Y48">
        <f t="shared" ref="Y48:AD55" si="3">IF(M48&lt;0,"",M48/100)</f>
        <v>0.21100000000000002</v>
      </c>
      <c r="Z48">
        <f t="shared" si="3"/>
        <v>0.2</v>
      </c>
      <c r="AA48">
        <f t="shared" si="3"/>
        <v>0.193</v>
      </c>
      <c r="AB48">
        <f t="shared" si="3"/>
        <v>0.161</v>
      </c>
      <c r="AC48">
        <f t="shared" si="3"/>
        <v>0.18100000000000002</v>
      </c>
      <c r="AD48">
        <f t="shared" si="3"/>
        <v>0.14400000000000002</v>
      </c>
    </row>
    <row r="49" spans="1:30" x14ac:dyDescent="0.25">
      <c r="A49">
        <v>426</v>
      </c>
      <c r="B49">
        <v>37</v>
      </c>
      <c r="C49">
        <v>0</v>
      </c>
      <c r="D49">
        <v>14</v>
      </c>
      <c r="E49">
        <v>9</v>
      </c>
      <c r="F49">
        <v>2</v>
      </c>
      <c r="G49">
        <v>10</v>
      </c>
      <c r="H49">
        <v>37</v>
      </c>
      <c r="I49">
        <v>-5</v>
      </c>
      <c r="J49">
        <v>25.3</v>
      </c>
      <c r="K49">
        <v>23.1</v>
      </c>
      <c r="L49">
        <v>18.2</v>
      </c>
      <c r="M49">
        <v>16.5</v>
      </c>
      <c r="N49">
        <v>16.3</v>
      </c>
      <c r="O49">
        <v>17.5</v>
      </c>
      <c r="P49">
        <v>17.899999999999999</v>
      </c>
      <c r="Q49">
        <v>18.899999999999999</v>
      </c>
      <c r="R49">
        <v>12.6</v>
      </c>
      <c r="S49">
        <f t="shared" si="1"/>
        <v>37</v>
      </c>
      <c r="T49" t="s">
        <v>35</v>
      </c>
      <c r="U49" t="str">
        <f t="shared" si="2"/>
        <v/>
      </c>
      <c r="V49">
        <f t="shared" si="2"/>
        <v>0.253</v>
      </c>
      <c r="W49">
        <f t="shared" si="2"/>
        <v>0.23100000000000001</v>
      </c>
      <c r="X49">
        <f t="shared" si="2"/>
        <v>0.182</v>
      </c>
      <c r="Y49">
        <f t="shared" si="3"/>
        <v>0.16500000000000001</v>
      </c>
      <c r="Z49">
        <f t="shared" si="3"/>
        <v>0.16300000000000001</v>
      </c>
      <c r="AA49">
        <f t="shared" si="3"/>
        <v>0.17499999999999999</v>
      </c>
      <c r="AB49">
        <f t="shared" si="3"/>
        <v>0.17899999999999999</v>
      </c>
      <c r="AC49">
        <f t="shared" si="3"/>
        <v>0.18899999999999997</v>
      </c>
      <c r="AD49">
        <f t="shared" si="3"/>
        <v>0.126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P103"/>
  <sheetViews>
    <sheetView topLeftCell="A38" workbookViewId="0">
      <selection activeCell="A93" sqref="A93:XFD93"/>
    </sheetView>
  </sheetViews>
  <sheetFormatPr defaultRowHeight="15" x14ac:dyDescent="0.25"/>
  <sheetData>
    <row r="1" spans="2:8" x14ac:dyDescent="0.25">
      <c r="B1" s="2">
        <v>41897</v>
      </c>
    </row>
    <row r="2" spans="2:8" x14ac:dyDescent="0.25">
      <c r="B2" t="s">
        <v>3</v>
      </c>
      <c r="C2">
        <v>6116</v>
      </c>
      <c r="D2" t="s">
        <v>4</v>
      </c>
      <c r="E2">
        <v>12847</v>
      </c>
      <c r="F2">
        <v>0</v>
      </c>
      <c r="G2">
        <v>10</v>
      </c>
    </row>
    <row r="3" spans="2:8" x14ac:dyDescent="0.25">
      <c r="B3">
        <v>0</v>
      </c>
      <c r="C3">
        <v>11</v>
      </c>
      <c r="D3">
        <v>8</v>
      </c>
      <c r="E3">
        <v>25</v>
      </c>
      <c r="F3">
        <v>21.641999999999999</v>
      </c>
      <c r="G3">
        <v>-4.968</v>
      </c>
      <c r="H3" t="s">
        <v>24</v>
      </c>
    </row>
    <row r="4" spans="2:8" x14ac:dyDescent="0.25">
      <c r="B4">
        <v>1</v>
      </c>
      <c r="C4">
        <v>95</v>
      </c>
      <c r="D4">
        <v>36280</v>
      </c>
      <c r="E4">
        <v>72</v>
      </c>
      <c r="F4">
        <v>0</v>
      </c>
      <c r="G4">
        <v>0</v>
      </c>
    </row>
    <row r="5" spans="2:8" x14ac:dyDescent="0.25">
      <c r="B5">
        <v>2</v>
      </c>
      <c r="C5">
        <v>95</v>
      </c>
      <c r="D5">
        <v>36280</v>
      </c>
      <c r="E5">
        <v>72</v>
      </c>
      <c r="F5">
        <v>0</v>
      </c>
      <c r="G5">
        <v>0</v>
      </c>
    </row>
    <row r="6" spans="2:8" x14ac:dyDescent="0.25">
      <c r="B6">
        <v>3</v>
      </c>
      <c r="C6">
        <v>95</v>
      </c>
      <c r="D6">
        <v>36280</v>
      </c>
      <c r="E6">
        <v>72</v>
      </c>
      <c r="F6">
        <v>0</v>
      </c>
      <c r="G6">
        <v>0</v>
      </c>
    </row>
    <row r="7" spans="2:8" x14ac:dyDescent="0.25">
      <c r="B7">
        <v>4</v>
      </c>
      <c r="C7">
        <v>95</v>
      </c>
      <c r="D7">
        <v>36280</v>
      </c>
      <c r="E7">
        <v>72</v>
      </c>
      <c r="F7">
        <v>0</v>
      </c>
      <c r="G7">
        <v>0</v>
      </c>
    </row>
    <row r="8" spans="2:8" x14ac:dyDescent="0.25">
      <c r="B8">
        <v>5</v>
      </c>
      <c r="C8">
        <v>95</v>
      </c>
      <c r="D8">
        <v>36280</v>
      </c>
      <c r="E8">
        <v>72</v>
      </c>
      <c r="F8">
        <v>0</v>
      </c>
      <c r="G8">
        <v>0</v>
      </c>
    </row>
    <row r="9" spans="2:8" x14ac:dyDescent="0.25">
      <c r="B9">
        <v>6</v>
      </c>
      <c r="C9">
        <v>95</v>
      </c>
      <c r="D9">
        <v>36280</v>
      </c>
      <c r="E9">
        <v>72</v>
      </c>
      <c r="F9">
        <v>0</v>
      </c>
      <c r="G9">
        <v>0</v>
      </c>
    </row>
    <row r="10" spans="2:8" x14ac:dyDescent="0.25">
      <c r="B10">
        <v>7</v>
      </c>
      <c r="C10">
        <v>95</v>
      </c>
      <c r="D10">
        <v>36280</v>
      </c>
      <c r="E10">
        <v>72</v>
      </c>
      <c r="F10">
        <v>0</v>
      </c>
      <c r="G10">
        <v>0</v>
      </c>
    </row>
    <row r="11" spans="2:8" x14ac:dyDescent="0.25">
      <c r="B11">
        <v>8</v>
      </c>
      <c r="C11">
        <v>95</v>
      </c>
      <c r="D11">
        <v>36280</v>
      </c>
      <c r="E11">
        <v>72</v>
      </c>
      <c r="F11">
        <v>0</v>
      </c>
      <c r="G11">
        <v>0</v>
      </c>
    </row>
    <row r="12" spans="2:8" x14ac:dyDescent="0.25">
      <c r="B12">
        <v>9</v>
      </c>
      <c r="C12">
        <v>95</v>
      </c>
      <c r="D12">
        <v>36280</v>
      </c>
      <c r="E12">
        <v>72</v>
      </c>
      <c r="F12">
        <v>0</v>
      </c>
      <c r="G12">
        <v>0</v>
      </c>
    </row>
    <row r="13" spans="2:8" x14ac:dyDescent="0.25">
      <c r="B13">
        <v>10</v>
      </c>
      <c r="C13">
        <v>95</v>
      </c>
      <c r="D13">
        <v>36280</v>
      </c>
      <c r="E13">
        <v>72</v>
      </c>
      <c r="F13">
        <v>0</v>
      </c>
      <c r="G13">
        <v>0</v>
      </c>
    </row>
    <row r="14" spans="2:8" x14ac:dyDescent="0.25">
      <c r="B14">
        <v>11</v>
      </c>
      <c r="C14">
        <v>95</v>
      </c>
      <c r="D14">
        <v>36280</v>
      </c>
      <c r="E14">
        <v>72</v>
      </c>
      <c r="F14">
        <v>0</v>
      </c>
      <c r="G14">
        <v>0</v>
      </c>
    </row>
    <row r="15" spans="2:8" x14ac:dyDescent="0.25">
      <c r="B15">
        <v>12</v>
      </c>
      <c r="C15">
        <v>95</v>
      </c>
      <c r="D15">
        <v>36280</v>
      </c>
      <c r="E15">
        <v>72</v>
      </c>
      <c r="F15">
        <v>0</v>
      </c>
      <c r="G15">
        <v>0</v>
      </c>
    </row>
    <row r="16" spans="2:8" x14ac:dyDescent="0.25">
      <c r="B16">
        <v>13</v>
      </c>
      <c r="C16">
        <v>95</v>
      </c>
      <c r="D16">
        <v>36280</v>
      </c>
      <c r="E16">
        <v>72</v>
      </c>
      <c r="F16">
        <v>0</v>
      </c>
      <c r="G16">
        <v>0</v>
      </c>
    </row>
    <row r="17" spans="2:31" x14ac:dyDescent="0.25">
      <c r="B17">
        <v>14</v>
      </c>
      <c r="C17">
        <v>95</v>
      </c>
      <c r="D17">
        <v>36280</v>
      </c>
      <c r="E17">
        <v>72</v>
      </c>
      <c r="F17">
        <v>0</v>
      </c>
      <c r="G17">
        <v>0</v>
      </c>
      <c r="AD17" s="4"/>
    </row>
    <row r="18" spans="2:31" x14ac:dyDescent="0.25">
      <c r="B18">
        <v>15</v>
      </c>
      <c r="C18">
        <v>95</v>
      </c>
      <c r="D18">
        <v>36280</v>
      </c>
      <c r="E18">
        <v>72</v>
      </c>
      <c r="F18">
        <v>0</v>
      </c>
      <c r="G18">
        <v>0</v>
      </c>
      <c r="T18" t="s">
        <v>0</v>
      </c>
      <c r="U18" t="s">
        <v>28</v>
      </c>
      <c r="V18">
        <v>190</v>
      </c>
      <c r="W18">
        <v>170</v>
      </c>
      <c r="X18">
        <v>150</v>
      </c>
      <c r="Y18">
        <v>130</v>
      </c>
      <c r="Z18">
        <v>110</v>
      </c>
      <c r="AA18">
        <v>90</v>
      </c>
      <c r="AB18">
        <v>70</v>
      </c>
      <c r="AC18">
        <v>50</v>
      </c>
      <c r="AD18">
        <v>30</v>
      </c>
      <c r="AE18">
        <v>10</v>
      </c>
    </row>
    <row r="19" spans="2:31" x14ac:dyDescent="0.25">
      <c r="B19">
        <v>455</v>
      </c>
      <c r="C19">
        <v>66</v>
      </c>
      <c r="D19">
        <v>0</v>
      </c>
      <c r="E19">
        <v>14</v>
      </c>
      <c r="F19">
        <v>9</v>
      </c>
      <c r="G19">
        <v>15</v>
      </c>
      <c r="H19">
        <v>7</v>
      </c>
      <c r="I19">
        <v>50</v>
      </c>
      <c r="J19">
        <v>18.8</v>
      </c>
      <c r="K19">
        <v>21.3</v>
      </c>
      <c r="L19">
        <v>18.2</v>
      </c>
      <c r="M19">
        <v>16.3</v>
      </c>
      <c r="N19">
        <v>14.4</v>
      </c>
      <c r="O19">
        <v>14.4</v>
      </c>
      <c r="P19">
        <v>14.4</v>
      </c>
      <c r="Q19">
        <v>14.9</v>
      </c>
      <c r="R19">
        <v>18.5</v>
      </c>
      <c r="S19">
        <v>13.4</v>
      </c>
      <c r="T19">
        <f>C19</f>
        <v>66</v>
      </c>
      <c r="U19" t="s">
        <v>50</v>
      </c>
      <c r="V19">
        <f>IF(J19&lt;0,"",J19/100)</f>
        <v>0.188</v>
      </c>
      <c r="W19">
        <f t="shared" ref="W19:AE47" si="0">IF(K19&lt;0,"",K19/100)</f>
        <v>0.21299999999999999</v>
      </c>
      <c r="X19">
        <f t="shared" si="0"/>
        <v>0.182</v>
      </c>
      <c r="Y19">
        <f t="shared" si="0"/>
        <v>0.16300000000000001</v>
      </c>
      <c r="Z19">
        <f t="shared" si="0"/>
        <v>0.14400000000000002</v>
      </c>
      <c r="AA19">
        <f t="shared" si="0"/>
        <v>0.14400000000000002</v>
      </c>
      <c r="AB19">
        <f t="shared" si="0"/>
        <v>0.14400000000000002</v>
      </c>
      <c r="AC19">
        <f t="shared" si="0"/>
        <v>0.14899999999999999</v>
      </c>
      <c r="AD19">
        <f t="shared" si="0"/>
        <v>0.185</v>
      </c>
      <c r="AE19">
        <f t="shared" si="0"/>
        <v>0.13400000000000001</v>
      </c>
    </row>
    <row r="20" spans="2:31" x14ac:dyDescent="0.25">
      <c r="B20">
        <v>454</v>
      </c>
      <c r="C20">
        <v>65</v>
      </c>
      <c r="D20">
        <v>0</v>
      </c>
      <c r="E20">
        <v>14</v>
      </c>
      <c r="F20">
        <v>9</v>
      </c>
      <c r="G20">
        <v>15</v>
      </c>
      <c r="H20">
        <v>7</v>
      </c>
      <c r="I20">
        <v>57</v>
      </c>
      <c r="J20">
        <v>17.2</v>
      </c>
      <c r="K20">
        <v>20</v>
      </c>
      <c r="L20">
        <v>20.8</v>
      </c>
      <c r="M20">
        <v>19.7</v>
      </c>
      <c r="N20">
        <v>16.7</v>
      </c>
      <c r="O20">
        <v>15.4</v>
      </c>
      <c r="P20">
        <v>13.6</v>
      </c>
      <c r="Q20">
        <v>14.6</v>
      </c>
      <c r="R20">
        <v>18.5</v>
      </c>
      <c r="S20">
        <v>14.9</v>
      </c>
      <c r="T20">
        <f t="shared" ref="T20:T48" si="1">C20</f>
        <v>65</v>
      </c>
      <c r="U20" t="s">
        <v>49</v>
      </c>
      <c r="V20">
        <f t="shared" ref="V20:V54" si="2">IF(J20&lt;0,"",J20/100)</f>
        <v>0.17199999999999999</v>
      </c>
      <c r="W20">
        <f t="shared" si="0"/>
        <v>0.2</v>
      </c>
      <c r="X20">
        <f t="shared" si="0"/>
        <v>0.20800000000000002</v>
      </c>
      <c r="Y20">
        <f t="shared" si="0"/>
        <v>0.19699999999999998</v>
      </c>
      <c r="Z20">
        <f t="shared" si="0"/>
        <v>0.16699999999999998</v>
      </c>
      <c r="AA20">
        <f t="shared" si="0"/>
        <v>0.154</v>
      </c>
      <c r="AB20">
        <f t="shared" si="0"/>
        <v>0.13600000000000001</v>
      </c>
      <c r="AC20">
        <f t="shared" si="0"/>
        <v>0.14599999999999999</v>
      </c>
      <c r="AD20">
        <f t="shared" si="0"/>
        <v>0.185</v>
      </c>
      <c r="AE20">
        <f t="shared" si="0"/>
        <v>0.14899999999999999</v>
      </c>
    </row>
    <row r="21" spans="2:31" x14ac:dyDescent="0.25">
      <c r="B21">
        <v>453</v>
      </c>
      <c r="C21">
        <v>64</v>
      </c>
      <c r="D21">
        <v>0</v>
      </c>
      <c r="E21">
        <v>14</v>
      </c>
      <c r="F21">
        <v>9</v>
      </c>
      <c r="G21">
        <v>15</v>
      </c>
      <c r="H21">
        <v>8</v>
      </c>
      <c r="I21">
        <v>3</v>
      </c>
      <c r="J21">
        <v>13.2</v>
      </c>
      <c r="K21">
        <v>12.1</v>
      </c>
      <c r="L21">
        <v>9.9</v>
      </c>
      <c r="M21">
        <v>9.4</v>
      </c>
      <c r="N21">
        <v>7.9</v>
      </c>
      <c r="O21">
        <v>8.6</v>
      </c>
      <c r="P21">
        <v>12.8</v>
      </c>
      <c r="Q21">
        <v>19.2</v>
      </c>
      <c r="R21">
        <v>20.7</v>
      </c>
      <c r="S21">
        <v>14.8</v>
      </c>
      <c r="T21">
        <f t="shared" si="1"/>
        <v>64</v>
      </c>
      <c r="U21" t="s">
        <v>48</v>
      </c>
      <c r="V21">
        <f t="shared" si="2"/>
        <v>0.13200000000000001</v>
      </c>
      <c r="W21">
        <f t="shared" si="0"/>
        <v>0.121</v>
      </c>
      <c r="X21">
        <f t="shared" si="0"/>
        <v>9.9000000000000005E-2</v>
      </c>
      <c r="Y21">
        <f t="shared" si="0"/>
        <v>9.4E-2</v>
      </c>
      <c r="Z21">
        <f t="shared" si="0"/>
        <v>7.9000000000000001E-2</v>
      </c>
      <c r="AA21">
        <f t="shared" si="0"/>
        <v>8.5999999999999993E-2</v>
      </c>
      <c r="AB21">
        <f t="shared" si="0"/>
        <v>0.128</v>
      </c>
      <c r="AC21">
        <f t="shared" si="0"/>
        <v>0.192</v>
      </c>
      <c r="AD21">
        <f t="shared" si="0"/>
        <v>0.20699999999999999</v>
      </c>
      <c r="AE21">
        <f t="shared" si="0"/>
        <v>0.14800000000000002</v>
      </c>
    </row>
    <row r="22" spans="2:31" x14ac:dyDescent="0.25">
      <c r="B22">
        <v>452</v>
      </c>
      <c r="C22">
        <v>63</v>
      </c>
      <c r="D22">
        <v>0</v>
      </c>
      <c r="E22">
        <v>14</v>
      </c>
      <c r="F22">
        <v>9</v>
      </c>
      <c r="G22">
        <v>15</v>
      </c>
      <c r="H22">
        <v>8</v>
      </c>
      <c r="I22">
        <v>1</v>
      </c>
      <c r="J22">
        <v>21.3</v>
      </c>
      <c r="K22">
        <v>19</v>
      </c>
      <c r="L22">
        <v>19.100000000000001</v>
      </c>
      <c r="M22">
        <v>17</v>
      </c>
      <c r="N22">
        <v>16</v>
      </c>
      <c r="O22">
        <v>16.7</v>
      </c>
      <c r="P22">
        <v>16.8</v>
      </c>
      <c r="Q22">
        <v>19.100000000000001</v>
      </c>
      <c r="R22">
        <v>22.2</v>
      </c>
      <c r="S22">
        <v>15.8</v>
      </c>
      <c r="T22">
        <f t="shared" si="1"/>
        <v>63</v>
      </c>
      <c r="U22" t="s">
        <v>47</v>
      </c>
      <c r="V22">
        <f t="shared" si="2"/>
        <v>0.21299999999999999</v>
      </c>
      <c r="W22">
        <f t="shared" si="0"/>
        <v>0.19</v>
      </c>
      <c r="X22">
        <f t="shared" si="0"/>
        <v>0.191</v>
      </c>
      <c r="Y22">
        <f t="shared" si="0"/>
        <v>0.17</v>
      </c>
      <c r="Z22">
        <f t="shared" si="0"/>
        <v>0.16</v>
      </c>
      <c r="AA22">
        <f t="shared" si="0"/>
        <v>0.16699999999999998</v>
      </c>
      <c r="AB22">
        <f t="shared" si="0"/>
        <v>0.16800000000000001</v>
      </c>
      <c r="AC22">
        <f t="shared" si="0"/>
        <v>0.191</v>
      </c>
      <c r="AD22">
        <f t="shared" si="0"/>
        <v>0.222</v>
      </c>
      <c r="AE22">
        <f t="shared" si="0"/>
        <v>0.158</v>
      </c>
    </row>
    <row r="23" spans="2:31" x14ac:dyDescent="0.25">
      <c r="B23">
        <v>451</v>
      </c>
      <c r="C23">
        <v>62</v>
      </c>
      <c r="D23">
        <v>0</v>
      </c>
      <c r="E23">
        <v>14</v>
      </c>
      <c r="F23">
        <v>9</v>
      </c>
      <c r="G23">
        <v>15</v>
      </c>
      <c r="H23">
        <v>8</v>
      </c>
      <c r="I23">
        <v>14</v>
      </c>
      <c r="J23">
        <v>22.7</v>
      </c>
      <c r="K23">
        <v>23.1</v>
      </c>
      <c r="L23">
        <v>22.6</v>
      </c>
      <c r="M23">
        <v>20.7</v>
      </c>
      <c r="N23">
        <v>19.2</v>
      </c>
      <c r="O23">
        <v>19.8</v>
      </c>
      <c r="P23">
        <v>19.600000000000001</v>
      </c>
      <c r="Q23">
        <v>20.399999999999999</v>
      </c>
      <c r="R23">
        <v>21.5</v>
      </c>
      <c r="S23">
        <v>16.600000000000001</v>
      </c>
      <c r="T23">
        <f t="shared" si="1"/>
        <v>62</v>
      </c>
      <c r="U23" t="s">
        <v>46</v>
      </c>
      <c r="V23">
        <f t="shared" si="2"/>
        <v>0.22699999999999998</v>
      </c>
      <c r="W23">
        <f t="shared" si="0"/>
        <v>0.23100000000000001</v>
      </c>
      <c r="X23">
        <f t="shared" si="0"/>
        <v>0.22600000000000001</v>
      </c>
      <c r="Y23">
        <f t="shared" si="0"/>
        <v>0.20699999999999999</v>
      </c>
      <c r="Z23">
        <f t="shared" si="0"/>
        <v>0.192</v>
      </c>
      <c r="AA23">
        <f t="shared" si="0"/>
        <v>0.19800000000000001</v>
      </c>
      <c r="AB23">
        <f t="shared" si="0"/>
        <v>0.19600000000000001</v>
      </c>
      <c r="AC23">
        <f t="shared" si="0"/>
        <v>0.20399999999999999</v>
      </c>
      <c r="AD23">
        <f t="shared" si="0"/>
        <v>0.215</v>
      </c>
      <c r="AE23">
        <f t="shared" si="0"/>
        <v>0.16600000000000001</v>
      </c>
    </row>
    <row r="24" spans="2:31" x14ac:dyDescent="0.25">
      <c r="B24">
        <v>450</v>
      </c>
      <c r="C24">
        <v>61</v>
      </c>
      <c r="D24">
        <v>0</v>
      </c>
      <c r="E24">
        <v>14</v>
      </c>
      <c r="F24">
        <v>9</v>
      </c>
      <c r="G24">
        <v>15</v>
      </c>
      <c r="H24">
        <v>8</v>
      </c>
      <c r="I24">
        <v>22</v>
      </c>
      <c r="J24">
        <v>-5</v>
      </c>
      <c r="K24">
        <v>22</v>
      </c>
      <c r="L24">
        <v>21.5</v>
      </c>
      <c r="M24">
        <v>22.4</v>
      </c>
      <c r="N24">
        <v>20.399999999999999</v>
      </c>
      <c r="O24">
        <v>17.600000000000001</v>
      </c>
      <c r="P24">
        <v>16.7</v>
      </c>
      <c r="Q24">
        <v>17.7</v>
      </c>
      <c r="R24">
        <v>19.8</v>
      </c>
      <c r="S24">
        <v>14.9</v>
      </c>
      <c r="T24">
        <f t="shared" si="1"/>
        <v>61</v>
      </c>
      <c r="U24" t="s">
        <v>45</v>
      </c>
      <c r="V24" t="str">
        <f t="shared" si="2"/>
        <v/>
      </c>
      <c r="W24">
        <f t="shared" si="0"/>
        <v>0.22</v>
      </c>
      <c r="X24">
        <f t="shared" si="0"/>
        <v>0.215</v>
      </c>
      <c r="Y24">
        <f t="shared" si="0"/>
        <v>0.22399999999999998</v>
      </c>
      <c r="Z24">
        <f t="shared" si="0"/>
        <v>0.20399999999999999</v>
      </c>
      <c r="AA24">
        <f t="shared" si="0"/>
        <v>0.17600000000000002</v>
      </c>
      <c r="AB24">
        <f t="shared" si="0"/>
        <v>0.16699999999999998</v>
      </c>
      <c r="AC24">
        <f t="shared" si="0"/>
        <v>0.17699999999999999</v>
      </c>
      <c r="AD24">
        <f t="shared" si="0"/>
        <v>0.19800000000000001</v>
      </c>
      <c r="AE24">
        <f t="shared" si="0"/>
        <v>0.14899999999999999</v>
      </c>
    </row>
    <row r="25" spans="2:31" x14ac:dyDescent="0.25">
      <c r="B25">
        <v>449</v>
      </c>
      <c r="C25">
        <v>60</v>
      </c>
      <c r="D25">
        <v>0</v>
      </c>
      <c r="E25">
        <v>14</v>
      </c>
      <c r="F25">
        <v>9</v>
      </c>
      <c r="G25">
        <v>15</v>
      </c>
      <c r="H25">
        <v>8</v>
      </c>
      <c r="I25">
        <v>31</v>
      </c>
      <c r="J25">
        <v>-5</v>
      </c>
      <c r="K25">
        <v>18.5</v>
      </c>
      <c r="L25">
        <v>16.600000000000001</v>
      </c>
      <c r="M25">
        <v>16.5</v>
      </c>
      <c r="N25">
        <v>16.100000000000001</v>
      </c>
      <c r="O25">
        <v>12.6</v>
      </c>
      <c r="P25">
        <v>12.5</v>
      </c>
      <c r="Q25">
        <v>14.9</v>
      </c>
      <c r="R25">
        <v>16.399999999999999</v>
      </c>
      <c r="S25">
        <v>13.2</v>
      </c>
      <c r="T25">
        <f t="shared" si="1"/>
        <v>60</v>
      </c>
      <c r="U25" t="s">
        <v>94</v>
      </c>
      <c r="V25" t="str">
        <f t="shared" si="2"/>
        <v/>
      </c>
      <c r="W25">
        <f t="shared" si="0"/>
        <v>0.185</v>
      </c>
      <c r="X25">
        <f t="shared" si="0"/>
        <v>0.16600000000000001</v>
      </c>
      <c r="Y25">
        <f t="shared" si="0"/>
        <v>0.16500000000000001</v>
      </c>
      <c r="Z25">
        <f t="shared" si="0"/>
        <v>0.161</v>
      </c>
      <c r="AA25">
        <f t="shared" si="0"/>
        <v>0.126</v>
      </c>
      <c r="AB25">
        <f t="shared" si="0"/>
        <v>0.125</v>
      </c>
      <c r="AC25">
        <f t="shared" si="0"/>
        <v>0.14899999999999999</v>
      </c>
      <c r="AD25">
        <f t="shared" si="0"/>
        <v>0.16399999999999998</v>
      </c>
      <c r="AE25">
        <f t="shared" si="0"/>
        <v>0.13200000000000001</v>
      </c>
    </row>
    <row r="26" spans="2:31" x14ac:dyDescent="0.25">
      <c r="B26">
        <v>448</v>
      </c>
      <c r="C26">
        <v>59</v>
      </c>
      <c r="D26">
        <v>0</v>
      </c>
      <c r="E26">
        <v>14</v>
      </c>
      <c r="F26">
        <v>9</v>
      </c>
      <c r="G26">
        <v>15</v>
      </c>
      <c r="H26">
        <v>8</v>
      </c>
      <c r="I26">
        <v>46</v>
      </c>
      <c r="J26">
        <v>18.899999999999999</v>
      </c>
      <c r="K26">
        <v>17.899999999999999</v>
      </c>
      <c r="L26">
        <v>15.7</v>
      </c>
      <c r="M26">
        <v>15</v>
      </c>
      <c r="N26">
        <v>13.5</v>
      </c>
      <c r="O26">
        <v>12</v>
      </c>
      <c r="P26">
        <v>11.4</v>
      </c>
      <c r="Q26">
        <v>14.6</v>
      </c>
      <c r="R26">
        <v>16.399999999999999</v>
      </c>
      <c r="S26">
        <v>13.6</v>
      </c>
      <c r="T26">
        <f t="shared" si="1"/>
        <v>59</v>
      </c>
      <c r="U26" t="s">
        <v>93</v>
      </c>
      <c r="V26">
        <f t="shared" si="2"/>
        <v>0.18899999999999997</v>
      </c>
      <c r="W26">
        <f t="shared" si="0"/>
        <v>0.17899999999999999</v>
      </c>
      <c r="X26">
        <f t="shared" si="0"/>
        <v>0.157</v>
      </c>
      <c r="Y26">
        <f t="shared" si="0"/>
        <v>0.15</v>
      </c>
      <c r="Z26">
        <f t="shared" si="0"/>
        <v>0.13500000000000001</v>
      </c>
      <c r="AA26">
        <f t="shared" si="0"/>
        <v>0.12</v>
      </c>
      <c r="AB26">
        <f t="shared" si="0"/>
        <v>0.114</v>
      </c>
      <c r="AC26">
        <f t="shared" si="0"/>
        <v>0.14599999999999999</v>
      </c>
      <c r="AD26">
        <f t="shared" si="0"/>
        <v>0.16399999999999998</v>
      </c>
      <c r="AE26">
        <f t="shared" si="0"/>
        <v>0.13600000000000001</v>
      </c>
    </row>
    <row r="27" spans="2:31" x14ac:dyDescent="0.25">
      <c r="B27">
        <v>447</v>
      </c>
      <c r="C27">
        <v>58</v>
      </c>
      <c r="D27">
        <v>0</v>
      </c>
      <c r="E27">
        <v>14</v>
      </c>
      <c r="F27">
        <v>9</v>
      </c>
      <c r="G27">
        <v>15</v>
      </c>
      <c r="H27">
        <v>8</v>
      </c>
      <c r="I27">
        <v>56</v>
      </c>
      <c r="J27">
        <v>-5</v>
      </c>
      <c r="K27">
        <v>17.7</v>
      </c>
      <c r="L27">
        <v>17.399999999999999</v>
      </c>
      <c r="M27">
        <v>16</v>
      </c>
      <c r="N27">
        <v>15.8</v>
      </c>
      <c r="O27">
        <v>15.6</v>
      </c>
      <c r="P27">
        <v>13.7</v>
      </c>
      <c r="Q27">
        <v>16.600000000000001</v>
      </c>
      <c r="R27">
        <v>18.3</v>
      </c>
      <c r="S27">
        <v>14</v>
      </c>
      <c r="T27">
        <f t="shared" si="1"/>
        <v>58</v>
      </c>
      <c r="U27" t="s">
        <v>92</v>
      </c>
      <c r="V27" t="str">
        <f t="shared" si="2"/>
        <v/>
      </c>
      <c r="W27">
        <f t="shared" si="0"/>
        <v>0.17699999999999999</v>
      </c>
      <c r="X27">
        <f t="shared" si="0"/>
        <v>0.17399999999999999</v>
      </c>
      <c r="Y27">
        <f t="shared" si="0"/>
        <v>0.16</v>
      </c>
      <c r="Z27">
        <f t="shared" si="0"/>
        <v>0.158</v>
      </c>
      <c r="AA27">
        <f t="shared" si="0"/>
        <v>0.156</v>
      </c>
      <c r="AB27">
        <f t="shared" si="0"/>
        <v>0.13699999999999998</v>
      </c>
      <c r="AC27">
        <f t="shared" si="0"/>
        <v>0.16600000000000001</v>
      </c>
      <c r="AD27">
        <f t="shared" si="0"/>
        <v>0.183</v>
      </c>
      <c r="AE27">
        <f t="shared" si="0"/>
        <v>0.14000000000000001</v>
      </c>
    </row>
    <row r="28" spans="2:31" x14ac:dyDescent="0.25">
      <c r="B28">
        <v>446</v>
      </c>
      <c r="C28">
        <v>57</v>
      </c>
      <c r="D28">
        <v>0</v>
      </c>
      <c r="E28">
        <v>14</v>
      </c>
      <c r="F28">
        <v>9</v>
      </c>
      <c r="G28">
        <v>15</v>
      </c>
      <c r="H28">
        <v>9</v>
      </c>
      <c r="I28">
        <v>1</v>
      </c>
      <c r="J28">
        <v>15.3</v>
      </c>
      <c r="K28">
        <v>17.899999999999999</v>
      </c>
      <c r="L28">
        <v>24.2</v>
      </c>
      <c r="M28">
        <v>24.7</v>
      </c>
      <c r="N28">
        <v>22.8</v>
      </c>
      <c r="O28">
        <v>21.7</v>
      </c>
      <c r="P28">
        <v>19.5</v>
      </c>
      <c r="Q28">
        <v>19.3</v>
      </c>
      <c r="R28">
        <v>19.899999999999999</v>
      </c>
      <c r="S28">
        <v>14.5</v>
      </c>
      <c r="T28">
        <f t="shared" si="1"/>
        <v>57</v>
      </c>
      <c r="U28" t="s">
        <v>91</v>
      </c>
      <c r="V28">
        <f t="shared" si="2"/>
        <v>0.153</v>
      </c>
      <c r="W28">
        <f t="shared" si="0"/>
        <v>0.17899999999999999</v>
      </c>
      <c r="X28">
        <f t="shared" si="0"/>
        <v>0.24199999999999999</v>
      </c>
      <c r="Y28">
        <f t="shared" si="0"/>
        <v>0.247</v>
      </c>
      <c r="Z28">
        <f t="shared" si="0"/>
        <v>0.22800000000000001</v>
      </c>
      <c r="AA28">
        <f t="shared" si="0"/>
        <v>0.217</v>
      </c>
      <c r="AB28">
        <f t="shared" si="0"/>
        <v>0.19500000000000001</v>
      </c>
      <c r="AC28">
        <f t="shared" si="0"/>
        <v>0.193</v>
      </c>
      <c r="AD28">
        <f t="shared" si="0"/>
        <v>0.19899999999999998</v>
      </c>
      <c r="AE28">
        <f t="shared" si="0"/>
        <v>0.14499999999999999</v>
      </c>
    </row>
    <row r="29" spans="2:31" x14ac:dyDescent="0.25">
      <c r="B29">
        <v>445</v>
      </c>
      <c r="C29">
        <v>56</v>
      </c>
      <c r="D29">
        <v>0</v>
      </c>
      <c r="E29">
        <v>14</v>
      </c>
      <c r="F29">
        <v>9</v>
      </c>
      <c r="G29">
        <v>15</v>
      </c>
      <c r="H29">
        <v>9</v>
      </c>
      <c r="I29">
        <v>7</v>
      </c>
      <c r="J29">
        <v>19.100000000000001</v>
      </c>
      <c r="K29">
        <v>19.7</v>
      </c>
      <c r="L29">
        <v>17.899999999999999</v>
      </c>
      <c r="M29">
        <v>18.100000000000001</v>
      </c>
      <c r="N29">
        <v>18.100000000000001</v>
      </c>
      <c r="O29">
        <v>18.600000000000001</v>
      </c>
      <c r="P29">
        <v>19.899999999999999</v>
      </c>
      <c r="Q29">
        <v>16.8</v>
      </c>
      <c r="R29">
        <v>17.8</v>
      </c>
      <c r="S29">
        <v>12</v>
      </c>
      <c r="T29">
        <f t="shared" si="1"/>
        <v>56</v>
      </c>
      <c r="U29" t="s">
        <v>90</v>
      </c>
      <c r="V29">
        <f t="shared" si="2"/>
        <v>0.191</v>
      </c>
      <c r="W29">
        <f t="shared" si="0"/>
        <v>0.19699999999999998</v>
      </c>
      <c r="X29">
        <f t="shared" si="0"/>
        <v>0.17899999999999999</v>
      </c>
      <c r="Y29">
        <f t="shared" si="0"/>
        <v>0.18100000000000002</v>
      </c>
      <c r="Z29">
        <f t="shared" si="0"/>
        <v>0.18100000000000002</v>
      </c>
      <c r="AA29">
        <f t="shared" si="0"/>
        <v>0.18600000000000003</v>
      </c>
      <c r="AB29">
        <f t="shared" si="0"/>
        <v>0.19899999999999998</v>
      </c>
      <c r="AC29">
        <f t="shared" si="0"/>
        <v>0.16800000000000001</v>
      </c>
      <c r="AD29">
        <f t="shared" si="0"/>
        <v>0.17800000000000002</v>
      </c>
      <c r="AE29">
        <f t="shared" si="0"/>
        <v>0.12</v>
      </c>
    </row>
    <row r="30" spans="2:31" x14ac:dyDescent="0.25">
      <c r="B30">
        <v>444</v>
      </c>
      <c r="C30">
        <v>55</v>
      </c>
      <c r="D30">
        <v>0</v>
      </c>
      <c r="E30">
        <v>14</v>
      </c>
      <c r="F30">
        <v>9</v>
      </c>
      <c r="G30">
        <v>15</v>
      </c>
      <c r="H30">
        <v>9</v>
      </c>
      <c r="I30">
        <v>13</v>
      </c>
      <c r="J30">
        <v>16.2</v>
      </c>
      <c r="K30">
        <v>16.5</v>
      </c>
      <c r="L30">
        <v>17.5</v>
      </c>
      <c r="M30">
        <v>18.5</v>
      </c>
      <c r="N30">
        <v>19.7</v>
      </c>
      <c r="O30">
        <v>19.2</v>
      </c>
      <c r="P30">
        <v>19.3</v>
      </c>
      <c r="Q30">
        <v>17.100000000000001</v>
      </c>
      <c r="R30">
        <v>16</v>
      </c>
      <c r="S30">
        <v>13.6</v>
      </c>
      <c r="T30">
        <f t="shared" si="1"/>
        <v>55</v>
      </c>
      <c r="U30" t="s">
        <v>89</v>
      </c>
      <c r="V30">
        <f t="shared" si="2"/>
        <v>0.16200000000000001</v>
      </c>
      <c r="W30">
        <f t="shared" si="0"/>
        <v>0.16500000000000001</v>
      </c>
      <c r="X30">
        <f t="shared" si="0"/>
        <v>0.17499999999999999</v>
      </c>
      <c r="Y30">
        <f t="shared" si="0"/>
        <v>0.185</v>
      </c>
      <c r="Z30">
        <f t="shared" si="0"/>
        <v>0.19699999999999998</v>
      </c>
      <c r="AA30">
        <f t="shared" si="0"/>
        <v>0.192</v>
      </c>
      <c r="AB30">
        <f t="shared" si="0"/>
        <v>0.193</v>
      </c>
      <c r="AC30">
        <f t="shared" si="0"/>
        <v>0.17100000000000001</v>
      </c>
      <c r="AD30">
        <f t="shared" si="0"/>
        <v>0.16</v>
      </c>
      <c r="AE30">
        <f t="shared" si="0"/>
        <v>0.13600000000000001</v>
      </c>
    </row>
    <row r="31" spans="2:31" x14ac:dyDescent="0.25">
      <c r="B31">
        <v>443</v>
      </c>
      <c r="C31">
        <v>54</v>
      </c>
      <c r="D31">
        <v>0</v>
      </c>
      <c r="E31">
        <v>14</v>
      </c>
      <c r="F31">
        <v>9</v>
      </c>
      <c r="G31">
        <v>15</v>
      </c>
      <c r="H31">
        <v>9</v>
      </c>
      <c r="I31">
        <v>11</v>
      </c>
      <c r="J31">
        <v>14</v>
      </c>
      <c r="K31">
        <v>14</v>
      </c>
      <c r="L31">
        <v>13.7</v>
      </c>
      <c r="M31">
        <v>15.7</v>
      </c>
      <c r="N31">
        <v>17.3</v>
      </c>
      <c r="O31">
        <v>16.399999999999999</v>
      </c>
      <c r="P31">
        <v>15</v>
      </c>
      <c r="Q31">
        <v>14.8</v>
      </c>
      <c r="R31">
        <v>16.7</v>
      </c>
      <c r="S31">
        <v>12</v>
      </c>
      <c r="T31">
        <f t="shared" si="1"/>
        <v>54</v>
      </c>
      <c r="U31" t="s">
        <v>36</v>
      </c>
      <c r="V31">
        <f t="shared" si="2"/>
        <v>0.14000000000000001</v>
      </c>
      <c r="W31">
        <f t="shared" si="0"/>
        <v>0.14000000000000001</v>
      </c>
      <c r="X31">
        <f t="shared" si="0"/>
        <v>0.13699999999999998</v>
      </c>
      <c r="Y31">
        <f t="shared" si="0"/>
        <v>0.157</v>
      </c>
      <c r="Z31">
        <f t="shared" si="0"/>
        <v>0.17300000000000001</v>
      </c>
      <c r="AA31">
        <f t="shared" si="0"/>
        <v>0.16399999999999998</v>
      </c>
      <c r="AB31">
        <f t="shared" si="0"/>
        <v>0.15</v>
      </c>
      <c r="AC31">
        <f t="shared" si="0"/>
        <v>0.14800000000000002</v>
      </c>
      <c r="AD31">
        <f t="shared" si="0"/>
        <v>0.16699999999999998</v>
      </c>
      <c r="AE31">
        <f t="shared" si="0"/>
        <v>0.12</v>
      </c>
    </row>
    <row r="32" spans="2:31" x14ac:dyDescent="0.25">
      <c r="B32">
        <v>442</v>
      </c>
      <c r="C32">
        <v>53</v>
      </c>
      <c r="D32">
        <v>0</v>
      </c>
      <c r="E32">
        <v>14</v>
      </c>
      <c r="F32">
        <v>9</v>
      </c>
      <c r="G32">
        <v>15</v>
      </c>
      <c r="H32">
        <v>9</v>
      </c>
      <c r="I32">
        <v>24</v>
      </c>
      <c r="J32">
        <v>21.1</v>
      </c>
      <c r="K32">
        <v>19.7</v>
      </c>
      <c r="L32">
        <v>19.5</v>
      </c>
      <c r="M32">
        <v>19.3</v>
      </c>
      <c r="N32">
        <v>17.899999999999999</v>
      </c>
      <c r="O32">
        <v>16.8</v>
      </c>
      <c r="P32">
        <v>16.2</v>
      </c>
      <c r="Q32">
        <v>13.8</v>
      </c>
      <c r="R32">
        <v>16.2</v>
      </c>
      <c r="S32">
        <v>12.6</v>
      </c>
      <c r="T32">
        <f t="shared" si="1"/>
        <v>53</v>
      </c>
      <c r="U32" t="s">
        <v>88</v>
      </c>
      <c r="V32">
        <f t="shared" si="2"/>
        <v>0.21100000000000002</v>
      </c>
      <c r="W32">
        <f t="shared" si="0"/>
        <v>0.19699999999999998</v>
      </c>
      <c r="X32">
        <f t="shared" si="0"/>
        <v>0.19500000000000001</v>
      </c>
      <c r="Y32">
        <f t="shared" si="0"/>
        <v>0.193</v>
      </c>
      <c r="Z32">
        <f t="shared" si="0"/>
        <v>0.17899999999999999</v>
      </c>
      <c r="AA32">
        <f t="shared" si="0"/>
        <v>0.16800000000000001</v>
      </c>
      <c r="AB32">
        <f t="shared" si="0"/>
        <v>0.16200000000000001</v>
      </c>
      <c r="AC32">
        <f t="shared" si="0"/>
        <v>0.13800000000000001</v>
      </c>
      <c r="AD32">
        <f t="shared" si="0"/>
        <v>0.16200000000000001</v>
      </c>
      <c r="AE32">
        <f t="shared" si="0"/>
        <v>0.126</v>
      </c>
    </row>
    <row r="33" spans="2:31" x14ac:dyDescent="0.25">
      <c r="B33">
        <v>441</v>
      </c>
      <c r="C33">
        <v>52</v>
      </c>
      <c r="D33">
        <v>0</v>
      </c>
      <c r="E33">
        <v>14</v>
      </c>
      <c r="F33">
        <v>9</v>
      </c>
      <c r="G33">
        <v>15</v>
      </c>
      <c r="H33">
        <v>9</v>
      </c>
      <c r="I33">
        <v>30</v>
      </c>
      <c r="J33">
        <v>-5</v>
      </c>
      <c r="K33">
        <v>18.5</v>
      </c>
      <c r="L33">
        <v>20.6</v>
      </c>
      <c r="M33">
        <v>23.4</v>
      </c>
      <c r="N33">
        <v>20.5</v>
      </c>
      <c r="O33">
        <v>19.3</v>
      </c>
      <c r="P33">
        <v>18.8</v>
      </c>
      <c r="Q33">
        <v>17</v>
      </c>
      <c r="R33">
        <v>18.2</v>
      </c>
      <c r="S33">
        <v>14</v>
      </c>
      <c r="T33">
        <f t="shared" si="1"/>
        <v>52</v>
      </c>
      <c r="U33" t="s">
        <v>87</v>
      </c>
      <c r="V33" t="str">
        <f t="shared" si="2"/>
        <v/>
      </c>
      <c r="W33">
        <f t="shared" si="0"/>
        <v>0.185</v>
      </c>
      <c r="X33">
        <f t="shared" si="0"/>
        <v>0.20600000000000002</v>
      </c>
      <c r="Y33">
        <f t="shared" si="0"/>
        <v>0.23399999999999999</v>
      </c>
      <c r="Z33">
        <f t="shared" si="0"/>
        <v>0.20499999999999999</v>
      </c>
      <c r="AA33">
        <f t="shared" si="0"/>
        <v>0.193</v>
      </c>
      <c r="AB33">
        <f t="shared" si="0"/>
        <v>0.188</v>
      </c>
      <c r="AC33">
        <f t="shared" si="0"/>
        <v>0.17</v>
      </c>
      <c r="AD33">
        <f t="shared" si="0"/>
        <v>0.182</v>
      </c>
      <c r="AE33">
        <f t="shared" si="0"/>
        <v>0.14000000000000001</v>
      </c>
    </row>
    <row r="34" spans="2:31" x14ac:dyDescent="0.25">
      <c r="B34">
        <v>440</v>
      </c>
      <c r="C34">
        <v>51</v>
      </c>
      <c r="D34">
        <v>0</v>
      </c>
      <c r="E34">
        <v>14</v>
      </c>
      <c r="F34">
        <v>9</v>
      </c>
      <c r="G34">
        <v>15</v>
      </c>
      <c r="H34">
        <v>9</v>
      </c>
      <c r="I34">
        <v>35</v>
      </c>
      <c r="J34">
        <v>16.7</v>
      </c>
      <c r="K34">
        <v>17.3</v>
      </c>
      <c r="L34">
        <v>21.5</v>
      </c>
      <c r="M34">
        <v>21.4</v>
      </c>
      <c r="N34">
        <v>19.8</v>
      </c>
      <c r="O34">
        <v>17.399999999999999</v>
      </c>
      <c r="P34">
        <v>17.399999999999999</v>
      </c>
      <c r="Q34">
        <v>17.7</v>
      </c>
      <c r="R34">
        <v>20.5</v>
      </c>
      <c r="S34">
        <v>15.8</v>
      </c>
      <c r="T34">
        <f t="shared" si="1"/>
        <v>51</v>
      </c>
      <c r="U34" t="s">
        <v>86</v>
      </c>
      <c r="V34">
        <f t="shared" si="2"/>
        <v>0.16699999999999998</v>
      </c>
      <c r="W34">
        <f t="shared" si="0"/>
        <v>0.17300000000000001</v>
      </c>
      <c r="X34">
        <f t="shared" si="0"/>
        <v>0.215</v>
      </c>
      <c r="Y34">
        <f t="shared" si="0"/>
        <v>0.214</v>
      </c>
      <c r="Z34">
        <f t="shared" si="0"/>
        <v>0.19800000000000001</v>
      </c>
      <c r="AA34">
        <f t="shared" si="0"/>
        <v>0.17399999999999999</v>
      </c>
      <c r="AB34">
        <f t="shared" si="0"/>
        <v>0.17399999999999999</v>
      </c>
      <c r="AC34">
        <f t="shared" si="0"/>
        <v>0.17699999999999999</v>
      </c>
      <c r="AD34">
        <f t="shared" si="0"/>
        <v>0.20499999999999999</v>
      </c>
      <c r="AE34">
        <f t="shared" si="0"/>
        <v>0.158</v>
      </c>
    </row>
    <row r="35" spans="2:31" x14ac:dyDescent="0.25">
      <c r="B35">
        <v>439</v>
      </c>
      <c r="C35">
        <v>50</v>
      </c>
      <c r="D35">
        <v>0</v>
      </c>
      <c r="E35">
        <v>14</v>
      </c>
      <c r="F35">
        <v>9</v>
      </c>
      <c r="G35">
        <v>15</v>
      </c>
      <c r="H35">
        <v>9</v>
      </c>
      <c r="I35">
        <v>41</v>
      </c>
      <c r="J35">
        <v>20.2</v>
      </c>
      <c r="K35">
        <v>20.100000000000001</v>
      </c>
      <c r="L35">
        <v>19</v>
      </c>
      <c r="M35">
        <v>23</v>
      </c>
      <c r="N35">
        <v>21.5</v>
      </c>
      <c r="O35">
        <v>20.2</v>
      </c>
      <c r="P35">
        <v>23.7</v>
      </c>
      <c r="Q35">
        <v>23.1</v>
      </c>
      <c r="R35">
        <v>20.7</v>
      </c>
      <c r="S35">
        <v>13.7</v>
      </c>
      <c r="T35">
        <f t="shared" si="1"/>
        <v>50</v>
      </c>
      <c r="U35" t="s">
        <v>39</v>
      </c>
      <c r="V35">
        <f t="shared" si="2"/>
        <v>0.20199999999999999</v>
      </c>
      <c r="W35">
        <f t="shared" si="0"/>
        <v>0.20100000000000001</v>
      </c>
      <c r="X35">
        <f t="shared" si="0"/>
        <v>0.19</v>
      </c>
      <c r="Y35">
        <f t="shared" si="0"/>
        <v>0.23</v>
      </c>
      <c r="Z35">
        <f t="shared" si="0"/>
        <v>0.215</v>
      </c>
      <c r="AA35">
        <f t="shared" si="0"/>
        <v>0.20199999999999999</v>
      </c>
      <c r="AB35">
        <f t="shared" si="0"/>
        <v>0.23699999999999999</v>
      </c>
      <c r="AC35">
        <f t="shared" si="0"/>
        <v>0.23100000000000001</v>
      </c>
      <c r="AD35">
        <f t="shared" si="0"/>
        <v>0.20699999999999999</v>
      </c>
      <c r="AE35">
        <f t="shared" si="0"/>
        <v>0.13699999999999998</v>
      </c>
    </row>
    <row r="36" spans="2:31" x14ac:dyDescent="0.25">
      <c r="B36">
        <v>438</v>
      </c>
      <c r="C36">
        <v>49</v>
      </c>
      <c r="D36">
        <v>0</v>
      </c>
      <c r="E36">
        <v>14</v>
      </c>
      <c r="F36">
        <v>9</v>
      </c>
      <c r="G36">
        <v>15</v>
      </c>
      <c r="H36">
        <v>9</v>
      </c>
      <c r="I36">
        <v>46</v>
      </c>
      <c r="J36">
        <v>-5</v>
      </c>
      <c r="K36">
        <v>24.9</v>
      </c>
      <c r="L36">
        <v>20.9</v>
      </c>
      <c r="M36">
        <v>19.5</v>
      </c>
      <c r="N36">
        <v>18.3</v>
      </c>
      <c r="O36">
        <v>14.6</v>
      </c>
      <c r="P36">
        <v>13.6</v>
      </c>
      <c r="Q36">
        <v>16.8</v>
      </c>
      <c r="R36">
        <v>19.2</v>
      </c>
      <c r="S36">
        <v>14.7</v>
      </c>
      <c r="T36">
        <f t="shared" si="1"/>
        <v>49</v>
      </c>
      <c r="U36" t="s">
        <v>72</v>
      </c>
      <c r="V36" t="str">
        <f t="shared" si="2"/>
        <v/>
      </c>
      <c r="W36">
        <f t="shared" si="0"/>
        <v>0.249</v>
      </c>
      <c r="X36">
        <f t="shared" si="0"/>
        <v>0.20899999999999999</v>
      </c>
      <c r="Y36">
        <f t="shared" si="0"/>
        <v>0.19500000000000001</v>
      </c>
      <c r="Z36">
        <f t="shared" si="0"/>
        <v>0.183</v>
      </c>
      <c r="AA36">
        <f t="shared" si="0"/>
        <v>0.14599999999999999</v>
      </c>
      <c r="AB36">
        <f t="shared" si="0"/>
        <v>0.13600000000000001</v>
      </c>
      <c r="AC36">
        <f t="shared" si="0"/>
        <v>0.16800000000000001</v>
      </c>
      <c r="AD36">
        <f t="shared" si="0"/>
        <v>0.192</v>
      </c>
      <c r="AE36">
        <f t="shared" si="0"/>
        <v>0.14699999999999999</v>
      </c>
    </row>
    <row r="37" spans="2:31" x14ac:dyDescent="0.25">
      <c r="B37">
        <v>437</v>
      </c>
      <c r="C37">
        <v>48</v>
      </c>
      <c r="D37">
        <v>0</v>
      </c>
      <c r="E37">
        <v>14</v>
      </c>
      <c r="F37">
        <v>9</v>
      </c>
      <c r="G37">
        <v>15</v>
      </c>
      <c r="H37">
        <v>9</v>
      </c>
      <c r="I37">
        <v>50</v>
      </c>
      <c r="J37">
        <v>21.5</v>
      </c>
      <c r="K37">
        <v>21.9</v>
      </c>
      <c r="L37">
        <v>23.3</v>
      </c>
      <c r="M37">
        <v>22.7</v>
      </c>
      <c r="N37">
        <v>18.899999999999999</v>
      </c>
      <c r="O37">
        <v>17</v>
      </c>
      <c r="P37">
        <v>14.6</v>
      </c>
      <c r="Q37">
        <v>17.600000000000001</v>
      </c>
      <c r="R37">
        <v>18.399999999999999</v>
      </c>
      <c r="S37">
        <v>15.6</v>
      </c>
      <c r="T37">
        <f t="shared" si="1"/>
        <v>48</v>
      </c>
      <c r="U37" t="s">
        <v>38</v>
      </c>
      <c r="V37">
        <f t="shared" si="2"/>
        <v>0.215</v>
      </c>
      <c r="W37">
        <f t="shared" si="0"/>
        <v>0.21899999999999997</v>
      </c>
      <c r="X37">
        <f t="shared" si="0"/>
        <v>0.23300000000000001</v>
      </c>
      <c r="Y37">
        <f t="shared" si="0"/>
        <v>0.22699999999999998</v>
      </c>
      <c r="Z37">
        <f t="shared" si="0"/>
        <v>0.18899999999999997</v>
      </c>
      <c r="AA37">
        <f t="shared" si="0"/>
        <v>0.17</v>
      </c>
      <c r="AB37">
        <f t="shared" si="0"/>
        <v>0.14599999999999999</v>
      </c>
      <c r="AC37">
        <f t="shared" si="0"/>
        <v>0.17600000000000002</v>
      </c>
      <c r="AD37">
        <f t="shared" si="0"/>
        <v>0.184</v>
      </c>
      <c r="AE37">
        <f t="shared" si="0"/>
        <v>0.156</v>
      </c>
    </row>
    <row r="38" spans="2:31" x14ac:dyDescent="0.25">
      <c r="B38">
        <v>436</v>
      </c>
      <c r="C38">
        <v>47</v>
      </c>
      <c r="D38">
        <v>0</v>
      </c>
      <c r="E38">
        <v>14</v>
      </c>
      <c r="F38">
        <v>9</v>
      </c>
      <c r="G38">
        <v>15</v>
      </c>
      <c r="H38">
        <v>10</v>
      </c>
      <c r="I38">
        <v>4</v>
      </c>
      <c r="J38">
        <v>20.7</v>
      </c>
      <c r="K38">
        <v>20</v>
      </c>
      <c r="L38">
        <v>22.6</v>
      </c>
      <c r="M38">
        <v>23.9</v>
      </c>
      <c r="N38">
        <v>21.4</v>
      </c>
      <c r="O38">
        <v>19</v>
      </c>
      <c r="P38">
        <v>18</v>
      </c>
      <c r="Q38">
        <v>16.100000000000001</v>
      </c>
      <c r="R38">
        <v>19.8</v>
      </c>
      <c r="S38">
        <v>15.1</v>
      </c>
      <c r="T38">
        <f t="shared" si="1"/>
        <v>47</v>
      </c>
      <c r="U38" t="s">
        <v>85</v>
      </c>
      <c r="V38">
        <f t="shared" si="2"/>
        <v>0.20699999999999999</v>
      </c>
      <c r="W38">
        <f t="shared" si="0"/>
        <v>0.2</v>
      </c>
      <c r="X38">
        <f t="shared" si="0"/>
        <v>0.22600000000000001</v>
      </c>
      <c r="Y38">
        <f t="shared" si="0"/>
        <v>0.23899999999999999</v>
      </c>
      <c r="Z38">
        <f t="shared" si="0"/>
        <v>0.214</v>
      </c>
      <c r="AA38">
        <f t="shared" si="0"/>
        <v>0.19</v>
      </c>
      <c r="AB38">
        <f t="shared" si="0"/>
        <v>0.18</v>
      </c>
      <c r="AC38">
        <f t="shared" si="0"/>
        <v>0.161</v>
      </c>
      <c r="AD38">
        <f t="shared" si="0"/>
        <v>0.19800000000000001</v>
      </c>
      <c r="AE38">
        <f t="shared" si="0"/>
        <v>0.151</v>
      </c>
    </row>
    <row r="39" spans="2:31" x14ac:dyDescent="0.25">
      <c r="B39">
        <v>435</v>
      </c>
      <c r="C39">
        <v>46</v>
      </c>
      <c r="D39">
        <v>0</v>
      </c>
      <c r="E39">
        <v>14</v>
      </c>
      <c r="F39">
        <v>9</v>
      </c>
      <c r="G39">
        <v>15</v>
      </c>
      <c r="H39">
        <v>10</v>
      </c>
      <c r="I39">
        <v>1</v>
      </c>
      <c r="J39">
        <v>-5</v>
      </c>
      <c r="K39">
        <v>22.8</v>
      </c>
      <c r="L39">
        <v>25.1</v>
      </c>
      <c r="M39">
        <v>23.8</v>
      </c>
      <c r="N39">
        <v>22.4</v>
      </c>
      <c r="O39">
        <v>21.6</v>
      </c>
      <c r="P39">
        <v>21.8</v>
      </c>
      <c r="Q39">
        <v>16.5</v>
      </c>
      <c r="R39">
        <v>17.600000000000001</v>
      </c>
      <c r="S39">
        <v>13.8</v>
      </c>
      <c r="T39">
        <f t="shared" si="1"/>
        <v>46</v>
      </c>
      <c r="U39" t="s">
        <v>84</v>
      </c>
      <c r="V39" t="str">
        <f t="shared" si="2"/>
        <v/>
      </c>
      <c r="W39">
        <f t="shared" si="0"/>
        <v>0.22800000000000001</v>
      </c>
      <c r="X39">
        <f t="shared" si="0"/>
        <v>0.251</v>
      </c>
      <c r="Y39">
        <f t="shared" si="0"/>
        <v>0.23800000000000002</v>
      </c>
      <c r="Z39">
        <f t="shared" si="0"/>
        <v>0.22399999999999998</v>
      </c>
      <c r="AA39">
        <f t="shared" si="0"/>
        <v>0.21600000000000003</v>
      </c>
      <c r="AB39">
        <f t="shared" si="0"/>
        <v>0.218</v>
      </c>
      <c r="AC39">
        <f t="shared" si="0"/>
        <v>0.16500000000000001</v>
      </c>
      <c r="AD39">
        <f t="shared" si="0"/>
        <v>0.17600000000000002</v>
      </c>
      <c r="AE39">
        <f t="shared" si="0"/>
        <v>0.13800000000000001</v>
      </c>
    </row>
    <row r="40" spans="2:31" x14ac:dyDescent="0.25">
      <c r="B40">
        <v>434</v>
      </c>
      <c r="C40">
        <v>45</v>
      </c>
      <c r="D40">
        <v>0</v>
      </c>
      <c r="E40">
        <v>14</v>
      </c>
      <c r="F40">
        <v>9</v>
      </c>
      <c r="G40">
        <v>15</v>
      </c>
      <c r="H40">
        <v>10</v>
      </c>
      <c r="I40">
        <v>14</v>
      </c>
      <c r="J40">
        <v>-5</v>
      </c>
      <c r="K40">
        <v>23.3</v>
      </c>
      <c r="L40">
        <v>22.2</v>
      </c>
      <c r="M40">
        <v>23.4</v>
      </c>
      <c r="N40">
        <v>21.6</v>
      </c>
      <c r="O40">
        <v>20.9</v>
      </c>
      <c r="P40">
        <v>20.7</v>
      </c>
      <c r="Q40">
        <v>20.8</v>
      </c>
      <c r="R40">
        <v>19.8</v>
      </c>
      <c r="S40">
        <v>14.6</v>
      </c>
      <c r="T40">
        <f t="shared" si="1"/>
        <v>45</v>
      </c>
      <c r="U40" t="s">
        <v>42</v>
      </c>
      <c r="V40" t="str">
        <f t="shared" si="2"/>
        <v/>
      </c>
      <c r="W40">
        <f t="shared" si="0"/>
        <v>0.23300000000000001</v>
      </c>
      <c r="X40">
        <f t="shared" si="0"/>
        <v>0.222</v>
      </c>
      <c r="Y40">
        <f t="shared" si="0"/>
        <v>0.23399999999999999</v>
      </c>
      <c r="Z40">
        <f t="shared" si="0"/>
        <v>0.21600000000000003</v>
      </c>
      <c r="AA40">
        <f t="shared" si="0"/>
        <v>0.20899999999999999</v>
      </c>
      <c r="AB40">
        <f t="shared" si="0"/>
        <v>0.20699999999999999</v>
      </c>
      <c r="AC40">
        <f t="shared" si="0"/>
        <v>0.20800000000000002</v>
      </c>
      <c r="AD40">
        <f t="shared" si="0"/>
        <v>0.19800000000000001</v>
      </c>
      <c r="AE40">
        <f t="shared" si="0"/>
        <v>0.14599999999999999</v>
      </c>
    </row>
    <row r="41" spans="2:31" x14ac:dyDescent="0.25">
      <c r="B41">
        <v>433</v>
      </c>
      <c r="C41">
        <v>44</v>
      </c>
      <c r="D41">
        <v>0</v>
      </c>
      <c r="E41">
        <v>14</v>
      </c>
      <c r="F41">
        <v>9</v>
      </c>
      <c r="G41">
        <v>15</v>
      </c>
      <c r="H41">
        <v>10</v>
      </c>
      <c r="I41">
        <v>26</v>
      </c>
      <c r="J41">
        <v>16.100000000000001</v>
      </c>
      <c r="K41">
        <v>14.4</v>
      </c>
      <c r="L41">
        <v>17.399999999999999</v>
      </c>
      <c r="M41">
        <v>20.100000000000001</v>
      </c>
      <c r="N41">
        <v>17.600000000000001</v>
      </c>
      <c r="O41">
        <v>15.4</v>
      </c>
      <c r="P41">
        <v>12.4</v>
      </c>
      <c r="Q41">
        <v>12.9</v>
      </c>
      <c r="R41">
        <v>15.3</v>
      </c>
      <c r="S41">
        <v>12.3</v>
      </c>
      <c r="T41">
        <f t="shared" si="1"/>
        <v>44</v>
      </c>
      <c r="U41" t="s">
        <v>83</v>
      </c>
      <c r="V41">
        <f t="shared" si="2"/>
        <v>0.161</v>
      </c>
      <c r="W41">
        <f t="shared" si="0"/>
        <v>0.14400000000000002</v>
      </c>
      <c r="X41">
        <f t="shared" si="0"/>
        <v>0.17399999999999999</v>
      </c>
      <c r="Y41">
        <f t="shared" si="0"/>
        <v>0.20100000000000001</v>
      </c>
      <c r="Z41">
        <f t="shared" si="0"/>
        <v>0.17600000000000002</v>
      </c>
      <c r="AA41">
        <f t="shared" si="0"/>
        <v>0.154</v>
      </c>
      <c r="AB41">
        <f t="shared" si="0"/>
        <v>0.124</v>
      </c>
      <c r="AC41">
        <f t="shared" si="0"/>
        <v>0.129</v>
      </c>
      <c r="AD41">
        <f t="shared" si="0"/>
        <v>0.153</v>
      </c>
      <c r="AE41">
        <f t="shared" si="0"/>
        <v>0.12300000000000001</v>
      </c>
    </row>
    <row r="42" spans="2:31" x14ac:dyDescent="0.25">
      <c r="B42">
        <v>432</v>
      </c>
      <c r="C42">
        <v>43</v>
      </c>
      <c r="D42">
        <v>0</v>
      </c>
      <c r="E42">
        <v>14</v>
      </c>
      <c r="F42">
        <v>9</v>
      </c>
      <c r="G42">
        <v>15</v>
      </c>
      <c r="H42">
        <v>10</v>
      </c>
      <c r="I42">
        <v>31</v>
      </c>
      <c r="J42">
        <v>19.100000000000001</v>
      </c>
      <c r="K42">
        <v>16</v>
      </c>
      <c r="L42">
        <v>14.5</v>
      </c>
      <c r="M42">
        <v>17.8</v>
      </c>
      <c r="N42">
        <v>21.2</v>
      </c>
      <c r="O42">
        <v>19.5</v>
      </c>
      <c r="P42">
        <v>16.899999999999999</v>
      </c>
      <c r="Q42">
        <v>14.4</v>
      </c>
      <c r="R42">
        <v>15.9</v>
      </c>
      <c r="S42">
        <v>13.8</v>
      </c>
      <c r="T42">
        <f t="shared" si="1"/>
        <v>43</v>
      </c>
      <c r="U42" t="s">
        <v>82</v>
      </c>
      <c r="V42">
        <f t="shared" si="2"/>
        <v>0.191</v>
      </c>
      <c r="W42">
        <f t="shared" si="0"/>
        <v>0.16</v>
      </c>
      <c r="X42">
        <f t="shared" si="0"/>
        <v>0.14499999999999999</v>
      </c>
      <c r="Y42">
        <f t="shared" si="0"/>
        <v>0.17800000000000002</v>
      </c>
      <c r="Z42">
        <f t="shared" si="0"/>
        <v>0.21199999999999999</v>
      </c>
      <c r="AA42">
        <f t="shared" si="0"/>
        <v>0.19500000000000001</v>
      </c>
      <c r="AB42">
        <f t="shared" si="0"/>
        <v>0.16899999999999998</v>
      </c>
      <c r="AC42">
        <f t="shared" si="0"/>
        <v>0.14400000000000002</v>
      </c>
      <c r="AD42">
        <f t="shared" si="0"/>
        <v>0.159</v>
      </c>
      <c r="AE42">
        <f t="shared" si="0"/>
        <v>0.13800000000000001</v>
      </c>
    </row>
    <row r="43" spans="2:31" x14ac:dyDescent="0.25">
      <c r="B43">
        <v>431</v>
      </c>
      <c r="C43">
        <v>42</v>
      </c>
      <c r="D43">
        <v>0</v>
      </c>
      <c r="E43">
        <v>14</v>
      </c>
      <c r="F43">
        <v>9</v>
      </c>
      <c r="G43">
        <v>15</v>
      </c>
      <c r="H43">
        <v>10</v>
      </c>
      <c r="I43">
        <v>37</v>
      </c>
      <c r="J43">
        <v>-5</v>
      </c>
      <c r="K43">
        <v>24</v>
      </c>
      <c r="L43">
        <v>13.9</v>
      </c>
      <c r="M43">
        <v>11.2</v>
      </c>
      <c r="N43">
        <v>10.1</v>
      </c>
      <c r="O43">
        <v>10</v>
      </c>
      <c r="P43">
        <v>9.6999999999999993</v>
      </c>
      <c r="Q43">
        <v>10.5</v>
      </c>
      <c r="R43">
        <v>15.5</v>
      </c>
      <c r="S43">
        <v>13.1</v>
      </c>
      <c r="T43">
        <f t="shared" si="1"/>
        <v>42</v>
      </c>
      <c r="U43" t="s">
        <v>44</v>
      </c>
      <c r="V43" t="str">
        <f t="shared" si="2"/>
        <v/>
      </c>
      <c r="W43">
        <f t="shared" si="0"/>
        <v>0.24</v>
      </c>
      <c r="X43">
        <f t="shared" si="0"/>
        <v>0.13900000000000001</v>
      </c>
      <c r="Y43">
        <f t="shared" si="0"/>
        <v>0.11199999999999999</v>
      </c>
      <c r="Z43">
        <f t="shared" si="0"/>
        <v>0.10099999999999999</v>
      </c>
      <c r="AA43">
        <f t="shared" si="0"/>
        <v>0.1</v>
      </c>
      <c r="AB43">
        <f t="shared" si="0"/>
        <v>9.6999999999999989E-2</v>
      </c>
      <c r="AC43">
        <f t="shared" si="0"/>
        <v>0.105</v>
      </c>
      <c r="AD43">
        <f t="shared" si="0"/>
        <v>0.155</v>
      </c>
      <c r="AE43">
        <f t="shared" si="0"/>
        <v>0.13100000000000001</v>
      </c>
    </row>
    <row r="44" spans="2:31" x14ac:dyDescent="0.25">
      <c r="B44">
        <v>430</v>
      </c>
      <c r="C44">
        <v>41</v>
      </c>
      <c r="D44">
        <v>0</v>
      </c>
      <c r="E44">
        <v>14</v>
      </c>
      <c r="F44">
        <v>9</v>
      </c>
      <c r="G44">
        <v>15</v>
      </c>
      <c r="H44">
        <v>10</v>
      </c>
      <c r="I44">
        <v>41</v>
      </c>
      <c r="J44">
        <v>24.4</v>
      </c>
      <c r="K44">
        <v>22.2</v>
      </c>
      <c r="L44">
        <v>16.8</v>
      </c>
      <c r="M44">
        <v>15.7</v>
      </c>
      <c r="N44">
        <v>14.2</v>
      </c>
      <c r="O44">
        <v>12.7</v>
      </c>
      <c r="P44">
        <v>11.6</v>
      </c>
      <c r="Q44">
        <v>11.6</v>
      </c>
      <c r="R44">
        <v>15.6</v>
      </c>
      <c r="S44">
        <v>13.1</v>
      </c>
      <c r="T44">
        <f t="shared" si="1"/>
        <v>41</v>
      </c>
      <c r="U44" t="s">
        <v>43</v>
      </c>
      <c r="V44">
        <f t="shared" si="2"/>
        <v>0.24399999999999999</v>
      </c>
      <c r="W44">
        <f t="shared" si="0"/>
        <v>0.222</v>
      </c>
      <c r="X44">
        <f t="shared" si="0"/>
        <v>0.16800000000000001</v>
      </c>
      <c r="Y44">
        <f t="shared" si="0"/>
        <v>0.157</v>
      </c>
      <c r="Z44">
        <f t="shared" si="0"/>
        <v>0.14199999999999999</v>
      </c>
      <c r="AA44">
        <f t="shared" si="0"/>
        <v>0.127</v>
      </c>
      <c r="AB44">
        <f t="shared" si="0"/>
        <v>0.11599999999999999</v>
      </c>
      <c r="AC44">
        <f t="shared" si="0"/>
        <v>0.11599999999999999</v>
      </c>
      <c r="AD44">
        <f t="shared" si="0"/>
        <v>0.156</v>
      </c>
      <c r="AE44">
        <f t="shared" si="0"/>
        <v>0.13100000000000001</v>
      </c>
    </row>
    <row r="45" spans="2:31" x14ac:dyDescent="0.25">
      <c r="B45">
        <v>429</v>
      </c>
      <c r="C45">
        <v>40</v>
      </c>
      <c r="D45">
        <v>0</v>
      </c>
      <c r="E45">
        <v>14</v>
      </c>
      <c r="F45">
        <v>9</v>
      </c>
      <c r="G45">
        <v>15</v>
      </c>
      <c r="H45">
        <v>10</v>
      </c>
      <c r="I45">
        <v>47</v>
      </c>
      <c r="J45">
        <v>23.9</v>
      </c>
      <c r="K45">
        <v>23.1</v>
      </c>
      <c r="L45">
        <v>23.8</v>
      </c>
      <c r="M45">
        <v>19.399999999999999</v>
      </c>
      <c r="N45">
        <v>17.2</v>
      </c>
      <c r="O45">
        <v>17.3</v>
      </c>
      <c r="P45">
        <v>18.8</v>
      </c>
      <c r="Q45">
        <v>18.3</v>
      </c>
      <c r="R45">
        <v>19.100000000000001</v>
      </c>
      <c r="S45">
        <v>16.3</v>
      </c>
      <c r="T45">
        <f t="shared" si="1"/>
        <v>40</v>
      </c>
      <c r="U45" t="s">
        <v>41</v>
      </c>
      <c r="V45">
        <f t="shared" si="2"/>
        <v>0.23899999999999999</v>
      </c>
      <c r="W45">
        <f t="shared" si="0"/>
        <v>0.23100000000000001</v>
      </c>
      <c r="X45">
        <f t="shared" si="0"/>
        <v>0.23800000000000002</v>
      </c>
      <c r="Y45">
        <f t="shared" si="0"/>
        <v>0.19399999999999998</v>
      </c>
      <c r="Z45">
        <f t="shared" si="0"/>
        <v>0.17199999999999999</v>
      </c>
      <c r="AA45">
        <f t="shared" si="0"/>
        <v>0.17300000000000001</v>
      </c>
      <c r="AB45">
        <f t="shared" si="0"/>
        <v>0.188</v>
      </c>
      <c r="AC45">
        <f t="shared" si="0"/>
        <v>0.183</v>
      </c>
      <c r="AD45">
        <f t="shared" si="0"/>
        <v>0.191</v>
      </c>
      <c r="AE45">
        <f t="shared" si="0"/>
        <v>0.16300000000000001</v>
      </c>
    </row>
    <row r="46" spans="2:31" x14ac:dyDescent="0.25">
      <c r="B46">
        <v>428</v>
      </c>
      <c r="C46">
        <v>39</v>
      </c>
      <c r="D46">
        <v>0</v>
      </c>
      <c r="E46">
        <v>14</v>
      </c>
      <c r="F46">
        <v>9</v>
      </c>
      <c r="G46">
        <v>15</v>
      </c>
      <c r="H46">
        <v>10</v>
      </c>
      <c r="I46">
        <v>52</v>
      </c>
      <c r="J46">
        <v>-5</v>
      </c>
      <c r="K46">
        <v>19.899999999999999</v>
      </c>
      <c r="L46">
        <v>20.100000000000001</v>
      </c>
      <c r="M46">
        <v>18.899999999999999</v>
      </c>
      <c r="N46">
        <v>18.2</v>
      </c>
      <c r="O46">
        <v>18.5</v>
      </c>
      <c r="P46">
        <v>16.5</v>
      </c>
      <c r="Q46">
        <v>15.1</v>
      </c>
      <c r="R46">
        <v>20.3</v>
      </c>
      <c r="S46">
        <v>16.5</v>
      </c>
      <c r="T46">
        <f t="shared" si="1"/>
        <v>39</v>
      </c>
      <c r="U46" t="s">
        <v>40</v>
      </c>
      <c r="V46" t="str">
        <f t="shared" si="2"/>
        <v/>
      </c>
      <c r="W46">
        <f t="shared" si="0"/>
        <v>0.19899999999999998</v>
      </c>
      <c r="X46">
        <f t="shared" si="0"/>
        <v>0.20100000000000001</v>
      </c>
      <c r="Y46">
        <f t="shared" si="0"/>
        <v>0.18899999999999997</v>
      </c>
      <c r="Z46">
        <f t="shared" si="0"/>
        <v>0.182</v>
      </c>
      <c r="AA46">
        <f t="shared" si="0"/>
        <v>0.185</v>
      </c>
      <c r="AB46">
        <f t="shared" si="0"/>
        <v>0.16500000000000001</v>
      </c>
      <c r="AC46">
        <f t="shared" si="0"/>
        <v>0.151</v>
      </c>
      <c r="AD46">
        <f t="shared" si="0"/>
        <v>0.20300000000000001</v>
      </c>
      <c r="AE46">
        <f t="shared" si="0"/>
        <v>0.16500000000000001</v>
      </c>
    </row>
    <row r="47" spans="2:31" x14ac:dyDescent="0.25">
      <c r="B47">
        <v>427</v>
      </c>
      <c r="C47">
        <v>38</v>
      </c>
      <c r="D47">
        <v>0</v>
      </c>
      <c r="E47">
        <v>14</v>
      </c>
      <c r="F47">
        <v>9</v>
      </c>
      <c r="G47">
        <v>15</v>
      </c>
      <c r="H47">
        <v>11</v>
      </c>
      <c r="I47">
        <v>2</v>
      </c>
      <c r="J47">
        <v>-5</v>
      </c>
      <c r="K47">
        <v>23.2</v>
      </c>
      <c r="L47">
        <v>23</v>
      </c>
      <c r="M47">
        <v>21.2</v>
      </c>
      <c r="N47">
        <v>18.3</v>
      </c>
      <c r="O47">
        <v>18.100000000000001</v>
      </c>
      <c r="P47">
        <v>16.7</v>
      </c>
      <c r="Q47">
        <v>16.7</v>
      </c>
      <c r="R47">
        <v>20.8</v>
      </c>
      <c r="S47">
        <v>16.100000000000001</v>
      </c>
      <c r="T47">
        <f t="shared" si="1"/>
        <v>38</v>
      </c>
      <c r="U47" t="s">
        <v>37</v>
      </c>
      <c r="V47" t="str">
        <f t="shared" si="2"/>
        <v/>
      </c>
      <c r="W47">
        <f t="shared" si="0"/>
        <v>0.23199999999999998</v>
      </c>
      <c r="X47">
        <f t="shared" si="0"/>
        <v>0.23</v>
      </c>
      <c r="Y47">
        <f t="shared" si="0"/>
        <v>0.21199999999999999</v>
      </c>
      <c r="Z47">
        <f t="shared" ref="Z47:Z54" si="3">IF(N47&lt;0,"",N47/100)</f>
        <v>0.183</v>
      </c>
      <c r="AA47">
        <f t="shared" ref="AA47:AA54" si="4">IF(O47&lt;0,"",O47/100)</f>
        <v>0.18100000000000002</v>
      </c>
      <c r="AB47">
        <f t="shared" ref="AB47:AB54" si="5">IF(P47&lt;0,"",P47/100)</f>
        <v>0.16699999999999998</v>
      </c>
      <c r="AC47">
        <f t="shared" ref="AC47:AC54" si="6">IF(Q47&lt;0,"",Q47/100)</f>
        <v>0.16699999999999998</v>
      </c>
      <c r="AD47">
        <f t="shared" ref="AD47:AD54" si="7">IF(R47&lt;0,"",R47/100)</f>
        <v>0.20800000000000002</v>
      </c>
      <c r="AE47">
        <f t="shared" ref="AE47:AE54" si="8">IF(S47&lt;0,"",S47/100)</f>
        <v>0.161</v>
      </c>
    </row>
    <row r="48" spans="2:31" x14ac:dyDescent="0.25">
      <c r="B48">
        <v>426</v>
      </c>
      <c r="C48">
        <v>37</v>
      </c>
      <c r="D48">
        <v>0</v>
      </c>
      <c r="E48">
        <v>14</v>
      </c>
      <c r="F48">
        <v>9</v>
      </c>
      <c r="G48">
        <v>15</v>
      </c>
      <c r="H48">
        <v>11</v>
      </c>
      <c r="I48">
        <v>7</v>
      </c>
      <c r="J48">
        <v>-5</v>
      </c>
      <c r="K48">
        <v>22.9</v>
      </c>
      <c r="L48">
        <v>20.5</v>
      </c>
      <c r="M48">
        <v>16.600000000000001</v>
      </c>
      <c r="N48">
        <v>15.2</v>
      </c>
      <c r="O48">
        <v>16</v>
      </c>
      <c r="P48">
        <v>15.5</v>
      </c>
      <c r="Q48">
        <v>17.399999999999999</v>
      </c>
      <c r="R48">
        <v>19.3</v>
      </c>
      <c r="S48">
        <v>14.6</v>
      </c>
      <c r="T48">
        <f t="shared" si="1"/>
        <v>37</v>
      </c>
      <c r="U48" t="s">
        <v>35</v>
      </c>
      <c r="V48" t="str">
        <f t="shared" si="2"/>
        <v/>
      </c>
      <c r="W48">
        <f t="shared" ref="W48:W54" si="9">IF(K48&lt;0,"",K48/100)</f>
        <v>0.22899999999999998</v>
      </c>
      <c r="X48">
        <f t="shared" ref="X48:X54" si="10">IF(L48&lt;0,"",L48/100)</f>
        <v>0.20499999999999999</v>
      </c>
      <c r="Y48">
        <f t="shared" ref="Y48:Y54" si="11">IF(M48&lt;0,"",M48/100)</f>
        <v>0.16600000000000001</v>
      </c>
      <c r="Z48">
        <f t="shared" si="3"/>
        <v>0.152</v>
      </c>
      <c r="AA48">
        <f t="shared" si="4"/>
        <v>0.16</v>
      </c>
      <c r="AB48">
        <f t="shared" si="5"/>
        <v>0.155</v>
      </c>
      <c r="AC48">
        <f t="shared" si="6"/>
        <v>0.17399999999999999</v>
      </c>
      <c r="AD48">
        <f t="shared" si="7"/>
        <v>0.193</v>
      </c>
      <c r="AE48">
        <f t="shared" si="8"/>
        <v>0.14599999999999999</v>
      </c>
    </row>
    <row r="50" spans="1:22" x14ac:dyDescent="0.25">
      <c r="A50" t="s">
        <v>17</v>
      </c>
      <c r="B50" t="s">
        <v>18</v>
      </c>
    </row>
    <row r="51" spans="1:22" x14ac:dyDescent="0.25">
      <c r="A51">
        <v>59</v>
      </c>
      <c r="B51" t="s">
        <v>3</v>
      </c>
      <c r="C51">
        <v>6114</v>
      </c>
      <c r="D51" t="s">
        <v>19</v>
      </c>
      <c r="E51">
        <v>9758</v>
      </c>
      <c r="F51">
        <v>0</v>
      </c>
      <c r="G51">
        <v>10</v>
      </c>
      <c r="H51">
        <v>1790</v>
      </c>
    </row>
    <row r="52" spans="1:22" x14ac:dyDescent="0.25">
      <c r="A52">
        <v>58</v>
      </c>
      <c r="B52">
        <v>0</v>
      </c>
      <c r="C52">
        <v>13</v>
      </c>
      <c r="D52">
        <v>12</v>
      </c>
      <c r="E52">
        <v>3</v>
      </c>
      <c r="F52">
        <v>14.026999999999999</v>
      </c>
      <c r="G52">
        <v>-3.6680000000000001</v>
      </c>
      <c r="H52">
        <v>1369</v>
      </c>
    </row>
    <row r="53" spans="1:22" x14ac:dyDescent="0.25">
      <c r="A53">
        <v>57</v>
      </c>
      <c r="B53">
        <v>1</v>
      </c>
      <c r="C53">
        <v>13</v>
      </c>
      <c r="D53">
        <v>7</v>
      </c>
      <c r="E53">
        <v>25</v>
      </c>
      <c r="F53">
        <v>0</v>
      </c>
      <c r="G53">
        <v>0</v>
      </c>
      <c r="H53">
        <v>1247</v>
      </c>
    </row>
    <row r="54" spans="1:22" x14ac:dyDescent="0.25">
      <c r="A54">
        <v>56</v>
      </c>
      <c r="B54">
        <v>2</v>
      </c>
      <c r="C54">
        <v>13</v>
      </c>
      <c r="D54">
        <v>7</v>
      </c>
      <c r="E54">
        <v>22</v>
      </c>
      <c r="F54">
        <v>0</v>
      </c>
      <c r="G54">
        <v>0</v>
      </c>
      <c r="H54">
        <v>1334</v>
      </c>
    </row>
    <row r="55" spans="1:22" x14ac:dyDescent="0.25">
      <c r="A55">
        <v>55</v>
      </c>
      <c r="B55">
        <v>3</v>
      </c>
      <c r="C55">
        <v>13</v>
      </c>
      <c r="D55">
        <v>7</v>
      </c>
      <c r="E55">
        <v>25</v>
      </c>
      <c r="F55">
        <v>0</v>
      </c>
      <c r="G55">
        <v>0</v>
      </c>
      <c r="H55">
        <v>1337</v>
      </c>
    </row>
    <row r="56" spans="1:22" x14ac:dyDescent="0.25">
      <c r="A56">
        <v>54</v>
      </c>
      <c r="B56">
        <v>4</v>
      </c>
      <c r="C56">
        <v>95</v>
      </c>
      <c r="D56">
        <v>36280</v>
      </c>
      <c r="E56">
        <v>72</v>
      </c>
      <c r="F56">
        <v>0</v>
      </c>
      <c r="G56">
        <v>0</v>
      </c>
      <c r="H56">
        <v>1505</v>
      </c>
    </row>
    <row r="57" spans="1:22" x14ac:dyDescent="0.25">
      <c r="A57">
        <v>53</v>
      </c>
      <c r="B57">
        <v>5</v>
      </c>
      <c r="C57">
        <v>95</v>
      </c>
      <c r="D57">
        <v>36280</v>
      </c>
      <c r="E57">
        <v>72</v>
      </c>
      <c r="F57">
        <v>0</v>
      </c>
      <c r="G57">
        <v>0</v>
      </c>
      <c r="H57">
        <v>1505</v>
      </c>
    </row>
    <row r="58" spans="1:22" x14ac:dyDescent="0.25">
      <c r="A58">
        <v>52</v>
      </c>
      <c r="B58">
        <v>6</v>
      </c>
      <c r="C58">
        <v>95</v>
      </c>
      <c r="D58">
        <v>36280</v>
      </c>
      <c r="E58">
        <v>72</v>
      </c>
      <c r="F58">
        <v>0</v>
      </c>
      <c r="G58">
        <v>0</v>
      </c>
      <c r="H58">
        <v>1505</v>
      </c>
    </row>
    <row r="59" spans="1:22" x14ac:dyDescent="0.25">
      <c r="A59">
        <v>51</v>
      </c>
      <c r="B59">
        <v>7</v>
      </c>
      <c r="C59">
        <v>95</v>
      </c>
      <c r="D59">
        <v>36280</v>
      </c>
      <c r="E59">
        <v>72</v>
      </c>
      <c r="F59">
        <v>0</v>
      </c>
      <c r="G59">
        <v>0</v>
      </c>
      <c r="H59">
        <v>1505</v>
      </c>
    </row>
    <row r="60" spans="1:22" x14ac:dyDescent="0.25">
      <c r="A60">
        <v>50</v>
      </c>
      <c r="B60">
        <v>8</v>
      </c>
      <c r="C60">
        <v>95</v>
      </c>
      <c r="D60">
        <v>36280</v>
      </c>
      <c r="E60">
        <v>72</v>
      </c>
      <c r="F60">
        <v>0</v>
      </c>
      <c r="G60">
        <v>0</v>
      </c>
      <c r="H60">
        <v>1505</v>
      </c>
    </row>
    <row r="61" spans="1:22" x14ac:dyDescent="0.25">
      <c r="A61">
        <v>49</v>
      </c>
      <c r="B61">
        <v>9</v>
      </c>
      <c r="C61">
        <v>95</v>
      </c>
      <c r="D61">
        <v>36280</v>
      </c>
      <c r="E61">
        <v>72</v>
      </c>
      <c r="F61">
        <v>0</v>
      </c>
      <c r="G61">
        <v>0</v>
      </c>
      <c r="H61">
        <v>1514</v>
      </c>
    </row>
    <row r="62" spans="1:22" x14ac:dyDescent="0.25">
      <c r="A62">
        <v>48</v>
      </c>
      <c r="B62">
        <v>10</v>
      </c>
      <c r="C62">
        <v>95</v>
      </c>
      <c r="D62">
        <v>36280</v>
      </c>
      <c r="E62">
        <v>72</v>
      </c>
      <c r="F62">
        <v>0</v>
      </c>
      <c r="G62">
        <v>0</v>
      </c>
      <c r="H62">
        <v>1553</v>
      </c>
      <c r="K62" t="s">
        <v>27</v>
      </c>
    </row>
    <row r="63" spans="1:22" x14ac:dyDescent="0.25">
      <c r="A63">
        <v>47</v>
      </c>
      <c r="B63">
        <v>11</v>
      </c>
      <c r="C63">
        <v>95</v>
      </c>
      <c r="D63">
        <v>36280</v>
      </c>
      <c r="E63">
        <v>72</v>
      </c>
      <c r="F63">
        <v>0</v>
      </c>
      <c r="G63">
        <v>0</v>
      </c>
      <c r="H63">
        <v>1553</v>
      </c>
    </row>
    <row r="64" spans="1:22" x14ac:dyDescent="0.25">
      <c r="A64">
        <v>46</v>
      </c>
      <c r="B64">
        <v>12</v>
      </c>
      <c r="C64">
        <v>95</v>
      </c>
      <c r="D64">
        <v>36280</v>
      </c>
      <c r="E64">
        <v>72</v>
      </c>
      <c r="F64">
        <v>0</v>
      </c>
      <c r="G64">
        <v>0</v>
      </c>
      <c r="H64">
        <v>1553</v>
      </c>
      <c r="U64">
        <v>22.469000000000001</v>
      </c>
      <c r="V64">
        <v>-5.875</v>
      </c>
    </row>
    <row r="65" spans="1:42" x14ac:dyDescent="0.25">
      <c r="A65">
        <v>45</v>
      </c>
      <c r="B65">
        <v>13</v>
      </c>
      <c r="C65">
        <v>95</v>
      </c>
      <c r="D65">
        <v>36280</v>
      </c>
      <c r="E65">
        <v>72</v>
      </c>
      <c r="F65">
        <v>0</v>
      </c>
      <c r="G65">
        <v>0</v>
      </c>
      <c r="H65">
        <v>1553</v>
      </c>
    </row>
    <row r="66" spans="1:42" x14ac:dyDescent="0.25">
      <c r="A66">
        <v>44</v>
      </c>
      <c r="B66">
        <v>14</v>
      </c>
      <c r="C66">
        <v>95</v>
      </c>
      <c r="D66">
        <v>36280</v>
      </c>
      <c r="E66">
        <v>72</v>
      </c>
      <c r="F66">
        <v>0</v>
      </c>
      <c r="G66">
        <v>0</v>
      </c>
      <c r="H66">
        <v>1553</v>
      </c>
      <c r="AD66" s="4"/>
    </row>
    <row r="67" spans="1:42" x14ac:dyDescent="0.25">
      <c r="A67">
        <v>43</v>
      </c>
      <c r="B67">
        <v>15</v>
      </c>
      <c r="C67">
        <v>95</v>
      </c>
      <c r="D67">
        <v>36280</v>
      </c>
      <c r="E67">
        <v>72</v>
      </c>
      <c r="F67">
        <v>0</v>
      </c>
      <c r="G67">
        <v>0</v>
      </c>
      <c r="H67">
        <v>1553</v>
      </c>
      <c r="T67" t="s">
        <v>0</v>
      </c>
      <c r="U67">
        <v>190</v>
      </c>
      <c r="V67">
        <v>170</v>
      </c>
      <c r="W67">
        <v>150</v>
      </c>
      <c r="X67">
        <v>130</v>
      </c>
      <c r="Y67">
        <v>110</v>
      </c>
      <c r="Z67">
        <v>90</v>
      </c>
      <c r="AA67">
        <v>70</v>
      </c>
      <c r="AB67">
        <v>50</v>
      </c>
      <c r="AC67">
        <v>30</v>
      </c>
      <c r="AD67">
        <v>10</v>
      </c>
      <c r="AE67" t="s">
        <v>0</v>
      </c>
      <c r="AF67" t="s">
        <v>28</v>
      </c>
      <c r="AG67">
        <v>190</v>
      </c>
      <c r="AH67">
        <v>170</v>
      </c>
      <c r="AI67">
        <v>150</v>
      </c>
      <c r="AJ67">
        <v>130</v>
      </c>
      <c r="AK67">
        <v>110</v>
      </c>
      <c r="AL67">
        <v>90</v>
      </c>
      <c r="AM67">
        <v>70</v>
      </c>
      <c r="AN67">
        <v>50</v>
      </c>
      <c r="AO67">
        <v>30</v>
      </c>
      <c r="AP67">
        <v>10</v>
      </c>
    </row>
    <row r="68" spans="1:42" x14ac:dyDescent="0.25">
      <c r="A68">
        <v>41</v>
      </c>
      <c r="B68">
        <v>454</v>
      </c>
      <c r="C68">
        <v>1</v>
      </c>
      <c r="D68">
        <v>0</v>
      </c>
      <c r="E68">
        <v>14</v>
      </c>
      <c r="F68">
        <v>9</v>
      </c>
      <c r="G68">
        <v>15</v>
      </c>
      <c r="H68">
        <v>7</v>
      </c>
      <c r="I68">
        <v>31</v>
      </c>
      <c r="J68">
        <v>-3.7</v>
      </c>
      <c r="K68">
        <v>6.6</v>
      </c>
      <c r="L68">
        <v>6.8</v>
      </c>
      <c r="M68">
        <v>7.5</v>
      </c>
      <c r="N68">
        <v>8.9</v>
      </c>
      <c r="O68">
        <v>10.7</v>
      </c>
      <c r="P68">
        <v>11.7</v>
      </c>
      <c r="Q68">
        <v>11.6</v>
      </c>
      <c r="R68">
        <v>10.3</v>
      </c>
      <c r="S68">
        <v>8.1999999999999993</v>
      </c>
      <c r="T68">
        <f t="shared" ref="T68:T103" si="12">C68</f>
        <v>1</v>
      </c>
      <c r="U68">
        <f>IF(J68&gt;0,22.469*((J68-(-3.668))/14.027)-5.875,J68)</f>
        <v>-3.7</v>
      </c>
      <c r="V68">
        <f t="shared" ref="V68:AD68" si="13">IF(K68&gt;0,22.469*((K68-(-3.668))/14.027)-5.875,K68)</f>
        <v>10.57268603407714</v>
      </c>
      <c r="W68">
        <f t="shared" si="13"/>
        <v>10.893053896057605</v>
      </c>
      <c r="X68">
        <f t="shared" si="13"/>
        <v>12.014341412989236</v>
      </c>
      <c r="Y68">
        <f t="shared" si="13"/>
        <v>14.256916446852504</v>
      </c>
      <c r="Z68">
        <f t="shared" si="13"/>
        <v>17.140227204676695</v>
      </c>
      <c r="AA68">
        <f t="shared" si="13"/>
        <v>18.742066514579026</v>
      </c>
      <c r="AB68">
        <f t="shared" si="13"/>
        <v>18.581882583588797</v>
      </c>
      <c r="AC68">
        <f t="shared" si="13"/>
        <v>16.499491480715765</v>
      </c>
      <c r="AD68">
        <f t="shared" si="13"/>
        <v>13.135628929920866</v>
      </c>
      <c r="AE68">
        <v>1</v>
      </c>
      <c r="AF68" t="s">
        <v>51</v>
      </c>
      <c r="AG68" t="str">
        <f>IF(U68&lt;0,"",U68/100)</f>
        <v/>
      </c>
      <c r="AH68">
        <f t="shared" ref="AH68:AP96" si="14">IF(V68&lt;0,"",V68/100)</f>
        <v>0.1057268603407714</v>
      </c>
      <c r="AI68">
        <f t="shared" si="14"/>
        <v>0.10893053896057606</v>
      </c>
      <c r="AJ68">
        <f t="shared" si="14"/>
        <v>0.12014341412989235</v>
      </c>
      <c r="AK68">
        <f t="shared" si="14"/>
        <v>0.14256916446852505</v>
      </c>
      <c r="AL68">
        <f t="shared" si="14"/>
        <v>0.17140227204676695</v>
      </c>
      <c r="AM68">
        <f t="shared" si="14"/>
        <v>0.18742066514579026</v>
      </c>
      <c r="AN68">
        <f t="shared" si="14"/>
        <v>0.18581882583588796</v>
      </c>
      <c r="AO68">
        <f t="shared" si="14"/>
        <v>0.16499491480715764</v>
      </c>
      <c r="AP68">
        <f t="shared" si="14"/>
        <v>0.13135628929920867</v>
      </c>
    </row>
    <row r="69" spans="1:42" x14ac:dyDescent="0.25">
      <c r="A69">
        <v>40</v>
      </c>
      <c r="B69">
        <v>453</v>
      </c>
      <c r="C69">
        <v>2</v>
      </c>
      <c r="D69">
        <v>0</v>
      </c>
      <c r="E69">
        <v>14</v>
      </c>
      <c r="F69">
        <v>9</v>
      </c>
      <c r="G69">
        <v>15</v>
      </c>
      <c r="H69">
        <v>7</v>
      </c>
      <c r="I69">
        <v>44</v>
      </c>
      <c r="J69">
        <v>10.4</v>
      </c>
      <c r="K69">
        <v>8.3000000000000007</v>
      </c>
      <c r="L69">
        <v>6.7</v>
      </c>
      <c r="M69">
        <v>7.5</v>
      </c>
      <c r="N69">
        <v>8.5</v>
      </c>
      <c r="O69">
        <v>9.6999999999999993</v>
      </c>
      <c r="P69">
        <v>10.8</v>
      </c>
      <c r="Q69">
        <v>11.8</v>
      </c>
      <c r="R69">
        <v>11.5</v>
      </c>
      <c r="S69">
        <v>8.4</v>
      </c>
      <c r="T69">
        <f t="shared" si="12"/>
        <v>2</v>
      </c>
      <c r="U69">
        <f t="shared" ref="U69:U103" si="15">IF(J69&gt;0,22.469*((J69-(-3.668))/14.027)-5.875,J69)</f>
        <v>16.659675411706001</v>
      </c>
      <c r="V69">
        <f t="shared" ref="V69:V103" si="16">IF(K69&gt;0,22.469*((K69-(-3.668))/14.027)-5.875,K69)</f>
        <v>13.295812860911102</v>
      </c>
      <c r="W69">
        <f t="shared" ref="W69:W103" si="17">IF(L69&gt;0,22.469*((L69-(-3.668))/14.027)-5.875,L69)</f>
        <v>10.732869965067373</v>
      </c>
      <c r="X69">
        <f t="shared" ref="X69:X103" si="18">IF(M69&gt;0,22.469*((M69-(-3.668))/14.027)-5.875,M69)</f>
        <v>12.014341412989236</v>
      </c>
      <c r="Y69">
        <f t="shared" ref="Y69:Y103" si="19">IF(N69&gt;0,22.469*((N69-(-3.668))/14.027)-5.875,N69)</f>
        <v>13.616180722891567</v>
      </c>
      <c r="Z69">
        <f t="shared" ref="Z69:Z103" si="20">IF(O69&gt;0,22.469*((O69-(-3.668))/14.027)-5.875,O69)</f>
        <v>15.538387894774363</v>
      </c>
      <c r="AA69">
        <f t="shared" ref="AA69:AA103" si="21">IF(P69&gt;0,22.469*((P69-(-3.668))/14.027)-5.875,P69)</f>
        <v>17.300411135666931</v>
      </c>
      <c r="AB69">
        <f t="shared" ref="AB69:AB103" si="22">IF(Q69&gt;0,22.469*((Q69-(-3.668))/14.027)-5.875,Q69)</f>
        <v>18.902250445569262</v>
      </c>
      <c r="AC69">
        <f t="shared" ref="AC69:AC103" si="23">IF(R69&gt;0,22.469*((R69-(-3.668))/14.027)-5.875,R69)</f>
        <v>18.421698652598561</v>
      </c>
      <c r="AD69">
        <f t="shared" ref="AD69:AD103" si="24">IF(S69&gt;0,22.469*((S69-(-3.668))/14.027)-5.875,S69)</f>
        <v>13.455996791901338</v>
      </c>
      <c r="AE69">
        <v>2</v>
      </c>
      <c r="AF69" t="s">
        <v>55</v>
      </c>
      <c r="AG69">
        <f t="shared" ref="AG69:AJ97" si="25">IF(U69&lt;0,"",U69/100)</f>
        <v>0.16659675411706001</v>
      </c>
      <c r="AH69">
        <f t="shared" si="14"/>
        <v>0.13295812860911102</v>
      </c>
      <c r="AI69">
        <f t="shared" si="14"/>
        <v>0.10732869965067372</v>
      </c>
      <c r="AJ69">
        <f t="shared" si="14"/>
        <v>0.12014341412989235</v>
      </c>
      <c r="AK69">
        <f t="shared" si="14"/>
        <v>0.13616180722891566</v>
      </c>
      <c r="AL69">
        <f t="shared" si="14"/>
        <v>0.15538387894774364</v>
      </c>
      <c r="AM69">
        <f t="shared" si="14"/>
        <v>0.17300411135666929</v>
      </c>
      <c r="AN69">
        <f t="shared" si="14"/>
        <v>0.18902250445569263</v>
      </c>
      <c r="AO69">
        <f t="shared" si="14"/>
        <v>0.18421698652598562</v>
      </c>
      <c r="AP69">
        <f t="shared" si="14"/>
        <v>0.13455996791901337</v>
      </c>
    </row>
    <row r="70" spans="1:42" x14ac:dyDescent="0.25">
      <c r="A70">
        <v>39</v>
      </c>
      <c r="B70">
        <v>452</v>
      </c>
      <c r="C70">
        <v>3</v>
      </c>
      <c r="D70">
        <v>0</v>
      </c>
      <c r="E70">
        <v>14</v>
      </c>
      <c r="F70">
        <v>9</v>
      </c>
      <c r="G70">
        <v>15</v>
      </c>
      <c r="H70">
        <v>7</v>
      </c>
      <c r="I70">
        <v>41</v>
      </c>
      <c r="J70">
        <v>8.3000000000000007</v>
      </c>
      <c r="K70">
        <v>9.9</v>
      </c>
      <c r="L70">
        <v>10.7</v>
      </c>
      <c r="M70">
        <v>10.1</v>
      </c>
      <c r="N70">
        <v>9.5</v>
      </c>
      <c r="O70">
        <v>10.4</v>
      </c>
      <c r="P70">
        <v>10.6</v>
      </c>
      <c r="Q70">
        <v>11.3</v>
      </c>
      <c r="R70">
        <v>12.3</v>
      </c>
      <c r="S70">
        <v>9.5</v>
      </c>
      <c r="T70">
        <f t="shared" si="12"/>
        <v>3</v>
      </c>
      <c r="U70">
        <f t="shared" si="15"/>
        <v>13.295812860911102</v>
      </c>
      <c r="V70">
        <f t="shared" si="16"/>
        <v>15.858755756754835</v>
      </c>
      <c r="W70">
        <f t="shared" si="17"/>
        <v>17.140227204676695</v>
      </c>
      <c r="X70">
        <f t="shared" si="18"/>
        <v>16.1791236187353</v>
      </c>
      <c r="Y70">
        <f t="shared" si="19"/>
        <v>15.218020032793898</v>
      </c>
      <c r="Z70">
        <f t="shared" si="20"/>
        <v>16.659675411706001</v>
      </c>
      <c r="AA70">
        <f t="shared" si="21"/>
        <v>16.980043273686466</v>
      </c>
      <c r="AB70">
        <f t="shared" si="22"/>
        <v>18.101330790618096</v>
      </c>
      <c r="AC70">
        <f t="shared" si="23"/>
        <v>19.703170100520428</v>
      </c>
      <c r="AD70">
        <f t="shared" si="24"/>
        <v>15.218020032793898</v>
      </c>
      <c r="AE70">
        <v>3</v>
      </c>
      <c r="AF70" t="s">
        <v>56</v>
      </c>
      <c r="AG70">
        <f t="shared" si="25"/>
        <v>0.13295812860911102</v>
      </c>
      <c r="AH70">
        <f t="shared" si="14"/>
        <v>0.15858755756754836</v>
      </c>
      <c r="AI70">
        <f t="shared" si="14"/>
        <v>0.17140227204676695</v>
      </c>
      <c r="AJ70">
        <f t="shared" si="14"/>
        <v>0.161791236187353</v>
      </c>
      <c r="AK70">
        <f t="shared" si="14"/>
        <v>0.152180200327939</v>
      </c>
      <c r="AL70">
        <f t="shared" si="14"/>
        <v>0.16659675411706001</v>
      </c>
      <c r="AM70">
        <f t="shared" si="14"/>
        <v>0.16980043273686465</v>
      </c>
      <c r="AN70">
        <f t="shared" si="14"/>
        <v>0.18101330790618098</v>
      </c>
      <c r="AO70">
        <f t="shared" si="14"/>
        <v>0.19703170100520428</v>
      </c>
      <c r="AP70">
        <f t="shared" si="14"/>
        <v>0.152180200327939</v>
      </c>
    </row>
    <row r="71" spans="1:42" x14ac:dyDescent="0.25">
      <c r="A71">
        <v>38</v>
      </c>
      <c r="B71">
        <v>451</v>
      </c>
      <c r="C71">
        <v>4</v>
      </c>
      <c r="D71">
        <v>0</v>
      </c>
      <c r="E71">
        <v>14</v>
      </c>
      <c r="F71">
        <v>9</v>
      </c>
      <c r="G71">
        <v>15</v>
      </c>
      <c r="H71">
        <v>7</v>
      </c>
      <c r="I71">
        <v>53</v>
      </c>
      <c r="J71">
        <v>-3.7</v>
      </c>
      <c r="K71">
        <v>8.5</v>
      </c>
      <c r="L71">
        <v>8.6</v>
      </c>
      <c r="M71">
        <v>9.1999999999999993</v>
      </c>
      <c r="N71">
        <v>9.4</v>
      </c>
      <c r="O71">
        <v>9.6</v>
      </c>
      <c r="P71">
        <v>10.1</v>
      </c>
      <c r="Q71">
        <v>10.8</v>
      </c>
      <c r="R71">
        <v>9.5</v>
      </c>
      <c r="S71">
        <v>8.9</v>
      </c>
      <c r="T71">
        <f t="shared" si="12"/>
        <v>4</v>
      </c>
      <c r="U71">
        <f t="shared" si="15"/>
        <v>-3.7</v>
      </c>
      <c r="V71">
        <f t="shared" si="16"/>
        <v>13.616180722891567</v>
      </c>
      <c r="W71">
        <f t="shared" si="17"/>
        <v>13.776364653881803</v>
      </c>
      <c r="X71">
        <f t="shared" si="18"/>
        <v>14.737468239823198</v>
      </c>
      <c r="Y71">
        <f t="shared" si="19"/>
        <v>15.057836101803669</v>
      </c>
      <c r="Z71">
        <f t="shared" si="20"/>
        <v>15.378203963784134</v>
      </c>
      <c r="AA71">
        <f t="shared" si="21"/>
        <v>16.1791236187353</v>
      </c>
      <c r="AB71">
        <f t="shared" si="22"/>
        <v>17.300411135666931</v>
      </c>
      <c r="AC71">
        <f t="shared" si="23"/>
        <v>15.218020032793898</v>
      </c>
      <c r="AD71">
        <f t="shared" si="24"/>
        <v>14.256916446852504</v>
      </c>
      <c r="AE71">
        <v>4</v>
      </c>
      <c r="AF71" t="s">
        <v>57</v>
      </c>
      <c r="AG71" t="str">
        <f t="shared" si="25"/>
        <v/>
      </c>
      <c r="AH71">
        <f t="shared" si="14"/>
        <v>0.13616180722891566</v>
      </c>
      <c r="AI71">
        <f t="shared" si="14"/>
        <v>0.13776364653881804</v>
      </c>
      <c r="AJ71">
        <f t="shared" si="14"/>
        <v>0.14737468239823198</v>
      </c>
      <c r="AK71">
        <f t="shared" si="14"/>
        <v>0.1505783610180367</v>
      </c>
      <c r="AL71">
        <f t="shared" si="14"/>
        <v>0.15378203963784134</v>
      </c>
      <c r="AM71">
        <f t="shared" si="14"/>
        <v>0.161791236187353</v>
      </c>
      <c r="AN71">
        <f t="shared" si="14"/>
        <v>0.17300411135666929</v>
      </c>
      <c r="AO71">
        <f t="shared" si="14"/>
        <v>0.152180200327939</v>
      </c>
      <c r="AP71">
        <f t="shared" si="14"/>
        <v>0.14256916446852505</v>
      </c>
    </row>
    <row r="72" spans="1:42" x14ac:dyDescent="0.25">
      <c r="A72">
        <v>37</v>
      </c>
      <c r="B72">
        <v>450</v>
      </c>
      <c r="C72">
        <v>5</v>
      </c>
      <c r="D72">
        <v>0</v>
      </c>
      <c r="E72">
        <v>14</v>
      </c>
      <c r="F72">
        <v>9</v>
      </c>
      <c r="G72">
        <v>15</v>
      </c>
      <c r="H72">
        <v>7</v>
      </c>
      <c r="I72">
        <v>57</v>
      </c>
      <c r="J72">
        <v>-3.7</v>
      </c>
      <c r="K72">
        <v>-3.7</v>
      </c>
      <c r="L72">
        <v>12.6</v>
      </c>
      <c r="M72">
        <v>10.9</v>
      </c>
      <c r="N72">
        <v>10.9</v>
      </c>
      <c r="O72">
        <v>11.4</v>
      </c>
      <c r="P72">
        <v>12.6</v>
      </c>
      <c r="Q72">
        <v>13.9</v>
      </c>
      <c r="R72">
        <v>10.3</v>
      </c>
      <c r="S72">
        <v>10.4</v>
      </c>
      <c r="T72">
        <f t="shared" si="12"/>
        <v>5</v>
      </c>
      <c r="U72">
        <f t="shared" si="15"/>
        <v>-3.7</v>
      </c>
      <c r="V72">
        <f t="shared" si="16"/>
        <v>-3.7</v>
      </c>
      <c r="W72">
        <f t="shared" si="17"/>
        <v>20.183721893491128</v>
      </c>
      <c r="X72">
        <f t="shared" si="18"/>
        <v>17.460595066657167</v>
      </c>
      <c r="Y72">
        <f t="shared" si="19"/>
        <v>17.460595066657167</v>
      </c>
      <c r="Z72">
        <f t="shared" si="20"/>
        <v>18.261514721608332</v>
      </c>
      <c r="AA72">
        <f t="shared" si="21"/>
        <v>20.183721893491128</v>
      </c>
      <c r="AB72">
        <f t="shared" si="22"/>
        <v>22.266112996364161</v>
      </c>
      <c r="AC72">
        <f t="shared" si="23"/>
        <v>16.499491480715765</v>
      </c>
      <c r="AD72">
        <f t="shared" si="24"/>
        <v>16.659675411706001</v>
      </c>
      <c r="AE72">
        <v>5</v>
      </c>
      <c r="AF72" t="s">
        <v>58</v>
      </c>
      <c r="AG72" t="str">
        <f t="shared" si="25"/>
        <v/>
      </c>
      <c r="AH72" t="str">
        <f t="shared" si="14"/>
        <v/>
      </c>
      <c r="AI72">
        <f t="shared" si="14"/>
        <v>0.20183721893491127</v>
      </c>
      <c r="AJ72">
        <f t="shared" si="14"/>
        <v>0.17460595066657167</v>
      </c>
      <c r="AK72">
        <f t="shared" si="14"/>
        <v>0.17460595066657167</v>
      </c>
      <c r="AL72">
        <f t="shared" si="14"/>
        <v>0.18261514721608332</v>
      </c>
      <c r="AM72">
        <f t="shared" si="14"/>
        <v>0.20183721893491127</v>
      </c>
      <c r="AN72">
        <f t="shared" si="14"/>
        <v>0.2226611299636416</v>
      </c>
      <c r="AO72">
        <f t="shared" si="14"/>
        <v>0.16499491480715764</v>
      </c>
      <c r="AP72">
        <f t="shared" si="14"/>
        <v>0.16659675411706001</v>
      </c>
    </row>
    <row r="73" spans="1:42" x14ac:dyDescent="0.25">
      <c r="A73">
        <v>36</v>
      </c>
      <c r="B73">
        <v>449</v>
      </c>
      <c r="C73">
        <v>6</v>
      </c>
      <c r="D73">
        <v>0</v>
      </c>
      <c r="E73">
        <v>14</v>
      </c>
      <c r="F73">
        <v>9</v>
      </c>
      <c r="G73">
        <v>15</v>
      </c>
      <c r="H73">
        <v>8</v>
      </c>
      <c r="I73">
        <v>2</v>
      </c>
      <c r="J73">
        <v>-3.7</v>
      </c>
      <c r="K73">
        <v>12.4</v>
      </c>
      <c r="L73">
        <v>12.1</v>
      </c>
      <c r="M73">
        <v>11.3</v>
      </c>
      <c r="N73">
        <v>11.3</v>
      </c>
      <c r="O73">
        <v>10</v>
      </c>
      <c r="P73">
        <v>10</v>
      </c>
      <c r="Q73">
        <v>11.7</v>
      </c>
      <c r="R73">
        <v>11.9</v>
      </c>
      <c r="S73">
        <v>9.3000000000000007</v>
      </c>
      <c r="T73">
        <f t="shared" si="12"/>
        <v>6</v>
      </c>
      <c r="U73">
        <f t="shared" si="15"/>
        <v>-3.7</v>
      </c>
      <c r="V73">
        <f t="shared" si="16"/>
        <v>19.863354031510664</v>
      </c>
      <c r="W73">
        <f t="shared" si="17"/>
        <v>19.382802238539963</v>
      </c>
      <c r="X73">
        <f t="shared" si="18"/>
        <v>18.101330790618096</v>
      </c>
      <c r="Y73">
        <f t="shared" si="19"/>
        <v>18.101330790618096</v>
      </c>
      <c r="Z73">
        <f t="shared" si="20"/>
        <v>16.018939687745064</v>
      </c>
      <c r="AA73">
        <f t="shared" si="21"/>
        <v>16.018939687745064</v>
      </c>
      <c r="AB73">
        <f t="shared" si="22"/>
        <v>18.742066514579026</v>
      </c>
      <c r="AC73">
        <f t="shared" si="23"/>
        <v>19.062434376559498</v>
      </c>
      <c r="AD73">
        <f t="shared" si="24"/>
        <v>14.897652170813434</v>
      </c>
      <c r="AE73">
        <v>6</v>
      </c>
      <c r="AF73" t="s">
        <v>59</v>
      </c>
      <c r="AG73" t="str">
        <f t="shared" si="25"/>
        <v/>
      </c>
      <c r="AH73">
        <f t="shared" si="14"/>
        <v>0.19863354031510663</v>
      </c>
      <c r="AI73">
        <f t="shared" si="14"/>
        <v>0.19382802238539962</v>
      </c>
      <c r="AJ73">
        <f t="shared" si="14"/>
        <v>0.18101330790618098</v>
      </c>
      <c r="AK73">
        <f t="shared" si="14"/>
        <v>0.18101330790618098</v>
      </c>
      <c r="AL73">
        <f t="shared" si="14"/>
        <v>0.16018939687745065</v>
      </c>
      <c r="AM73">
        <f t="shared" si="14"/>
        <v>0.16018939687745065</v>
      </c>
      <c r="AN73">
        <f t="shared" si="14"/>
        <v>0.18742066514579026</v>
      </c>
      <c r="AO73">
        <f t="shared" si="14"/>
        <v>0.19062434376559498</v>
      </c>
      <c r="AP73">
        <f t="shared" si="14"/>
        <v>0.14897652170813433</v>
      </c>
    </row>
    <row r="74" spans="1:42" x14ac:dyDescent="0.25">
      <c r="A74">
        <v>35</v>
      </c>
      <c r="B74">
        <v>448</v>
      </c>
      <c r="C74">
        <v>7</v>
      </c>
      <c r="D74">
        <v>0</v>
      </c>
      <c r="E74">
        <v>14</v>
      </c>
      <c r="F74">
        <v>9</v>
      </c>
      <c r="G74">
        <v>15</v>
      </c>
      <c r="H74">
        <v>8</v>
      </c>
      <c r="I74">
        <v>7</v>
      </c>
      <c r="J74">
        <v>-3.7</v>
      </c>
      <c r="K74">
        <v>-3.7</v>
      </c>
      <c r="L74">
        <v>16.899999999999999</v>
      </c>
      <c r="M74">
        <v>18.399999999999999</v>
      </c>
      <c r="N74">
        <v>13.3</v>
      </c>
      <c r="O74">
        <v>12.5</v>
      </c>
      <c r="P74">
        <v>14.2</v>
      </c>
      <c r="Q74">
        <v>13</v>
      </c>
      <c r="R74">
        <v>13.4</v>
      </c>
      <c r="S74">
        <v>9.5</v>
      </c>
      <c r="T74">
        <f t="shared" si="12"/>
        <v>7</v>
      </c>
      <c r="U74">
        <f t="shared" si="15"/>
        <v>-3.7</v>
      </c>
      <c r="V74">
        <f t="shared" si="16"/>
        <v>-3.7</v>
      </c>
      <c r="W74">
        <f t="shared" si="17"/>
        <v>27.071630926071151</v>
      </c>
      <c r="X74">
        <f t="shared" si="18"/>
        <v>29.474389890924648</v>
      </c>
      <c r="Y74">
        <f t="shared" si="19"/>
        <v>21.305009410422759</v>
      </c>
      <c r="Z74">
        <f t="shared" si="20"/>
        <v>20.023537962500892</v>
      </c>
      <c r="AA74">
        <f t="shared" si="21"/>
        <v>22.746664789334851</v>
      </c>
      <c r="AB74">
        <f t="shared" si="22"/>
        <v>20.824457617452058</v>
      </c>
      <c r="AC74">
        <f t="shared" si="23"/>
        <v>21.465193341412995</v>
      </c>
      <c r="AD74">
        <f t="shared" si="24"/>
        <v>15.218020032793898</v>
      </c>
      <c r="AE74">
        <v>7</v>
      </c>
      <c r="AF74" t="s">
        <v>60</v>
      </c>
      <c r="AG74" t="str">
        <f t="shared" si="25"/>
        <v/>
      </c>
      <c r="AH74" t="str">
        <f t="shared" si="14"/>
        <v/>
      </c>
      <c r="AI74">
        <f t="shared" si="14"/>
        <v>0.2707163092607115</v>
      </c>
      <c r="AJ74">
        <f t="shared" si="14"/>
        <v>0.29474389890924646</v>
      </c>
      <c r="AK74">
        <f t="shared" si="14"/>
        <v>0.21305009410422759</v>
      </c>
      <c r="AL74">
        <f t="shared" si="14"/>
        <v>0.20023537962500892</v>
      </c>
      <c r="AM74">
        <f t="shared" si="14"/>
        <v>0.2274666478933485</v>
      </c>
      <c r="AN74">
        <f t="shared" si="14"/>
        <v>0.20824457617452058</v>
      </c>
      <c r="AO74">
        <f t="shared" si="14"/>
        <v>0.21465193341412994</v>
      </c>
      <c r="AP74">
        <f t="shared" si="14"/>
        <v>0.152180200327939</v>
      </c>
    </row>
    <row r="75" spans="1:42" x14ac:dyDescent="0.25">
      <c r="A75">
        <v>34</v>
      </c>
      <c r="B75">
        <v>447</v>
      </c>
      <c r="C75">
        <v>8</v>
      </c>
      <c r="D75">
        <v>0</v>
      </c>
      <c r="E75">
        <v>14</v>
      </c>
      <c r="F75">
        <v>9</v>
      </c>
      <c r="G75">
        <v>15</v>
      </c>
      <c r="H75">
        <v>8</v>
      </c>
      <c r="I75">
        <v>11</v>
      </c>
      <c r="J75">
        <v>-3.7</v>
      </c>
      <c r="K75">
        <v>-3.7</v>
      </c>
      <c r="L75">
        <v>17</v>
      </c>
      <c r="M75">
        <v>10.7</v>
      </c>
      <c r="N75">
        <v>10.9</v>
      </c>
      <c r="O75">
        <v>11.9</v>
      </c>
      <c r="P75">
        <v>10.6</v>
      </c>
      <c r="Q75">
        <v>14.4</v>
      </c>
      <c r="R75">
        <v>15</v>
      </c>
      <c r="S75">
        <v>9.4</v>
      </c>
      <c r="T75">
        <f t="shared" si="12"/>
        <v>8</v>
      </c>
      <c r="U75">
        <f t="shared" si="15"/>
        <v>-3.7</v>
      </c>
      <c r="V75">
        <f t="shared" si="16"/>
        <v>-3.7</v>
      </c>
      <c r="W75">
        <f t="shared" si="17"/>
        <v>27.23181485706138</v>
      </c>
      <c r="X75">
        <f t="shared" si="18"/>
        <v>17.140227204676695</v>
      </c>
      <c r="Y75">
        <f t="shared" si="19"/>
        <v>17.460595066657167</v>
      </c>
      <c r="Z75">
        <f t="shared" si="20"/>
        <v>19.062434376559498</v>
      </c>
      <c r="AA75">
        <f t="shared" si="21"/>
        <v>16.980043273686466</v>
      </c>
      <c r="AB75">
        <f t="shared" si="22"/>
        <v>23.067032651315326</v>
      </c>
      <c r="AC75">
        <f t="shared" si="23"/>
        <v>24.028136237256721</v>
      </c>
      <c r="AD75">
        <f t="shared" si="24"/>
        <v>15.057836101803669</v>
      </c>
      <c r="AE75">
        <v>8</v>
      </c>
      <c r="AF75" t="s">
        <v>61</v>
      </c>
      <c r="AG75" t="str">
        <f t="shared" si="25"/>
        <v/>
      </c>
      <c r="AH75" t="str">
        <f t="shared" si="14"/>
        <v/>
      </c>
      <c r="AI75">
        <f t="shared" si="14"/>
        <v>0.27231814857061382</v>
      </c>
      <c r="AJ75">
        <f t="shared" si="14"/>
        <v>0.17140227204676695</v>
      </c>
      <c r="AK75">
        <f t="shared" si="14"/>
        <v>0.17460595066657167</v>
      </c>
      <c r="AL75">
        <f t="shared" si="14"/>
        <v>0.19062434376559498</v>
      </c>
      <c r="AM75">
        <f t="shared" si="14"/>
        <v>0.16980043273686465</v>
      </c>
      <c r="AN75">
        <f t="shared" si="14"/>
        <v>0.23067032651315325</v>
      </c>
      <c r="AO75">
        <f t="shared" si="14"/>
        <v>0.2402813623725672</v>
      </c>
      <c r="AP75">
        <f t="shared" si="14"/>
        <v>0.1505783610180367</v>
      </c>
    </row>
    <row r="76" spans="1:42" x14ac:dyDescent="0.25">
      <c r="A76">
        <v>33</v>
      </c>
      <c r="B76">
        <v>446</v>
      </c>
      <c r="C76">
        <v>9</v>
      </c>
      <c r="D76">
        <v>0</v>
      </c>
      <c r="E76">
        <v>14</v>
      </c>
      <c r="F76">
        <v>9</v>
      </c>
      <c r="G76">
        <v>15</v>
      </c>
      <c r="H76">
        <v>8</v>
      </c>
      <c r="I76">
        <v>15</v>
      </c>
      <c r="J76">
        <v>-3.7</v>
      </c>
      <c r="K76">
        <v>10.7</v>
      </c>
      <c r="L76">
        <v>9.3000000000000007</v>
      </c>
      <c r="M76">
        <v>10.7</v>
      </c>
      <c r="N76">
        <v>12.3</v>
      </c>
      <c r="O76">
        <v>12.5</v>
      </c>
      <c r="P76">
        <v>13.8</v>
      </c>
      <c r="Q76">
        <v>14.4</v>
      </c>
      <c r="R76">
        <v>13</v>
      </c>
      <c r="S76">
        <v>8.1999999999999993</v>
      </c>
      <c r="T76">
        <f t="shared" si="12"/>
        <v>9</v>
      </c>
      <c r="U76">
        <f t="shared" si="15"/>
        <v>-3.7</v>
      </c>
      <c r="V76">
        <f t="shared" si="16"/>
        <v>17.140227204676695</v>
      </c>
      <c r="W76">
        <f t="shared" si="17"/>
        <v>14.897652170813434</v>
      </c>
      <c r="X76">
        <f t="shared" si="18"/>
        <v>17.140227204676695</v>
      </c>
      <c r="Y76">
        <f t="shared" si="19"/>
        <v>19.703170100520428</v>
      </c>
      <c r="Z76">
        <f t="shared" si="20"/>
        <v>20.023537962500892</v>
      </c>
      <c r="AA76">
        <f t="shared" si="21"/>
        <v>22.105929065373928</v>
      </c>
      <c r="AB76">
        <f t="shared" si="22"/>
        <v>23.067032651315326</v>
      </c>
      <c r="AC76">
        <f t="shared" si="23"/>
        <v>20.824457617452058</v>
      </c>
      <c r="AD76">
        <f t="shared" si="24"/>
        <v>13.135628929920866</v>
      </c>
      <c r="AE76">
        <v>9</v>
      </c>
      <c r="AF76" t="s">
        <v>63</v>
      </c>
      <c r="AG76" t="str">
        <f t="shared" si="25"/>
        <v/>
      </c>
      <c r="AH76">
        <f t="shared" si="14"/>
        <v>0.17140227204676695</v>
      </c>
      <c r="AI76">
        <f t="shared" si="14"/>
        <v>0.14897652170813433</v>
      </c>
      <c r="AJ76">
        <f t="shared" si="14"/>
        <v>0.17140227204676695</v>
      </c>
      <c r="AK76">
        <f t="shared" si="14"/>
        <v>0.19703170100520428</v>
      </c>
      <c r="AL76">
        <f t="shared" si="14"/>
        <v>0.20023537962500892</v>
      </c>
      <c r="AM76">
        <f t="shared" si="14"/>
        <v>0.22105929065373928</v>
      </c>
      <c r="AN76">
        <f t="shared" si="14"/>
        <v>0.23067032651315325</v>
      </c>
      <c r="AO76">
        <f t="shared" si="14"/>
        <v>0.20824457617452058</v>
      </c>
      <c r="AP76">
        <f t="shared" si="14"/>
        <v>0.13135628929920867</v>
      </c>
    </row>
    <row r="77" spans="1:42" x14ac:dyDescent="0.25">
      <c r="A77">
        <v>32</v>
      </c>
      <c r="B77">
        <v>445</v>
      </c>
      <c r="C77">
        <v>10</v>
      </c>
      <c r="D77">
        <v>0</v>
      </c>
      <c r="E77">
        <v>14</v>
      </c>
      <c r="F77">
        <v>9</v>
      </c>
      <c r="G77">
        <v>15</v>
      </c>
      <c r="H77">
        <v>8</v>
      </c>
      <c r="I77">
        <v>11</v>
      </c>
      <c r="J77">
        <v>-3.7</v>
      </c>
      <c r="K77">
        <v>9.1</v>
      </c>
      <c r="L77">
        <v>9.9</v>
      </c>
      <c r="M77">
        <v>10.3</v>
      </c>
      <c r="N77">
        <v>12.7</v>
      </c>
      <c r="O77">
        <v>12.8</v>
      </c>
      <c r="P77">
        <v>13.3</v>
      </c>
      <c r="Q77">
        <v>13.9</v>
      </c>
      <c r="R77">
        <v>14.5</v>
      </c>
      <c r="S77">
        <v>9.6</v>
      </c>
      <c r="T77">
        <f t="shared" si="12"/>
        <v>10</v>
      </c>
      <c r="U77">
        <f t="shared" si="15"/>
        <v>-3.7</v>
      </c>
      <c r="V77">
        <f t="shared" si="16"/>
        <v>14.577284308832969</v>
      </c>
      <c r="W77">
        <f t="shared" si="17"/>
        <v>15.858755756754835</v>
      </c>
      <c r="X77">
        <f t="shared" si="18"/>
        <v>16.499491480715765</v>
      </c>
      <c r="Y77">
        <f t="shared" si="19"/>
        <v>20.343905824481361</v>
      </c>
      <c r="Z77">
        <f t="shared" si="20"/>
        <v>20.504089755471593</v>
      </c>
      <c r="AA77">
        <f t="shared" si="21"/>
        <v>21.305009410422759</v>
      </c>
      <c r="AB77">
        <f t="shared" si="22"/>
        <v>22.266112996364161</v>
      </c>
      <c r="AC77">
        <f t="shared" si="23"/>
        <v>23.227216582305552</v>
      </c>
      <c r="AD77">
        <f t="shared" si="24"/>
        <v>15.378203963784134</v>
      </c>
      <c r="AE77">
        <v>10</v>
      </c>
      <c r="AF77" t="s">
        <v>62</v>
      </c>
      <c r="AG77" t="str">
        <f t="shared" si="25"/>
        <v/>
      </c>
      <c r="AH77">
        <f t="shared" si="14"/>
        <v>0.14577284308832969</v>
      </c>
      <c r="AI77">
        <f t="shared" si="14"/>
        <v>0.15858755756754836</v>
      </c>
      <c r="AJ77">
        <f t="shared" si="14"/>
        <v>0.16499491480715764</v>
      </c>
      <c r="AK77">
        <f t="shared" si="14"/>
        <v>0.20343905824481362</v>
      </c>
      <c r="AL77">
        <f t="shared" si="14"/>
        <v>0.20504089755471594</v>
      </c>
      <c r="AM77">
        <f t="shared" si="14"/>
        <v>0.21305009410422759</v>
      </c>
      <c r="AN77">
        <f t="shared" si="14"/>
        <v>0.2226611299636416</v>
      </c>
      <c r="AO77">
        <f t="shared" si="14"/>
        <v>0.23227216582305552</v>
      </c>
      <c r="AP77">
        <f t="shared" si="14"/>
        <v>0.15378203963784134</v>
      </c>
    </row>
    <row r="78" spans="1:42" x14ac:dyDescent="0.25">
      <c r="A78">
        <v>31</v>
      </c>
      <c r="B78">
        <v>444</v>
      </c>
      <c r="C78">
        <v>11</v>
      </c>
      <c r="D78">
        <v>0</v>
      </c>
      <c r="E78">
        <v>14</v>
      </c>
      <c r="F78">
        <v>9</v>
      </c>
      <c r="G78">
        <v>15</v>
      </c>
      <c r="H78">
        <v>8</v>
      </c>
      <c r="I78">
        <v>26</v>
      </c>
      <c r="J78">
        <v>9.6999999999999993</v>
      </c>
      <c r="K78">
        <v>10.4</v>
      </c>
      <c r="L78">
        <v>11</v>
      </c>
      <c r="M78">
        <v>11.4</v>
      </c>
      <c r="N78">
        <v>12.5</v>
      </c>
      <c r="O78">
        <v>14.6</v>
      </c>
      <c r="P78">
        <v>15</v>
      </c>
      <c r="Q78">
        <v>16.3</v>
      </c>
      <c r="R78">
        <v>13.7</v>
      </c>
      <c r="S78">
        <v>8.1</v>
      </c>
      <c r="T78">
        <f t="shared" si="12"/>
        <v>11</v>
      </c>
      <c r="U78">
        <f t="shared" si="15"/>
        <v>15.538387894774363</v>
      </c>
      <c r="V78">
        <f t="shared" si="16"/>
        <v>16.659675411706001</v>
      </c>
      <c r="W78">
        <f t="shared" si="17"/>
        <v>17.620778997647395</v>
      </c>
      <c r="X78">
        <f t="shared" si="18"/>
        <v>18.261514721608332</v>
      </c>
      <c r="Y78">
        <f t="shared" si="19"/>
        <v>20.023537962500892</v>
      </c>
      <c r="Z78">
        <f t="shared" si="20"/>
        <v>23.387400513295795</v>
      </c>
      <c r="AA78">
        <f t="shared" si="21"/>
        <v>24.028136237256721</v>
      </c>
      <c r="AB78">
        <f t="shared" si="22"/>
        <v>26.110527340129753</v>
      </c>
      <c r="AC78">
        <f t="shared" si="23"/>
        <v>21.945745134383692</v>
      </c>
      <c r="AD78">
        <f t="shared" si="24"/>
        <v>12.975444998930637</v>
      </c>
      <c r="AE78">
        <v>11</v>
      </c>
      <c r="AF78" t="s">
        <v>52</v>
      </c>
      <c r="AG78">
        <f t="shared" si="25"/>
        <v>0.15538387894774364</v>
      </c>
      <c r="AH78">
        <f t="shared" si="14"/>
        <v>0.16659675411706001</v>
      </c>
      <c r="AI78">
        <f t="shared" si="14"/>
        <v>0.17620778997647396</v>
      </c>
      <c r="AJ78">
        <f t="shared" si="14"/>
        <v>0.18261514721608332</v>
      </c>
      <c r="AK78">
        <f t="shared" si="14"/>
        <v>0.20023537962500892</v>
      </c>
      <c r="AL78">
        <f t="shared" si="14"/>
        <v>0.23387400513295795</v>
      </c>
      <c r="AM78">
        <f t="shared" si="14"/>
        <v>0.2402813623725672</v>
      </c>
      <c r="AN78">
        <f t="shared" si="14"/>
        <v>0.26110527340129752</v>
      </c>
      <c r="AO78">
        <f t="shared" si="14"/>
        <v>0.21945745134383693</v>
      </c>
      <c r="AP78">
        <f t="shared" si="14"/>
        <v>0.12975444998930638</v>
      </c>
    </row>
    <row r="79" spans="1:42" x14ac:dyDescent="0.25">
      <c r="A79">
        <v>30</v>
      </c>
      <c r="B79">
        <v>443</v>
      </c>
      <c r="C79">
        <v>12</v>
      </c>
      <c r="D79">
        <v>0</v>
      </c>
      <c r="E79">
        <v>14</v>
      </c>
      <c r="F79">
        <v>9</v>
      </c>
      <c r="G79">
        <v>15</v>
      </c>
      <c r="H79">
        <v>8</v>
      </c>
      <c r="I79">
        <v>33</v>
      </c>
      <c r="J79">
        <v>14.1</v>
      </c>
      <c r="K79">
        <v>9.5</v>
      </c>
      <c r="L79">
        <v>9.6</v>
      </c>
      <c r="M79">
        <v>14.7</v>
      </c>
      <c r="N79">
        <v>13.2</v>
      </c>
      <c r="O79">
        <v>13.4</v>
      </c>
      <c r="P79">
        <v>14.2</v>
      </c>
      <c r="Q79">
        <v>15.3</v>
      </c>
      <c r="R79">
        <v>12.7</v>
      </c>
      <c r="S79">
        <v>8.5</v>
      </c>
      <c r="T79">
        <f t="shared" si="12"/>
        <v>12</v>
      </c>
      <c r="U79">
        <f t="shared" si="15"/>
        <v>22.586480858344625</v>
      </c>
      <c r="V79">
        <f t="shared" si="16"/>
        <v>15.218020032793898</v>
      </c>
      <c r="W79">
        <f t="shared" si="17"/>
        <v>15.378203963784134</v>
      </c>
      <c r="X79">
        <f t="shared" si="18"/>
        <v>23.54758444428602</v>
      </c>
      <c r="Y79">
        <f t="shared" si="19"/>
        <v>21.144825479432527</v>
      </c>
      <c r="Z79">
        <f t="shared" si="20"/>
        <v>21.465193341412995</v>
      </c>
      <c r="AA79">
        <f t="shared" si="21"/>
        <v>22.746664789334851</v>
      </c>
      <c r="AB79">
        <f t="shared" si="22"/>
        <v>24.508688030227418</v>
      </c>
      <c r="AC79">
        <f t="shared" si="23"/>
        <v>20.343905824481361</v>
      </c>
      <c r="AD79">
        <f t="shared" si="24"/>
        <v>13.616180722891567</v>
      </c>
      <c r="AE79">
        <v>12</v>
      </c>
      <c r="AF79" t="s">
        <v>64</v>
      </c>
      <c r="AG79">
        <f t="shared" si="25"/>
        <v>0.22586480858344626</v>
      </c>
      <c r="AH79">
        <f t="shared" si="14"/>
        <v>0.152180200327939</v>
      </c>
      <c r="AI79">
        <f t="shared" si="14"/>
        <v>0.15378203963784134</v>
      </c>
      <c r="AJ79">
        <f t="shared" si="14"/>
        <v>0.23547584444286021</v>
      </c>
      <c r="AK79">
        <f t="shared" si="14"/>
        <v>0.21144825479432527</v>
      </c>
      <c r="AL79">
        <f t="shared" si="14"/>
        <v>0.21465193341412994</v>
      </c>
      <c r="AM79">
        <f t="shared" si="14"/>
        <v>0.2274666478933485</v>
      </c>
      <c r="AN79">
        <f t="shared" si="14"/>
        <v>0.24508688030227418</v>
      </c>
      <c r="AO79">
        <f t="shared" si="14"/>
        <v>0.20343905824481362</v>
      </c>
      <c r="AP79">
        <f t="shared" si="14"/>
        <v>0.13616180722891566</v>
      </c>
    </row>
    <row r="80" spans="1:42" x14ac:dyDescent="0.25">
      <c r="A80">
        <v>29</v>
      </c>
      <c r="B80">
        <v>442</v>
      </c>
      <c r="C80">
        <v>13</v>
      </c>
      <c r="D80">
        <v>0</v>
      </c>
      <c r="E80">
        <v>14</v>
      </c>
      <c r="F80">
        <v>9</v>
      </c>
      <c r="G80">
        <v>15</v>
      </c>
      <c r="H80">
        <v>8</v>
      </c>
      <c r="I80">
        <v>45</v>
      </c>
      <c r="J80">
        <v>11.7</v>
      </c>
      <c r="K80">
        <v>12.9</v>
      </c>
      <c r="L80">
        <v>10.7</v>
      </c>
      <c r="M80">
        <v>14.3</v>
      </c>
      <c r="N80">
        <v>14.5</v>
      </c>
      <c r="O80">
        <v>17.5</v>
      </c>
      <c r="P80">
        <v>17.2</v>
      </c>
      <c r="Q80">
        <v>17.3</v>
      </c>
      <c r="R80">
        <v>15.4</v>
      </c>
      <c r="S80">
        <v>9.6999999999999993</v>
      </c>
      <c r="T80">
        <f t="shared" si="12"/>
        <v>13</v>
      </c>
      <c r="U80">
        <f t="shared" si="15"/>
        <v>18.742066514579026</v>
      </c>
      <c r="V80">
        <f t="shared" si="16"/>
        <v>20.664273686461829</v>
      </c>
      <c r="W80">
        <f t="shared" si="17"/>
        <v>17.140227204676695</v>
      </c>
      <c r="X80">
        <f t="shared" si="18"/>
        <v>22.906848720325094</v>
      </c>
      <c r="Y80">
        <f t="shared" si="19"/>
        <v>23.227216582305552</v>
      </c>
      <c r="Z80">
        <f t="shared" si="20"/>
        <v>28.032734512012553</v>
      </c>
      <c r="AA80">
        <f t="shared" si="21"/>
        <v>27.552182719041852</v>
      </c>
      <c r="AB80">
        <f t="shared" si="22"/>
        <v>27.712366650032081</v>
      </c>
      <c r="AC80">
        <f t="shared" si="23"/>
        <v>24.668871961217654</v>
      </c>
      <c r="AD80">
        <f t="shared" si="24"/>
        <v>15.538387894774363</v>
      </c>
      <c r="AE80">
        <v>13</v>
      </c>
      <c r="AF80" t="s">
        <v>29</v>
      </c>
      <c r="AG80">
        <f t="shared" si="25"/>
        <v>0.18742066514579026</v>
      </c>
      <c r="AH80">
        <f t="shared" si="14"/>
        <v>0.20664273686461829</v>
      </c>
      <c r="AI80">
        <f t="shared" si="14"/>
        <v>0.17140227204676695</v>
      </c>
      <c r="AJ80">
        <f t="shared" si="14"/>
        <v>0.22906848720325093</v>
      </c>
      <c r="AK80">
        <f t="shared" si="14"/>
        <v>0.23227216582305552</v>
      </c>
      <c r="AL80">
        <f t="shared" si="14"/>
        <v>0.28032734512012553</v>
      </c>
      <c r="AM80">
        <f t="shared" si="14"/>
        <v>0.27552182719041851</v>
      </c>
      <c r="AN80">
        <f t="shared" si="14"/>
        <v>0.27712366650032083</v>
      </c>
      <c r="AO80">
        <f t="shared" si="14"/>
        <v>0.24668871961217653</v>
      </c>
      <c r="AP80">
        <f t="shared" si="14"/>
        <v>0.15538387894774364</v>
      </c>
    </row>
    <row r="81" spans="1:42" x14ac:dyDescent="0.25">
      <c r="A81">
        <v>28</v>
      </c>
      <c r="B81">
        <v>441</v>
      </c>
      <c r="C81">
        <v>14</v>
      </c>
      <c r="D81">
        <v>0</v>
      </c>
      <c r="E81">
        <v>14</v>
      </c>
      <c r="F81">
        <v>9</v>
      </c>
      <c r="G81">
        <v>15</v>
      </c>
      <c r="H81">
        <v>8</v>
      </c>
      <c r="I81">
        <v>41</v>
      </c>
      <c r="J81">
        <v>12.3</v>
      </c>
      <c r="K81">
        <v>12.5</v>
      </c>
      <c r="L81">
        <v>14.3</v>
      </c>
      <c r="M81">
        <v>15.4</v>
      </c>
      <c r="N81">
        <v>14.2</v>
      </c>
      <c r="O81">
        <v>14.1</v>
      </c>
      <c r="P81">
        <v>15</v>
      </c>
      <c r="Q81">
        <v>12.6</v>
      </c>
      <c r="R81">
        <v>12.6</v>
      </c>
      <c r="S81">
        <v>7.6</v>
      </c>
      <c r="T81">
        <f t="shared" si="12"/>
        <v>14</v>
      </c>
      <c r="U81">
        <f t="shared" si="15"/>
        <v>19.703170100520428</v>
      </c>
      <c r="V81">
        <f t="shared" si="16"/>
        <v>20.023537962500892</v>
      </c>
      <c r="W81">
        <f t="shared" si="17"/>
        <v>22.906848720325094</v>
      </c>
      <c r="X81">
        <f t="shared" si="18"/>
        <v>24.668871961217654</v>
      </c>
      <c r="Y81">
        <f t="shared" si="19"/>
        <v>22.746664789334851</v>
      </c>
      <c r="Z81">
        <f t="shared" si="20"/>
        <v>22.586480858344625</v>
      </c>
      <c r="AA81">
        <f t="shared" si="21"/>
        <v>24.028136237256721</v>
      </c>
      <c r="AB81">
        <f t="shared" si="22"/>
        <v>20.183721893491128</v>
      </c>
      <c r="AC81">
        <f t="shared" si="23"/>
        <v>20.183721893491128</v>
      </c>
      <c r="AD81">
        <f t="shared" si="24"/>
        <v>12.174525343979472</v>
      </c>
      <c r="AE81">
        <v>14</v>
      </c>
      <c r="AF81" t="s">
        <v>30</v>
      </c>
      <c r="AG81">
        <f t="shared" si="25"/>
        <v>0.19703170100520428</v>
      </c>
      <c r="AH81">
        <f t="shared" si="14"/>
        <v>0.20023537962500892</v>
      </c>
      <c r="AI81">
        <f t="shared" si="14"/>
        <v>0.22906848720325093</v>
      </c>
      <c r="AJ81">
        <f t="shared" si="14"/>
        <v>0.24668871961217653</v>
      </c>
      <c r="AK81">
        <f t="shared" si="14"/>
        <v>0.2274666478933485</v>
      </c>
      <c r="AL81">
        <f t="shared" si="14"/>
        <v>0.22586480858344626</v>
      </c>
      <c r="AM81">
        <f t="shared" si="14"/>
        <v>0.2402813623725672</v>
      </c>
      <c r="AN81">
        <f t="shared" si="14"/>
        <v>0.20183721893491127</v>
      </c>
      <c r="AO81">
        <f t="shared" si="14"/>
        <v>0.20183721893491127</v>
      </c>
      <c r="AP81">
        <f t="shared" si="14"/>
        <v>0.12174525343979471</v>
      </c>
    </row>
    <row r="82" spans="1:42" x14ac:dyDescent="0.25">
      <c r="A82">
        <v>27</v>
      </c>
      <c r="B82">
        <v>440</v>
      </c>
      <c r="C82">
        <v>15</v>
      </c>
      <c r="D82">
        <v>0</v>
      </c>
      <c r="E82">
        <v>14</v>
      </c>
      <c r="F82">
        <v>9</v>
      </c>
      <c r="G82">
        <v>15</v>
      </c>
      <c r="H82">
        <v>9</v>
      </c>
      <c r="I82">
        <v>0</v>
      </c>
      <c r="J82">
        <v>11.6</v>
      </c>
      <c r="K82">
        <v>10.5</v>
      </c>
      <c r="L82">
        <v>10.4</v>
      </c>
      <c r="M82">
        <v>11</v>
      </c>
      <c r="N82">
        <v>13.8</v>
      </c>
      <c r="O82">
        <v>13.8</v>
      </c>
      <c r="P82">
        <v>14.8</v>
      </c>
      <c r="Q82">
        <v>15.3</v>
      </c>
      <c r="R82">
        <v>14.4</v>
      </c>
      <c r="S82">
        <v>9.6</v>
      </c>
      <c r="T82">
        <f t="shared" si="12"/>
        <v>15</v>
      </c>
      <c r="U82">
        <f t="shared" si="15"/>
        <v>18.581882583588797</v>
      </c>
      <c r="V82">
        <f t="shared" si="16"/>
        <v>16.81985934269623</v>
      </c>
      <c r="W82">
        <f t="shared" si="17"/>
        <v>16.659675411706001</v>
      </c>
      <c r="X82">
        <f t="shared" si="18"/>
        <v>17.620778997647395</v>
      </c>
      <c r="Y82">
        <f t="shared" si="19"/>
        <v>22.105929065373928</v>
      </c>
      <c r="Z82">
        <f t="shared" si="20"/>
        <v>22.105929065373928</v>
      </c>
      <c r="AA82">
        <f t="shared" si="21"/>
        <v>23.707768375276252</v>
      </c>
      <c r="AB82">
        <f t="shared" si="22"/>
        <v>24.508688030227418</v>
      </c>
      <c r="AC82">
        <f t="shared" si="23"/>
        <v>23.067032651315326</v>
      </c>
      <c r="AD82">
        <f t="shared" si="24"/>
        <v>15.378203963784134</v>
      </c>
      <c r="AE82">
        <v>15</v>
      </c>
      <c r="AF82" t="s">
        <v>31</v>
      </c>
      <c r="AG82">
        <f t="shared" si="25"/>
        <v>0.18581882583588796</v>
      </c>
      <c r="AH82">
        <f t="shared" si="14"/>
        <v>0.16819859342696231</v>
      </c>
      <c r="AI82">
        <f t="shared" si="14"/>
        <v>0.16659675411706001</v>
      </c>
      <c r="AJ82">
        <f t="shared" si="14"/>
        <v>0.17620778997647396</v>
      </c>
      <c r="AK82">
        <f t="shared" si="14"/>
        <v>0.22105929065373928</v>
      </c>
      <c r="AL82">
        <f t="shared" si="14"/>
        <v>0.22105929065373928</v>
      </c>
      <c r="AM82">
        <f t="shared" si="14"/>
        <v>0.23707768375276253</v>
      </c>
      <c r="AN82">
        <f t="shared" si="14"/>
        <v>0.24508688030227418</v>
      </c>
      <c r="AO82">
        <f t="shared" si="14"/>
        <v>0.23067032651315325</v>
      </c>
      <c r="AP82">
        <f t="shared" si="14"/>
        <v>0.15378203963784134</v>
      </c>
    </row>
    <row r="83" spans="1:42" x14ac:dyDescent="0.25">
      <c r="A83">
        <v>26</v>
      </c>
      <c r="B83">
        <v>439</v>
      </c>
      <c r="C83">
        <v>16</v>
      </c>
      <c r="D83">
        <v>0</v>
      </c>
      <c r="E83">
        <v>14</v>
      </c>
      <c r="F83">
        <v>9</v>
      </c>
      <c r="G83">
        <v>15</v>
      </c>
      <c r="H83">
        <v>9</v>
      </c>
      <c r="I83">
        <v>6</v>
      </c>
      <c r="J83">
        <v>14.9</v>
      </c>
      <c r="K83">
        <v>12.7</v>
      </c>
      <c r="L83">
        <v>13.4</v>
      </c>
      <c r="M83">
        <v>12.9</v>
      </c>
      <c r="N83">
        <v>12.7</v>
      </c>
      <c r="O83">
        <v>12.5</v>
      </c>
      <c r="P83">
        <v>11.4</v>
      </c>
      <c r="Q83">
        <v>12.2</v>
      </c>
      <c r="R83">
        <v>14</v>
      </c>
      <c r="S83">
        <v>9.1999999999999993</v>
      </c>
      <c r="T83">
        <f t="shared" si="12"/>
        <v>16</v>
      </c>
      <c r="U83">
        <f t="shared" si="15"/>
        <v>23.867952306266496</v>
      </c>
      <c r="V83">
        <f t="shared" si="16"/>
        <v>20.343905824481361</v>
      </c>
      <c r="W83">
        <f t="shared" si="17"/>
        <v>21.465193341412995</v>
      </c>
      <c r="X83">
        <f t="shared" si="18"/>
        <v>20.664273686461829</v>
      </c>
      <c r="Y83">
        <f t="shared" si="19"/>
        <v>20.343905824481361</v>
      </c>
      <c r="Z83">
        <f t="shared" si="20"/>
        <v>20.023537962500892</v>
      </c>
      <c r="AA83">
        <f t="shared" si="21"/>
        <v>18.261514721608332</v>
      </c>
      <c r="AB83">
        <f t="shared" si="22"/>
        <v>19.542986169530192</v>
      </c>
      <c r="AC83">
        <f t="shared" si="23"/>
        <v>22.426296927354393</v>
      </c>
      <c r="AD83">
        <f t="shared" si="24"/>
        <v>14.737468239823198</v>
      </c>
      <c r="AE83">
        <v>16</v>
      </c>
      <c r="AF83" t="s">
        <v>32</v>
      </c>
      <c r="AG83">
        <f t="shared" si="25"/>
        <v>0.23867952306266496</v>
      </c>
      <c r="AH83">
        <f t="shared" si="14"/>
        <v>0.20343905824481362</v>
      </c>
      <c r="AI83">
        <f t="shared" si="14"/>
        <v>0.21465193341412994</v>
      </c>
      <c r="AJ83">
        <f t="shared" si="14"/>
        <v>0.20664273686461829</v>
      </c>
      <c r="AK83">
        <f t="shared" si="14"/>
        <v>0.20343905824481362</v>
      </c>
      <c r="AL83">
        <f t="shared" si="14"/>
        <v>0.20023537962500892</v>
      </c>
      <c r="AM83">
        <f t="shared" si="14"/>
        <v>0.18261514721608332</v>
      </c>
      <c r="AN83">
        <f t="shared" si="14"/>
        <v>0.19542986169530191</v>
      </c>
      <c r="AO83">
        <f t="shared" si="14"/>
        <v>0.22426296927354394</v>
      </c>
      <c r="AP83">
        <f t="shared" si="14"/>
        <v>0.14737468239823198</v>
      </c>
    </row>
    <row r="84" spans="1:42" x14ac:dyDescent="0.25">
      <c r="A84">
        <v>24</v>
      </c>
      <c r="B84">
        <v>437</v>
      </c>
      <c r="C84">
        <v>17</v>
      </c>
      <c r="D84">
        <v>0</v>
      </c>
      <c r="E84">
        <v>14</v>
      </c>
      <c r="F84">
        <v>9</v>
      </c>
      <c r="G84">
        <v>15</v>
      </c>
      <c r="H84">
        <v>9</v>
      </c>
      <c r="I84">
        <v>27</v>
      </c>
      <c r="J84">
        <v>11.7</v>
      </c>
      <c r="K84">
        <v>10.9</v>
      </c>
      <c r="L84">
        <v>10.8</v>
      </c>
      <c r="M84">
        <v>10.4</v>
      </c>
      <c r="N84">
        <v>11.8</v>
      </c>
      <c r="O84">
        <v>14.2</v>
      </c>
      <c r="P84">
        <v>14.2</v>
      </c>
      <c r="Q84">
        <v>13.8</v>
      </c>
      <c r="R84">
        <v>13.7</v>
      </c>
      <c r="S84">
        <v>10.199999999999999</v>
      </c>
      <c r="T84">
        <f t="shared" si="12"/>
        <v>17</v>
      </c>
      <c r="U84">
        <f t="shared" si="15"/>
        <v>18.742066514579026</v>
      </c>
      <c r="V84">
        <f t="shared" si="16"/>
        <v>17.460595066657167</v>
      </c>
      <c r="W84">
        <f t="shared" si="17"/>
        <v>17.300411135666931</v>
      </c>
      <c r="X84">
        <f t="shared" si="18"/>
        <v>16.659675411706001</v>
      </c>
      <c r="Y84">
        <f t="shared" si="19"/>
        <v>18.902250445569262</v>
      </c>
      <c r="Z84">
        <f t="shared" si="20"/>
        <v>22.746664789334851</v>
      </c>
      <c r="AA84">
        <f t="shared" si="21"/>
        <v>22.746664789334851</v>
      </c>
      <c r="AB84">
        <f t="shared" si="22"/>
        <v>22.105929065373928</v>
      </c>
      <c r="AC84">
        <f t="shared" si="23"/>
        <v>21.945745134383692</v>
      </c>
      <c r="AD84">
        <f t="shared" si="24"/>
        <v>16.339307549725529</v>
      </c>
      <c r="AE84">
        <v>17</v>
      </c>
      <c r="AF84" t="s">
        <v>33</v>
      </c>
      <c r="AG84">
        <f t="shared" si="25"/>
        <v>0.18742066514579026</v>
      </c>
      <c r="AH84">
        <f t="shared" si="14"/>
        <v>0.17460595066657167</v>
      </c>
      <c r="AI84">
        <f t="shared" si="14"/>
        <v>0.17300411135666929</v>
      </c>
      <c r="AJ84">
        <f t="shared" si="14"/>
        <v>0.16659675411706001</v>
      </c>
      <c r="AK84">
        <f t="shared" si="14"/>
        <v>0.18902250445569263</v>
      </c>
      <c r="AL84">
        <f t="shared" si="14"/>
        <v>0.2274666478933485</v>
      </c>
      <c r="AM84">
        <f t="shared" si="14"/>
        <v>0.2274666478933485</v>
      </c>
      <c r="AN84">
        <f t="shared" si="14"/>
        <v>0.22105929065373928</v>
      </c>
      <c r="AO84">
        <f t="shared" si="14"/>
        <v>0.21945745134383693</v>
      </c>
      <c r="AP84">
        <f t="shared" si="14"/>
        <v>0.16339307549725529</v>
      </c>
    </row>
    <row r="85" spans="1:42" x14ac:dyDescent="0.25">
      <c r="A85">
        <v>23</v>
      </c>
      <c r="B85">
        <v>436</v>
      </c>
      <c r="C85">
        <v>18</v>
      </c>
      <c r="D85">
        <v>0</v>
      </c>
      <c r="E85">
        <v>14</v>
      </c>
      <c r="F85">
        <v>9</v>
      </c>
      <c r="G85">
        <v>15</v>
      </c>
      <c r="H85">
        <v>9</v>
      </c>
      <c r="I85">
        <v>32</v>
      </c>
      <c r="J85">
        <v>13.4</v>
      </c>
      <c r="K85">
        <v>11.8</v>
      </c>
      <c r="L85">
        <v>16.2</v>
      </c>
      <c r="M85">
        <v>16.3</v>
      </c>
      <c r="N85">
        <v>12.9</v>
      </c>
      <c r="O85">
        <v>12.5</v>
      </c>
      <c r="P85">
        <v>12.5</v>
      </c>
      <c r="Q85">
        <v>12.6</v>
      </c>
      <c r="R85">
        <v>10.7</v>
      </c>
      <c r="S85">
        <v>8.4</v>
      </c>
      <c r="T85">
        <f t="shared" si="12"/>
        <v>18</v>
      </c>
      <c r="U85">
        <f t="shared" si="15"/>
        <v>21.465193341412995</v>
      </c>
      <c r="V85">
        <f t="shared" si="16"/>
        <v>18.902250445569262</v>
      </c>
      <c r="W85">
        <f t="shared" si="17"/>
        <v>25.950343409139517</v>
      </c>
      <c r="X85">
        <f t="shared" si="18"/>
        <v>26.110527340129753</v>
      </c>
      <c r="Y85">
        <f t="shared" si="19"/>
        <v>20.664273686461829</v>
      </c>
      <c r="Z85">
        <f t="shared" si="20"/>
        <v>20.023537962500892</v>
      </c>
      <c r="AA85">
        <f t="shared" si="21"/>
        <v>20.023537962500892</v>
      </c>
      <c r="AB85">
        <f t="shared" si="22"/>
        <v>20.183721893491128</v>
      </c>
      <c r="AC85">
        <f t="shared" si="23"/>
        <v>17.140227204676695</v>
      </c>
      <c r="AD85">
        <f t="shared" si="24"/>
        <v>13.455996791901338</v>
      </c>
      <c r="AE85">
        <v>18</v>
      </c>
      <c r="AF85" t="s">
        <v>34</v>
      </c>
      <c r="AG85">
        <f t="shared" si="25"/>
        <v>0.21465193341412994</v>
      </c>
      <c r="AH85">
        <f t="shared" si="14"/>
        <v>0.18902250445569263</v>
      </c>
      <c r="AI85">
        <f t="shared" si="14"/>
        <v>0.25950343409139515</v>
      </c>
      <c r="AJ85">
        <f t="shared" si="14"/>
        <v>0.26110527340129752</v>
      </c>
      <c r="AK85">
        <f t="shared" si="14"/>
        <v>0.20664273686461829</v>
      </c>
      <c r="AL85">
        <f t="shared" si="14"/>
        <v>0.20023537962500892</v>
      </c>
      <c r="AM85">
        <f t="shared" si="14"/>
        <v>0.20023537962500892</v>
      </c>
      <c r="AN85">
        <f t="shared" si="14"/>
        <v>0.20183721893491127</v>
      </c>
      <c r="AO85">
        <f t="shared" si="14"/>
        <v>0.17140227204676695</v>
      </c>
      <c r="AP85">
        <f t="shared" si="14"/>
        <v>0.13455996791901337</v>
      </c>
    </row>
    <row r="86" spans="1:42" x14ac:dyDescent="0.25">
      <c r="A86">
        <v>22</v>
      </c>
      <c r="B86">
        <v>435</v>
      </c>
      <c r="C86">
        <v>19</v>
      </c>
      <c r="D86">
        <v>0</v>
      </c>
      <c r="E86">
        <v>14</v>
      </c>
      <c r="F86">
        <v>9</v>
      </c>
      <c r="G86">
        <v>15</v>
      </c>
      <c r="H86">
        <v>9</v>
      </c>
      <c r="I86">
        <v>30</v>
      </c>
      <c r="J86">
        <v>15.5</v>
      </c>
      <c r="K86">
        <v>13</v>
      </c>
      <c r="L86">
        <v>19.5</v>
      </c>
      <c r="M86">
        <v>11.5</v>
      </c>
      <c r="N86">
        <v>10.8</v>
      </c>
      <c r="O86">
        <v>12</v>
      </c>
      <c r="P86">
        <v>12.6</v>
      </c>
      <c r="Q86">
        <v>12.2</v>
      </c>
      <c r="R86">
        <v>11.6</v>
      </c>
      <c r="S86">
        <v>8.6</v>
      </c>
      <c r="T86">
        <f t="shared" si="12"/>
        <v>19</v>
      </c>
      <c r="U86">
        <f t="shared" si="15"/>
        <v>24.829055892207887</v>
      </c>
      <c r="V86">
        <f t="shared" si="16"/>
        <v>20.824457617452058</v>
      </c>
      <c r="W86">
        <f t="shared" si="17"/>
        <v>31.236413131817216</v>
      </c>
      <c r="X86">
        <f t="shared" si="18"/>
        <v>18.421698652598561</v>
      </c>
      <c r="Y86">
        <f t="shared" si="19"/>
        <v>17.300411135666931</v>
      </c>
      <c r="Z86">
        <f t="shared" si="20"/>
        <v>19.222618307549727</v>
      </c>
      <c r="AA86">
        <f t="shared" si="21"/>
        <v>20.183721893491128</v>
      </c>
      <c r="AB86">
        <f t="shared" si="22"/>
        <v>19.542986169530192</v>
      </c>
      <c r="AC86">
        <f t="shared" si="23"/>
        <v>18.581882583588797</v>
      </c>
      <c r="AD86">
        <f t="shared" si="24"/>
        <v>13.776364653881803</v>
      </c>
      <c r="AE86">
        <v>19</v>
      </c>
      <c r="AF86" t="s">
        <v>65</v>
      </c>
      <c r="AG86">
        <f t="shared" si="25"/>
        <v>0.24829055892207885</v>
      </c>
      <c r="AH86">
        <f t="shared" si="14"/>
        <v>0.20824457617452058</v>
      </c>
      <c r="AI86">
        <f t="shared" si="14"/>
        <v>0.31236413131817214</v>
      </c>
      <c r="AJ86">
        <f t="shared" si="14"/>
        <v>0.18421698652598562</v>
      </c>
      <c r="AK86">
        <f t="shared" si="14"/>
        <v>0.17300411135666929</v>
      </c>
      <c r="AL86">
        <f t="shared" si="14"/>
        <v>0.19222618307549727</v>
      </c>
      <c r="AM86">
        <f t="shared" si="14"/>
        <v>0.20183721893491127</v>
      </c>
      <c r="AN86">
        <f t="shared" si="14"/>
        <v>0.19542986169530191</v>
      </c>
      <c r="AO86">
        <f t="shared" si="14"/>
        <v>0.18581882583588796</v>
      </c>
      <c r="AP86">
        <f t="shared" si="14"/>
        <v>0.13776364653881804</v>
      </c>
    </row>
    <row r="87" spans="1:42" x14ac:dyDescent="0.25">
      <c r="A87">
        <v>21</v>
      </c>
      <c r="B87">
        <v>434</v>
      </c>
      <c r="C87">
        <v>20</v>
      </c>
      <c r="D87">
        <v>0</v>
      </c>
      <c r="E87">
        <v>14</v>
      </c>
      <c r="F87">
        <v>9</v>
      </c>
      <c r="G87">
        <v>15</v>
      </c>
      <c r="H87">
        <v>9</v>
      </c>
      <c r="I87">
        <v>46</v>
      </c>
      <c r="J87">
        <v>10.4</v>
      </c>
      <c r="K87">
        <v>10.4</v>
      </c>
      <c r="L87">
        <v>16.399999999999999</v>
      </c>
      <c r="M87">
        <v>12.4</v>
      </c>
      <c r="N87">
        <v>13</v>
      </c>
      <c r="O87">
        <v>13.8</v>
      </c>
      <c r="P87">
        <v>13.3</v>
      </c>
      <c r="Q87">
        <v>11.5</v>
      </c>
      <c r="R87">
        <v>11.9</v>
      </c>
      <c r="S87">
        <v>8.5</v>
      </c>
      <c r="T87">
        <f t="shared" si="12"/>
        <v>20</v>
      </c>
      <c r="U87">
        <f t="shared" si="15"/>
        <v>16.659675411706001</v>
      </c>
      <c r="V87">
        <f t="shared" si="16"/>
        <v>16.659675411706001</v>
      </c>
      <c r="W87">
        <f t="shared" si="17"/>
        <v>26.270711271119985</v>
      </c>
      <c r="X87">
        <f t="shared" si="18"/>
        <v>19.863354031510664</v>
      </c>
      <c r="Y87">
        <f t="shared" si="19"/>
        <v>20.824457617452058</v>
      </c>
      <c r="Z87">
        <f t="shared" si="20"/>
        <v>22.105929065373928</v>
      </c>
      <c r="AA87">
        <f t="shared" si="21"/>
        <v>21.305009410422759</v>
      </c>
      <c r="AB87">
        <f t="shared" si="22"/>
        <v>18.421698652598561</v>
      </c>
      <c r="AC87">
        <f t="shared" si="23"/>
        <v>19.062434376559498</v>
      </c>
      <c r="AD87">
        <f t="shared" si="24"/>
        <v>13.616180722891567</v>
      </c>
      <c r="AE87">
        <v>20</v>
      </c>
      <c r="AF87" t="s">
        <v>66</v>
      </c>
      <c r="AG87">
        <f t="shared" si="25"/>
        <v>0.16659675411706001</v>
      </c>
      <c r="AH87">
        <f t="shared" si="14"/>
        <v>0.16659675411706001</v>
      </c>
      <c r="AI87">
        <f t="shared" si="14"/>
        <v>0.26270711271119984</v>
      </c>
      <c r="AJ87">
        <f t="shared" si="14"/>
        <v>0.19863354031510663</v>
      </c>
      <c r="AK87">
        <f t="shared" si="14"/>
        <v>0.20824457617452058</v>
      </c>
      <c r="AL87">
        <f t="shared" si="14"/>
        <v>0.22105929065373928</v>
      </c>
      <c r="AM87">
        <f t="shared" si="14"/>
        <v>0.21305009410422759</v>
      </c>
      <c r="AN87">
        <f t="shared" si="14"/>
        <v>0.18421698652598562</v>
      </c>
      <c r="AO87">
        <f t="shared" si="14"/>
        <v>0.19062434376559498</v>
      </c>
      <c r="AP87">
        <f t="shared" si="14"/>
        <v>0.13616180722891566</v>
      </c>
    </row>
    <row r="88" spans="1:42" x14ac:dyDescent="0.25">
      <c r="A88">
        <v>19</v>
      </c>
      <c r="B88">
        <v>432</v>
      </c>
      <c r="C88">
        <v>21</v>
      </c>
      <c r="D88">
        <v>0</v>
      </c>
      <c r="E88">
        <v>14</v>
      </c>
      <c r="F88">
        <v>9</v>
      </c>
      <c r="G88">
        <v>15</v>
      </c>
      <c r="H88">
        <v>9</v>
      </c>
      <c r="I88">
        <v>52</v>
      </c>
      <c r="J88">
        <v>14.7</v>
      </c>
      <c r="K88">
        <v>13.7</v>
      </c>
      <c r="L88">
        <v>12.8</v>
      </c>
      <c r="M88">
        <v>12.9</v>
      </c>
      <c r="N88">
        <v>13</v>
      </c>
      <c r="O88">
        <v>11.3</v>
      </c>
      <c r="P88">
        <v>12.2</v>
      </c>
      <c r="Q88">
        <v>15</v>
      </c>
      <c r="R88">
        <v>14.1</v>
      </c>
      <c r="S88">
        <v>9.1</v>
      </c>
      <c r="T88">
        <f t="shared" si="12"/>
        <v>21</v>
      </c>
      <c r="U88">
        <f t="shared" si="15"/>
        <v>23.54758444428602</v>
      </c>
      <c r="V88">
        <f t="shared" si="16"/>
        <v>21.945745134383692</v>
      </c>
      <c r="W88">
        <f t="shared" si="17"/>
        <v>20.504089755471593</v>
      </c>
      <c r="X88">
        <f t="shared" si="18"/>
        <v>20.664273686461829</v>
      </c>
      <c r="Y88">
        <f t="shared" si="19"/>
        <v>20.824457617452058</v>
      </c>
      <c r="Z88">
        <f t="shared" si="20"/>
        <v>18.101330790618096</v>
      </c>
      <c r="AA88">
        <f t="shared" si="21"/>
        <v>19.542986169530192</v>
      </c>
      <c r="AB88">
        <f t="shared" si="22"/>
        <v>24.028136237256721</v>
      </c>
      <c r="AC88">
        <f t="shared" si="23"/>
        <v>22.586480858344625</v>
      </c>
      <c r="AD88">
        <f t="shared" si="24"/>
        <v>14.577284308832969</v>
      </c>
      <c r="AE88">
        <v>21</v>
      </c>
      <c r="AF88" t="s">
        <v>67</v>
      </c>
      <c r="AG88">
        <f t="shared" si="25"/>
        <v>0.23547584444286021</v>
      </c>
      <c r="AH88">
        <f t="shared" si="14"/>
        <v>0.21945745134383693</v>
      </c>
      <c r="AI88">
        <f t="shared" si="14"/>
        <v>0.20504089755471594</v>
      </c>
      <c r="AJ88">
        <f t="shared" si="14"/>
        <v>0.20664273686461829</v>
      </c>
      <c r="AK88">
        <f t="shared" si="14"/>
        <v>0.20824457617452058</v>
      </c>
      <c r="AL88">
        <f t="shared" si="14"/>
        <v>0.18101330790618098</v>
      </c>
      <c r="AM88">
        <f t="shared" si="14"/>
        <v>0.19542986169530191</v>
      </c>
      <c r="AN88">
        <f t="shared" si="14"/>
        <v>0.2402813623725672</v>
      </c>
      <c r="AO88">
        <f t="shared" si="14"/>
        <v>0.22586480858344626</v>
      </c>
      <c r="AP88">
        <f t="shared" si="14"/>
        <v>0.14577284308832969</v>
      </c>
    </row>
    <row r="89" spans="1:42" x14ac:dyDescent="0.25">
      <c r="A89">
        <v>18</v>
      </c>
      <c r="B89">
        <v>431</v>
      </c>
      <c r="C89">
        <v>22</v>
      </c>
      <c r="D89">
        <v>0</v>
      </c>
      <c r="E89">
        <v>14</v>
      </c>
      <c r="F89">
        <v>9</v>
      </c>
      <c r="G89">
        <v>15</v>
      </c>
      <c r="H89">
        <v>9</v>
      </c>
      <c r="I89">
        <v>50</v>
      </c>
      <c r="J89">
        <v>12.6</v>
      </c>
      <c r="K89">
        <v>11.8</v>
      </c>
      <c r="L89">
        <v>12.7</v>
      </c>
      <c r="M89">
        <v>13</v>
      </c>
      <c r="N89">
        <v>13.9</v>
      </c>
      <c r="O89">
        <v>15</v>
      </c>
      <c r="P89">
        <v>14.8</v>
      </c>
      <c r="Q89">
        <v>15.2</v>
      </c>
      <c r="R89">
        <v>13.7</v>
      </c>
      <c r="S89">
        <v>9.8000000000000007</v>
      </c>
      <c r="T89">
        <f t="shared" si="12"/>
        <v>22</v>
      </c>
      <c r="U89">
        <f t="shared" si="15"/>
        <v>20.183721893491128</v>
      </c>
      <c r="V89">
        <f t="shared" si="16"/>
        <v>18.902250445569262</v>
      </c>
      <c r="W89">
        <f t="shared" si="17"/>
        <v>20.343905824481361</v>
      </c>
      <c r="X89">
        <f t="shared" si="18"/>
        <v>20.824457617452058</v>
      </c>
      <c r="Y89">
        <f t="shared" si="19"/>
        <v>22.266112996364161</v>
      </c>
      <c r="Z89">
        <f t="shared" si="20"/>
        <v>24.028136237256721</v>
      </c>
      <c r="AA89">
        <f t="shared" si="21"/>
        <v>23.707768375276252</v>
      </c>
      <c r="AB89">
        <f t="shared" si="22"/>
        <v>24.348504099237186</v>
      </c>
      <c r="AC89">
        <f t="shared" si="23"/>
        <v>21.945745134383692</v>
      </c>
      <c r="AD89">
        <f t="shared" si="24"/>
        <v>15.698571825764599</v>
      </c>
      <c r="AE89">
        <v>22</v>
      </c>
      <c r="AF89" t="s">
        <v>68</v>
      </c>
      <c r="AG89">
        <f t="shared" si="25"/>
        <v>0.20183721893491127</v>
      </c>
      <c r="AH89">
        <f t="shared" si="14"/>
        <v>0.18902250445569263</v>
      </c>
      <c r="AI89">
        <f t="shared" si="14"/>
        <v>0.20343905824481362</v>
      </c>
      <c r="AJ89">
        <f t="shared" si="14"/>
        <v>0.20824457617452058</v>
      </c>
      <c r="AK89">
        <f t="shared" si="14"/>
        <v>0.2226611299636416</v>
      </c>
      <c r="AL89">
        <f t="shared" si="14"/>
        <v>0.2402813623725672</v>
      </c>
      <c r="AM89">
        <f t="shared" si="14"/>
        <v>0.23707768375276253</v>
      </c>
      <c r="AN89">
        <f t="shared" si="14"/>
        <v>0.24348504099237187</v>
      </c>
      <c r="AO89">
        <f t="shared" si="14"/>
        <v>0.21945745134383693</v>
      </c>
      <c r="AP89">
        <f t="shared" si="14"/>
        <v>0.15698571825764598</v>
      </c>
    </row>
    <row r="90" spans="1:42" x14ac:dyDescent="0.25">
      <c r="A90">
        <v>17</v>
      </c>
      <c r="B90">
        <v>430</v>
      </c>
      <c r="C90">
        <v>23</v>
      </c>
      <c r="D90">
        <v>0</v>
      </c>
      <c r="E90">
        <v>14</v>
      </c>
      <c r="F90">
        <v>9</v>
      </c>
      <c r="G90">
        <v>15</v>
      </c>
      <c r="H90">
        <v>10</v>
      </c>
      <c r="I90">
        <v>3</v>
      </c>
      <c r="J90">
        <v>11.3</v>
      </c>
      <c r="K90">
        <v>12.3</v>
      </c>
      <c r="L90">
        <v>14.7</v>
      </c>
      <c r="M90">
        <v>14.1</v>
      </c>
      <c r="N90">
        <v>14.3</v>
      </c>
      <c r="O90">
        <v>13.4</v>
      </c>
      <c r="P90">
        <v>13.9</v>
      </c>
      <c r="Q90">
        <v>14.3</v>
      </c>
      <c r="R90">
        <v>13.4</v>
      </c>
      <c r="S90">
        <v>9.1999999999999993</v>
      </c>
      <c r="T90">
        <f t="shared" si="12"/>
        <v>23</v>
      </c>
      <c r="U90">
        <f t="shared" si="15"/>
        <v>18.101330790618096</v>
      </c>
      <c r="V90">
        <f t="shared" si="16"/>
        <v>19.703170100520428</v>
      </c>
      <c r="W90">
        <f t="shared" si="17"/>
        <v>23.54758444428602</v>
      </c>
      <c r="X90">
        <f t="shared" si="18"/>
        <v>22.586480858344625</v>
      </c>
      <c r="Y90">
        <f t="shared" si="19"/>
        <v>22.906848720325094</v>
      </c>
      <c r="Z90">
        <f t="shared" si="20"/>
        <v>21.465193341412995</v>
      </c>
      <c r="AA90">
        <f t="shared" si="21"/>
        <v>22.266112996364161</v>
      </c>
      <c r="AB90">
        <f t="shared" si="22"/>
        <v>22.906848720325094</v>
      </c>
      <c r="AC90">
        <f t="shared" si="23"/>
        <v>21.465193341412995</v>
      </c>
      <c r="AD90">
        <f t="shared" si="24"/>
        <v>14.737468239823198</v>
      </c>
      <c r="AE90">
        <v>23</v>
      </c>
      <c r="AF90" t="s">
        <v>69</v>
      </c>
      <c r="AG90">
        <f t="shared" si="25"/>
        <v>0.18101330790618098</v>
      </c>
      <c r="AH90">
        <f t="shared" si="14"/>
        <v>0.19703170100520428</v>
      </c>
      <c r="AI90">
        <f t="shared" si="14"/>
        <v>0.23547584444286021</v>
      </c>
      <c r="AJ90">
        <f t="shared" si="14"/>
        <v>0.22586480858344626</v>
      </c>
      <c r="AK90">
        <f t="shared" si="14"/>
        <v>0.22906848720325093</v>
      </c>
      <c r="AL90">
        <f t="shared" si="14"/>
        <v>0.21465193341412994</v>
      </c>
      <c r="AM90">
        <f t="shared" si="14"/>
        <v>0.2226611299636416</v>
      </c>
      <c r="AN90">
        <f t="shared" si="14"/>
        <v>0.22906848720325093</v>
      </c>
      <c r="AO90">
        <f t="shared" si="14"/>
        <v>0.21465193341412994</v>
      </c>
      <c r="AP90">
        <f t="shared" si="14"/>
        <v>0.14737468239823198</v>
      </c>
    </row>
    <row r="91" spans="1:42" x14ac:dyDescent="0.25">
      <c r="A91">
        <v>16</v>
      </c>
      <c r="B91">
        <v>429</v>
      </c>
      <c r="C91">
        <v>24</v>
      </c>
      <c r="D91">
        <v>0</v>
      </c>
      <c r="E91">
        <v>14</v>
      </c>
      <c r="F91">
        <v>9</v>
      </c>
      <c r="G91">
        <v>15</v>
      </c>
      <c r="H91">
        <v>10</v>
      </c>
      <c r="I91">
        <v>0</v>
      </c>
      <c r="J91">
        <v>-3.7</v>
      </c>
      <c r="K91">
        <v>11.2</v>
      </c>
      <c r="L91">
        <v>13.6</v>
      </c>
      <c r="M91">
        <v>14.8</v>
      </c>
      <c r="N91">
        <v>13.8</v>
      </c>
      <c r="O91">
        <v>13.5</v>
      </c>
      <c r="P91">
        <v>15.5</v>
      </c>
      <c r="Q91">
        <v>17.2</v>
      </c>
      <c r="R91">
        <v>14.4</v>
      </c>
      <c r="S91">
        <v>10.7</v>
      </c>
      <c r="T91">
        <f t="shared" si="12"/>
        <v>24</v>
      </c>
      <c r="U91">
        <f t="shared" si="15"/>
        <v>-3.7</v>
      </c>
      <c r="V91">
        <f t="shared" si="16"/>
        <v>17.94114685962786</v>
      </c>
      <c r="W91">
        <f t="shared" si="17"/>
        <v>21.78556120339346</v>
      </c>
      <c r="X91">
        <f t="shared" si="18"/>
        <v>23.707768375276252</v>
      </c>
      <c r="Y91">
        <f t="shared" si="19"/>
        <v>22.105929065373928</v>
      </c>
      <c r="Z91">
        <f t="shared" si="20"/>
        <v>21.625377272403227</v>
      </c>
      <c r="AA91">
        <f t="shared" si="21"/>
        <v>24.829055892207887</v>
      </c>
      <c r="AB91">
        <f t="shared" si="22"/>
        <v>27.552182719041852</v>
      </c>
      <c r="AC91">
        <f t="shared" si="23"/>
        <v>23.067032651315326</v>
      </c>
      <c r="AD91">
        <f t="shared" si="24"/>
        <v>17.140227204676695</v>
      </c>
      <c r="AE91">
        <v>24</v>
      </c>
      <c r="AF91" t="s">
        <v>70</v>
      </c>
      <c r="AG91" t="str">
        <f t="shared" si="25"/>
        <v/>
      </c>
      <c r="AH91">
        <f t="shared" si="14"/>
        <v>0.1794114685962786</v>
      </c>
      <c r="AI91">
        <f t="shared" si="14"/>
        <v>0.21785561203393461</v>
      </c>
      <c r="AJ91">
        <f t="shared" si="14"/>
        <v>0.23707768375276253</v>
      </c>
      <c r="AK91">
        <f t="shared" si="14"/>
        <v>0.22105929065373928</v>
      </c>
      <c r="AL91">
        <f t="shared" si="14"/>
        <v>0.21625377272403226</v>
      </c>
      <c r="AM91">
        <f t="shared" si="14"/>
        <v>0.24829055892207885</v>
      </c>
      <c r="AN91">
        <f t="shared" si="14"/>
        <v>0.27552182719041851</v>
      </c>
      <c r="AO91">
        <f t="shared" si="14"/>
        <v>0.23067032651315325</v>
      </c>
      <c r="AP91">
        <f t="shared" si="14"/>
        <v>0.17140227204676695</v>
      </c>
    </row>
    <row r="92" spans="1:42" x14ac:dyDescent="0.25">
      <c r="A92">
        <v>15</v>
      </c>
      <c r="B92">
        <v>428</v>
      </c>
      <c r="C92">
        <v>25</v>
      </c>
      <c r="D92">
        <v>0</v>
      </c>
      <c r="E92">
        <v>14</v>
      </c>
      <c r="F92">
        <v>9</v>
      </c>
      <c r="G92">
        <v>15</v>
      </c>
      <c r="H92">
        <v>10</v>
      </c>
      <c r="I92">
        <v>46</v>
      </c>
      <c r="J92">
        <v>-3.7</v>
      </c>
      <c r="K92">
        <v>13.6</v>
      </c>
      <c r="L92">
        <v>16</v>
      </c>
      <c r="M92">
        <v>15.6</v>
      </c>
      <c r="N92">
        <v>13.6</v>
      </c>
      <c r="O92">
        <v>13.3</v>
      </c>
      <c r="P92">
        <v>11.2</v>
      </c>
      <c r="Q92">
        <v>12.9</v>
      </c>
      <c r="R92">
        <v>13.7</v>
      </c>
      <c r="S92">
        <v>8.6</v>
      </c>
      <c r="T92">
        <f t="shared" si="12"/>
        <v>25</v>
      </c>
      <c r="U92">
        <f t="shared" si="15"/>
        <v>-3.7</v>
      </c>
      <c r="V92">
        <f t="shared" si="16"/>
        <v>21.78556120339346</v>
      </c>
      <c r="W92">
        <f t="shared" si="17"/>
        <v>25.629975547159052</v>
      </c>
      <c r="X92">
        <f t="shared" si="18"/>
        <v>24.989239823198119</v>
      </c>
      <c r="Y92">
        <f t="shared" si="19"/>
        <v>21.78556120339346</v>
      </c>
      <c r="Z92">
        <f t="shared" si="20"/>
        <v>21.305009410422759</v>
      </c>
      <c r="AA92">
        <f t="shared" si="21"/>
        <v>17.94114685962786</v>
      </c>
      <c r="AB92">
        <f t="shared" si="22"/>
        <v>20.664273686461829</v>
      </c>
      <c r="AC92">
        <f t="shared" si="23"/>
        <v>21.945745134383692</v>
      </c>
      <c r="AD92">
        <f t="shared" si="24"/>
        <v>13.776364653881803</v>
      </c>
      <c r="AE92">
        <v>25</v>
      </c>
      <c r="AF92" t="s">
        <v>71</v>
      </c>
      <c r="AG92" t="str">
        <f t="shared" si="25"/>
        <v/>
      </c>
      <c r="AH92">
        <f t="shared" si="14"/>
        <v>0.21785561203393461</v>
      </c>
      <c r="AI92">
        <f t="shared" si="14"/>
        <v>0.25629975547159051</v>
      </c>
      <c r="AJ92">
        <f t="shared" si="14"/>
        <v>0.2498923982319812</v>
      </c>
      <c r="AK92">
        <f t="shared" si="14"/>
        <v>0.21785561203393461</v>
      </c>
      <c r="AL92">
        <f t="shared" si="14"/>
        <v>0.21305009410422759</v>
      </c>
      <c r="AM92">
        <f t="shared" si="14"/>
        <v>0.1794114685962786</v>
      </c>
      <c r="AN92">
        <f t="shared" si="14"/>
        <v>0.20664273686461829</v>
      </c>
      <c r="AO92">
        <f t="shared" si="14"/>
        <v>0.21945745134383693</v>
      </c>
      <c r="AP92">
        <f t="shared" si="14"/>
        <v>0.13776364653881804</v>
      </c>
    </row>
    <row r="93" spans="1:42" x14ac:dyDescent="0.25">
      <c r="A93">
        <v>13</v>
      </c>
      <c r="B93">
        <v>426</v>
      </c>
      <c r="C93">
        <v>26</v>
      </c>
      <c r="D93">
        <v>0</v>
      </c>
      <c r="E93">
        <v>14</v>
      </c>
      <c r="F93">
        <v>9</v>
      </c>
      <c r="G93">
        <v>16</v>
      </c>
      <c r="H93">
        <v>6</v>
      </c>
      <c r="I93">
        <v>40</v>
      </c>
      <c r="J93">
        <v>11.1</v>
      </c>
      <c r="K93">
        <v>11</v>
      </c>
      <c r="L93">
        <v>11.9</v>
      </c>
      <c r="M93">
        <v>11.5</v>
      </c>
      <c r="N93">
        <v>12.2</v>
      </c>
      <c r="O93">
        <v>10.8</v>
      </c>
      <c r="P93">
        <v>12.1</v>
      </c>
      <c r="Q93">
        <v>13.8</v>
      </c>
      <c r="R93">
        <v>12.9</v>
      </c>
      <c r="S93">
        <v>8.5</v>
      </c>
      <c r="T93">
        <f t="shared" si="12"/>
        <v>26</v>
      </c>
      <c r="U93">
        <f t="shared" si="15"/>
        <v>17.780962928637631</v>
      </c>
      <c r="V93">
        <f t="shared" si="16"/>
        <v>17.620778997647395</v>
      </c>
      <c r="W93">
        <f t="shared" si="17"/>
        <v>19.062434376559498</v>
      </c>
      <c r="X93">
        <f t="shared" si="18"/>
        <v>18.421698652598561</v>
      </c>
      <c r="Y93">
        <f t="shared" si="19"/>
        <v>19.542986169530192</v>
      </c>
      <c r="Z93">
        <f t="shared" si="20"/>
        <v>17.300411135666931</v>
      </c>
      <c r="AA93">
        <f t="shared" si="21"/>
        <v>19.382802238539963</v>
      </c>
      <c r="AB93">
        <f t="shared" si="22"/>
        <v>22.105929065373928</v>
      </c>
      <c r="AC93">
        <f t="shared" si="23"/>
        <v>20.664273686461829</v>
      </c>
      <c r="AD93">
        <f t="shared" si="24"/>
        <v>13.616180722891567</v>
      </c>
      <c r="AE93">
        <v>26</v>
      </c>
      <c r="AF93" t="s">
        <v>74</v>
      </c>
      <c r="AG93">
        <f t="shared" si="25"/>
        <v>0.17780962928637631</v>
      </c>
      <c r="AH93">
        <f t="shared" si="14"/>
        <v>0.17620778997647396</v>
      </c>
      <c r="AI93">
        <f t="shared" si="14"/>
        <v>0.19062434376559498</v>
      </c>
      <c r="AJ93">
        <f t="shared" si="14"/>
        <v>0.18421698652598562</v>
      </c>
      <c r="AK93">
        <f t="shared" si="14"/>
        <v>0.19542986169530191</v>
      </c>
      <c r="AL93">
        <f t="shared" si="14"/>
        <v>0.17300411135666929</v>
      </c>
      <c r="AM93">
        <f t="shared" si="14"/>
        <v>0.19382802238539962</v>
      </c>
      <c r="AN93">
        <f t="shared" si="14"/>
        <v>0.22105929065373928</v>
      </c>
      <c r="AO93">
        <f t="shared" si="14"/>
        <v>0.20664273686461829</v>
      </c>
      <c r="AP93">
        <f t="shared" si="14"/>
        <v>0.13616180722891566</v>
      </c>
    </row>
    <row r="94" spans="1:42" x14ac:dyDescent="0.25">
      <c r="A94">
        <v>11</v>
      </c>
      <c r="B94">
        <v>424</v>
      </c>
      <c r="C94">
        <v>27</v>
      </c>
      <c r="D94">
        <v>0</v>
      </c>
      <c r="E94">
        <v>14</v>
      </c>
      <c r="F94">
        <v>9</v>
      </c>
      <c r="G94">
        <v>16</v>
      </c>
      <c r="H94">
        <v>6</v>
      </c>
      <c r="I94">
        <v>52</v>
      </c>
      <c r="J94">
        <v>12.6</v>
      </c>
      <c r="K94">
        <v>10.6</v>
      </c>
      <c r="L94">
        <v>10.6</v>
      </c>
      <c r="M94">
        <v>11.4</v>
      </c>
      <c r="N94">
        <v>13</v>
      </c>
      <c r="O94">
        <v>13.6</v>
      </c>
      <c r="P94">
        <v>13</v>
      </c>
      <c r="Q94">
        <v>15</v>
      </c>
      <c r="R94">
        <v>13.9</v>
      </c>
      <c r="S94">
        <v>9.3000000000000007</v>
      </c>
      <c r="T94">
        <f t="shared" si="12"/>
        <v>27</v>
      </c>
      <c r="U94">
        <f t="shared" si="15"/>
        <v>20.183721893491128</v>
      </c>
      <c r="V94">
        <f t="shared" si="16"/>
        <v>16.980043273686466</v>
      </c>
      <c r="W94">
        <f t="shared" si="17"/>
        <v>16.980043273686466</v>
      </c>
      <c r="X94">
        <f t="shared" si="18"/>
        <v>18.261514721608332</v>
      </c>
      <c r="Y94">
        <f t="shared" si="19"/>
        <v>20.824457617452058</v>
      </c>
      <c r="Z94">
        <f t="shared" si="20"/>
        <v>21.78556120339346</v>
      </c>
      <c r="AA94">
        <f t="shared" si="21"/>
        <v>20.824457617452058</v>
      </c>
      <c r="AB94">
        <f t="shared" si="22"/>
        <v>24.028136237256721</v>
      </c>
      <c r="AC94">
        <f t="shared" si="23"/>
        <v>22.266112996364161</v>
      </c>
      <c r="AD94">
        <f t="shared" si="24"/>
        <v>14.897652170813434</v>
      </c>
      <c r="AE94">
        <v>27</v>
      </c>
      <c r="AF94" t="s">
        <v>75</v>
      </c>
      <c r="AG94">
        <f t="shared" si="25"/>
        <v>0.20183721893491127</v>
      </c>
      <c r="AH94">
        <f t="shared" si="14"/>
        <v>0.16980043273686465</v>
      </c>
      <c r="AI94">
        <f t="shared" si="14"/>
        <v>0.16980043273686465</v>
      </c>
      <c r="AJ94">
        <f t="shared" si="14"/>
        <v>0.18261514721608332</v>
      </c>
      <c r="AK94">
        <f t="shared" si="14"/>
        <v>0.20824457617452058</v>
      </c>
      <c r="AL94">
        <f t="shared" si="14"/>
        <v>0.21785561203393461</v>
      </c>
      <c r="AM94">
        <f t="shared" si="14"/>
        <v>0.20824457617452058</v>
      </c>
      <c r="AN94">
        <f t="shared" si="14"/>
        <v>0.2402813623725672</v>
      </c>
      <c r="AO94">
        <f t="shared" si="14"/>
        <v>0.2226611299636416</v>
      </c>
      <c r="AP94">
        <f t="shared" si="14"/>
        <v>0.14897652170813433</v>
      </c>
    </row>
    <row r="95" spans="1:42" x14ac:dyDescent="0.25">
      <c r="A95">
        <v>10</v>
      </c>
      <c r="B95">
        <v>423</v>
      </c>
      <c r="C95">
        <v>29</v>
      </c>
      <c r="D95">
        <v>0</v>
      </c>
      <c r="E95">
        <v>14</v>
      </c>
      <c r="F95">
        <v>9</v>
      </c>
      <c r="G95">
        <v>16</v>
      </c>
      <c r="H95">
        <v>7</v>
      </c>
      <c r="I95">
        <v>0</v>
      </c>
      <c r="J95">
        <v>-3.7</v>
      </c>
      <c r="K95">
        <v>20.399999999999999</v>
      </c>
      <c r="L95">
        <v>14.6</v>
      </c>
      <c r="M95">
        <v>14.6</v>
      </c>
      <c r="N95">
        <v>16.399999999999999</v>
      </c>
      <c r="O95">
        <v>14.8</v>
      </c>
      <c r="P95">
        <v>15.8</v>
      </c>
      <c r="Q95">
        <v>14.2</v>
      </c>
      <c r="R95">
        <v>14.7</v>
      </c>
      <c r="S95">
        <v>8.4</v>
      </c>
      <c r="T95">
        <f t="shared" si="12"/>
        <v>29</v>
      </c>
      <c r="U95">
        <f t="shared" si="15"/>
        <v>-3.7</v>
      </c>
      <c r="V95">
        <f t="shared" si="16"/>
        <v>32.678068510729311</v>
      </c>
      <c r="W95">
        <f t="shared" si="17"/>
        <v>23.387400513295795</v>
      </c>
      <c r="X95">
        <f t="shared" si="18"/>
        <v>23.387400513295795</v>
      </c>
      <c r="Y95">
        <f t="shared" si="19"/>
        <v>26.270711271119985</v>
      </c>
      <c r="Z95">
        <f t="shared" si="20"/>
        <v>23.707768375276252</v>
      </c>
      <c r="AA95">
        <f t="shared" si="21"/>
        <v>25.309607685178587</v>
      </c>
      <c r="AB95">
        <f t="shared" si="22"/>
        <v>22.746664789334851</v>
      </c>
      <c r="AC95">
        <f t="shared" si="23"/>
        <v>23.54758444428602</v>
      </c>
      <c r="AD95">
        <f t="shared" si="24"/>
        <v>13.455996791901338</v>
      </c>
      <c r="AE95">
        <v>29</v>
      </c>
      <c r="AF95" t="s">
        <v>76</v>
      </c>
      <c r="AG95" t="str">
        <f t="shared" si="25"/>
        <v/>
      </c>
      <c r="AH95">
        <f t="shared" si="14"/>
        <v>0.32678068510729313</v>
      </c>
      <c r="AI95">
        <f t="shared" si="14"/>
        <v>0.23387400513295795</v>
      </c>
      <c r="AJ95">
        <f t="shared" si="14"/>
        <v>0.23387400513295795</v>
      </c>
      <c r="AK95">
        <f t="shared" si="14"/>
        <v>0.26270711271119984</v>
      </c>
      <c r="AL95">
        <f t="shared" si="14"/>
        <v>0.23707768375276253</v>
      </c>
      <c r="AM95">
        <f t="shared" si="14"/>
        <v>0.25309607685178587</v>
      </c>
      <c r="AN95">
        <f t="shared" si="14"/>
        <v>0.2274666478933485</v>
      </c>
      <c r="AO95">
        <f t="shared" si="14"/>
        <v>0.23547584444286021</v>
      </c>
      <c r="AP95">
        <f t="shared" si="14"/>
        <v>0.13455996791901337</v>
      </c>
    </row>
    <row r="96" spans="1:42" x14ac:dyDescent="0.25">
      <c r="A96">
        <v>9</v>
      </c>
      <c r="B96">
        <v>422</v>
      </c>
      <c r="C96">
        <v>30</v>
      </c>
      <c r="D96">
        <v>0</v>
      </c>
      <c r="E96">
        <v>14</v>
      </c>
      <c r="F96">
        <v>9</v>
      </c>
      <c r="G96">
        <v>16</v>
      </c>
      <c r="H96">
        <v>7</v>
      </c>
      <c r="I96">
        <v>4</v>
      </c>
      <c r="J96">
        <v>-3.7</v>
      </c>
      <c r="K96">
        <v>-3.7</v>
      </c>
      <c r="L96">
        <v>17.7</v>
      </c>
      <c r="M96">
        <v>14.8</v>
      </c>
      <c r="N96">
        <v>13.5</v>
      </c>
      <c r="O96">
        <v>13.1</v>
      </c>
      <c r="P96">
        <v>10.9</v>
      </c>
      <c r="Q96">
        <v>12.7</v>
      </c>
      <c r="R96">
        <v>11</v>
      </c>
      <c r="S96">
        <v>7.6</v>
      </c>
      <c r="T96">
        <f t="shared" si="12"/>
        <v>30</v>
      </c>
      <c r="U96">
        <f t="shared" si="15"/>
        <v>-3.7</v>
      </c>
      <c r="V96">
        <f t="shared" si="16"/>
        <v>-3.7</v>
      </c>
      <c r="W96">
        <f t="shared" si="17"/>
        <v>28.353102373993018</v>
      </c>
      <c r="X96">
        <f t="shared" si="18"/>
        <v>23.707768375276252</v>
      </c>
      <c r="Y96">
        <f t="shared" si="19"/>
        <v>21.625377272403227</v>
      </c>
      <c r="Z96">
        <f t="shared" si="20"/>
        <v>20.984641548442294</v>
      </c>
      <c r="AA96">
        <f t="shared" si="21"/>
        <v>17.460595066657167</v>
      </c>
      <c r="AB96">
        <f t="shared" si="22"/>
        <v>20.343905824481361</v>
      </c>
      <c r="AC96">
        <f t="shared" si="23"/>
        <v>17.620778997647395</v>
      </c>
      <c r="AD96">
        <f t="shared" si="24"/>
        <v>12.174525343979472</v>
      </c>
      <c r="AE96">
        <v>30</v>
      </c>
      <c r="AF96" t="s">
        <v>53</v>
      </c>
      <c r="AG96" t="str">
        <f t="shared" si="25"/>
        <v/>
      </c>
      <c r="AH96" t="str">
        <f t="shared" si="14"/>
        <v/>
      </c>
      <c r="AI96">
        <f t="shared" si="14"/>
        <v>0.28353102373993017</v>
      </c>
      <c r="AJ96">
        <f t="shared" si="14"/>
        <v>0.23707768375276253</v>
      </c>
      <c r="AK96">
        <f t="shared" ref="AK96:AP97" si="26">IF(Y96&lt;0,"",Y96/100)</f>
        <v>0.21625377272403226</v>
      </c>
      <c r="AL96">
        <f t="shared" si="26"/>
        <v>0.20984641548442295</v>
      </c>
      <c r="AM96">
        <f t="shared" si="26"/>
        <v>0.17460595066657167</v>
      </c>
      <c r="AN96">
        <f t="shared" si="26"/>
        <v>0.20343905824481362</v>
      </c>
      <c r="AO96">
        <f t="shared" si="26"/>
        <v>0.17620778997647396</v>
      </c>
      <c r="AP96">
        <f t="shared" si="26"/>
        <v>0.12174525343979471</v>
      </c>
    </row>
    <row r="97" spans="1:42" x14ac:dyDescent="0.25">
      <c r="A97">
        <v>8</v>
      </c>
      <c r="B97">
        <v>421</v>
      </c>
      <c r="C97">
        <v>30</v>
      </c>
      <c r="D97">
        <v>0</v>
      </c>
      <c r="E97">
        <v>14</v>
      </c>
      <c r="F97">
        <v>9</v>
      </c>
      <c r="G97">
        <v>16</v>
      </c>
      <c r="H97">
        <v>7</v>
      </c>
      <c r="I97">
        <v>1</v>
      </c>
      <c r="J97">
        <v>-3.7</v>
      </c>
      <c r="K97">
        <v>-3.7</v>
      </c>
      <c r="L97">
        <v>-3.7</v>
      </c>
      <c r="M97">
        <v>12.1</v>
      </c>
      <c r="N97">
        <v>11.5</v>
      </c>
      <c r="O97">
        <v>11.8</v>
      </c>
      <c r="P97">
        <v>11.5</v>
      </c>
      <c r="Q97">
        <v>12.1</v>
      </c>
      <c r="R97">
        <v>10.4</v>
      </c>
      <c r="S97">
        <v>6.7</v>
      </c>
      <c r="T97">
        <f t="shared" si="12"/>
        <v>30</v>
      </c>
      <c r="U97">
        <f t="shared" si="15"/>
        <v>-3.7</v>
      </c>
      <c r="V97">
        <f t="shared" si="16"/>
        <v>-3.7</v>
      </c>
      <c r="W97">
        <f t="shared" si="17"/>
        <v>-3.7</v>
      </c>
      <c r="X97">
        <f t="shared" si="18"/>
        <v>19.382802238539963</v>
      </c>
      <c r="Y97">
        <f t="shared" si="19"/>
        <v>18.421698652598561</v>
      </c>
      <c r="Z97">
        <f t="shared" si="20"/>
        <v>18.902250445569262</v>
      </c>
      <c r="AA97">
        <f t="shared" si="21"/>
        <v>18.421698652598561</v>
      </c>
      <c r="AB97">
        <f t="shared" si="22"/>
        <v>19.382802238539963</v>
      </c>
      <c r="AC97">
        <f t="shared" si="23"/>
        <v>16.659675411706001</v>
      </c>
      <c r="AD97">
        <f t="shared" si="24"/>
        <v>10.732869965067373</v>
      </c>
      <c r="AE97">
        <v>30</v>
      </c>
      <c r="AF97" t="s">
        <v>77</v>
      </c>
      <c r="AG97" t="str">
        <f t="shared" si="25"/>
        <v/>
      </c>
      <c r="AH97" t="str">
        <f t="shared" si="25"/>
        <v/>
      </c>
      <c r="AI97" t="str">
        <f t="shared" si="25"/>
        <v/>
      </c>
      <c r="AJ97">
        <f t="shared" si="25"/>
        <v>0.19382802238539962</v>
      </c>
      <c r="AK97">
        <f t="shared" si="26"/>
        <v>0.18421698652598562</v>
      </c>
      <c r="AL97">
        <f t="shared" si="26"/>
        <v>0.18902250445569263</v>
      </c>
      <c r="AM97">
        <f t="shared" si="26"/>
        <v>0.18421698652598562</v>
      </c>
      <c r="AN97">
        <f t="shared" si="26"/>
        <v>0.19382802238539962</v>
      </c>
      <c r="AO97">
        <f t="shared" si="26"/>
        <v>0.16659675411706001</v>
      </c>
      <c r="AP97">
        <f t="shared" si="26"/>
        <v>0.10732869965067372</v>
      </c>
    </row>
    <row r="98" spans="1:42" x14ac:dyDescent="0.25">
      <c r="A98">
        <v>7</v>
      </c>
      <c r="B98">
        <v>420</v>
      </c>
      <c r="C98">
        <v>31</v>
      </c>
      <c r="D98">
        <v>0</v>
      </c>
      <c r="E98">
        <v>14</v>
      </c>
      <c r="F98">
        <v>9</v>
      </c>
      <c r="G98">
        <v>16</v>
      </c>
      <c r="H98">
        <v>7</v>
      </c>
      <c r="I98">
        <v>12</v>
      </c>
      <c r="J98">
        <v>-3.7</v>
      </c>
      <c r="K98">
        <v>-3.7</v>
      </c>
      <c r="L98">
        <v>11.3</v>
      </c>
      <c r="M98">
        <v>11.3</v>
      </c>
      <c r="N98">
        <v>11.3</v>
      </c>
      <c r="O98">
        <v>11.3</v>
      </c>
      <c r="P98">
        <v>11.3</v>
      </c>
      <c r="Q98">
        <v>11.3</v>
      </c>
      <c r="R98">
        <v>11.3</v>
      </c>
      <c r="S98">
        <v>11.3</v>
      </c>
      <c r="T98">
        <f t="shared" si="12"/>
        <v>31</v>
      </c>
      <c r="U98">
        <f t="shared" si="15"/>
        <v>-3.7</v>
      </c>
      <c r="V98">
        <f t="shared" si="16"/>
        <v>-3.7</v>
      </c>
      <c r="W98">
        <f t="shared" si="17"/>
        <v>18.101330790618096</v>
      </c>
      <c r="X98">
        <f t="shared" si="18"/>
        <v>18.101330790618096</v>
      </c>
      <c r="Y98">
        <f t="shared" si="19"/>
        <v>18.101330790618096</v>
      </c>
      <c r="Z98">
        <f t="shared" si="20"/>
        <v>18.101330790618096</v>
      </c>
      <c r="AA98">
        <f t="shared" si="21"/>
        <v>18.101330790618096</v>
      </c>
      <c r="AB98">
        <f t="shared" si="22"/>
        <v>18.101330790618096</v>
      </c>
      <c r="AC98">
        <f t="shared" si="23"/>
        <v>18.101330790618096</v>
      </c>
      <c r="AD98">
        <f t="shared" si="24"/>
        <v>18.101330790618096</v>
      </c>
      <c r="AE98">
        <v>31</v>
      </c>
      <c r="AF98" t="s">
        <v>54</v>
      </c>
      <c r="AG98" t="str">
        <f t="shared" ref="AG98:AG103" si="27">IF(U98&lt;0,"",U98/100)</f>
        <v/>
      </c>
      <c r="AH98" t="str">
        <f t="shared" ref="AH98:AH103" si="28">IF(V98&lt;0,"",V98/100)</f>
        <v/>
      </c>
      <c r="AI98">
        <f t="shared" ref="AI98:AI103" si="29">IF(W98&lt;0,"",W98/100)</f>
        <v>0.18101330790618098</v>
      </c>
      <c r="AJ98">
        <f t="shared" ref="AJ98:AJ103" si="30">IF(X98&lt;0,"",X98/100)</f>
        <v>0.18101330790618098</v>
      </c>
      <c r="AK98">
        <f t="shared" ref="AK98:AK103" si="31">IF(Y98&lt;0,"",Y98/100)</f>
        <v>0.18101330790618098</v>
      </c>
      <c r="AL98">
        <f t="shared" ref="AL98:AL103" si="32">IF(Z98&lt;0,"",Z98/100)</f>
        <v>0.18101330790618098</v>
      </c>
      <c r="AM98">
        <f t="shared" ref="AM98:AM103" si="33">IF(AA98&lt;0,"",AA98/100)</f>
        <v>0.18101330790618098</v>
      </c>
      <c r="AN98">
        <f t="shared" ref="AN98:AN103" si="34">IF(AB98&lt;0,"",AB98/100)</f>
        <v>0.18101330790618098</v>
      </c>
      <c r="AO98">
        <f t="shared" ref="AO98:AO103" si="35">IF(AC98&lt;0,"",AC98/100)</f>
        <v>0.18101330790618098</v>
      </c>
      <c r="AP98">
        <f t="shared" ref="AP98:AP103" si="36">IF(AD98&lt;0,"",AD98/100)</f>
        <v>0.18101330790618098</v>
      </c>
    </row>
    <row r="99" spans="1:42" x14ac:dyDescent="0.25">
      <c r="A99">
        <v>6</v>
      </c>
      <c r="B99">
        <v>419</v>
      </c>
      <c r="C99">
        <v>32</v>
      </c>
      <c r="D99">
        <v>0</v>
      </c>
      <c r="E99">
        <v>14</v>
      </c>
      <c r="F99">
        <v>9</v>
      </c>
      <c r="G99">
        <v>16</v>
      </c>
      <c r="H99">
        <v>7</v>
      </c>
      <c r="I99">
        <v>13</v>
      </c>
      <c r="J99">
        <v>-3.7</v>
      </c>
      <c r="K99">
        <v>-3.7</v>
      </c>
      <c r="L99">
        <v>11.3</v>
      </c>
      <c r="M99">
        <v>11.1</v>
      </c>
      <c r="N99">
        <v>12</v>
      </c>
      <c r="O99">
        <v>12</v>
      </c>
      <c r="P99">
        <v>11.7</v>
      </c>
      <c r="Q99">
        <v>10.7</v>
      </c>
      <c r="R99">
        <v>10</v>
      </c>
      <c r="S99">
        <v>7.6</v>
      </c>
      <c r="T99">
        <f t="shared" si="12"/>
        <v>32</v>
      </c>
      <c r="U99">
        <f t="shared" si="15"/>
        <v>-3.7</v>
      </c>
      <c r="V99">
        <f t="shared" si="16"/>
        <v>-3.7</v>
      </c>
      <c r="W99">
        <f t="shared" si="17"/>
        <v>18.101330790618096</v>
      </c>
      <c r="X99">
        <f t="shared" si="18"/>
        <v>17.780962928637631</v>
      </c>
      <c r="Y99">
        <f t="shared" si="19"/>
        <v>19.222618307549727</v>
      </c>
      <c r="Z99">
        <f t="shared" si="20"/>
        <v>19.222618307549727</v>
      </c>
      <c r="AA99">
        <f t="shared" si="21"/>
        <v>18.742066514579026</v>
      </c>
      <c r="AB99">
        <f t="shared" si="22"/>
        <v>17.140227204676695</v>
      </c>
      <c r="AC99">
        <f t="shared" si="23"/>
        <v>16.018939687745064</v>
      </c>
      <c r="AD99">
        <f t="shared" si="24"/>
        <v>12.174525343979472</v>
      </c>
      <c r="AE99">
        <v>32</v>
      </c>
      <c r="AF99" t="s">
        <v>78</v>
      </c>
      <c r="AG99" t="str">
        <f t="shared" si="27"/>
        <v/>
      </c>
      <c r="AH99" t="str">
        <f t="shared" si="28"/>
        <v/>
      </c>
      <c r="AI99">
        <f t="shared" si="29"/>
        <v>0.18101330790618098</v>
      </c>
      <c r="AJ99">
        <f t="shared" si="30"/>
        <v>0.17780962928637631</v>
      </c>
      <c r="AK99">
        <f t="shared" si="31"/>
        <v>0.19222618307549727</v>
      </c>
      <c r="AL99">
        <f t="shared" si="32"/>
        <v>0.19222618307549727</v>
      </c>
      <c r="AM99">
        <f t="shared" si="33"/>
        <v>0.18742066514579026</v>
      </c>
      <c r="AN99">
        <f t="shared" si="34"/>
        <v>0.17140227204676695</v>
      </c>
      <c r="AO99">
        <f t="shared" si="35"/>
        <v>0.16018939687745065</v>
      </c>
      <c r="AP99">
        <f t="shared" si="36"/>
        <v>0.12174525343979471</v>
      </c>
    </row>
    <row r="100" spans="1:42" x14ac:dyDescent="0.25">
      <c r="A100">
        <v>5</v>
      </c>
      <c r="B100">
        <v>418</v>
      </c>
      <c r="C100">
        <v>33</v>
      </c>
      <c r="D100">
        <v>0</v>
      </c>
      <c r="E100">
        <v>14</v>
      </c>
      <c r="F100">
        <v>9</v>
      </c>
      <c r="G100">
        <v>16</v>
      </c>
      <c r="H100">
        <v>7</v>
      </c>
      <c r="I100">
        <v>17</v>
      </c>
      <c r="J100">
        <v>-3.7</v>
      </c>
      <c r="K100">
        <v>-3.7</v>
      </c>
      <c r="L100">
        <v>11.5</v>
      </c>
      <c r="M100">
        <v>11.8</v>
      </c>
      <c r="N100">
        <v>12.6</v>
      </c>
      <c r="O100">
        <v>13.7</v>
      </c>
      <c r="P100">
        <v>12.8</v>
      </c>
      <c r="Q100">
        <v>13.2</v>
      </c>
      <c r="R100">
        <v>10.1</v>
      </c>
      <c r="S100">
        <v>8.6</v>
      </c>
      <c r="T100">
        <f t="shared" si="12"/>
        <v>33</v>
      </c>
      <c r="U100">
        <f t="shared" si="15"/>
        <v>-3.7</v>
      </c>
      <c r="V100">
        <f t="shared" si="16"/>
        <v>-3.7</v>
      </c>
      <c r="W100">
        <f t="shared" si="17"/>
        <v>18.421698652598561</v>
      </c>
      <c r="X100">
        <f t="shared" si="18"/>
        <v>18.902250445569262</v>
      </c>
      <c r="Y100">
        <f t="shared" si="19"/>
        <v>20.183721893491128</v>
      </c>
      <c r="Z100">
        <f t="shared" si="20"/>
        <v>21.945745134383692</v>
      </c>
      <c r="AA100">
        <f t="shared" si="21"/>
        <v>20.504089755471593</v>
      </c>
      <c r="AB100">
        <f t="shared" si="22"/>
        <v>21.144825479432527</v>
      </c>
      <c r="AC100">
        <f t="shared" si="23"/>
        <v>16.1791236187353</v>
      </c>
      <c r="AD100">
        <f t="shared" si="24"/>
        <v>13.776364653881803</v>
      </c>
      <c r="AE100">
        <v>33</v>
      </c>
      <c r="AF100" t="s">
        <v>79</v>
      </c>
      <c r="AG100" t="str">
        <f t="shared" si="27"/>
        <v/>
      </c>
      <c r="AH100" t="str">
        <f t="shared" si="28"/>
        <v/>
      </c>
      <c r="AI100">
        <f t="shared" si="29"/>
        <v>0.18421698652598562</v>
      </c>
      <c r="AJ100">
        <f t="shared" si="30"/>
        <v>0.18902250445569263</v>
      </c>
      <c r="AK100">
        <f t="shared" si="31"/>
        <v>0.20183721893491127</v>
      </c>
      <c r="AL100">
        <f t="shared" si="32"/>
        <v>0.21945745134383693</v>
      </c>
      <c r="AM100">
        <f t="shared" si="33"/>
        <v>0.20504089755471594</v>
      </c>
      <c r="AN100">
        <f t="shared" si="34"/>
        <v>0.21144825479432527</v>
      </c>
      <c r="AO100">
        <f t="shared" si="35"/>
        <v>0.161791236187353</v>
      </c>
      <c r="AP100">
        <f t="shared" si="36"/>
        <v>0.13776364653881804</v>
      </c>
    </row>
    <row r="101" spans="1:42" x14ac:dyDescent="0.25">
      <c r="A101">
        <v>4</v>
      </c>
      <c r="B101">
        <v>417</v>
      </c>
      <c r="C101">
        <v>34</v>
      </c>
      <c r="D101">
        <v>0</v>
      </c>
      <c r="E101">
        <v>14</v>
      </c>
      <c r="F101">
        <v>9</v>
      </c>
      <c r="G101">
        <v>16</v>
      </c>
      <c r="H101">
        <v>7</v>
      </c>
      <c r="I101">
        <v>21</v>
      </c>
      <c r="J101">
        <v>-3.7</v>
      </c>
      <c r="K101">
        <v>-3.7</v>
      </c>
      <c r="L101">
        <v>13.2</v>
      </c>
      <c r="M101">
        <v>14.6</v>
      </c>
      <c r="N101">
        <v>13.3</v>
      </c>
      <c r="O101">
        <v>13.3</v>
      </c>
      <c r="P101">
        <v>14.2</v>
      </c>
      <c r="Q101">
        <v>12.6</v>
      </c>
      <c r="R101">
        <v>11.5</v>
      </c>
      <c r="S101">
        <v>9.6999999999999993</v>
      </c>
      <c r="T101">
        <f t="shared" si="12"/>
        <v>34</v>
      </c>
      <c r="U101">
        <f t="shared" si="15"/>
        <v>-3.7</v>
      </c>
      <c r="V101">
        <f t="shared" si="16"/>
        <v>-3.7</v>
      </c>
      <c r="W101">
        <f t="shared" si="17"/>
        <v>21.144825479432527</v>
      </c>
      <c r="X101">
        <f t="shared" si="18"/>
        <v>23.387400513295795</v>
      </c>
      <c r="Y101">
        <f t="shared" si="19"/>
        <v>21.305009410422759</v>
      </c>
      <c r="Z101">
        <f t="shared" si="20"/>
        <v>21.305009410422759</v>
      </c>
      <c r="AA101">
        <f t="shared" si="21"/>
        <v>22.746664789334851</v>
      </c>
      <c r="AB101">
        <f t="shared" si="22"/>
        <v>20.183721893491128</v>
      </c>
      <c r="AC101">
        <f t="shared" si="23"/>
        <v>18.421698652598561</v>
      </c>
      <c r="AD101">
        <f t="shared" si="24"/>
        <v>15.538387894774363</v>
      </c>
      <c r="AE101">
        <v>34</v>
      </c>
      <c r="AF101" t="s">
        <v>80</v>
      </c>
      <c r="AG101" t="str">
        <f t="shared" si="27"/>
        <v/>
      </c>
      <c r="AH101" t="str">
        <f t="shared" si="28"/>
        <v/>
      </c>
      <c r="AI101">
        <f t="shared" si="29"/>
        <v>0.21144825479432527</v>
      </c>
      <c r="AJ101">
        <f t="shared" si="30"/>
        <v>0.23387400513295795</v>
      </c>
      <c r="AK101">
        <f t="shared" si="31"/>
        <v>0.21305009410422759</v>
      </c>
      <c r="AL101">
        <f t="shared" si="32"/>
        <v>0.21305009410422759</v>
      </c>
      <c r="AM101">
        <f t="shared" si="33"/>
        <v>0.2274666478933485</v>
      </c>
      <c r="AN101">
        <f t="shared" si="34"/>
        <v>0.20183721893491127</v>
      </c>
      <c r="AO101">
        <f t="shared" si="35"/>
        <v>0.18421698652598562</v>
      </c>
      <c r="AP101">
        <f t="shared" si="36"/>
        <v>0.15538387894774364</v>
      </c>
    </row>
    <row r="102" spans="1:42" x14ac:dyDescent="0.25">
      <c r="A102">
        <v>2</v>
      </c>
      <c r="B102">
        <v>415</v>
      </c>
      <c r="C102">
        <v>35</v>
      </c>
      <c r="D102">
        <v>0</v>
      </c>
      <c r="E102">
        <v>14</v>
      </c>
      <c r="F102">
        <v>9</v>
      </c>
      <c r="G102">
        <v>16</v>
      </c>
      <c r="H102">
        <v>7</v>
      </c>
      <c r="I102">
        <v>20</v>
      </c>
      <c r="J102">
        <v>-3.7</v>
      </c>
      <c r="K102">
        <v>-3.7</v>
      </c>
      <c r="L102">
        <v>16</v>
      </c>
      <c r="M102">
        <v>14.4</v>
      </c>
      <c r="N102">
        <v>13.6</v>
      </c>
      <c r="O102">
        <v>12.1</v>
      </c>
      <c r="P102">
        <v>11.4</v>
      </c>
      <c r="Q102">
        <v>9.6999999999999993</v>
      </c>
      <c r="R102">
        <v>10.9</v>
      </c>
      <c r="S102">
        <v>8.5</v>
      </c>
      <c r="T102">
        <f t="shared" si="12"/>
        <v>35</v>
      </c>
      <c r="U102">
        <f t="shared" si="15"/>
        <v>-3.7</v>
      </c>
      <c r="V102">
        <f t="shared" si="16"/>
        <v>-3.7</v>
      </c>
      <c r="W102">
        <f t="shared" si="17"/>
        <v>25.629975547159052</v>
      </c>
      <c r="X102">
        <f t="shared" si="18"/>
        <v>23.067032651315326</v>
      </c>
      <c r="Y102">
        <f t="shared" si="19"/>
        <v>21.78556120339346</v>
      </c>
      <c r="Z102">
        <f t="shared" si="20"/>
        <v>19.382802238539963</v>
      </c>
      <c r="AA102">
        <f t="shared" si="21"/>
        <v>18.261514721608332</v>
      </c>
      <c r="AB102">
        <f t="shared" si="22"/>
        <v>15.538387894774363</v>
      </c>
      <c r="AC102">
        <f t="shared" si="23"/>
        <v>17.460595066657167</v>
      </c>
      <c r="AD102">
        <f t="shared" si="24"/>
        <v>13.616180722891567</v>
      </c>
      <c r="AE102">
        <v>35</v>
      </c>
      <c r="AF102" t="s">
        <v>81</v>
      </c>
      <c r="AG102" t="str">
        <f t="shared" si="27"/>
        <v/>
      </c>
      <c r="AH102" t="str">
        <f t="shared" si="28"/>
        <v/>
      </c>
      <c r="AI102">
        <f t="shared" si="29"/>
        <v>0.25629975547159051</v>
      </c>
      <c r="AJ102">
        <f t="shared" si="30"/>
        <v>0.23067032651315325</v>
      </c>
      <c r="AK102">
        <f t="shared" si="31"/>
        <v>0.21785561203393461</v>
      </c>
      <c r="AL102">
        <f t="shared" si="32"/>
        <v>0.19382802238539962</v>
      </c>
      <c r="AM102">
        <f t="shared" si="33"/>
        <v>0.18261514721608332</v>
      </c>
      <c r="AN102">
        <f t="shared" si="34"/>
        <v>0.15538387894774364</v>
      </c>
      <c r="AO102">
        <f t="shared" si="35"/>
        <v>0.17460595066657167</v>
      </c>
      <c r="AP102">
        <f t="shared" si="36"/>
        <v>0.13616180722891566</v>
      </c>
    </row>
    <row r="103" spans="1:42" x14ac:dyDescent="0.25">
      <c r="A103">
        <v>1</v>
      </c>
      <c r="B103">
        <v>414</v>
      </c>
      <c r="C103">
        <v>36</v>
      </c>
      <c r="D103">
        <v>0</v>
      </c>
      <c r="E103">
        <v>14</v>
      </c>
      <c r="F103">
        <v>9</v>
      </c>
      <c r="G103">
        <v>16</v>
      </c>
      <c r="H103">
        <v>7</v>
      </c>
      <c r="I103">
        <v>32</v>
      </c>
      <c r="J103">
        <v>-3.7</v>
      </c>
      <c r="K103">
        <v>13.1</v>
      </c>
      <c r="L103">
        <v>16.100000000000001</v>
      </c>
      <c r="M103">
        <v>17.100000000000001</v>
      </c>
      <c r="N103">
        <v>13.3</v>
      </c>
      <c r="O103">
        <v>13.3</v>
      </c>
      <c r="P103">
        <v>12.5</v>
      </c>
      <c r="Q103">
        <v>11.3</v>
      </c>
      <c r="R103">
        <v>10.6</v>
      </c>
      <c r="S103">
        <v>7.8</v>
      </c>
      <c r="T103">
        <f t="shared" si="12"/>
        <v>36</v>
      </c>
      <c r="U103">
        <f t="shared" si="15"/>
        <v>-3.7</v>
      </c>
      <c r="V103">
        <f t="shared" si="16"/>
        <v>20.984641548442294</v>
      </c>
      <c r="W103">
        <f t="shared" si="17"/>
        <v>25.790159478149288</v>
      </c>
      <c r="X103">
        <f t="shared" si="18"/>
        <v>27.391998788051616</v>
      </c>
      <c r="Y103">
        <f t="shared" si="19"/>
        <v>21.305009410422759</v>
      </c>
      <c r="Z103">
        <f t="shared" si="20"/>
        <v>21.305009410422759</v>
      </c>
      <c r="AA103">
        <f t="shared" si="21"/>
        <v>20.023537962500892</v>
      </c>
      <c r="AB103">
        <f t="shared" si="22"/>
        <v>18.101330790618096</v>
      </c>
      <c r="AC103">
        <f t="shared" si="23"/>
        <v>16.980043273686466</v>
      </c>
      <c r="AD103">
        <f t="shared" si="24"/>
        <v>12.494893205959936</v>
      </c>
      <c r="AE103">
        <v>36</v>
      </c>
      <c r="AF103" t="s">
        <v>73</v>
      </c>
      <c r="AG103" t="str">
        <f t="shared" si="27"/>
        <v/>
      </c>
      <c r="AH103">
        <f t="shared" si="28"/>
        <v>0.20984641548442295</v>
      </c>
      <c r="AI103">
        <f t="shared" si="29"/>
        <v>0.25790159478149288</v>
      </c>
      <c r="AJ103">
        <f t="shared" si="30"/>
        <v>0.27391998788051614</v>
      </c>
      <c r="AK103">
        <f t="shared" si="31"/>
        <v>0.21305009410422759</v>
      </c>
      <c r="AL103">
        <f t="shared" si="32"/>
        <v>0.21305009410422759</v>
      </c>
      <c r="AM103">
        <f t="shared" si="33"/>
        <v>0.20023537962500892</v>
      </c>
      <c r="AN103">
        <f t="shared" si="34"/>
        <v>0.18101330790618098</v>
      </c>
      <c r="AO103">
        <f t="shared" si="35"/>
        <v>0.16980043273686465</v>
      </c>
      <c r="AP103">
        <f t="shared" si="36"/>
        <v>0.12494893205959937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04"/>
  <sheetViews>
    <sheetView topLeftCell="N45" workbookViewId="0">
      <selection activeCell="T75" sqref="T75:AD104"/>
    </sheetView>
  </sheetViews>
  <sheetFormatPr defaultRowHeight="15" x14ac:dyDescent="0.25"/>
  <sheetData>
    <row r="1" spans="1:7" x14ac:dyDescent="0.25">
      <c r="A1" s="2">
        <v>41904</v>
      </c>
    </row>
    <row r="2" spans="1:7" x14ac:dyDescent="0.25">
      <c r="A2" t="s">
        <v>3</v>
      </c>
      <c r="B2">
        <v>6114</v>
      </c>
      <c r="C2" t="s">
        <v>4</v>
      </c>
      <c r="D2">
        <v>6336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9</v>
      </c>
      <c r="F19">
        <v>22</v>
      </c>
      <c r="G19">
        <v>7</v>
      </c>
      <c r="H19">
        <v>31</v>
      </c>
      <c r="I19">
        <v>16.3</v>
      </c>
      <c r="J19">
        <v>18.7</v>
      </c>
      <c r="K19">
        <v>19.7</v>
      </c>
      <c r="L19">
        <v>21.1</v>
      </c>
      <c r="M19">
        <v>24.6</v>
      </c>
      <c r="N19">
        <v>29.5</v>
      </c>
      <c r="O19">
        <v>32.1</v>
      </c>
      <c r="P19">
        <v>30.9</v>
      </c>
      <c r="Q19">
        <v>28.2</v>
      </c>
      <c r="R19">
        <v>19.2</v>
      </c>
      <c r="S19">
        <f>B19</f>
        <v>1</v>
      </c>
      <c r="T19" t="s">
        <v>51</v>
      </c>
      <c r="U19">
        <f>IF(I19&lt;0,"",I19/100)</f>
        <v>0.16300000000000001</v>
      </c>
      <c r="V19">
        <f t="shared" ref="V19:AD47" si="0">IF(J19&lt;0,"",J19/100)</f>
        <v>0.187</v>
      </c>
      <c r="W19">
        <f t="shared" si="0"/>
        <v>0.19699999999999998</v>
      </c>
      <c r="X19">
        <f t="shared" si="0"/>
        <v>0.21100000000000002</v>
      </c>
      <c r="Y19">
        <f t="shared" si="0"/>
        <v>0.24600000000000002</v>
      </c>
      <c r="Z19">
        <f t="shared" si="0"/>
        <v>0.29499999999999998</v>
      </c>
      <c r="AA19">
        <f t="shared" si="0"/>
        <v>0.32100000000000001</v>
      </c>
      <c r="AB19">
        <f t="shared" si="0"/>
        <v>0.309</v>
      </c>
      <c r="AC19">
        <f t="shared" si="0"/>
        <v>0.28199999999999997</v>
      </c>
      <c r="AD19">
        <f t="shared" si="0"/>
        <v>0.192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9</v>
      </c>
      <c r="F20">
        <v>22</v>
      </c>
      <c r="G20">
        <v>7</v>
      </c>
      <c r="H20">
        <v>44</v>
      </c>
      <c r="I20">
        <v>28</v>
      </c>
      <c r="J20">
        <v>22</v>
      </c>
      <c r="K20">
        <v>18.399999999999999</v>
      </c>
      <c r="L20">
        <v>22</v>
      </c>
      <c r="M20">
        <v>24.5</v>
      </c>
      <c r="N20">
        <v>27.1</v>
      </c>
      <c r="O20">
        <v>29.9</v>
      </c>
      <c r="P20">
        <v>31.9</v>
      </c>
      <c r="Q20">
        <v>29.2</v>
      </c>
      <c r="R20">
        <v>18.2</v>
      </c>
      <c r="S20">
        <f t="shared" ref="S20:S54" si="1">B20</f>
        <v>2</v>
      </c>
      <c r="T20" t="s">
        <v>55</v>
      </c>
      <c r="U20">
        <f t="shared" ref="U20:X48" si="2">IF(I20&lt;0,"",I20/100)</f>
        <v>0.28000000000000003</v>
      </c>
      <c r="V20">
        <f t="shared" si="0"/>
        <v>0.22</v>
      </c>
      <c r="W20">
        <f t="shared" si="0"/>
        <v>0.184</v>
      </c>
      <c r="X20">
        <f t="shared" si="0"/>
        <v>0.22</v>
      </c>
      <c r="Y20">
        <f t="shared" si="0"/>
        <v>0.245</v>
      </c>
      <c r="Z20">
        <f t="shared" si="0"/>
        <v>0.27100000000000002</v>
      </c>
      <c r="AA20">
        <f t="shared" si="0"/>
        <v>0.29899999999999999</v>
      </c>
      <c r="AB20">
        <f t="shared" si="0"/>
        <v>0.31900000000000001</v>
      </c>
      <c r="AC20">
        <f t="shared" si="0"/>
        <v>0.29199999999999998</v>
      </c>
      <c r="AD20">
        <f t="shared" si="0"/>
        <v>0.182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9</v>
      </c>
      <c r="F21">
        <v>22</v>
      </c>
      <c r="G21">
        <v>7</v>
      </c>
      <c r="H21">
        <v>41</v>
      </c>
      <c r="I21">
        <v>22.1</v>
      </c>
      <c r="J21">
        <v>27.1</v>
      </c>
      <c r="K21">
        <v>28.7</v>
      </c>
      <c r="L21">
        <v>27.4</v>
      </c>
      <c r="M21">
        <v>25.3</v>
      </c>
      <c r="N21">
        <v>28.4</v>
      </c>
      <c r="O21">
        <v>29.3</v>
      </c>
      <c r="P21">
        <v>31.2</v>
      </c>
      <c r="Q21">
        <v>31.5</v>
      </c>
      <c r="R21">
        <v>20.100000000000001</v>
      </c>
      <c r="S21">
        <f t="shared" si="1"/>
        <v>3</v>
      </c>
      <c r="T21" t="s">
        <v>56</v>
      </c>
      <c r="U21">
        <f t="shared" si="2"/>
        <v>0.221</v>
      </c>
      <c r="V21">
        <f t="shared" si="0"/>
        <v>0.27100000000000002</v>
      </c>
      <c r="W21">
        <f t="shared" si="0"/>
        <v>0.28699999999999998</v>
      </c>
      <c r="X21">
        <f t="shared" si="0"/>
        <v>0.27399999999999997</v>
      </c>
      <c r="Y21">
        <f t="shared" si="0"/>
        <v>0.253</v>
      </c>
      <c r="Z21">
        <f t="shared" si="0"/>
        <v>0.28399999999999997</v>
      </c>
      <c r="AA21">
        <f t="shared" si="0"/>
        <v>0.29299999999999998</v>
      </c>
      <c r="AB21">
        <f t="shared" si="0"/>
        <v>0.312</v>
      </c>
      <c r="AC21">
        <f t="shared" si="0"/>
        <v>0.315</v>
      </c>
      <c r="AD21">
        <f t="shared" si="0"/>
        <v>0.20100000000000001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9</v>
      </c>
      <c r="F22">
        <v>22</v>
      </c>
      <c r="G22">
        <v>7</v>
      </c>
      <c r="H22">
        <v>54</v>
      </c>
      <c r="I22">
        <v>-5.9</v>
      </c>
      <c r="J22">
        <v>24</v>
      </c>
      <c r="K22">
        <v>23.6</v>
      </c>
      <c r="L22">
        <v>23.6</v>
      </c>
      <c r="M22">
        <v>24.9</v>
      </c>
      <c r="N22">
        <v>26.2</v>
      </c>
      <c r="O22">
        <v>27.9</v>
      </c>
      <c r="P22">
        <v>28</v>
      </c>
      <c r="Q22">
        <v>26.8</v>
      </c>
      <c r="R22">
        <v>21.2</v>
      </c>
      <c r="S22">
        <f t="shared" si="1"/>
        <v>4</v>
      </c>
      <c r="T22" t="s">
        <v>57</v>
      </c>
      <c r="U22" t="str">
        <f t="shared" si="2"/>
        <v/>
      </c>
      <c r="V22">
        <f t="shared" si="0"/>
        <v>0.24</v>
      </c>
      <c r="W22">
        <f t="shared" si="0"/>
        <v>0.23600000000000002</v>
      </c>
      <c r="X22">
        <f t="shared" si="0"/>
        <v>0.23600000000000002</v>
      </c>
      <c r="Y22">
        <f t="shared" si="0"/>
        <v>0.249</v>
      </c>
      <c r="Z22">
        <f t="shared" si="0"/>
        <v>0.26200000000000001</v>
      </c>
      <c r="AA22">
        <f t="shared" si="0"/>
        <v>0.27899999999999997</v>
      </c>
      <c r="AB22">
        <f t="shared" si="0"/>
        <v>0.28000000000000003</v>
      </c>
      <c r="AC22">
        <f t="shared" si="0"/>
        <v>0.26800000000000002</v>
      </c>
      <c r="AD22">
        <f t="shared" si="0"/>
        <v>0.21199999999999999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9</v>
      </c>
      <c r="F23">
        <v>22</v>
      </c>
      <c r="G23">
        <v>7</v>
      </c>
      <c r="H23">
        <v>50</v>
      </c>
      <c r="I23">
        <v>-5.9</v>
      </c>
      <c r="J23">
        <v>-5.9</v>
      </c>
      <c r="K23">
        <v>-5.9</v>
      </c>
      <c r="L23">
        <v>30.8</v>
      </c>
      <c r="M23">
        <v>28.8</v>
      </c>
      <c r="N23">
        <v>29.6</v>
      </c>
      <c r="O23">
        <v>31.3</v>
      </c>
      <c r="P23">
        <v>33.4</v>
      </c>
      <c r="Q23">
        <v>35.299999999999997</v>
      </c>
      <c r="R23">
        <v>22.3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0.308</v>
      </c>
      <c r="Y23">
        <f t="shared" si="0"/>
        <v>0.28800000000000003</v>
      </c>
      <c r="Z23">
        <f t="shared" si="0"/>
        <v>0.29600000000000004</v>
      </c>
      <c r="AA23">
        <f t="shared" si="0"/>
        <v>0.313</v>
      </c>
      <c r="AB23">
        <f t="shared" si="0"/>
        <v>0.33399999999999996</v>
      </c>
      <c r="AC23">
        <f t="shared" si="0"/>
        <v>0.35299999999999998</v>
      </c>
      <c r="AD23">
        <f t="shared" si="0"/>
        <v>0.223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9</v>
      </c>
      <c r="F24">
        <v>22</v>
      </c>
      <c r="G24">
        <v>8</v>
      </c>
      <c r="H24">
        <v>1</v>
      </c>
      <c r="I24">
        <v>-5.9</v>
      </c>
      <c r="J24">
        <v>33.1</v>
      </c>
      <c r="K24">
        <v>30.6</v>
      </c>
      <c r="L24">
        <v>29.8</v>
      </c>
      <c r="M24">
        <v>28.9</v>
      </c>
      <c r="N24">
        <v>26.3</v>
      </c>
      <c r="O24">
        <v>26.9</v>
      </c>
      <c r="P24">
        <v>33.9</v>
      </c>
      <c r="Q24">
        <v>30.8</v>
      </c>
      <c r="R24">
        <v>20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0.33100000000000002</v>
      </c>
      <c r="W24">
        <f t="shared" si="0"/>
        <v>0.30599999999999999</v>
      </c>
      <c r="X24">
        <f t="shared" si="0"/>
        <v>0.29799999999999999</v>
      </c>
      <c r="Y24">
        <f t="shared" si="0"/>
        <v>0.28899999999999998</v>
      </c>
      <c r="Z24">
        <f t="shared" si="0"/>
        <v>0.26300000000000001</v>
      </c>
      <c r="AA24">
        <f t="shared" si="0"/>
        <v>0.26899999999999996</v>
      </c>
      <c r="AB24">
        <f t="shared" si="0"/>
        <v>0.33899999999999997</v>
      </c>
      <c r="AC24">
        <f t="shared" si="0"/>
        <v>0.308</v>
      </c>
      <c r="AD24">
        <f t="shared" si="0"/>
        <v>0.2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9</v>
      </c>
      <c r="F25">
        <v>22</v>
      </c>
      <c r="G25">
        <v>8</v>
      </c>
      <c r="H25">
        <v>7</v>
      </c>
      <c r="I25">
        <v>-5.9</v>
      </c>
      <c r="J25">
        <v>-5.9</v>
      </c>
      <c r="K25">
        <v>44.4</v>
      </c>
      <c r="L25">
        <v>47.4</v>
      </c>
      <c r="M25">
        <v>32.299999999999997</v>
      </c>
      <c r="N25">
        <v>34.6</v>
      </c>
      <c r="O25">
        <v>37.4</v>
      </c>
      <c r="P25">
        <v>34.9</v>
      </c>
      <c r="Q25">
        <v>30.9</v>
      </c>
      <c r="R25">
        <v>21.1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0.44400000000000001</v>
      </c>
      <c r="X25">
        <f t="shared" si="0"/>
        <v>0.47399999999999998</v>
      </c>
      <c r="Y25">
        <f t="shared" si="0"/>
        <v>0.32299999999999995</v>
      </c>
      <c r="Z25">
        <f t="shared" si="0"/>
        <v>0.34600000000000003</v>
      </c>
      <c r="AA25">
        <f t="shared" si="0"/>
        <v>0.374</v>
      </c>
      <c r="AB25">
        <f t="shared" si="0"/>
        <v>0.34899999999999998</v>
      </c>
      <c r="AC25">
        <f t="shared" si="0"/>
        <v>0.309</v>
      </c>
      <c r="AD25">
        <f t="shared" si="0"/>
        <v>0.21100000000000002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9</v>
      </c>
      <c r="F26">
        <v>22</v>
      </c>
      <c r="G26">
        <v>8</v>
      </c>
      <c r="H26">
        <v>11</v>
      </c>
      <c r="I26">
        <v>-5.9</v>
      </c>
      <c r="J26">
        <v>53.4</v>
      </c>
      <c r="K26">
        <v>39.200000000000003</v>
      </c>
      <c r="L26">
        <v>26.9</v>
      </c>
      <c r="M26">
        <v>28.8</v>
      </c>
      <c r="N26">
        <v>30.3</v>
      </c>
      <c r="O26">
        <v>29</v>
      </c>
      <c r="P26">
        <v>37.4</v>
      </c>
      <c r="Q26">
        <v>35.9</v>
      </c>
      <c r="R26">
        <v>20.100000000000001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0.53400000000000003</v>
      </c>
      <c r="W26">
        <f t="shared" si="0"/>
        <v>0.39200000000000002</v>
      </c>
      <c r="X26">
        <f t="shared" si="0"/>
        <v>0.26899999999999996</v>
      </c>
      <c r="Y26">
        <f t="shared" si="0"/>
        <v>0.28800000000000003</v>
      </c>
      <c r="Z26">
        <f t="shared" si="0"/>
        <v>0.30299999999999999</v>
      </c>
      <c r="AA26">
        <f t="shared" si="0"/>
        <v>0.28999999999999998</v>
      </c>
      <c r="AB26">
        <f t="shared" si="0"/>
        <v>0.374</v>
      </c>
      <c r="AC26">
        <f t="shared" si="0"/>
        <v>0.35899999999999999</v>
      </c>
      <c r="AD26">
        <f t="shared" si="0"/>
        <v>0.20100000000000001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9</v>
      </c>
      <c r="F27">
        <v>22</v>
      </c>
      <c r="G27">
        <v>8</v>
      </c>
      <c r="H27">
        <v>16</v>
      </c>
      <c r="I27">
        <v>-5.9</v>
      </c>
      <c r="J27">
        <v>27.5</v>
      </c>
      <c r="K27">
        <v>25</v>
      </c>
      <c r="L27">
        <v>26.7</v>
      </c>
      <c r="M27">
        <v>30.8</v>
      </c>
      <c r="N27">
        <v>31.7</v>
      </c>
      <c r="O27">
        <v>34.799999999999997</v>
      </c>
      <c r="P27">
        <v>32.9</v>
      </c>
      <c r="Q27">
        <v>29.3</v>
      </c>
      <c r="R27">
        <v>20</v>
      </c>
      <c r="S27">
        <f t="shared" si="1"/>
        <v>9</v>
      </c>
      <c r="T27" t="s">
        <v>63</v>
      </c>
      <c r="U27" t="str">
        <f t="shared" si="2"/>
        <v/>
      </c>
      <c r="V27">
        <f t="shared" si="0"/>
        <v>0.27500000000000002</v>
      </c>
      <c r="W27">
        <f t="shared" si="0"/>
        <v>0.25</v>
      </c>
      <c r="X27">
        <f t="shared" si="0"/>
        <v>0.26700000000000002</v>
      </c>
      <c r="Y27">
        <f t="shared" si="0"/>
        <v>0.308</v>
      </c>
      <c r="Z27">
        <f t="shared" si="0"/>
        <v>0.317</v>
      </c>
      <c r="AA27">
        <f t="shared" si="0"/>
        <v>0.34799999999999998</v>
      </c>
      <c r="AB27">
        <f t="shared" si="0"/>
        <v>0.32899999999999996</v>
      </c>
      <c r="AC27">
        <f t="shared" si="0"/>
        <v>0.29299999999999998</v>
      </c>
      <c r="AD27">
        <f t="shared" si="0"/>
        <v>0.2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9</v>
      </c>
      <c r="F28">
        <v>22</v>
      </c>
      <c r="G28">
        <v>8</v>
      </c>
      <c r="H28">
        <v>20</v>
      </c>
      <c r="I28">
        <v>-5.9</v>
      </c>
      <c r="J28">
        <v>25.2</v>
      </c>
      <c r="K28">
        <v>27</v>
      </c>
      <c r="L28">
        <v>27.5</v>
      </c>
      <c r="M28">
        <v>33.299999999999997</v>
      </c>
      <c r="N28">
        <v>34.5</v>
      </c>
      <c r="O28">
        <v>34.6</v>
      </c>
      <c r="P28">
        <v>35.700000000000003</v>
      </c>
      <c r="Q28">
        <v>32.4</v>
      </c>
      <c r="R28">
        <v>19.5</v>
      </c>
      <c r="S28">
        <f t="shared" si="1"/>
        <v>10</v>
      </c>
      <c r="T28" t="s">
        <v>62</v>
      </c>
      <c r="U28" t="str">
        <f t="shared" si="2"/>
        <v/>
      </c>
      <c r="V28">
        <f t="shared" si="0"/>
        <v>0.252</v>
      </c>
      <c r="W28">
        <f t="shared" si="0"/>
        <v>0.27</v>
      </c>
      <c r="X28">
        <f t="shared" si="0"/>
        <v>0.27500000000000002</v>
      </c>
      <c r="Y28">
        <f t="shared" si="0"/>
        <v>0.33299999999999996</v>
      </c>
      <c r="Z28">
        <f t="shared" si="0"/>
        <v>0.34499999999999997</v>
      </c>
      <c r="AA28">
        <f t="shared" si="0"/>
        <v>0.34600000000000003</v>
      </c>
      <c r="AB28">
        <f t="shared" si="0"/>
        <v>0.35700000000000004</v>
      </c>
      <c r="AC28">
        <f t="shared" si="0"/>
        <v>0.32400000000000001</v>
      </c>
      <c r="AD28">
        <f t="shared" si="0"/>
        <v>0.19500000000000001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9</v>
      </c>
      <c r="F29">
        <v>22</v>
      </c>
      <c r="G29">
        <v>8</v>
      </c>
      <c r="H29">
        <v>24</v>
      </c>
      <c r="I29">
        <v>26.8</v>
      </c>
      <c r="J29">
        <v>27.8</v>
      </c>
      <c r="K29">
        <v>29.1</v>
      </c>
      <c r="L29">
        <v>29.3</v>
      </c>
      <c r="M29">
        <v>33.6</v>
      </c>
      <c r="N29">
        <v>38.4</v>
      </c>
      <c r="O29">
        <v>39.5</v>
      </c>
      <c r="P29">
        <v>39.1</v>
      </c>
      <c r="Q29">
        <v>30.5</v>
      </c>
      <c r="R29">
        <v>18</v>
      </c>
      <c r="S29">
        <f t="shared" si="1"/>
        <v>11</v>
      </c>
      <c r="T29" t="s">
        <v>52</v>
      </c>
      <c r="U29">
        <f t="shared" si="2"/>
        <v>0.26800000000000002</v>
      </c>
      <c r="V29">
        <f t="shared" si="0"/>
        <v>0.27800000000000002</v>
      </c>
      <c r="W29">
        <f t="shared" si="0"/>
        <v>0.29100000000000004</v>
      </c>
      <c r="X29">
        <f t="shared" si="0"/>
        <v>0.29299999999999998</v>
      </c>
      <c r="Y29">
        <f t="shared" si="0"/>
        <v>0.33600000000000002</v>
      </c>
      <c r="Z29">
        <f t="shared" si="0"/>
        <v>0.38400000000000001</v>
      </c>
      <c r="AA29">
        <f t="shared" si="0"/>
        <v>0.39500000000000002</v>
      </c>
      <c r="AB29">
        <f t="shared" si="0"/>
        <v>0.39100000000000001</v>
      </c>
      <c r="AC29">
        <f t="shared" si="0"/>
        <v>0.30499999999999999</v>
      </c>
      <c r="AD29">
        <f t="shared" si="0"/>
        <v>0.18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9</v>
      </c>
      <c r="F30">
        <v>22</v>
      </c>
      <c r="G30">
        <v>8</v>
      </c>
      <c r="H30">
        <v>21</v>
      </c>
      <c r="I30">
        <v>38.1</v>
      </c>
      <c r="J30">
        <v>26.3</v>
      </c>
      <c r="K30">
        <v>28.5</v>
      </c>
      <c r="L30">
        <v>39.299999999999997</v>
      </c>
      <c r="M30">
        <v>34.200000000000003</v>
      </c>
      <c r="N30">
        <v>35.799999999999997</v>
      </c>
      <c r="O30">
        <v>37</v>
      </c>
      <c r="P30">
        <v>33.700000000000003</v>
      </c>
      <c r="Q30">
        <v>28</v>
      </c>
      <c r="R30">
        <v>18.7</v>
      </c>
      <c r="S30">
        <f t="shared" si="1"/>
        <v>12</v>
      </c>
      <c r="T30" t="s">
        <v>64</v>
      </c>
      <c r="U30">
        <f t="shared" si="2"/>
        <v>0.38100000000000001</v>
      </c>
      <c r="V30">
        <f t="shared" si="0"/>
        <v>0.26300000000000001</v>
      </c>
      <c r="W30">
        <f t="shared" si="0"/>
        <v>0.28499999999999998</v>
      </c>
      <c r="X30">
        <f t="shared" si="0"/>
        <v>0.39299999999999996</v>
      </c>
      <c r="Y30">
        <f t="shared" si="0"/>
        <v>0.34200000000000003</v>
      </c>
      <c r="Z30">
        <f t="shared" si="0"/>
        <v>0.35799999999999998</v>
      </c>
      <c r="AA30">
        <f t="shared" si="0"/>
        <v>0.37</v>
      </c>
      <c r="AB30">
        <f t="shared" si="0"/>
        <v>0.33700000000000002</v>
      </c>
      <c r="AC30">
        <f t="shared" si="0"/>
        <v>0.28000000000000003</v>
      </c>
      <c r="AD30">
        <f t="shared" si="0"/>
        <v>0.187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9</v>
      </c>
      <c r="F31">
        <v>22</v>
      </c>
      <c r="G31">
        <v>8</v>
      </c>
      <c r="H31">
        <v>37</v>
      </c>
      <c r="I31">
        <v>33.6</v>
      </c>
      <c r="J31">
        <v>30.8</v>
      </c>
      <c r="K31">
        <v>33.5</v>
      </c>
      <c r="L31">
        <v>38.700000000000003</v>
      </c>
      <c r="M31">
        <v>39.200000000000003</v>
      </c>
      <c r="N31">
        <v>44.2</v>
      </c>
      <c r="O31">
        <v>41.3</v>
      </c>
      <c r="P31">
        <v>41.1</v>
      </c>
      <c r="Q31">
        <v>34.200000000000003</v>
      </c>
      <c r="R31">
        <v>20.100000000000001</v>
      </c>
      <c r="S31">
        <f t="shared" si="1"/>
        <v>13</v>
      </c>
      <c r="T31" t="s">
        <v>29</v>
      </c>
      <c r="U31">
        <f t="shared" si="2"/>
        <v>0.33600000000000002</v>
      </c>
      <c r="V31">
        <f t="shared" si="0"/>
        <v>0.308</v>
      </c>
      <c r="W31">
        <f t="shared" si="0"/>
        <v>0.33500000000000002</v>
      </c>
      <c r="X31">
        <f t="shared" si="0"/>
        <v>0.38700000000000001</v>
      </c>
      <c r="Y31">
        <f t="shared" si="0"/>
        <v>0.39200000000000002</v>
      </c>
      <c r="Z31">
        <f t="shared" si="0"/>
        <v>0.442</v>
      </c>
      <c r="AA31">
        <f t="shared" si="0"/>
        <v>0.41299999999999998</v>
      </c>
      <c r="AB31">
        <f t="shared" si="0"/>
        <v>0.41100000000000003</v>
      </c>
      <c r="AC31">
        <f t="shared" si="0"/>
        <v>0.34200000000000003</v>
      </c>
      <c r="AD31">
        <f t="shared" si="0"/>
        <v>0.20100000000000001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9</v>
      </c>
      <c r="F32">
        <v>22</v>
      </c>
      <c r="G32">
        <v>8</v>
      </c>
      <c r="H32">
        <v>42</v>
      </c>
      <c r="I32">
        <v>32.799999999999997</v>
      </c>
      <c r="J32">
        <v>32.1</v>
      </c>
      <c r="K32">
        <v>39.799999999999997</v>
      </c>
      <c r="L32">
        <v>40.6</v>
      </c>
      <c r="M32">
        <v>38.4</v>
      </c>
      <c r="N32">
        <v>37.200000000000003</v>
      </c>
      <c r="O32">
        <v>39</v>
      </c>
      <c r="P32">
        <v>31.3</v>
      </c>
      <c r="Q32">
        <v>28</v>
      </c>
      <c r="R32">
        <v>16.899999999999999</v>
      </c>
      <c r="S32">
        <f t="shared" si="1"/>
        <v>14</v>
      </c>
      <c r="T32" t="s">
        <v>30</v>
      </c>
      <c r="U32">
        <f t="shared" si="2"/>
        <v>0.32799999999999996</v>
      </c>
      <c r="V32">
        <f t="shared" si="0"/>
        <v>0.32100000000000001</v>
      </c>
      <c r="W32">
        <f t="shared" si="0"/>
        <v>0.39799999999999996</v>
      </c>
      <c r="X32">
        <f t="shared" si="0"/>
        <v>0.40600000000000003</v>
      </c>
      <c r="Y32">
        <f t="shared" si="0"/>
        <v>0.38400000000000001</v>
      </c>
      <c r="Z32">
        <f t="shared" si="0"/>
        <v>0.37200000000000005</v>
      </c>
      <c r="AA32">
        <f t="shared" si="0"/>
        <v>0.39</v>
      </c>
      <c r="AB32">
        <f t="shared" si="0"/>
        <v>0.313</v>
      </c>
      <c r="AC32">
        <f t="shared" si="0"/>
        <v>0.28000000000000003</v>
      </c>
      <c r="AD32">
        <f t="shared" si="0"/>
        <v>0.16899999999999998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9</v>
      </c>
      <c r="F33">
        <v>22</v>
      </c>
      <c r="G33">
        <v>8</v>
      </c>
      <c r="H33">
        <v>47</v>
      </c>
      <c r="I33">
        <v>33</v>
      </c>
      <c r="J33">
        <v>28.5</v>
      </c>
      <c r="K33">
        <v>28.5</v>
      </c>
      <c r="L33">
        <v>30.2</v>
      </c>
      <c r="M33">
        <v>36.9</v>
      </c>
      <c r="N33">
        <v>35.6</v>
      </c>
      <c r="O33">
        <v>36.799999999999997</v>
      </c>
      <c r="P33">
        <v>36.5</v>
      </c>
      <c r="Q33">
        <v>31.1</v>
      </c>
      <c r="R33">
        <v>20.7</v>
      </c>
      <c r="S33">
        <f t="shared" si="1"/>
        <v>15</v>
      </c>
      <c r="T33" t="s">
        <v>31</v>
      </c>
      <c r="U33">
        <f t="shared" si="2"/>
        <v>0.33</v>
      </c>
      <c r="V33">
        <f t="shared" si="0"/>
        <v>0.28499999999999998</v>
      </c>
      <c r="W33">
        <f t="shared" si="0"/>
        <v>0.28499999999999998</v>
      </c>
      <c r="X33">
        <f t="shared" si="0"/>
        <v>0.30199999999999999</v>
      </c>
      <c r="Y33">
        <f t="shared" si="0"/>
        <v>0.36899999999999999</v>
      </c>
      <c r="Z33">
        <f t="shared" si="0"/>
        <v>0.35600000000000004</v>
      </c>
      <c r="AA33">
        <f t="shared" si="0"/>
        <v>0.36799999999999999</v>
      </c>
      <c r="AB33">
        <f t="shared" si="0"/>
        <v>0.36499999999999999</v>
      </c>
      <c r="AC33">
        <f t="shared" si="0"/>
        <v>0.311</v>
      </c>
      <c r="AD33">
        <f t="shared" si="0"/>
        <v>0.20699999999999999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9</v>
      </c>
      <c r="F34">
        <v>22</v>
      </c>
      <c r="G34">
        <v>8</v>
      </c>
      <c r="H34">
        <v>53</v>
      </c>
      <c r="I34">
        <v>40.299999999999997</v>
      </c>
      <c r="J34">
        <v>34.6</v>
      </c>
      <c r="K34">
        <v>37.6</v>
      </c>
      <c r="L34">
        <v>35.1</v>
      </c>
      <c r="M34">
        <v>33.200000000000003</v>
      </c>
      <c r="N34">
        <v>31</v>
      </c>
      <c r="O34">
        <v>29.5</v>
      </c>
      <c r="P34">
        <v>28.6</v>
      </c>
      <c r="Q34">
        <v>31.9</v>
      </c>
      <c r="R34">
        <v>21.8</v>
      </c>
      <c r="S34">
        <f t="shared" si="1"/>
        <v>16</v>
      </c>
      <c r="T34" t="s">
        <v>32</v>
      </c>
      <c r="U34">
        <f t="shared" si="2"/>
        <v>0.40299999999999997</v>
      </c>
      <c r="V34">
        <f t="shared" si="0"/>
        <v>0.34600000000000003</v>
      </c>
      <c r="W34">
        <f t="shared" si="0"/>
        <v>0.376</v>
      </c>
      <c r="X34">
        <f t="shared" si="0"/>
        <v>0.35100000000000003</v>
      </c>
      <c r="Y34">
        <f t="shared" si="0"/>
        <v>0.33200000000000002</v>
      </c>
      <c r="Z34">
        <f t="shared" si="0"/>
        <v>0.31</v>
      </c>
      <c r="AA34">
        <f t="shared" si="0"/>
        <v>0.29499999999999998</v>
      </c>
      <c r="AB34">
        <f t="shared" si="0"/>
        <v>0.28600000000000003</v>
      </c>
      <c r="AC34">
        <f t="shared" si="0"/>
        <v>0.31900000000000001</v>
      </c>
      <c r="AD34">
        <f t="shared" si="0"/>
        <v>0.218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9</v>
      </c>
      <c r="F35">
        <v>22</v>
      </c>
      <c r="G35">
        <v>9</v>
      </c>
      <c r="H35">
        <v>1</v>
      </c>
      <c r="I35">
        <v>31</v>
      </c>
      <c r="J35">
        <v>29.6</v>
      </c>
      <c r="K35">
        <v>28.6</v>
      </c>
      <c r="L35">
        <v>27.5</v>
      </c>
      <c r="M35">
        <v>32.799999999999997</v>
      </c>
      <c r="N35">
        <v>35.6</v>
      </c>
      <c r="O35">
        <v>38.9</v>
      </c>
      <c r="P35">
        <v>34.5</v>
      </c>
      <c r="Q35">
        <v>31.4</v>
      </c>
      <c r="R35">
        <v>21.8</v>
      </c>
      <c r="S35">
        <f t="shared" si="1"/>
        <v>17</v>
      </c>
      <c r="T35" t="s">
        <v>33</v>
      </c>
      <c r="U35">
        <f t="shared" si="2"/>
        <v>0.31</v>
      </c>
      <c r="V35">
        <f t="shared" si="0"/>
        <v>0.29600000000000004</v>
      </c>
      <c r="W35">
        <f t="shared" si="0"/>
        <v>0.28600000000000003</v>
      </c>
      <c r="X35">
        <f t="shared" si="0"/>
        <v>0.27500000000000002</v>
      </c>
      <c r="Y35">
        <f t="shared" si="0"/>
        <v>0.32799999999999996</v>
      </c>
      <c r="Z35">
        <f t="shared" si="0"/>
        <v>0.35600000000000004</v>
      </c>
      <c r="AA35">
        <f t="shared" si="0"/>
        <v>0.38900000000000001</v>
      </c>
      <c r="AB35">
        <f t="shared" si="0"/>
        <v>0.34499999999999997</v>
      </c>
      <c r="AC35">
        <f t="shared" si="0"/>
        <v>0.314</v>
      </c>
      <c r="AD35">
        <f t="shared" si="0"/>
        <v>0.218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9</v>
      </c>
      <c r="F36">
        <v>22</v>
      </c>
      <c r="G36">
        <v>9</v>
      </c>
      <c r="H36">
        <v>6</v>
      </c>
      <c r="I36">
        <v>35.200000000000003</v>
      </c>
      <c r="J36">
        <v>33.6</v>
      </c>
      <c r="K36">
        <v>40.5</v>
      </c>
      <c r="L36">
        <v>39.799999999999997</v>
      </c>
      <c r="M36">
        <v>32.6</v>
      </c>
      <c r="N36">
        <v>33.6</v>
      </c>
      <c r="O36">
        <v>34.1</v>
      </c>
      <c r="P36">
        <v>34.799999999999997</v>
      </c>
      <c r="Q36">
        <v>28.1</v>
      </c>
      <c r="R36">
        <v>19.2</v>
      </c>
      <c r="S36">
        <f t="shared" si="1"/>
        <v>18</v>
      </c>
      <c r="T36" t="s">
        <v>34</v>
      </c>
      <c r="U36">
        <f t="shared" si="2"/>
        <v>0.35200000000000004</v>
      </c>
      <c r="V36">
        <f t="shared" si="0"/>
        <v>0.33600000000000002</v>
      </c>
      <c r="W36">
        <f t="shared" si="0"/>
        <v>0.40500000000000003</v>
      </c>
      <c r="X36">
        <f t="shared" si="0"/>
        <v>0.39799999999999996</v>
      </c>
      <c r="Y36">
        <f t="shared" si="0"/>
        <v>0.32600000000000001</v>
      </c>
      <c r="Z36">
        <f t="shared" si="0"/>
        <v>0.33600000000000002</v>
      </c>
      <c r="AA36">
        <f t="shared" si="0"/>
        <v>0.34100000000000003</v>
      </c>
      <c r="AB36">
        <f t="shared" si="0"/>
        <v>0.34799999999999998</v>
      </c>
      <c r="AC36">
        <f t="shared" si="0"/>
        <v>0.28100000000000003</v>
      </c>
      <c r="AD36">
        <f t="shared" si="0"/>
        <v>0.192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9</v>
      </c>
      <c r="F37">
        <v>22</v>
      </c>
      <c r="G37">
        <v>9</v>
      </c>
      <c r="H37">
        <v>12</v>
      </c>
      <c r="I37">
        <v>-5.9</v>
      </c>
      <c r="J37">
        <v>36.5</v>
      </c>
      <c r="K37">
        <v>48.4</v>
      </c>
      <c r="L37">
        <v>28.9</v>
      </c>
      <c r="M37">
        <v>29.2</v>
      </c>
      <c r="N37">
        <v>31.4</v>
      </c>
      <c r="O37">
        <v>33.200000000000003</v>
      </c>
      <c r="P37">
        <v>32.1</v>
      </c>
      <c r="Q37">
        <v>27.8</v>
      </c>
      <c r="R37">
        <v>19</v>
      </c>
      <c r="S37">
        <f t="shared" si="1"/>
        <v>19</v>
      </c>
      <c r="T37" t="s">
        <v>65</v>
      </c>
      <c r="U37" t="str">
        <f t="shared" si="2"/>
        <v/>
      </c>
      <c r="V37">
        <f t="shared" si="0"/>
        <v>0.36499999999999999</v>
      </c>
      <c r="W37">
        <f t="shared" si="0"/>
        <v>0.48399999999999999</v>
      </c>
      <c r="X37">
        <f t="shared" si="0"/>
        <v>0.28899999999999998</v>
      </c>
      <c r="Y37">
        <f t="shared" si="0"/>
        <v>0.29199999999999998</v>
      </c>
      <c r="Z37">
        <f t="shared" si="0"/>
        <v>0.314</v>
      </c>
      <c r="AA37">
        <f t="shared" si="0"/>
        <v>0.33200000000000002</v>
      </c>
      <c r="AB37">
        <f t="shared" si="0"/>
        <v>0.32100000000000001</v>
      </c>
      <c r="AC37">
        <f t="shared" si="0"/>
        <v>0.27800000000000002</v>
      </c>
      <c r="AD37">
        <f t="shared" si="0"/>
        <v>0.19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9</v>
      </c>
      <c r="F38">
        <v>22</v>
      </c>
      <c r="G38">
        <v>9</v>
      </c>
      <c r="H38">
        <v>16</v>
      </c>
      <c r="I38">
        <v>28.4</v>
      </c>
      <c r="J38">
        <v>31.3</v>
      </c>
      <c r="K38">
        <v>37.4</v>
      </c>
      <c r="L38">
        <v>33.4</v>
      </c>
      <c r="M38">
        <v>35.9</v>
      </c>
      <c r="N38">
        <v>36.4</v>
      </c>
      <c r="O38">
        <v>35.6</v>
      </c>
      <c r="P38">
        <v>30</v>
      </c>
      <c r="Q38">
        <v>27.8</v>
      </c>
      <c r="R38">
        <v>20.399999999999999</v>
      </c>
      <c r="S38">
        <f t="shared" si="1"/>
        <v>20</v>
      </c>
      <c r="T38" t="s">
        <v>66</v>
      </c>
      <c r="U38">
        <f t="shared" si="2"/>
        <v>0.28399999999999997</v>
      </c>
      <c r="V38">
        <f t="shared" si="0"/>
        <v>0.313</v>
      </c>
      <c r="W38">
        <f t="shared" si="0"/>
        <v>0.374</v>
      </c>
      <c r="X38">
        <f t="shared" si="0"/>
        <v>0.33399999999999996</v>
      </c>
      <c r="Y38">
        <f t="shared" si="0"/>
        <v>0.35899999999999999</v>
      </c>
      <c r="Z38">
        <f t="shared" si="0"/>
        <v>0.36399999999999999</v>
      </c>
      <c r="AA38">
        <f t="shared" si="0"/>
        <v>0.35600000000000004</v>
      </c>
      <c r="AB38">
        <f t="shared" si="0"/>
        <v>0.3</v>
      </c>
      <c r="AC38">
        <f t="shared" si="0"/>
        <v>0.27800000000000002</v>
      </c>
      <c r="AD38">
        <f t="shared" si="0"/>
        <v>0.20399999999999999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9</v>
      </c>
      <c r="F39">
        <v>22</v>
      </c>
      <c r="G39">
        <v>9</v>
      </c>
      <c r="H39">
        <v>21</v>
      </c>
      <c r="I39">
        <v>36.4</v>
      </c>
      <c r="J39">
        <v>36.5</v>
      </c>
      <c r="K39">
        <v>32.700000000000003</v>
      </c>
      <c r="L39">
        <v>32.9</v>
      </c>
      <c r="M39">
        <v>32.700000000000003</v>
      </c>
      <c r="N39">
        <v>29.5</v>
      </c>
      <c r="O39">
        <v>32.700000000000003</v>
      </c>
      <c r="P39">
        <v>38.4</v>
      </c>
      <c r="Q39">
        <v>31</v>
      </c>
      <c r="R39">
        <v>21</v>
      </c>
      <c r="S39">
        <f t="shared" si="1"/>
        <v>21</v>
      </c>
      <c r="T39" t="s">
        <v>67</v>
      </c>
      <c r="U39">
        <f t="shared" si="2"/>
        <v>0.36399999999999999</v>
      </c>
      <c r="V39">
        <f t="shared" si="0"/>
        <v>0.36499999999999999</v>
      </c>
      <c r="W39">
        <f t="shared" si="0"/>
        <v>0.32700000000000001</v>
      </c>
      <c r="X39">
        <f t="shared" si="0"/>
        <v>0.32899999999999996</v>
      </c>
      <c r="Y39">
        <f t="shared" si="0"/>
        <v>0.32700000000000001</v>
      </c>
      <c r="Z39">
        <f t="shared" si="0"/>
        <v>0.29499999999999998</v>
      </c>
      <c r="AA39">
        <f t="shared" si="0"/>
        <v>0.32700000000000001</v>
      </c>
      <c r="AB39">
        <f t="shared" si="0"/>
        <v>0.38400000000000001</v>
      </c>
      <c r="AC39">
        <f t="shared" si="0"/>
        <v>0.31</v>
      </c>
      <c r="AD39">
        <f t="shared" si="0"/>
        <v>0.21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9</v>
      </c>
      <c r="F40">
        <v>22</v>
      </c>
      <c r="G40">
        <v>9</v>
      </c>
      <c r="H40">
        <v>26</v>
      </c>
      <c r="I40">
        <v>33.700000000000003</v>
      </c>
      <c r="J40">
        <v>33.1</v>
      </c>
      <c r="K40">
        <v>35.200000000000003</v>
      </c>
      <c r="L40">
        <v>35.700000000000003</v>
      </c>
      <c r="M40">
        <v>39</v>
      </c>
      <c r="N40">
        <v>38.299999999999997</v>
      </c>
      <c r="O40">
        <v>39.200000000000003</v>
      </c>
      <c r="P40">
        <v>37.4</v>
      </c>
      <c r="Q40">
        <v>32.200000000000003</v>
      </c>
      <c r="R40">
        <v>21.6</v>
      </c>
      <c r="S40">
        <f t="shared" si="1"/>
        <v>22</v>
      </c>
      <c r="T40" t="s">
        <v>68</v>
      </c>
      <c r="U40">
        <f t="shared" si="2"/>
        <v>0.33700000000000002</v>
      </c>
      <c r="V40">
        <f t="shared" si="0"/>
        <v>0.33100000000000002</v>
      </c>
      <c r="W40">
        <f t="shared" si="0"/>
        <v>0.35200000000000004</v>
      </c>
      <c r="X40">
        <f t="shared" si="0"/>
        <v>0.35700000000000004</v>
      </c>
      <c r="Y40">
        <f t="shared" si="0"/>
        <v>0.39</v>
      </c>
      <c r="Z40">
        <f t="shared" si="0"/>
        <v>0.38299999999999995</v>
      </c>
      <c r="AA40">
        <f t="shared" si="0"/>
        <v>0.39200000000000002</v>
      </c>
      <c r="AB40">
        <f t="shared" si="0"/>
        <v>0.374</v>
      </c>
      <c r="AC40">
        <f t="shared" si="0"/>
        <v>0.32200000000000001</v>
      </c>
      <c r="AD40">
        <f t="shared" si="0"/>
        <v>0.21600000000000003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9</v>
      </c>
      <c r="F41">
        <v>22</v>
      </c>
      <c r="G41">
        <v>9</v>
      </c>
      <c r="H41">
        <v>35</v>
      </c>
      <c r="I41">
        <v>31.4</v>
      </c>
      <c r="J41">
        <v>35.700000000000003</v>
      </c>
      <c r="K41">
        <v>36.799999999999997</v>
      </c>
      <c r="L41">
        <v>36.700000000000003</v>
      </c>
      <c r="M41">
        <v>37.700000000000003</v>
      </c>
      <c r="N41">
        <v>35.1</v>
      </c>
      <c r="O41">
        <v>37</v>
      </c>
      <c r="P41">
        <v>34.200000000000003</v>
      </c>
      <c r="Q41">
        <v>31.6</v>
      </c>
      <c r="R41">
        <v>22</v>
      </c>
      <c r="S41">
        <f t="shared" si="1"/>
        <v>23</v>
      </c>
      <c r="T41" t="s">
        <v>69</v>
      </c>
      <c r="U41">
        <f t="shared" si="2"/>
        <v>0.314</v>
      </c>
      <c r="V41">
        <f t="shared" si="0"/>
        <v>0.35700000000000004</v>
      </c>
      <c r="W41">
        <f t="shared" si="0"/>
        <v>0.36799999999999999</v>
      </c>
      <c r="X41">
        <f t="shared" si="0"/>
        <v>0.36700000000000005</v>
      </c>
      <c r="Y41">
        <f t="shared" si="0"/>
        <v>0.377</v>
      </c>
      <c r="Z41">
        <f t="shared" si="0"/>
        <v>0.35100000000000003</v>
      </c>
      <c r="AA41">
        <f t="shared" si="0"/>
        <v>0.37</v>
      </c>
      <c r="AB41">
        <f t="shared" si="0"/>
        <v>0.34200000000000003</v>
      </c>
      <c r="AC41">
        <f t="shared" si="0"/>
        <v>0.316</v>
      </c>
      <c r="AD41">
        <f t="shared" si="0"/>
        <v>0.22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9</v>
      </c>
      <c r="F42">
        <v>22</v>
      </c>
      <c r="G42">
        <v>9</v>
      </c>
      <c r="H42">
        <v>40</v>
      </c>
      <c r="I42">
        <v>32.1</v>
      </c>
      <c r="J42">
        <v>32</v>
      </c>
      <c r="K42">
        <v>37.700000000000003</v>
      </c>
      <c r="L42">
        <v>38.1</v>
      </c>
      <c r="M42">
        <v>36</v>
      </c>
      <c r="N42">
        <v>34.6</v>
      </c>
      <c r="O42">
        <v>40.700000000000003</v>
      </c>
      <c r="P42">
        <v>38.6</v>
      </c>
      <c r="Q42">
        <v>32.200000000000003</v>
      </c>
      <c r="R42">
        <v>23.9</v>
      </c>
      <c r="S42">
        <f t="shared" si="1"/>
        <v>24</v>
      </c>
      <c r="T42" t="s">
        <v>70</v>
      </c>
      <c r="U42">
        <f t="shared" si="2"/>
        <v>0.32100000000000001</v>
      </c>
      <c r="V42">
        <f t="shared" si="0"/>
        <v>0.32</v>
      </c>
      <c r="W42">
        <f t="shared" si="0"/>
        <v>0.377</v>
      </c>
      <c r="X42">
        <f t="shared" si="0"/>
        <v>0.38100000000000001</v>
      </c>
      <c r="Y42">
        <f t="shared" si="0"/>
        <v>0.36</v>
      </c>
      <c r="Z42">
        <f t="shared" si="0"/>
        <v>0.34600000000000003</v>
      </c>
      <c r="AA42">
        <f t="shared" si="0"/>
        <v>0.40700000000000003</v>
      </c>
      <c r="AB42">
        <f t="shared" si="0"/>
        <v>0.38600000000000001</v>
      </c>
      <c r="AC42">
        <f t="shared" si="0"/>
        <v>0.32200000000000001</v>
      </c>
      <c r="AD42">
        <f t="shared" si="0"/>
        <v>0.23899999999999999</v>
      </c>
    </row>
    <row r="43" spans="1:30" x14ac:dyDescent="0.25">
      <c r="A43">
        <v>430</v>
      </c>
      <c r="B43">
        <v>25</v>
      </c>
      <c r="C43">
        <v>0</v>
      </c>
      <c r="D43">
        <v>14</v>
      </c>
      <c r="E43">
        <v>9</v>
      </c>
      <c r="F43">
        <v>22</v>
      </c>
      <c r="G43">
        <v>9</v>
      </c>
      <c r="H43">
        <v>54</v>
      </c>
      <c r="I43">
        <v>-5.9</v>
      </c>
      <c r="J43">
        <v>38.299999999999997</v>
      </c>
      <c r="K43">
        <v>42.3</v>
      </c>
      <c r="L43">
        <v>40.200000000000003</v>
      </c>
      <c r="M43">
        <v>34.6</v>
      </c>
      <c r="N43">
        <v>34.799999999999997</v>
      </c>
      <c r="O43">
        <v>29.9</v>
      </c>
      <c r="P43">
        <v>31.3</v>
      </c>
      <c r="Q43">
        <v>30</v>
      </c>
      <c r="R43">
        <v>20.3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0.38299999999999995</v>
      </c>
      <c r="W43">
        <f t="shared" si="0"/>
        <v>0.42299999999999999</v>
      </c>
      <c r="X43">
        <f t="shared" si="0"/>
        <v>0.40200000000000002</v>
      </c>
      <c r="Y43">
        <f t="shared" si="0"/>
        <v>0.34600000000000003</v>
      </c>
      <c r="Z43">
        <f t="shared" si="0"/>
        <v>0.34799999999999998</v>
      </c>
      <c r="AA43">
        <f t="shared" si="0"/>
        <v>0.29899999999999999</v>
      </c>
      <c r="AB43">
        <f t="shared" si="0"/>
        <v>0.313</v>
      </c>
      <c r="AC43">
        <f t="shared" si="0"/>
        <v>0.3</v>
      </c>
      <c r="AD43">
        <f t="shared" si="0"/>
        <v>0.20300000000000001</v>
      </c>
    </row>
    <row r="44" spans="1:30" x14ac:dyDescent="0.25">
      <c r="A44">
        <v>429</v>
      </c>
      <c r="B44">
        <v>26</v>
      </c>
      <c r="C44">
        <v>0</v>
      </c>
      <c r="D44">
        <v>14</v>
      </c>
      <c r="E44">
        <v>9</v>
      </c>
      <c r="F44">
        <v>22</v>
      </c>
      <c r="G44">
        <v>9</v>
      </c>
      <c r="H44">
        <v>51</v>
      </c>
      <c r="I44">
        <v>-5.9</v>
      </c>
      <c r="J44">
        <v>-5.9</v>
      </c>
      <c r="K44">
        <v>30.7</v>
      </c>
      <c r="L44">
        <v>30.9</v>
      </c>
      <c r="M44">
        <v>32</v>
      </c>
      <c r="N44">
        <v>27.6</v>
      </c>
      <c r="O44">
        <v>33.700000000000003</v>
      </c>
      <c r="P44">
        <v>34.6</v>
      </c>
      <c r="Q44">
        <v>29.6</v>
      </c>
      <c r="R44">
        <v>20.100000000000001</v>
      </c>
      <c r="S44">
        <f t="shared" si="1"/>
        <v>26</v>
      </c>
      <c r="T44" t="s">
        <v>74</v>
      </c>
      <c r="U44" t="str">
        <f t="shared" si="2"/>
        <v/>
      </c>
      <c r="V44" t="str">
        <f t="shared" si="0"/>
        <v/>
      </c>
      <c r="W44">
        <f t="shared" si="0"/>
        <v>0.307</v>
      </c>
      <c r="X44">
        <f t="shared" si="0"/>
        <v>0.309</v>
      </c>
      <c r="Y44">
        <f t="shared" si="0"/>
        <v>0.32</v>
      </c>
      <c r="Z44">
        <f t="shared" si="0"/>
        <v>0.27600000000000002</v>
      </c>
      <c r="AA44">
        <f t="shared" si="0"/>
        <v>0.33700000000000002</v>
      </c>
      <c r="AB44">
        <f t="shared" si="0"/>
        <v>0.34600000000000003</v>
      </c>
      <c r="AC44">
        <f t="shared" si="0"/>
        <v>0.29600000000000004</v>
      </c>
      <c r="AD44">
        <f t="shared" si="0"/>
        <v>0.20100000000000001</v>
      </c>
    </row>
    <row r="45" spans="1:30" x14ac:dyDescent="0.25">
      <c r="A45">
        <v>428</v>
      </c>
      <c r="B45">
        <v>27</v>
      </c>
      <c r="C45">
        <v>0</v>
      </c>
      <c r="D45">
        <v>14</v>
      </c>
      <c r="E45">
        <v>9</v>
      </c>
      <c r="F45">
        <v>22</v>
      </c>
      <c r="G45">
        <v>10</v>
      </c>
      <c r="H45">
        <v>4</v>
      </c>
      <c r="I45">
        <v>-5.9</v>
      </c>
      <c r="J45">
        <v>-5.9</v>
      </c>
      <c r="K45">
        <v>29.1</v>
      </c>
      <c r="L45">
        <v>39.5</v>
      </c>
      <c r="M45">
        <v>28.6</v>
      </c>
      <c r="N45">
        <v>28.7</v>
      </c>
      <c r="O45">
        <v>34.1</v>
      </c>
      <c r="P45">
        <v>35.1</v>
      </c>
      <c r="Q45">
        <v>33.299999999999997</v>
      </c>
      <c r="R45">
        <v>22.4</v>
      </c>
      <c r="S45">
        <f t="shared" si="1"/>
        <v>27</v>
      </c>
      <c r="T45" t="s">
        <v>75</v>
      </c>
      <c r="U45" t="str">
        <f t="shared" si="2"/>
        <v/>
      </c>
      <c r="V45" t="str">
        <f t="shared" si="0"/>
        <v/>
      </c>
      <c r="W45">
        <f t="shared" si="0"/>
        <v>0.29100000000000004</v>
      </c>
      <c r="X45">
        <f t="shared" si="0"/>
        <v>0.39500000000000002</v>
      </c>
      <c r="Y45">
        <f t="shared" si="0"/>
        <v>0.28600000000000003</v>
      </c>
      <c r="Z45">
        <f t="shared" si="0"/>
        <v>0.28699999999999998</v>
      </c>
      <c r="AA45">
        <f t="shared" si="0"/>
        <v>0.34100000000000003</v>
      </c>
      <c r="AB45">
        <f t="shared" si="0"/>
        <v>0.35100000000000003</v>
      </c>
      <c r="AC45">
        <f t="shared" si="0"/>
        <v>0.33299999999999996</v>
      </c>
      <c r="AD45">
        <f t="shared" si="0"/>
        <v>0.22399999999999998</v>
      </c>
    </row>
    <row r="46" spans="1:30" x14ac:dyDescent="0.25">
      <c r="A46">
        <v>427</v>
      </c>
      <c r="B46">
        <v>28</v>
      </c>
      <c r="C46">
        <v>0</v>
      </c>
      <c r="D46">
        <v>14</v>
      </c>
      <c r="E46">
        <v>9</v>
      </c>
      <c r="F46">
        <v>22</v>
      </c>
      <c r="G46">
        <v>10</v>
      </c>
      <c r="H46">
        <v>1</v>
      </c>
      <c r="I46">
        <v>30.1</v>
      </c>
      <c r="J46">
        <v>28.7</v>
      </c>
      <c r="K46">
        <v>28.9</v>
      </c>
      <c r="L46">
        <v>31</v>
      </c>
      <c r="M46">
        <v>34</v>
      </c>
      <c r="N46">
        <v>35.4</v>
      </c>
      <c r="O46">
        <v>35.200000000000003</v>
      </c>
      <c r="P46">
        <v>37.9</v>
      </c>
      <c r="Q46">
        <v>32.700000000000003</v>
      </c>
      <c r="R46">
        <v>23.1</v>
      </c>
      <c r="S46">
        <f t="shared" si="1"/>
        <v>28</v>
      </c>
      <c r="T46" t="s">
        <v>76</v>
      </c>
      <c r="U46">
        <f t="shared" si="2"/>
        <v>0.30099999999999999</v>
      </c>
      <c r="V46">
        <f t="shared" si="0"/>
        <v>0.28699999999999998</v>
      </c>
      <c r="W46">
        <f t="shared" si="0"/>
        <v>0.28899999999999998</v>
      </c>
      <c r="X46">
        <f t="shared" si="0"/>
        <v>0.31</v>
      </c>
      <c r="Y46">
        <f t="shared" si="0"/>
        <v>0.34</v>
      </c>
      <c r="Z46">
        <f t="shared" si="0"/>
        <v>0.35399999999999998</v>
      </c>
      <c r="AA46">
        <f t="shared" si="0"/>
        <v>0.35200000000000004</v>
      </c>
      <c r="AB46">
        <f t="shared" si="0"/>
        <v>0.379</v>
      </c>
      <c r="AC46">
        <f t="shared" si="0"/>
        <v>0.32700000000000001</v>
      </c>
      <c r="AD46">
        <f t="shared" si="0"/>
        <v>0.23100000000000001</v>
      </c>
    </row>
    <row r="47" spans="1:30" x14ac:dyDescent="0.25">
      <c r="A47">
        <v>426</v>
      </c>
      <c r="B47">
        <v>29</v>
      </c>
      <c r="C47">
        <v>0</v>
      </c>
      <c r="D47">
        <v>14</v>
      </c>
      <c r="E47">
        <v>9</v>
      </c>
      <c r="F47">
        <v>22</v>
      </c>
      <c r="G47">
        <v>10</v>
      </c>
      <c r="H47">
        <v>14</v>
      </c>
      <c r="I47">
        <v>-5.9</v>
      </c>
      <c r="J47">
        <v>53.5</v>
      </c>
      <c r="K47">
        <v>35.6</v>
      </c>
      <c r="L47">
        <v>37.9</v>
      </c>
      <c r="M47">
        <v>39.9</v>
      </c>
      <c r="N47">
        <v>38.1</v>
      </c>
      <c r="O47">
        <v>40.1</v>
      </c>
      <c r="P47">
        <v>35.200000000000003</v>
      </c>
      <c r="Q47">
        <v>34.1</v>
      </c>
      <c r="R47">
        <v>21.9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0.53500000000000003</v>
      </c>
      <c r="W47">
        <f t="shared" si="0"/>
        <v>0.35600000000000004</v>
      </c>
      <c r="X47">
        <f t="shared" si="0"/>
        <v>0.379</v>
      </c>
      <c r="Y47">
        <f t="shared" ref="Y47:AD54" si="3">IF(M47&lt;0,"",M47/100)</f>
        <v>0.39899999999999997</v>
      </c>
      <c r="Z47">
        <f t="shared" si="3"/>
        <v>0.38100000000000001</v>
      </c>
      <c r="AA47">
        <f t="shared" si="3"/>
        <v>0.40100000000000002</v>
      </c>
      <c r="AB47">
        <f t="shared" si="3"/>
        <v>0.35200000000000004</v>
      </c>
      <c r="AC47">
        <f t="shared" si="3"/>
        <v>0.34100000000000003</v>
      </c>
      <c r="AD47">
        <f t="shared" si="3"/>
        <v>0.21899999999999997</v>
      </c>
    </row>
    <row r="48" spans="1:30" x14ac:dyDescent="0.25">
      <c r="A48">
        <v>425</v>
      </c>
      <c r="B48">
        <v>30</v>
      </c>
      <c r="C48">
        <v>0</v>
      </c>
      <c r="D48">
        <v>14</v>
      </c>
      <c r="E48">
        <v>9</v>
      </c>
      <c r="F48">
        <v>22</v>
      </c>
      <c r="G48">
        <v>10</v>
      </c>
      <c r="H48">
        <v>11</v>
      </c>
      <c r="I48">
        <v>-5.9</v>
      </c>
      <c r="J48">
        <v>45.1</v>
      </c>
      <c r="K48">
        <v>42.5</v>
      </c>
      <c r="L48">
        <v>38.4</v>
      </c>
      <c r="M48">
        <v>33.9</v>
      </c>
      <c r="N48">
        <v>33.799999999999997</v>
      </c>
      <c r="O48">
        <v>29.9</v>
      </c>
      <c r="P48">
        <v>35.1</v>
      </c>
      <c r="Q48">
        <v>28.6</v>
      </c>
      <c r="R48">
        <v>18.7</v>
      </c>
      <c r="S48">
        <f t="shared" si="1"/>
        <v>30</v>
      </c>
      <c r="T48" t="s">
        <v>77</v>
      </c>
      <c r="U48" t="str">
        <f t="shared" si="2"/>
        <v/>
      </c>
      <c r="V48">
        <f t="shared" si="2"/>
        <v>0.45100000000000001</v>
      </c>
      <c r="W48">
        <f t="shared" si="2"/>
        <v>0.42499999999999999</v>
      </c>
      <c r="X48">
        <f t="shared" si="2"/>
        <v>0.38400000000000001</v>
      </c>
      <c r="Y48">
        <f t="shared" si="3"/>
        <v>0.33899999999999997</v>
      </c>
      <c r="Z48">
        <f t="shared" si="3"/>
        <v>0.33799999999999997</v>
      </c>
      <c r="AA48">
        <f t="shared" si="3"/>
        <v>0.29899999999999999</v>
      </c>
      <c r="AB48">
        <f t="shared" si="3"/>
        <v>0.35100000000000003</v>
      </c>
      <c r="AC48">
        <f t="shared" si="3"/>
        <v>0.28600000000000003</v>
      </c>
      <c r="AD48">
        <f t="shared" si="3"/>
        <v>0.187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9</v>
      </c>
      <c r="F49">
        <v>22</v>
      </c>
      <c r="G49">
        <v>10</v>
      </c>
      <c r="H49">
        <v>23</v>
      </c>
      <c r="I49">
        <v>-5.9</v>
      </c>
      <c r="J49">
        <v>-5.9</v>
      </c>
      <c r="K49">
        <v>34.6</v>
      </c>
      <c r="L49">
        <v>32</v>
      </c>
      <c r="M49">
        <v>30.6</v>
      </c>
      <c r="N49">
        <v>32.200000000000003</v>
      </c>
      <c r="O49">
        <v>31.3</v>
      </c>
      <c r="P49">
        <v>33.700000000000003</v>
      </c>
      <c r="Q49">
        <v>27.6</v>
      </c>
      <c r="R49">
        <v>15.9</v>
      </c>
      <c r="S49">
        <f t="shared" si="1"/>
        <v>31</v>
      </c>
      <c r="T49" t="s">
        <v>54</v>
      </c>
      <c r="U49" t="str">
        <f t="shared" ref="U49:X54" si="4">IF(I49&lt;0,"",I49/100)</f>
        <v/>
      </c>
      <c r="V49" t="str">
        <f t="shared" si="4"/>
        <v/>
      </c>
      <c r="W49">
        <f t="shared" si="4"/>
        <v>0.34600000000000003</v>
      </c>
      <c r="X49">
        <f t="shared" si="4"/>
        <v>0.32</v>
      </c>
      <c r="Y49">
        <f t="shared" si="3"/>
        <v>0.30599999999999999</v>
      </c>
      <c r="Z49">
        <f t="shared" si="3"/>
        <v>0.32200000000000001</v>
      </c>
      <c r="AA49">
        <f t="shared" si="3"/>
        <v>0.313</v>
      </c>
      <c r="AB49">
        <f t="shared" si="3"/>
        <v>0.33700000000000002</v>
      </c>
      <c r="AC49">
        <f t="shared" si="3"/>
        <v>0.27600000000000002</v>
      </c>
      <c r="AD49">
        <f t="shared" si="3"/>
        <v>0.159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9</v>
      </c>
      <c r="F50">
        <v>22</v>
      </c>
      <c r="G50">
        <v>10</v>
      </c>
      <c r="H50">
        <v>20</v>
      </c>
      <c r="I50">
        <v>-5.9</v>
      </c>
      <c r="J50">
        <v>35.4</v>
      </c>
      <c r="K50">
        <v>29.6</v>
      </c>
      <c r="L50">
        <v>30.4</v>
      </c>
      <c r="M50">
        <v>32.1</v>
      </c>
      <c r="N50">
        <v>32.6</v>
      </c>
      <c r="O50">
        <v>31</v>
      </c>
      <c r="P50">
        <v>29.2</v>
      </c>
      <c r="Q50">
        <v>26.8</v>
      </c>
      <c r="R50">
        <v>19.100000000000001</v>
      </c>
      <c r="S50">
        <f t="shared" si="1"/>
        <v>32</v>
      </c>
      <c r="T50" t="s">
        <v>78</v>
      </c>
      <c r="U50" t="str">
        <f t="shared" si="4"/>
        <v/>
      </c>
      <c r="V50">
        <f t="shared" si="4"/>
        <v>0.35399999999999998</v>
      </c>
      <c r="W50">
        <f t="shared" si="4"/>
        <v>0.29600000000000004</v>
      </c>
      <c r="X50">
        <f t="shared" si="4"/>
        <v>0.30399999999999999</v>
      </c>
      <c r="Y50">
        <f t="shared" si="3"/>
        <v>0.32100000000000001</v>
      </c>
      <c r="Z50">
        <f t="shared" si="3"/>
        <v>0.32600000000000001</v>
      </c>
      <c r="AA50">
        <f t="shared" si="3"/>
        <v>0.31</v>
      </c>
      <c r="AB50">
        <f t="shared" si="3"/>
        <v>0.29199999999999998</v>
      </c>
      <c r="AC50">
        <f t="shared" si="3"/>
        <v>0.26800000000000002</v>
      </c>
      <c r="AD50">
        <f t="shared" si="3"/>
        <v>0.191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9</v>
      </c>
      <c r="F51">
        <v>22</v>
      </c>
      <c r="G51">
        <v>10</v>
      </c>
      <c r="H51">
        <v>32</v>
      </c>
      <c r="I51">
        <v>-5.9</v>
      </c>
      <c r="J51">
        <v>-5.9</v>
      </c>
      <c r="K51">
        <v>29.6</v>
      </c>
      <c r="L51">
        <v>30.4</v>
      </c>
      <c r="M51">
        <v>34.5</v>
      </c>
      <c r="N51">
        <v>37</v>
      </c>
      <c r="O51">
        <v>35.200000000000003</v>
      </c>
      <c r="P51">
        <v>33.6</v>
      </c>
      <c r="Q51">
        <v>27.7</v>
      </c>
      <c r="R51">
        <v>19.600000000000001</v>
      </c>
      <c r="S51">
        <f t="shared" si="1"/>
        <v>33</v>
      </c>
      <c r="T51" t="s">
        <v>79</v>
      </c>
      <c r="U51" t="str">
        <f t="shared" si="4"/>
        <v/>
      </c>
      <c r="V51" t="str">
        <f t="shared" si="4"/>
        <v/>
      </c>
      <c r="W51">
        <f t="shared" si="4"/>
        <v>0.29600000000000004</v>
      </c>
      <c r="X51">
        <f t="shared" si="4"/>
        <v>0.30399999999999999</v>
      </c>
      <c r="Y51">
        <f t="shared" si="3"/>
        <v>0.34499999999999997</v>
      </c>
      <c r="Z51">
        <f t="shared" si="3"/>
        <v>0.37</v>
      </c>
      <c r="AA51">
        <f t="shared" si="3"/>
        <v>0.35200000000000004</v>
      </c>
      <c r="AB51">
        <f t="shared" si="3"/>
        <v>0.33600000000000002</v>
      </c>
      <c r="AC51">
        <f t="shared" si="3"/>
        <v>0.27699999999999997</v>
      </c>
      <c r="AD51">
        <f t="shared" si="3"/>
        <v>0.19600000000000001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9</v>
      </c>
      <c r="F52">
        <v>22</v>
      </c>
      <c r="G52">
        <v>10</v>
      </c>
      <c r="H52">
        <v>36</v>
      </c>
      <c r="I52">
        <v>-5.9</v>
      </c>
      <c r="J52">
        <v>-5.9</v>
      </c>
      <c r="K52">
        <v>35.5</v>
      </c>
      <c r="L52">
        <v>37.799999999999997</v>
      </c>
      <c r="M52">
        <v>34.1</v>
      </c>
      <c r="N52">
        <v>36.6</v>
      </c>
      <c r="O52">
        <v>37.5</v>
      </c>
      <c r="P52">
        <v>31.4</v>
      </c>
      <c r="Q52">
        <v>29.4</v>
      </c>
      <c r="R52">
        <v>21.7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4"/>
        <v/>
      </c>
      <c r="W52">
        <f t="shared" si="4"/>
        <v>0.35499999999999998</v>
      </c>
      <c r="X52">
        <f t="shared" si="4"/>
        <v>0.37799999999999995</v>
      </c>
      <c r="Y52">
        <f t="shared" si="3"/>
        <v>0.34100000000000003</v>
      </c>
      <c r="Z52">
        <f t="shared" si="3"/>
        <v>0.36599999999999999</v>
      </c>
      <c r="AA52">
        <f t="shared" si="3"/>
        <v>0.375</v>
      </c>
      <c r="AB52">
        <f t="shared" si="3"/>
        <v>0.314</v>
      </c>
      <c r="AC52">
        <f t="shared" si="3"/>
        <v>0.29399999999999998</v>
      </c>
      <c r="AD52">
        <f t="shared" si="3"/>
        <v>0.217</v>
      </c>
    </row>
    <row r="53" spans="1:30" x14ac:dyDescent="0.25">
      <c r="A53">
        <v>419</v>
      </c>
      <c r="B53">
        <v>35</v>
      </c>
      <c r="C53">
        <v>0</v>
      </c>
      <c r="D53">
        <v>14</v>
      </c>
      <c r="E53">
        <v>9</v>
      </c>
      <c r="F53">
        <v>22</v>
      </c>
      <c r="G53">
        <v>10</v>
      </c>
      <c r="H53">
        <v>42</v>
      </c>
      <c r="I53">
        <v>-5.9</v>
      </c>
      <c r="J53">
        <v>-5.9</v>
      </c>
      <c r="K53">
        <v>39.5</v>
      </c>
      <c r="L53">
        <v>37.5</v>
      </c>
      <c r="M53">
        <v>35.5</v>
      </c>
      <c r="N53">
        <v>33.1</v>
      </c>
      <c r="O53">
        <v>30.1</v>
      </c>
      <c r="P53">
        <v>26</v>
      </c>
      <c r="Q53">
        <v>27.8</v>
      </c>
      <c r="R53">
        <v>18.600000000000001</v>
      </c>
      <c r="S53">
        <f t="shared" si="1"/>
        <v>35</v>
      </c>
      <c r="T53" t="s">
        <v>81</v>
      </c>
      <c r="U53" t="str">
        <f t="shared" si="4"/>
        <v/>
      </c>
      <c r="V53" t="str">
        <f t="shared" si="4"/>
        <v/>
      </c>
      <c r="W53">
        <f t="shared" si="4"/>
        <v>0.39500000000000002</v>
      </c>
      <c r="X53">
        <f t="shared" si="4"/>
        <v>0.375</v>
      </c>
      <c r="Y53">
        <f t="shared" si="3"/>
        <v>0.35499999999999998</v>
      </c>
      <c r="Z53">
        <f t="shared" si="3"/>
        <v>0.33100000000000002</v>
      </c>
      <c r="AA53">
        <f t="shared" si="3"/>
        <v>0.30099999999999999</v>
      </c>
      <c r="AB53">
        <f t="shared" si="3"/>
        <v>0.26</v>
      </c>
      <c r="AC53">
        <f t="shared" si="3"/>
        <v>0.27800000000000002</v>
      </c>
      <c r="AD53">
        <f t="shared" si="3"/>
        <v>0.18600000000000003</v>
      </c>
    </row>
    <row r="54" spans="1:30" x14ac:dyDescent="0.25">
      <c r="A54">
        <v>418</v>
      </c>
      <c r="B54">
        <v>36</v>
      </c>
      <c r="C54">
        <v>0</v>
      </c>
      <c r="D54">
        <v>14</v>
      </c>
      <c r="E54">
        <v>9</v>
      </c>
      <c r="F54">
        <v>22</v>
      </c>
      <c r="G54">
        <v>10</v>
      </c>
      <c r="H54">
        <v>46</v>
      </c>
      <c r="I54">
        <v>-5.9</v>
      </c>
      <c r="J54">
        <v>34.5</v>
      </c>
      <c r="K54">
        <v>42.6</v>
      </c>
      <c r="L54">
        <v>44.2</v>
      </c>
      <c r="M54">
        <v>33.1</v>
      </c>
      <c r="N54">
        <v>36.6</v>
      </c>
      <c r="O54">
        <v>32.4</v>
      </c>
      <c r="P54">
        <v>30.3</v>
      </c>
      <c r="Q54">
        <v>28.1</v>
      </c>
      <c r="R54">
        <v>19.600000000000001</v>
      </c>
      <c r="S54">
        <f t="shared" si="1"/>
        <v>36</v>
      </c>
      <c r="T54" t="s">
        <v>73</v>
      </c>
      <c r="U54" t="str">
        <f t="shared" si="4"/>
        <v/>
      </c>
      <c r="V54">
        <f t="shared" si="4"/>
        <v>0.34499999999999997</v>
      </c>
      <c r="W54">
        <f t="shared" si="4"/>
        <v>0.42599999999999999</v>
      </c>
      <c r="X54">
        <f t="shared" si="4"/>
        <v>0.442</v>
      </c>
      <c r="Y54">
        <f t="shared" si="3"/>
        <v>0.33100000000000002</v>
      </c>
      <c r="Z54">
        <f t="shared" si="3"/>
        <v>0.36599999999999999</v>
      </c>
      <c r="AA54">
        <f t="shared" si="3"/>
        <v>0.32400000000000001</v>
      </c>
      <c r="AB54">
        <f t="shared" si="3"/>
        <v>0.30299999999999999</v>
      </c>
      <c r="AC54">
        <f t="shared" si="3"/>
        <v>0.28100000000000003</v>
      </c>
      <c r="AD54">
        <f t="shared" si="3"/>
        <v>0.19600000000000001</v>
      </c>
    </row>
    <row r="57" spans="1:30" x14ac:dyDescent="0.25">
      <c r="A57" s="2">
        <v>41904</v>
      </c>
    </row>
    <row r="58" spans="1:30" x14ac:dyDescent="0.25">
      <c r="A58" t="s">
        <v>3</v>
      </c>
      <c r="B58">
        <v>6116</v>
      </c>
      <c r="C58" t="s">
        <v>4</v>
      </c>
      <c r="D58">
        <v>12949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9</v>
      </c>
      <c r="F75">
        <v>22</v>
      </c>
      <c r="G75">
        <v>7</v>
      </c>
      <c r="H75">
        <v>42</v>
      </c>
      <c r="I75">
        <v>18.399999999999999</v>
      </c>
      <c r="J75">
        <v>20.100000000000001</v>
      </c>
      <c r="K75">
        <v>18.399999999999999</v>
      </c>
      <c r="L75">
        <v>16.100000000000001</v>
      </c>
      <c r="M75">
        <v>13.4</v>
      </c>
      <c r="N75">
        <v>14</v>
      </c>
      <c r="O75">
        <v>14</v>
      </c>
      <c r="P75">
        <v>13.6</v>
      </c>
      <c r="Q75">
        <v>14.6</v>
      </c>
      <c r="R75">
        <v>10.199999999999999</v>
      </c>
      <c r="S75">
        <f>B75</f>
        <v>66</v>
      </c>
      <c r="T75" t="s">
        <v>50</v>
      </c>
      <c r="U75">
        <f>IF(I75&lt;0,"",I75/100)</f>
        <v>0.184</v>
      </c>
      <c r="V75">
        <f t="shared" ref="V75:AD103" si="5">IF(J75&lt;0,"",J75/100)</f>
        <v>0.20100000000000001</v>
      </c>
      <c r="W75">
        <f t="shared" si="5"/>
        <v>0.184</v>
      </c>
      <c r="X75">
        <f t="shared" si="5"/>
        <v>0.161</v>
      </c>
      <c r="Y75">
        <f t="shared" si="5"/>
        <v>0.13400000000000001</v>
      </c>
      <c r="Z75">
        <f t="shared" si="5"/>
        <v>0.14000000000000001</v>
      </c>
      <c r="AA75">
        <f t="shared" si="5"/>
        <v>0.14000000000000001</v>
      </c>
      <c r="AB75">
        <f t="shared" si="5"/>
        <v>0.13600000000000001</v>
      </c>
      <c r="AC75">
        <f t="shared" si="5"/>
        <v>0.14599999999999999</v>
      </c>
      <c r="AD75">
        <f t="shared" si="5"/>
        <v>0.10199999999999999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9</v>
      </c>
      <c r="F76">
        <v>22</v>
      </c>
      <c r="G76">
        <v>7</v>
      </c>
      <c r="H76">
        <v>47</v>
      </c>
      <c r="I76">
        <v>16.899999999999999</v>
      </c>
      <c r="J76">
        <v>18.8</v>
      </c>
      <c r="K76">
        <v>20.100000000000001</v>
      </c>
      <c r="L76">
        <v>19.8</v>
      </c>
      <c r="M76">
        <v>16.8</v>
      </c>
      <c r="N76">
        <v>15.4</v>
      </c>
      <c r="O76">
        <v>13.8</v>
      </c>
      <c r="P76">
        <v>13.9</v>
      </c>
      <c r="Q76">
        <v>16.2</v>
      </c>
      <c r="R76">
        <v>10.7</v>
      </c>
      <c r="S76">
        <f t="shared" ref="S76:S104" si="6">B76</f>
        <v>65</v>
      </c>
      <c r="T76" t="s">
        <v>49</v>
      </c>
      <c r="U76">
        <f t="shared" ref="U76:X104" si="7">IF(I76&lt;0,"",I76/100)</f>
        <v>0.16899999999999998</v>
      </c>
      <c r="V76">
        <f t="shared" si="5"/>
        <v>0.188</v>
      </c>
      <c r="W76">
        <f t="shared" si="5"/>
        <v>0.20100000000000001</v>
      </c>
      <c r="X76">
        <f t="shared" si="5"/>
        <v>0.19800000000000001</v>
      </c>
      <c r="Y76">
        <f t="shared" si="5"/>
        <v>0.16800000000000001</v>
      </c>
      <c r="Z76">
        <f t="shared" si="5"/>
        <v>0.154</v>
      </c>
      <c r="AA76">
        <f t="shared" si="5"/>
        <v>0.13800000000000001</v>
      </c>
      <c r="AB76">
        <f t="shared" si="5"/>
        <v>0.13900000000000001</v>
      </c>
      <c r="AC76">
        <f t="shared" si="5"/>
        <v>0.16200000000000001</v>
      </c>
      <c r="AD76">
        <f t="shared" si="5"/>
        <v>0.107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9</v>
      </c>
      <c r="F77">
        <v>22</v>
      </c>
      <c r="G77">
        <v>7</v>
      </c>
      <c r="H77">
        <v>52</v>
      </c>
      <c r="I77">
        <v>12.7</v>
      </c>
      <c r="J77">
        <v>11.4</v>
      </c>
      <c r="K77">
        <v>10.199999999999999</v>
      </c>
      <c r="L77">
        <v>9.1999999999999993</v>
      </c>
      <c r="M77">
        <v>8</v>
      </c>
      <c r="N77">
        <v>8.1</v>
      </c>
      <c r="O77">
        <v>10.1</v>
      </c>
      <c r="P77">
        <v>14.3</v>
      </c>
      <c r="Q77">
        <v>16.8</v>
      </c>
      <c r="R77">
        <v>10.1</v>
      </c>
      <c r="S77">
        <f t="shared" si="6"/>
        <v>64</v>
      </c>
      <c r="T77" t="s">
        <v>48</v>
      </c>
      <c r="U77">
        <f t="shared" si="7"/>
        <v>0.127</v>
      </c>
      <c r="V77">
        <f t="shared" si="5"/>
        <v>0.114</v>
      </c>
      <c r="W77">
        <f t="shared" si="5"/>
        <v>0.10199999999999999</v>
      </c>
      <c r="X77">
        <f t="shared" si="5"/>
        <v>9.1999999999999998E-2</v>
      </c>
      <c r="Y77">
        <f t="shared" si="5"/>
        <v>0.08</v>
      </c>
      <c r="Z77">
        <f t="shared" si="5"/>
        <v>8.1000000000000003E-2</v>
      </c>
      <c r="AA77">
        <f t="shared" si="5"/>
        <v>0.10099999999999999</v>
      </c>
      <c r="AB77">
        <f t="shared" si="5"/>
        <v>0.14300000000000002</v>
      </c>
      <c r="AC77">
        <f t="shared" si="5"/>
        <v>0.16800000000000001</v>
      </c>
      <c r="AD77">
        <f t="shared" si="5"/>
        <v>0.10099999999999999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9</v>
      </c>
      <c r="F78">
        <v>22</v>
      </c>
      <c r="G78">
        <v>7</v>
      </c>
      <c r="H78">
        <v>57</v>
      </c>
      <c r="I78">
        <v>21.9</v>
      </c>
      <c r="J78">
        <v>18.3</v>
      </c>
      <c r="K78">
        <v>19.100000000000001</v>
      </c>
      <c r="L78">
        <v>17</v>
      </c>
      <c r="M78">
        <v>15.8</v>
      </c>
      <c r="N78">
        <v>16.5</v>
      </c>
      <c r="O78">
        <v>16.399999999999999</v>
      </c>
      <c r="P78">
        <v>17</v>
      </c>
      <c r="Q78">
        <v>17.899999999999999</v>
      </c>
      <c r="R78">
        <v>11.4</v>
      </c>
      <c r="S78">
        <f t="shared" si="6"/>
        <v>63</v>
      </c>
      <c r="T78" t="s">
        <v>47</v>
      </c>
      <c r="U78">
        <f t="shared" si="7"/>
        <v>0.21899999999999997</v>
      </c>
      <c r="V78">
        <f t="shared" si="5"/>
        <v>0.183</v>
      </c>
      <c r="W78">
        <f t="shared" si="5"/>
        <v>0.191</v>
      </c>
      <c r="X78">
        <f t="shared" si="5"/>
        <v>0.17</v>
      </c>
      <c r="Y78">
        <f t="shared" si="5"/>
        <v>0.158</v>
      </c>
      <c r="Z78">
        <f t="shared" si="5"/>
        <v>0.16500000000000001</v>
      </c>
      <c r="AA78">
        <f t="shared" si="5"/>
        <v>0.16399999999999998</v>
      </c>
      <c r="AB78">
        <f t="shared" si="5"/>
        <v>0.17</v>
      </c>
      <c r="AC78">
        <f t="shared" si="5"/>
        <v>0.17899999999999999</v>
      </c>
      <c r="AD78">
        <f t="shared" si="5"/>
        <v>0.114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9</v>
      </c>
      <c r="F79">
        <v>22</v>
      </c>
      <c r="G79">
        <v>8</v>
      </c>
      <c r="H79">
        <v>2</v>
      </c>
      <c r="I79">
        <v>22.3</v>
      </c>
      <c r="J79">
        <v>23</v>
      </c>
      <c r="K79">
        <v>22</v>
      </c>
      <c r="L79">
        <v>21</v>
      </c>
      <c r="M79">
        <v>19.3</v>
      </c>
      <c r="N79">
        <v>18.8</v>
      </c>
      <c r="O79">
        <v>19.399999999999999</v>
      </c>
      <c r="P79">
        <v>19</v>
      </c>
      <c r="Q79">
        <v>18.600000000000001</v>
      </c>
      <c r="R79">
        <v>11.8</v>
      </c>
      <c r="S79">
        <f t="shared" si="6"/>
        <v>62</v>
      </c>
      <c r="T79" t="s">
        <v>46</v>
      </c>
      <c r="U79">
        <f t="shared" si="7"/>
        <v>0.223</v>
      </c>
      <c r="V79">
        <f t="shared" si="5"/>
        <v>0.23</v>
      </c>
      <c r="W79">
        <f t="shared" si="5"/>
        <v>0.22</v>
      </c>
      <c r="X79">
        <f t="shared" si="5"/>
        <v>0.21</v>
      </c>
      <c r="Y79">
        <f t="shared" si="5"/>
        <v>0.193</v>
      </c>
      <c r="Z79">
        <f t="shared" si="5"/>
        <v>0.188</v>
      </c>
      <c r="AA79">
        <f t="shared" si="5"/>
        <v>0.19399999999999998</v>
      </c>
      <c r="AB79">
        <f t="shared" si="5"/>
        <v>0.19</v>
      </c>
      <c r="AC79">
        <f t="shared" si="5"/>
        <v>0.18600000000000003</v>
      </c>
      <c r="AD79">
        <f t="shared" si="5"/>
        <v>0.11800000000000001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9</v>
      </c>
      <c r="F80">
        <v>22</v>
      </c>
      <c r="G80">
        <v>8</v>
      </c>
      <c r="H80">
        <v>6</v>
      </c>
      <c r="I80">
        <v>-5</v>
      </c>
      <c r="J80">
        <v>21.7</v>
      </c>
      <c r="K80">
        <v>21.2</v>
      </c>
      <c r="L80">
        <v>21.8</v>
      </c>
      <c r="M80">
        <v>20.5</v>
      </c>
      <c r="N80">
        <v>18</v>
      </c>
      <c r="O80">
        <v>16.5</v>
      </c>
      <c r="P80">
        <v>16.7</v>
      </c>
      <c r="Q80">
        <v>16.3</v>
      </c>
      <c r="R80">
        <v>9.8000000000000007</v>
      </c>
      <c r="S80">
        <f t="shared" si="6"/>
        <v>61</v>
      </c>
      <c r="T80" t="s">
        <v>45</v>
      </c>
      <c r="U80" t="str">
        <f t="shared" si="7"/>
        <v/>
      </c>
      <c r="V80">
        <f t="shared" si="5"/>
        <v>0.217</v>
      </c>
      <c r="W80">
        <f t="shared" si="5"/>
        <v>0.21199999999999999</v>
      </c>
      <c r="X80">
        <f t="shared" si="5"/>
        <v>0.218</v>
      </c>
      <c r="Y80">
        <f t="shared" si="5"/>
        <v>0.20499999999999999</v>
      </c>
      <c r="Z80">
        <f t="shared" si="5"/>
        <v>0.18</v>
      </c>
      <c r="AA80">
        <f t="shared" si="5"/>
        <v>0.16500000000000001</v>
      </c>
      <c r="AB80">
        <f t="shared" si="5"/>
        <v>0.16699999999999998</v>
      </c>
      <c r="AC80">
        <f t="shared" si="5"/>
        <v>0.16300000000000001</v>
      </c>
      <c r="AD80">
        <f t="shared" si="5"/>
        <v>9.8000000000000004E-2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9</v>
      </c>
      <c r="F81">
        <v>22</v>
      </c>
      <c r="G81">
        <v>8</v>
      </c>
      <c r="H81">
        <v>20</v>
      </c>
      <c r="I81">
        <v>-5</v>
      </c>
      <c r="J81">
        <v>18.100000000000001</v>
      </c>
      <c r="K81">
        <v>15.6</v>
      </c>
      <c r="L81">
        <v>15.5</v>
      </c>
      <c r="M81">
        <v>15.3</v>
      </c>
      <c r="N81">
        <v>13.2</v>
      </c>
      <c r="O81">
        <v>11.8</v>
      </c>
      <c r="P81">
        <v>14</v>
      </c>
      <c r="Q81">
        <v>14.9</v>
      </c>
      <c r="R81">
        <v>9.6</v>
      </c>
      <c r="S81">
        <f t="shared" si="6"/>
        <v>60</v>
      </c>
      <c r="T81" t="s">
        <v>94</v>
      </c>
      <c r="U81" t="str">
        <f t="shared" si="7"/>
        <v/>
      </c>
      <c r="V81">
        <f t="shared" si="5"/>
        <v>0.18100000000000002</v>
      </c>
      <c r="W81">
        <f t="shared" si="5"/>
        <v>0.156</v>
      </c>
      <c r="X81">
        <f t="shared" si="5"/>
        <v>0.155</v>
      </c>
      <c r="Y81">
        <f t="shared" si="5"/>
        <v>0.153</v>
      </c>
      <c r="Z81">
        <f t="shared" si="5"/>
        <v>0.13200000000000001</v>
      </c>
      <c r="AA81">
        <f t="shared" si="5"/>
        <v>0.11800000000000001</v>
      </c>
      <c r="AB81">
        <f t="shared" si="5"/>
        <v>0.14000000000000001</v>
      </c>
      <c r="AC81">
        <f t="shared" si="5"/>
        <v>0.14899999999999999</v>
      </c>
      <c r="AD81">
        <f t="shared" si="5"/>
        <v>9.6000000000000002E-2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9</v>
      </c>
      <c r="F82">
        <v>22</v>
      </c>
      <c r="G82">
        <v>8</v>
      </c>
      <c r="H82">
        <v>25</v>
      </c>
      <c r="I82">
        <v>-5</v>
      </c>
      <c r="J82">
        <v>17.3</v>
      </c>
      <c r="K82">
        <v>14.7</v>
      </c>
      <c r="L82">
        <v>13.9</v>
      </c>
      <c r="M82">
        <v>13.3</v>
      </c>
      <c r="N82">
        <v>11.9</v>
      </c>
      <c r="O82">
        <v>10.5</v>
      </c>
      <c r="P82">
        <v>13.2</v>
      </c>
      <c r="Q82">
        <v>15.2</v>
      </c>
      <c r="R82">
        <v>10.8</v>
      </c>
      <c r="S82">
        <f t="shared" si="6"/>
        <v>59</v>
      </c>
      <c r="T82" t="s">
        <v>93</v>
      </c>
      <c r="U82" t="str">
        <f t="shared" si="7"/>
        <v/>
      </c>
      <c r="V82">
        <f t="shared" si="5"/>
        <v>0.17300000000000001</v>
      </c>
      <c r="W82">
        <f t="shared" si="5"/>
        <v>0.14699999999999999</v>
      </c>
      <c r="X82">
        <f t="shared" si="5"/>
        <v>0.13900000000000001</v>
      </c>
      <c r="Y82">
        <f t="shared" si="5"/>
        <v>0.13300000000000001</v>
      </c>
      <c r="Z82">
        <f t="shared" si="5"/>
        <v>0.11900000000000001</v>
      </c>
      <c r="AA82">
        <f t="shared" si="5"/>
        <v>0.105</v>
      </c>
      <c r="AB82">
        <f t="shared" si="5"/>
        <v>0.13200000000000001</v>
      </c>
      <c r="AC82">
        <f t="shared" si="5"/>
        <v>0.152</v>
      </c>
      <c r="AD82">
        <f t="shared" si="5"/>
        <v>0.10800000000000001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9</v>
      </c>
      <c r="F83">
        <v>22</v>
      </c>
      <c r="G83">
        <v>8</v>
      </c>
      <c r="H83">
        <v>30</v>
      </c>
      <c r="I83">
        <v>-5</v>
      </c>
      <c r="J83">
        <v>16.899999999999999</v>
      </c>
      <c r="K83">
        <v>16</v>
      </c>
      <c r="L83">
        <v>14.9</v>
      </c>
      <c r="M83">
        <v>14.9</v>
      </c>
      <c r="N83">
        <v>15.1</v>
      </c>
      <c r="O83">
        <v>13.1</v>
      </c>
      <c r="P83">
        <v>14.7</v>
      </c>
      <c r="Q83">
        <v>16.600000000000001</v>
      </c>
      <c r="R83">
        <v>10.7</v>
      </c>
      <c r="S83">
        <f t="shared" si="6"/>
        <v>58</v>
      </c>
      <c r="T83" t="s">
        <v>92</v>
      </c>
      <c r="U83" t="str">
        <f t="shared" si="7"/>
        <v/>
      </c>
      <c r="V83">
        <f t="shared" si="5"/>
        <v>0.16899999999999998</v>
      </c>
      <c r="W83">
        <f t="shared" si="5"/>
        <v>0.16</v>
      </c>
      <c r="X83">
        <f t="shared" si="5"/>
        <v>0.14899999999999999</v>
      </c>
      <c r="Y83">
        <f t="shared" si="5"/>
        <v>0.14899999999999999</v>
      </c>
      <c r="Z83">
        <f t="shared" si="5"/>
        <v>0.151</v>
      </c>
      <c r="AA83">
        <f t="shared" si="5"/>
        <v>0.13100000000000001</v>
      </c>
      <c r="AB83">
        <f t="shared" si="5"/>
        <v>0.14699999999999999</v>
      </c>
      <c r="AC83">
        <f t="shared" si="5"/>
        <v>0.16600000000000001</v>
      </c>
      <c r="AD83">
        <f t="shared" si="5"/>
        <v>0.107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9</v>
      </c>
      <c r="F84">
        <v>22</v>
      </c>
      <c r="G84">
        <v>8</v>
      </c>
      <c r="H84">
        <v>35</v>
      </c>
      <c r="I84">
        <v>15.4</v>
      </c>
      <c r="J84">
        <v>17.399999999999999</v>
      </c>
      <c r="K84">
        <v>22.3</v>
      </c>
      <c r="L84">
        <v>23.7</v>
      </c>
      <c r="M84">
        <v>20.8</v>
      </c>
      <c r="N84">
        <v>20.8</v>
      </c>
      <c r="O84">
        <v>18.8</v>
      </c>
      <c r="P84">
        <v>16.7</v>
      </c>
      <c r="Q84">
        <v>17.600000000000001</v>
      </c>
      <c r="R84">
        <v>10.9</v>
      </c>
      <c r="S84">
        <f t="shared" si="6"/>
        <v>57</v>
      </c>
      <c r="T84" t="s">
        <v>91</v>
      </c>
      <c r="U84">
        <f t="shared" si="7"/>
        <v>0.154</v>
      </c>
      <c r="V84">
        <f t="shared" si="5"/>
        <v>0.17399999999999999</v>
      </c>
      <c r="W84">
        <f t="shared" si="5"/>
        <v>0.223</v>
      </c>
      <c r="X84">
        <f t="shared" si="5"/>
        <v>0.23699999999999999</v>
      </c>
      <c r="Y84">
        <f t="shared" si="5"/>
        <v>0.20800000000000002</v>
      </c>
      <c r="Z84">
        <f t="shared" si="5"/>
        <v>0.20800000000000002</v>
      </c>
      <c r="AA84">
        <f t="shared" si="5"/>
        <v>0.188</v>
      </c>
      <c r="AB84">
        <f t="shared" si="5"/>
        <v>0.16699999999999998</v>
      </c>
      <c r="AC84">
        <f t="shared" si="5"/>
        <v>0.17600000000000002</v>
      </c>
      <c r="AD84">
        <f t="shared" si="5"/>
        <v>0.109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9</v>
      </c>
      <c r="F85">
        <v>22</v>
      </c>
      <c r="G85">
        <v>8</v>
      </c>
      <c r="H85">
        <v>40</v>
      </c>
      <c r="I85">
        <v>-5</v>
      </c>
      <c r="J85">
        <v>18.5</v>
      </c>
      <c r="K85">
        <v>17.100000000000001</v>
      </c>
      <c r="L85">
        <v>16.600000000000001</v>
      </c>
      <c r="M85">
        <v>16.899999999999999</v>
      </c>
      <c r="N85">
        <v>17.7</v>
      </c>
      <c r="O85">
        <v>18.8</v>
      </c>
      <c r="P85">
        <v>17.5</v>
      </c>
      <c r="Q85">
        <v>15.3</v>
      </c>
      <c r="R85">
        <v>9.1</v>
      </c>
      <c r="S85">
        <f t="shared" si="6"/>
        <v>56</v>
      </c>
      <c r="T85" t="s">
        <v>90</v>
      </c>
      <c r="U85" t="str">
        <f t="shared" si="7"/>
        <v/>
      </c>
      <c r="V85">
        <f t="shared" si="5"/>
        <v>0.185</v>
      </c>
      <c r="W85">
        <f t="shared" si="5"/>
        <v>0.17100000000000001</v>
      </c>
      <c r="X85">
        <f t="shared" si="5"/>
        <v>0.16600000000000001</v>
      </c>
      <c r="Y85">
        <f t="shared" si="5"/>
        <v>0.16899999999999998</v>
      </c>
      <c r="Z85">
        <f t="shared" si="5"/>
        <v>0.17699999999999999</v>
      </c>
      <c r="AA85">
        <f t="shared" si="5"/>
        <v>0.188</v>
      </c>
      <c r="AB85">
        <f t="shared" si="5"/>
        <v>0.17499999999999999</v>
      </c>
      <c r="AC85">
        <f t="shared" si="5"/>
        <v>0.153</v>
      </c>
      <c r="AD85">
        <f t="shared" si="5"/>
        <v>9.0999999999999998E-2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9</v>
      </c>
      <c r="F86">
        <v>22</v>
      </c>
      <c r="G86">
        <v>8</v>
      </c>
      <c r="H86">
        <v>46</v>
      </c>
      <c r="I86">
        <v>15.9</v>
      </c>
      <c r="J86">
        <v>15.8</v>
      </c>
      <c r="K86">
        <v>15.6</v>
      </c>
      <c r="L86">
        <v>16.3</v>
      </c>
      <c r="M86">
        <v>18.399999999999999</v>
      </c>
      <c r="N86">
        <v>19.100000000000001</v>
      </c>
      <c r="O86">
        <v>18.600000000000001</v>
      </c>
      <c r="P86">
        <v>17</v>
      </c>
      <c r="Q86">
        <v>15.4</v>
      </c>
      <c r="R86">
        <v>10.1</v>
      </c>
      <c r="S86">
        <f t="shared" si="6"/>
        <v>55</v>
      </c>
      <c r="T86" t="s">
        <v>89</v>
      </c>
      <c r="U86">
        <f t="shared" si="7"/>
        <v>0.159</v>
      </c>
      <c r="V86">
        <f t="shared" si="5"/>
        <v>0.158</v>
      </c>
      <c r="W86">
        <f t="shared" si="5"/>
        <v>0.156</v>
      </c>
      <c r="X86">
        <f t="shared" si="5"/>
        <v>0.16300000000000001</v>
      </c>
      <c r="Y86">
        <f t="shared" si="5"/>
        <v>0.184</v>
      </c>
      <c r="Z86">
        <f t="shared" si="5"/>
        <v>0.191</v>
      </c>
      <c r="AA86">
        <f t="shared" si="5"/>
        <v>0.18600000000000003</v>
      </c>
      <c r="AB86">
        <f t="shared" si="5"/>
        <v>0.17</v>
      </c>
      <c r="AC86">
        <f t="shared" si="5"/>
        <v>0.154</v>
      </c>
      <c r="AD86">
        <f t="shared" si="5"/>
        <v>0.10099999999999999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9</v>
      </c>
      <c r="F87">
        <v>22</v>
      </c>
      <c r="G87">
        <v>8</v>
      </c>
      <c r="H87">
        <v>51</v>
      </c>
      <c r="I87">
        <v>-5</v>
      </c>
      <c r="J87">
        <v>12.8</v>
      </c>
      <c r="K87">
        <v>12.2</v>
      </c>
      <c r="L87">
        <v>14.2</v>
      </c>
      <c r="M87">
        <v>16.3</v>
      </c>
      <c r="N87">
        <v>16.399999999999999</v>
      </c>
      <c r="O87">
        <v>14.3</v>
      </c>
      <c r="P87">
        <v>14.7</v>
      </c>
      <c r="Q87">
        <v>14.5</v>
      </c>
      <c r="R87">
        <v>8.6999999999999993</v>
      </c>
      <c r="S87">
        <f t="shared" si="6"/>
        <v>54</v>
      </c>
      <c r="T87" t="s">
        <v>36</v>
      </c>
      <c r="U87" t="str">
        <f t="shared" si="7"/>
        <v/>
      </c>
      <c r="V87">
        <f t="shared" si="5"/>
        <v>0.128</v>
      </c>
      <c r="W87">
        <f t="shared" si="5"/>
        <v>0.122</v>
      </c>
      <c r="X87">
        <f t="shared" si="5"/>
        <v>0.14199999999999999</v>
      </c>
      <c r="Y87">
        <f t="shared" si="5"/>
        <v>0.16300000000000001</v>
      </c>
      <c r="Z87">
        <f t="shared" si="5"/>
        <v>0.16399999999999998</v>
      </c>
      <c r="AA87">
        <f t="shared" si="5"/>
        <v>0.14300000000000002</v>
      </c>
      <c r="AB87">
        <f t="shared" si="5"/>
        <v>0.14699999999999999</v>
      </c>
      <c r="AC87">
        <f t="shared" si="5"/>
        <v>0.14499999999999999</v>
      </c>
      <c r="AD87">
        <f t="shared" si="5"/>
        <v>8.6999999999999994E-2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9</v>
      </c>
      <c r="F88">
        <v>22</v>
      </c>
      <c r="G88">
        <v>8</v>
      </c>
      <c r="H88">
        <v>56</v>
      </c>
      <c r="I88">
        <v>-5</v>
      </c>
      <c r="J88">
        <v>19</v>
      </c>
      <c r="K88">
        <v>17.8</v>
      </c>
      <c r="L88">
        <v>17.600000000000001</v>
      </c>
      <c r="M88">
        <v>16.8</v>
      </c>
      <c r="N88">
        <v>16.899999999999999</v>
      </c>
      <c r="O88">
        <v>16.5</v>
      </c>
      <c r="P88">
        <v>13.7</v>
      </c>
      <c r="Q88">
        <v>14</v>
      </c>
      <c r="R88">
        <v>9.1999999999999993</v>
      </c>
      <c r="S88">
        <f t="shared" si="6"/>
        <v>53</v>
      </c>
      <c r="T88" t="s">
        <v>88</v>
      </c>
      <c r="U88" t="str">
        <f t="shared" si="7"/>
        <v/>
      </c>
      <c r="V88">
        <f t="shared" si="5"/>
        <v>0.19</v>
      </c>
      <c r="W88">
        <f t="shared" si="5"/>
        <v>0.17800000000000002</v>
      </c>
      <c r="X88">
        <f t="shared" si="5"/>
        <v>0.17600000000000002</v>
      </c>
      <c r="Y88">
        <f t="shared" si="5"/>
        <v>0.16800000000000001</v>
      </c>
      <c r="Z88">
        <f t="shared" si="5"/>
        <v>0.16899999999999998</v>
      </c>
      <c r="AA88">
        <f t="shared" si="5"/>
        <v>0.16500000000000001</v>
      </c>
      <c r="AB88">
        <f t="shared" si="5"/>
        <v>0.13699999999999998</v>
      </c>
      <c r="AC88">
        <f t="shared" si="5"/>
        <v>0.14000000000000001</v>
      </c>
      <c r="AD88">
        <f t="shared" si="5"/>
        <v>9.1999999999999998E-2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9</v>
      </c>
      <c r="F89">
        <v>22</v>
      </c>
      <c r="G89">
        <v>9</v>
      </c>
      <c r="H89">
        <v>3</v>
      </c>
      <c r="I89">
        <v>-5</v>
      </c>
      <c r="J89">
        <v>18.100000000000001</v>
      </c>
      <c r="K89">
        <v>18.399999999999999</v>
      </c>
      <c r="L89">
        <v>21.4</v>
      </c>
      <c r="M89">
        <v>20.7</v>
      </c>
      <c r="N89">
        <v>18.100000000000001</v>
      </c>
      <c r="O89">
        <v>18</v>
      </c>
      <c r="P89">
        <v>16.2</v>
      </c>
      <c r="Q89">
        <v>14.8</v>
      </c>
      <c r="R89">
        <v>10.5</v>
      </c>
      <c r="S89">
        <f t="shared" si="6"/>
        <v>52</v>
      </c>
      <c r="T89" t="s">
        <v>87</v>
      </c>
      <c r="U89" t="str">
        <f t="shared" si="7"/>
        <v/>
      </c>
      <c r="V89">
        <f t="shared" si="5"/>
        <v>0.18100000000000002</v>
      </c>
      <c r="W89">
        <f t="shared" si="5"/>
        <v>0.184</v>
      </c>
      <c r="X89">
        <f t="shared" si="5"/>
        <v>0.214</v>
      </c>
      <c r="Y89">
        <f t="shared" si="5"/>
        <v>0.20699999999999999</v>
      </c>
      <c r="Z89">
        <f t="shared" si="5"/>
        <v>0.18100000000000002</v>
      </c>
      <c r="AA89">
        <f t="shared" si="5"/>
        <v>0.18</v>
      </c>
      <c r="AB89">
        <f t="shared" si="5"/>
        <v>0.16200000000000001</v>
      </c>
      <c r="AC89">
        <f t="shared" si="5"/>
        <v>0.14800000000000002</v>
      </c>
      <c r="AD89">
        <f t="shared" si="5"/>
        <v>0.105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9</v>
      </c>
      <c r="F90">
        <v>22</v>
      </c>
      <c r="G90">
        <v>9</v>
      </c>
      <c r="H90">
        <v>1</v>
      </c>
      <c r="I90">
        <v>-5</v>
      </c>
      <c r="J90">
        <v>16.899999999999999</v>
      </c>
      <c r="K90">
        <v>21.1</v>
      </c>
      <c r="L90">
        <v>21</v>
      </c>
      <c r="M90">
        <v>19.2</v>
      </c>
      <c r="N90">
        <v>16.899999999999999</v>
      </c>
      <c r="O90">
        <v>16.600000000000001</v>
      </c>
      <c r="P90">
        <v>17</v>
      </c>
      <c r="Q90">
        <v>17.8</v>
      </c>
      <c r="R90">
        <v>11.6</v>
      </c>
      <c r="S90">
        <f t="shared" si="6"/>
        <v>51</v>
      </c>
      <c r="T90" t="s">
        <v>86</v>
      </c>
      <c r="U90" t="str">
        <f t="shared" si="7"/>
        <v/>
      </c>
      <c r="V90">
        <f t="shared" si="5"/>
        <v>0.16899999999999998</v>
      </c>
      <c r="W90">
        <f t="shared" si="5"/>
        <v>0.21100000000000002</v>
      </c>
      <c r="X90">
        <f t="shared" si="5"/>
        <v>0.21</v>
      </c>
      <c r="Y90">
        <f t="shared" si="5"/>
        <v>0.192</v>
      </c>
      <c r="Z90">
        <f t="shared" si="5"/>
        <v>0.16899999999999998</v>
      </c>
      <c r="AA90">
        <f t="shared" si="5"/>
        <v>0.16600000000000001</v>
      </c>
      <c r="AB90">
        <f t="shared" si="5"/>
        <v>0.17</v>
      </c>
      <c r="AC90">
        <f t="shared" si="5"/>
        <v>0.17800000000000002</v>
      </c>
      <c r="AD90">
        <f t="shared" si="5"/>
        <v>0.11599999999999999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9</v>
      </c>
      <c r="F91">
        <v>22</v>
      </c>
      <c r="G91">
        <v>9</v>
      </c>
      <c r="H91">
        <v>15</v>
      </c>
      <c r="I91">
        <v>19.8</v>
      </c>
      <c r="J91">
        <v>20.2</v>
      </c>
      <c r="K91">
        <v>18.2</v>
      </c>
      <c r="L91">
        <v>21.1</v>
      </c>
      <c r="M91">
        <v>22</v>
      </c>
      <c r="N91">
        <v>19.7</v>
      </c>
      <c r="O91">
        <v>22.1</v>
      </c>
      <c r="P91">
        <v>20.6</v>
      </c>
      <c r="Q91">
        <v>18.5</v>
      </c>
      <c r="R91">
        <v>10.5</v>
      </c>
      <c r="S91">
        <f t="shared" si="6"/>
        <v>50</v>
      </c>
      <c r="T91" t="s">
        <v>39</v>
      </c>
      <c r="U91">
        <f t="shared" si="7"/>
        <v>0.19800000000000001</v>
      </c>
      <c r="V91">
        <f t="shared" si="5"/>
        <v>0.20199999999999999</v>
      </c>
      <c r="W91">
        <f t="shared" si="5"/>
        <v>0.182</v>
      </c>
      <c r="X91">
        <f t="shared" si="5"/>
        <v>0.21100000000000002</v>
      </c>
      <c r="Y91">
        <f t="shared" si="5"/>
        <v>0.22</v>
      </c>
      <c r="Z91">
        <f t="shared" si="5"/>
        <v>0.19699999999999998</v>
      </c>
      <c r="AA91">
        <f t="shared" si="5"/>
        <v>0.221</v>
      </c>
      <c r="AB91">
        <f t="shared" si="5"/>
        <v>0.20600000000000002</v>
      </c>
      <c r="AC91">
        <f t="shared" si="5"/>
        <v>0.185</v>
      </c>
      <c r="AD91">
        <f t="shared" si="5"/>
        <v>0.105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9</v>
      </c>
      <c r="F92">
        <v>22</v>
      </c>
      <c r="G92">
        <v>9</v>
      </c>
      <c r="H92">
        <v>20</v>
      </c>
      <c r="I92">
        <v>-5</v>
      </c>
      <c r="J92">
        <v>24.4</v>
      </c>
      <c r="K92">
        <v>18.7</v>
      </c>
      <c r="L92">
        <v>17.600000000000001</v>
      </c>
      <c r="M92">
        <v>17.8</v>
      </c>
      <c r="N92">
        <v>14.9</v>
      </c>
      <c r="O92">
        <v>13.1</v>
      </c>
      <c r="P92">
        <v>15.2</v>
      </c>
      <c r="Q92">
        <v>16.899999999999999</v>
      </c>
      <c r="R92">
        <v>11.2</v>
      </c>
      <c r="S92">
        <f t="shared" si="6"/>
        <v>49</v>
      </c>
      <c r="T92" t="s">
        <v>72</v>
      </c>
      <c r="U92" t="str">
        <f t="shared" si="7"/>
        <v/>
      </c>
      <c r="V92">
        <f t="shared" si="5"/>
        <v>0.24399999999999999</v>
      </c>
      <c r="W92">
        <f t="shared" si="5"/>
        <v>0.187</v>
      </c>
      <c r="X92">
        <f t="shared" si="5"/>
        <v>0.17600000000000002</v>
      </c>
      <c r="Y92">
        <f t="shared" si="5"/>
        <v>0.17800000000000002</v>
      </c>
      <c r="Z92">
        <f t="shared" si="5"/>
        <v>0.14899999999999999</v>
      </c>
      <c r="AA92">
        <f t="shared" si="5"/>
        <v>0.13100000000000001</v>
      </c>
      <c r="AB92">
        <f t="shared" si="5"/>
        <v>0.152</v>
      </c>
      <c r="AC92">
        <f t="shared" si="5"/>
        <v>0.16899999999999998</v>
      </c>
      <c r="AD92">
        <f t="shared" si="5"/>
        <v>0.11199999999999999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9</v>
      </c>
      <c r="F93">
        <v>22</v>
      </c>
      <c r="G93">
        <v>9</v>
      </c>
      <c r="H93">
        <v>21</v>
      </c>
      <c r="I93">
        <v>-5</v>
      </c>
      <c r="J93">
        <v>21.9</v>
      </c>
      <c r="K93">
        <v>21.9</v>
      </c>
      <c r="L93">
        <v>21</v>
      </c>
      <c r="M93">
        <v>19</v>
      </c>
      <c r="N93">
        <v>17.399999999999999</v>
      </c>
      <c r="O93">
        <v>14.4</v>
      </c>
      <c r="P93">
        <v>15.7</v>
      </c>
      <c r="Q93">
        <v>16.899999999999999</v>
      </c>
      <c r="R93">
        <v>10.5</v>
      </c>
      <c r="S93">
        <f t="shared" si="6"/>
        <v>48</v>
      </c>
      <c r="T93" t="s">
        <v>38</v>
      </c>
      <c r="U93" t="str">
        <f t="shared" si="7"/>
        <v/>
      </c>
      <c r="V93">
        <f t="shared" si="5"/>
        <v>0.21899999999999997</v>
      </c>
      <c r="W93">
        <f t="shared" si="5"/>
        <v>0.21899999999999997</v>
      </c>
      <c r="X93">
        <f t="shared" si="5"/>
        <v>0.21</v>
      </c>
      <c r="Y93">
        <f t="shared" si="5"/>
        <v>0.19</v>
      </c>
      <c r="Z93">
        <f t="shared" si="5"/>
        <v>0.17399999999999999</v>
      </c>
      <c r="AA93">
        <f t="shared" si="5"/>
        <v>0.14400000000000002</v>
      </c>
      <c r="AB93">
        <f t="shared" si="5"/>
        <v>0.157</v>
      </c>
      <c r="AC93">
        <f t="shared" si="5"/>
        <v>0.16899999999999998</v>
      </c>
      <c r="AD93">
        <f t="shared" si="5"/>
        <v>0.105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9</v>
      </c>
      <c r="F94">
        <v>22</v>
      </c>
      <c r="G94">
        <v>9</v>
      </c>
      <c r="H94">
        <v>34</v>
      </c>
      <c r="I94">
        <v>20.3</v>
      </c>
      <c r="J94">
        <v>19.7</v>
      </c>
      <c r="K94">
        <v>21.9</v>
      </c>
      <c r="L94">
        <v>23.3</v>
      </c>
      <c r="M94">
        <v>20.5</v>
      </c>
      <c r="N94">
        <v>19.3</v>
      </c>
      <c r="O94">
        <v>17.899999999999999</v>
      </c>
      <c r="P94">
        <v>15.4</v>
      </c>
      <c r="Q94">
        <v>16.8</v>
      </c>
      <c r="R94">
        <v>10.6</v>
      </c>
      <c r="S94">
        <f t="shared" si="6"/>
        <v>47</v>
      </c>
      <c r="T94" t="s">
        <v>85</v>
      </c>
      <c r="U94">
        <f t="shared" si="7"/>
        <v>0.20300000000000001</v>
      </c>
      <c r="V94">
        <f t="shared" si="5"/>
        <v>0.19699999999999998</v>
      </c>
      <c r="W94">
        <f t="shared" si="5"/>
        <v>0.21899999999999997</v>
      </c>
      <c r="X94">
        <f t="shared" si="5"/>
        <v>0.23300000000000001</v>
      </c>
      <c r="Y94">
        <f t="shared" si="5"/>
        <v>0.20499999999999999</v>
      </c>
      <c r="Z94">
        <f t="shared" si="5"/>
        <v>0.193</v>
      </c>
      <c r="AA94">
        <f t="shared" si="5"/>
        <v>0.17899999999999999</v>
      </c>
      <c r="AB94">
        <f t="shared" si="5"/>
        <v>0.154</v>
      </c>
      <c r="AC94">
        <f t="shared" si="5"/>
        <v>0.16800000000000001</v>
      </c>
      <c r="AD94">
        <f t="shared" si="5"/>
        <v>0.106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9</v>
      </c>
      <c r="F95">
        <v>22</v>
      </c>
      <c r="G95">
        <v>9</v>
      </c>
      <c r="H95">
        <v>30</v>
      </c>
      <c r="I95">
        <v>-5</v>
      </c>
      <c r="J95">
        <v>22.6</v>
      </c>
      <c r="K95">
        <v>23.6</v>
      </c>
      <c r="L95">
        <v>23.7</v>
      </c>
      <c r="M95">
        <v>21.3</v>
      </c>
      <c r="N95">
        <v>21.2</v>
      </c>
      <c r="O95">
        <v>20.9</v>
      </c>
      <c r="P95">
        <v>18</v>
      </c>
      <c r="Q95">
        <v>14.7</v>
      </c>
      <c r="R95">
        <v>9.8000000000000007</v>
      </c>
      <c r="S95">
        <f t="shared" si="6"/>
        <v>46</v>
      </c>
      <c r="T95" t="s">
        <v>84</v>
      </c>
      <c r="U95" t="str">
        <f t="shared" si="7"/>
        <v/>
      </c>
      <c r="V95">
        <f t="shared" si="5"/>
        <v>0.22600000000000001</v>
      </c>
      <c r="W95">
        <f t="shared" si="5"/>
        <v>0.23600000000000002</v>
      </c>
      <c r="X95">
        <f t="shared" si="5"/>
        <v>0.23699999999999999</v>
      </c>
      <c r="Y95">
        <f t="shared" si="5"/>
        <v>0.21299999999999999</v>
      </c>
      <c r="Z95">
        <f t="shared" si="5"/>
        <v>0.21199999999999999</v>
      </c>
      <c r="AA95">
        <f t="shared" si="5"/>
        <v>0.20899999999999999</v>
      </c>
      <c r="AB95">
        <f t="shared" si="5"/>
        <v>0.18</v>
      </c>
      <c r="AC95">
        <f t="shared" si="5"/>
        <v>0.14699999999999999</v>
      </c>
      <c r="AD95">
        <f t="shared" si="5"/>
        <v>9.8000000000000004E-2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9</v>
      </c>
      <c r="F96">
        <v>22</v>
      </c>
      <c r="G96">
        <v>9</v>
      </c>
      <c r="H96">
        <v>43</v>
      </c>
      <c r="I96">
        <v>-5</v>
      </c>
      <c r="J96">
        <v>22.3</v>
      </c>
      <c r="K96">
        <v>21.1</v>
      </c>
      <c r="L96">
        <v>22.2</v>
      </c>
      <c r="M96">
        <v>20.2</v>
      </c>
      <c r="N96">
        <v>21.1</v>
      </c>
      <c r="O96">
        <v>19.7</v>
      </c>
      <c r="P96">
        <v>19.5</v>
      </c>
      <c r="Q96">
        <v>16.600000000000001</v>
      </c>
      <c r="R96">
        <v>10</v>
      </c>
      <c r="S96">
        <f t="shared" si="6"/>
        <v>45</v>
      </c>
      <c r="T96" t="s">
        <v>42</v>
      </c>
      <c r="U96" t="str">
        <f t="shared" si="7"/>
        <v/>
      </c>
      <c r="V96">
        <f t="shared" si="5"/>
        <v>0.223</v>
      </c>
      <c r="W96">
        <f t="shared" si="5"/>
        <v>0.21100000000000002</v>
      </c>
      <c r="X96">
        <f t="shared" si="5"/>
        <v>0.222</v>
      </c>
      <c r="Y96">
        <f t="shared" si="5"/>
        <v>0.20199999999999999</v>
      </c>
      <c r="Z96">
        <f t="shared" si="5"/>
        <v>0.21100000000000002</v>
      </c>
      <c r="AA96">
        <f t="shared" si="5"/>
        <v>0.19699999999999998</v>
      </c>
      <c r="AB96">
        <f t="shared" si="5"/>
        <v>0.19500000000000001</v>
      </c>
      <c r="AC96">
        <f t="shared" si="5"/>
        <v>0.16600000000000001</v>
      </c>
      <c r="AD96">
        <f t="shared" si="5"/>
        <v>0.1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9</v>
      </c>
      <c r="F97">
        <v>22</v>
      </c>
      <c r="G97">
        <v>9</v>
      </c>
      <c r="H97">
        <v>40</v>
      </c>
      <c r="I97">
        <v>15.8</v>
      </c>
      <c r="J97">
        <v>13.9</v>
      </c>
      <c r="K97">
        <v>15.4</v>
      </c>
      <c r="L97">
        <v>18.5</v>
      </c>
      <c r="M97">
        <v>17.5</v>
      </c>
      <c r="N97">
        <v>16</v>
      </c>
      <c r="O97">
        <v>12.1</v>
      </c>
      <c r="P97">
        <v>12</v>
      </c>
      <c r="Q97">
        <v>12.9</v>
      </c>
      <c r="R97">
        <v>9.1999999999999993</v>
      </c>
      <c r="S97">
        <f t="shared" si="6"/>
        <v>44</v>
      </c>
      <c r="T97" t="s">
        <v>83</v>
      </c>
      <c r="U97">
        <f t="shared" si="7"/>
        <v>0.158</v>
      </c>
      <c r="V97">
        <f t="shared" si="5"/>
        <v>0.13900000000000001</v>
      </c>
      <c r="W97">
        <f t="shared" si="5"/>
        <v>0.154</v>
      </c>
      <c r="X97">
        <f t="shared" si="5"/>
        <v>0.185</v>
      </c>
      <c r="Y97">
        <f t="shared" si="5"/>
        <v>0.17499999999999999</v>
      </c>
      <c r="Z97">
        <f t="shared" si="5"/>
        <v>0.16</v>
      </c>
      <c r="AA97">
        <f t="shared" si="5"/>
        <v>0.121</v>
      </c>
      <c r="AB97">
        <f t="shared" si="5"/>
        <v>0.12</v>
      </c>
      <c r="AC97">
        <f t="shared" si="5"/>
        <v>0.129</v>
      </c>
      <c r="AD97">
        <f t="shared" si="5"/>
        <v>9.1999999999999998E-2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9</v>
      </c>
      <c r="F98">
        <v>22</v>
      </c>
      <c r="G98">
        <v>9</v>
      </c>
      <c r="H98">
        <v>53</v>
      </c>
      <c r="I98">
        <v>-5</v>
      </c>
      <c r="J98">
        <v>15.2</v>
      </c>
      <c r="K98">
        <v>13.1</v>
      </c>
      <c r="L98">
        <v>14.9</v>
      </c>
      <c r="M98">
        <v>19.3</v>
      </c>
      <c r="N98">
        <v>20</v>
      </c>
      <c r="O98">
        <v>16.600000000000001</v>
      </c>
      <c r="P98">
        <v>15.1</v>
      </c>
      <c r="Q98">
        <v>13.1</v>
      </c>
      <c r="R98">
        <v>10.6</v>
      </c>
      <c r="S98">
        <f t="shared" si="6"/>
        <v>43</v>
      </c>
      <c r="T98" t="s">
        <v>82</v>
      </c>
      <c r="U98" t="str">
        <f t="shared" si="7"/>
        <v/>
      </c>
      <c r="V98">
        <f t="shared" si="5"/>
        <v>0.152</v>
      </c>
      <c r="W98">
        <f t="shared" si="5"/>
        <v>0.13100000000000001</v>
      </c>
      <c r="X98">
        <f t="shared" si="5"/>
        <v>0.14899999999999999</v>
      </c>
      <c r="Y98">
        <f t="shared" si="5"/>
        <v>0.193</v>
      </c>
      <c r="Z98">
        <f t="shared" si="5"/>
        <v>0.2</v>
      </c>
      <c r="AA98">
        <f t="shared" si="5"/>
        <v>0.16600000000000001</v>
      </c>
      <c r="AB98">
        <f t="shared" si="5"/>
        <v>0.151</v>
      </c>
      <c r="AC98">
        <f t="shared" si="5"/>
        <v>0.13100000000000001</v>
      </c>
      <c r="AD98">
        <f t="shared" si="5"/>
        <v>0.106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9</v>
      </c>
      <c r="F99">
        <v>22</v>
      </c>
      <c r="G99">
        <v>9</v>
      </c>
      <c r="H99">
        <v>50</v>
      </c>
      <c r="I99">
        <v>-5</v>
      </c>
      <c r="J99">
        <v>20.8</v>
      </c>
      <c r="K99">
        <v>14.5</v>
      </c>
      <c r="L99">
        <v>11.3</v>
      </c>
      <c r="M99">
        <v>10</v>
      </c>
      <c r="N99">
        <v>9.5</v>
      </c>
      <c r="O99">
        <v>9.1</v>
      </c>
      <c r="P99">
        <v>9.6</v>
      </c>
      <c r="Q99">
        <v>11.7</v>
      </c>
      <c r="R99">
        <v>9.6999999999999993</v>
      </c>
      <c r="S99">
        <f t="shared" si="6"/>
        <v>42</v>
      </c>
      <c r="T99" t="s">
        <v>44</v>
      </c>
      <c r="U99" t="str">
        <f t="shared" si="7"/>
        <v/>
      </c>
      <c r="V99">
        <f t="shared" si="5"/>
        <v>0.20800000000000002</v>
      </c>
      <c r="W99">
        <f t="shared" si="5"/>
        <v>0.14499999999999999</v>
      </c>
      <c r="X99">
        <f t="shared" si="5"/>
        <v>0.113</v>
      </c>
      <c r="Y99">
        <f t="shared" si="5"/>
        <v>0.1</v>
      </c>
      <c r="Z99">
        <f t="shared" si="5"/>
        <v>9.5000000000000001E-2</v>
      </c>
      <c r="AA99">
        <f t="shared" si="5"/>
        <v>9.0999999999999998E-2</v>
      </c>
      <c r="AB99">
        <f t="shared" si="5"/>
        <v>9.6000000000000002E-2</v>
      </c>
      <c r="AC99">
        <f t="shared" si="5"/>
        <v>0.11699999999999999</v>
      </c>
      <c r="AD99">
        <f t="shared" si="5"/>
        <v>9.6999999999999989E-2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9</v>
      </c>
      <c r="F100">
        <v>22</v>
      </c>
      <c r="G100">
        <v>10</v>
      </c>
      <c r="H100">
        <v>2</v>
      </c>
      <c r="I100">
        <v>-5</v>
      </c>
      <c r="J100">
        <v>22.7</v>
      </c>
      <c r="K100">
        <v>16.8</v>
      </c>
      <c r="L100">
        <v>14.9</v>
      </c>
      <c r="M100">
        <v>14.3</v>
      </c>
      <c r="N100">
        <v>12.3</v>
      </c>
      <c r="O100">
        <v>11.5</v>
      </c>
      <c r="P100">
        <v>11</v>
      </c>
      <c r="Q100">
        <v>12.6</v>
      </c>
      <c r="R100">
        <v>8.9</v>
      </c>
      <c r="S100">
        <f t="shared" si="6"/>
        <v>41</v>
      </c>
      <c r="T100" t="s">
        <v>43</v>
      </c>
      <c r="U100" t="str">
        <f t="shared" si="7"/>
        <v/>
      </c>
      <c r="V100">
        <f t="shared" si="5"/>
        <v>0.22699999999999998</v>
      </c>
      <c r="W100">
        <f t="shared" si="5"/>
        <v>0.16800000000000001</v>
      </c>
      <c r="X100">
        <f t="shared" si="5"/>
        <v>0.14899999999999999</v>
      </c>
      <c r="Y100">
        <f t="shared" si="5"/>
        <v>0.14300000000000002</v>
      </c>
      <c r="Z100">
        <f t="shared" si="5"/>
        <v>0.12300000000000001</v>
      </c>
      <c r="AA100">
        <f t="shared" si="5"/>
        <v>0.115</v>
      </c>
      <c r="AB100">
        <f t="shared" si="5"/>
        <v>0.11</v>
      </c>
      <c r="AC100">
        <f t="shared" si="5"/>
        <v>0.126</v>
      </c>
      <c r="AD100">
        <f t="shared" si="5"/>
        <v>8.900000000000001E-2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9</v>
      </c>
      <c r="F101">
        <v>22</v>
      </c>
      <c r="G101">
        <v>10</v>
      </c>
      <c r="H101">
        <v>7</v>
      </c>
      <c r="I101">
        <v>-5</v>
      </c>
      <c r="J101">
        <v>23.2</v>
      </c>
      <c r="K101">
        <v>24</v>
      </c>
      <c r="L101">
        <v>20.399999999999999</v>
      </c>
      <c r="M101">
        <v>16.600000000000001</v>
      </c>
      <c r="N101">
        <v>16</v>
      </c>
      <c r="O101">
        <v>18.5</v>
      </c>
      <c r="P101">
        <v>18.2</v>
      </c>
      <c r="Q101">
        <v>15.5</v>
      </c>
      <c r="R101">
        <v>11.7</v>
      </c>
      <c r="S101">
        <f t="shared" si="6"/>
        <v>40</v>
      </c>
      <c r="T101" t="s">
        <v>41</v>
      </c>
      <c r="U101" t="str">
        <f t="shared" si="7"/>
        <v/>
      </c>
      <c r="V101">
        <f t="shared" si="5"/>
        <v>0.23199999999999998</v>
      </c>
      <c r="W101">
        <f t="shared" si="5"/>
        <v>0.24</v>
      </c>
      <c r="X101">
        <f t="shared" si="5"/>
        <v>0.20399999999999999</v>
      </c>
      <c r="Y101">
        <f t="shared" si="5"/>
        <v>0.16600000000000001</v>
      </c>
      <c r="Z101">
        <f t="shared" si="5"/>
        <v>0.16</v>
      </c>
      <c r="AA101">
        <f t="shared" si="5"/>
        <v>0.185</v>
      </c>
      <c r="AB101">
        <f t="shared" si="5"/>
        <v>0.182</v>
      </c>
      <c r="AC101">
        <f t="shared" si="5"/>
        <v>0.155</v>
      </c>
      <c r="AD101">
        <f t="shared" si="5"/>
        <v>0.11699999999999999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9</v>
      </c>
      <c r="F102">
        <v>22</v>
      </c>
      <c r="G102">
        <v>10</v>
      </c>
      <c r="H102">
        <v>12</v>
      </c>
      <c r="I102">
        <v>-5</v>
      </c>
      <c r="J102">
        <v>19.3</v>
      </c>
      <c r="K102">
        <v>19.7</v>
      </c>
      <c r="L102">
        <v>19.100000000000001</v>
      </c>
      <c r="M102">
        <v>17.5</v>
      </c>
      <c r="N102">
        <v>16.899999999999999</v>
      </c>
      <c r="O102">
        <v>17.3</v>
      </c>
      <c r="P102">
        <v>13.5</v>
      </c>
      <c r="Q102">
        <v>17.100000000000001</v>
      </c>
      <c r="R102">
        <v>12.2</v>
      </c>
      <c r="S102">
        <f t="shared" si="6"/>
        <v>39</v>
      </c>
      <c r="T102" t="s">
        <v>40</v>
      </c>
      <c r="U102" t="str">
        <f t="shared" si="7"/>
        <v/>
      </c>
      <c r="V102">
        <f t="shared" si="5"/>
        <v>0.193</v>
      </c>
      <c r="W102">
        <f t="shared" si="5"/>
        <v>0.19699999999999998</v>
      </c>
      <c r="X102">
        <f t="shared" si="5"/>
        <v>0.191</v>
      </c>
      <c r="Y102">
        <f t="shared" si="5"/>
        <v>0.17499999999999999</v>
      </c>
      <c r="Z102">
        <f t="shared" si="5"/>
        <v>0.16899999999999998</v>
      </c>
      <c r="AA102">
        <f t="shared" si="5"/>
        <v>0.17300000000000001</v>
      </c>
      <c r="AB102">
        <f t="shared" si="5"/>
        <v>0.13500000000000001</v>
      </c>
      <c r="AC102">
        <f t="shared" si="5"/>
        <v>0.17100000000000001</v>
      </c>
      <c r="AD102">
        <f t="shared" si="5"/>
        <v>0.122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9</v>
      </c>
      <c r="F103">
        <v>22</v>
      </c>
      <c r="G103">
        <v>10</v>
      </c>
      <c r="H103">
        <v>17</v>
      </c>
      <c r="I103">
        <v>-5</v>
      </c>
      <c r="J103">
        <v>-5</v>
      </c>
      <c r="K103">
        <v>22.4</v>
      </c>
      <c r="L103">
        <v>21.3</v>
      </c>
      <c r="M103">
        <v>21.1</v>
      </c>
      <c r="N103">
        <v>18.8</v>
      </c>
      <c r="O103">
        <v>17.399999999999999</v>
      </c>
      <c r="P103">
        <v>16.899999999999999</v>
      </c>
      <c r="Q103">
        <v>14.4</v>
      </c>
      <c r="R103">
        <v>17.100000000000001</v>
      </c>
      <c r="S103">
        <f t="shared" si="6"/>
        <v>38</v>
      </c>
      <c r="T103" t="s">
        <v>37</v>
      </c>
      <c r="U103" t="str">
        <f t="shared" si="7"/>
        <v/>
      </c>
      <c r="V103" t="str">
        <f t="shared" si="5"/>
        <v/>
      </c>
      <c r="W103">
        <f t="shared" si="5"/>
        <v>0.22399999999999998</v>
      </c>
      <c r="X103">
        <f t="shared" si="5"/>
        <v>0.21299999999999999</v>
      </c>
      <c r="Y103">
        <f t="shared" ref="Y103:AD110" si="8">IF(M103&lt;0,"",M103/100)</f>
        <v>0.21100000000000002</v>
      </c>
      <c r="Z103">
        <f t="shared" si="8"/>
        <v>0.188</v>
      </c>
      <c r="AA103">
        <f t="shared" si="8"/>
        <v>0.17399999999999999</v>
      </c>
      <c r="AB103">
        <f t="shared" si="8"/>
        <v>0.16899999999999998</v>
      </c>
      <c r="AC103">
        <f t="shared" si="8"/>
        <v>0.14400000000000002</v>
      </c>
      <c r="AD103">
        <f t="shared" si="8"/>
        <v>0.17100000000000001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9</v>
      </c>
      <c r="F104">
        <v>22</v>
      </c>
      <c r="G104">
        <v>10</v>
      </c>
      <c r="H104">
        <v>21</v>
      </c>
      <c r="I104">
        <v>-5</v>
      </c>
      <c r="J104">
        <v>-5</v>
      </c>
      <c r="K104">
        <v>19.7</v>
      </c>
      <c r="L104">
        <v>16.399999999999999</v>
      </c>
      <c r="M104">
        <v>15.3</v>
      </c>
      <c r="N104">
        <v>14.9</v>
      </c>
      <c r="O104">
        <v>15.3</v>
      </c>
      <c r="P104">
        <v>15.6</v>
      </c>
      <c r="Q104">
        <v>17.2</v>
      </c>
      <c r="R104">
        <v>10.6</v>
      </c>
      <c r="S104">
        <f t="shared" si="6"/>
        <v>37</v>
      </c>
      <c r="T104" t="s">
        <v>35</v>
      </c>
      <c r="U104" t="str">
        <f t="shared" si="7"/>
        <v/>
      </c>
      <c r="V104" t="str">
        <f t="shared" si="7"/>
        <v/>
      </c>
      <c r="W104">
        <f t="shared" si="7"/>
        <v>0.19699999999999998</v>
      </c>
      <c r="X104">
        <f t="shared" si="7"/>
        <v>0.16399999999999998</v>
      </c>
      <c r="Y104">
        <f t="shared" si="8"/>
        <v>0.153</v>
      </c>
      <c r="Z104">
        <f t="shared" si="8"/>
        <v>0.14899999999999999</v>
      </c>
      <c r="AA104">
        <f t="shared" si="8"/>
        <v>0.153</v>
      </c>
      <c r="AB104">
        <f t="shared" si="8"/>
        <v>0.156</v>
      </c>
      <c r="AC104">
        <f t="shared" si="8"/>
        <v>0.17199999999999999</v>
      </c>
      <c r="AD104">
        <f t="shared" si="8"/>
        <v>0.106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04"/>
  <sheetViews>
    <sheetView topLeftCell="N39" workbookViewId="0">
      <selection activeCell="T75" sqref="T75:AD104"/>
    </sheetView>
  </sheetViews>
  <sheetFormatPr defaultRowHeight="15" x14ac:dyDescent="0.25"/>
  <sheetData>
    <row r="1" spans="1:7" x14ac:dyDescent="0.25">
      <c r="A1" s="2">
        <v>41913</v>
      </c>
    </row>
    <row r="2" spans="1:7" x14ac:dyDescent="0.25">
      <c r="A2" t="s">
        <v>3</v>
      </c>
      <c r="B2">
        <v>6114</v>
      </c>
      <c r="C2" t="s">
        <v>4</v>
      </c>
      <c r="D2">
        <v>9999</v>
      </c>
      <c r="E2">
        <v>0</v>
      </c>
      <c r="F2">
        <v>10</v>
      </c>
    </row>
    <row r="3" spans="1:7" x14ac:dyDescent="0.25">
      <c r="A3">
        <v>0</v>
      </c>
      <c r="B3">
        <v>13</v>
      </c>
      <c r="C3">
        <v>12</v>
      </c>
      <c r="D3">
        <v>3</v>
      </c>
      <c r="E3">
        <v>22.469000000000001</v>
      </c>
      <c r="F3">
        <v>-5.875</v>
      </c>
      <c r="G3" t="s">
        <v>24</v>
      </c>
    </row>
    <row r="4" spans="1:7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7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7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7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7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7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7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7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7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7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7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7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7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30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30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  <c r="S18" t="s">
        <v>0</v>
      </c>
      <c r="T18" t="s">
        <v>28</v>
      </c>
      <c r="U18">
        <v>190</v>
      </c>
      <c r="V18">
        <v>170</v>
      </c>
      <c r="W18">
        <v>150</v>
      </c>
      <c r="X18">
        <v>130</v>
      </c>
      <c r="Y18">
        <v>110</v>
      </c>
      <c r="Z18">
        <v>90</v>
      </c>
      <c r="AA18">
        <v>70</v>
      </c>
      <c r="AB18">
        <v>50</v>
      </c>
      <c r="AC18">
        <v>30</v>
      </c>
      <c r="AD18">
        <v>10</v>
      </c>
    </row>
    <row r="19" spans="1:30" x14ac:dyDescent="0.25">
      <c r="A19">
        <v>455</v>
      </c>
      <c r="B19">
        <v>1</v>
      </c>
      <c r="C19">
        <v>0</v>
      </c>
      <c r="D19">
        <v>14</v>
      </c>
      <c r="E19">
        <v>10</v>
      </c>
      <c r="F19">
        <v>1</v>
      </c>
      <c r="G19">
        <v>6</v>
      </c>
      <c r="H19">
        <v>51</v>
      </c>
      <c r="I19">
        <v>8.4</v>
      </c>
      <c r="J19">
        <v>9</v>
      </c>
      <c r="K19">
        <v>10</v>
      </c>
      <c r="L19">
        <v>11.5</v>
      </c>
      <c r="M19">
        <v>14.1</v>
      </c>
      <c r="N19">
        <v>16.8</v>
      </c>
      <c r="O19">
        <v>18</v>
      </c>
      <c r="P19">
        <v>19</v>
      </c>
      <c r="Q19">
        <v>19.8</v>
      </c>
      <c r="R19">
        <v>14</v>
      </c>
      <c r="S19">
        <f>B19</f>
        <v>1</v>
      </c>
      <c r="T19" t="s">
        <v>51</v>
      </c>
      <c r="U19">
        <f>IF(I19&lt;0,"",I19/100)</f>
        <v>8.4000000000000005E-2</v>
      </c>
      <c r="V19">
        <f t="shared" ref="V19:AD47" si="0">IF(J19&lt;0,"",J19/100)</f>
        <v>0.09</v>
      </c>
      <c r="W19">
        <f t="shared" si="0"/>
        <v>0.1</v>
      </c>
      <c r="X19">
        <f t="shared" si="0"/>
        <v>0.115</v>
      </c>
      <c r="Y19">
        <f t="shared" si="0"/>
        <v>0.14099999999999999</v>
      </c>
      <c r="Z19">
        <f t="shared" si="0"/>
        <v>0.16800000000000001</v>
      </c>
      <c r="AA19">
        <f t="shared" si="0"/>
        <v>0.18</v>
      </c>
      <c r="AB19">
        <f t="shared" si="0"/>
        <v>0.19</v>
      </c>
      <c r="AC19">
        <f t="shared" si="0"/>
        <v>0.19800000000000001</v>
      </c>
      <c r="AD19">
        <f t="shared" si="0"/>
        <v>0.14000000000000001</v>
      </c>
    </row>
    <row r="20" spans="1:30" x14ac:dyDescent="0.25">
      <c r="A20">
        <v>454</v>
      </c>
      <c r="B20">
        <v>2</v>
      </c>
      <c r="C20">
        <v>0</v>
      </c>
      <c r="D20">
        <v>14</v>
      </c>
      <c r="E20">
        <v>10</v>
      </c>
      <c r="F20">
        <v>1</v>
      </c>
      <c r="G20">
        <v>6</v>
      </c>
      <c r="H20">
        <v>56</v>
      </c>
      <c r="I20">
        <v>15</v>
      </c>
      <c r="J20">
        <v>11.6</v>
      </c>
      <c r="K20">
        <v>9.1999999999999993</v>
      </c>
      <c r="L20">
        <v>12</v>
      </c>
      <c r="M20">
        <v>13.5</v>
      </c>
      <c r="N20">
        <v>15.2</v>
      </c>
      <c r="O20">
        <v>17.2</v>
      </c>
      <c r="P20">
        <v>17.7</v>
      </c>
      <c r="Q20">
        <v>15.3</v>
      </c>
      <c r="R20">
        <v>11.4</v>
      </c>
      <c r="S20">
        <f t="shared" ref="S20:S54" si="1">B20</f>
        <v>2</v>
      </c>
      <c r="T20" t="s">
        <v>55</v>
      </c>
      <c r="U20">
        <f t="shared" ref="U20:X48" si="2">IF(I20&lt;0,"",I20/100)</f>
        <v>0.15</v>
      </c>
      <c r="V20">
        <f t="shared" si="0"/>
        <v>0.11599999999999999</v>
      </c>
      <c r="W20">
        <f t="shared" si="0"/>
        <v>9.1999999999999998E-2</v>
      </c>
      <c r="X20">
        <f t="shared" si="0"/>
        <v>0.12</v>
      </c>
      <c r="Y20">
        <f t="shared" si="0"/>
        <v>0.13500000000000001</v>
      </c>
      <c r="Z20">
        <f t="shared" si="0"/>
        <v>0.152</v>
      </c>
      <c r="AA20">
        <f t="shared" si="0"/>
        <v>0.17199999999999999</v>
      </c>
      <c r="AB20">
        <f t="shared" si="0"/>
        <v>0.17699999999999999</v>
      </c>
      <c r="AC20">
        <f t="shared" si="0"/>
        <v>0.153</v>
      </c>
      <c r="AD20">
        <f t="shared" si="0"/>
        <v>0.114</v>
      </c>
    </row>
    <row r="21" spans="1:30" x14ac:dyDescent="0.25">
      <c r="A21">
        <v>453</v>
      </c>
      <c r="B21">
        <v>3</v>
      </c>
      <c r="C21">
        <v>0</v>
      </c>
      <c r="D21">
        <v>14</v>
      </c>
      <c r="E21">
        <v>10</v>
      </c>
      <c r="F21">
        <v>1</v>
      </c>
      <c r="G21">
        <v>7</v>
      </c>
      <c r="H21">
        <v>2</v>
      </c>
      <c r="I21">
        <v>12.2</v>
      </c>
      <c r="J21">
        <v>15.1</v>
      </c>
      <c r="K21">
        <v>14.3</v>
      </c>
      <c r="L21">
        <v>13.8</v>
      </c>
      <c r="M21">
        <v>14.1</v>
      </c>
      <c r="N21">
        <v>15.2</v>
      </c>
      <c r="O21">
        <v>16.2</v>
      </c>
      <c r="P21">
        <v>17</v>
      </c>
      <c r="Q21">
        <v>16.600000000000001</v>
      </c>
      <c r="R21">
        <v>13.5</v>
      </c>
      <c r="S21">
        <f t="shared" si="1"/>
        <v>3</v>
      </c>
      <c r="T21" t="s">
        <v>56</v>
      </c>
      <c r="U21">
        <f t="shared" si="2"/>
        <v>0.122</v>
      </c>
      <c r="V21">
        <f t="shared" si="0"/>
        <v>0.151</v>
      </c>
      <c r="W21">
        <f t="shared" si="0"/>
        <v>0.14300000000000002</v>
      </c>
      <c r="X21">
        <f t="shared" si="0"/>
        <v>0.13800000000000001</v>
      </c>
      <c r="Y21">
        <f t="shared" si="0"/>
        <v>0.14099999999999999</v>
      </c>
      <c r="Z21">
        <f t="shared" si="0"/>
        <v>0.152</v>
      </c>
      <c r="AA21">
        <f t="shared" si="0"/>
        <v>0.16200000000000001</v>
      </c>
      <c r="AB21">
        <f t="shared" si="0"/>
        <v>0.17</v>
      </c>
      <c r="AC21">
        <f t="shared" si="0"/>
        <v>0.16600000000000001</v>
      </c>
      <c r="AD21">
        <f t="shared" si="0"/>
        <v>0.13500000000000001</v>
      </c>
    </row>
    <row r="22" spans="1:30" x14ac:dyDescent="0.25">
      <c r="A22">
        <v>452</v>
      </c>
      <c r="B22">
        <v>4</v>
      </c>
      <c r="C22">
        <v>0</v>
      </c>
      <c r="D22">
        <v>14</v>
      </c>
      <c r="E22">
        <v>10</v>
      </c>
      <c r="F22">
        <v>1</v>
      </c>
      <c r="G22">
        <v>7</v>
      </c>
      <c r="H22">
        <v>7</v>
      </c>
      <c r="I22">
        <v>13.8</v>
      </c>
      <c r="J22">
        <v>12.7</v>
      </c>
      <c r="K22">
        <v>12.6</v>
      </c>
      <c r="L22">
        <v>12.3</v>
      </c>
      <c r="M22">
        <v>12.3</v>
      </c>
      <c r="N22">
        <v>14.5</v>
      </c>
      <c r="O22">
        <v>15.4</v>
      </c>
      <c r="P22">
        <v>14.9</v>
      </c>
      <c r="Q22">
        <v>14.5</v>
      </c>
      <c r="R22">
        <v>10.6</v>
      </c>
      <c r="S22">
        <f t="shared" si="1"/>
        <v>4</v>
      </c>
      <c r="T22" t="s">
        <v>57</v>
      </c>
      <c r="U22">
        <f t="shared" si="2"/>
        <v>0.13800000000000001</v>
      </c>
      <c r="V22">
        <f t="shared" si="0"/>
        <v>0.127</v>
      </c>
      <c r="W22">
        <f t="shared" si="0"/>
        <v>0.126</v>
      </c>
      <c r="X22">
        <f t="shared" si="0"/>
        <v>0.12300000000000001</v>
      </c>
      <c r="Y22">
        <f t="shared" si="0"/>
        <v>0.12300000000000001</v>
      </c>
      <c r="Z22">
        <f t="shared" si="0"/>
        <v>0.14499999999999999</v>
      </c>
      <c r="AA22">
        <f t="shared" si="0"/>
        <v>0.154</v>
      </c>
      <c r="AB22">
        <f t="shared" si="0"/>
        <v>0.14899999999999999</v>
      </c>
      <c r="AC22">
        <f t="shared" si="0"/>
        <v>0.14499999999999999</v>
      </c>
      <c r="AD22">
        <f t="shared" si="0"/>
        <v>0.106</v>
      </c>
    </row>
    <row r="23" spans="1:30" x14ac:dyDescent="0.25">
      <c r="A23">
        <v>451</v>
      </c>
      <c r="B23">
        <v>5</v>
      </c>
      <c r="C23">
        <v>0</v>
      </c>
      <c r="D23">
        <v>14</v>
      </c>
      <c r="E23">
        <v>10</v>
      </c>
      <c r="F23">
        <v>1</v>
      </c>
      <c r="G23">
        <v>7</v>
      </c>
      <c r="H23">
        <v>13</v>
      </c>
      <c r="I23">
        <v>-5.9</v>
      </c>
      <c r="J23">
        <v>-5.9</v>
      </c>
      <c r="K23">
        <v>-5.9</v>
      </c>
      <c r="L23">
        <v>15.7</v>
      </c>
      <c r="M23">
        <v>15.1</v>
      </c>
      <c r="N23">
        <v>16</v>
      </c>
      <c r="O23">
        <v>17.3</v>
      </c>
      <c r="P23">
        <v>18.899999999999999</v>
      </c>
      <c r="Q23">
        <v>18.8</v>
      </c>
      <c r="R23">
        <v>12</v>
      </c>
      <c r="S23">
        <f t="shared" si="1"/>
        <v>5</v>
      </c>
      <c r="T23" t="s">
        <v>58</v>
      </c>
      <c r="U23" t="str">
        <f t="shared" si="2"/>
        <v/>
      </c>
      <c r="V23" t="str">
        <f t="shared" si="0"/>
        <v/>
      </c>
      <c r="W23" t="str">
        <f t="shared" si="0"/>
        <v/>
      </c>
      <c r="X23">
        <f t="shared" si="0"/>
        <v>0.157</v>
      </c>
      <c r="Y23">
        <f t="shared" si="0"/>
        <v>0.151</v>
      </c>
      <c r="Z23">
        <f t="shared" si="0"/>
        <v>0.16</v>
      </c>
      <c r="AA23">
        <f t="shared" si="0"/>
        <v>0.17300000000000001</v>
      </c>
      <c r="AB23">
        <f t="shared" si="0"/>
        <v>0.18899999999999997</v>
      </c>
      <c r="AC23">
        <f t="shared" si="0"/>
        <v>0.188</v>
      </c>
      <c r="AD23">
        <f t="shared" si="0"/>
        <v>0.12</v>
      </c>
    </row>
    <row r="24" spans="1:30" x14ac:dyDescent="0.25">
      <c r="A24">
        <v>450</v>
      </c>
      <c r="B24">
        <v>6</v>
      </c>
      <c r="C24">
        <v>0</v>
      </c>
      <c r="D24">
        <v>14</v>
      </c>
      <c r="E24">
        <v>10</v>
      </c>
      <c r="F24">
        <v>1</v>
      </c>
      <c r="G24">
        <v>7</v>
      </c>
      <c r="H24">
        <v>17</v>
      </c>
      <c r="I24">
        <v>-5.9</v>
      </c>
      <c r="J24">
        <v>17.399999999999999</v>
      </c>
      <c r="K24">
        <v>16.399999999999999</v>
      </c>
      <c r="L24">
        <v>15.4</v>
      </c>
      <c r="M24">
        <v>14.5</v>
      </c>
      <c r="N24">
        <v>14.4</v>
      </c>
      <c r="O24">
        <v>14.6</v>
      </c>
      <c r="P24">
        <v>19.3</v>
      </c>
      <c r="Q24">
        <v>16.600000000000001</v>
      </c>
      <c r="R24">
        <v>11.7</v>
      </c>
      <c r="S24">
        <f t="shared" si="1"/>
        <v>6</v>
      </c>
      <c r="T24" t="s">
        <v>59</v>
      </c>
      <c r="U24" t="str">
        <f t="shared" si="2"/>
        <v/>
      </c>
      <c r="V24">
        <f t="shared" si="0"/>
        <v>0.17399999999999999</v>
      </c>
      <c r="W24">
        <f t="shared" si="0"/>
        <v>0.16399999999999998</v>
      </c>
      <c r="X24">
        <f t="shared" si="0"/>
        <v>0.154</v>
      </c>
      <c r="Y24">
        <f t="shared" si="0"/>
        <v>0.14499999999999999</v>
      </c>
      <c r="Z24">
        <f t="shared" si="0"/>
        <v>0.14400000000000002</v>
      </c>
      <c r="AA24">
        <f t="shared" si="0"/>
        <v>0.14599999999999999</v>
      </c>
      <c r="AB24">
        <f t="shared" si="0"/>
        <v>0.193</v>
      </c>
      <c r="AC24">
        <f t="shared" si="0"/>
        <v>0.16600000000000001</v>
      </c>
      <c r="AD24">
        <f t="shared" si="0"/>
        <v>0.11699999999999999</v>
      </c>
    </row>
    <row r="25" spans="1:30" x14ac:dyDescent="0.25">
      <c r="A25">
        <v>449</v>
      </c>
      <c r="B25">
        <v>7</v>
      </c>
      <c r="C25">
        <v>0</v>
      </c>
      <c r="D25">
        <v>14</v>
      </c>
      <c r="E25">
        <v>10</v>
      </c>
      <c r="F25">
        <v>1</v>
      </c>
      <c r="G25">
        <v>7</v>
      </c>
      <c r="H25">
        <v>22</v>
      </c>
      <c r="I25">
        <v>-5.9</v>
      </c>
      <c r="J25">
        <v>-5.9</v>
      </c>
      <c r="K25">
        <v>25.9</v>
      </c>
      <c r="L25">
        <v>25.8</v>
      </c>
      <c r="M25">
        <v>16.600000000000001</v>
      </c>
      <c r="N25">
        <v>19.3</v>
      </c>
      <c r="O25">
        <v>20.5</v>
      </c>
      <c r="P25">
        <v>21.8</v>
      </c>
      <c r="Q25">
        <v>20.9</v>
      </c>
      <c r="R25">
        <v>13.8</v>
      </c>
      <c r="S25">
        <f t="shared" si="1"/>
        <v>7</v>
      </c>
      <c r="T25" t="s">
        <v>60</v>
      </c>
      <c r="U25" t="str">
        <f t="shared" si="2"/>
        <v/>
      </c>
      <c r="V25" t="str">
        <f t="shared" si="0"/>
        <v/>
      </c>
      <c r="W25">
        <f t="shared" si="0"/>
        <v>0.25900000000000001</v>
      </c>
      <c r="X25">
        <f t="shared" si="0"/>
        <v>0.25800000000000001</v>
      </c>
      <c r="Y25">
        <f t="shared" si="0"/>
        <v>0.16600000000000001</v>
      </c>
      <c r="Z25">
        <f t="shared" si="0"/>
        <v>0.193</v>
      </c>
      <c r="AA25">
        <f t="shared" si="0"/>
        <v>0.20499999999999999</v>
      </c>
      <c r="AB25">
        <f t="shared" si="0"/>
        <v>0.218</v>
      </c>
      <c r="AC25">
        <f t="shared" si="0"/>
        <v>0.20899999999999999</v>
      </c>
      <c r="AD25">
        <f t="shared" si="0"/>
        <v>0.13800000000000001</v>
      </c>
    </row>
    <row r="26" spans="1:30" x14ac:dyDescent="0.25">
      <c r="A26">
        <v>448</v>
      </c>
      <c r="B26">
        <v>8</v>
      </c>
      <c r="C26">
        <v>0</v>
      </c>
      <c r="D26">
        <v>14</v>
      </c>
      <c r="E26">
        <v>10</v>
      </c>
      <c r="F26">
        <v>1</v>
      </c>
      <c r="G26">
        <v>7</v>
      </c>
      <c r="H26">
        <v>20</v>
      </c>
      <c r="I26">
        <v>-5.9</v>
      </c>
      <c r="J26">
        <v>31.7</v>
      </c>
      <c r="K26">
        <v>20.7</v>
      </c>
      <c r="L26">
        <v>13.8</v>
      </c>
      <c r="M26">
        <v>14.8</v>
      </c>
      <c r="N26">
        <v>15.7</v>
      </c>
      <c r="O26">
        <v>16</v>
      </c>
      <c r="P26">
        <v>21.5</v>
      </c>
      <c r="Q26">
        <v>17.899999999999999</v>
      </c>
      <c r="R26">
        <v>12.7</v>
      </c>
      <c r="S26">
        <f t="shared" si="1"/>
        <v>8</v>
      </c>
      <c r="T26" t="s">
        <v>61</v>
      </c>
      <c r="U26" t="str">
        <f t="shared" si="2"/>
        <v/>
      </c>
      <c r="V26">
        <f t="shared" si="0"/>
        <v>0.317</v>
      </c>
      <c r="W26">
        <f t="shared" si="0"/>
        <v>0.20699999999999999</v>
      </c>
      <c r="X26">
        <f t="shared" si="0"/>
        <v>0.13800000000000001</v>
      </c>
      <c r="Y26">
        <f t="shared" si="0"/>
        <v>0.14800000000000002</v>
      </c>
      <c r="Z26">
        <f t="shared" si="0"/>
        <v>0.157</v>
      </c>
      <c r="AA26">
        <f t="shared" si="0"/>
        <v>0.16</v>
      </c>
      <c r="AB26">
        <f t="shared" si="0"/>
        <v>0.215</v>
      </c>
      <c r="AC26">
        <f t="shared" si="0"/>
        <v>0.17899999999999999</v>
      </c>
      <c r="AD26">
        <f t="shared" si="0"/>
        <v>0.127</v>
      </c>
    </row>
    <row r="27" spans="1:30" x14ac:dyDescent="0.25">
      <c r="A27">
        <v>447</v>
      </c>
      <c r="B27">
        <v>9</v>
      </c>
      <c r="C27">
        <v>0</v>
      </c>
      <c r="D27">
        <v>14</v>
      </c>
      <c r="E27">
        <v>10</v>
      </c>
      <c r="F27">
        <v>1</v>
      </c>
      <c r="G27">
        <v>7</v>
      </c>
      <c r="H27">
        <v>40</v>
      </c>
      <c r="I27">
        <v>18.899999999999999</v>
      </c>
      <c r="J27">
        <v>14.6</v>
      </c>
      <c r="K27">
        <v>11.6</v>
      </c>
      <c r="L27">
        <v>14</v>
      </c>
      <c r="M27">
        <v>15.9</v>
      </c>
      <c r="N27">
        <v>16.600000000000001</v>
      </c>
      <c r="O27">
        <v>19.399999999999999</v>
      </c>
      <c r="P27">
        <v>16.7</v>
      </c>
      <c r="Q27">
        <v>15</v>
      </c>
      <c r="R27">
        <v>13</v>
      </c>
      <c r="S27">
        <f t="shared" si="1"/>
        <v>9</v>
      </c>
      <c r="T27" t="s">
        <v>63</v>
      </c>
      <c r="U27">
        <f t="shared" si="2"/>
        <v>0.18899999999999997</v>
      </c>
      <c r="V27">
        <f t="shared" si="0"/>
        <v>0.14599999999999999</v>
      </c>
      <c r="W27">
        <f t="shared" si="0"/>
        <v>0.11599999999999999</v>
      </c>
      <c r="X27">
        <f t="shared" si="0"/>
        <v>0.14000000000000001</v>
      </c>
      <c r="Y27">
        <f t="shared" si="0"/>
        <v>0.159</v>
      </c>
      <c r="Z27">
        <f t="shared" si="0"/>
        <v>0.16600000000000001</v>
      </c>
      <c r="AA27">
        <f t="shared" si="0"/>
        <v>0.19399999999999998</v>
      </c>
      <c r="AB27">
        <f t="shared" si="0"/>
        <v>0.16699999999999998</v>
      </c>
      <c r="AC27">
        <f t="shared" si="0"/>
        <v>0.15</v>
      </c>
      <c r="AD27">
        <f t="shared" si="0"/>
        <v>0.13</v>
      </c>
    </row>
    <row r="28" spans="1:30" x14ac:dyDescent="0.25">
      <c r="A28">
        <v>446</v>
      </c>
      <c r="B28">
        <v>10</v>
      </c>
      <c r="C28">
        <v>0</v>
      </c>
      <c r="D28">
        <v>14</v>
      </c>
      <c r="E28">
        <v>10</v>
      </c>
      <c r="F28">
        <v>1</v>
      </c>
      <c r="G28">
        <v>7</v>
      </c>
      <c r="H28">
        <v>47</v>
      </c>
      <c r="I28">
        <v>15.5</v>
      </c>
      <c r="J28">
        <v>14</v>
      </c>
      <c r="K28">
        <v>14.2</v>
      </c>
      <c r="L28">
        <v>15.6</v>
      </c>
      <c r="M28">
        <v>18</v>
      </c>
      <c r="N28">
        <v>18.3</v>
      </c>
      <c r="O28">
        <v>18.899999999999999</v>
      </c>
      <c r="P28">
        <v>19.899999999999999</v>
      </c>
      <c r="Q28">
        <v>17.2</v>
      </c>
      <c r="R28">
        <v>13.2</v>
      </c>
      <c r="S28">
        <f t="shared" si="1"/>
        <v>10</v>
      </c>
      <c r="T28" t="s">
        <v>62</v>
      </c>
      <c r="U28">
        <f t="shared" si="2"/>
        <v>0.155</v>
      </c>
      <c r="V28">
        <f t="shared" si="0"/>
        <v>0.14000000000000001</v>
      </c>
      <c r="W28">
        <f t="shared" si="0"/>
        <v>0.14199999999999999</v>
      </c>
      <c r="X28">
        <f t="shared" si="0"/>
        <v>0.156</v>
      </c>
      <c r="Y28">
        <f t="shared" si="0"/>
        <v>0.18</v>
      </c>
      <c r="Z28">
        <f t="shared" si="0"/>
        <v>0.183</v>
      </c>
      <c r="AA28">
        <f t="shared" si="0"/>
        <v>0.18899999999999997</v>
      </c>
      <c r="AB28">
        <f t="shared" si="0"/>
        <v>0.19899999999999998</v>
      </c>
      <c r="AC28">
        <f t="shared" si="0"/>
        <v>0.17199999999999999</v>
      </c>
      <c r="AD28">
        <f t="shared" si="0"/>
        <v>0.13200000000000001</v>
      </c>
    </row>
    <row r="29" spans="1:30" x14ac:dyDescent="0.25">
      <c r="A29">
        <v>445</v>
      </c>
      <c r="B29">
        <v>11</v>
      </c>
      <c r="C29">
        <v>0</v>
      </c>
      <c r="D29">
        <v>14</v>
      </c>
      <c r="E29">
        <v>10</v>
      </c>
      <c r="F29">
        <v>1</v>
      </c>
      <c r="G29">
        <v>7</v>
      </c>
      <c r="H29">
        <v>52</v>
      </c>
      <c r="I29">
        <v>14.8</v>
      </c>
      <c r="J29">
        <v>15.1</v>
      </c>
      <c r="K29">
        <v>15</v>
      </c>
      <c r="L29">
        <v>15.4</v>
      </c>
      <c r="M29">
        <v>18.8</v>
      </c>
      <c r="N29">
        <v>21.2</v>
      </c>
      <c r="O29">
        <v>21.7</v>
      </c>
      <c r="P29">
        <v>21.1</v>
      </c>
      <c r="Q29">
        <v>14.6</v>
      </c>
      <c r="R29">
        <v>10.8</v>
      </c>
      <c r="S29">
        <f t="shared" si="1"/>
        <v>11</v>
      </c>
      <c r="T29" t="s">
        <v>52</v>
      </c>
      <c r="U29">
        <f t="shared" si="2"/>
        <v>0.14800000000000002</v>
      </c>
      <c r="V29">
        <f t="shared" si="0"/>
        <v>0.151</v>
      </c>
      <c r="W29">
        <f t="shared" si="0"/>
        <v>0.15</v>
      </c>
      <c r="X29">
        <f t="shared" si="0"/>
        <v>0.154</v>
      </c>
      <c r="Y29">
        <f t="shared" si="0"/>
        <v>0.188</v>
      </c>
      <c r="Z29">
        <f t="shared" si="0"/>
        <v>0.21199999999999999</v>
      </c>
      <c r="AA29">
        <f t="shared" si="0"/>
        <v>0.217</v>
      </c>
      <c r="AB29">
        <f t="shared" si="0"/>
        <v>0.21100000000000002</v>
      </c>
      <c r="AC29">
        <f t="shared" si="0"/>
        <v>0.14599999999999999</v>
      </c>
      <c r="AD29">
        <f t="shared" si="0"/>
        <v>0.10800000000000001</v>
      </c>
    </row>
    <row r="30" spans="1:30" x14ac:dyDescent="0.25">
      <c r="A30">
        <v>444</v>
      </c>
      <c r="B30">
        <v>12</v>
      </c>
      <c r="C30">
        <v>0</v>
      </c>
      <c r="D30">
        <v>14</v>
      </c>
      <c r="E30">
        <v>10</v>
      </c>
      <c r="F30">
        <v>1</v>
      </c>
      <c r="G30">
        <v>7</v>
      </c>
      <c r="H30">
        <v>50</v>
      </c>
      <c r="I30">
        <v>21.5</v>
      </c>
      <c r="J30">
        <v>14</v>
      </c>
      <c r="K30">
        <v>16.2</v>
      </c>
      <c r="L30">
        <v>21.3</v>
      </c>
      <c r="M30">
        <v>18.600000000000001</v>
      </c>
      <c r="N30">
        <v>19.8</v>
      </c>
      <c r="O30">
        <v>19.7</v>
      </c>
      <c r="P30">
        <v>16.399999999999999</v>
      </c>
      <c r="Q30">
        <v>13.9</v>
      </c>
      <c r="R30">
        <v>11.8</v>
      </c>
      <c r="S30">
        <f t="shared" si="1"/>
        <v>12</v>
      </c>
      <c r="T30" t="s">
        <v>64</v>
      </c>
      <c r="U30">
        <f t="shared" si="2"/>
        <v>0.215</v>
      </c>
      <c r="V30">
        <f t="shared" si="0"/>
        <v>0.14000000000000001</v>
      </c>
      <c r="W30">
        <f t="shared" si="0"/>
        <v>0.16200000000000001</v>
      </c>
      <c r="X30">
        <f t="shared" si="0"/>
        <v>0.21299999999999999</v>
      </c>
      <c r="Y30">
        <f t="shared" si="0"/>
        <v>0.18600000000000003</v>
      </c>
      <c r="Z30">
        <f t="shared" si="0"/>
        <v>0.19800000000000001</v>
      </c>
      <c r="AA30">
        <f t="shared" si="0"/>
        <v>0.19699999999999998</v>
      </c>
      <c r="AB30">
        <f t="shared" si="0"/>
        <v>0.16399999999999998</v>
      </c>
      <c r="AC30">
        <f t="shared" si="0"/>
        <v>0.13900000000000001</v>
      </c>
      <c r="AD30">
        <f t="shared" si="0"/>
        <v>0.11800000000000001</v>
      </c>
    </row>
    <row r="31" spans="1:30" x14ac:dyDescent="0.25">
      <c r="A31">
        <v>443</v>
      </c>
      <c r="B31">
        <v>13</v>
      </c>
      <c r="C31">
        <v>0</v>
      </c>
      <c r="D31">
        <v>14</v>
      </c>
      <c r="E31">
        <v>10</v>
      </c>
      <c r="F31">
        <v>1</v>
      </c>
      <c r="G31">
        <v>8</v>
      </c>
      <c r="H31">
        <v>12</v>
      </c>
      <c r="I31">
        <v>20.399999999999999</v>
      </c>
      <c r="J31">
        <v>17.2</v>
      </c>
      <c r="K31">
        <v>19.5</v>
      </c>
      <c r="L31">
        <v>20.2</v>
      </c>
      <c r="M31">
        <v>21.8</v>
      </c>
      <c r="N31">
        <v>23.3</v>
      </c>
      <c r="O31">
        <v>20.8</v>
      </c>
      <c r="P31">
        <v>20.3</v>
      </c>
      <c r="Q31">
        <v>16.399999999999999</v>
      </c>
      <c r="R31">
        <v>11.5</v>
      </c>
      <c r="S31">
        <f t="shared" si="1"/>
        <v>13</v>
      </c>
      <c r="T31" t="s">
        <v>29</v>
      </c>
      <c r="U31">
        <f t="shared" si="2"/>
        <v>0.20399999999999999</v>
      </c>
      <c r="V31">
        <f t="shared" si="0"/>
        <v>0.17199999999999999</v>
      </c>
      <c r="W31">
        <f t="shared" si="0"/>
        <v>0.19500000000000001</v>
      </c>
      <c r="X31">
        <f t="shared" si="0"/>
        <v>0.20199999999999999</v>
      </c>
      <c r="Y31">
        <f t="shared" si="0"/>
        <v>0.218</v>
      </c>
      <c r="Z31">
        <f t="shared" si="0"/>
        <v>0.23300000000000001</v>
      </c>
      <c r="AA31">
        <f t="shared" si="0"/>
        <v>0.20800000000000002</v>
      </c>
      <c r="AB31">
        <f t="shared" si="0"/>
        <v>0.20300000000000001</v>
      </c>
      <c r="AC31">
        <f t="shared" si="0"/>
        <v>0.16399999999999998</v>
      </c>
      <c r="AD31">
        <f t="shared" si="0"/>
        <v>0.115</v>
      </c>
    </row>
    <row r="32" spans="1:30" x14ac:dyDescent="0.25">
      <c r="A32">
        <v>442</v>
      </c>
      <c r="B32">
        <v>14</v>
      </c>
      <c r="C32">
        <v>0</v>
      </c>
      <c r="D32">
        <v>14</v>
      </c>
      <c r="E32">
        <v>10</v>
      </c>
      <c r="F32">
        <v>1</v>
      </c>
      <c r="G32">
        <v>8</v>
      </c>
      <c r="H32">
        <v>11</v>
      </c>
      <c r="I32">
        <v>18.399999999999999</v>
      </c>
      <c r="J32">
        <v>18.600000000000001</v>
      </c>
      <c r="K32">
        <v>22</v>
      </c>
      <c r="L32">
        <v>22.1</v>
      </c>
      <c r="M32">
        <v>20.5</v>
      </c>
      <c r="N32">
        <v>20.9</v>
      </c>
      <c r="O32">
        <v>22.3</v>
      </c>
      <c r="P32">
        <v>16</v>
      </c>
      <c r="Q32">
        <v>13.4</v>
      </c>
      <c r="R32">
        <v>10.3</v>
      </c>
      <c r="S32">
        <f t="shared" si="1"/>
        <v>14</v>
      </c>
      <c r="T32" t="s">
        <v>30</v>
      </c>
      <c r="U32">
        <f t="shared" si="2"/>
        <v>0.184</v>
      </c>
      <c r="V32">
        <f t="shared" si="0"/>
        <v>0.18600000000000003</v>
      </c>
      <c r="W32">
        <f t="shared" si="0"/>
        <v>0.22</v>
      </c>
      <c r="X32">
        <f t="shared" si="0"/>
        <v>0.221</v>
      </c>
      <c r="Y32">
        <f t="shared" si="0"/>
        <v>0.20499999999999999</v>
      </c>
      <c r="Z32">
        <f t="shared" si="0"/>
        <v>0.20899999999999999</v>
      </c>
      <c r="AA32">
        <f t="shared" si="0"/>
        <v>0.223</v>
      </c>
      <c r="AB32">
        <f t="shared" si="0"/>
        <v>0.16</v>
      </c>
      <c r="AC32">
        <f t="shared" si="0"/>
        <v>0.13400000000000001</v>
      </c>
      <c r="AD32">
        <f t="shared" si="0"/>
        <v>0.10300000000000001</v>
      </c>
    </row>
    <row r="33" spans="1:30" x14ac:dyDescent="0.25">
      <c r="A33">
        <v>441</v>
      </c>
      <c r="B33">
        <v>15</v>
      </c>
      <c r="C33">
        <v>0</v>
      </c>
      <c r="D33">
        <v>14</v>
      </c>
      <c r="E33">
        <v>10</v>
      </c>
      <c r="F33">
        <v>1</v>
      </c>
      <c r="G33">
        <v>8</v>
      </c>
      <c r="H33">
        <v>25</v>
      </c>
      <c r="I33">
        <v>18.399999999999999</v>
      </c>
      <c r="J33">
        <v>15.8</v>
      </c>
      <c r="K33">
        <v>15.6</v>
      </c>
      <c r="L33">
        <v>16.8</v>
      </c>
      <c r="M33">
        <v>20.2</v>
      </c>
      <c r="N33">
        <v>19.399999999999999</v>
      </c>
      <c r="O33">
        <v>19.3</v>
      </c>
      <c r="P33">
        <v>17.8</v>
      </c>
      <c r="Q33">
        <v>15.5</v>
      </c>
      <c r="R33">
        <v>12.7</v>
      </c>
      <c r="S33">
        <f t="shared" si="1"/>
        <v>15</v>
      </c>
      <c r="T33" t="s">
        <v>31</v>
      </c>
      <c r="U33">
        <f t="shared" si="2"/>
        <v>0.184</v>
      </c>
      <c r="V33">
        <f t="shared" si="0"/>
        <v>0.158</v>
      </c>
      <c r="W33">
        <f t="shared" si="0"/>
        <v>0.156</v>
      </c>
      <c r="X33">
        <f t="shared" si="0"/>
        <v>0.16800000000000001</v>
      </c>
      <c r="Y33">
        <f t="shared" si="0"/>
        <v>0.20199999999999999</v>
      </c>
      <c r="Z33">
        <f t="shared" si="0"/>
        <v>0.19399999999999998</v>
      </c>
      <c r="AA33">
        <f t="shared" si="0"/>
        <v>0.193</v>
      </c>
      <c r="AB33">
        <f t="shared" si="0"/>
        <v>0.17800000000000002</v>
      </c>
      <c r="AC33">
        <f t="shared" si="0"/>
        <v>0.155</v>
      </c>
      <c r="AD33">
        <f t="shared" si="0"/>
        <v>0.127</v>
      </c>
    </row>
    <row r="34" spans="1:30" x14ac:dyDescent="0.25">
      <c r="A34">
        <v>440</v>
      </c>
      <c r="B34">
        <v>16</v>
      </c>
      <c r="C34">
        <v>0</v>
      </c>
      <c r="D34">
        <v>14</v>
      </c>
      <c r="E34">
        <v>10</v>
      </c>
      <c r="F34">
        <v>1</v>
      </c>
      <c r="G34">
        <v>8</v>
      </c>
      <c r="H34">
        <v>30</v>
      </c>
      <c r="I34">
        <v>22.9</v>
      </c>
      <c r="J34">
        <v>18.7</v>
      </c>
      <c r="K34">
        <v>21.5</v>
      </c>
      <c r="L34">
        <v>18.899999999999999</v>
      </c>
      <c r="M34">
        <v>17.5</v>
      </c>
      <c r="N34">
        <v>16.3</v>
      </c>
      <c r="O34">
        <v>14.1</v>
      </c>
      <c r="P34">
        <v>14.2</v>
      </c>
      <c r="Q34">
        <v>16.8</v>
      </c>
      <c r="R34">
        <v>13.2</v>
      </c>
      <c r="S34">
        <f t="shared" si="1"/>
        <v>16</v>
      </c>
      <c r="T34" t="s">
        <v>32</v>
      </c>
      <c r="U34">
        <f t="shared" si="2"/>
        <v>0.22899999999999998</v>
      </c>
      <c r="V34">
        <f t="shared" si="0"/>
        <v>0.187</v>
      </c>
      <c r="W34">
        <f t="shared" si="0"/>
        <v>0.215</v>
      </c>
      <c r="X34">
        <f t="shared" si="0"/>
        <v>0.18899999999999997</v>
      </c>
      <c r="Y34">
        <f t="shared" si="0"/>
        <v>0.17499999999999999</v>
      </c>
      <c r="Z34">
        <f t="shared" si="0"/>
        <v>0.16300000000000001</v>
      </c>
      <c r="AA34">
        <f t="shared" si="0"/>
        <v>0.14099999999999999</v>
      </c>
      <c r="AB34">
        <f t="shared" si="0"/>
        <v>0.14199999999999999</v>
      </c>
      <c r="AC34">
        <f t="shared" si="0"/>
        <v>0.16800000000000001</v>
      </c>
      <c r="AD34">
        <f t="shared" si="0"/>
        <v>0.13200000000000001</v>
      </c>
    </row>
    <row r="35" spans="1:30" x14ac:dyDescent="0.25">
      <c r="A35">
        <v>439</v>
      </c>
      <c r="B35">
        <v>17</v>
      </c>
      <c r="C35">
        <v>0</v>
      </c>
      <c r="D35">
        <v>14</v>
      </c>
      <c r="E35">
        <v>10</v>
      </c>
      <c r="F35">
        <v>1</v>
      </c>
      <c r="G35">
        <v>8</v>
      </c>
      <c r="H35">
        <v>35</v>
      </c>
      <c r="I35">
        <v>16.8</v>
      </c>
      <c r="J35">
        <v>16.5</v>
      </c>
      <c r="K35">
        <v>16.5</v>
      </c>
      <c r="L35">
        <v>14.6</v>
      </c>
      <c r="M35">
        <v>17.5</v>
      </c>
      <c r="N35">
        <v>19.100000000000001</v>
      </c>
      <c r="O35">
        <v>22.4</v>
      </c>
      <c r="P35">
        <v>19.8</v>
      </c>
      <c r="Q35">
        <v>16.2</v>
      </c>
      <c r="R35">
        <v>10.9</v>
      </c>
      <c r="S35">
        <f t="shared" si="1"/>
        <v>17</v>
      </c>
      <c r="T35" t="s">
        <v>33</v>
      </c>
      <c r="U35">
        <f t="shared" si="2"/>
        <v>0.16800000000000001</v>
      </c>
      <c r="V35">
        <f t="shared" si="0"/>
        <v>0.16500000000000001</v>
      </c>
      <c r="W35">
        <f t="shared" si="0"/>
        <v>0.16500000000000001</v>
      </c>
      <c r="X35">
        <f t="shared" si="0"/>
        <v>0.14599999999999999</v>
      </c>
      <c r="Y35">
        <f t="shared" si="0"/>
        <v>0.17499999999999999</v>
      </c>
      <c r="Z35">
        <f t="shared" si="0"/>
        <v>0.191</v>
      </c>
      <c r="AA35">
        <f t="shared" si="0"/>
        <v>0.22399999999999998</v>
      </c>
      <c r="AB35">
        <f t="shared" si="0"/>
        <v>0.19800000000000001</v>
      </c>
      <c r="AC35">
        <f t="shared" si="0"/>
        <v>0.16200000000000001</v>
      </c>
      <c r="AD35">
        <f t="shared" si="0"/>
        <v>0.109</v>
      </c>
    </row>
    <row r="36" spans="1:30" x14ac:dyDescent="0.25">
      <c r="A36">
        <v>438</v>
      </c>
      <c r="B36">
        <v>18</v>
      </c>
      <c r="C36">
        <v>0</v>
      </c>
      <c r="D36">
        <v>14</v>
      </c>
      <c r="E36">
        <v>10</v>
      </c>
      <c r="F36">
        <v>1</v>
      </c>
      <c r="G36">
        <v>8</v>
      </c>
      <c r="H36">
        <v>42</v>
      </c>
      <c r="I36">
        <v>19.7</v>
      </c>
      <c r="J36">
        <v>19.399999999999999</v>
      </c>
      <c r="K36">
        <v>22.5</v>
      </c>
      <c r="L36">
        <v>20.2</v>
      </c>
      <c r="M36">
        <v>17.100000000000001</v>
      </c>
      <c r="N36">
        <v>18.5</v>
      </c>
      <c r="O36">
        <v>18.8</v>
      </c>
      <c r="P36">
        <v>18.600000000000001</v>
      </c>
      <c r="Q36">
        <v>14.5</v>
      </c>
      <c r="R36">
        <v>13.3</v>
      </c>
      <c r="S36">
        <f t="shared" si="1"/>
        <v>18</v>
      </c>
      <c r="T36" t="s">
        <v>34</v>
      </c>
      <c r="U36">
        <f t="shared" si="2"/>
        <v>0.19699999999999998</v>
      </c>
      <c r="V36">
        <f t="shared" si="0"/>
        <v>0.19399999999999998</v>
      </c>
      <c r="W36">
        <f t="shared" si="0"/>
        <v>0.22500000000000001</v>
      </c>
      <c r="X36">
        <f t="shared" si="0"/>
        <v>0.20199999999999999</v>
      </c>
      <c r="Y36">
        <f t="shared" si="0"/>
        <v>0.17100000000000001</v>
      </c>
      <c r="Z36">
        <f t="shared" si="0"/>
        <v>0.185</v>
      </c>
      <c r="AA36">
        <f t="shared" si="0"/>
        <v>0.188</v>
      </c>
      <c r="AB36">
        <f t="shared" si="0"/>
        <v>0.18600000000000003</v>
      </c>
      <c r="AC36">
        <f t="shared" si="0"/>
        <v>0.14499999999999999</v>
      </c>
      <c r="AD36">
        <f t="shared" si="0"/>
        <v>0.13300000000000001</v>
      </c>
    </row>
    <row r="37" spans="1:30" x14ac:dyDescent="0.25">
      <c r="A37">
        <v>437</v>
      </c>
      <c r="B37">
        <v>19</v>
      </c>
      <c r="C37">
        <v>0</v>
      </c>
      <c r="D37">
        <v>14</v>
      </c>
      <c r="E37">
        <v>10</v>
      </c>
      <c r="F37">
        <v>1</v>
      </c>
      <c r="G37">
        <v>8</v>
      </c>
      <c r="H37">
        <v>50</v>
      </c>
      <c r="I37">
        <v>20.3</v>
      </c>
      <c r="J37">
        <v>20.9</v>
      </c>
      <c r="K37">
        <v>25.8</v>
      </c>
      <c r="L37">
        <v>14.8</v>
      </c>
      <c r="M37">
        <v>15.5</v>
      </c>
      <c r="N37">
        <v>17.100000000000001</v>
      </c>
      <c r="O37">
        <v>18.100000000000001</v>
      </c>
      <c r="P37">
        <v>17.2</v>
      </c>
      <c r="Q37">
        <v>15</v>
      </c>
      <c r="R37">
        <v>12.3</v>
      </c>
      <c r="S37">
        <f t="shared" si="1"/>
        <v>19</v>
      </c>
      <c r="T37" t="s">
        <v>65</v>
      </c>
      <c r="U37">
        <f t="shared" si="2"/>
        <v>0.20300000000000001</v>
      </c>
      <c r="V37">
        <f t="shared" si="0"/>
        <v>0.20899999999999999</v>
      </c>
      <c r="W37">
        <f t="shared" si="0"/>
        <v>0.25800000000000001</v>
      </c>
      <c r="X37">
        <f t="shared" si="0"/>
        <v>0.14800000000000002</v>
      </c>
      <c r="Y37">
        <f t="shared" si="0"/>
        <v>0.155</v>
      </c>
      <c r="Z37">
        <f t="shared" si="0"/>
        <v>0.17100000000000001</v>
      </c>
      <c r="AA37">
        <f t="shared" si="0"/>
        <v>0.18100000000000002</v>
      </c>
      <c r="AB37">
        <f t="shared" si="0"/>
        <v>0.17199999999999999</v>
      </c>
      <c r="AC37">
        <f t="shared" si="0"/>
        <v>0.15</v>
      </c>
      <c r="AD37">
        <f t="shared" si="0"/>
        <v>0.12300000000000001</v>
      </c>
    </row>
    <row r="38" spans="1:30" x14ac:dyDescent="0.25">
      <c r="A38">
        <v>436</v>
      </c>
      <c r="B38">
        <v>20</v>
      </c>
      <c r="C38">
        <v>0</v>
      </c>
      <c r="D38">
        <v>14</v>
      </c>
      <c r="E38">
        <v>10</v>
      </c>
      <c r="F38">
        <v>1</v>
      </c>
      <c r="G38">
        <v>8</v>
      </c>
      <c r="H38">
        <v>54</v>
      </c>
      <c r="I38">
        <v>14.4</v>
      </c>
      <c r="J38">
        <v>18.5</v>
      </c>
      <c r="K38">
        <v>19.5</v>
      </c>
      <c r="L38">
        <v>18.399999999999999</v>
      </c>
      <c r="M38">
        <v>19.8</v>
      </c>
      <c r="N38">
        <v>20</v>
      </c>
      <c r="O38">
        <v>19.399999999999999</v>
      </c>
      <c r="P38">
        <v>15.1</v>
      </c>
      <c r="Q38">
        <v>14.8</v>
      </c>
      <c r="R38">
        <v>14.5</v>
      </c>
      <c r="S38">
        <f t="shared" si="1"/>
        <v>20</v>
      </c>
      <c r="T38" t="s">
        <v>66</v>
      </c>
      <c r="U38">
        <f t="shared" si="2"/>
        <v>0.14400000000000002</v>
      </c>
      <c r="V38">
        <f t="shared" si="0"/>
        <v>0.185</v>
      </c>
      <c r="W38">
        <f t="shared" si="0"/>
        <v>0.19500000000000001</v>
      </c>
      <c r="X38">
        <f t="shared" si="0"/>
        <v>0.184</v>
      </c>
      <c r="Y38">
        <f t="shared" si="0"/>
        <v>0.19800000000000001</v>
      </c>
      <c r="Z38">
        <f t="shared" si="0"/>
        <v>0.2</v>
      </c>
      <c r="AA38">
        <f t="shared" si="0"/>
        <v>0.19399999999999998</v>
      </c>
      <c r="AB38">
        <f t="shared" si="0"/>
        <v>0.151</v>
      </c>
      <c r="AC38">
        <f t="shared" si="0"/>
        <v>0.14800000000000002</v>
      </c>
      <c r="AD38">
        <f t="shared" si="0"/>
        <v>0.14499999999999999</v>
      </c>
    </row>
    <row r="39" spans="1:30" x14ac:dyDescent="0.25">
      <c r="A39">
        <v>435</v>
      </c>
      <c r="B39">
        <v>21</v>
      </c>
      <c r="C39">
        <v>0</v>
      </c>
      <c r="D39">
        <v>14</v>
      </c>
      <c r="E39">
        <v>10</v>
      </c>
      <c r="F39">
        <v>1</v>
      </c>
      <c r="G39">
        <v>8</v>
      </c>
      <c r="H39">
        <v>51</v>
      </c>
      <c r="I39">
        <v>18.600000000000001</v>
      </c>
      <c r="J39">
        <v>19.399999999999999</v>
      </c>
      <c r="K39">
        <v>17</v>
      </c>
      <c r="L39">
        <v>16.5</v>
      </c>
      <c r="M39">
        <v>17</v>
      </c>
      <c r="N39">
        <v>15.1</v>
      </c>
      <c r="O39">
        <v>19</v>
      </c>
      <c r="P39">
        <v>21</v>
      </c>
      <c r="Q39">
        <v>16.5</v>
      </c>
      <c r="R39">
        <v>12.8</v>
      </c>
      <c r="S39">
        <f t="shared" si="1"/>
        <v>21</v>
      </c>
      <c r="T39" t="s">
        <v>67</v>
      </c>
      <c r="U39">
        <f t="shared" si="2"/>
        <v>0.18600000000000003</v>
      </c>
      <c r="V39">
        <f t="shared" si="0"/>
        <v>0.19399999999999998</v>
      </c>
      <c r="W39">
        <f t="shared" si="0"/>
        <v>0.17</v>
      </c>
      <c r="X39">
        <f t="shared" si="0"/>
        <v>0.16500000000000001</v>
      </c>
      <c r="Y39">
        <f t="shared" si="0"/>
        <v>0.17</v>
      </c>
      <c r="Z39">
        <f t="shared" si="0"/>
        <v>0.151</v>
      </c>
      <c r="AA39">
        <f t="shared" si="0"/>
        <v>0.19</v>
      </c>
      <c r="AB39">
        <f t="shared" si="0"/>
        <v>0.21</v>
      </c>
      <c r="AC39">
        <f t="shared" si="0"/>
        <v>0.16500000000000001</v>
      </c>
      <c r="AD39">
        <f t="shared" si="0"/>
        <v>0.128</v>
      </c>
    </row>
    <row r="40" spans="1:30" x14ac:dyDescent="0.25">
      <c r="A40">
        <v>434</v>
      </c>
      <c r="B40">
        <v>22</v>
      </c>
      <c r="C40">
        <v>0</v>
      </c>
      <c r="D40">
        <v>14</v>
      </c>
      <c r="E40">
        <v>10</v>
      </c>
      <c r="F40">
        <v>1</v>
      </c>
      <c r="G40">
        <v>9</v>
      </c>
      <c r="H40">
        <v>5</v>
      </c>
      <c r="I40">
        <v>18.5</v>
      </c>
      <c r="J40">
        <v>18.5</v>
      </c>
      <c r="K40">
        <v>20.3</v>
      </c>
      <c r="L40">
        <v>19.399999999999999</v>
      </c>
      <c r="M40">
        <v>21.1</v>
      </c>
      <c r="N40">
        <v>20.8</v>
      </c>
      <c r="O40">
        <v>22.8</v>
      </c>
      <c r="P40">
        <v>19.8</v>
      </c>
      <c r="Q40">
        <v>17.100000000000001</v>
      </c>
      <c r="R40">
        <v>13.8</v>
      </c>
      <c r="S40">
        <f t="shared" si="1"/>
        <v>22</v>
      </c>
      <c r="T40" t="s">
        <v>68</v>
      </c>
      <c r="U40">
        <f t="shared" si="2"/>
        <v>0.185</v>
      </c>
      <c r="V40">
        <f t="shared" si="0"/>
        <v>0.185</v>
      </c>
      <c r="W40">
        <f t="shared" si="0"/>
        <v>0.20300000000000001</v>
      </c>
      <c r="X40">
        <f t="shared" si="0"/>
        <v>0.19399999999999998</v>
      </c>
      <c r="Y40">
        <f t="shared" si="0"/>
        <v>0.21100000000000002</v>
      </c>
      <c r="Z40">
        <f t="shared" si="0"/>
        <v>0.20800000000000002</v>
      </c>
      <c r="AA40">
        <f t="shared" si="0"/>
        <v>0.22800000000000001</v>
      </c>
      <c r="AB40">
        <f t="shared" si="0"/>
        <v>0.19800000000000001</v>
      </c>
      <c r="AC40">
        <f t="shared" si="0"/>
        <v>0.17100000000000001</v>
      </c>
      <c r="AD40">
        <f t="shared" si="0"/>
        <v>0.13800000000000001</v>
      </c>
    </row>
    <row r="41" spans="1:30" x14ac:dyDescent="0.25">
      <c r="A41">
        <v>433</v>
      </c>
      <c r="B41">
        <v>23</v>
      </c>
      <c r="C41">
        <v>0</v>
      </c>
      <c r="D41">
        <v>14</v>
      </c>
      <c r="E41">
        <v>10</v>
      </c>
      <c r="F41">
        <v>1</v>
      </c>
      <c r="G41">
        <v>9</v>
      </c>
      <c r="H41">
        <v>10</v>
      </c>
      <c r="I41">
        <v>17</v>
      </c>
      <c r="J41">
        <v>20.100000000000001</v>
      </c>
      <c r="K41">
        <v>20.100000000000001</v>
      </c>
      <c r="L41">
        <v>20</v>
      </c>
      <c r="M41">
        <v>20.100000000000001</v>
      </c>
      <c r="N41">
        <v>20.2</v>
      </c>
      <c r="O41">
        <v>20.5</v>
      </c>
      <c r="P41">
        <v>18.600000000000001</v>
      </c>
      <c r="Q41">
        <v>17</v>
      </c>
      <c r="R41">
        <v>14.2</v>
      </c>
      <c r="S41">
        <f t="shared" si="1"/>
        <v>23</v>
      </c>
      <c r="T41" t="s">
        <v>69</v>
      </c>
      <c r="U41">
        <f t="shared" si="2"/>
        <v>0.17</v>
      </c>
      <c r="V41">
        <f t="shared" si="0"/>
        <v>0.20100000000000001</v>
      </c>
      <c r="W41">
        <f t="shared" si="0"/>
        <v>0.20100000000000001</v>
      </c>
      <c r="X41">
        <f t="shared" si="0"/>
        <v>0.2</v>
      </c>
      <c r="Y41">
        <f t="shared" si="0"/>
        <v>0.20100000000000001</v>
      </c>
      <c r="Z41">
        <f t="shared" si="0"/>
        <v>0.20199999999999999</v>
      </c>
      <c r="AA41">
        <f t="shared" si="0"/>
        <v>0.20499999999999999</v>
      </c>
      <c r="AB41">
        <f t="shared" si="0"/>
        <v>0.18600000000000003</v>
      </c>
      <c r="AC41">
        <f t="shared" si="0"/>
        <v>0.17</v>
      </c>
      <c r="AD41">
        <f t="shared" si="0"/>
        <v>0.14199999999999999</v>
      </c>
    </row>
    <row r="42" spans="1:30" x14ac:dyDescent="0.25">
      <c r="A42">
        <v>432</v>
      </c>
      <c r="B42">
        <v>24</v>
      </c>
      <c r="C42">
        <v>0</v>
      </c>
      <c r="D42">
        <v>14</v>
      </c>
      <c r="E42">
        <v>10</v>
      </c>
      <c r="F42">
        <v>1</v>
      </c>
      <c r="G42">
        <v>9</v>
      </c>
      <c r="H42">
        <v>15</v>
      </c>
      <c r="I42">
        <v>18.3</v>
      </c>
      <c r="J42">
        <v>17.8</v>
      </c>
      <c r="K42">
        <v>21.4</v>
      </c>
      <c r="L42">
        <v>21</v>
      </c>
      <c r="M42">
        <v>19.7</v>
      </c>
      <c r="N42">
        <v>19.7</v>
      </c>
      <c r="O42">
        <v>21.8</v>
      </c>
      <c r="P42">
        <v>19.3</v>
      </c>
      <c r="Q42">
        <v>16.899999999999999</v>
      </c>
      <c r="R42">
        <v>12.5</v>
      </c>
      <c r="S42">
        <f t="shared" si="1"/>
        <v>24</v>
      </c>
      <c r="T42" t="s">
        <v>70</v>
      </c>
      <c r="U42">
        <f t="shared" si="2"/>
        <v>0.183</v>
      </c>
      <c r="V42">
        <f t="shared" si="0"/>
        <v>0.17800000000000002</v>
      </c>
      <c r="W42">
        <f t="shared" si="0"/>
        <v>0.214</v>
      </c>
      <c r="X42">
        <f t="shared" si="0"/>
        <v>0.21</v>
      </c>
      <c r="Y42">
        <f t="shared" si="0"/>
        <v>0.19699999999999998</v>
      </c>
      <c r="Z42">
        <f t="shared" si="0"/>
        <v>0.19699999999999998</v>
      </c>
      <c r="AA42">
        <f t="shared" si="0"/>
        <v>0.218</v>
      </c>
      <c r="AB42">
        <f t="shared" si="0"/>
        <v>0.193</v>
      </c>
      <c r="AC42">
        <f t="shared" si="0"/>
        <v>0.16899999999999998</v>
      </c>
      <c r="AD42">
        <f t="shared" si="0"/>
        <v>0.125</v>
      </c>
    </row>
    <row r="43" spans="1:30" x14ac:dyDescent="0.25">
      <c r="A43">
        <v>431</v>
      </c>
      <c r="B43">
        <v>25</v>
      </c>
      <c r="C43">
        <v>0</v>
      </c>
      <c r="D43">
        <v>14</v>
      </c>
      <c r="E43">
        <v>10</v>
      </c>
      <c r="F43">
        <v>1</v>
      </c>
      <c r="G43">
        <v>9</v>
      </c>
      <c r="H43">
        <v>26</v>
      </c>
      <c r="I43">
        <v>-5.9</v>
      </c>
      <c r="J43">
        <v>22.4</v>
      </c>
      <c r="K43">
        <v>24.2</v>
      </c>
      <c r="L43">
        <v>21.4</v>
      </c>
      <c r="M43">
        <v>19.600000000000001</v>
      </c>
      <c r="N43">
        <v>19.2</v>
      </c>
      <c r="O43">
        <v>15.6</v>
      </c>
      <c r="P43">
        <v>14.9</v>
      </c>
      <c r="Q43">
        <v>15.3</v>
      </c>
      <c r="R43">
        <v>11.7</v>
      </c>
      <c r="S43">
        <f t="shared" si="1"/>
        <v>25</v>
      </c>
      <c r="T43" t="s">
        <v>71</v>
      </c>
      <c r="U43" t="str">
        <f t="shared" si="2"/>
        <v/>
      </c>
      <c r="V43">
        <f t="shared" si="0"/>
        <v>0.22399999999999998</v>
      </c>
      <c r="W43">
        <f t="shared" si="0"/>
        <v>0.24199999999999999</v>
      </c>
      <c r="X43">
        <f t="shared" si="0"/>
        <v>0.214</v>
      </c>
      <c r="Y43">
        <f t="shared" si="0"/>
        <v>0.19600000000000001</v>
      </c>
      <c r="Z43">
        <f t="shared" si="0"/>
        <v>0.192</v>
      </c>
      <c r="AA43">
        <f t="shared" si="0"/>
        <v>0.156</v>
      </c>
      <c r="AB43">
        <f t="shared" si="0"/>
        <v>0.14899999999999999</v>
      </c>
      <c r="AC43">
        <f t="shared" si="0"/>
        <v>0.153</v>
      </c>
      <c r="AD43">
        <f t="shared" si="0"/>
        <v>0.11699999999999999</v>
      </c>
    </row>
    <row r="44" spans="1:30" x14ac:dyDescent="0.25">
      <c r="A44">
        <v>430</v>
      </c>
      <c r="B44">
        <v>26</v>
      </c>
      <c r="C44">
        <v>0</v>
      </c>
      <c r="D44">
        <v>14</v>
      </c>
      <c r="E44">
        <v>10</v>
      </c>
      <c r="F44">
        <v>1</v>
      </c>
      <c r="G44">
        <v>9</v>
      </c>
      <c r="H44">
        <v>31</v>
      </c>
      <c r="I44">
        <v>-5.9</v>
      </c>
      <c r="J44">
        <v>16.600000000000001</v>
      </c>
      <c r="K44">
        <v>16.8</v>
      </c>
      <c r="L44">
        <v>16.399999999999999</v>
      </c>
      <c r="M44">
        <v>17.100000000000001</v>
      </c>
      <c r="N44">
        <v>14.5</v>
      </c>
      <c r="O44">
        <v>18.600000000000001</v>
      </c>
      <c r="P44">
        <v>18.100000000000001</v>
      </c>
      <c r="Q44">
        <v>15.9</v>
      </c>
      <c r="R44">
        <v>15.1</v>
      </c>
      <c r="S44">
        <f t="shared" si="1"/>
        <v>26</v>
      </c>
      <c r="T44" t="s">
        <v>74</v>
      </c>
      <c r="U44" t="str">
        <f t="shared" si="2"/>
        <v/>
      </c>
      <c r="V44">
        <f t="shared" si="0"/>
        <v>0.16600000000000001</v>
      </c>
      <c r="W44">
        <f t="shared" si="0"/>
        <v>0.16800000000000001</v>
      </c>
      <c r="X44">
        <f t="shared" si="0"/>
        <v>0.16399999999999998</v>
      </c>
      <c r="Y44">
        <f t="shared" si="0"/>
        <v>0.17100000000000001</v>
      </c>
      <c r="Z44">
        <f t="shared" si="0"/>
        <v>0.14499999999999999</v>
      </c>
      <c r="AA44">
        <f t="shared" si="0"/>
        <v>0.18600000000000003</v>
      </c>
      <c r="AB44">
        <f t="shared" si="0"/>
        <v>0.18100000000000002</v>
      </c>
      <c r="AC44">
        <f t="shared" si="0"/>
        <v>0.159</v>
      </c>
      <c r="AD44">
        <f t="shared" si="0"/>
        <v>0.151</v>
      </c>
    </row>
    <row r="45" spans="1:30" x14ac:dyDescent="0.25">
      <c r="A45">
        <v>429</v>
      </c>
      <c r="B45">
        <v>27</v>
      </c>
      <c r="C45">
        <v>0</v>
      </c>
      <c r="D45">
        <v>14</v>
      </c>
      <c r="E45">
        <v>10</v>
      </c>
      <c r="F45">
        <v>1</v>
      </c>
      <c r="G45">
        <v>9</v>
      </c>
      <c r="H45">
        <v>35</v>
      </c>
      <c r="I45">
        <v>-5.9</v>
      </c>
      <c r="J45">
        <v>18.8</v>
      </c>
      <c r="K45">
        <v>16.100000000000001</v>
      </c>
      <c r="L45">
        <v>22.8</v>
      </c>
      <c r="M45">
        <v>14.6</v>
      </c>
      <c r="N45">
        <v>15.5</v>
      </c>
      <c r="O45">
        <v>19.5</v>
      </c>
      <c r="P45">
        <v>18.100000000000001</v>
      </c>
      <c r="Q45">
        <v>17.2</v>
      </c>
      <c r="R45">
        <v>12.5</v>
      </c>
      <c r="S45">
        <f t="shared" si="1"/>
        <v>27</v>
      </c>
      <c r="T45" t="s">
        <v>75</v>
      </c>
      <c r="U45" t="str">
        <f t="shared" si="2"/>
        <v/>
      </c>
      <c r="V45">
        <f t="shared" si="0"/>
        <v>0.188</v>
      </c>
      <c r="W45">
        <f t="shared" si="0"/>
        <v>0.161</v>
      </c>
      <c r="X45">
        <f t="shared" si="0"/>
        <v>0.22800000000000001</v>
      </c>
      <c r="Y45">
        <f t="shared" si="0"/>
        <v>0.14599999999999999</v>
      </c>
      <c r="Z45">
        <f t="shared" si="0"/>
        <v>0.155</v>
      </c>
      <c r="AA45">
        <f t="shared" si="0"/>
        <v>0.19500000000000001</v>
      </c>
      <c r="AB45">
        <f t="shared" si="0"/>
        <v>0.18100000000000002</v>
      </c>
      <c r="AC45">
        <f t="shared" si="0"/>
        <v>0.17199999999999999</v>
      </c>
      <c r="AD45">
        <f t="shared" si="0"/>
        <v>0.125</v>
      </c>
    </row>
    <row r="46" spans="1:30" x14ac:dyDescent="0.25">
      <c r="A46">
        <v>428</v>
      </c>
      <c r="B46">
        <v>28</v>
      </c>
      <c r="C46">
        <v>0</v>
      </c>
      <c r="D46">
        <v>14</v>
      </c>
      <c r="E46">
        <v>10</v>
      </c>
      <c r="F46">
        <v>1</v>
      </c>
      <c r="G46">
        <v>9</v>
      </c>
      <c r="H46">
        <v>40</v>
      </c>
      <c r="I46">
        <v>15.6</v>
      </c>
      <c r="J46">
        <v>15.3</v>
      </c>
      <c r="K46">
        <v>14.8</v>
      </c>
      <c r="L46">
        <v>15.8</v>
      </c>
      <c r="M46">
        <v>18</v>
      </c>
      <c r="N46">
        <v>18.8</v>
      </c>
      <c r="O46">
        <v>19.600000000000001</v>
      </c>
      <c r="P46">
        <v>20.7</v>
      </c>
      <c r="Q46">
        <v>17.5</v>
      </c>
      <c r="R46">
        <v>14</v>
      </c>
      <c r="S46">
        <f t="shared" si="1"/>
        <v>28</v>
      </c>
      <c r="T46" t="s">
        <v>76</v>
      </c>
      <c r="U46">
        <f t="shared" si="2"/>
        <v>0.156</v>
      </c>
      <c r="V46">
        <f t="shared" si="0"/>
        <v>0.153</v>
      </c>
      <c r="W46">
        <f t="shared" si="0"/>
        <v>0.14800000000000002</v>
      </c>
      <c r="X46">
        <f t="shared" si="0"/>
        <v>0.158</v>
      </c>
      <c r="Y46">
        <f t="shared" si="0"/>
        <v>0.18</v>
      </c>
      <c r="Z46">
        <f t="shared" si="0"/>
        <v>0.188</v>
      </c>
      <c r="AA46">
        <f t="shared" si="0"/>
        <v>0.19600000000000001</v>
      </c>
      <c r="AB46">
        <f t="shared" si="0"/>
        <v>0.20699999999999999</v>
      </c>
      <c r="AC46">
        <f t="shared" si="0"/>
        <v>0.17499999999999999</v>
      </c>
      <c r="AD46">
        <f t="shared" si="0"/>
        <v>0.14000000000000001</v>
      </c>
    </row>
    <row r="47" spans="1:30" x14ac:dyDescent="0.25">
      <c r="A47">
        <v>426</v>
      </c>
      <c r="B47">
        <v>29</v>
      </c>
      <c r="C47">
        <v>0</v>
      </c>
      <c r="D47">
        <v>14</v>
      </c>
      <c r="E47">
        <v>10</v>
      </c>
      <c r="F47">
        <v>1</v>
      </c>
      <c r="G47">
        <v>9</v>
      </c>
      <c r="H47">
        <v>41</v>
      </c>
      <c r="I47">
        <v>-5.9</v>
      </c>
      <c r="J47">
        <v>31.2</v>
      </c>
      <c r="K47">
        <v>19.5</v>
      </c>
      <c r="L47">
        <v>21.4</v>
      </c>
      <c r="M47">
        <v>21.4</v>
      </c>
      <c r="N47">
        <v>20.7</v>
      </c>
      <c r="O47">
        <v>22</v>
      </c>
      <c r="P47">
        <v>18.8</v>
      </c>
      <c r="Q47">
        <v>18</v>
      </c>
      <c r="R47">
        <v>14.4</v>
      </c>
      <c r="S47">
        <f t="shared" si="1"/>
        <v>29</v>
      </c>
      <c r="T47" t="s">
        <v>53</v>
      </c>
      <c r="U47" t="str">
        <f t="shared" si="2"/>
        <v/>
      </c>
      <c r="V47">
        <f t="shared" si="0"/>
        <v>0.312</v>
      </c>
      <c r="W47">
        <f t="shared" si="0"/>
        <v>0.19500000000000001</v>
      </c>
      <c r="X47">
        <f t="shared" si="0"/>
        <v>0.214</v>
      </c>
      <c r="Y47">
        <f t="shared" ref="Y47:AD48" si="3">IF(M47&lt;0,"",M47/100)</f>
        <v>0.214</v>
      </c>
      <c r="Z47">
        <f t="shared" si="3"/>
        <v>0.20699999999999999</v>
      </c>
      <c r="AA47">
        <f t="shared" si="3"/>
        <v>0.22</v>
      </c>
      <c r="AB47">
        <f t="shared" si="3"/>
        <v>0.188</v>
      </c>
      <c r="AC47">
        <f t="shared" si="3"/>
        <v>0.18</v>
      </c>
      <c r="AD47">
        <f t="shared" si="3"/>
        <v>0.14400000000000002</v>
      </c>
    </row>
    <row r="48" spans="1:30" x14ac:dyDescent="0.25">
      <c r="A48">
        <v>425</v>
      </c>
      <c r="B48">
        <v>30</v>
      </c>
      <c r="C48">
        <v>0</v>
      </c>
      <c r="D48">
        <v>14</v>
      </c>
      <c r="E48">
        <v>10</v>
      </c>
      <c r="F48">
        <v>1</v>
      </c>
      <c r="G48">
        <v>9</v>
      </c>
      <c r="H48">
        <v>54</v>
      </c>
      <c r="I48">
        <v>-5.9</v>
      </c>
      <c r="J48">
        <v>29</v>
      </c>
      <c r="K48">
        <v>25.3</v>
      </c>
      <c r="L48">
        <v>20.6</v>
      </c>
      <c r="M48">
        <v>18.2</v>
      </c>
      <c r="N48">
        <v>17.5</v>
      </c>
      <c r="O48">
        <v>17</v>
      </c>
      <c r="P48">
        <v>20.399999999999999</v>
      </c>
      <c r="Q48">
        <v>15.2</v>
      </c>
      <c r="R48">
        <v>11.4</v>
      </c>
      <c r="S48">
        <f t="shared" si="1"/>
        <v>30</v>
      </c>
      <c r="T48" t="s">
        <v>77</v>
      </c>
      <c r="U48" t="str">
        <f t="shared" si="2"/>
        <v/>
      </c>
      <c r="V48">
        <f t="shared" si="2"/>
        <v>0.28999999999999998</v>
      </c>
      <c r="W48">
        <f t="shared" si="2"/>
        <v>0.253</v>
      </c>
      <c r="X48">
        <f t="shared" si="2"/>
        <v>0.20600000000000002</v>
      </c>
      <c r="Y48">
        <f t="shared" si="3"/>
        <v>0.182</v>
      </c>
      <c r="Z48">
        <f t="shared" si="3"/>
        <v>0.17499999999999999</v>
      </c>
      <c r="AA48">
        <f t="shared" si="3"/>
        <v>0.17</v>
      </c>
      <c r="AB48">
        <f t="shared" si="3"/>
        <v>0.20399999999999999</v>
      </c>
      <c r="AC48">
        <f t="shared" si="3"/>
        <v>0.152</v>
      </c>
      <c r="AD48">
        <f t="shared" si="3"/>
        <v>0.114</v>
      </c>
    </row>
    <row r="49" spans="1:30" x14ac:dyDescent="0.25">
      <c r="A49">
        <v>424</v>
      </c>
      <c r="B49">
        <v>31</v>
      </c>
      <c r="C49">
        <v>0</v>
      </c>
      <c r="D49">
        <v>14</v>
      </c>
      <c r="E49">
        <v>10</v>
      </c>
      <c r="F49">
        <v>1</v>
      </c>
      <c r="G49">
        <v>10</v>
      </c>
      <c r="H49">
        <v>0</v>
      </c>
      <c r="I49">
        <v>-5.9</v>
      </c>
      <c r="J49">
        <v>-5.9</v>
      </c>
      <c r="K49">
        <v>18</v>
      </c>
      <c r="L49">
        <v>16.2</v>
      </c>
      <c r="M49">
        <v>16.5</v>
      </c>
      <c r="N49">
        <v>17.5</v>
      </c>
      <c r="O49">
        <v>17.8</v>
      </c>
      <c r="P49">
        <v>18.7</v>
      </c>
      <c r="Q49">
        <v>14.9</v>
      </c>
      <c r="R49">
        <v>8.9</v>
      </c>
      <c r="S49">
        <f t="shared" si="1"/>
        <v>31</v>
      </c>
      <c r="T49" t="s">
        <v>54</v>
      </c>
      <c r="U49" t="str">
        <f t="shared" ref="U49:U54" si="4">IF(I49&lt;0,"",I49/100)</f>
        <v/>
      </c>
      <c r="V49" t="str">
        <f t="shared" ref="V49:V54" si="5">IF(J49&lt;0,"",J49/100)</f>
        <v/>
      </c>
      <c r="W49">
        <f t="shared" ref="W49:W54" si="6">IF(K49&lt;0,"",K49/100)</f>
        <v>0.18</v>
      </c>
      <c r="X49">
        <f t="shared" ref="X49:X54" si="7">IF(L49&lt;0,"",L49/100)</f>
        <v>0.16200000000000001</v>
      </c>
      <c r="Y49">
        <f t="shared" ref="Y49:Y54" si="8">IF(M49&lt;0,"",M49/100)</f>
        <v>0.16500000000000001</v>
      </c>
      <c r="Z49">
        <f t="shared" ref="Z49:Z54" si="9">IF(N49&lt;0,"",N49/100)</f>
        <v>0.17499999999999999</v>
      </c>
      <c r="AA49">
        <f t="shared" ref="AA49:AA54" si="10">IF(O49&lt;0,"",O49/100)</f>
        <v>0.17800000000000002</v>
      </c>
      <c r="AB49">
        <f t="shared" ref="AB49:AB54" si="11">IF(P49&lt;0,"",P49/100)</f>
        <v>0.187</v>
      </c>
      <c r="AC49">
        <f t="shared" ref="AC49:AC54" si="12">IF(Q49&lt;0,"",Q49/100)</f>
        <v>0.14899999999999999</v>
      </c>
      <c r="AD49">
        <f t="shared" ref="AD49:AD54" si="13">IF(R49&lt;0,"",R49/100)</f>
        <v>8.900000000000001E-2</v>
      </c>
    </row>
    <row r="50" spans="1:30" x14ac:dyDescent="0.25">
      <c r="A50">
        <v>423</v>
      </c>
      <c r="B50">
        <v>32</v>
      </c>
      <c r="C50">
        <v>0</v>
      </c>
      <c r="D50">
        <v>14</v>
      </c>
      <c r="E50">
        <v>10</v>
      </c>
      <c r="F50">
        <v>1</v>
      </c>
      <c r="G50">
        <v>10</v>
      </c>
      <c r="H50">
        <v>4</v>
      </c>
      <c r="I50">
        <v>-5.9</v>
      </c>
      <c r="J50">
        <v>19.2</v>
      </c>
      <c r="K50">
        <v>15.7</v>
      </c>
      <c r="L50">
        <v>16.7</v>
      </c>
      <c r="M50">
        <v>18.100000000000001</v>
      </c>
      <c r="N50">
        <v>18</v>
      </c>
      <c r="O50">
        <v>17.899999999999999</v>
      </c>
      <c r="P50">
        <v>16.100000000000001</v>
      </c>
      <c r="Q50">
        <v>15.2</v>
      </c>
      <c r="R50">
        <v>11.8</v>
      </c>
      <c r="S50">
        <f t="shared" si="1"/>
        <v>32</v>
      </c>
      <c r="T50" t="s">
        <v>78</v>
      </c>
      <c r="U50" t="str">
        <f t="shared" si="4"/>
        <v/>
      </c>
      <c r="V50">
        <f t="shared" si="5"/>
        <v>0.192</v>
      </c>
      <c r="W50">
        <f t="shared" si="6"/>
        <v>0.157</v>
      </c>
      <c r="X50">
        <f t="shared" si="7"/>
        <v>0.16699999999999998</v>
      </c>
      <c r="Y50">
        <f t="shared" si="8"/>
        <v>0.18100000000000002</v>
      </c>
      <c r="Z50">
        <f t="shared" si="9"/>
        <v>0.18</v>
      </c>
      <c r="AA50">
        <f t="shared" si="10"/>
        <v>0.17899999999999999</v>
      </c>
      <c r="AB50">
        <f t="shared" si="11"/>
        <v>0.161</v>
      </c>
      <c r="AC50">
        <f t="shared" si="12"/>
        <v>0.152</v>
      </c>
      <c r="AD50">
        <f t="shared" si="13"/>
        <v>0.11800000000000001</v>
      </c>
    </row>
    <row r="51" spans="1:30" x14ac:dyDescent="0.25">
      <c r="A51">
        <v>422</v>
      </c>
      <c r="B51">
        <v>33</v>
      </c>
      <c r="C51">
        <v>0</v>
      </c>
      <c r="D51">
        <v>14</v>
      </c>
      <c r="E51">
        <v>10</v>
      </c>
      <c r="F51">
        <v>1</v>
      </c>
      <c r="G51">
        <v>10</v>
      </c>
      <c r="H51">
        <v>0</v>
      </c>
      <c r="I51">
        <v>-5.9</v>
      </c>
      <c r="J51">
        <v>16.2</v>
      </c>
      <c r="K51">
        <v>15.1</v>
      </c>
      <c r="L51">
        <v>16.600000000000001</v>
      </c>
      <c r="M51">
        <v>19.100000000000001</v>
      </c>
      <c r="N51">
        <v>20.399999999999999</v>
      </c>
      <c r="O51">
        <v>19.399999999999999</v>
      </c>
      <c r="P51">
        <v>18.600000000000001</v>
      </c>
      <c r="Q51">
        <v>16.7</v>
      </c>
      <c r="R51">
        <v>13.7</v>
      </c>
      <c r="S51">
        <f t="shared" si="1"/>
        <v>33</v>
      </c>
      <c r="T51" t="s">
        <v>79</v>
      </c>
      <c r="U51" t="str">
        <f t="shared" si="4"/>
        <v/>
      </c>
      <c r="V51">
        <f t="shared" si="5"/>
        <v>0.16200000000000001</v>
      </c>
      <c r="W51">
        <f t="shared" si="6"/>
        <v>0.151</v>
      </c>
      <c r="X51">
        <f t="shared" si="7"/>
        <v>0.16600000000000001</v>
      </c>
      <c r="Y51">
        <f t="shared" si="8"/>
        <v>0.191</v>
      </c>
      <c r="Z51">
        <f t="shared" si="9"/>
        <v>0.20399999999999999</v>
      </c>
      <c r="AA51">
        <f t="shared" si="10"/>
        <v>0.19399999999999998</v>
      </c>
      <c r="AB51">
        <f t="shared" si="11"/>
        <v>0.18600000000000003</v>
      </c>
      <c r="AC51">
        <f t="shared" si="12"/>
        <v>0.16699999999999998</v>
      </c>
      <c r="AD51">
        <f t="shared" si="13"/>
        <v>0.13699999999999998</v>
      </c>
    </row>
    <row r="52" spans="1:30" x14ac:dyDescent="0.25">
      <c r="A52">
        <v>421</v>
      </c>
      <c r="B52">
        <v>34</v>
      </c>
      <c r="C52">
        <v>0</v>
      </c>
      <c r="D52">
        <v>14</v>
      </c>
      <c r="E52">
        <v>10</v>
      </c>
      <c r="F52">
        <v>1</v>
      </c>
      <c r="G52">
        <v>10</v>
      </c>
      <c r="H52">
        <v>13</v>
      </c>
      <c r="I52">
        <v>-5.9</v>
      </c>
      <c r="J52">
        <v>-5.9</v>
      </c>
      <c r="K52">
        <v>19.3</v>
      </c>
      <c r="L52">
        <v>20.2</v>
      </c>
      <c r="M52">
        <v>19</v>
      </c>
      <c r="N52">
        <v>21</v>
      </c>
      <c r="O52">
        <v>21.4</v>
      </c>
      <c r="P52">
        <v>16.7</v>
      </c>
      <c r="Q52">
        <v>15.8</v>
      </c>
      <c r="R52">
        <v>13.7</v>
      </c>
      <c r="S52">
        <f t="shared" si="1"/>
        <v>34</v>
      </c>
      <c r="T52" t="s">
        <v>80</v>
      </c>
      <c r="U52" t="str">
        <f t="shared" si="4"/>
        <v/>
      </c>
      <c r="V52" t="str">
        <f t="shared" si="5"/>
        <v/>
      </c>
      <c r="W52">
        <f t="shared" si="6"/>
        <v>0.193</v>
      </c>
      <c r="X52">
        <f t="shared" si="7"/>
        <v>0.20199999999999999</v>
      </c>
      <c r="Y52">
        <f t="shared" si="8"/>
        <v>0.19</v>
      </c>
      <c r="Z52">
        <f t="shared" si="9"/>
        <v>0.21</v>
      </c>
      <c r="AA52">
        <f t="shared" si="10"/>
        <v>0.214</v>
      </c>
      <c r="AB52">
        <f t="shared" si="11"/>
        <v>0.16699999999999998</v>
      </c>
      <c r="AC52">
        <f t="shared" si="12"/>
        <v>0.158</v>
      </c>
      <c r="AD52">
        <f t="shared" si="13"/>
        <v>0.13699999999999998</v>
      </c>
    </row>
    <row r="53" spans="1:30" x14ac:dyDescent="0.25">
      <c r="A53">
        <v>420</v>
      </c>
      <c r="B53">
        <v>35</v>
      </c>
      <c r="C53">
        <v>0</v>
      </c>
      <c r="D53">
        <v>14</v>
      </c>
      <c r="E53">
        <v>10</v>
      </c>
      <c r="F53">
        <v>1</v>
      </c>
      <c r="G53">
        <v>10</v>
      </c>
      <c r="H53">
        <v>17</v>
      </c>
      <c r="I53">
        <v>-5.9</v>
      </c>
      <c r="J53">
        <v>24.2</v>
      </c>
      <c r="K53">
        <v>21.6</v>
      </c>
      <c r="L53">
        <v>19.399999999999999</v>
      </c>
      <c r="M53">
        <v>19.899999999999999</v>
      </c>
      <c r="N53">
        <v>18.7</v>
      </c>
      <c r="O53">
        <v>16</v>
      </c>
      <c r="P53">
        <v>14.4</v>
      </c>
      <c r="Q53">
        <v>14.6</v>
      </c>
      <c r="R53">
        <v>12.3</v>
      </c>
      <c r="S53">
        <f t="shared" si="1"/>
        <v>35</v>
      </c>
      <c r="T53" t="s">
        <v>81</v>
      </c>
      <c r="U53" t="str">
        <f t="shared" si="4"/>
        <v/>
      </c>
      <c r="V53">
        <f t="shared" si="5"/>
        <v>0.24199999999999999</v>
      </c>
      <c r="W53">
        <f t="shared" si="6"/>
        <v>0.21600000000000003</v>
      </c>
      <c r="X53">
        <f t="shared" si="7"/>
        <v>0.19399999999999998</v>
      </c>
      <c r="Y53">
        <f t="shared" si="8"/>
        <v>0.19899999999999998</v>
      </c>
      <c r="Z53">
        <f t="shared" si="9"/>
        <v>0.187</v>
      </c>
      <c r="AA53">
        <f t="shared" si="10"/>
        <v>0.16</v>
      </c>
      <c r="AB53">
        <f t="shared" si="11"/>
        <v>0.14400000000000002</v>
      </c>
      <c r="AC53">
        <f t="shared" si="12"/>
        <v>0.14599999999999999</v>
      </c>
      <c r="AD53">
        <f t="shared" si="13"/>
        <v>0.12300000000000001</v>
      </c>
    </row>
    <row r="54" spans="1:30" x14ac:dyDescent="0.25">
      <c r="A54">
        <v>419</v>
      </c>
      <c r="B54">
        <v>36</v>
      </c>
      <c r="C54">
        <v>0</v>
      </c>
      <c r="D54">
        <v>14</v>
      </c>
      <c r="E54">
        <v>10</v>
      </c>
      <c r="F54">
        <v>1</v>
      </c>
      <c r="G54">
        <v>10</v>
      </c>
      <c r="H54">
        <v>21</v>
      </c>
      <c r="I54">
        <v>-5.9</v>
      </c>
      <c r="J54">
        <v>22</v>
      </c>
      <c r="K54">
        <v>24.9</v>
      </c>
      <c r="L54">
        <v>24.9</v>
      </c>
      <c r="M54">
        <v>17.600000000000001</v>
      </c>
      <c r="N54">
        <v>20.6</v>
      </c>
      <c r="O54">
        <v>18.600000000000001</v>
      </c>
      <c r="P54">
        <v>16.7</v>
      </c>
      <c r="Q54">
        <v>15.1</v>
      </c>
      <c r="R54">
        <v>12</v>
      </c>
      <c r="S54">
        <f t="shared" si="1"/>
        <v>36</v>
      </c>
      <c r="T54" t="s">
        <v>73</v>
      </c>
      <c r="U54" t="str">
        <f t="shared" si="4"/>
        <v/>
      </c>
      <c r="V54">
        <f t="shared" si="5"/>
        <v>0.22</v>
      </c>
      <c r="W54">
        <f t="shared" si="6"/>
        <v>0.249</v>
      </c>
      <c r="X54">
        <f t="shared" si="7"/>
        <v>0.249</v>
      </c>
      <c r="Y54">
        <f t="shared" si="8"/>
        <v>0.17600000000000002</v>
      </c>
      <c r="Z54">
        <f t="shared" si="9"/>
        <v>0.20600000000000002</v>
      </c>
      <c r="AA54">
        <f t="shared" si="10"/>
        <v>0.18600000000000003</v>
      </c>
      <c r="AB54">
        <f t="shared" si="11"/>
        <v>0.16699999999999998</v>
      </c>
      <c r="AC54">
        <f t="shared" si="12"/>
        <v>0.151</v>
      </c>
      <c r="AD54">
        <f t="shared" si="13"/>
        <v>0.12</v>
      </c>
    </row>
    <row r="57" spans="1:30" x14ac:dyDescent="0.25">
      <c r="A57" s="2">
        <v>41913</v>
      </c>
    </row>
    <row r="58" spans="1:30" x14ac:dyDescent="0.25">
      <c r="A58" t="s">
        <v>3</v>
      </c>
      <c r="B58">
        <v>6116</v>
      </c>
      <c r="C58" t="s">
        <v>4</v>
      </c>
      <c r="D58">
        <v>12978</v>
      </c>
      <c r="E58">
        <v>0</v>
      </c>
      <c r="F58">
        <v>10</v>
      </c>
    </row>
    <row r="59" spans="1:30" x14ac:dyDescent="0.25">
      <c r="A59">
        <v>0</v>
      </c>
      <c r="B59">
        <v>11</v>
      </c>
      <c r="C59">
        <v>8</v>
      </c>
      <c r="D59">
        <v>25</v>
      </c>
      <c r="E59">
        <v>21.641999999999999</v>
      </c>
      <c r="F59">
        <v>-4.968</v>
      </c>
      <c r="G59" t="s">
        <v>24</v>
      </c>
    </row>
    <row r="60" spans="1:30" x14ac:dyDescent="0.25">
      <c r="A60">
        <v>1</v>
      </c>
      <c r="B60">
        <v>95</v>
      </c>
      <c r="C60">
        <v>36280</v>
      </c>
      <c r="D60">
        <v>72</v>
      </c>
      <c r="E60">
        <v>0</v>
      </c>
      <c r="F60">
        <v>0</v>
      </c>
    </row>
    <row r="61" spans="1:30" x14ac:dyDescent="0.25">
      <c r="A61">
        <v>2</v>
      </c>
      <c r="B61">
        <v>95</v>
      </c>
      <c r="C61">
        <v>36280</v>
      </c>
      <c r="D61">
        <v>72</v>
      </c>
      <c r="E61">
        <v>0</v>
      </c>
      <c r="F61">
        <v>0</v>
      </c>
    </row>
    <row r="62" spans="1:30" x14ac:dyDescent="0.25">
      <c r="A62">
        <v>3</v>
      </c>
      <c r="B62">
        <v>95</v>
      </c>
      <c r="C62">
        <v>36280</v>
      </c>
      <c r="D62">
        <v>72</v>
      </c>
      <c r="E62">
        <v>0</v>
      </c>
      <c r="F62">
        <v>0</v>
      </c>
    </row>
    <row r="63" spans="1:30" x14ac:dyDescent="0.25">
      <c r="A63">
        <v>4</v>
      </c>
      <c r="B63">
        <v>95</v>
      </c>
      <c r="C63">
        <v>36280</v>
      </c>
      <c r="D63">
        <v>72</v>
      </c>
      <c r="E63">
        <v>0</v>
      </c>
      <c r="F63">
        <v>0</v>
      </c>
    </row>
    <row r="64" spans="1:30" x14ac:dyDescent="0.25">
      <c r="A64">
        <v>5</v>
      </c>
      <c r="B64">
        <v>95</v>
      </c>
      <c r="C64">
        <v>36280</v>
      </c>
      <c r="D64">
        <v>72</v>
      </c>
      <c r="E64">
        <v>0</v>
      </c>
      <c r="F64">
        <v>0</v>
      </c>
    </row>
    <row r="65" spans="1:30" x14ac:dyDescent="0.25">
      <c r="A65">
        <v>6</v>
      </c>
      <c r="B65">
        <v>95</v>
      </c>
      <c r="C65">
        <v>36280</v>
      </c>
      <c r="D65">
        <v>72</v>
      </c>
      <c r="E65">
        <v>0</v>
      </c>
      <c r="F65">
        <v>0</v>
      </c>
    </row>
    <row r="66" spans="1:30" x14ac:dyDescent="0.25">
      <c r="A66">
        <v>7</v>
      </c>
      <c r="B66">
        <v>95</v>
      </c>
      <c r="C66">
        <v>36280</v>
      </c>
      <c r="D66">
        <v>72</v>
      </c>
      <c r="E66">
        <v>0</v>
      </c>
      <c r="F66">
        <v>0</v>
      </c>
    </row>
    <row r="67" spans="1:30" x14ac:dyDescent="0.25">
      <c r="A67">
        <v>8</v>
      </c>
      <c r="B67">
        <v>95</v>
      </c>
      <c r="C67">
        <v>36280</v>
      </c>
      <c r="D67">
        <v>72</v>
      </c>
      <c r="E67">
        <v>0</v>
      </c>
      <c r="F67">
        <v>0</v>
      </c>
    </row>
    <row r="68" spans="1:30" x14ac:dyDescent="0.25">
      <c r="A68">
        <v>9</v>
      </c>
      <c r="B68">
        <v>95</v>
      </c>
      <c r="C68">
        <v>36280</v>
      </c>
      <c r="D68">
        <v>72</v>
      </c>
      <c r="E68">
        <v>0</v>
      </c>
      <c r="F68">
        <v>0</v>
      </c>
    </row>
    <row r="69" spans="1:30" x14ac:dyDescent="0.25">
      <c r="A69">
        <v>10</v>
      </c>
      <c r="B69">
        <v>95</v>
      </c>
      <c r="C69">
        <v>36280</v>
      </c>
      <c r="D69">
        <v>72</v>
      </c>
      <c r="E69">
        <v>0</v>
      </c>
      <c r="F69">
        <v>0</v>
      </c>
    </row>
    <row r="70" spans="1:30" x14ac:dyDescent="0.25">
      <c r="A70">
        <v>11</v>
      </c>
      <c r="B70">
        <v>95</v>
      </c>
      <c r="C70">
        <v>36280</v>
      </c>
      <c r="D70">
        <v>72</v>
      </c>
      <c r="E70">
        <v>0</v>
      </c>
      <c r="F70">
        <v>0</v>
      </c>
    </row>
    <row r="71" spans="1:30" x14ac:dyDescent="0.25">
      <c r="A71">
        <v>12</v>
      </c>
      <c r="B71">
        <v>95</v>
      </c>
      <c r="C71">
        <v>36280</v>
      </c>
      <c r="D71">
        <v>72</v>
      </c>
      <c r="E71">
        <v>0</v>
      </c>
      <c r="F71">
        <v>0</v>
      </c>
    </row>
    <row r="72" spans="1:30" x14ac:dyDescent="0.25">
      <c r="A72">
        <v>13</v>
      </c>
      <c r="B72">
        <v>95</v>
      </c>
      <c r="C72">
        <v>36280</v>
      </c>
      <c r="D72">
        <v>72</v>
      </c>
      <c r="E72">
        <v>0</v>
      </c>
      <c r="F72">
        <v>0</v>
      </c>
    </row>
    <row r="73" spans="1:30" x14ac:dyDescent="0.25">
      <c r="A73">
        <v>14</v>
      </c>
      <c r="B73">
        <v>95</v>
      </c>
      <c r="C73">
        <v>36280</v>
      </c>
      <c r="D73">
        <v>72</v>
      </c>
      <c r="E73">
        <v>0</v>
      </c>
      <c r="F73">
        <v>0</v>
      </c>
    </row>
    <row r="74" spans="1:30" x14ac:dyDescent="0.25">
      <c r="A74">
        <v>15</v>
      </c>
      <c r="B74">
        <v>95</v>
      </c>
      <c r="C74">
        <v>36280</v>
      </c>
      <c r="D74">
        <v>72</v>
      </c>
      <c r="E74">
        <v>0</v>
      </c>
      <c r="F74">
        <v>0</v>
      </c>
      <c r="S74" t="s">
        <v>0</v>
      </c>
      <c r="T74" t="s">
        <v>28</v>
      </c>
      <c r="U74">
        <v>190</v>
      </c>
      <c r="V74">
        <v>170</v>
      </c>
      <c r="W74">
        <v>150</v>
      </c>
      <c r="X74">
        <v>130</v>
      </c>
      <c r="Y74">
        <v>110</v>
      </c>
      <c r="Z74">
        <v>90</v>
      </c>
      <c r="AA74">
        <v>70</v>
      </c>
      <c r="AB74">
        <v>50</v>
      </c>
      <c r="AC74">
        <v>30</v>
      </c>
      <c r="AD74">
        <v>10</v>
      </c>
    </row>
    <row r="75" spans="1:30" x14ac:dyDescent="0.25">
      <c r="A75">
        <v>455</v>
      </c>
      <c r="B75">
        <v>66</v>
      </c>
      <c r="C75">
        <v>0</v>
      </c>
      <c r="D75">
        <v>14</v>
      </c>
      <c r="E75">
        <v>10</v>
      </c>
      <c r="F75">
        <v>1</v>
      </c>
      <c r="G75">
        <v>7</v>
      </c>
      <c r="H75">
        <v>47</v>
      </c>
      <c r="I75">
        <v>17.600000000000001</v>
      </c>
      <c r="J75">
        <v>19</v>
      </c>
      <c r="K75">
        <v>16.3</v>
      </c>
      <c r="L75">
        <v>13.8</v>
      </c>
      <c r="M75">
        <v>13.1</v>
      </c>
      <c r="N75">
        <v>13.6</v>
      </c>
      <c r="O75">
        <v>13.4</v>
      </c>
      <c r="P75">
        <v>13.4</v>
      </c>
      <c r="Q75">
        <v>14.2</v>
      </c>
      <c r="R75">
        <v>13.5</v>
      </c>
      <c r="S75">
        <f>B75</f>
        <v>66</v>
      </c>
      <c r="T75" t="s">
        <v>50</v>
      </c>
      <c r="U75">
        <f>IF(I75&lt;0,"",I75/100)</f>
        <v>0.17600000000000002</v>
      </c>
      <c r="V75">
        <f t="shared" ref="V75:AD103" si="14">IF(J75&lt;0,"",J75/100)</f>
        <v>0.19</v>
      </c>
      <c r="W75">
        <f t="shared" si="14"/>
        <v>0.16300000000000001</v>
      </c>
      <c r="X75">
        <f t="shared" si="14"/>
        <v>0.13800000000000001</v>
      </c>
      <c r="Y75">
        <f t="shared" si="14"/>
        <v>0.13100000000000001</v>
      </c>
      <c r="Z75">
        <f t="shared" si="14"/>
        <v>0.13600000000000001</v>
      </c>
      <c r="AA75">
        <f t="shared" si="14"/>
        <v>0.13400000000000001</v>
      </c>
      <c r="AB75">
        <f t="shared" si="14"/>
        <v>0.13400000000000001</v>
      </c>
      <c r="AC75">
        <f t="shared" si="14"/>
        <v>0.14199999999999999</v>
      </c>
      <c r="AD75">
        <f t="shared" si="14"/>
        <v>0.13500000000000001</v>
      </c>
    </row>
    <row r="76" spans="1:30" x14ac:dyDescent="0.25">
      <c r="A76">
        <v>454</v>
      </c>
      <c r="B76">
        <v>65</v>
      </c>
      <c r="C76">
        <v>0</v>
      </c>
      <c r="D76">
        <v>14</v>
      </c>
      <c r="E76">
        <v>10</v>
      </c>
      <c r="F76">
        <v>1</v>
      </c>
      <c r="G76">
        <v>7</v>
      </c>
      <c r="H76">
        <v>55</v>
      </c>
      <c r="I76">
        <v>16.7</v>
      </c>
      <c r="J76">
        <v>19.100000000000001</v>
      </c>
      <c r="K76">
        <v>19.2</v>
      </c>
      <c r="L76">
        <v>17.600000000000001</v>
      </c>
      <c r="M76">
        <v>15.4</v>
      </c>
      <c r="N76">
        <v>14.6</v>
      </c>
      <c r="O76">
        <v>13</v>
      </c>
      <c r="P76">
        <v>14.2</v>
      </c>
      <c r="Q76">
        <v>15.5</v>
      </c>
      <c r="R76">
        <v>12.8</v>
      </c>
      <c r="S76">
        <f t="shared" ref="S76:S104" si="15">B76</f>
        <v>65</v>
      </c>
      <c r="T76" t="s">
        <v>49</v>
      </c>
      <c r="U76">
        <f t="shared" ref="U76:X104" si="16">IF(I76&lt;0,"",I76/100)</f>
        <v>0.16699999999999998</v>
      </c>
      <c r="V76">
        <f t="shared" si="14"/>
        <v>0.191</v>
      </c>
      <c r="W76">
        <f t="shared" si="14"/>
        <v>0.192</v>
      </c>
      <c r="X76">
        <f t="shared" si="14"/>
        <v>0.17600000000000002</v>
      </c>
      <c r="Y76">
        <f t="shared" si="14"/>
        <v>0.154</v>
      </c>
      <c r="Z76">
        <f t="shared" si="14"/>
        <v>0.14599999999999999</v>
      </c>
      <c r="AA76">
        <f t="shared" si="14"/>
        <v>0.13</v>
      </c>
      <c r="AB76">
        <f t="shared" si="14"/>
        <v>0.14199999999999999</v>
      </c>
      <c r="AC76">
        <f t="shared" si="14"/>
        <v>0.155</v>
      </c>
      <c r="AD76">
        <f t="shared" si="14"/>
        <v>0.128</v>
      </c>
    </row>
    <row r="77" spans="1:30" x14ac:dyDescent="0.25">
      <c r="A77">
        <v>453</v>
      </c>
      <c r="B77">
        <v>64</v>
      </c>
      <c r="C77">
        <v>0</v>
      </c>
      <c r="D77">
        <v>14</v>
      </c>
      <c r="E77">
        <v>10</v>
      </c>
      <c r="F77">
        <v>1</v>
      </c>
      <c r="G77">
        <v>8</v>
      </c>
      <c r="H77">
        <v>0</v>
      </c>
      <c r="I77">
        <v>12.3</v>
      </c>
      <c r="J77">
        <v>11.2</v>
      </c>
      <c r="K77">
        <v>9.4</v>
      </c>
      <c r="L77">
        <v>8.6</v>
      </c>
      <c r="M77">
        <v>7.3</v>
      </c>
      <c r="N77">
        <v>8.3000000000000007</v>
      </c>
      <c r="O77">
        <v>9.3000000000000007</v>
      </c>
      <c r="P77">
        <v>14.6</v>
      </c>
      <c r="Q77">
        <v>15.7</v>
      </c>
      <c r="R77">
        <v>13.5</v>
      </c>
      <c r="S77">
        <f t="shared" si="15"/>
        <v>64</v>
      </c>
      <c r="T77" t="s">
        <v>48</v>
      </c>
      <c r="U77">
        <f t="shared" si="16"/>
        <v>0.12300000000000001</v>
      </c>
      <c r="V77">
        <f t="shared" si="14"/>
        <v>0.11199999999999999</v>
      </c>
      <c r="W77">
        <f t="shared" si="14"/>
        <v>9.4E-2</v>
      </c>
      <c r="X77">
        <f t="shared" si="14"/>
        <v>8.5999999999999993E-2</v>
      </c>
      <c r="Y77">
        <f t="shared" si="14"/>
        <v>7.2999999999999995E-2</v>
      </c>
      <c r="Z77">
        <f t="shared" si="14"/>
        <v>8.3000000000000004E-2</v>
      </c>
      <c r="AA77">
        <f t="shared" si="14"/>
        <v>9.3000000000000013E-2</v>
      </c>
      <c r="AB77">
        <f t="shared" si="14"/>
        <v>0.14599999999999999</v>
      </c>
      <c r="AC77">
        <f t="shared" si="14"/>
        <v>0.157</v>
      </c>
      <c r="AD77">
        <f t="shared" si="14"/>
        <v>0.13500000000000001</v>
      </c>
    </row>
    <row r="78" spans="1:30" x14ac:dyDescent="0.25">
      <c r="A78">
        <v>452</v>
      </c>
      <c r="B78">
        <v>63</v>
      </c>
      <c r="C78">
        <v>0</v>
      </c>
      <c r="D78">
        <v>14</v>
      </c>
      <c r="E78">
        <v>10</v>
      </c>
      <c r="F78">
        <v>1</v>
      </c>
      <c r="G78">
        <v>8</v>
      </c>
      <c r="H78">
        <v>6</v>
      </c>
      <c r="I78">
        <v>19.5</v>
      </c>
      <c r="J78">
        <v>18.100000000000001</v>
      </c>
      <c r="K78">
        <v>17.399999999999999</v>
      </c>
      <c r="L78">
        <v>16</v>
      </c>
      <c r="M78">
        <v>15.4</v>
      </c>
      <c r="N78">
        <v>15.9</v>
      </c>
      <c r="O78">
        <v>16</v>
      </c>
      <c r="P78">
        <v>17.5</v>
      </c>
      <c r="Q78">
        <v>16.399999999999999</v>
      </c>
      <c r="R78">
        <v>13.5</v>
      </c>
      <c r="S78">
        <f t="shared" si="15"/>
        <v>63</v>
      </c>
      <c r="T78" t="s">
        <v>47</v>
      </c>
      <c r="U78">
        <f t="shared" si="16"/>
        <v>0.19500000000000001</v>
      </c>
      <c r="V78">
        <f t="shared" si="14"/>
        <v>0.18100000000000002</v>
      </c>
      <c r="W78">
        <f t="shared" si="14"/>
        <v>0.17399999999999999</v>
      </c>
      <c r="X78">
        <f t="shared" si="14"/>
        <v>0.16</v>
      </c>
      <c r="Y78">
        <f t="shared" si="14"/>
        <v>0.154</v>
      </c>
      <c r="Z78">
        <f t="shared" si="14"/>
        <v>0.159</v>
      </c>
      <c r="AA78">
        <f t="shared" si="14"/>
        <v>0.16</v>
      </c>
      <c r="AB78">
        <f t="shared" si="14"/>
        <v>0.17499999999999999</v>
      </c>
      <c r="AC78">
        <f t="shared" si="14"/>
        <v>0.16399999999999998</v>
      </c>
      <c r="AD78">
        <f t="shared" si="14"/>
        <v>0.13500000000000001</v>
      </c>
    </row>
    <row r="79" spans="1:30" x14ac:dyDescent="0.25">
      <c r="A79">
        <v>451</v>
      </c>
      <c r="B79">
        <v>62</v>
      </c>
      <c r="C79">
        <v>0</v>
      </c>
      <c r="D79">
        <v>14</v>
      </c>
      <c r="E79">
        <v>10</v>
      </c>
      <c r="F79">
        <v>1</v>
      </c>
      <c r="G79">
        <v>8</v>
      </c>
      <c r="H79">
        <v>11</v>
      </c>
      <c r="I79">
        <v>22.4</v>
      </c>
      <c r="J79">
        <v>22.1</v>
      </c>
      <c r="K79">
        <v>20.7</v>
      </c>
      <c r="L79">
        <v>19.2</v>
      </c>
      <c r="M79">
        <v>18.399999999999999</v>
      </c>
      <c r="N79">
        <v>19</v>
      </c>
      <c r="O79">
        <v>18.600000000000001</v>
      </c>
      <c r="P79">
        <v>18.100000000000001</v>
      </c>
      <c r="Q79">
        <v>16.399999999999999</v>
      </c>
      <c r="R79">
        <v>14.1</v>
      </c>
      <c r="S79">
        <f t="shared" si="15"/>
        <v>62</v>
      </c>
      <c r="T79" t="s">
        <v>46</v>
      </c>
      <c r="U79">
        <f t="shared" si="16"/>
        <v>0.22399999999999998</v>
      </c>
      <c r="V79">
        <f t="shared" si="14"/>
        <v>0.221</v>
      </c>
      <c r="W79">
        <f t="shared" si="14"/>
        <v>0.20699999999999999</v>
      </c>
      <c r="X79">
        <f t="shared" si="14"/>
        <v>0.192</v>
      </c>
      <c r="Y79">
        <f t="shared" si="14"/>
        <v>0.184</v>
      </c>
      <c r="Z79">
        <f t="shared" si="14"/>
        <v>0.19</v>
      </c>
      <c r="AA79">
        <f t="shared" si="14"/>
        <v>0.18600000000000003</v>
      </c>
      <c r="AB79">
        <f t="shared" si="14"/>
        <v>0.18100000000000002</v>
      </c>
      <c r="AC79">
        <f t="shared" si="14"/>
        <v>0.16399999999999998</v>
      </c>
      <c r="AD79">
        <f t="shared" si="14"/>
        <v>0.14099999999999999</v>
      </c>
    </row>
    <row r="80" spans="1:30" x14ac:dyDescent="0.25">
      <c r="A80">
        <v>450</v>
      </c>
      <c r="B80">
        <v>61</v>
      </c>
      <c r="C80">
        <v>0</v>
      </c>
      <c r="D80">
        <v>14</v>
      </c>
      <c r="E80">
        <v>10</v>
      </c>
      <c r="F80">
        <v>1</v>
      </c>
      <c r="G80">
        <v>8</v>
      </c>
      <c r="H80">
        <v>16</v>
      </c>
      <c r="I80">
        <v>-5</v>
      </c>
      <c r="J80">
        <v>21.4</v>
      </c>
      <c r="K80">
        <v>21.5</v>
      </c>
      <c r="L80">
        <v>21.6</v>
      </c>
      <c r="M80">
        <v>19</v>
      </c>
      <c r="N80">
        <v>16.8</v>
      </c>
      <c r="O80">
        <v>15.6</v>
      </c>
      <c r="P80">
        <v>15.6</v>
      </c>
      <c r="Q80">
        <v>15.1</v>
      </c>
      <c r="R80">
        <v>14</v>
      </c>
      <c r="S80">
        <f t="shared" si="15"/>
        <v>61</v>
      </c>
      <c r="T80" t="s">
        <v>45</v>
      </c>
      <c r="U80" t="str">
        <f t="shared" si="16"/>
        <v/>
      </c>
      <c r="V80">
        <f t="shared" si="14"/>
        <v>0.214</v>
      </c>
      <c r="W80">
        <f t="shared" si="14"/>
        <v>0.215</v>
      </c>
      <c r="X80">
        <f t="shared" si="14"/>
        <v>0.21600000000000003</v>
      </c>
      <c r="Y80">
        <f t="shared" si="14"/>
        <v>0.19</v>
      </c>
      <c r="Z80">
        <f t="shared" si="14"/>
        <v>0.16800000000000001</v>
      </c>
      <c r="AA80">
        <f t="shared" si="14"/>
        <v>0.156</v>
      </c>
      <c r="AB80">
        <f t="shared" si="14"/>
        <v>0.156</v>
      </c>
      <c r="AC80">
        <f t="shared" si="14"/>
        <v>0.151</v>
      </c>
      <c r="AD80">
        <f t="shared" si="14"/>
        <v>0.14000000000000001</v>
      </c>
    </row>
    <row r="81" spans="1:30" x14ac:dyDescent="0.25">
      <c r="A81">
        <v>449</v>
      </c>
      <c r="B81">
        <v>60</v>
      </c>
      <c r="C81">
        <v>0</v>
      </c>
      <c r="D81">
        <v>14</v>
      </c>
      <c r="E81">
        <v>10</v>
      </c>
      <c r="F81">
        <v>1</v>
      </c>
      <c r="G81">
        <v>8</v>
      </c>
      <c r="H81">
        <v>31</v>
      </c>
      <c r="I81">
        <v>-5</v>
      </c>
      <c r="J81">
        <v>15.3</v>
      </c>
      <c r="K81">
        <v>13.8</v>
      </c>
      <c r="L81">
        <v>14.9</v>
      </c>
      <c r="M81">
        <v>14.4</v>
      </c>
      <c r="N81">
        <v>11.5</v>
      </c>
      <c r="O81">
        <v>12</v>
      </c>
      <c r="P81">
        <v>14.3</v>
      </c>
      <c r="Q81">
        <v>13.4</v>
      </c>
      <c r="R81">
        <v>13.2</v>
      </c>
      <c r="S81">
        <f t="shared" si="15"/>
        <v>60</v>
      </c>
      <c r="T81" t="s">
        <v>94</v>
      </c>
      <c r="U81" t="str">
        <f t="shared" si="16"/>
        <v/>
      </c>
      <c r="V81">
        <f t="shared" si="14"/>
        <v>0.153</v>
      </c>
      <c r="W81">
        <f t="shared" si="14"/>
        <v>0.13800000000000001</v>
      </c>
      <c r="X81">
        <f t="shared" si="14"/>
        <v>0.14899999999999999</v>
      </c>
      <c r="Y81">
        <f t="shared" si="14"/>
        <v>0.14400000000000002</v>
      </c>
      <c r="Z81">
        <f t="shared" si="14"/>
        <v>0.115</v>
      </c>
      <c r="AA81">
        <f t="shared" si="14"/>
        <v>0.12</v>
      </c>
      <c r="AB81">
        <f t="shared" si="14"/>
        <v>0.14300000000000002</v>
      </c>
      <c r="AC81">
        <f t="shared" si="14"/>
        <v>0.13400000000000001</v>
      </c>
      <c r="AD81">
        <f t="shared" si="14"/>
        <v>0.13200000000000001</v>
      </c>
    </row>
    <row r="82" spans="1:30" x14ac:dyDescent="0.25">
      <c r="A82">
        <v>448</v>
      </c>
      <c r="B82">
        <v>59</v>
      </c>
      <c r="C82">
        <v>0</v>
      </c>
      <c r="D82">
        <v>14</v>
      </c>
      <c r="E82">
        <v>10</v>
      </c>
      <c r="F82">
        <v>1</v>
      </c>
      <c r="G82">
        <v>8</v>
      </c>
      <c r="H82">
        <v>36</v>
      </c>
      <c r="I82">
        <v>17.100000000000001</v>
      </c>
      <c r="J82">
        <v>15.4</v>
      </c>
      <c r="K82">
        <v>13.8</v>
      </c>
      <c r="L82">
        <v>13.7</v>
      </c>
      <c r="M82">
        <v>11.9</v>
      </c>
      <c r="N82">
        <v>11.1</v>
      </c>
      <c r="O82">
        <v>10.7</v>
      </c>
      <c r="P82">
        <v>14</v>
      </c>
      <c r="Q82">
        <v>14.5</v>
      </c>
      <c r="R82">
        <v>15</v>
      </c>
      <c r="S82">
        <f t="shared" si="15"/>
        <v>59</v>
      </c>
      <c r="T82" t="s">
        <v>93</v>
      </c>
      <c r="U82">
        <f t="shared" si="16"/>
        <v>0.17100000000000001</v>
      </c>
      <c r="V82">
        <f t="shared" si="14"/>
        <v>0.154</v>
      </c>
      <c r="W82">
        <f t="shared" si="14"/>
        <v>0.13800000000000001</v>
      </c>
      <c r="X82">
        <f t="shared" si="14"/>
        <v>0.13699999999999998</v>
      </c>
      <c r="Y82">
        <f t="shared" si="14"/>
        <v>0.11900000000000001</v>
      </c>
      <c r="Z82">
        <f t="shared" si="14"/>
        <v>0.111</v>
      </c>
      <c r="AA82">
        <f t="shared" si="14"/>
        <v>0.107</v>
      </c>
      <c r="AB82">
        <f t="shared" si="14"/>
        <v>0.14000000000000001</v>
      </c>
      <c r="AC82">
        <f t="shared" si="14"/>
        <v>0.14499999999999999</v>
      </c>
      <c r="AD82">
        <f t="shared" si="14"/>
        <v>0.15</v>
      </c>
    </row>
    <row r="83" spans="1:30" x14ac:dyDescent="0.25">
      <c r="A83">
        <v>447</v>
      </c>
      <c r="B83">
        <v>58</v>
      </c>
      <c r="C83">
        <v>0</v>
      </c>
      <c r="D83">
        <v>14</v>
      </c>
      <c r="E83">
        <v>10</v>
      </c>
      <c r="F83">
        <v>1</v>
      </c>
      <c r="G83">
        <v>8</v>
      </c>
      <c r="H83">
        <v>41</v>
      </c>
      <c r="I83">
        <v>-5</v>
      </c>
      <c r="J83">
        <v>15.6</v>
      </c>
      <c r="K83">
        <v>14.2</v>
      </c>
      <c r="L83">
        <v>14.5</v>
      </c>
      <c r="M83">
        <v>14.4</v>
      </c>
      <c r="N83">
        <v>13.6</v>
      </c>
      <c r="O83">
        <v>13.1</v>
      </c>
      <c r="P83">
        <v>16</v>
      </c>
      <c r="Q83">
        <v>15.5</v>
      </c>
      <c r="R83">
        <v>14.6</v>
      </c>
      <c r="S83">
        <f t="shared" si="15"/>
        <v>58</v>
      </c>
      <c r="T83" t="s">
        <v>92</v>
      </c>
      <c r="U83" t="str">
        <f t="shared" si="16"/>
        <v/>
      </c>
      <c r="V83">
        <f t="shared" si="14"/>
        <v>0.156</v>
      </c>
      <c r="W83">
        <f t="shared" si="14"/>
        <v>0.14199999999999999</v>
      </c>
      <c r="X83">
        <f t="shared" si="14"/>
        <v>0.14499999999999999</v>
      </c>
      <c r="Y83">
        <f t="shared" si="14"/>
        <v>0.14400000000000002</v>
      </c>
      <c r="Z83">
        <f t="shared" si="14"/>
        <v>0.13600000000000001</v>
      </c>
      <c r="AA83">
        <f t="shared" si="14"/>
        <v>0.13100000000000001</v>
      </c>
      <c r="AB83">
        <f t="shared" si="14"/>
        <v>0.16</v>
      </c>
      <c r="AC83">
        <f t="shared" si="14"/>
        <v>0.155</v>
      </c>
      <c r="AD83">
        <f t="shared" si="14"/>
        <v>0.14599999999999999</v>
      </c>
    </row>
    <row r="84" spans="1:30" x14ac:dyDescent="0.25">
      <c r="A84">
        <v>446</v>
      </c>
      <c r="B84">
        <v>57</v>
      </c>
      <c r="C84">
        <v>0</v>
      </c>
      <c r="D84">
        <v>14</v>
      </c>
      <c r="E84">
        <v>10</v>
      </c>
      <c r="F84">
        <v>1</v>
      </c>
      <c r="G84">
        <v>8</v>
      </c>
      <c r="H84">
        <v>47</v>
      </c>
      <c r="I84">
        <v>14.9</v>
      </c>
      <c r="J84">
        <v>17.600000000000001</v>
      </c>
      <c r="K84">
        <v>22.8</v>
      </c>
      <c r="L84">
        <v>21.1</v>
      </c>
      <c r="M84">
        <v>19.2</v>
      </c>
      <c r="N84">
        <v>19.100000000000001</v>
      </c>
      <c r="O84">
        <v>16.7</v>
      </c>
      <c r="P84">
        <v>17.5</v>
      </c>
      <c r="Q84">
        <v>15.7</v>
      </c>
      <c r="R84">
        <v>13.8</v>
      </c>
      <c r="S84">
        <f t="shared" si="15"/>
        <v>57</v>
      </c>
      <c r="T84" t="s">
        <v>91</v>
      </c>
      <c r="U84">
        <f t="shared" si="16"/>
        <v>0.14899999999999999</v>
      </c>
      <c r="V84">
        <f t="shared" si="14"/>
        <v>0.17600000000000002</v>
      </c>
      <c r="W84">
        <f t="shared" si="14"/>
        <v>0.22800000000000001</v>
      </c>
      <c r="X84">
        <f t="shared" si="14"/>
        <v>0.21100000000000002</v>
      </c>
      <c r="Y84">
        <f t="shared" si="14"/>
        <v>0.192</v>
      </c>
      <c r="Z84">
        <f t="shared" si="14"/>
        <v>0.191</v>
      </c>
      <c r="AA84">
        <f t="shared" si="14"/>
        <v>0.16699999999999998</v>
      </c>
      <c r="AB84">
        <f t="shared" si="14"/>
        <v>0.17499999999999999</v>
      </c>
      <c r="AC84">
        <f t="shared" si="14"/>
        <v>0.157</v>
      </c>
      <c r="AD84">
        <f t="shared" si="14"/>
        <v>0.13800000000000001</v>
      </c>
    </row>
    <row r="85" spans="1:30" x14ac:dyDescent="0.25">
      <c r="A85">
        <v>445</v>
      </c>
      <c r="B85">
        <v>56</v>
      </c>
      <c r="C85">
        <v>0</v>
      </c>
      <c r="D85">
        <v>14</v>
      </c>
      <c r="E85">
        <v>10</v>
      </c>
      <c r="F85">
        <v>1</v>
      </c>
      <c r="G85">
        <v>8</v>
      </c>
      <c r="H85">
        <v>53</v>
      </c>
      <c r="I85">
        <v>18.399999999999999</v>
      </c>
      <c r="J85">
        <v>17.8</v>
      </c>
      <c r="K85">
        <v>15.1</v>
      </c>
      <c r="L85">
        <v>15.6</v>
      </c>
      <c r="M85">
        <v>16.5</v>
      </c>
      <c r="N85">
        <v>17.3</v>
      </c>
      <c r="O85">
        <v>18.600000000000001</v>
      </c>
      <c r="P85">
        <v>15.3</v>
      </c>
      <c r="Q85">
        <v>14</v>
      </c>
      <c r="R85">
        <v>12.6</v>
      </c>
      <c r="S85">
        <f t="shared" si="15"/>
        <v>56</v>
      </c>
      <c r="T85" t="s">
        <v>90</v>
      </c>
      <c r="U85">
        <f t="shared" si="16"/>
        <v>0.184</v>
      </c>
      <c r="V85">
        <f t="shared" si="14"/>
        <v>0.17800000000000002</v>
      </c>
      <c r="W85">
        <f t="shared" si="14"/>
        <v>0.151</v>
      </c>
      <c r="X85">
        <f t="shared" si="14"/>
        <v>0.156</v>
      </c>
      <c r="Y85">
        <f t="shared" si="14"/>
        <v>0.16500000000000001</v>
      </c>
      <c r="Z85">
        <f t="shared" si="14"/>
        <v>0.17300000000000001</v>
      </c>
      <c r="AA85">
        <f t="shared" si="14"/>
        <v>0.18600000000000003</v>
      </c>
      <c r="AB85">
        <f t="shared" si="14"/>
        <v>0.153</v>
      </c>
      <c r="AC85">
        <f t="shared" si="14"/>
        <v>0.14000000000000001</v>
      </c>
      <c r="AD85">
        <f t="shared" si="14"/>
        <v>0.126</v>
      </c>
    </row>
    <row r="86" spans="1:30" x14ac:dyDescent="0.25">
      <c r="A86">
        <v>444</v>
      </c>
      <c r="B86">
        <v>55</v>
      </c>
      <c r="C86">
        <v>0</v>
      </c>
      <c r="D86">
        <v>14</v>
      </c>
      <c r="E86">
        <v>10</v>
      </c>
      <c r="F86">
        <v>1</v>
      </c>
      <c r="G86">
        <v>8</v>
      </c>
      <c r="H86">
        <v>50</v>
      </c>
      <c r="I86">
        <v>15.9</v>
      </c>
      <c r="J86">
        <v>15</v>
      </c>
      <c r="K86">
        <v>14.7</v>
      </c>
      <c r="L86">
        <v>15.7</v>
      </c>
      <c r="M86">
        <v>17.600000000000001</v>
      </c>
      <c r="N86">
        <v>18</v>
      </c>
      <c r="O86">
        <v>17.600000000000001</v>
      </c>
      <c r="P86">
        <v>15.4</v>
      </c>
      <c r="Q86">
        <v>14.9</v>
      </c>
      <c r="R86">
        <v>14.1</v>
      </c>
      <c r="S86">
        <f t="shared" si="15"/>
        <v>55</v>
      </c>
      <c r="T86" t="s">
        <v>89</v>
      </c>
      <c r="U86">
        <f t="shared" si="16"/>
        <v>0.159</v>
      </c>
      <c r="V86">
        <f t="shared" si="14"/>
        <v>0.15</v>
      </c>
      <c r="W86">
        <f t="shared" si="14"/>
        <v>0.14699999999999999</v>
      </c>
      <c r="X86">
        <f t="shared" si="14"/>
        <v>0.157</v>
      </c>
      <c r="Y86">
        <f t="shared" si="14"/>
        <v>0.17600000000000002</v>
      </c>
      <c r="Z86">
        <f t="shared" si="14"/>
        <v>0.18</v>
      </c>
      <c r="AA86">
        <f t="shared" si="14"/>
        <v>0.17600000000000002</v>
      </c>
      <c r="AB86">
        <f t="shared" si="14"/>
        <v>0.154</v>
      </c>
      <c r="AC86">
        <f t="shared" si="14"/>
        <v>0.14899999999999999</v>
      </c>
      <c r="AD86">
        <f t="shared" si="14"/>
        <v>0.14099999999999999</v>
      </c>
    </row>
    <row r="87" spans="1:30" x14ac:dyDescent="0.25">
      <c r="A87">
        <v>443</v>
      </c>
      <c r="B87">
        <v>54</v>
      </c>
      <c r="C87">
        <v>0</v>
      </c>
      <c r="D87">
        <v>14</v>
      </c>
      <c r="E87">
        <v>10</v>
      </c>
      <c r="F87">
        <v>1</v>
      </c>
      <c r="G87">
        <v>9</v>
      </c>
      <c r="H87">
        <v>6</v>
      </c>
      <c r="I87">
        <v>11.9</v>
      </c>
      <c r="J87">
        <v>11.8</v>
      </c>
      <c r="K87">
        <v>12.1</v>
      </c>
      <c r="L87">
        <v>14.8</v>
      </c>
      <c r="M87">
        <v>15.6</v>
      </c>
      <c r="N87">
        <v>14.5</v>
      </c>
      <c r="O87">
        <v>13.9</v>
      </c>
      <c r="P87">
        <v>13.8</v>
      </c>
      <c r="Q87">
        <v>14.4</v>
      </c>
      <c r="R87">
        <v>14.1</v>
      </c>
      <c r="S87">
        <f t="shared" si="15"/>
        <v>54</v>
      </c>
      <c r="T87" t="s">
        <v>36</v>
      </c>
      <c r="U87">
        <f t="shared" si="16"/>
        <v>0.11900000000000001</v>
      </c>
      <c r="V87">
        <f t="shared" si="14"/>
        <v>0.11800000000000001</v>
      </c>
      <c r="W87">
        <f t="shared" si="14"/>
        <v>0.121</v>
      </c>
      <c r="X87">
        <f t="shared" si="14"/>
        <v>0.14800000000000002</v>
      </c>
      <c r="Y87">
        <f t="shared" si="14"/>
        <v>0.156</v>
      </c>
      <c r="Z87">
        <f t="shared" si="14"/>
        <v>0.14499999999999999</v>
      </c>
      <c r="AA87">
        <f t="shared" si="14"/>
        <v>0.13900000000000001</v>
      </c>
      <c r="AB87">
        <f t="shared" si="14"/>
        <v>0.13800000000000001</v>
      </c>
      <c r="AC87">
        <f t="shared" si="14"/>
        <v>0.14400000000000002</v>
      </c>
      <c r="AD87">
        <f t="shared" si="14"/>
        <v>0.14099999999999999</v>
      </c>
    </row>
    <row r="88" spans="1:30" x14ac:dyDescent="0.25">
      <c r="A88">
        <v>442</v>
      </c>
      <c r="B88">
        <v>53</v>
      </c>
      <c r="C88">
        <v>0</v>
      </c>
      <c r="D88">
        <v>14</v>
      </c>
      <c r="E88">
        <v>10</v>
      </c>
      <c r="F88">
        <v>1</v>
      </c>
      <c r="G88">
        <v>9</v>
      </c>
      <c r="H88">
        <v>11</v>
      </c>
      <c r="I88">
        <v>-5</v>
      </c>
      <c r="J88">
        <v>17.600000000000001</v>
      </c>
      <c r="K88">
        <v>16.2</v>
      </c>
      <c r="L88">
        <v>15.8</v>
      </c>
      <c r="M88">
        <v>16.399999999999999</v>
      </c>
      <c r="N88">
        <v>15.8</v>
      </c>
      <c r="O88">
        <v>15.5</v>
      </c>
      <c r="P88">
        <v>13</v>
      </c>
      <c r="Q88">
        <v>14.1</v>
      </c>
      <c r="R88">
        <v>13.1</v>
      </c>
      <c r="S88">
        <f t="shared" si="15"/>
        <v>53</v>
      </c>
      <c r="T88" t="s">
        <v>88</v>
      </c>
      <c r="U88" t="str">
        <f t="shared" si="16"/>
        <v/>
      </c>
      <c r="V88">
        <f t="shared" si="14"/>
        <v>0.17600000000000002</v>
      </c>
      <c r="W88">
        <f t="shared" si="14"/>
        <v>0.16200000000000001</v>
      </c>
      <c r="X88">
        <f t="shared" si="14"/>
        <v>0.158</v>
      </c>
      <c r="Y88">
        <f t="shared" si="14"/>
        <v>0.16399999999999998</v>
      </c>
      <c r="Z88">
        <f t="shared" si="14"/>
        <v>0.158</v>
      </c>
      <c r="AA88">
        <f t="shared" si="14"/>
        <v>0.155</v>
      </c>
      <c r="AB88">
        <f t="shared" si="14"/>
        <v>0.13</v>
      </c>
      <c r="AC88">
        <f t="shared" si="14"/>
        <v>0.14099999999999999</v>
      </c>
      <c r="AD88">
        <f t="shared" si="14"/>
        <v>0.13100000000000001</v>
      </c>
    </row>
    <row r="89" spans="1:30" x14ac:dyDescent="0.25">
      <c r="A89">
        <v>441</v>
      </c>
      <c r="B89">
        <v>52</v>
      </c>
      <c r="C89">
        <v>0</v>
      </c>
      <c r="D89">
        <v>14</v>
      </c>
      <c r="E89">
        <v>10</v>
      </c>
      <c r="F89">
        <v>1</v>
      </c>
      <c r="G89">
        <v>9</v>
      </c>
      <c r="H89">
        <v>16</v>
      </c>
      <c r="I89">
        <v>-5</v>
      </c>
      <c r="J89">
        <v>18</v>
      </c>
      <c r="K89">
        <v>19.2</v>
      </c>
      <c r="L89">
        <v>20</v>
      </c>
      <c r="M89">
        <v>17.3</v>
      </c>
      <c r="N89">
        <v>17.3</v>
      </c>
      <c r="O89">
        <v>17.3</v>
      </c>
      <c r="P89">
        <v>15</v>
      </c>
      <c r="Q89">
        <v>14.4</v>
      </c>
      <c r="R89">
        <v>13.6</v>
      </c>
      <c r="S89">
        <f t="shared" si="15"/>
        <v>52</v>
      </c>
      <c r="T89" t="s">
        <v>87</v>
      </c>
      <c r="U89" t="str">
        <f t="shared" si="16"/>
        <v/>
      </c>
      <c r="V89">
        <f t="shared" si="14"/>
        <v>0.18</v>
      </c>
      <c r="W89">
        <f t="shared" si="14"/>
        <v>0.192</v>
      </c>
      <c r="X89">
        <f t="shared" si="14"/>
        <v>0.2</v>
      </c>
      <c r="Y89">
        <f t="shared" si="14"/>
        <v>0.17300000000000001</v>
      </c>
      <c r="Z89">
        <f t="shared" si="14"/>
        <v>0.17300000000000001</v>
      </c>
      <c r="AA89">
        <f t="shared" si="14"/>
        <v>0.17300000000000001</v>
      </c>
      <c r="AB89">
        <f t="shared" si="14"/>
        <v>0.15</v>
      </c>
      <c r="AC89">
        <f t="shared" si="14"/>
        <v>0.14400000000000002</v>
      </c>
      <c r="AD89">
        <f t="shared" si="14"/>
        <v>0.13600000000000001</v>
      </c>
    </row>
    <row r="90" spans="1:30" x14ac:dyDescent="0.25">
      <c r="A90">
        <v>440</v>
      </c>
      <c r="B90">
        <v>51</v>
      </c>
      <c r="C90">
        <v>0</v>
      </c>
      <c r="D90">
        <v>14</v>
      </c>
      <c r="E90">
        <v>10</v>
      </c>
      <c r="F90">
        <v>1</v>
      </c>
      <c r="G90">
        <v>9</v>
      </c>
      <c r="H90">
        <v>22</v>
      </c>
      <c r="I90">
        <v>-5</v>
      </c>
      <c r="J90">
        <v>17.399999999999999</v>
      </c>
      <c r="K90">
        <v>20.9</v>
      </c>
      <c r="L90">
        <v>19.2</v>
      </c>
      <c r="M90">
        <v>17.7</v>
      </c>
      <c r="N90">
        <v>16.100000000000001</v>
      </c>
      <c r="O90">
        <v>15.8</v>
      </c>
      <c r="P90">
        <v>16.8</v>
      </c>
      <c r="Q90">
        <v>16.7</v>
      </c>
      <c r="R90">
        <v>14.3</v>
      </c>
      <c r="S90">
        <f t="shared" si="15"/>
        <v>51</v>
      </c>
      <c r="T90" t="s">
        <v>86</v>
      </c>
      <c r="U90" t="str">
        <f t="shared" si="16"/>
        <v/>
      </c>
      <c r="V90">
        <f t="shared" si="14"/>
        <v>0.17399999999999999</v>
      </c>
      <c r="W90">
        <f t="shared" si="14"/>
        <v>0.20899999999999999</v>
      </c>
      <c r="X90">
        <f t="shared" si="14"/>
        <v>0.192</v>
      </c>
      <c r="Y90">
        <f t="shared" si="14"/>
        <v>0.17699999999999999</v>
      </c>
      <c r="Z90">
        <f t="shared" si="14"/>
        <v>0.161</v>
      </c>
      <c r="AA90">
        <f t="shared" si="14"/>
        <v>0.158</v>
      </c>
      <c r="AB90">
        <f t="shared" si="14"/>
        <v>0.16800000000000001</v>
      </c>
      <c r="AC90">
        <f t="shared" si="14"/>
        <v>0.16699999999999998</v>
      </c>
      <c r="AD90">
        <f t="shared" si="14"/>
        <v>0.14300000000000002</v>
      </c>
    </row>
    <row r="91" spans="1:30" x14ac:dyDescent="0.25">
      <c r="A91">
        <v>439</v>
      </c>
      <c r="B91">
        <v>50</v>
      </c>
      <c r="C91">
        <v>0</v>
      </c>
      <c r="D91">
        <v>14</v>
      </c>
      <c r="E91">
        <v>10</v>
      </c>
      <c r="F91">
        <v>1</v>
      </c>
      <c r="G91">
        <v>9</v>
      </c>
      <c r="H91">
        <v>27</v>
      </c>
      <c r="I91">
        <v>-5</v>
      </c>
      <c r="J91">
        <v>18.899999999999999</v>
      </c>
      <c r="K91">
        <v>18.8</v>
      </c>
      <c r="L91">
        <v>21.1</v>
      </c>
      <c r="M91">
        <v>19.8</v>
      </c>
      <c r="N91">
        <v>18.8</v>
      </c>
      <c r="O91">
        <v>20.2</v>
      </c>
      <c r="P91">
        <v>18.8</v>
      </c>
      <c r="Q91">
        <v>15.2</v>
      </c>
      <c r="R91">
        <v>14.7</v>
      </c>
      <c r="S91">
        <f t="shared" si="15"/>
        <v>50</v>
      </c>
      <c r="T91" t="s">
        <v>39</v>
      </c>
      <c r="U91" t="str">
        <f t="shared" si="16"/>
        <v/>
      </c>
      <c r="V91">
        <f t="shared" si="14"/>
        <v>0.18899999999999997</v>
      </c>
      <c r="W91">
        <f t="shared" si="14"/>
        <v>0.188</v>
      </c>
      <c r="X91">
        <f t="shared" si="14"/>
        <v>0.21100000000000002</v>
      </c>
      <c r="Y91">
        <f t="shared" si="14"/>
        <v>0.19800000000000001</v>
      </c>
      <c r="Z91">
        <f t="shared" si="14"/>
        <v>0.188</v>
      </c>
      <c r="AA91">
        <f t="shared" si="14"/>
        <v>0.20199999999999999</v>
      </c>
      <c r="AB91">
        <f t="shared" si="14"/>
        <v>0.188</v>
      </c>
      <c r="AC91">
        <f t="shared" si="14"/>
        <v>0.152</v>
      </c>
      <c r="AD91">
        <f t="shared" si="14"/>
        <v>0.14699999999999999</v>
      </c>
    </row>
    <row r="92" spans="1:30" x14ac:dyDescent="0.25">
      <c r="A92">
        <v>438</v>
      </c>
      <c r="B92">
        <v>49</v>
      </c>
      <c r="C92">
        <v>0</v>
      </c>
      <c r="D92">
        <v>14</v>
      </c>
      <c r="E92">
        <v>10</v>
      </c>
      <c r="F92">
        <v>1</v>
      </c>
      <c r="G92">
        <v>9</v>
      </c>
      <c r="H92">
        <v>34</v>
      </c>
      <c r="I92">
        <v>-5</v>
      </c>
      <c r="J92">
        <v>21.5</v>
      </c>
      <c r="K92">
        <v>16.8</v>
      </c>
      <c r="L92">
        <v>17</v>
      </c>
      <c r="M92">
        <v>15.8</v>
      </c>
      <c r="N92">
        <v>13.1</v>
      </c>
      <c r="O92">
        <v>13</v>
      </c>
      <c r="P92">
        <v>16</v>
      </c>
      <c r="Q92">
        <v>15.6</v>
      </c>
      <c r="R92">
        <v>13.9</v>
      </c>
      <c r="S92">
        <f t="shared" si="15"/>
        <v>49</v>
      </c>
      <c r="T92" t="s">
        <v>72</v>
      </c>
      <c r="U92" t="str">
        <f t="shared" si="16"/>
        <v/>
      </c>
      <c r="V92">
        <f t="shared" si="14"/>
        <v>0.215</v>
      </c>
      <c r="W92">
        <f t="shared" si="14"/>
        <v>0.16800000000000001</v>
      </c>
      <c r="X92">
        <f t="shared" si="14"/>
        <v>0.17</v>
      </c>
      <c r="Y92">
        <f t="shared" si="14"/>
        <v>0.158</v>
      </c>
      <c r="Z92">
        <f t="shared" si="14"/>
        <v>0.13100000000000001</v>
      </c>
      <c r="AA92">
        <f t="shared" si="14"/>
        <v>0.13</v>
      </c>
      <c r="AB92">
        <f t="shared" si="14"/>
        <v>0.16</v>
      </c>
      <c r="AC92">
        <f t="shared" si="14"/>
        <v>0.156</v>
      </c>
      <c r="AD92">
        <f t="shared" si="14"/>
        <v>0.13900000000000001</v>
      </c>
    </row>
    <row r="93" spans="1:30" x14ac:dyDescent="0.25">
      <c r="A93">
        <v>437</v>
      </c>
      <c r="B93">
        <v>48</v>
      </c>
      <c r="C93">
        <v>0</v>
      </c>
      <c r="D93">
        <v>14</v>
      </c>
      <c r="E93">
        <v>10</v>
      </c>
      <c r="F93">
        <v>1</v>
      </c>
      <c r="G93">
        <v>9</v>
      </c>
      <c r="H93">
        <v>46</v>
      </c>
      <c r="I93">
        <v>-5</v>
      </c>
      <c r="J93">
        <v>21</v>
      </c>
      <c r="K93">
        <v>20.9</v>
      </c>
      <c r="L93">
        <v>19.100000000000001</v>
      </c>
      <c r="M93">
        <v>17.100000000000001</v>
      </c>
      <c r="N93">
        <v>15.5</v>
      </c>
      <c r="O93">
        <v>13.5</v>
      </c>
      <c r="P93">
        <v>16.899999999999999</v>
      </c>
      <c r="Q93">
        <v>14.3</v>
      </c>
      <c r="R93">
        <v>12.1</v>
      </c>
      <c r="S93">
        <f t="shared" si="15"/>
        <v>48</v>
      </c>
      <c r="T93" t="s">
        <v>38</v>
      </c>
      <c r="U93" t="str">
        <f t="shared" si="16"/>
        <v/>
      </c>
      <c r="V93">
        <f t="shared" si="14"/>
        <v>0.21</v>
      </c>
      <c r="W93">
        <f t="shared" si="14"/>
        <v>0.20899999999999999</v>
      </c>
      <c r="X93">
        <f t="shared" si="14"/>
        <v>0.191</v>
      </c>
      <c r="Y93">
        <f t="shared" si="14"/>
        <v>0.17100000000000001</v>
      </c>
      <c r="Z93">
        <f t="shared" si="14"/>
        <v>0.155</v>
      </c>
      <c r="AA93">
        <f t="shared" si="14"/>
        <v>0.13500000000000001</v>
      </c>
      <c r="AB93">
        <f t="shared" si="14"/>
        <v>0.16899999999999998</v>
      </c>
      <c r="AC93">
        <f t="shared" si="14"/>
        <v>0.14300000000000002</v>
      </c>
      <c r="AD93">
        <f t="shared" si="14"/>
        <v>0.121</v>
      </c>
    </row>
    <row r="94" spans="1:30" x14ac:dyDescent="0.25">
      <c r="A94">
        <v>436</v>
      </c>
      <c r="B94">
        <v>47</v>
      </c>
      <c r="C94">
        <v>0</v>
      </c>
      <c r="D94">
        <v>14</v>
      </c>
      <c r="E94">
        <v>10</v>
      </c>
      <c r="F94">
        <v>1</v>
      </c>
      <c r="G94">
        <v>9</v>
      </c>
      <c r="H94">
        <v>52</v>
      </c>
      <c r="I94">
        <v>20.100000000000001</v>
      </c>
      <c r="J94">
        <v>19.399999999999999</v>
      </c>
      <c r="K94">
        <v>22.2</v>
      </c>
      <c r="L94">
        <v>22.3</v>
      </c>
      <c r="M94">
        <v>20</v>
      </c>
      <c r="N94">
        <v>17.399999999999999</v>
      </c>
      <c r="O94">
        <v>16.100000000000001</v>
      </c>
      <c r="P94">
        <v>15.8</v>
      </c>
      <c r="Q94">
        <v>16</v>
      </c>
      <c r="R94">
        <v>13.8</v>
      </c>
      <c r="S94">
        <f t="shared" si="15"/>
        <v>47</v>
      </c>
      <c r="T94" t="s">
        <v>85</v>
      </c>
      <c r="U94">
        <f t="shared" si="16"/>
        <v>0.20100000000000001</v>
      </c>
      <c r="V94">
        <f t="shared" si="14"/>
        <v>0.19399999999999998</v>
      </c>
      <c r="W94">
        <f t="shared" si="14"/>
        <v>0.222</v>
      </c>
      <c r="X94">
        <f t="shared" si="14"/>
        <v>0.223</v>
      </c>
      <c r="Y94">
        <f t="shared" si="14"/>
        <v>0.2</v>
      </c>
      <c r="Z94">
        <f t="shared" si="14"/>
        <v>0.17399999999999999</v>
      </c>
      <c r="AA94">
        <f t="shared" si="14"/>
        <v>0.161</v>
      </c>
      <c r="AB94">
        <f t="shared" si="14"/>
        <v>0.158</v>
      </c>
      <c r="AC94">
        <f t="shared" si="14"/>
        <v>0.16</v>
      </c>
      <c r="AD94">
        <f t="shared" si="14"/>
        <v>0.13800000000000001</v>
      </c>
    </row>
    <row r="95" spans="1:30" x14ac:dyDescent="0.25">
      <c r="A95">
        <v>435</v>
      </c>
      <c r="B95">
        <v>46</v>
      </c>
      <c r="C95">
        <v>0</v>
      </c>
      <c r="D95">
        <v>14</v>
      </c>
      <c r="E95">
        <v>10</v>
      </c>
      <c r="F95">
        <v>1</v>
      </c>
      <c r="G95">
        <v>9</v>
      </c>
      <c r="H95">
        <v>56</v>
      </c>
      <c r="I95">
        <v>-5</v>
      </c>
      <c r="J95">
        <v>22</v>
      </c>
      <c r="K95">
        <v>24.1</v>
      </c>
      <c r="L95">
        <v>21</v>
      </c>
      <c r="M95">
        <v>21</v>
      </c>
      <c r="N95">
        <v>20.399999999999999</v>
      </c>
      <c r="O95">
        <v>20.7</v>
      </c>
      <c r="P95">
        <v>15.1</v>
      </c>
      <c r="Q95">
        <v>14.5</v>
      </c>
      <c r="R95">
        <v>11.9</v>
      </c>
      <c r="S95">
        <f t="shared" si="15"/>
        <v>46</v>
      </c>
      <c r="T95" t="s">
        <v>84</v>
      </c>
      <c r="U95" t="str">
        <f t="shared" si="16"/>
        <v/>
      </c>
      <c r="V95">
        <f t="shared" si="14"/>
        <v>0.22</v>
      </c>
      <c r="W95">
        <f t="shared" si="14"/>
        <v>0.24100000000000002</v>
      </c>
      <c r="X95">
        <f t="shared" si="14"/>
        <v>0.21</v>
      </c>
      <c r="Y95">
        <f t="shared" si="14"/>
        <v>0.21</v>
      </c>
      <c r="Z95">
        <f t="shared" si="14"/>
        <v>0.20399999999999999</v>
      </c>
      <c r="AA95">
        <f t="shared" si="14"/>
        <v>0.20699999999999999</v>
      </c>
      <c r="AB95">
        <f t="shared" si="14"/>
        <v>0.151</v>
      </c>
      <c r="AC95">
        <f t="shared" si="14"/>
        <v>0.14499999999999999</v>
      </c>
      <c r="AD95">
        <f t="shared" si="14"/>
        <v>0.11900000000000001</v>
      </c>
    </row>
    <row r="96" spans="1:30" x14ac:dyDescent="0.25">
      <c r="A96">
        <v>434</v>
      </c>
      <c r="B96">
        <v>45</v>
      </c>
      <c r="C96">
        <v>0</v>
      </c>
      <c r="D96">
        <v>14</v>
      </c>
      <c r="E96">
        <v>10</v>
      </c>
      <c r="F96">
        <v>1</v>
      </c>
      <c r="G96">
        <v>10</v>
      </c>
      <c r="H96">
        <v>1</v>
      </c>
      <c r="I96">
        <v>-5</v>
      </c>
      <c r="J96">
        <v>21.9</v>
      </c>
      <c r="K96">
        <v>20.7</v>
      </c>
      <c r="L96">
        <v>19.899999999999999</v>
      </c>
      <c r="M96">
        <v>20.399999999999999</v>
      </c>
      <c r="N96">
        <v>18.7</v>
      </c>
      <c r="O96">
        <v>19</v>
      </c>
      <c r="P96">
        <v>15.8</v>
      </c>
      <c r="Q96">
        <v>15.4</v>
      </c>
      <c r="R96">
        <v>13.1</v>
      </c>
      <c r="S96">
        <f t="shared" si="15"/>
        <v>45</v>
      </c>
      <c r="T96" t="s">
        <v>42</v>
      </c>
      <c r="U96" t="str">
        <f t="shared" si="16"/>
        <v/>
      </c>
      <c r="V96">
        <f t="shared" si="14"/>
        <v>0.21899999999999997</v>
      </c>
      <c r="W96">
        <f t="shared" si="14"/>
        <v>0.20699999999999999</v>
      </c>
      <c r="X96">
        <f t="shared" si="14"/>
        <v>0.19899999999999998</v>
      </c>
      <c r="Y96">
        <f t="shared" si="14"/>
        <v>0.20399999999999999</v>
      </c>
      <c r="Z96">
        <f t="shared" si="14"/>
        <v>0.187</v>
      </c>
      <c r="AA96">
        <f t="shared" si="14"/>
        <v>0.19</v>
      </c>
      <c r="AB96">
        <f t="shared" si="14"/>
        <v>0.158</v>
      </c>
      <c r="AC96">
        <f t="shared" si="14"/>
        <v>0.154</v>
      </c>
      <c r="AD96">
        <f t="shared" si="14"/>
        <v>0.13100000000000001</v>
      </c>
    </row>
    <row r="97" spans="1:30" x14ac:dyDescent="0.25">
      <c r="A97">
        <v>433</v>
      </c>
      <c r="B97">
        <v>44</v>
      </c>
      <c r="C97">
        <v>0</v>
      </c>
      <c r="D97">
        <v>14</v>
      </c>
      <c r="E97">
        <v>10</v>
      </c>
      <c r="F97">
        <v>1</v>
      </c>
      <c r="G97">
        <v>10</v>
      </c>
      <c r="H97">
        <v>6</v>
      </c>
      <c r="I97">
        <v>14.9</v>
      </c>
      <c r="J97">
        <v>12.5</v>
      </c>
      <c r="K97">
        <v>15.6</v>
      </c>
      <c r="L97">
        <v>17.7</v>
      </c>
      <c r="M97">
        <v>16.399999999999999</v>
      </c>
      <c r="N97">
        <v>14</v>
      </c>
      <c r="O97">
        <v>11.3</v>
      </c>
      <c r="P97">
        <v>12.2</v>
      </c>
      <c r="Q97">
        <v>12.8</v>
      </c>
      <c r="R97">
        <v>12.5</v>
      </c>
      <c r="S97">
        <f t="shared" si="15"/>
        <v>44</v>
      </c>
      <c r="T97" t="s">
        <v>83</v>
      </c>
      <c r="U97">
        <f t="shared" si="16"/>
        <v>0.14899999999999999</v>
      </c>
      <c r="V97">
        <f t="shared" si="14"/>
        <v>0.125</v>
      </c>
      <c r="W97">
        <f t="shared" si="14"/>
        <v>0.156</v>
      </c>
      <c r="X97">
        <f t="shared" si="14"/>
        <v>0.17699999999999999</v>
      </c>
      <c r="Y97">
        <f t="shared" si="14"/>
        <v>0.16399999999999998</v>
      </c>
      <c r="Z97">
        <f t="shared" si="14"/>
        <v>0.14000000000000001</v>
      </c>
      <c r="AA97">
        <f t="shared" si="14"/>
        <v>0.113</v>
      </c>
      <c r="AB97">
        <f t="shared" si="14"/>
        <v>0.122</v>
      </c>
      <c r="AC97">
        <f t="shared" si="14"/>
        <v>0.128</v>
      </c>
      <c r="AD97">
        <f t="shared" si="14"/>
        <v>0.125</v>
      </c>
    </row>
    <row r="98" spans="1:30" x14ac:dyDescent="0.25">
      <c r="A98">
        <v>432</v>
      </c>
      <c r="B98">
        <v>43</v>
      </c>
      <c r="C98">
        <v>0</v>
      </c>
      <c r="D98">
        <v>14</v>
      </c>
      <c r="E98">
        <v>10</v>
      </c>
      <c r="F98">
        <v>1</v>
      </c>
      <c r="G98">
        <v>10</v>
      </c>
      <c r="H98">
        <v>10</v>
      </c>
      <c r="I98">
        <v>17</v>
      </c>
      <c r="J98">
        <v>13.9</v>
      </c>
      <c r="K98">
        <v>12.8</v>
      </c>
      <c r="L98">
        <v>16.100000000000001</v>
      </c>
      <c r="M98">
        <v>19.2</v>
      </c>
      <c r="N98">
        <v>18.3</v>
      </c>
      <c r="O98">
        <v>15.2</v>
      </c>
      <c r="P98">
        <v>13</v>
      </c>
      <c r="Q98">
        <v>13.7</v>
      </c>
      <c r="R98">
        <v>11.7</v>
      </c>
      <c r="S98">
        <f t="shared" si="15"/>
        <v>43</v>
      </c>
      <c r="T98" t="s">
        <v>82</v>
      </c>
      <c r="U98">
        <f t="shared" si="16"/>
        <v>0.17</v>
      </c>
      <c r="V98">
        <f t="shared" si="14"/>
        <v>0.13900000000000001</v>
      </c>
      <c r="W98">
        <f t="shared" si="14"/>
        <v>0.128</v>
      </c>
      <c r="X98">
        <f t="shared" si="14"/>
        <v>0.161</v>
      </c>
      <c r="Y98">
        <f t="shared" si="14"/>
        <v>0.192</v>
      </c>
      <c r="Z98">
        <f t="shared" si="14"/>
        <v>0.183</v>
      </c>
      <c r="AA98">
        <f t="shared" si="14"/>
        <v>0.152</v>
      </c>
      <c r="AB98">
        <f t="shared" si="14"/>
        <v>0.13</v>
      </c>
      <c r="AC98">
        <f t="shared" si="14"/>
        <v>0.13699999999999998</v>
      </c>
      <c r="AD98">
        <f t="shared" si="14"/>
        <v>0.11699999999999999</v>
      </c>
    </row>
    <row r="99" spans="1:30" x14ac:dyDescent="0.25">
      <c r="A99">
        <v>431</v>
      </c>
      <c r="B99">
        <v>42</v>
      </c>
      <c r="C99">
        <v>0</v>
      </c>
      <c r="D99">
        <v>14</v>
      </c>
      <c r="E99">
        <v>10</v>
      </c>
      <c r="F99">
        <v>1</v>
      </c>
      <c r="G99">
        <v>10</v>
      </c>
      <c r="H99">
        <v>11</v>
      </c>
      <c r="I99">
        <v>-5</v>
      </c>
      <c r="J99">
        <v>17.2</v>
      </c>
      <c r="K99">
        <v>11.6</v>
      </c>
      <c r="L99">
        <v>10.4</v>
      </c>
      <c r="M99">
        <v>9.1</v>
      </c>
      <c r="N99">
        <v>8.6999999999999993</v>
      </c>
      <c r="O99">
        <v>8.6999999999999993</v>
      </c>
      <c r="P99">
        <v>9.8000000000000007</v>
      </c>
      <c r="Q99">
        <v>12.7</v>
      </c>
      <c r="R99">
        <v>11.8</v>
      </c>
      <c r="S99">
        <f t="shared" si="15"/>
        <v>42</v>
      </c>
      <c r="T99" t="s">
        <v>44</v>
      </c>
      <c r="U99" t="str">
        <f t="shared" si="16"/>
        <v/>
      </c>
      <c r="V99">
        <f t="shared" si="14"/>
        <v>0.17199999999999999</v>
      </c>
      <c r="W99">
        <f t="shared" si="14"/>
        <v>0.11599999999999999</v>
      </c>
      <c r="X99">
        <f t="shared" si="14"/>
        <v>0.10400000000000001</v>
      </c>
      <c r="Y99">
        <f t="shared" si="14"/>
        <v>9.0999999999999998E-2</v>
      </c>
      <c r="Z99">
        <f t="shared" si="14"/>
        <v>8.6999999999999994E-2</v>
      </c>
      <c r="AA99">
        <f t="shared" si="14"/>
        <v>8.6999999999999994E-2</v>
      </c>
      <c r="AB99">
        <f t="shared" si="14"/>
        <v>9.8000000000000004E-2</v>
      </c>
      <c r="AC99">
        <f t="shared" si="14"/>
        <v>0.127</v>
      </c>
      <c r="AD99">
        <f t="shared" si="14"/>
        <v>0.11800000000000001</v>
      </c>
    </row>
    <row r="100" spans="1:30" x14ac:dyDescent="0.25">
      <c r="A100">
        <v>430</v>
      </c>
      <c r="B100">
        <v>41</v>
      </c>
      <c r="C100">
        <v>0</v>
      </c>
      <c r="D100">
        <v>14</v>
      </c>
      <c r="E100">
        <v>10</v>
      </c>
      <c r="F100">
        <v>1</v>
      </c>
      <c r="G100">
        <v>10</v>
      </c>
      <c r="H100">
        <v>26</v>
      </c>
      <c r="I100">
        <v>-5</v>
      </c>
      <c r="J100">
        <v>19.8</v>
      </c>
      <c r="K100">
        <v>15.3</v>
      </c>
      <c r="L100">
        <v>14.7</v>
      </c>
      <c r="M100">
        <v>12.3</v>
      </c>
      <c r="N100">
        <v>10.7</v>
      </c>
      <c r="O100">
        <v>10.8</v>
      </c>
      <c r="P100">
        <v>10.8</v>
      </c>
      <c r="Q100">
        <v>12.8</v>
      </c>
      <c r="R100">
        <v>11.5</v>
      </c>
      <c r="S100">
        <f t="shared" si="15"/>
        <v>41</v>
      </c>
      <c r="T100" t="s">
        <v>43</v>
      </c>
      <c r="U100" t="str">
        <f t="shared" si="16"/>
        <v/>
      </c>
      <c r="V100">
        <f t="shared" si="14"/>
        <v>0.19800000000000001</v>
      </c>
      <c r="W100">
        <f t="shared" si="14"/>
        <v>0.153</v>
      </c>
      <c r="X100">
        <f t="shared" si="14"/>
        <v>0.14699999999999999</v>
      </c>
      <c r="Y100">
        <f t="shared" si="14"/>
        <v>0.12300000000000001</v>
      </c>
      <c r="Z100">
        <f t="shared" si="14"/>
        <v>0.107</v>
      </c>
      <c r="AA100">
        <f t="shared" si="14"/>
        <v>0.10800000000000001</v>
      </c>
      <c r="AB100">
        <f t="shared" si="14"/>
        <v>0.10800000000000001</v>
      </c>
      <c r="AC100">
        <f t="shared" si="14"/>
        <v>0.128</v>
      </c>
      <c r="AD100">
        <f t="shared" si="14"/>
        <v>0.115</v>
      </c>
    </row>
    <row r="101" spans="1:30" x14ac:dyDescent="0.25">
      <c r="A101">
        <v>429</v>
      </c>
      <c r="B101">
        <v>40</v>
      </c>
      <c r="C101">
        <v>0</v>
      </c>
      <c r="D101">
        <v>14</v>
      </c>
      <c r="E101">
        <v>10</v>
      </c>
      <c r="F101">
        <v>1</v>
      </c>
      <c r="G101">
        <v>10</v>
      </c>
      <c r="H101">
        <v>32</v>
      </c>
      <c r="I101">
        <v>-5</v>
      </c>
      <c r="J101">
        <v>22.6</v>
      </c>
      <c r="K101">
        <v>23.4</v>
      </c>
      <c r="L101">
        <v>18.399999999999999</v>
      </c>
      <c r="M101">
        <v>15.4</v>
      </c>
      <c r="N101">
        <v>15.7</v>
      </c>
      <c r="O101">
        <v>17.899999999999999</v>
      </c>
      <c r="P101">
        <v>16.3</v>
      </c>
      <c r="Q101">
        <v>15</v>
      </c>
      <c r="R101">
        <v>13.5</v>
      </c>
      <c r="S101">
        <f t="shared" si="15"/>
        <v>40</v>
      </c>
      <c r="T101" t="s">
        <v>41</v>
      </c>
      <c r="U101" t="str">
        <f t="shared" si="16"/>
        <v/>
      </c>
      <c r="V101">
        <f t="shared" si="14"/>
        <v>0.22600000000000001</v>
      </c>
      <c r="W101">
        <f t="shared" si="14"/>
        <v>0.23399999999999999</v>
      </c>
      <c r="X101">
        <f t="shared" si="14"/>
        <v>0.184</v>
      </c>
      <c r="Y101">
        <f t="shared" si="14"/>
        <v>0.154</v>
      </c>
      <c r="Z101">
        <f t="shared" si="14"/>
        <v>0.157</v>
      </c>
      <c r="AA101">
        <f t="shared" si="14"/>
        <v>0.17899999999999999</v>
      </c>
      <c r="AB101">
        <f t="shared" si="14"/>
        <v>0.16300000000000001</v>
      </c>
      <c r="AC101">
        <f t="shared" si="14"/>
        <v>0.15</v>
      </c>
      <c r="AD101">
        <f t="shared" si="14"/>
        <v>0.13500000000000001</v>
      </c>
    </row>
    <row r="102" spans="1:30" x14ac:dyDescent="0.25">
      <c r="A102">
        <v>428</v>
      </c>
      <c r="B102">
        <v>39</v>
      </c>
      <c r="C102">
        <v>0</v>
      </c>
      <c r="D102">
        <v>14</v>
      </c>
      <c r="E102">
        <v>10</v>
      </c>
      <c r="F102">
        <v>1</v>
      </c>
      <c r="G102">
        <v>10</v>
      </c>
      <c r="H102">
        <v>37</v>
      </c>
      <c r="I102">
        <v>-5</v>
      </c>
      <c r="J102">
        <v>18.8</v>
      </c>
      <c r="K102">
        <v>19.2</v>
      </c>
      <c r="L102">
        <v>17.100000000000001</v>
      </c>
      <c r="M102">
        <v>16.8</v>
      </c>
      <c r="N102">
        <v>17.7</v>
      </c>
      <c r="O102">
        <v>15.7</v>
      </c>
      <c r="P102">
        <v>14.1</v>
      </c>
      <c r="Q102">
        <v>16.899999999999999</v>
      </c>
      <c r="R102">
        <v>15.4</v>
      </c>
      <c r="S102">
        <f t="shared" si="15"/>
        <v>39</v>
      </c>
      <c r="T102" t="s">
        <v>40</v>
      </c>
      <c r="U102" t="str">
        <f t="shared" si="16"/>
        <v/>
      </c>
      <c r="V102">
        <f t="shared" si="14"/>
        <v>0.188</v>
      </c>
      <c r="W102">
        <f t="shared" si="14"/>
        <v>0.192</v>
      </c>
      <c r="X102">
        <f t="shared" si="14"/>
        <v>0.17100000000000001</v>
      </c>
      <c r="Y102">
        <f t="shared" si="14"/>
        <v>0.16800000000000001</v>
      </c>
      <c r="Z102">
        <f t="shared" si="14"/>
        <v>0.17699999999999999</v>
      </c>
      <c r="AA102">
        <f t="shared" si="14"/>
        <v>0.157</v>
      </c>
      <c r="AB102">
        <f t="shared" si="14"/>
        <v>0.14099999999999999</v>
      </c>
      <c r="AC102">
        <f t="shared" si="14"/>
        <v>0.16899999999999998</v>
      </c>
      <c r="AD102">
        <f t="shared" si="14"/>
        <v>0.154</v>
      </c>
    </row>
    <row r="103" spans="1:30" x14ac:dyDescent="0.25">
      <c r="A103">
        <v>427</v>
      </c>
      <c r="B103">
        <v>38</v>
      </c>
      <c r="C103">
        <v>0</v>
      </c>
      <c r="D103">
        <v>14</v>
      </c>
      <c r="E103">
        <v>10</v>
      </c>
      <c r="F103">
        <v>1</v>
      </c>
      <c r="G103">
        <v>10</v>
      </c>
      <c r="H103">
        <v>43</v>
      </c>
      <c r="I103">
        <v>-5</v>
      </c>
      <c r="J103">
        <v>23</v>
      </c>
      <c r="K103">
        <v>22</v>
      </c>
      <c r="L103">
        <v>18.600000000000001</v>
      </c>
      <c r="M103">
        <v>16.899999999999999</v>
      </c>
      <c r="N103">
        <v>16.899999999999999</v>
      </c>
      <c r="O103">
        <v>15.6</v>
      </c>
      <c r="P103">
        <v>14</v>
      </c>
      <c r="Q103">
        <v>15.6</v>
      </c>
      <c r="R103">
        <v>15.8</v>
      </c>
      <c r="S103">
        <f t="shared" si="15"/>
        <v>38</v>
      </c>
      <c r="T103" t="s">
        <v>37</v>
      </c>
      <c r="U103" t="str">
        <f t="shared" si="16"/>
        <v/>
      </c>
      <c r="V103">
        <f t="shared" si="14"/>
        <v>0.23</v>
      </c>
      <c r="W103">
        <f t="shared" si="14"/>
        <v>0.22</v>
      </c>
      <c r="X103">
        <f t="shared" si="14"/>
        <v>0.18600000000000003</v>
      </c>
      <c r="Y103">
        <f t="shared" ref="Y103:AD104" si="17">IF(M103&lt;0,"",M103/100)</f>
        <v>0.16899999999999998</v>
      </c>
      <c r="Z103">
        <f t="shared" si="17"/>
        <v>0.16899999999999998</v>
      </c>
      <c r="AA103">
        <f t="shared" si="17"/>
        <v>0.156</v>
      </c>
      <c r="AB103">
        <f t="shared" si="17"/>
        <v>0.14000000000000001</v>
      </c>
      <c r="AC103">
        <f t="shared" si="17"/>
        <v>0.156</v>
      </c>
      <c r="AD103">
        <f t="shared" si="17"/>
        <v>0.158</v>
      </c>
    </row>
    <row r="104" spans="1:30" x14ac:dyDescent="0.25">
      <c r="A104">
        <v>426</v>
      </c>
      <c r="B104">
        <v>37</v>
      </c>
      <c r="C104">
        <v>0</v>
      </c>
      <c r="D104">
        <v>14</v>
      </c>
      <c r="E104">
        <v>10</v>
      </c>
      <c r="F104">
        <v>1</v>
      </c>
      <c r="G104">
        <v>10</v>
      </c>
      <c r="H104">
        <v>41</v>
      </c>
      <c r="I104">
        <v>-5</v>
      </c>
      <c r="J104">
        <v>21.9</v>
      </c>
      <c r="K104">
        <v>17.5</v>
      </c>
      <c r="L104">
        <v>14.8</v>
      </c>
      <c r="M104">
        <v>14.6</v>
      </c>
      <c r="N104">
        <v>15.5</v>
      </c>
      <c r="O104">
        <v>14.7</v>
      </c>
      <c r="P104">
        <v>16.600000000000001</v>
      </c>
      <c r="Q104">
        <v>14.8</v>
      </c>
      <c r="R104">
        <v>12</v>
      </c>
      <c r="S104">
        <f t="shared" si="15"/>
        <v>37</v>
      </c>
      <c r="T104" t="s">
        <v>35</v>
      </c>
      <c r="U104" t="str">
        <f t="shared" si="16"/>
        <v/>
      </c>
      <c r="V104">
        <f t="shared" si="16"/>
        <v>0.21899999999999997</v>
      </c>
      <c r="W104">
        <f t="shared" si="16"/>
        <v>0.17499999999999999</v>
      </c>
      <c r="X104">
        <f t="shared" si="16"/>
        <v>0.14800000000000002</v>
      </c>
      <c r="Y104">
        <f t="shared" si="17"/>
        <v>0.14599999999999999</v>
      </c>
      <c r="Z104">
        <f t="shared" si="17"/>
        <v>0.155</v>
      </c>
      <c r="AA104">
        <f t="shared" si="17"/>
        <v>0.14699999999999999</v>
      </c>
      <c r="AB104">
        <f t="shared" si="17"/>
        <v>0.16600000000000001</v>
      </c>
      <c r="AC104">
        <f t="shared" si="17"/>
        <v>0.14800000000000002</v>
      </c>
      <c r="AD104">
        <f t="shared" si="17"/>
        <v>0.12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Standards</vt:lpstr>
      <vt:lpstr>2014-0527</vt:lpstr>
      <vt:lpstr>2014-0610</vt:lpstr>
      <vt:lpstr>2014-0616</vt:lpstr>
      <vt:lpstr>2014-0623</vt:lpstr>
      <vt:lpstr>2014-0630</vt:lpstr>
      <vt:lpstr>2014-0707</vt:lpstr>
      <vt:lpstr>2014-0715</vt:lpstr>
      <vt:lpstr>2014-0721</vt:lpstr>
      <vt:lpstr>2014-0728</vt:lpstr>
      <vt:lpstr>2014-0805</vt:lpstr>
      <vt:lpstr>2014-0811</vt:lpstr>
      <vt:lpstr>2014-0818</vt:lpstr>
      <vt:lpstr>2014-0825</vt:lpstr>
      <vt:lpstr>2014-0902</vt:lpstr>
      <vt:lpstr>2014-0916</vt:lpstr>
      <vt:lpstr>2014-0922</vt:lpstr>
      <vt:lpstr>2014-1001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2014-06-02T16:27:13Z</dcterms:created>
  <dcterms:modified xsi:type="dcterms:W3CDTF">2024-07-03T14:06:31Z</dcterms:modified>
</cp:coreProperties>
</file>