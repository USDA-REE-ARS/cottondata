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E:\mnt\Data1\USDA-ALARC\GIS\PDI project\cottondata\Data\2014_F013B4_CO_ISOS\"/>
    </mc:Choice>
  </mc:AlternateContent>
  <xr:revisionPtr revIDLastSave="0" documentId="13_ncr:1_{3A6DB973-2F1B-4B28-BC14-2844C5C28051}" xr6:coauthVersionLast="47" xr6:coauthVersionMax="47" xr10:uidLastSave="{00000000-0000-0000-0000-000000000000}"/>
  <bookViews>
    <workbookView xWindow="-1440" yWindow="-20070" windowWidth="18015" windowHeight="16980" xr2:uid="{01FD597E-FF6D-40A9-A591-C86D9BBE6975}"/>
  </bookViews>
  <sheets>
    <sheet name="PlantDF" sheetId="1" r:id="rId1"/>
    <sheet name="d175Weights" sheetId="2" r:id="rId2"/>
    <sheet name="d175Height" sheetId="5" r:id="rId3"/>
    <sheet name="d203Weights" sheetId="3" r:id="rId4"/>
    <sheet name="d203Height" sheetId="6" r:id="rId5"/>
    <sheet name="d230Weights" sheetId="4" r:id="rId6"/>
    <sheet name="d230Height" sheetId="7" r:id="rId7"/>
  </sheets>
  <definedNames>
    <definedName name="_xlnm.Print_Area" localSheetId="2">d175Height!$B$1:$N$15</definedName>
    <definedName name="_xlnm.Print_Area" localSheetId="1">d175Weights!$B$1:$W$25</definedName>
    <definedName name="_xlnm.Print_Area" localSheetId="4">d203Height!$B$1:$O$15</definedName>
    <definedName name="_xlnm.Print_Area" localSheetId="3">d203Weights!$B$1:$X$25</definedName>
    <definedName name="_xlnm.Print_Area" localSheetId="6">d230Height!$B$1:$O$15</definedName>
    <definedName name="_xlnm.Print_Titles" localSheetId="2">d175Height!$7:$8</definedName>
    <definedName name="_xlnm.Print_Titles" localSheetId="4">d203Height!$7:$8</definedName>
    <definedName name="_xlnm.Print_Titles" localSheetId="6">d230Height!$7:$8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7" l="1"/>
  <c r="G19" i="7"/>
  <c r="E20" i="7"/>
  <c r="G20" i="7"/>
  <c r="E21" i="7"/>
  <c r="G21" i="7"/>
  <c r="E22" i="7"/>
  <c r="G22" i="7"/>
  <c r="E23" i="7"/>
  <c r="G23" i="7"/>
  <c r="E24" i="7"/>
  <c r="G24" i="7"/>
  <c r="E25" i="7"/>
  <c r="G25" i="7"/>
  <c r="G20" i="6"/>
  <c r="H20" i="6"/>
  <c r="K20" i="6"/>
  <c r="L20" i="6"/>
  <c r="G21" i="6"/>
  <c r="H21" i="6"/>
  <c r="K21" i="6"/>
  <c r="L21" i="6"/>
  <c r="G22" i="6"/>
  <c r="H22" i="6"/>
  <c r="K22" i="6"/>
  <c r="L22" i="6"/>
  <c r="G23" i="6"/>
  <c r="H23" i="6"/>
  <c r="K23" i="6"/>
  <c r="L23" i="6"/>
  <c r="G24" i="6"/>
  <c r="H24" i="6"/>
  <c r="L24" i="6" s="1"/>
  <c r="K24" i="6"/>
  <c r="G25" i="6"/>
  <c r="H25" i="6"/>
  <c r="K25" i="6"/>
  <c r="L25" i="6"/>
  <c r="G26" i="6"/>
  <c r="H26" i="6"/>
  <c r="K26" i="6"/>
  <c r="L26" i="6"/>
  <c r="G27" i="6"/>
  <c r="H27" i="6"/>
  <c r="K27" i="6"/>
  <c r="L27" i="6"/>
  <c r="G28" i="6"/>
  <c r="H28" i="6"/>
  <c r="K28" i="6"/>
  <c r="L28" i="6"/>
  <c r="G29" i="6"/>
  <c r="H29" i="6"/>
  <c r="K29" i="6"/>
  <c r="L29" i="6"/>
  <c r="G30" i="6"/>
  <c r="H30" i="6"/>
  <c r="K30" i="6"/>
  <c r="L30" i="6"/>
  <c r="G31" i="6"/>
  <c r="H31" i="6"/>
  <c r="K31" i="6"/>
  <c r="L31" i="6"/>
  <c r="G32" i="6"/>
  <c r="H32" i="6"/>
  <c r="L32" i="6" s="1"/>
  <c r="K32" i="6"/>
  <c r="G33" i="6"/>
  <c r="H33" i="6"/>
  <c r="K33" i="6"/>
  <c r="L33" i="6"/>
  <c r="G20" i="5"/>
  <c r="H20" i="5"/>
  <c r="K20" i="5"/>
  <c r="L20" i="5"/>
  <c r="G21" i="5"/>
  <c r="H21" i="5"/>
  <c r="K21" i="5"/>
  <c r="L21" i="5"/>
  <c r="G22" i="5"/>
  <c r="H22" i="5"/>
  <c r="K22" i="5"/>
  <c r="L22" i="5"/>
  <c r="G23" i="5"/>
  <c r="H23" i="5"/>
  <c r="K23" i="5"/>
  <c r="L23" i="5"/>
  <c r="G24" i="5"/>
  <c r="H24" i="5"/>
  <c r="K24" i="5"/>
  <c r="L24" i="5"/>
  <c r="G25" i="5"/>
  <c r="H25" i="5"/>
  <c r="K25" i="5"/>
  <c r="L25" i="5"/>
  <c r="G26" i="5"/>
  <c r="H26" i="5"/>
  <c r="K26" i="5"/>
  <c r="L26" i="5"/>
  <c r="G27" i="5"/>
  <c r="H27" i="5"/>
  <c r="K27" i="5"/>
  <c r="L27" i="5"/>
  <c r="G28" i="5"/>
  <c r="H28" i="5"/>
  <c r="K28" i="5"/>
  <c r="L28" i="5"/>
  <c r="G29" i="5"/>
  <c r="H29" i="5"/>
  <c r="K29" i="5"/>
  <c r="L29" i="5"/>
  <c r="G30" i="5"/>
  <c r="H30" i="5"/>
  <c r="K30" i="5"/>
  <c r="L30" i="5"/>
  <c r="G31" i="5"/>
  <c r="H31" i="5"/>
  <c r="K31" i="5"/>
  <c r="L31" i="5"/>
  <c r="G32" i="5"/>
  <c r="H32" i="5"/>
  <c r="K32" i="5"/>
  <c r="L32" i="5"/>
  <c r="G33" i="5"/>
  <c r="H33" i="5"/>
  <c r="K33" i="5"/>
  <c r="L33" i="5"/>
  <c r="Y25" i="2"/>
  <c r="AD25" i="2"/>
  <c r="AE25" i="2"/>
  <c r="V12" i="4"/>
  <c r="AA12" i="4"/>
  <c r="AB12" i="4"/>
  <c r="AC12" i="4"/>
  <c r="AD12" i="4"/>
  <c r="AE12" i="4"/>
  <c r="AF12" i="4"/>
  <c r="AG12" i="4"/>
  <c r="AH12" i="4"/>
  <c r="AI12" i="4"/>
  <c r="AK12" i="4"/>
  <c r="AM12" i="4"/>
  <c r="AO12" i="4"/>
  <c r="AP12" i="4"/>
  <c r="AQ12" i="4"/>
  <c r="AR12" i="4"/>
  <c r="AS12" i="4"/>
  <c r="AT12" i="4"/>
  <c r="AU12" i="4"/>
  <c r="AV12" i="4"/>
  <c r="AW12" i="4"/>
  <c r="AX12" i="4"/>
  <c r="AY12" i="4"/>
  <c r="AZ12" i="4"/>
  <c r="BA12" i="4"/>
  <c r="BB12" i="4"/>
  <c r="BC12" i="4"/>
  <c r="V13" i="4"/>
  <c r="AM13" i="4"/>
  <c r="AO13" i="4"/>
  <c r="AP13" i="4"/>
  <c r="AQ13" i="4"/>
  <c r="AR13" i="4"/>
  <c r="AS13" i="4"/>
  <c r="AT13" i="4"/>
  <c r="AU13" i="4"/>
  <c r="AV13" i="4"/>
  <c r="AW13" i="4"/>
  <c r="AX13" i="4"/>
  <c r="AY13" i="4"/>
  <c r="AZ13" i="4"/>
  <c r="BA13" i="4"/>
  <c r="BB13" i="4"/>
  <c r="BC13" i="4"/>
  <c r="V14" i="4"/>
  <c r="AA14" i="4"/>
  <c r="AB14" i="4"/>
  <c r="AC14" i="4"/>
  <c r="AD14" i="4"/>
  <c r="AD30" i="4" s="1"/>
  <c r="AE14" i="4"/>
  <c r="AE30" i="4" s="1"/>
  <c r="AF14" i="4"/>
  <c r="AF30" i="4" s="1"/>
  <c r="AG14" i="4"/>
  <c r="AG30" i="4" s="1"/>
  <c r="AH14" i="4"/>
  <c r="AH30" i="4" s="1"/>
  <c r="AI14" i="4"/>
  <c r="AI30" i="4" s="1"/>
  <c r="AK14" i="4"/>
  <c r="AM14" i="4"/>
  <c r="AO14" i="4"/>
  <c r="AP14" i="4"/>
  <c r="AQ14" i="4"/>
  <c r="AR14" i="4"/>
  <c r="AS14" i="4"/>
  <c r="AT14" i="4"/>
  <c r="AW14" i="4" s="1"/>
  <c r="AU14" i="4"/>
  <c r="AV14" i="4"/>
  <c r="AX14" i="4"/>
  <c r="AY14" i="4"/>
  <c r="AZ14" i="4"/>
  <c r="BA14" i="4"/>
  <c r="BB14" i="4"/>
  <c r="BC14" i="4"/>
  <c r="V15" i="4"/>
  <c r="AM15" i="4"/>
  <c r="AO15" i="4"/>
  <c r="AP15" i="4"/>
  <c r="AQ15" i="4"/>
  <c r="AR15" i="4"/>
  <c r="AS15" i="4"/>
  <c r="AT15" i="4"/>
  <c r="AU15" i="4"/>
  <c r="AV15" i="4"/>
  <c r="AW15" i="4"/>
  <c r="AX15" i="4"/>
  <c r="AY15" i="4"/>
  <c r="AZ15" i="4"/>
  <c r="BA15" i="4"/>
  <c r="BB15" i="4"/>
  <c r="BC15" i="4"/>
  <c r="V16" i="4"/>
  <c r="AA16" i="4"/>
  <c r="AA29" i="4" s="1"/>
  <c r="AB16" i="4"/>
  <c r="AB29" i="4" s="1"/>
  <c r="AC16" i="4"/>
  <c r="AC29" i="4" s="1"/>
  <c r="AD16" i="4"/>
  <c r="AD29" i="4" s="1"/>
  <c r="AE16" i="4"/>
  <c r="AE33" i="4" s="1"/>
  <c r="AF16" i="4"/>
  <c r="AF29" i="4" s="1"/>
  <c r="AG16" i="4"/>
  <c r="AG29" i="4" s="1"/>
  <c r="AH16" i="4"/>
  <c r="AI16" i="4"/>
  <c r="AK16" i="4"/>
  <c r="AM16" i="4"/>
  <c r="AO16" i="4"/>
  <c r="AP16" i="4"/>
  <c r="AQ16" i="4"/>
  <c r="AR16" i="4"/>
  <c r="AS16" i="4"/>
  <c r="AT16" i="4"/>
  <c r="AU16" i="4"/>
  <c r="AV16" i="4"/>
  <c r="AW16" i="4"/>
  <c r="AX16" i="4"/>
  <c r="AY16" i="4"/>
  <c r="AZ16" i="4"/>
  <c r="BA16" i="4"/>
  <c r="BB16" i="4"/>
  <c r="BC16" i="4"/>
  <c r="V17" i="4"/>
  <c r="AM17" i="4"/>
  <c r="AO17" i="4"/>
  <c r="AP17" i="4"/>
  <c r="AQ17" i="4"/>
  <c r="AR17" i="4"/>
  <c r="AS17" i="4"/>
  <c r="AT17" i="4"/>
  <c r="AU17" i="4"/>
  <c r="AV17" i="4"/>
  <c r="AW17" i="4"/>
  <c r="AX17" i="4"/>
  <c r="AY17" i="4"/>
  <c r="AZ17" i="4"/>
  <c r="BA17" i="4"/>
  <c r="BB17" i="4"/>
  <c r="BC17" i="4"/>
  <c r="V18" i="4"/>
  <c r="AA18" i="4"/>
  <c r="AB18" i="4"/>
  <c r="AC18" i="4"/>
  <c r="AD18" i="4"/>
  <c r="AE18" i="4"/>
  <c r="AF18" i="4"/>
  <c r="AG18" i="4"/>
  <c r="AH18" i="4"/>
  <c r="AI18" i="4"/>
  <c r="AK18" i="4"/>
  <c r="AM18" i="4"/>
  <c r="AO18" i="4"/>
  <c r="AP18" i="4"/>
  <c r="AQ18" i="4"/>
  <c r="AR18" i="4"/>
  <c r="AS18" i="4"/>
  <c r="AT18" i="4"/>
  <c r="AU18" i="4"/>
  <c r="AV18" i="4"/>
  <c r="AW18" i="4"/>
  <c r="AX18" i="4"/>
  <c r="AY18" i="4"/>
  <c r="AZ18" i="4"/>
  <c r="BA18" i="4"/>
  <c r="BB18" i="4"/>
  <c r="BC18" i="4"/>
  <c r="V19" i="4"/>
  <c r="AM19" i="4"/>
  <c r="AO19" i="4"/>
  <c r="AP19" i="4"/>
  <c r="AQ19" i="4"/>
  <c r="AR19" i="4"/>
  <c r="AS19" i="4"/>
  <c r="AT19" i="4"/>
  <c r="AU19" i="4"/>
  <c r="AV19" i="4"/>
  <c r="AW19" i="4"/>
  <c r="AX19" i="4"/>
  <c r="AY19" i="4"/>
  <c r="AZ19" i="4"/>
  <c r="BA19" i="4"/>
  <c r="BB19" i="4"/>
  <c r="BC19" i="4"/>
  <c r="V20" i="4"/>
  <c r="AA20" i="4"/>
  <c r="AA37" i="4" s="1"/>
  <c r="AB20" i="4"/>
  <c r="AC20" i="4"/>
  <c r="AD20" i="4"/>
  <c r="AE20" i="4"/>
  <c r="AE37" i="4" s="1"/>
  <c r="AF20" i="4"/>
  <c r="AG20" i="4"/>
  <c r="AH20" i="4"/>
  <c r="AH29" i="4" s="1"/>
  <c r="AI20" i="4"/>
  <c r="AI29" i="4" s="1"/>
  <c r="AK20" i="4"/>
  <c r="AM20" i="4"/>
  <c r="AO20" i="4"/>
  <c r="AP20" i="4"/>
  <c r="AQ20" i="4"/>
  <c r="AR20" i="4"/>
  <c r="AS20" i="4"/>
  <c r="AT20" i="4"/>
  <c r="AU20" i="4"/>
  <c r="AV20" i="4"/>
  <c r="AW20" i="4"/>
  <c r="AX20" i="4"/>
  <c r="AY20" i="4"/>
  <c r="AZ20" i="4"/>
  <c r="BA20" i="4"/>
  <c r="BB20" i="4"/>
  <c r="BC20" i="4"/>
  <c r="V21" i="4"/>
  <c r="AM21" i="4"/>
  <c r="AO21" i="4"/>
  <c r="AP21" i="4"/>
  <c r="AQ21" i="4"/>
  <c r="AR21" i="4"/>
  <c r="AS21" i="4"/>
  <c r="AT21" i="4"/>
  <c r="AU21" i="4"/>
  <c r="AV21" i="4"/>
  <c r="AW21" i="4"/>
  <c r="AX21" i="4"/>
  <c r="AY21" i="4"/>
  <c r="AZ21" i="4"/>
  <c r="BA21" i="4"/>
  <c r="BB21" i="4"/>
  <c r="BC21" i="4"/>
  <c r="V22" i="4"/>
  <c r="AA22" i="4"/>
  <c r="AA38" i="4" s="1"/>
  <c r="AB22" i="4"/>
  <c r="AB30" i="4" s="1"/>
  <c r="AC22" i="4"/>
  <c r="AC30" i="4" s="1"/>
  <c r="AD22" i="4"/>
  <c r="AE22" i="4"/>
  <c r="AF22" i="4"/>
  <c r="AG22" i="4"/>
  <c r="AH22" i="4"/>
  <c r="AI22" i="4"/>
  <c r="AK22" i="4"/>
  <c r="AM22" i="4"/>
  <c r="AO22" i="4"/>
  <c r="AP22" i="4"/>
  <c r="AQ22" i="4"/>
  <c r="AR22" i="4"/>
  <c r="AS22" i="4"/>
  <c r="AT22" i="4"/>
  <c r="AU22" i="4"/>
  <c r="AV22" i="4"/>
  <c r="AW22" i="4"/>
  <c r="AX22" i="4"/>
  <c r="AY22" i="4"/>
  <c r="AZ22" i="4"/>
  <c r="BA22" i="4"/>
  <c r="BB22" i="4"/>
  <c r="BC22" i="4"/>
  <c r="V23" i="4"/>
  <c r="AM23" i="4"/>
  <c r="AO23" i="4"/>
  <c r="AP23" i="4"/>
  <c r="AQ23" i="4"/>
  <c r="AR23" i="4"/>
  <c r="AS23" i="4"/>
  <c r="AT23" i="4"/>
  <c r="AW23" i="4" s="1"/>
  <c r="AU23" i="4"/>
  <c r="AV23" i="4"/>
  <c r="AX23" i="4"/>
  <c r="AY23" i="4"/>
  <c r="AZ23" i="4"/>
  <c r="BA23" i="4"/>
  <c r="BB23" i="4"/>
  <c r="BC23" i="4"/>
  <c r="V24" i="4"/>
  <c r="AA24" i="4"/>
  <c r="AB24" i="4"/>
  <c r="AC24" i="4"/>
  <c r="AD24" i="4"/>
  <c r="AE24" i="4"/>
  <c r="AF24" i="4"/>
  <c r="AG24" i="4"/>
  <c r="AH24" i="4"/>
  <c r="AI24" i="4"/>
  <c r="AK24" i="4"/>
  <c r="AM24" i="4"/>
  <c r="AO24" i="4"/>
  <c r="AP24" i="4"/>
  <c r="AQ24" i="4"/>
  <c r="AR24" i="4"/>
  <c r="AS24" i="4"/>
  <c r="AT24" i="4"/>
  <c r="AU24" i="4"/>
  <c r="AV24" i="4"/>
  <c r="AW24" i="4"/>
  <c r="AX24" i="4"/>
  <c r="AY24" i="4"/>
  <c r="AZ24" i="4"/>
  <c r="BA24" i="4"/>
  <c r="BB24" i="4"/>
  <c r="BC24" i="4"/>
  <c r="V25" i="4"/>
  <c r="AM25" i="4"/>
  <c r="AO25" i="4"/>
  <c r="AP25" i="4"/>
  <c r="AQ25" i="4"/>
  <c r="AR25" i="4"/>
  <c r="AS25" i="4"/>
  <c r="AT25" i="4"/>
  <c r="AU25" i="4"/>
  <c r="AV25" i="4"/>
  <c r="AW25" i="4"/>
  <c r="AX25" i="4"/>
  <c r="AY25" i="4"/>
  <c r="AZ25" i="4"/>
  <c r="BA25" i="4"/>
  <c r="BB25" i="4"/>
  <c r="BC25" i="4"/>
  <c r="D27" i="4"/>
  <c r="D29" i="4" s="1"/>
  <c r="L28" i="4"/>
  <c r="AA28" i="4"/>
  <c r="AB28" i="4"/>
  <c r="AC28" i="4"/>
  <c r="AD28" i="4"/>
  <c r="AE28" i="4"/>
  <c r="AF28" i="4"/>
  <c r="AG28" i="4"/>
  <c r="AH28" i="4"/>
  <c r="AH32" i="4" s="1"/>
  <c r="AI28" i="4"/>
  <c r="AI32" i="4" s="1"/>
  <c r="AK28" i="4"/>
  <c r="L29" i="4"/>
  <c r="L30" i="4"/>
  <c r="AA32" i="4"/>
  <c r="AE32" i="4"/>
  <c r="AA33" i="4"/>
  <c r="AA34" i="4"/>
  <c r="AE34" i="4"/>
  <c r="AA36" i="4"/>
  <c r="AE36" i="4"/>
  <c r="AE38" i="4"/>
  <c r="W12" i="3"/>
  <c r="Z12" i="3"/>
  <c r="AA12" i="3"/>
  <c r="AB12" i="3"/>
  <c r="AC12" i="3"/>
  <c r="AD12" i="3"/>
  <c r="AE12" i="3"/>
  <c r="AF12" i="3"/>
  <c r="AI12" i="3"/>
  <c r="AJ12" i="3"/>
  <c r="AK12" i="3"/>
  <c r="AL12" i="3"/>
  <c r="AM12" i="3"/>
  <c r="AN12" i="3"/>
  <c r="AO12" i="3"/>
  <c r="AP12" i="3"/>
  <c r="AQ12" i="3"/>
  <c r="AR12" i="3"/>
  <c r="AS12" i="3"/>
  <c r="AT12" i="3"/>
  <c r="W13" i="3"/>
  <c r="AN13" i="3" s="1"/>
  <c r="Z13" i="3"/>
  <c r="Z32" i="3" s="1"/>
  <c r="AA13" i="3"/>
  <c r="AB13" i="3"/>
  <c r="AC13" i="3"/>
  <c r="AD13" i="3"/>
  <c r="AD32" i="3" s="1"/>
  <c r="AE13" i="3"/>
  <c r="AF13" i="3"/>
  <c r="AI13" i="3"/>
  <c r="AJ13" i="3"/>
  <c r="AK13" i="3"/>
  <c r="AL13" i="3"/>
  <c r="AM13" i="3"/>
  <c r="AP13" i="3"/>
  <c r="AQ13" i="3"/>
  <c r="AS13" i="3"/>
  <c r="AT13" i="3"/>
  <c r="W14" i="3"/>
  <c r="Z14" i="3"/>
  <c r="AA14" i="3"/>
  <c r="AB14" i="3"/>
  <c r="AC14" i="3"/>
  <c r="AD14" i="3"/>
  <c r="AE14" i="3"/>
  <c r="AF14" i="3"/>
  <c r="AI14" i="3"/>
  <c r="AJ14" i="3"/>
  <c r="AK14" i="3"/>
  <c r="AL14" i="3"/>
  <c r="AM14" i="3"/>
  <c r="AN14" i="3"/>
  <c r="AO14" i="3"/>
  <c r="AP14" i="3"/>
  <c r="AQ14" i="3"/>
  <c r="AR14" i="3"/>
  <c r="AS14" i="3"/>
  <c r="AT14" i="3"/>
  <c r="W15" i="3"/>
  <c r="AL15" i="3" s="1"/>
  <c r="Z15" i="3"/>
  <c r="Z34" i="3" s="1"/>
  <c r="AA15" i="3"/>
  <c r="AB15" i="3"/>
  <c r="AC15" i="3"/>
  <c r="AE15" i="3"/>
  <c r="AI15" i="3"/>
  <c r="AJ15" i="3"/>
  <c r="AK15" i="3"/>
  <c r="AM15" i="3"/>
  <c r="AP15" i="3"/>
  <c r="AQ15" i="3"/>
  <c r="AS15" i="3"/>
  <c r="AT15" i="3"/>
  <c r="W16" i="3"/>
  <c r="Z16" i="3"/>
  <c r="Z29" i="3" s="1"/>
  <c r="AA16" i="3"/>
  <c r="AB16" i="3"/>
  <c r="AB29" i="3" s="1"/>
  <c r="AC16" i="3"/>
  <c r="AC29" i="3" s="1"/>
  <c r="AD16" i="3"/>
  <c r="AE16" i="3"/>
  <c r="AE29" i="3" s="1"/>
  <c r="AF16" i="3"/>
  <c r="AI16" i="3"/>
  <c r="AJ16" i="3"/>
  <c r="AK16" i="3"/>
  <c r="AL16" i="3"/>
  <c r="AM16" i="3"/>
  <c r="AN16" i="3"/>
  <c r="AO16" i="3"/>
  <c r="AR16" i="3" s="1"/>
  <c r="AP16" i="3"/>
  <c r="AQ16" i="3"/>
  <c r="AS16" i="3"/>
  <c r="AT16" i="3"/>
  <c r="W17" i="3"/>
  <c r="Z17" i="3"/>
  <c r="AA17" i="3"/>
  <c r="AB17" i="3"/>
  <c r="AC17" i="3"/>
  <c r="AD17" i="3"/>
  <c r="AF17" i="3"/>
  <c r="AI17" i="3"/>
  <c r="AJ17" i="3"/>
  <c r="AK17" i="3"/>
  <c r="AL17" i="3"/>
  <c r="AM17" i="3"/>
  <c r="AN17" i="3"/>
  <c r="AO17" i="3"/>
  <c r="AP17" i="3"/>
  <c r="AQ17" i="3"/>
  <c r="AR17" i="3"/>
  <c r="AS17" i="3"/>
  <c r="AT17" i="3"/>
  <c r="W18" i="3"/>
  <c r="AO18" i="3" s="1"/>
  <c r="AR18" i="3" s="1"/>
  <c r="Z18" i="3"/>
  <c r="AA18" i="3"/>
  <c r="AB18" i="3"/>
  <c r="AC18" i="3"/>
  <c r="AD18" i="3"/>
  <c r="AD36" i="3" s="1"/>
  <c r="AE18" i="3"/>
  <c r="AF18" i="3"/>
  <c r="AI18" i="3"/>
  <c r="AJ18" i="3"/>
  <c r="AK18" i="3"/>
  <c r="AM18" i="3"/>
  <c r="AP18" i="3"/>
  <c r="AQ18" i="3"/>
  <c r="AS18" i="3"/>
  <c r="AT18" i="3"/>
  <c r="W19" i="3"/>
  <c r="Z19" i="3"/>
  <c r="AA19" i="3"/>
  <c r="AB19" i="3"/>
  <c r="AC19" i="3"/>
  <c r="AD19" i="3"/>
  <c r="AE19" i="3"/>
  <c r="AF19" i="3"/>
  <c r="AI19" i="3"/>
  <c r="AJ19" i="3"/>
  <c r="AK19" i="3"/>
  <c r="AL19" i="3"/>
  <c r="AM19" i="3"/>
  <c r="AN19" i="3"/>
  <c r="AO19" i="3"/>
  <c r="AP19" i="3"/>
  <c r="AQ19" i="3"/>
  <c r="AR19" i="3"/>
  <c r="AS19" i="3"/>
  <c r="AT19" i="3"/>
  <c r="W20" i="3"/>
  <c r="AL20" i="3" s="1"/>
  <c r="Z20" i="3"/>
  <c r="AB20" i="3"/>
  <c r="AC20" i="3"/>
  <c r="AE20" i="3"/>
  <c r="AI20" i="3"/>
  <c r="AJ20" i="3"/>
  <c r="AK20" i="3"/>
  <c r="AM20" i="3"/>
  <c r="AP20" i="3"/>
  <c r="AQ20" i="3"/>
  <c r="AS20" i="3"/>
  <c r="AT20" i="3"/>
  <c r="W21" i="3"/>
  <c r="AN21" i="3" s="1"/>
  <c r="Z21" i="3"/>
  <c r="AA21" i="3"/>
  <c r="AB21" i="3"/>
  <c r="AC21" i="3"/>
  <c r="AD21" i="3"/>
  <c r="AE21" i="3"/>
  <c r="AF21" i="3"/>
  <c r="AI21" i="3"/>
  <c r="AJ21" i="3"/>
  <c r="AK21" i="3"/>
  <c r="AL21" i="3"/>
  <c r="AM21" i="3"/>
  <c r="AP21" i="3"/>
  <c r="AQ21" i="3"/>
  <c r="AS21" i="3"/>
  <c r="AT21" i="3"/>
  <c r="W22" i="3"/>
  <c r="Z22" i="3"/>
  <c r="AA22" i="3"/>
  <c r="AB22" i="3"/>
  <c r="AC22" i="3"/>
  <c r="AD22" i="3"/>
  <c r="AE22" i="3"/>
  <c r="AF22" i="3"/>
  <c r="AI22" i="3"/>
  <c r="AJ22" i="3"/>
  <c r="AK22" i="3"/>
  <c r="AL22" i="3"/>
  <c r="AM22" i="3"/>
  <c r="AN22" i="3"/>
  <c r="AO22" i="3"/>
  <c r="AP22" i="3"/>
  <c r="AQ22" i="3"/>
  <c r="AR22" i="3"/>
  <c r="AS22" i="3"/>
  <c r="AT22" i="3"/>
  <c r="W23" i="3"/>
  <c r="AD23" i="3" s="1"/>
  <c r="Z23" i="3"/>
  <c r="Z30" i="3" s="1"/>
  <c r="AA23" i="3"/>
  <c r="AA30" i="3" s="1"/>
  <c r="AB23" i="3"/>
  <c r="AB30" i="3" s="1"/>
  <c r="AC23" i="3"/>
  <c r="AC30" i="3" s="1"/>
  <c r="AE23" i="3"/>
  <c r="AI23" i="3"/>
  <c r="AJ23" i="3"/>
  <c r="AK23" i="3"/>
  <c r="AM23" i="3"/>
  <c r="AP23" i="3"/>
  <c r="AQ23" i="3"/>
  <c r="AS23" i="3"/>
  <c r="AT23" i="3"/>
  <c r="W24" i="3"/>
  <c r="Z24" i="3"/>
  <c r="AA24" i="3"/>
  <c r="AB24" i="3"/>
  <c r="AC24" i="3"/>
  <c r="AD24" i="3"/>
  <c r="AE24" i="3"/>
  <c r="AF24" i="3"/>
  <c r="AI24" i="3"/>
  <c r="AJ24" i="3"/>
  <c r="AK24" i="3"/>
  <c r="AL24" i="3"/>
  <c r="AM24" i="3"/>
  <c r="AN24" i="3"/>
  <c r="AO24" i="3"/>
  <c r="AR24" i="3" s="1"/>
  <c r="AP24" i="3"/>
  <c r="AQ24" i="3"/>
  <c r="AS24" i="3"/>
  <c r="AT24" i="3"/>
  <c r="W25" i="3"/>
  <c r="Z25" i="3"/>
  <c r="AA25" i="3"/>
  <c r="AB25" i="3"/>
  <c r="AC25" i="3"/>
  <c r="AD25" i="3"/>
  <c r="AE25" i="3"/>
  <c r="AF25" i="3"/>
  <c r="AI25" i="3"/>
  <c r="AJ25" i="3"/>
  <c r="AK25" i="3"/>
  <c r="AL25" i="3"/>
  <c r="AM25" i="3"/>
  <c r="AN25" i="3"/>
  <c r="AO25" i="3"/>
  <c r="AP25" i="3"/>
  <c r="AQ25" i="3"/>
  <c r="AR25" i="3"/>
  <c r="AS25" i="3"/>
  <c r="AT25" i="3"/>
  <c r="E27" i="3"/>
  <c r="N28" i="3"/>
  <c r="Z28" i="3"/>
  <c r="AA28" i="3"/>
  <c r="AB28" i="3"/>
  <c r="AC28" i="3"/>
  <c r="AD28" i="3"/>
  <c r="AE28" i="3"/>
  <c r="AF28" i="3"/>
  <c r="N29" i="3"/>
  <c r="N30" i="3"/>
  <c r="AE30" i="3"/>
  <c r="Z33" i="3"/>
  <c r="AD33" i="3"/>
  <c r="Z36" i="3"/>
  <c r="Z37" i="3"/>
  <c r="Z38" i="3"/>
  <c r="U12" i="2"/>
  <c r="X12" i="2"/>
  <c r="Y12" i="2"/>
  <c r="Z12" i="2"/>
  <c r="AA12" i="2"/>
  <c r="AB12" i="2"/>
  <c r="AC12" i="2"/>
  <c r="AD12" i="2"/>
  <c r="AE12" i="2"/>
  <c r="AH12" i="2"/>
  <c r="AI12" i="2"/>
  <c r="AJ12" i="2"/>
  <c r="AK12" i="2"/>
  <c r="AL12" i="2"/>
  <c r="AM12" i="2"/>
  <c r="AN12" i="2"/>
  <c r="AO12" i="2"/>
  <c r="AP12" i="2"/>
  <c r="AQ12" i="2"/>
  <c r="AR12" i="2"/>
  <c r="U13" i="2"/>
  <c r="AL13" i="2" s="1"/>
  <c r="X13" i="2"/>
  <c r="AR13" i="2" s="1"/>
  <c r="Y13" i="2"/>
  <c r="Y32" i="2" s="1"/>
  <c r="Z13" i="2"/>
  <c r="AA13" i="2"/>
  <c r="AB13" i="2"/>
  <c r="AC13" i="2"/>
  <c r="AC32" i="2" s="1"/>
  <c r="AD13" i="2"/>
  <c r="AE13" i="2"/>
  <c r="AH13" i="2"/>
  <c r="AI13" i="2"/>
  <c r="AJ13" i="2"/>
  <c r="AK13" i="2"/>
  <c r="AN13" i="2"/>
  <c r="AO13" i="2"/>
  <c r="AQ13" i="2"/>
  <c r="U14" i="2"/>
  <c r="X14" i="2"/>
  <c r="Y14" i="2"/>
  <c r="Z14" i="2"/>
  <c r="AA14" i="2"/>
  <c r="AB14" i="2"/>
  <c r="AC14" i="2"/>
  <c r="AD14" i="2"/>
  <c r="AE14" i="2"/>
  <c r="AH14" i="2"/>
  <c r="AI14" i="2"/>
  <c r="AJ14" i="2"/>
  <c r="AK14" i="2"/>
  <c r="AL14" i="2"/>
  <c r="AM14" i="2"/>
  <c r="AN14" i="2"/>
  <c r="AO14" i="2"/>
  <c r="AP14" i="2"/>
  <c r="AQ14" i="2"/>
  <c r="AR14" i="2"/>
  <c r="U15" i="2"/>
  <c r="AC15" i="2" s="1"/>
  <c r="AC34" i="2" s="1"/>
  <c r="X15" i="2"/>
  <c r="AR15" i="2" s="1"/>
  <c r="Y15" i="2"/>
  <c r="Y34" i="2" s="1"/>
  <c r="Z15" i="2"/>
  <c r="AA15" i="2"/>
  <c r="AB15" i="2"/>
  <c r="AH15" i="2"/>
  <c r="AI15" i="2"/>
  <c r="AK15" i="2"/>
  <c r="AN15" i="2"/>
  <c r="AO15" i="2"/>
  <c r="AQ15" i="2"/>
  <c r="U16" i="2"/>
  <c r="X16" i="2"/>
  <c r="X29" i="2" s="1"/>
  <c r="Y16" i="2"/>
  <c r="Y29" i="2" s="1"/>
  <c r="Z16" i="2"/>
  <c r="Z29" i="2" s="1"/>
  <c r="AA16" i="2"/>
  <c r="AA29" i="2" s="1"/>
  <c r="AB16" i="2"/>
  <c r="AB29" i="2" s="1"/>
  <c r="AC16" i="2"/>
  <c r="AC29" i="2" s="1"/>
  <c r="AD16" i="2"/>
  <c r="AD29" i="2" s="1"/>
  <c r="AE16" i="2"/>
  <c r="AE29" i="2" s="1"/>
  <c r="AH16" i="2"/>
  <c r="AI16" i="2"/>
  <c r="AJ16" i="2"/>
  <c r="AK16" i="2"/>
  <c r="AL16" i="2"/>
  <c r="AM16" i="2"/>
  <c r="AP16" i="2" s="1"/>
  <c r="AN16" i="2"/>
  <c r="AO16" i="2"/>
  <c r="AQ16" i="2"/>
  <c r="U17" i="2"/>
  <c r="X17" i="2"/>
  <c r="Y17" i="2"/>
  <c r="Z17" i="2"/>
  <c r="AA17" i="2"/>
  <c r="AB17" i="2"/>
  <c r="AC17" i="2"/>
  <c r="AD17" i="2"/>
  <c r="AE17" i="2"/>
  <c r="AH17" i="2"/>
  <c r="AI17" i="2"/>
  <c r="AJ17" i="2"/>
  <c r="AK17" i="2"/>
  <c r="AL17" i="2"/>
  <c r="AM17" i="2"/>
  <c r="AN17" i="2"/>
  <c r="AO17" i="2"/>
  <c r="AP17" i="2"/>
  <c r="AQ17" i="2"/>
  <c r="AR17" i="2"/>
  <c r="U18" i="2"/>
  <c r="AE18" i="2" s="1"/>
  <c r="X18" i="2"/>
  <c r="AR18" i="2" s="1"/>
  <c r="Y18" i="2"/>
  <c r="Y36" i="2" s="1"/>
  <c r="Z18" i="2"/>
  <c r="AA18" i="2"/>
  <c r="AB18" i="2"/>
  <c r="AC18" i="2"/>
  <c r="AC36" i="2" s="1"/>
  <c r="AD18" i="2"/>
  <c r="AH18" i="2"/>
  <c r="AI18" i="2"/>
  <c r="AK18" i="2"/>
  <c r="AN18" i="2"/>
  <c r="AO18" i="2"/>
  <c r="AQ18" i="2"/>
  <c r="U19" i="2"/>
  <c r="X19" i="2"/>
  <c r="Y19" i="2"/>
  <c r="Z19" i="2"/>
  <c r="AA19" i="2"/>
  <c r="AB19" i="2"/>
  <c r="AC19" i="2"/>
  <c r="AD19" i="2"/>
  <c r="AE19" i="2"/>
  <c r="AH19" i="2"/>
  <c r="AI19" i="2"/>
  <c r="AJ19" i="2"/>
  <c r="AK19" i="2"/>
  <c r="AL19" i="2"/>
  <c r="AM19" i="2"/>
  <c r="AN19" i="2"/>
  <c r="AO19" i="2"/>
  <c r="AP19" i="2"/>
  <c r="AQ19" i="2"/>
  <c r="AR19" i="2"/>
  <c r="U20" i="2"/>
  <c r="X20" i="2"/>
  <c r="Y20" i="2"/>
  <c r="Z20" i="2"/>
  <c r="AA20" i="2"/>
  <c r="AB20" i="2"/>
  <c r="AC20" i="2"/>
  <c r="AD20" i="2"/>
  <c r="AE20" i="2"/>
  <c r="AH20" i="2"/>
  <c r="AI20" i="2"/>
  <c r="AJ20" i="2"/>
  <c r="AK20" i="2"/>
  <c r="AL20" i="2"/>
  <c r="AM20" i="2"/>
  <c r="AN20" i="2"/>
  <c r="AO20" i="2"/>
  <c r="AP20" i="2"/>
  <c r="AQ20" i="2"/>
  <c r="AR20" i="2"/>
  <c r="U21" i="2"/>
  <c r="AL21" i="2" s="1"/>
  <c r="X21" i="2"/>
  <c r="AR21" i="2" s="1"/>
  <c r="Y21" i="2"/>
  <c r="Z21" i="2"/>
  <c r="AA21" i="2"/>
  <c r="AB21" i="2"/>
  <c r="AC21" i="2"/>
  <c r="AD21" i="2"/>
  <c r="AE21" i="2"/>
  <c r="AH21" i="2"/>
  <c r="AI21" i="2"/>
  <c r="AJ21" i="2"/>
  <c r="AK21" i="2"/>
  <c r="AN21" i="2"/>
  <c r="AO21" i="2"/>
  <c r="AQ21" i="2"/>
  <c r="U22" i="2"/>
  <c r="X22" i="2"/>
  <c r="Y22" i="2"/>
  <c r="Z22" i="2"/>
  <c r="AA22" i="2"/>
  <c r="AB22" i="2"/>
  <c r="AC22" i="2"/>
  <c r="AD22" i="2"/>
  <c r="AE22" i="2"/>
  <c r="AH22" i="2"/>
  <c r="AI22" i="2"/>
  <c r="AJ22" i="2"/>
  <c r="AK22" i="2"/>
  <c r="AL22" i="2"/>
  <c r="AM22" i="2"/>
  <c r="AN22" i="2"/>
  <c r="AO22" i="2"/>
  <c r="AP22" i="2"/>
  <c r="AQ22" i="2"/>
  <c r="AR22" i="2"/>
  <c r="U23" i="2"/>
  <c r="AC23" i="2" s="1"/>
  <c r="X23" i="2"/>
  <c r="X30" i="2" s="1"/>
  <c r="Y23" i="2"/>
  <c r="Y30" i="2" s="1"/>
  <c r="Z23" i="2"/>
  <c r="Z30" i="2" s="1"/>
  <c r="AA23" i="2"/>
  <c r="AB23" i="2"/>
  <c r="AH23" i="2"/>
  <c r="AI23" i="2"/>
  <c r="AK23" i="2"/>
  <c r="AN23" i="2"/>
  <c r="AO23" i="2"/>
  <c r="AQ23" i="2"/>
  <c r="U24" i="2"/>
  <c r="X24" i="2"/>
  <c r="AR24" i="2" s="1"/>
  <c r="Y24" i="2"/>
  <c r="Z24" i="2"/>
  <c r="AA24" i="2"/>
  <c r="AB24" i="2"/>
  <c r="AC24" i="2"/>
  <c r="AD24" i="2"/>
  <c r="AE24" i="2"/>
  <c r="AH24" i="2"/>
  <c r="AI24" i="2"/>
  <c r="AJ24" i="2"/>
  <c r="AK24" i="2"/>
  <c r="AL24" i="2"/>
  <c r="AM24" i="2"/>
  <c r="AP24" i="2" s="1"/>
  <c r="AN24" i="2"/>
  <c r="AO24" i="2"/>
  <c r="AQ24" i="2"/>
  <c r="U25" i="2"/>
  <c r="X25" i="2"/>
  <c r="Z25" i="2"/>
  <c r="AA25" i="2"/>
  <c r="AB25" i="2"/>
  <c r="AC25" i="2"/>
  <c r="AH25" i="2"/>
  <c r="AI25" i="2"/>
  <c r="AJ25" i="2"/>
  <c r="AK25" i="2"/>
  <c r="AL25" i="2"/>
  <c r="AM25" i="2"/>
  <c r="AN25" i="2"/>
  <c r="AO25" i="2"/>
  <c r="AP25" i="2"/>
  <c r="AQ25" i="2"/>
  <c r="AR25" i="2"/>
  <c r="D27" i="2"/>
  <c r="X28" i="2"/>
  <c r="Y28" i="2"/>
  <c r="Z28" i="2"/>
  <c r="AA28" i="2"/>
  <c r="AB28" i="2"/>
  <c r="AC28" i="2"/>
  <c r="AD28" i="2"/>
  <c r="AA30" i="2"/>
  <c r="AB30" i="2"/>
  <c r="Y33" i="2"/>
  <c r="Y37" i="2"/>
  <c r="AC37" i="2"/>
  <c r="AG32" i="4" l="1"/>
  <c r="AA30" i="4"/>
  <c r="AE29" i="4"/>
  <c r="AE32" i="3"/>
  <c r="AD38" i="3"/>
  <c r="AO15" i="3"/>
  <c r="AR15" i="3" s="1"/>
  <c r="AL23" i="3"/>
  <c r="AF20" i="3"/>
  <c r="AF29" i="3" s="1"/>
  <c r="AF32" i="3" s="1"/>
  <c r="AD20" i="3"/>
  <c r="AD37" i="3" s="1"/>
  <c r="AN18" i="3"/>
  <c r="AF15" i="3"/>
  <c r="AF23" i="3"/>
  <c r="AF30" i="3" s="1"/>
  <c r="AL18" i="3"/>
  <c r="AO13" i="3"/>
  <c r="AR13" i="3" s="1"/>
  <c r="AO21" i="3"/>
  <c r="AR21" i="3" s="1"/>
  <c r="AA20" i="3"/>
  <c r="AA29" i="3" s="1"/>
  <c r="AD15" i="3"/>
  <c r="AD34" i="3" s="1"/>
  <c r="AO20" i="3"/>
  <c r="AR20" i="3" s="1"/>
  <c r="AN20" i="3"/>
  <c r="AO23" i="3"/>
  <c r="AR23" i="3" s="1"/>
  <c r="AN15" i="3"/>
  <c r="AN23" i="3"/>
  <c r="AE28" i="2"/>
  <c r="AC30" i="2"/>
  <c r="AC38" i="2"/>
  <c r="Y38" i="2"/>
  <c r="AC33" i="2"/>
  <c r="AR23" i="2"/>
  <c r="AM23" i="2"/>
  <c r="AP23" i="2" s="1"/>
  <c r="AM15" i="2"/>
  <c r="AP15" i="2" s="1"/>
  <c r="AL23" i="2"/>
  <c r="AL15" i="2"/>
  <c r="AJ23" i="2"/>
  <c r="AJ15" i="2"/>
  <c r="AM18" i="2"/>
  <c r="AP18" i="2" s="1"/>
  <c r="AL18" i="2"/>
  <c r="AE23" i="2"/>
  <c r="AE15" i="2"/>
  <c r="AD23" i="2"/>
  <c r="AJ18" i="2"/>
  <c r="AR16" i="2"/>
  <c r="AD15" i="2"/>
  <c r="AM21" i="2"/>
  <c r="AP21" i="2" s="1"/>
  <c r="AM13" i="2"/>
  <c r="AP13" i="2" s="1"/>
  <c r="AD30" i="3" l="1"/>
  <c r="AD29" i="3"/>
  <c r="AD30" i="2"/>
  <c r="AE30" i="2"/>
</calcChain>
</file>

<file path=xl/sharedStrings.xml><?xml version="1.0" encoding="utf-8"?>
<sst xmlns="http://schemas.openxmlformats.org/spreadsheetml/2006/main" count="418" uniqueCount="155">
  <si>
    <t>Year</t>
  </si>
  <si>
    <t>DOY</t>
  </si>
  <si>
    <t>PSDATE</t>
  </si>
  <si>
    <t>SID</t>
  </si>
  <si>
    <t>p01N-S1</t>
  </si>
  <si>
    <t>p01N-S2</t>
  </si>
  <si>
    <t>p01S-S1</t>
  </si>
  <si>
    <t>p02N-S1</t>
  </si>
  <si>
    <t>p02S-S1</t>
  </si>
  <si>
    <t>p03N-S1</t>
  </si>
  <si>
    <t>p03S-S1</t>
  </si>
  <si>
    <t>p06N-S1</t>
  </si>
  <si>
    <t>p06S-S1</t>
  </si>
  <si>
    <t>p07N-S1</t>
  </si>
  <si>
    <t>p07S-S1</t>
  </si>
  <si>
    <t>NumPlts</t>
  </si>
  <si>
    <t>LAIDF</t>
  </si>
  <si>
    <t>SQRNUM</t>
  </si>
  <si>
    <t>FLRNUM</t>
  </si>
  <si>
    <t>LWPD</t>
  </si>
  <si>
    <t>SWPD</t>
  </si>
  <si>
    <t>CWPD</t>
  </si>
  <si>
    <t>LWAD</t>
  </si>
  <si>
    <t>SWAD</t>
  </si>
  <si>
    <t>PWAD</t>
  </si>
  <si>
    <t>CWAD</t>
  </si>
  <si>
    <t>LAIDL</t>
  </si>
  <si>
    <t>GBNUM</t>
  </si>
  <si>
    <t>p01S-S2</t>
  </si>
  <si>
    <t>p02N-S2</t>
  </si>
  <si>
    <t>p02S-S2</t>
  </si>
  <si>
    <t>p03N-S2</t>
  </si>
  <si>
    <t>p03S-S2</t>
  </si>
  <si>
    <t>p06N-S2</t>
  </si>
  <si>
    <t>p06S-S2</t>
  </si>
  <si>
    <t>p07N-S2</t>
  </si>
  <si>
    <t>p07S-S2</t>
  </si>
  <si>
    <t>p01N-S3</t>
  </si>
  <si>
    <t>p02N-S3</t>
  </si>
  <si>
    <t>p03N-S3</t>
  </si>
  <si>
    <t>p06N-S3</t>
  </si>
  <si>
    <t>p07N-S3</t>
  </si>
  <si>
    <t>MBNUM</t>
  </si>
  <si>
    <t>SDPB</t>
  </si>
  <si>
    <t>BBFRAC</t>
  </si>
  <si>
    <t>BSFRAC</t>
  </si>
  <si>
    <t>BFFRAC</t>
  </si>
  <si>
    <t>FAO</t>
  </si>
  <si>
    <t>CropMod</t>
  </si>
  <si>
    <t>Stress</t>
  </si>
  <si>
    <t>S</t>
  </si>
  <si>
    <t>N</t>
  </si>
  <si>
    <t>1 white</t>
  </si>
  <si>
    <t>1 pink</t>
  </si>
  <si>
    <t>Li-Cor 2200</t>
  </si>
  <si>
    <t>Notes</t>
  </si>
  <si>
    <t>Reproductive bits (squares, flowers, bolls) (g)</t>
  </si>
  <si>
    <t>Total leaves (g)</t>
  </si>
  <si>
    <t>10 largest leaves (g)</t>
  </si>
  <si>
    <t>Roots (g)</t>
  </si>
  <si>
    <t>Petioles (g)</t>
  </si>
  <si>
    <t>Bag wt (g)</t>
  </si>
  <si>
    <t>Leaves (g)</t>
  </si>
  <si>
    <t>Stems (g)</t>
  </si>
  <si>
    <t>LAI w/ LiCor 2200</t>
  </si>
  <si>
    <t>10 LARGE Leaves Area (cm2)</t>
  </si>
  <si>
    <r>
      <t>Green Leaf Area (including the 10 large leaves) (cm</t>
    </r>
    <r>
      <rPr>
        <b/>
        <vertAlign val="superscript"/>
        <sz val="14"/>
        <color indexed="8"/>
        <rFont val="Calibri"/>
        <family val="2"/>
      </rPr>
      <t>2</t>
    </r>
    <r>
      <rPr>
        <b/>
        <sz val="14"/>
        <color indexed="8"/>
        <rFont val="Calibri"/>
        <family val="2"/>
      </rPr>
      <t>)</t>
    </r>
  </si>
  <si>
    <t># Open Bolls</t>
  </si>
  <si>
    <t># Unopened Bolls</t>
  </si>
  <si>
    <t># Open Flowers</t>
  </si>
  <si>
    <t># Squares</t>
  </si>
  <si>
    <t>Total # plants collected</t>
  </si>
  <si>
    <t>sample</t>
  </si>
  <si>
    <t>Plot</t>
  </si>
  <si>
    <t>rm 289 Sartorius</t>
  </si>
  <si>
    <t>Weighed on:</t>
  </si>
  <si>
    <t>Kylie &amp; Kendall and Andrew &amp; Suzette</t>
  </si>
  <si>
    <t>Processed by:</t>
  </si>
  <si>
    <t>SMM</t>
  </si>
  <si>
    <t>Weighed by:</t>
  </si>
  <si>
    <t>Date processed:</t>
  </si>
  <si>
    <t>Date weighed:</t>
  </si>
  <si>
    <t>Dry weights</t>
  </si>
  <si>
    <t>KRT, Kylie &amp; Kendall Stratton, Andrew Kyroudis</t>
  </si>
  <si>
    <t xml:space="preserve"> Collected by:</t>
  </si>
  <si>
    <t>Date collected:</t>
  </si>
  <si>
    <t>Plant Samples</t>
  </si>
  <si>
    <t>Irrigation Scheduling experiment</t>
  </si>
  <si>
    <t xml:space="preserve">Cotton </t>
  </si>
  <si>
    <t>F013 - lateral move irrigation</t>
  </si>
  <si>
    <t>oops</t>
  </si>
  <si>
    <t>A couple of handsful of leaves taken from sample 3 South and dropped onto a tray of leaves of sample 3 North. Then quickly picked up off the tray. The leaves already on the tray were mostly moved to one ond of the tray and the leaves mostly dropped onto the empty end of the tray. But some mixing, I'm sure. The mixed samples were run through the area meter separately.   3 North - 3799.15 cm2 (+ 39015 cm2 in the rest of the sample)  and 3 South 9363.33 cm2 (+ 47469.25 cm2).</t>
  </si>
  <si>
    <t>Brown leaves (g)</t>
  </si>
  <si>
    <t>Green Leaves (g)</t>
  </si>
  <si>
    <t>Date processed</t>
  </si>
  <si>
    <t>Kylie &amp; Kendall and Andrew &amp; Suzette &amp; Mallory (for a bit)</t>
  </si>
  <si>
    <t>22, 23 &amp; 24 July 2014</t>
  </si>
  <si>
    <t>KRT, Kylie &amp; Kendall Stratton, Andrew Kyroudis, SMM</t>
  </si>
  <si>
    <t>d203</t>
  </si>
  <si>
    <t>(9 whole bolls for further dissection)</t>
  </si>
  <si>
    <t>(all whole bolls for further dissection)</t>
  </si>
  <si>
    <t>(24 whole bolls for further dissection)</t>
  </si>
  <si>
    <t># seeds (hand counted)</t>
  </si>
  <si>
    <t>Seed (g)</t>
  </si>
  <si>
    <t>Lint (g)</t>
  </si>
  <si>
    <t>Burr (g)</t>
  </si>
  <si>
    <t># of whole bolls dissected</t>
  </si>
  <si>
    <r>
      <t xml:space="preserve">Reproductive bits (squares, flowers, </t>
    </r>
    <r>
      <rPr>
        <b/>
        <i/>
        <sz val="14"/>
        <color indexed="60"/>
        <rFont val="Calibri"/>
        <family val="2"/>
      </rPr>
      <t>unopened</t>
    </r>
    <r>
      <rPr>
        <b/>
        <sz val="14"/>
        <color indexed="8"/>
        <rFont val="Calibri"/>
        <family val="2"/>
      </rPr>
      <t xml:space="preserve"> </t>
    </r>
    <r>
      <rPr>
        <b/>
        <sz val="14"/>
        <color indexed="60"/>
        <rFont val="Calibri"/>
        <family val="2"/>
      </rPr>
      <t>bolls</t>
    </r>
    <r>
      <rPr>
        <b/>
        <sz val="14"/>
        <color indexed="8"/>
        <rFont val="Calibri"/>
        <family val="2"/>
      </rPr>
      <t>) (g)</t>
    </r>
  </si>
  <si>
    <t>Open bolls removed for further dissection</t>
  </si>
  <si>
    <r>
      <t>Collected 1 sample per plot.</t>
    </r>
    <r>
      <rPr>
        <b/>
        <sz val="12"/>
        <rFont val="Calibri"/>
        <family val="2"/>
      </rPr>
      <t xml:space="preserve"> No white flowers on any of the plants</t>
    </r>
  </si>
  <si>
    <t>SMM, KRT</t>
  </si>
  <si>
    <t>19 &amp; 20 Aug</t>
  </si>
  <si>
    <t>afternoon</t>
  </si>
  <si>
    <t>CHTD</t>
  </si>
  <si>
    <t>CWID</t>
  </si>
  <si>
    <t>points approx even with NTs 1 &amp; 2</t>
  </si>
  <si>
    <t>CroMod</t>
  </si>
  <si>
    <t>Trt 11</t>
  </si>
  <si>
    <t>Trt 10</t>
  </si>
  <si>
    <t>Trt 7</t>
  </si>
  <si>
    <t>Trt 6</t>
  </si>
  <si>
    <t>Trt 3</t>
  </si>
  <si>
    <t>points approx even with NTs 1 &amp; 3</t>
  </si>
  <si>
    <t>Trt 2</t>
  </si>
  <si>
    <t>points approx even with NTs 2 &amp; 3</t>
  </si>
  <si>
    <t>Trt 1</t>
  </si>
  <si>
    <t>Between rows</t>
  </si>
  <si>
    <r>
      <rPr>
        <b/>
        <sz val="12"/>
        <color theme="1"/>
        <rFont val="Aptos Narrow"/>
        <family val="2"/>
        <scheme val="minor"/>
      </rPr>
      <t>Western row</t>
    </r>
    <r>
      <rPr>
        <sz val="10"/>
        <color theme="1"/>
        <rFont val="Aptos Narrow"/>
        <family val="2"/>
        <scheme val="minor"/>
      </rPr>
      <t xml:space="preserve">      Width of canopy</t>
    </r>
  </si>
  <si>
    <r>
      <rPr>
        <b/>
        <sz val="12"/>
        <color theme="1"/>
        <rFont val="Aptos Narrow"/>
        <family val="2"/>
        <scheme val="minor"/>
      </rPr>
      <t>Eastern row</t>
    </r>
    <r>
      <rPr>
        <sz val="11"/>
        <color theme="1"/>
        <rFont val="Aptos Narrow"/>
        <family val="2"/>
        <scheme val="minor"/>
      </rPr>
      <t xml:space="preserve"> </t>
    </r>
    <r>
      <rPr>
        <sz val="10"/>
        <color theme="1"/>
        <rFont val="Aptos Narrow"/>
        <family val="2"/>
        <scheme val="minor"/>
      </rPr>
      <t xml:space="preserve">     Width of canopy</t>
    </r>
  </si>
  <si>
    <r>
      <rPr>
        <b/>
        <sz val="12"/>
        <color theme="1"/>
        <rFont val="Aptos Narrow"/>
        <family val="2"/>
        <scheme val="minor"/>
      </rPr>
      <t>Western row</t>
    </r>
    <r>
      <rPr>
        <sz val="10"/>
        <color theme="1"/>
        <rFont val="Aptos Narrow"/>
        <family val="2"/>
        <scheme val="minor"/>
      </rPr>
      <t xml:space="preserve">      Canopy height from top of bed</t>
    </r>
  </si>
  <si>
    <r>
      <rPr>
        <b/>
        <sz val="12"/>
        <color theme="1"/>
        <rFont val="Aptos Narrow"/>
        <family val="2"/>
        <scheme val="minor"/>
      </rPr>
      <t>Eastern row</t>
    </r>
    <r>
      <rPr>
        <sz val="10"/>
        <color theme="1"/>
        <rFont val="Aptos Narrow"/>
        <family val="2"/>
        <scheme val="minor"/>
      </rPr>
      <t xml:space="preserve">      Canopy height from top of bed</t>
    </r>
  </si>
  <si>
    <t xml:space="preserve">Location 1 - Southern  </t>
  </si>
  <si>
    <t>Location 1 - Northern</t>
  </si>
  <si>
    <t>smm</t>
  </si>
  <si>
    <t>initials:</t>
  </si>
  <si>
    <t>Measurements in cm</t>
  </si>
  <si>
    <t>0815-0900</t>
  </si>
  <si>
    <t>time:</t>
  </si>
  <si>
    <t>Date:</t>
  </si>
  <si>
    <t>Canopy Heights &amp; Widths - sampling points</t>
  </si>
  <si>
    <t>points approx even with NTs 3 &amp; 4</t>
  </si>
  <si>
    <t>Kylie Stratton</t>
  </si>
  <si>
    <t>0900-1000h</t>
  </si>
  <si>
    <t>closed</t>
  </si>
  <si>
    <t>Only 1 Location</t>
  </si>
  <si>
    <t>p10N-S1</t>
  </si>
  <si>
    <t>p10S-S1</t>
  </si>
  <si>
    <t>p11N-S1</t>
  </si>
  <si>
    <t>p11S-S1</t>
  </si>
  <si>
    <t>p10N-S2</t>
  </si>
  <si>
    <t>p10S-S2</t>
  </si>
  <si>
    <t>p11N-S2</t>
  </si>
  <si>
    <t>p11S-S2</t>
  </si>
  <si>
    <t>p10N-S3</t>
  </si>
  <si>
    <t>p11N-S3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</si>
</sst>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mm/dd/yyyy"/>
    <numFmt numFmtId="167" formatCode="0.000"/>
    <numFmt numFmtId="168" formatCode="0.0"/>
    <numFmt numFmtId="169" formatCode="[$-409]d\-mmm\-yy;@"/>
  </numFmts>
  <fonts count="20" x14ac:knownFonts="1">
    <font>
      <sz val="11"/>
      <color theme="1"/>
      <name val="Aptos Narrow"/>
      <family val="2"/>
      <scheme val="minor"/>
    </font>
    <font>
      <b/>
      <sz val="11"/>
      <color theme="1"/>
      <name val="Aptos Narrow"/>
      <family val="2"/>
      <scheme val="minor"/>
    </font>
    <font>
      <sz val="14"/>
      <color theme="1"/>
      <name val="Aptos Narrow"/>
      <family val="2"/>
      <scheme val="minor"/>
    </font>
    <font>
      <b/>
      <sz val="14"/>
      <color theme="1"/>
      <name val="Aptos Narrow"/>
      <family val="2"/>
      <scheme val="minor"/>
    </font>
    <font>
      <sz val="14"/>
      <color theme="6" tint="-0.499984740745262"/>
      <name val="Aptos Narrow"/>
      <family val="2"/>
      <scheme val="minor"/>
    </font>
    <font>
      <sz val="9"/>
      <color theme="1"/>
      <name val="Aptos Narrow"/>
      <family val="2"/>
      <scheme val="minor"/>
    </font>
    <font>
      <sz val="12"/>
      <color theme="1"/>
      <name val="Aptos Narrow"/>
      <family val="2"/>
      <scheme val="minor"/>
    </font>
    <font>
      <b/>
      <vertAlign val="superscript"/>
      <sz val="14"/>
      <color indexed="8"/>
      <name val="Calibri"/>
      <family val="2"/>
    </font>
    <font>
      <b/>
      <sz val="14"/>
      <color indexed="8"/>
      <name val="Calibri"/>
      <family val="2"/>
    </font>
    <font>
      <b/>
      <sz val="12"/>
      <color theme="1"/>
      <name val="Aptos Narrow"/>
      <family val="2"/>
      <scheme val="minor"/>
    </font>
    <font>
      <sz val="16"/>
      <color theme="1"/>
      <name val="Aptos Narrow"/>
      <family val="2"/>
      <scheme val="minor"/>
    </font>
    <font>
      <b/>
      <sz val="16"/>
      <color theme="1"/>
      <name val="Aptos Narrow"/>
      <family val="2"/>
      <scheme val="minor"/>
    </font>
    <font>
      <sz val="10"/>
      <color theme="1"/>
      <name val="Aptos Narrow"/>
      <family val="2"/>
      <scheme val="minor"/>
    </font>
    <font>
      <sz val="14"/>
      <name val="Aptos Narrow"/>
      <family val="2"/>
      <scheme val="minor"/>
    </font>
    <font>
      <sz val="14"/>
      <color rgb="FFFF0000"/>
      <name val="Aptos Narrow"/>
      <family val="2"/>
      <scheme val="minor"/>
    </font>
    <font>
      <sz val="10"/>
      <color rgb="FFC00000"/>
      <name val="Aptos Narrow"/>
      <family val="2"/>
      <scheme val="minor"/>
    </font>
    <font>
      <b/>
      <i/>
      <sz val="14"/>
      <color indexed="60"/>
      <name val="Calibri"/>
      <family val="2"/>
    </font>
    <font>
      <b/>
      <sz val="14"/>
      <color indexed="60"/>
      <name val="Calibri"/>
      <family val="2"/>
    </font>
    <font>
      <b/>
      <sz val="12"/>
      <color rgb="FFFF0000"/>
      <name val="Aptos Narrow"/>
      <family val="2"/>
      <scheme val="minor"/>
    </font>
    <font>
      <b/>
      <sz val="12"/>
      <name val="Calibri"/>
      <family val="2"/>
    </font>
  </fonts>
  <fills count="6">
    <fill>
      <patternFill patternType="none"/>
    </fill>
    <fill>
      <patternFill patternType="gray125"/>
    </fill>
    <fill>
      <patternFill patternType="solid">
        <fgColor theme="0" tint="-0.14996795556505021"/>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1" tint="0.499984740745262"/>
        <bgColor indexed="64"/>
      </patternFill>
    </fill>
  </fills>
  <borders count="35">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diagonal/>
    </border>
    <border>
      <left style="medium">
        <color theme="2" tint="-0.499984740745262"/>
      </left>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medium">
        <color theme="2" tint="-0.499984740745262"/>
      </bottom>
      <diagonal/>
    </border>
    <border>
      <left style="thin">
        <color theme="2" tint="-0.499984740745262"/>
      </left>
      <right/>
      <top style="thin">
        <color theme="2" tint="-0.499984740745262"/>
      </top>
      <bottom style="medium">
        <color theme="2" tint="-0.499984740745262"/>
      </bottom>
      <diagonal/>
    </border>
    <border>
      <left style="medium">
        <color theme="2" tint="-0.499984740745262"/>
      </left>
      <right style="thin">
        <color theme="2" tint="-0.499984740745262"/>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thin">
        <color theme="2" tint="-0.499984740745262"/>
      </left>
      <right/>
      <top style="medium">
        <color theme="2" tint="-0.499984740745262"/>
      </top>
      <bottom style="thin">
        <color theme="2" tint="-0.499984740745262"/>
      </bottom>
      <diagonal/>
    </border>
    <border>
      <left style="medium">
        <color theme="2" tint="-0.499984740745262"/>
      </left>
      <right style="thin">
        <color theme="2" tint="-0.499984740745262"/>
      </right>
      <top style="medium">
        <color theme="2" tint="-0.499984740745262"/>
      </top>
      <bottom style="thin">
        <color theme="2" tint="-0.499984740745262"/>
      </bottom>
      <diagonal/>
    </border>
    <border>
      <left/>
      <right style="thin">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auto="1"/>
      </left>
      <right/>
      <top/>
      <bottom/>
      <diagonal/>
    </border>
    <border>
      <left style="medium">
        <color theme="2" tint="-0.499984740745262"/>
      </left>
      <right style="thin">
        <color auto="1"/>
      </right>
      <top/>
      <bottom/>
      <diagonal/>
    </border>
    <border>
      <left style="thin">
        <color auto="1"/>
      </left>
      <right style="medium">
        <color theme="2" tint="-0.499984740745262"/>
      </right>
      <top/>
      <bottom style="medium">
        <color theme="2" tint="-0.499984740745262"/>
      </bottom>
      <diagonal/>
    </border>
    <border>
      <left style="medium">
        <color theme="2" tint="-0.499984740745262"/>
      </left>
      <right/>
      <top/>
      <bottom/>
      <diagonal/>
    </border>
    <border>
      <left/>
      <right style="medium">
        <color theme="2" tint="-0.499984740745262"/>
      </right>
      <top/>
      <bottom/>
      <diagonal/>
    </border>
    <border>
      <left style="medium">
        <color theme="2" tint="-0.499984740745262"/>
      </left>
      <right/>
      <top style="thin">
        <color theme="2" tint="-0.499984740745262"/>
      </top>
      <bottom style="medium">
        <color theme="2" tint="-0.499984740745262"/>
      </bottom>
      <diagonal/>
    </border>
    <border>
      <left style="medium">
        <color theme="2" tint="-0.499984740745262"/>
      </left>
      <right/>
      <top style="thin">
        <color theme="2" tint="-0.499984740745262"/>
      </top>
      <bottom style="thin">
        <color theme="2" tint="-0.499984740745262"/>
      </bottom>
      <diagonal/>
    </border>
    <border>
      <left style="medium">
        <color theme="2" tint="-0.499984740745262"/>
      </left>
      <right/>
      <top/>
      <bottom style="thin">
        <color theme="2" tint="-0.499984740745262"/>
      </bottom>
      <diagonal/>
    </border>
  </borders>
  <cellStyleXfs count="1">
    <xf numFmtId="0" fontId="0" fillId="0" borderId="0"/>
  </cellStyleXfs>
  <cellXfs count="148">
    <xf numFmtId="0" fontId="0" fillId="0" borderId="0" xfId="0"/>
    <xf numFmtId="165" fontId="0" fillId="0" borderId="0" xfId="0" applyNumberFormat="1"/>
    <xf numFmtId="0" fontId="2" fillId="0" borderId="1" xfId="0" applyFont="1" applyBorder="1" applyAlignment="1">
      <alignment horizontal="center" vertical="center"/>
    </xf>
    <xf numFmtId="0" fontId="2" fillId="0" borderId="2" xfId="0" applyFont="1" applyBorder="1" applyAlignment="1">
      <alignment horizontal="center" vertical="center"/>
    </xf>
    <xf numFmtId="167" fontId="0" fillId="0" borderId="0" xfId="0" applyNumberFormat="1"/>
    <xf numFmtId="168" fontId="0" fillId="0" borderId="0" xfId="0" applyNumberFormat="1"/>
    <xf numFmtId="2" fontId="0" fillId="0" borderId="0" xfId="0" applyNumberFormat="1"/>
    <xf numFmtId="1" fontId="0" fillId="0" borderId="0" xfId="0" applyNumberFormat="1"/>
    <xf numFmtId="0" fontId="3" fillId="0" borderId="3" xfId="0" applyFont="1" applyBorder="1" applyAlignment="1">
      <alignment horizontal="center" vertical="center"/>
    </xf>
    <xf numFmtId="2" fontId="2" fillId="0" borderId="0" xfId="0" applyNumberFormat="1" applyFont="1" applyAlignment="1">
      <alignment wrapText="1"/>
    </xf>
    <xf numFmtId="0" fontId="2" fillId="0" borderId="2" xfId="0" applyFont="1" applyBorder="1" applyAlignment="1">
      <alignment wrapText="1"/>
    </xf>
    <xf numFmtId="2" fontId="4" fillId="0" borderId="2" xfId="0" applyNumberFormat="1" applyFont="1" applyBorder="1" applyAlignment="1">
      <alignment horizontal="center" vertical="center"/>
    </xf>
    <xf numFmtId="0" fontId="2" fillId="2" borderId="2" xfId="0" applyFont="1" applyFill="1" applyBorder="1" applyAlignment="1">
      <alignment horizontal="center" vertical="center"/>
    </xf>
    <xf numFmtId="2" fontId="2" fillId="0" borderId="2" xfId="0" applyNumberFormat="1" applyFont="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xf>
    <xf numFmtId="0" fontId="2" fillId="0" borderId="1" xfId="0" applyFont="1" applyBorder="1" applyAlignment="1">
      <alignment wrapText="1"/>
    </xf>
    <xf numFmtId="2" fontId="4"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2" fontId="2" fillId="0" borderId="1" xfId="0" applyNumberFormat="1" applyFont="1" applyBorder="1" applyAlignment="1">
      <alignment horizontal="center" vertical="center"/>
    </xf>
    <xf numFmtId="0" fontId="3" fillId="0" borderId="6" xfId="0" applyFont="1" applyBorder="1" applyAlignment="1">
      <alignment horizontal="center" vertical="center" wrapText="1"/>
    </xf>
    <xf numFmtId="0" fontId="0" fillId="0" borderId="0" xfId="0" applyAlignment="1">
      <alignment vertical="center"/>
    </xf>
    <xf numFmtId="0" fontId="5" fillId="0" borderId="0" xfId="0" applyFont="1" applyAlignment="1">
      <alignment horizontal="center" vertical="center" wrapText="1"/>
    </xf>
    <xf numFmtId="0" fontId="6" fillId="0" borderId="0" xfId="0" applyFont="1"/>
    <xf numFmtId="0" fontId="3" fillId="0" borderId="0" xfId="0" applyFont="1" applyAlignment="1">
      <alignment horizontal="center" wrapText="1"/>
    </xf>
    <xf numFmtId="0" fontId="2" fillId="0" borderId="0" xfId="0" applyFont="1" applyAlignment="1">
      <alignment horizontal="center" wrapText="1"/>
    </xf>
    <xf numFmtId="0" fontId="3" fillId="2" borderId="0" xfId="0" applyFont="1" applyFill="1" applyAlignment="1">
      <alignment horizontal="center" wrapText="1"/>
    </xf>
    <xf numFmtId="0" fontId="3" fillId="0" borderId="0" xfId="0" applyFont="1" applyAlignment="1">
      <alignment horizontal="center"/>
    </xf>
    <xf numFmtId="0" fontId="0" fillId="0" borderId="0" xfId="0" applyAlignment="1">
      <alignment horizontal="centerContinuous" vertical="top" wrapText="1"/>
    </xf>
    <xf numFmtId="0" fontId="0" fillId="0" borderId="0" xfId="0" applyAlignment="1">
      <alignment horizontal="right"/>
    </xf>
    <xf numFmtId="0" fontId="0" fillId="0" borderId="7" xfId="0" applyBorder="1" applyAlignment="1">
      <alignment horizontal="center"/>
    </xf>
    <xf numFmtId="0" fontId="0" fillId="0" borderId="7" xfId="0" applyBorder="1"/>
    <xf numFmtId="0" fontId="6" fillId="0" borderId="0" xfId="0" applyFont="1" applyAlignment="1">
      <alignment horizontal="right"/>
    </xf>
    <xf numFmtId="0" fontId="6" fillId="0" borderId="8" xfId="0" applyFont="1" applyBorder="1"/>
    <xf numFmtId="0" fontId="6" fillId="0" borderId="0" xfId="0" applyFont="1" applyAlignment="1">
      <alignment horizontal="left"/>
    </xf>
    <xf numFmtId="15" fontId="0" fillId="0" borderId="7" xfId="0" applyNumberFormat="1" applyBorder="1" applyAlignment="1">
      <alignment horizontal="center"/>
    </xf>
    <xf numFmtId="15" fontId="0" fillId="0" borderId="7" xfId="0" applyNumberFormat="1" applyBorder="1"/>
    <xf numFmtId="15" fontId="6" fillId="0" borderId="0" xfId="0" applyNumberFormat="1" applyFont="1"/>
    <xf numFmtId="15" fontId="6" fillId="0" borderId="8" xfId="0" applyNumberFormat="1" applyFont="1" applyBorder="1"/>
    <xf numFmtId="16" fontId="6" fillId="0" borderId="8" xfId="0" applyNumberFormat="1" applyFont="1" applyBorder="1"/>
    <xf numFmtId="169" fontId="0" fillId="0" borderId="8" xfId="0" applyNumberFormat="1" applyBorder="1" applyAlignment="1">
      <alignment horizontal="center"/>
    </xf>
    <xf numFmtId="0" fontId="0" fillId="0" borderId="8" xfId="0" applyBorder="1"/>
    <xf numFmtId="0" fontId="1" fillId="0" borderId="0" xfId="0" applyFont="1" applyAlignment="1">
      <alignment horizontal="centerContinuous"/>
    </xf>
    <xf numFmtId="0" fontId="9" fillId="0" borderId="0" xfId="0" applyFont="1" applyAlignment="1">
      <alignment horizontal="centerContinuous"/>
    </xf>
    <xf numFmtId="0" fontId="10" fillId="0" borderId="0" xfId="0" applyFont="1"/>
    <xf numFmtId="0" fontId="11" fillId="0" borderId="0" xfId="0" applyFont="1"/>
    <xf numFmtId="0" fontId="11" fillId="0" borderId="0" xfId="0" applyFont="1" applyAlignment="1">
      <alignment horizontal="center"/>
    </xf>
    <xf numFmtId="16" fontId="3" fillId="0" borderId="2" xfId="0" applyNumberFormat="1" applyFont="1" applyBorder="1" applyAlignment="1">
      <alignment horizontal="center" vertical="center" wrapText="1"/>
    </xf>
    <xf numFmtId="16" fontId="3" fillId="0" borderId="1" xfId="0" applyNumberFormat="1" applyFont="1" applyBorder="1" applyAlignment="1">
      <alignment horizontal="center" vertical="center" wrapText="1"/>
    </xf>
    <xf numFmtId="0" fontId="12" fillId="0" borderId="9" xfId="0" applyFont="1" applyBorder="1" applyAlignment="1">
      <alignment wrapText="1"/>
    </xf>
    <xf numFmtId="0" fontId="13" fillId="0" borderId="2" xfId="0" applyFont="1" applyBorder="1" applyAlignment="1">
      <alignment horizontal="center" vertical="center"/>
    </xf>
    <xf numFmtId="0" fontId="14" fillId="0" borderId="2" xfId="0" applyFont="1" applyBorder="1" applyAlignment="1">
      <alignment horizontal="center" vertical="center"/>
    </xf>
    <xf numFmtId="2" fontId="2" fillId="3" borderId="2" xfId="0" applyNumberFormat="1" applyFont="1" applyFill="1" applyBorder="1" applyAlignment="1">
      <alignment horizontal="center" vertical="center"/>
    </xf>
    <xf numFmtId="0" fontId="12" fillId="3" borderId="10" xfId="0" applyFont="1" applyFill="1" applyBorder="1" applyAlignment="1">
      <alignment wrapText="1"/>
    </xf>
    <xf numFmtId="2" fontId="2" fillId="3" borderId="1" xfId="0" applyNumberFormat="1" applyFont="1" applyFill="1" applyBorder="1" applyAlignment="1">
      <alignment horizontal="center" vertical="center"/>
    </xf>
    <xf numFmtId="0" fontId="2" fillId="0" borderId="9" xfId="0" applyFont="1" applyBorder="1" applyAlignment="1">
      <alignment wrapText="1"/>
    </xf>
    <xf numFmtId="1" fontId="4" fillId="4" borderId="9" xfId="0" applyNumberFormat="1" applyFont="1" applyFill="1" applyBorder="1" applyAlignment="1">
      <alignment horizontal="center" vertical="center"/>
    </xf>
    <xf numFmtId="2" fontId="4" fillId="4" borderId="9" xfId="0" applyNumberFormat="1" applyFont="1" applyFill="1" applyBorder="1" applyAlignment="1">
      <alignment horizontal="center" vertical="center"/>
    </xf>
    <xf numFmtId="2" fontId="4" fillId="0" borderId="9" xfId="0" applyNumberFormat="1" applyFont="1" applyBorder="1" applyAlignment="1">
      <alignment horizontal="center" vertical="center"/>
    </xf>
    <xf numFmtId="0" fontId="2" fillId="2" borderId="9" xfId="0" applyFont="1" applyFill="1" applyBorder="1" applyAlignment="1">
      <alignment horizontal="center" vertical="center"/>
    </xf>
    <xf numFmtId="0" fontId="2" fillId="0" borderId="9" xfId="0" applyFont="1" applyBorder="1" applyAlignment="1">
      <alignment horizontal="center" vertical="center"/>
    </xf>
    <xf numFmtId="2" fontId="2" fillId="0" borderId="9" xfId="0" applyNumberFormat="1" applyFont="1" applyBorder="1" applyAlignment="1">
      <alignment horizontal="center" vertical="center"/>
    </xf>
    <xf numFmtId="0" fontId="15" fillId="0" borderId="9" xfId="0" applyFont="1" applyBorder="1" applyAlignment="1">
      <alignment horizontal="center" vertical="center"/>
    </xf>
    <xf numFmtId="0" fontId="3" fillId="0" borderId="11" xfId="0" applyFont="1" applyBorder="1" applyAlignment="1">
      <alignment horizontal="center" vertical="center" wrapText="1"/>
    </xf>
    <xf numFmtId="0" fontId="2" fillId="0" borderId="10" xfId="0" applyFont="1" applyBorder="1" applyAlignment="1">
      <alignment wrapText="1"/>
    </xf>
    <xf numFmtId="1" fontId="4" fillId="4" borderId="10" xfId="0" applyNumberFormat="1" applyFont="1" applyFill="1" applyBorder="1" applyAlignment="1">
      <alignment horizontal="center" vertical="center"/>
    </xf>
    <xf numFmtId="2" fontId="4" fillId="4" borderId="10" xfId="0" applyNumberFormat="1" applyFont="1" applyFill="1" applyBorder="1" applyAlignment="1">
      <alignment horizontal="center" vertical="center"/>
    </xf>
    <xf numFmtId="2" fontId="4" fillId="0" borderId="10" xfId="0" applyNumberFormat="1" applyFont="1" applyBorder="1" applyAlignment="1">
      <alignment horizontal="center" vertical="center"/>
    </xf>
    <xf numFmtId="0" fontId="2" fillId="2" borderId="10" xfId="0" applyFont="1" applyFill="1" applyBorder="1" applyAlignment="1">
      <alignment horizontal="center" vertical="center"/>
    </xf>
    <xf numFmtId="0" fontId="2" fillId="0" borderId="10" xfId="0" applyFont="1" applyBorder="1" applyAlignment="1">
      <alignment horizontal="center" vertical="center"/>
    </xf>
    <xf numFmtId="2" fontId="2" fillId="0" borderId="10" xfId="0" applyNumberFormat="1" applyFont="1" applyBorder="1" applyAlignment="1">
      <alignment horizontal="center" vertical="center"/>
    </xf>
    <xf numFmtId="0" fontId="3" fillId="0" borderId="12" xfId="0" applyFont="1" applyBorder="1" applyAlignment="1">
      <alignment horizontal="center" vertical="center" wrapText="1"/>
    </xf>
    <xf numFmtId="0" fontId="3" fillId="4" borderId="0" xfId="0" applyFont="1" applyFill="1" applyAlignment="1">
      <alignment horizontal="center" wrapText="1"/>
    </xf>
    <xf numFmtId="0" fontId="3" fillId="0" borderId="0" xfId="0" applyFont="1"/>
    <xf numFmtId="0" fontId="3" fillId="0" borderId="0" xfId="0" applyFont="1"/>
    <xf numFmtId="0" fontId="3" fillId="4" borderId="0" xfId="0" applyFont="1" applyFill="1" applyAlignment="1">
      <alignment horizontal="center"/>
    </xf>
    <xf numFmtId="0" fontId="0" fillId="4" borderId="0" xfId="0" applyFill="1" applyAlignment="1">
      <alignment horizontal="centerContinuous" vertical="top" wrapText="1"/>
    </xf>
    <xf numFmtId="0" fontId="18" fillId="0" borderId="0" xfId="0" applyFont="1"/>
    <xf numFmtId="0" fontId="1" fillId="0" borderId="0" xfId="0" applyFont="1"/>
    <xf numFmtId="0" fontId="0" fillId="0" borderId="0" xfId="0" applyAlignment="1">
      <alignment horizontal="center" vertical="center"/>
    </xf>
    <xf numFmtId="0" fontId="2" fillId="0" borderId="13" xfId="0" applyFont="1" applyBorder="1" applyAlignment="1">
      <alignment vertical="center"/>
    </xf>
    <xf numFmtId="0" fontId="2" fillId="0" borderId="14" xfId="0" applyFont="1" applyBorder="1" applyAlignment="1">
      <alignment horizontal="center" vertical="center"/>
    </xf>
    <xf numFmtId="0" fontId="2" fillId="4" borderId="15" xfId="0" applyFont="1" applyFill="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5" borderId="14" xfId="0" applyFont="1" applyFill="1" applyBorder="1" applyAlignment="1">
      <alignment horizontal="center" vertical="center"/>
    </xf>
    <xf numFmtId="0" fontId="3" fillId="0" borderId="15" xfId="0" applyFont="1" applyBorder="1" applyAlignment="1">
      <alignment horizontal="center" vertical="center"/>
    </xf>
    <xf numFmtId="0" fontId="3" fillId="0" borderId="17" xfId="0" applyFont="1" applyBorder="1" applyAlignment="1">
      <alignment horizontal="center" vertical="center"/>
    </xf>
    <xf numFmtId="0" fontId="2" fillId="0" borderId="18" xfId="0" applyFont="1" applyBorder="1" applyAlignment="1">
      <alignment horizontal="center" vertical="center"/>
    </xf>
    <xf numFmtId="0" fontId="2" fillId="4" borderId="19" xfId="0" applyFont="1" applyFill="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5" borderId="18" xfId="0" applyFont="1" applyFill="1" applyBorder="1" applyAlignment="1">
      <alignment horizontal="center" vertical="center"/>
    </xf>
    <xf numFmtId="0" fontId="3" fillId="0" borderId="19" xfId="0" applyFont="1" applyBorder="1" applyAlignment="1">
      <alignment horizontal="center" vertical="center"/>
    </xf>
    <xf numFmtId="0" fontId="3" fillId="0" borderId="21" xfId="0" applyFont="1" applyBorder="1" applyAlignment="1">
      <alignment horizontal="center" vertical="center"/>
    </xf>
    <xf numFmtId="0" fontId="2" fillId="0" borderId="22" xfId="0" applyFont="1" applyBorder="1" applyAlignment="1">
      <alignment horizontal="center" vertical="center"/>
    </xf>
    <xf numFmtId="0" fontId="2" fillId="4" borderId="23" xfId="0" applyFont="1" applyFill="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5" borderId="22" xfId="0" applyFont="1" applyFill="1" applyBorder="1" applyAlignment="1">
      <alignment horizontal="center" vertical="center"/>
    </xf>
    <xf numFmtId="0" fontId="3" fillId="0" borderId="23" xfId="0" applyFont="1" applyBorder="1" applyAlignment="1">
      <alignment horizontal="center" vertical="center"/>
    </xf>
    <xf numFmtId="0" fontId="3" fillId="0" borderId="25" xfId="0" applyFont="1" applyBorder="1" applyAlignment="1">
      <alignment horizontal="center" vertical="center"/>
    </xf>
    <xf numFmtId="0" fontId="1" fillId="0" borderId="0" xfId="0" applyFont="1" applyAlignment="1">
      <alignment horizontal="center"/>
    </xf>
    <xf numFmtId="0" fontId="9" fillId="0" borderId="26" xfId="0" applyFont="1" applyBorder="1" applyAlignment="1">
      <alignment horizontal="center" wrapText="1"/>
    </xf>
    <xf numFmtId="0" fontId="0" fillId="4" borderId="27" xfId="0" applyFill="1" applyBorder="1" applyAlignment="1">
      <alignment horizontal="center" wrapText="1"/>
    </xf>
    <xf numFmtId="0" fontId="0" fillId="0" borderId="28" xfId="0" applyBorder="1" applyAlignment="1">
      <alignment horizontal="center" wrapText="1"/>
    </xf>
    <xf numFmtId="0" fontId="12" fillId="0" borderId="29" xfId="0" applyFont="1" applyBorder="1" applyAlignment="1">
      <alignment horizontal="center" wrapText="1"/>
    </xf>
    <xf numFmtId="0" fontId="12" fillId="0" borderId="0" xfId="0" applyFont="1" applyAlignment="1">
      <alignment horizontal="center" wrapText="1"/>
    </xf>
    <xf numFmtId="0" fontId="9" fillId="5" borderId="26" xfId="0" applyFont="1" applyFill="1" applyBorder="1" applyAlignment="1">
      <alignment horizontal="center" wrapText="1"/>
    </xf>
    <xf numFmtId="0" fontId="12" fillId="0" borderId="30" xfId="0" applyFont="1" applyBorder="1" applyAlignment="1">
      <alignment horizontal="center" wrapText="1"/>
    </xf>
    <xf numFmtId="0" fontId="0" fillId="0" borderId="31" xfId="0" applyBorder="1" applyAlignment="1">
      <alignment horizontal="centerContinuous"/>
    </xf>
    <xf numFmtId="0" fontId="0" fillId="0" borderId="0" xfId="0" applyAlignment="1">
      <alignment horizontal="centerContinuous"/>
    </xf>
    <xf numFmtId="0" fontId="11" fillId="0" borderId="0" xfId="0" applyFont="1" applyAlignment="1">
      <alignment horizontal="centerContinuous"/>
    </xf>
    <xf numFmtId="0" fontId="11" fillId="0" borderId="30" xfId="0" applyFont="1" applyBorder="1" applyAlignment="1">
      <alignment horizontal="centerContinuous"/>
    </xf>
    <xf numFmtId="0" fontId="1" fillId="0" borderId="0" xfId="0" applyFont="1" applyAlignment="1">
      <alignment horizontal="right"/>
    </xf>
    <xf numFmtId="0" fontId="0" fillId="0" borderId="0" xfId="0" applyAlignment="1">
      <alignment horizontal="center"/>
    </xf>
    <xf numFmtId="0" fontId="12" fillId="0" borderId="0" xfId="0" applyFont="1"/>
    <xf numFmtId="0" fontId="9" fillId="0" borderId="0" xfId="0" applyFont="1"/>
    <xf numFmtId="0" fontId="0" fillId="0" borderId="8" xfId="0" applyBorder="1" applyAlignment="1">
      <alignment horizontal="center"/>
    </xf>
    <xf numFmtId="0" fontId="9" fillId="0" borderId="0" xfId="0" applyFont="1" applyAlignment="1">
      <alignment horizontal="right"/>
    </xf>
    <xf numFmtId="0" fontId="0" fillId="0" borderId="14" xfId="0" applyBorder="1" applyAlignment="1">
      <alignment horizontal="center" vertical="center"/>
    </xf>
    <xf numFmtId="0" fontId="0" fillId="4" borderId="15" xfId="0" applyFill="1" applyBorder="1" applyAlignment="1">
      <alignment horizontal="center" vertical="center"/>
    </xf>
    <xf numFmtId="0" fontId="0" fillId="0" borderId="16" xfId="0" applyBorder="1" applyAlignment="1">
      <alignment horizontal="center" vertical="center"/>
    </xf>
    <xf numFmtId="0" fontId="6" fillId="4" borderId="15" xfId="0" applyFont="1" applyFill="1" applyBorder="1" applyAlignment="1">
      <alignment horizontal="center" vertical="center"/>
    </xf>
    <xf numFmtId="0" fontId="6" fillId="0" borderId="16" xfId="0" applyFont="1" applyBorder="1" applyAlignment="1">
      <alignment horizontal="center" vertical="center"/>
    </xf>
    <xf numFmtId="0" fontId="0" fillId="0" borderId="32" xfId="0" applyBorder="1" applyAlignment="1">
      <alignment horizontal="center" vertical="center"/>
    </xf>
    <xf numFmtId="0" fontId="1" fillId="0" borderId="15" xfId="0" applyFont="1" applyBorder="1" applyAlignment="1">
      <alignment horizontal="center" vertical="center"/>
    </xf>
    <xf numFmtId="0" fontId="1" fillId="0" borderId="17" xfId="0" applyFont="1" applyBorder="1" applyAlignment="1">
      <alignment horizontal="center" vertical="center"/>
    </xf>
    <xf numFmtId="0" fontId="0" fillId="0" borderId="18" xfId="0" applyBorder="1" applyAlignment="1">
      <alignment horizontal="center" vertical="center"/>
    </xf>
    <xf numFmtId="0" fontId="0" fillId="4" borderId="19" xfId="0" applyFill="1" applyBorder="1" applyAlignment="1">
      <alignment horizontal="center" vertical="center"/>
    </xf>
    <xf numFmtId="0" fontId="0" fillId="0" borderId="20" xfId="0" applyBorder="1" applyAlignment="1">
      <alignment horizontal="center" vertical="center"/>
    </xf>
    <xf numFmtId="0" fontId="6" fillId="4" borderId="19" xfId="0" applyFont="1" applyFill="1" applyBorder="1" applyAlignment="1">
      <alignment horizontal="center" vertical="center"/>
    </xf>
    <xf numFmtId="0" fontId="6" fillId="0" borderId="20" xfId="0" applyFont="1" applyBorder="1" applyAlignment="1">
      <alignment horizontal="center" vertical="center"/>
    </xf>
    <xf numFmtId="0" fontId="0" fillId="0" borderId="33" xfId="0" applyBorder="1" applyAlignment="1">
      <alignment horizontal="center" vertical="center"/>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0" fillId="0" borderId="22" xfId="0" applyBorder="1" applyAlignment="1">
      <alignment horizontal="center" vertical="center"/>
    </xf>
    <xf numFmtId="0" fontId="0" fillId="4" borderId="23" xfId="0" applyFill="1" applyBorder="1" applyAlignment="1">
      <alignment horizontal="center" vertical="center"/>
    </xf>
    <xf numFmtId="0" fontId="0" fillId="0" borderId="24" xfId="0" applyBorder="1" applyAlignment="1">
      <alignment horizontal="center" vertical="center"/>
    </xf>
    <xf numFmtId="0" fontId="6" fillId="4" borderId="23" xfId="0" applyFont="1" applyFill="1" applyBorder="1" applyAlignment="1">
      <alignment horizontal="center" vertical="center"/>
    </xf>
    <xf numFmtId="0" fontId="6" fillId="0" borderId="24" xfId="0" applyFont="1" applyBorder="1" applyAlignment="1">
      <alignment horizontal="center" vertical="center"/>
    </xf>
    <xf numFmtId="0" fontId="0" fillId="0" borderId="13" xfId="0" applyBorder="1" applyAlignment="1">
      <alignment horizontal="center" vertical="center"/>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9" fillId="0" borderId="30" xfId="0" applyFont="1" applyBorder="1" applyAlignment="1">
      <alignment horizontal="center" wrapText="1"/>
    </xf>
    <xf numFmtId="0" fontId="0" fillId="0" borderId="30" xfId="0" applyBorder="1" applyAlignment="1">
      <alignment horizontal="center" vertical="center"/>
    </xf>
    <xf numFmtId="0" fontId="0" fillId="0" borderId="34" xfId="0" applyBorder="1" applyAlignment="1">
      <alignment horizontal="center" vertical="center"/>
    </xf>
    <xf numFmtId="0" fontId="9"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81999-F8F1-4F8B-964E-9AA58AE7E702}">
  <dimension ref="A1:X36"/>
  <sheetViews>
    <sheetView tabSelected="1" workbookViewId="0">
      <selection activeCell="D32" sqref="D32"/>
    </sheetView>
  </sheetViews>
  <sheetFormatPr defaultRowHeight="15" x14ac:dyDescent="0.25"/>
  <cols>
    <col min="3" max="3" width="10.42578125" bestFit="1" customWidth="1"/>
  </cols>
  <sheetData>
    <row r="1" spans="1:24" x14ac:dyDescent="0.25">
      <c r="A1" t="s">
        <v>0</v>
      </c>
      <c r="B1" t="s">
        <v>1</v>
      </c>
      <c r="C1" t="s">
        <v>2</v>
      </c>
      <c r="D1" t="s">
        <v>3</v>
      </c>
      <c r="E1" t="s">
        <v>15</v>
      </c>
      <c r="F1" t="s">
        <v>17</v>
      </c>
      <c r="G1" t="s">
        <v>18</v>
      </c>
      <c r="H1" t="s">
        <v>27</v>
      </c>
      <c r="I1" t="s">
        <v>42</v>
      </c>
      <c r="J1" t="s">
        <v>19</v>
      </c>
      <c r="K1" t="s">
        <v>20</v>
      </c>
      <c r="L1" t="s">
        <v>21</v>
      </c>
      <c r="M1" t="s">
        <v>22</v>
      </c>
      <c r="N1" t="s">
        <v>23</v>
      </c>
      <c r="O1" t="s">
        <v>24</v>
      </c>
      <c r="P1" t="s">
        <v>25</v>
      </c>
      <c r="Q1" t="s">
        <v>26</v>
      </c>
      <c r="R1" t="s">
        <v>43</v>
      </c>
      <c r="S1" t="s">
        <v>44</v>
      </c>
      <c r="T1" t="s">
        <v>45</v>
      </c>
      <c r="U1" t="s">
        <v>46</v>
      </c>
      <c r="V1" t="s">
        <v>113</v>
      </c>
      <c r="W1" t="s">
        <v>114</v>
      </c>
      <c r="X1" t="s">
        <v>16</v>
      </c>
    </row>
    <row r="2" spans="1:24" x14ac:dyDescent="0.25">
      <c r="A2">
        <v>2014</v>
      </c>
      <c r="B2">
        <v>175</v>
      </c>
      <c r="C2" s="1">
        <v>41814</v>
      </c>
      <c r="D2" t="s">
        <v>4</v>
      </c>
      <c r="E2">
        <v>8</v>
      </c>
      <c r="F2" s="5">
        <v>9</v>
      </c>
      <c r="G2" s="5">
        <v>0</v>
      </c>
      <c r="H2" s="5">
        <v>0</v>
      </c>
      <c r="I2" s="5">
        <v>0</v>
      </c>
      <c r="J2" s="6">
        <v>7.8312499999999998</v>
      </c>
      <c r="K2" s="6">
        <v>7.1837499999999999</v>
      </c>
      <c r="L2" s="6">
        <v>15.765000000000001</v>
      </c>
      <c r="M2" s="5">
        <v>616.6338582677165</v>
      </c>
      <c r="N2" s="5">
        <v>565.64960629921256</v>
      </c>
      <c r="O2" s="5">
        <v>59.055118110236222</v>
      </c>
      <c r="P2" s="5">
        <v>1241.3385826771653</v>
      </c>
      <c r="Q2" s="4">
        <v>0.47837499999999999</v>
      </c>
      <c r="V2" s="6">
        <v>0.45500000000000002</v>
      </c>
      <c r="W2" s="6">
        <v>0.39</v>
      </c>
      <c r="X2" s="4">
        <v>0.61</v>
      </c>
    </row>
    <row r="3" spans="1:24" x14ac:dyDescent="0.25">
      <c r="A3">
        <v>2014</v>
      </c>
      <c r="B3">
        <v>175</v>
      </c>
      <c r="C3" s="1">
        <v>41814</v>
      </c>
      <c r="D3" t="s">
        <v>6</v>
      </c>
      <c r="E3">
        <v>8</v>
      </c>
      <c r="F3" s="5">
        <v>12.75</v>
      </c>
      <c r="G3" s="5">
        <v>0.125</v>
      </c>
      <c r="H3" s="5">
        <v>0</v>
      </c>
      <c r="I3" s="5">
        <v>0</v>
      </c>
      <c r="J3" s="6">
        <v>9.2024999999999988</v>
      </c>
      <c r="K3" s="6">
        <v>8.4537499999999994</v>
      </c>
      <c r="L3" s="6">
        <v>18.571249999999999</v>
      </c>
      <c r="M3" s="5">
        <v>724.60629921259829</v>
      </c>
      <c r="N3" s="5">
        <v>665.64960629921256</v>
      </c>
      <c r="O3" s="5">
        <v>72.047244094488192</v>
      </c>
      <c r="P3" s="5">
        <v>1462.303149606299</v>
      </c>
      <c r="Q3" s="4">
        <v>0.90416633858267714</v>
      </c>
      <c r="V3" s="6">
        <v>0.47</v>
      </c>
      <c r="W3" s="6">
        <v>0.34</v>
      </c>
      <c r="X3" s="4">
        <v>0.75</v>
      </c>
    </row>
    <row r="4" spans="1:24" x14ac:dyDescent="0.25">
      <c r="A4">
        <v>2014</v>
      </c>
      <c r="B4">
        <v>175</v>
      </c>
      <c r="C4" s="1">
        <v>41814</v>
      </c>
      <c r="D4" t="s">
        <v>7</v>
      </c>
      <c r="E4">
        <v>8</v>
      </c>
      <c r="F4" s="5">
        <v>7.375</v>
      </c>
      <c r="G4" s="5">
        <v>0</v>
      </c>
      <c r="H4" s="5">
        <v>0</v>
      </c>
      <c r="I4" s="5">
        <v>0</v>
      </c>
      <c r="J4" s="6">
        <v>7.2387500000000005</v>
      </c>
      <c r="K4" s="6">
        <v>6.3724999999999996</v>
      </c>
      <c r="L4" s="6">
        <v>14.106249999999999</v>
      </c>
      <c r="M4" s="5">
        <v>569.98031496062993</v>
      </c>
      <c r="N4" s="5">
        <v>501.77165354330708</v>
      </c>
      <c r="O4" s="5">
        <v>38.976377952755904</v>
      </c>
      <c r="P4" s="5">
        <v>1110.7283464566929</v>
      </c>
      <c r="Q4" s="4">
        <v>1.1214517716535435</v>
      </c>
      <c r="V4" s="6">
        <v>0.52500000000000002</v>
      </c>
      <c r="W4" s="6">
        <v>0.45500000000000002</v>
      </c>
      <c r="X4" s="4">
        <v>1</v>
      </c>
    </row>
    <row r="5" spans="1:24" x14ac:dyDescent="0.25">
      <c r="A5">
        <v>2014</v>
      </c>
      <c r="B5">
        <v>175</v>
      </c>
      <c r="C5" s="1">
        <v>41814</v>
      </c>
      <c r="D5" t="s">
        <v>8</v>
      </c>
      <c r="E5">
        <v>8</v>
      </c>
      <c r="F5" s="5">
        <v>10.125</v>
      </c>
      <c r="G5" s="5">
        <v>0</v>
      </c>
      <c r="H5" s="5">
        <v>0</v>
      </c>
      <c r="I5" s="5">
        <v>0</v>
      </c>
      <c r="J5" s="6">
        <v>9.5837500000000002</v>
      </c>
      <c r="K5" s="6">
        <v>9.4837500000000006</v>
      </c>
      <c r="L5" s="6">
        <v>19.592500000000001</v>
      </c>
      <c r="M5" s="5">
        <v>754.62598425196859</v>
      </c>
      <c r="N5" s="5">
        <v>746.75196850393718</v>
      </c>
      <c r="O5" s="5">
        <v>41.338582677165363</v>
      </c>
      <c r="P5" s="5">
        <v>1542.7165354330712</v>
      </c>
      <c r="Q5" s="4">
        <v>1.1228444881889763</v>
      </c>
      <c r="V5" s="6">
        <v>0.56000000000000005</v>
      </c>
      <c r="W5" s="6">
        <v>0.46</v>
      </c>
      <c r="X5" s="4">
        <v>0.86</v>
      </c>
    </row>
    <row r="6" spans="1:24" x14ac:dyDescent="0.25">
      <c r="A6">
        <v>2014</v>
      </c>
      <c r="B6">
        <v>175</v>
      </c>
      <c r="C6" s="1">
        <v>41814</v>
      </c>
      <c r="D6" t="s">
        <v>9</v>
      </c>
      <c r="E6">
        <v>13</v>
      </c>
      <c r="F6" s="5">
        <v>2.6153846153846154</v>
      </c>
      <c r="G6" s="5">
        <v>0</v>
      </c>
      <c r="H6" s="5">
        <v>0</v>
      </c>
      <c r="I6" s="5">
        <v>0</v>
      </c>
      <c r="J6" s="6">
        <v>4.5176923076923075</v>
      </c>
      <c r="K6" s="6">
        <v>3.9215384615384612</v>
      </c>
      <c r="L6" s="6">
        <v>8.629999999999999</v>
      </c>
      <c r="M6" s="5">
        <v>578.05118110236219</v>
      </c>
      <c r="N6" s="5">
        <v>501.77165354330708</v>
      </c>
      <c r="O6" s="5">
        <v>24.409448818897641</v>
      </c>
      <c r="P6" s="5">
        <v>1104.2322834645668</v>
      </c>
      <c r="Q6" s="4">
        <v>0.74447933070866146</v>
      </c>
      <c r="V6" s="6">
        <v>0.44</v>
      </c>
      <c r="W6" s="6">
        <v>0.35499999999999998</v>
      </c>
      <c r="X6" s="4">
        <v>0.65</v>
      </c>
    </row>
    <row r="7" spans="1:24" x14ac:dyDescent="0.25">
      <c r="A7">
        <v>2014</v>
      </c>
      <c r="B7">
        <v>175</v>
      </c>
      <c r="C7" s="1">
        <v>41814</v>
      </c>
      <c r="D7" t="s">
        <v>10</v>
      </c>
      <c r="E7">
        <v>12</v>
      </c>
      <c r="F7" s="5">
        <v>3.25</v>
      </c>
      <c r="G7" s="5">
        <v>0</v>
      </c>
      <c r="H7" s="5">
        <v>0</v>
      </c>
      <c r="I7" s="5">
        <v>0</v>
      </c>
      <c r="J7" s="6">
        <v>6.8858333333333341</v>
      </c>
      <c r="K7" s="6">
        <v>6.4258333333333333</v>
      </c>
      <c r="L7" s="6">
        <v>13.561666666666667</v>
      </c>
      <c r="M7" s="5">
        <v>813.2874015748032</v>
      </c>
      <c r="N7" s="5">
        <v>758.95669291338572</v>
      </c>
      <c r="O7" s="5">
        <v>29.527559055118111</v>
      </c>
      <c r="P7" s="5">
        <v>1601.7716535433071</v>
      </c>
      <c r="Q7" s="4">
        <v>1.0728956692913387</v>
      </c>
      <c r="V7" s="6">
        <v>0.5</v>
      </c>
      <c r="W7" s="6">
        <v>0.40500000000000003</v>
      </c>
      <c r="X7" s="4">
        <v>0.81</v>
      </c>
    </row>
    <row r="8" spans="1:24" x14ac:dyDescent="0.25">
      <c r="A8">
        <v>2014</v>
      </c>
      <c r="B8">
        <v>175</v>
      </c>
      <c r="C8" s="1">
        <v>41814</v>
      </c>
      <c r="D8" t="s">
        <v>11</v>
      </c>
      <c r="E8">
        <v>9</v>
      </c>
      <c r="F8" s="5">
        <v>5.7777777777777777</v>
      </c>
      <c r="G8" s="5">
        <v>0</v>
      </c>
      <c r="H8" s="5">
        <v>0</v>
      </c>
      <c r="I8" s="5">
        <v>0</v>
      </c>
      <c r="J8" s="6">
        <v>7.6244444444444452</v>
      </c>
      <c r="K8" s="6">
        <v>6.1266666666666669</v>
      </c>
      <c r="L8" s="6">
        <v>14.037777777777778</v>
      </c>
      <c r="M8" s="5">
        <v>675.3937007874016</v>
      </c>
      <c r="N8" s="5">
        <v>542.71653543307093</v>
      </c>
      <c r="O8" s="5">
        <v>25.393700787401578</v>
      </c>
      <c r="P8" s="5">
        <v>1243.5039370078739</v>
      </c>
      <c r="Q8" s="4">
        <v>0.80273228346456693</v>
      </c>
      <c r="V8" s="6">
        <v>0.435</v>
      </c>
      <c r="W8" s="6">
        <v>0.32</v>
      </c>
      <c r="X8" s="4">
        <v>0.72</v>
      </c>
    </row>
    <row r="9" spans="1:24" x14ac:dyDescent="0.25">
      <c r="A9">
        <v>2014</v>
      </c>
      <c r="B9">
        <v>175</v>
      </c>
      <c r="C9" s="1">
        <v>41814</v>
      </c>
      <c r="D9" t="s">
        <v>12</v>
      </c>
      <c r="E9">
        <v>8</v>
      </c>
      <c r="F9" s="5">
        <v>5.375</v>
      </c>
      <c r="G9" s="5">
        <v>0</v>
      </c>
      <c r="H9" s="5">
        <v>0</v>
      </c>
      <c r="I9" s="5">
        <v>0</v>
      </c>
      <c r="J9" s="6">
        <v>7.1825000000000001</v>
      </c>
      <c r="K9" s="6">
        <v>6.3125</v>
      </c>
      <c r="L9" s="6">
        <v>13.817500000000001</v>
      </c>
      <c r="M9" s="5">
        <v>565.55118110236219</v>
      </c>
      <c r="N9" s="5">
        <v>497.04724409448824</v>
      </c>
      <c r="O9" s="5">
        <v>25.393700787401578</v>
      </c>
      <c r="P9" s="5">
        <v>1087.992125984252</v>
      </c>
      <c r="Q9" s="4">
        <v>0.71366732283464562</v>
      </c>
      <c r="V9" s="6">
        <v>0.49</v>
      </c>
      <c r="W9" s="6">
        <v>0.38</v>
      </c>
      <c r="X9" s="4">
        <v>0.67</v>
      </c>
    </row>
    <row r="10" spans="1:24" x14ac:dyDescent="0.25">
      <c r="A10">
        <v>2014</v>
      </c>
      <c r="B10">
        <v>175</v>
      </c>
      <c r="C10" s="1">
        <v>41814</v>
      </c>
      <c r="D10" t="s">
        <v>13</v>
      </c>
      <c r="E10">
        <v>7</v>
      </c>
      <c r="F10" s="5">
        <v>9.8571428571428577</v>
      </c>
      <c r="G10" s="5">
        <v>0</v>
      </c>
      <c r="H10" s="5">
        <v>0</v>
      </c>
      <c r="I10" s="5">
        <v>0</v>
      </c>
      <c r="J10" s="6">
        <v>8.331428571428571</v>
      </c>
      <c r="K10" s="6">
        <v>6.97</v>
      </c>
      <c r="L10" s="6">
        <v>15.83</v>
      </c>
      <c r="M10" s="5">
        <v>574.01574803149595</v>
      </c>
      <c r="N10" s="5">
        <v>480.21653543307082</v>
      </c>
      <c r="O10" s="5">
        <v>36.417322834645667</v>
      </c>
      <c r="P10" s="5">
        <v>1090.6496062992123</v>
      </c>
      <c r="Q10" s="4">
        <v>0.72184842519685033</v>
      </c>
      <c r="V10" s="6">
        <v>0.435</v>
      </c>
      <c r="W10" s="6">
        <v>0.34499999999999997</v>
      </c>
      <c r="X10" s="4">
        <v>0.91</v>
      </c>
    </row>
    <row r="11" spans="1:24" x14ac:dyDescent="0.25">
      <c r="A11">
        <v>2014</v>
      </c>
      <c r="B11">
        <v>175</v>
      </c>
      <c r="C11" s="1">
        <v>41814</v>
      </c>
      <c r="D11" t="s">
        <v>14</v>
      </c>
      <c r="E11">
        <v>9</v>
      </c>
      <c r="F11" s="5">
        <v>2.7777777777777777</v>
      </c>
      <c r="G11" s="5">
        <v>0</v>
      </c>
      <c r="H11" s="5">
        <v>0</v>
      </c>
      <c r="I11" s="5">
        <v>0</v>
      </c>
      <c r="J11" s="6">
        <v>8.1366666666666649</v>
      </c>
      <c r="K11" s="6">
        <v>7.1733333333333338</v>
      </c>
      <c r="L11" s="6">
        <v>15.452222222222222</v>
      </c>
      <c r="M11" s="5">
        <v>720.76771653543301</v>
      </c>
      <c r="N11" s="5">
        <v>635.43307086614186</v>
      </c>
      <c r="O11" s="5">
        <v>12.598425196850394</v>
      </c>
      <c r="P11" s="5">
        <v>1368.7992125984254</v>
      </c>
      <c r="Q11" s="4">
        <v>1.3048169291338583</v>
      </c>
      <c r="V11" s="6">
        <v>0.505</v>
      </c>
      <c r="W11" s="6">
        <v>0.46500000000000002</v>
      </c>
      <c r="X11" s="4">
        <v>0.8</v>
      </c>
    </row>
    <row r="12" spans="1:24" x14ac:dyDescent="0.25">
      <c r="A12">
        <v>2014</v>
      </c>
      <c r="B12">
        <v>175</v>
      </c>
      <c r="C12" s="1">
        <v>41814</v>
      </c>
      <c r="D12" t="s">
        <v>145</v>
      </c>
      <c r="E12">
        <v>8</v>
      </c>
      <c r="F12" s="5">
        <v>5.5</v>
      </c>
      <c r="G12" s="5">
        <v>0</v>
      </c>
      <c r="H12" s="5">
        <v>0</v>
      </c>
      <c r="I12" s="5">
        <v>0</v>
      </c>
      <c r="J12" s="6">
        <v>6.7612500000000004</v>
      </c>
      <c r="K12" s="6">
        <v>6.32</v>
      </c>
      <c r="L12" s="6">
        <v>13.34</v>
      </c>
      <c r="M12" s="5">
        <v>532.38188976377955</v>
      </c>
      <c r="N12" s="5">
        <v>497.63779527559052</v>
      </c>
      <c r="O12" s="5">
        <v>20.374015748031493</v>
      </c>
      <c r="P12" s="5">
        <v>1050.3937007874015</v>
      </c>
      <c r="Q12" s="4">
        <v>0.70168405511811016</v>
      </c>
      <c r="V12" s="6">
        <v>0.46500000000000002</v>
      </c>
      <c r="W12" s="6">
        <v>0.375</v>
      </c>
      <c r="X12" s="4">
        <v>0.96</v>
      </c>
    </row>
    <row r="13" spans="1:24" x14ac:dyDescent="0.25">
      <c r="A13">
        <v>2014</v>
      </c>
      <c r="B13">
        <v>175</v>
      </c>
      <c r="C13" s="1">
        <v>41814</v>
      </c>
      <c r="D13" t="s">
        <v>146</v>
      </c>
      <c r="E13">
        <v>16</v>
      </c>
      <c r="F13" s="5">
        <v>3.0625</v>
      </c>
      <c r="G13" s="5">
        <v>6.25E-2</v>
      </c>
      <c r="H13" s="5">
        <v>0</v>
      </c>
      <c r="I13" s="5">
        <v>0</v>
      </c>
      <c r="J13" s="6">
        <v>5.4056249999999997</v>
      </c>
      <c r="K13" s="6">
        <v>4.78125</v>
      </c>
      <c r="L13" s="6">
        <v>10.38625</v>
      </c>
      <c r="M13" s="5">
        <v>851.27952755905517</v>
      </c>
      <c r="N13" s="5">
        <v>752.95275590551171</v>
      </c>
      <c r="O13" s="5">
        <v>31.397637795275593</v>
      </c>
      <c r="P13" s="5">
        <v>1635.6299212598426</v>
      </c>
      <c r="Q13" s="4">
        <v>0.82307086614173219</v>
      </c>
      <c r="V13" s="6">
        <v>0.49</v>
      </c>
      <c r="W13" s="6">
        <v>0.39</v>
      </c>
      <c r="X13" s="4">
        <v>1.0900000000000001</v>
      </c>
    </row>
    <row r="14" spans="1:24" x14ac:dyDescent="0.25">
      <c r="A14">
        <v>2014</v>
      </c>
      <c r="B14">
        <v>175</v>
      </c>
      <c r="C14" s="1">
        <v>41814</v>
      </c>
      <c r="D14" t="s">
        <v>147</v>
      </c>
      <c r="E14">
        <v>11</v>
      </c>
      <c r="F14" s="5">
        <v>2.7272727272727271</v>
      </c>
      <c r="G14" s="5">
        <v>0</v>
      </c>
      <c r="H14" s="5">
        <v>0</v>
      </c>
      <c r="I14" s="5">
        <v>0</v>
      </c>
      <c r="J14" s="6">
        <v>5.831818181818182</v>
      </c>
      <c r="K14" s="6">
        <v>4.6909090909090914</v>
      </c>
      <c r="L14" s="6">
        <v>10.749090909090908</v>
      </c>
      <c r="M14" s="5">
        <v>631.39763779527573</v>
      </c>
      <c r="N14" s="5">
        <v>507.87401574803152</v>
      </c>
      <c r="O14" s="5">
        <v>24.507874015748033</v>
      </c>
      <c r="P14" s="5">
        <v>1163.7795275590554</v>
      </c>
      <c r="Q14" s="4">
        <v>0.72953444881889762</v>
      </c>
      <c r="V14" s="6">
        <v>0.39500000000000002</v>
      </c>
      <c r="W14" s="6">
        <v>0.33500000000000002</v>
      </c>
      <c r="X14" s="4">
        <v>0.66</v>
      </c>
    </row>
    <row r="15" spans="1:24" x14ac:dyDescent="0.25">
      <c r="A15">
        <v>2014</v>
      </c>
      <c r="B15">
        <v>175</v>
      </c>
      <c r="C15" s="1">
        <v>41814</v>
      </c>
      <c r="D15" t="s">
        <v>148</v>
      </c>
      <c r="E15">
        <v>17</v>
      </c>
      <c r="F15" s="5">
        <v>1.588235294117647</v>
      </c>
      <c r="G15" s="5">
        <v>0</v>
      </c>
      <c r="H15" s="5">
        <v>0</v>
      </c>
      <c r="I15" s="5">
        <v>0</v>
      </c>
      <c r="J15" s="6">
        <v>4.7417647058823533</v>
      </c>
      <c r="K15" s="6">
        <v>4.171176470588235</v>
      </c>
      <c r="L15" s="6">
        <v>9.0241176470588211</v>
      </c>
      <c r="M15" s="5">
        <v>793.40551181102364</v>
      </c>
      <c r="N15" s="5">
        <v>697.93307086614175</v>
      </c>
      <c r="O15" s="5">
        <v>18.602362204724407</v>
      </c>
      <c r="P15" s="5">
        <v>1509.9409448818899</v>
      </c>
      <c r="Q15" s="4">
        <v>1.0788484251968504</v>
      </c>
      <c r="V15" s="6">
        <v>0.41</v>
      </c>
      <c r="W15" s="6">
        <v>0.315</v>
      </c>
      <c r="X15" s="4">
        <v>0.94</v>
      </c>
    </row>
    <row r="16" spans="1:24" x14ac:dyDescent="0.25">
      <c r="A16">
        <v>2014</v>
      </c>
      <c r="B16">
        <v>203</v>
      </c>
      <c r="C16" s="1">
        <v>41842</v>
      </c>
      <c r="D16" t="s">
        <v>5</v>
      </c>
      <c r="E16">
        <v>7</v>
      </c>
      <c r="F16" s="5">
        <v>19.142857142857142</v>
      </c>
      <c r="G16" s="5">
        <v>1.5714285714285714</v>
      </c>
      <c r="H16" s="5">
        <v>13.857142857142858</v>
      </c>
      <c r="I16" s="5">
        <v>0</v>
      </c>
      <c r="J16" s="6">
        <v>25.631428571428568</v>
      </c>
      <c r="K16" s="6">
        <v>26.877142857142854</v>
      </c>
      <c r="L16" s="6">
        <v>71.875714285714281</v>
      </c>
      <c r="M16" s="5">
        <v>1765.9448818897638</v>
      </c>
      <c r="N16" s="5">
        <v>1851.7716535433069</v>
      </c>
      <c r="O16" s="5">
        <v>1334.3503937007872</v>
      </c>
      <c r="P16" s="5">
        <v>4952.0669291338581</v>
      </c>
      <c r="Q16" s="4">
        <v>2.4075688976377956</v>
      </c>
      <c r="V16" s="6">
        <v>0.68500000000000005</v>
      </c>
      <c r="W16" s="6">
        <v>0.68500000000000005</v>
      </c>
      <c r="X16" s="4">
        <v>2.36</v>
      </c>
    </row>
    <row r="17" spans="1:24" x14ac:dyDescent="0.25">
      <c r="A17">
        <v>2014</v>
      </c>
      <c r="B17">
        <v>203</v>
      </c>
      <c r="C17" s="1">
        <v>41842</v>
      </c>
      <c r="D17" t="s">
        <v>28</v>
      </c>
      <c r="E17">
        <v>8</v>
      </c>
      <c r="F17" s="5">
        <v>13.25</v>
      </c>
      <c r="G17" s="5">
        <v>2</v>
      </c>
      <c r="H17" s="5">
        <v>15.375</v>
      </c>
      <c r="I17" s="5">
        <v>0</v>
      </c>
      <c r="J17" s="6">
        <v>19.803750000000001</v>
      </c>
      <c r="K17" s="6">
        <v>20.498750000000001</v>
      </c>
      <c r="L17" s="6">
        <v>57.047499999999999</v>
      </c>
      <c r="M17" s="5">
        <v>1559.3503937007874</v>
      </c>
      <c r="N17" s="5">
        <v>1614.0748031496064</v>
      </c>
      <c r="O17" s="5">
        <v>1318.5039370078739</v>
      </c>
      <c r="P17" s="5">
        <v>4491.929133858268</v>
      </c>
      <c r="Q17" s="4">
        <v>2.2593415354330708</v>
      </c>
      <c r="V17" s="6">
        <v>0.69499999999999995</v>
      </c>
      <c r="W17" s="6">
        <v>0.69</v>
      </c>
      <c r="X17" s="4">
        <v>2.16</v>
      </c>
    </row>
    <row r="18" spans="1:24" x14ac:dyDescent="0.25">
      <c r="A18">
        <v>2014</v>
      </c>
      <c r="B18">
        <v>203</v>
      </c>
      <c r="C18" s="1">
        <v>41842</v>
      </c>
      <c r="D18" t="s">
        <v>29</v>
      </c>
      <c r="E18">
        <v>7</v>
      </c>
      <c r="F18" s="5">
        <v>30.142857142857142</v>
      </c>
      <c r="G18" s="5">
        <v>1.2857142857142858</v>
      </c>
      <c r="H18" s="5">
        <v>33.142857142857146</v>
      </c>
      <c r="I18" s="5">
        <v>0</v>
      </c>
      <c r="J18" s="6">
        <v>45.868571428571428</v>
      </c>
      <c r="K18" s="6">
        <v>64.614285714285714</v>
      </c>
      <c r="L18" s="6">
        <v>142.36714285714285</v>
      </c>
      <c r="M18" s="5">
        <v>3160.2362204724404</v>
      </c>
      <c r="N18" s="5">
        <v>4451.7716535433074</v>
      </c>
      <c r="O18" s="5">
        <v>2196.751968503937</v>
      </c>
      <c r="P18" s="5">
        <v>9808.7598425196848</v>
      </c>
      <c r="Q18" s="4">
        <v>5.2141761811023617</v>
      </c>
      <c r="V18" s="6">
        <v>0.96</v>
      </c>
      <c r="W18" s="6">
        <v>0.83499999999999996</v>
      </c>
      <c r="X18" s="4">
        <v>4.33</v>
      </c>
    </row>
    <row r="19" spans="1:24" x14ac:dyDescent="0.25">
      <c r="A19">
        <v>2014</v>
      </c>
      <c r="B19">
        <v>203</v>
      </c>
      <c r="C19" s="1">
        <v>41842</v>
      </c>
      <c r="D19" t="s">
        <v>30</v>
      </c>
      <c r="E19">
        <v>11</v>
      </c>
      <c r="F19" s="5">
        <v>10.181818181818182</v>
      </c>
      <c r="G19" s="5">
        <v>0.54545454545454541</v>
      </c>
      <c r="H19" s="5">
        <v>20.818181818181817</v>
      </c>
      <c r="I19" s="5">
        <v>0</v>
      </c>
      <c r="J19" s="6">
        <v>26.742727272727276</v>
      </c>
      <c r="K19" s="6">
        <v>36.715454545454548</v>
      </c>
      <c r="L19" s="6">
        <v>84.725454545454554</v>
      </c>
      <c r="M19" s="5">
        <v>2895.374015748032</v>
      </c>
      <c r="N19" s="5">
        <v>3975.0984251968503</v>
      </c>
      <c r="O19" s="5">
        <v>2302.5590551181103</v>
      </c>
      <c r="P19" s="5">
        <v>9173.031496062993</v>
      </c>
      <c r="Q19" s="4">
        <v>4.6760108267716536</v>
      </c>
      <c r="V19" s="6">
        <v>1.0649999999999999</v>
      </c>
      <c r="W19" s="6">
        <v>0.88</v>
      </c>
      <c r="X19" s="4">
        <v>4.57</v>
      </c>
    </row>
    <row r="20" spans="1:24" x14ac:dyDescent="0.25">
      <c r="A20">
        <v>2014</v>
      </c>
      <c r="B20">
        <v>203</v>
      </c>
      <c r="C20" s="1">
        <v>41842</v>
      </c>
      <c r="D20" t="s">
        <v>31</v>
      </c>
      <c r="E20">
        <v>12</v>
      </c>
      <c r="F20" s="5">
        <v>12.583333333333334</v>
      </c>
      <c r="G20" s="5">
        <v>1.1666666666666667</v>
      </c>
      <c r="H20" s="5">
        <v>7.666666666666667</v>
      </c>
      <c r="I20" s="5">
        <v>0</v>
      </c>
      <c r="J20" s="6">
        <v>19.905000000000001</v>
      </c>
      <c r="K20" s="6">
        <v>28.16</v>
      </c>
      <c r="L20" s="6">
        <v>53.900833333333331</v>
      </c>
      <c r="M20" s="5">
        <v>2350.9842519685039</v>
      </c>
      <c r="N20" s="5">
        <v>3325.9842519685039</v>
      </c>
      <c r="O20" s="5">
        <v>689.27165354330702</v>
      </c>
      <c r="P20" s="5">
        <v>6366.2401574803152</v>
      </c>
      <c r="Q20" s="4">
        <v>4.2139911417322837</v>
      </c>
      <c r="V20" s="6">
        <v>1.115</v>
      </c>
      <c r="W20" s="6">
        <v>0.85</v>
      </c>
      <c r="X20" s="4">
        <v>4.76</v>
      </c>
    </row>
    <row r="21" spans="1:24" x14ac:dyDescent="0.25">
      <c r="A21">
        <v>2014</v>
      </c>
      <c r="B21">
        <v>203</v>
      </c>
      <c r="C21" s="1">
        <v>41842</v>
      </c>
      <c r="D21" t="s">
        <v>32</v>
      </c>
      <c r="E21">
        <v>10</v>
      </c>
      <c r="F21" s="5">
        <v>17.3</v>
      </c>
      <c r="G21" s="5">
        <v>2.7</v>
      </c>
      <c r="H21" s="5">
        <v>18.5</v>
      </c>
      <c r="I21" s="5">
        <v>0</v>
      </c>
      <c r="J21" s="6">
        <v>30.475000000000001</v>
      </c>
      <c r="K21" s="6">
        <v>35.350999999999999</v>
      </c>
      <c r="L21" s="6">
        <v>83.97</v>
      </c>
      <c r="M21" s="5">
        <v>2999.5078740157483</v>
      </c>
      <c r="N21" s="5">
        <v>3479.429133858268</v>
      </c>
      <c r="O21" s="5">
        <v>1785.8267716535431</v>
      </c>
      <c r="P21" s="5">
        <v>8264.7637795275587</v>
      </c>
      <c r="Q21" s="4">
        <v>5.4934625984251975</v>
      </c>
      <c r="V21" s="6">
        <v>1.105</v>
      </c>
      <c r="W21" s="6">
        <v>0.81499999999999995</v>
      </c>
      <c r="X21" s="4">
        <v>5.23</v>
      </c>
    </row>
    <row r="22" spans="1:24" x14ac:dyDescent="0.25">
      <c r="A22">
        <v>2014</v>
      </c>
      <c r="B22">
        <v>203</v>
      </c>
      <c r="C22" s="1">
        <v>41842</v>
      </c>
      <c r="D22" t="s">
        <v>33</v>
      </c>
      <c r="E22">
        <v>13</v>
      </c>
      <c r="F22" s="5">
        <v>7.615384615384615</v>
      </c>
      <c r="G22" s="5">
        <v>0.69230769230769229</v>
      </c>
      <c r="H22" s="5">
        <v>9.6923076923076916</v>
      </c>
      <c r="I22" s="5">
        <v>0</v>
      </c>
      <c r="J22" s="6">
        <v>15.42923076923077</v>
      </c>
      <c r="K22" s="6">
        <v>17.654615384615383</v>
      </c>
      <c r="L22" s="6">
        <v>42.796923076923079</v>
      </c>
      <c r="M22" s="5">
        <v>1974.2125984251968</v>
      </c>
      <c r="N22" s="5">
        <v>2258.9566929133857</v>
      </c>
      <c r="O22" s="5">
        <v>1242.8149606299212</v>
      </c>
      <c r="P22" s="5">
        <v>5475.9842519685035</v>
      </c>
      <c r="Q22" s="4">
        <v>1.9763976377952757</v>
      </c>
      <c r="V22" s="6">
        <v>0.8</v>
      </c>
      <c r="W22" s="6">
        <v>0.68500000000000005</v>
      </c>
      <c r="X22" s="4">
        <v>2.5099999999999998</v>
      </c>
    </row>
    <row r="23" spans="1:24" x14ac:dyDescent="0.25">
      <c r="A23">
        <v>2014</v>
      </c>
      <c r="B23">
        <v>203</v>
      </c>
      <c r="C23" s="1">
        <v>41842</v>
      </c>
      <c r="D23" t="s">
        <v>34</v>
      </c>
      <c r="E23">
        <v>8</v>
      </c>
      <c r="F23" s="5">
        <v>12</v>
      </c>
      <c r="G23" s="5">
        <v>1.25</v>
      </c>
      <c r="H23" s="5">
        <v>16</v>
      </c>
      <c r="I23" s="5">
        <v>0</v>
      </c>
      <c r="J23" s="6">
        <v>22.028749999999999</v>
      </c>
      <c r="K23" s="6">
        <v>25.64</v>
      </c>
      <c r="L23" s="6">
        <v>61.655000000000001</v>
      </c>
      <c r="M23" s="5">
        <v>1734.5472440944882</v>
      </c>
      <c r="N23" s="5">
        <v>2018.8976377952756</v>
      </c>
      <c r="O23" s="5">
        <v>1101.2795275590552</v>
      </c>
      <c r="P23" s="5">
        <v>4854.7244094488187</v>
      </c>
      <c r="Q23" s="4">
        <v>2.1319586614173227</v>
      </c>
      <c r="V23" s="6">
        <v>0.8</v>
      </c>
      <c r="W23" s="6">
        <v>0.64</v>
      </c>
      <c r="X23" s="4">
        <v>2.39</v>
      </c>
    </row>
    <row r="24" spans="1:24" x14ac:dyDescent="0.25">
      <c r="A24">
        <v>2014</v>
      </c>
      <c r="B24">
        <v>203</v>
      </c>
      <c r="C24" s="1">
        <v>41842</v>
      </c>
      <c r="D24" t="s">
        <v>35</v>
      </c>
      <c r="E24">
        <v>13</v>
      </c>
      <c r="F24" s="5">
        <v>13.461538461538462</v>
      </c>
      <c r="G24" s="5">
        <v>1.0769230769230769</v>
      </c>
      <c r="H24" s="5">
        <v>10.384615384615385</v>
      </c>
      <c r="I24" s="5">
        <v>0</v>
      </c>
      <c r="J24" s="6">
        <v>23.942307692307693</v>
      </c>
      <c r="K24" s="6">
        <v>30.785384615384615</v>
      </c>
      <c r="L24" s="6">
        <v>64.236923076923077</v>
      </c>
      <c r="M24" s="5">
        <v>3063.4842519685039</v>
      </c>
      <c r="N24" s="5">
        <v>3939.0748031496059</v>
      </c>
      <c r="O24" s="5">
        <v>1216.732283464567</v>
      </c>
      <c r="P24" s="5">
        <v>8219.2913385826778</v>
      </c>
      <c r="Q24" s="4">
        <v>5.4509399606299214</v>
      </c>
      <c r="V24" s="6">
        <v>1.08</v>
      </c>
      <c r="W24" s="6">
        <v>0.91</v>
      </c>
      <c r="X24" s="4">
        <v>4.8499999999999996</v>
      </c>
    </row>
    <row r="25" spans="1:24" x14ac:dyDescent="0.25">
      <c r="A25">
        <v>2014</v>
      </c>
      <c r="B25">
        <v>203</v>
      </c>
      <c r="C25" s="1">
        <v>41842</v>
      </c>
      <c r="D25" t="s">
        <v>36</v>
      </c>
      <c r="E25">
        <v>10</v>
      </c>
      <c r="F25" s="5">
        <v>15.5</v>
      </c>
      <c r="G25" s="5">
        <v>0.6</v>
      </c>
      <c r="H25" s="5">
        <v>12.4</v>
      </c>
      <c r="I25" s="5">
        <v>0</v>
      </c>
      <c r="J25" s="6">
        <v>25.794</v>
      </c>
      <c r="K25" s="6">
        <v>34.720999999999997</v>
      </c>
      <c r="L25" s="6">
        <v>70.02</v>
      </c>
      <c r="M25" s="5">
        <v>2538.7795275590552</v>
      </c>
      <c r="N25" s="5">
        <v>3417.4212598425192</v>
      </c>
      <c r="O25" s="5">
        <v>935.53149606299212</v>
      </c>
      <c r="P25" s="5">
        <v>6891.7322834645665</v>
      </c>
      <c r="Q25" s="4">
        <v>4.6545797244094489</v>
      </c>
      <c r="V25" s="6">
        <v>1.1299999999999999</v>
      </c>
      <c r="W25" s="6">
        <v>0.875</v>
      </c>
      <c r="X25" s="4">
        <v>5.1100000000000003</v>
      </c>
    </row>
    <row r="26" spans="1:24" x14ac:dyDescent="0.25">
      <c r="A26">
        <v>2014</v>
      </c>
      <c r="B26">
        <v>203</v>
      </c>
      <c r="C26" s="1">
        <v>41842</v>
      </c>
      <c r="D26" t="s">
        <v>149</v>
      </c>
      <c r="E26">
        <v>10</v>
      </c>
      <c r="F26" s="5">
        <v>11.3</v>
      </c>
      <c r="G26" s="5">
        <v>1.5</v>
      </c>
      <c r="H26" s="5">
        <v>10.4</v>
      </c>
      <c r="I26" s="5">
        <v>0</v>
      </c>
      <c r="J26" s="6">
        <v>22.587</v>
      </c>
      <c r="K26" s="6">
        <v>29.636000000000003</v>
      </c>
      <c r="L26" s="6">
        <v>62.953999999999994</v>
      </c>
      <c r="M26" s="5">
        <v>2223.1299212598428</v>
      </c>
      <c r="N26" s="5">
        <v>2916.9291338582675</v>
      </c>
      <c r="O26" s="5">
        <v>1056.2007874015749</v>
      </c>
      <c r="P26" s="5">
        <v>6196.2598425196848</v>
      </c>
      <c r="Q26" s="4">
        <v>3.3005029527559056</v>
      </c>
      <c r="V26" s="6">
        <v>0.96</v>
      </c>
      <c r="W26" s="6">
        <v>0.68500000000000005</v>
      </c>
      <c r="X26" s="4">
        <v>4.2699999999999996</v>
      </c>
    </row>
    <row r="27" spans="1:24" x14ac:dyDescent="0.25">
      <c r="A27">
        <v>2014</v>
      </c>
      <c r="B27">
        <v>203</v>
      </c>
      <c r="C27" s="1">
        <v>41842</v>
      </c>
      <c r="D27" t="s">
        <v>150</v>
      </c>
      <c r="E27">
        <v>16</v>
      </c>
      <c r="F27" s="5">
        <v>9.5625</v>
      </c>
      <c r="G27" s="5">
        <v>1.1875</v>
      </c>
      <c r="H27" s="5">
        <v>11.4375</v>
      </c>
      <c r="I27" s="5">
        <v>0</v>
      </c>
      <c r="J27" s="6">
        <v>18.526250000000001</v>
      </c>
      <c r="K27" s="6">
        <v>23.8125</v>
      </c>
      <c r="L27" s="6">
        <v>50.834375000000009</v>
      </c>
      <c r="M27" s="5">
        <v>2917.5196850393704</v>
      </c>
      <c r="N27" s="5">
        <v>3750</v>
      </c>
      <c r="O27" s="5">
        <v>1337.8937007874015</v>
      </c>
      <c r="P27" s="5">
        <v>8005.4133858267724</v>
      </c>
      <c r="Q27" s="4">
        <v>4.9027706692913391</v>
      </c>
      <c r="V27" s="6">
        <v>1.0349999999999999</v>
      </c>
      <c r="W27" s="6">
        <v>0.86499999999999999</v>
      </c>
      <c r="X27" s="4">
        <v>5.12</v>
      </c>
    </row>
    <row r="28" spans="1:24" x14ac:dyDescent="0.25">
      <c r="A28">
        <v>2014</v>
      </c>
      <c r="B28">
        <v>203</v>
      </c>
      <c r="C28" s="1">
        <v>41842</v>
      </c>
      <c r="D28" t="s">
        <v>151</v>
      </c>
      <c r="E28">
        <v>19</v>
      </c>
      <c r="F28" s="5">
        <v>8</v>
      </c>
      <c r="G28" s="5">
        <v>0.42105263157894735</v>
      </c>
      <c r="H28" s="5">
        <v>5.2105263157894735</v>
      </c>
      <c r="I28" s="5">
        <v>0</v>
      </c>
      <c r="J28" s="6">
        <v>15.02736842105263</v>
      </c>
      <c r="K28" s="6">
        <v>19.924736842105261</v>
      </c>
      <c r="L28" s="6">
        <v>39.697894736842102</v>
      </c>
      <c r="M28" s="5">
        <v>2810.2362204724409</v>
      </c>
      <c r="N28" s="5">
        <v>3726.0826771653542</v>
      </c>
      <c r="O28" s="5">
        <v>887.5</v>
      </c>
      <c r="P28" s="5">
        <v>7423.8188976377951</v>
      </c>
      <c r="Q28" s="4">
        <v>4.4383079724409455</v>
      </c>
      <c r="V28" s="6">
        <v>0.97499999999999998</v>
      </c>
      <c r="W28" s="6">
        <v>0.71499999999999997</v>
      </c>
      <c r="X28" s="4">
        <v>4.66</v>
      </c>
    </row>
    <row r="29" spans="1:24" x14ac:dyDescent="0.25">
      <c r="A29">
        <v>2014</v>
      </c>
      <c r="B29">
        <v>203</v>
      </c>
      <c r="C29" s="1">
        <v>41842</v>
      </c>
      <c r="D29" t="s">
        <v>152</v>
      </c>
      <c r="E29">
        <v>15</v>
      </c>
      <c r="F29" s="5">
        <v>6.1333333333333337</v>
      </c>
      <c r="G29" s="5">
        <v>0.66666666666666663</v>
      </c>
      <c r="H29" s="5">
        <v>8.9333333333333336</v>
      </c>
      <c r="I29" s="5">
        <v>0</v>
      </c>
      <c r="J29" s="6">
        <v>15.243333333333334</v>
      </c>
      <c r="K29" s="6">
        <v>18.186</v>
      </c>
      <c r="L29" s="6">
        <v>40.320666666666668</v>
      </c>
      <c r="M29" s="5">
        <v>2250.4921259842517</v>
      </c>
      <c r="N29" s="5">
        <v>2684.9409448818901</v>
      </c>
      <c r="O29" s="5">
        <v>1017.4212598425197</v>
      </c>
      <c r="P29" s="5">
        <v>5952.854330708662</v>
      </c>
      <c r="Q29" s="4">
        <v>7.5734557086614167</v>
      </c>
      <c r="V29" s="6">
        <v>0.9</v>
      </c>
      <c r="W29" s="6">
        <v>0.73</v>
      </c>
      <c r="X29" s="4">
        <v>3.87</v>
      </c>
    </row>
    <row r="30" spans="1:24" x14ac:dyDescent="0.25">
      <c r="A30">
        <v>2014</v>
      </c>
      <c r="B30">
        <v>230</v>
      </c>
      <c r="C30" s="1">
        <v>41868</v>
      </c>
      <c r="D30" t="s">
        <v>37</v>
      </c>
      <c r="E30">
        <v>8</v>
      </c>
      <c r="F30" s="5">
        <v>1.125</v>
      </c>
      <c r="G30" s="5">
        <v>0</v>
      </c>
      <c r="H30" s="5">
        <v>9.125</v>
      </c>
      <c r="I30" s="5">
        <v>3.25</v>
      </c>
      <c r="J30" s="6">
        <v>30.422499999999999</v>
      </c>
      <c r="K30" s="6">
        <v>36.182499999999997</v>
      </c>
      <c r="L30" s="6">
        <v>114.39749999999998</v>
      </c>
      <c r="M30" s="5">
        <v>2395.4724409448818</v>
      </c>
      <c r="N30" s="5">
        <v>2849.0157480314961</v>
      </c>
      <c r="O30" s="5">
        <v>3763.1889763779532</v>
      </c>
      <c r="P30" s="5">
        <v>9007.677165354331</v>
      </c>
      <c r="Q30" s="4">
        <v>3.1939399606299212</v>
      </c>
      <c r="R30" s="5">
        <v>27.875</v>
      </c>
      <c r="S30" s="4">
        <v>0.22266666666666668</v>
      </c>
      <c r="T30" s="4">
        <v>0.45239215686274509</v>
      </c>
      <c r="U30" s="4">
        <v>0.32494117647058823</v>
      </c>
      <c r="V30" s="6">
        <v>0.73499999999999999</v>
      </c>
      <c r="W30" s="6">
        <v>0.61</v>
      </c>
      <c r="X30" s="4">
        <v>1.95</v>
      </c>
    </row>
    <row r="31" spans="1:24" x14ac:dyDescent="0.25">
      <c r="A31">
        <v>2014</v>
      </c>
      <c r="B31">
        <v>230</v>
      </c>
      <c r="C31" s="1">
        <v>41868</v>
      </c>
      <c r="D31" t="s">
        <v>38</v>
      </c>
      <c r="E31">
        <v>9</v>
      </c>
      <c r="F31" s="5">
        <v>0.22222222222222221</v>
      </c>
      <c r="G31" s="5">
        <v>0</v>
      </c>
      <c r="H31" s="5">
        <v>19.666666666666668</v>
      </c>
      <c r="I31" s="5">
        <v>0.77777777777777779</v>
      </c>
      <c r="J31" s="6">
        <v>35.437777777777775</v>
      </c>
      <c r="K31" s="6">
        <v>48.045555555555559</v>
      </c>
      <c r="L31" s="6">
        <v>162.90333333333331</v>
      </c>
      <c r="M31" s="5">
        <v>3139.1732283464567</v>
      </c>
      <c r="N31" s="5">
        <v>4256.0039370078739</v>
      </c>
      <c r="O31" s="5">
        <v>7035.2362204724404</v>
      </c>
      <c r="P31" s="5">
        <v>14430.413385826771</v>
      </c>
      <c r="Q31" s="4">
        <v>5.238398622047244</v>
      </c>
      <c r="R31" s="5">
        <v>37.142857142857146</v>
      </c>
      <c r="S31" s="4">
        <v>0.18963694043003174</v>
      </c>
      <c r="T31" s="4">
        <v>0.4793796263658795</v>
      </c>
      <c r="U31" s="4">
        <v>0.33098343320408885</v>
      </c>
      <c r="V31" s="6">
        <v>0.97</v>
      </c>
      <c r="W31" s="6">
        <v>1.016</v>
      </c>
      <c r="X31" s="4">
        <v>4.66</v>
      </c>
    </row>
    <row r="32" spans="1:24" x14ac:dyDescent="0.25">
      <c r="A32">
        <v>2014</v>
      </c>
      <c r="B32">
        <v>230</v>
      </c>
      <c r="C32" s="1">
        <v>41868</v>
      </c>
      <c r="D32" t="s">
        <v>39</v>
      </c>
      <c r="E32">
        <v>13</v>
      </c>
      <c r="F32" s="5">
        <v>2.5384615384615383</v>
      </c>
      <c r="G32" s="5">
        <v>0</v>
      </c>
      <c r="H32" s="5">
        <v>14.461538461538462</v>
      </c>
      <c r="I32" s="5">
        <v>0.69230769230769229</v>
      </c>
      <c r="J32" s="6">
        <v>22.074615384615388</v>
      </c>
      <c r="K32" s="6">
        <v>28.066153846153846</v>
      </c>
      <c r="L32" s="6">
        <v>89.259999999999991</v>
      </c>
      <c r="M32" s="5">
        <v>2824.5078740157483</v>
      </c>
      <c r="N32" s="5">
        <v>3591.141732283465</v>
      </c>
      <c r="O32" s="5">
        <v>5005.4133858267724</v>
      </c>
      <c r="P32" s="5">
        <v>11421.062992125986</v>
      </c>
      <c r="Q32" s="4">
        <v>4.5829153543307086</v>
      </c>
      <c r="R32" s="5">
        <v>58.222222222222221</v>
      </c>
      <c r="S32" s="4">
        <v>0.18528301886792453</v>
      </c>
      <c r="T32" s="4">
        <v>0.46811320754716979</v>
      </c>
      <c r="U32" s="4">
        <v>0.34660377358490568</v>
      </c>
      <c r="V32" s="6">
        <v>0.95499999999999996</v>
      </c>
      <c r="W32" s="6">
        <v>1.016</v>
      </c>
      <c r="X32" s="4">
        <v>4.75</v>
      </c>
    </row>
    <row r="33" spans="1:24" x14ac:dyDescent="0.25">
      <c r="A33">
        <v>2014</v>
      </c>
      <c r="B33">
        <v>230</v>
      </c>
      <c r="C33" s="1">
        <v>41868</v>
      </c>
      <c r="D33" t="s">
        <v>40</v>
      </c>
      <c r="E33">
        <v>10</v>
      </c>
      <c r="F33" s="5">
        <v>1.3</v>
      </c>
      <c r="G33" s="5">
        <v>0</v>
      </c>
      <c r="H33" s="5">
        <v>5.8</v>
      </c>
      <c r="I33" s="5">
        <v>1.9</v>
      </c>
      <c r="J33" s="6">
        <v>24.596</v>
      </c>
      <c r="K33" s="6">
        <v>28.007999999999999</v>
      </c>
      <c r="L33" s="6">
        <v>91.899000000000001</v>
      </c>
      <c r="M33" s="5">
        <v>2420.8661417322837</v>
      </c>
      <c r="N33" s="5">
        <v>2756.6929133858266</v>
      </c>
      <c r="O33" s="5">
        <v>3867.6181102362202</v>
      </c>
      <c r="P33" s="5">
        <v>9045.177165354331</v>
      </c>
      <c r="Q33" s="4">
        <v>3.2582608267716537</v>
      </c>
      <c r="R33" s="5">
        <v>30.05263157894737</v>
      </c>
      <c r="S33" s="4">
        <v>0.21783481408358013</v>
      </c>
      <c r="T33" s="4">
        <v>0.45714050674564</v>
      </c>
      <c r="U33" s="4">
        <v>0.32502467917077982</v>
      </c>
      <c r="V33" s="6">
        <v>0.78</v>
      </c>
      <c r="W33" s="6">
        <v>0.78500000000000003</v>
      </c>
      <c r="X33" s="4">
        <v>2.36</v>
      </c>
    </row>
    <row r="34" spans="1:24" x14ac:dyDescent="0.25">
      <c r="A34">
        <v>2014</v>
      </c>
      <c r="B34">
        <v>230</v>
      </c>
      <c r="C34" s="1">
        <v>41868</v>
      </c>
      <c r="D34" t="s">
        <v>41</v>
      </c>
      <c r="E34">
        <v>12</v>
      </c>
      <c r="F34" s="5">
        <v>0.66666666666666663</v>
      </c>
      <c r="G34" s="5">
        <v>0</v>
      </c>
      <c r="H34" s="5">
        <v>16.666666666666668</v>
      </c>
      <c r="I34" s="5">
        <v>1</v>
      </c>
      <c r="J34" s="6">
        <v>28.520833333333332</v>
      </c>
      <c r="K34" s="6">
        <v>36.518333333333338</v>
      </c>
      <c r="L34" s="6">
        <v>127.76916666666666</v>
      </c>
      <c r="M34" s="5">
        <v>3368.6023622047246</v>
      </c>
      <c r="N34" s="5">
        <v>4313.1889763779527</v>
      </c>
      <c r="O34" s="5">
        <v>7409.0551181102364</v>
      </c>
      <c r="P34" s="5">
        <v>15090.846456692914</v>
      </c>
      <c r="Q34" s="4">
        <v>5.8259990157480317</v>
      </c>
      <c r="R34" s="5">
        <v>27.75</v>
      </c>
      <c r="S34" s="4">
        <v>0.20412654745529574</v>
      </c>
      <c r="T34" s="4">
        <v>0.4603851444291609</v>
      </c>
      <c r="U34" s="4">
        <v>0.33548830811554331</v>
      </c>
      <c r="V34" s="6">
        <v>1.06</v>
      </c>
      <c r="W34" s="6">
        <v>1.016</v>
      </c>
      <c r="X34" s="4">
        <v>5.26</v>
      </c>
    </row>
    <row r="35" spans="1:24" x14ac:dyDescent="0.25">
      <c r="A35">
        <v>2014</v>
      </c>
      <c r="B35">
        <v>230</v>
      </c>
      <c r="C35" s="1">
        <v>41868</v>
      </c>
      <c r="D35" t="s">
        <v>153</v>
      </c>
      <c r="E35">
        <v>14</v>
      </c>
      <c r="F35" s="5">
        <v>1.2142857142857142</v>
      </c>
      <c r="G35" s="5">
        <v>0</v>
      </c>
      <c r="H35" s="5">
        <v>11.857142857142858</v>
      </c>
      <c r="I35" s="5">
        <v>0.5</v>
      </c>
      <c r="J35" s="6">
        <v>20.846428571428572</v>
      </c>
      <c r="K35" s="6">
        <v>27.931428571428572</v>
      </c>
      <c r="L35" s="6">
        <v>90.392142857142858</v>
      </c>
      <c r="M35" s="5">
        <v>2872.5393700787399</v>
      </c>
      <c r="N35" s="5">
        <v>3848.8188976377951</v>
      </c>
      <c r="O35" s="5">
        <v>5734.251968503937</v>
      </c>
      <c r="P35" s="5">
        <v>12455.610236220473</v>
      </c>
      <c r="Q35" s="4">
        <v>5.0239881889763778</v>
      </c>
      <c r="R35" s="5">
        <v>26.142857142857142</v>
      </c>
      <c r="S35" s="4">
        <v>0.20492610837438424</v>
      </c>
      <c r="T35" s="4">
        <v>0.46182266009852213</v>
      </c>
      <c r="U35" s="4">
        <v>0.33325123152709357</v>
      </c>
      <c r="V35" s="6">
        <v>0.94499999999999995</v>
      </c>
      <c r="W35" s="6">
        <v>1.016</v>
      </c>
      <c r="X35" s="4">
        <v>4.92</v>
      </c>
    </row>
    <row r="36" spans="1:24" x14ac:dyDescent="0.25">
      <c r="A36">
        <v>2014</v>
      </c>
      <c r="B36">
        <v>230</v>
      </c>
      <c r="C36" s="1">
        <v>41868</v>
      </c>
      <c r="D36" t="s">
        <v>154</v>
      </c>
      <c r="E36">
        <v>17</v>
      </c>
      <c r="F36" s="5">
        <v>1.0588235294117647</v>
      </c>
      <c r="G36" s="5">
        <v>0</v>
      </c>
      <c r="H36" s="5">
        <v>8.3529411764705888</v>
      </c>
      <c r="I36" s="5">
        <v>0.58823529411764708</v>
      </c>
      <c r="J36" s="6">
        <v>15.996470588235294</v>
      </c>
      <c r="K36" s="6">
        <v>21.638235294117649</v>
      </c>
      <c r="L36" s="6">
        <v>62.621764705882349</v>
      </c>
      <c r="M36" s="5">
        <v>2676.5748031496059</v>
      </c>
      <c r="N36" s="5">
        <v>3620.5708661417325</v>
      </c>
      <c r="O36" s="5">
        <v>4180.9055118110236</v>
      </c>
      <c r="P36" s="5">
        <v>10478.051181102361</v>
      </c>
      <c r="Q36" s="4">
        <v>4.1088759842519682</v>
      </c>
      <c r="R36" s="5">
        <v>28.222222222222221</v>
      </c>
      <c r="S36" s="4">
        <v>0.19532120311919793</v>
      </c>
      <c r="T36" s="4">
        <v>0.48013367991088007</v>
      </c>
      <c r="U36" s="4">
        <v>0.32454511696992205</v>
      </c>
      <c r="V36" s="6">
        <v>0.91</v>
      </c>
      <c r="W36" s="6">
        <v>1.016</v>
      </c>
      <c r="X36" s="4">
        <v>4.6399999999999997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5716F-BEB1-4EB2-98F0-DC3DCF9F4792}">
  <sheetPr>
    <pageSetUpPr fitToPage="1"/>
  </sheetPr>
  <dimension ref="B1:AR85"/>
  <sheetViews>
    <sheetView zoomScale="70" zoomScaleNormal="70" workbookViewId="0">
      <selection activeCell="Y26" sqref="Y26"/>
    </sheetView>
  </sheetViews>
  <sheetFormatPr defaultRowHeight="15" x14ac:dyDescent="0.25"/>
  <cols>
    <col min="1" max="1" width="3.85546875" customWidth="1"/>
    <col min="2" max="2" width="8.28515625" customWidth="1"/>
    <col min="3" max="3" width="10.7109375" customWidth="1"/>
    <col min="4" max="4" width="14.28515625" customWidth="1"/>
    <col min="5" max="5" width="1.5703125" customWidth="1"/>
    <col min="6" max="6" width="15" customWidth="1"/>
    <col min="7" max="7" width="14.85546875" customWidth="1"/>
    <col min="8" max="8" width="15.7109375" hidden="1" customWidth="1"/>
    <col min="9" max="9" width="24.140625" hidden="1" customWidth="1"/>
    <col min="10" max="10" width="44.28515625" customWidth="1"/>
    <col min="11" max="11" width="18.7109375" customWidth="1"/>
    <col min="12" max="12" width="13.7109375" customWidth="1"/>
    <col min="13" max="13" width="1.5703125" customWidth="1"/>
    <col min="14" max="14" width="15.7109375" customWidth="1"/>
    <col min="15" max="15" width="15.7109375" hidden="1" customWidth="1"/>
    <col min="16" max="16" width="15.7109375" customWidth="1"/>
    <col min="17" max="19" width="15.7109375" hidden="1" customWidth="1"/>
    <col min="20" max="22" width="15.7109375" customWidth="1"/>
    <col min="23" max="23" width="23.42578125" customWidth="1"/>
    <col min="24" max="24" width="19.140625" customWidth="1"/>
    <col min="25" max="25" width="15.7109375" customWidth="1"/>
    <col min="26" max="28" width="9" customWidth="1"/>
    <col min="29" max="29" width="9.85546875" bestFit="1" customWidth="1"/>
  </cols>
  <sheetData>
    <row r="1" spans="2:44" ht="21" x14ac:dyDescent="0.35">
      <c r="B1" s="46">
        <v>2014</v>
      </c>
      <c r="C1" s="45" t="s">
        <v>89</v>
      </c>
      <c r="D1" s="45"/>
      <c r="E1" s="45"/>
      <c r="F1" s="44"/>
      <c r="G1" s="44"/>
      <c r="H1" s="44"/>
      <c r="I1" s="44"/>
      <c r="J1" s="44"/>
      <c r="K1" s="44"/>
      <c r="L1" s="44"/>
    </row>
    <row r="2" spans="2:44" ht="21" x14ac:dyDescent="0.35">
      <c r="B2" s="45"/>
      <c r="C2" s="45" t="s">
        <v>88</v>
      </c>
      <c r="D2" s="45"/>
      <c r="E2" s="45" t="s">
        <v>87</v>
      </c>
      <c r="F2" s="44"/>
      <c r="G2" s="44"/>
      <c r="H2" s="44"/>
      <c r="I2" s="44"/>
      <c r="J2" s="44"/>
      <c r="K2" s="44"/>
      <c r="L2" s="44"/>
    </row>
    <row r="4" spans="2:44" ht="15.75" x14ac:dyDescent="0.25">
      <c r="B4" s="23" t="s">
        <v>86</v>
      </c>
      <c r="C4" s="23"/>
      <c r="D4" s="23"/>
      <c r="E4" s="23"/>
      <c r="F4" s="23"/>
      <c r="G4" s="23"/>
      <c r="H4" s="23"/>
      <c r="I4" s="23"/>
      <c r="J4" s="23"/>
      <c r="K4" s="23"/>
      <c r="L4" s="23"/>
      <c r="M4" s="23"/>
      <c r="N4" s="23"/>
    </row>
    <row r="5" spans="2:44" ht="15.75" x14ac:dyDescent="0.25">
      <c r="B5" s="34"/>
      <c r="C5" s="32" t="s">
        <v>85</v>
      </c>
      <c r="D5" s="38">
        <v>41814</v>
      </c>
      <c r="E5" s="38"/>
      <c r="F5" s="37"/>
      <c r="G5" s="23"/>
      <c r="H5" s="23"/>
      <c r="I5" s="23"/>
      <c r="J5" s="23"/>
      <c r="K5" s="23"/>
      <c r="L5" s="23"/>
      <c r="M5" s="23"/>
      <c r="N5" s="23"/>
    </row>
    <row r="6" spans="2:44" ht="15.75" x14ac:dyDescent="0.25">
      <c r="B6" s="34"/>
      <c r="C6" s="32" t="s">
        <v>84</v>
      </c>
      <c r="D6" s="33" t="s">
        <v>83</v>
      </c>
      <c r="E6" s="33"/>
      <c r="F6" s="23"/>
      <c r="G6" s="23"/>
      <c r="H6" s="23"/>
      <c r="I6" s="23"/>
      <c r="J6" s="23"/>
      <c r="K6" s="23"/>
      <c r="L6" s="23"/>
      <c r="M6" s="23"/>
      <c r="N6" s="43" t="s">
        <v>82</v>
      </c>
      <c r="O6" s="42"/>
      <c r="P6" s="42"/>
    </row>
    <row r="7" spans="2:44" ht="19.149999999999999" customHeight="1" x14ac:dyDescent="0.25">
      <c r="B7" s="34"/>
      <c r="C7" s="32"/>
      <c r="D7" s="23"/>
      <c r="E7" s="23"/>
      <c r="F7" s="23"/>
      <c r="G7" s="23"/>
      <c r="H7" s="23"/>
      <c r="I7" s="23"/>
      <c r="J7" s="23"/>
      <c r="K7" s="23"/>
      <c r="L7" s="23"/>
      <c r="M7" s="23"/>
      <c r="N7" s="32" t="s">
        <v>81</v>
      </c>
      <c r="O7" s="41"/>
      <c r="P7" s="40">
        <v>41821</v>
      </c>
    </row>
    <row r="8" spans="2:44" ht="18" customHeight="1" x14ac:dyDescent="0.25">
      <c r="B8" s="34"/>
      <c r="C8" s="32" t="s">
        <v>80</v>
      </c>
      <c r="D8" s="39">
        <v>41814</v>
      </c>
      <c r="E8" s="38"/>
      <c r="F8" s="37"/>
      <c r="G8" s="23"/>
      <c r="H8" s="23"/>
      <c r="I8" s="23"/>
      <c r="J8" s="23"/>
      <c r="K8" s="23"/>
      <c r="L8" s="23"/>
      <c r="M8" s="23"/>
      <c r="N8" s="32" t="s">
        <v>79</v>
      </c>
      <c r="O8" s="36"/>
      <c r="P8" s="35" t="s">
        <v>78</v>
      </c>
    </row>
    <row r="9" spans="2:44" ht="18" customHeight="1" x14ac:dyDescent="0.25">
      <c r="B9" s="34"/>
      <c r="C9" s="32" t="s">
        <v>77</v>
      </c>
      <c r="D9" s="33" t="s">
        <v>76</v>
      </c>
      <c r="E9" s="33"/>
      <c r="F9" s="23"/>
      <c r="G9" s="23"/>
      <c r="H9" s="23"/>
      <c r="I9" s="23"/>
      <c r="J9" s="23"/>
      <c r="K9" s="23"/>
      <c r="L9" s="23"/>
      <c r="M9" s="23"/>
      <c r="N9" s="32" t="s">
        <v>75</v>
      </c>
      <c r="O9" s="31"/>
      <c r="P9" s="30" t="s">
        <v>74</v>
      </c>
    </row>
    <row r="10" spans="2:44" ht="18" customHeight="1" x14ac:dyDescent="0.25">
      <c r="C10" s="29"/>
      <c r="M10" s="28"/>
      <c r="N10" s="28"/>
      <c r="O10" s="28"/>
      <c r="P10" s="28"/>
      <c r="Q10" s="28"/>
      <c r="R10" s="28"/>
      <c r="S10" s="28"/>
      <c r="T10" s="28"/>
      <c r="U10" s="28"/>
      <c r="V10" s="28"/>
      <c r="W10" s="28"/>
      <c r="X10" s="28"/>
    </row>
    <row r="11" spans="2:44" s="23" customFormat="1" ht="120" customHeight="1" thickBot="1" x14ac:dyDescent="0.35">
      <c r="B11" s="27" t="s">
        <v>73</v>
      </c>
      <c r="C11" s="27" t="s">
        <v>72</v>
      </c>
      <c r="D11" s="24" t="s">
        <v>71</v>
      </c>
      <c r="E11" s="26"/>
      <c r="F11" s="24" t="s">
        <v>70</v>
      </c>
      <c r="G11" s="24" t="s">
        <v>69</v>
      </c>
      <c r="H11" s="24" t="s">
        <v>68</v>
      </c>
      <c r="I11" s="24" t="s">
        <v>67</v>
      </c>
      <c r="J11" s="24" t="s">
        <v>66</v>
      </c>
      <c r="K11" s="24" t="s">
        <v>65</v>
      </c>
      <c r="L11" s="24" t="s">
        <v>64</v>
      </c>
      <c r="M11" s="26"/>
      <c r="N11" s="24" t="s">
        <v>63</v>
      </c>
      <c r="O11" s="25" t="s">
        <v>61</v>
      </c>
      <c r="P11" s="24" t="s">
        <v>62</v>
      </c>
      <c r="Q11" s="25" t="s">
        <v>61</v>
      </c>
      <c r="R11" s="24" t="s">
        <v>60</v>
      </c>
      <c r="S11" s="24" t="s">
        <v>59</v>
      </c>
      <c r="T11" s="24" t="s">
        <v>58</v>
      </c>
      <c r="U11" s="24" t="s">
        <v>57</v>
      </c>
      <c r="V11" s="24" t="s">
        <v>56</v>
      </c>
      <c r="W11" s="24" t="s">
        <v>55</v>
      </c>
      <c r="X11" s="24" t="s">
        <v>54</v>
      </c>
      <c r="AH11" s="23" t="s">
        <v>17</v>
      </c>
      <c r="AI11" s="23" t="s">
        <v>18</v>
      </c>
      <c r="AJ11" s="23" t="s">
        <v>19</v>
      </c>
      <c r="AK11" s="23" t="s">
        <v>20</v>
      </c>
      <c r="AL11" s="23" t="s">
        <v>21</v>
      </c>
      <c r="AM11" s="23" t="s">
        <v>22</v>
      </c>
      <c r="AN11" s="23" t="s">
        <v>23</v>
      </c>
      <c r="AO11" s="23" t="s">
        <v>24</v>
      </c>
      <c r="AP11" s="23" t="s">
        <v>25</v>
      </c>
      <c r="AQ11" s="23" t="s">
        <v>26</v>
      </c>
      <c r="AR11" s="23" t="s">
        <v>16</v>
      </c>
    </row>
    <row r="12" spans="2:44" ht="34.9" customHeight="1" x14ac:dyDescent="0.3">
      <c r="B12" s="15">
        <v>1</v>
      </c>
      <c r="C12" s="20" t="s">
        <v>51</v>
      </c>
      <c r="D12" s="2">
        <v>8</v>
      </c>
      <c r="E12" s="18"/>
      <c r="F12" s="2">
        <v>72</v>
      </c>
      <c r="G12" s="2"/>
      <c r="H12" s="2"/>
      <c r="I12" s="2"/>
      <c r="J12" s="19">
        <v>4860.29</v>
      </c>
      <c r="K12" s="2">
        <v>649.4</v>
      </c>
      <c r="L12" s="19">
        <v>0.61</v>
      </c>
      <c r="M12" s="18"/>
      <c r="N12" s="17">
        <v>57.47</v>
      </c>
      <c r="O12" s="17"/>
      <c r="P12" s="17">
        <v>56.03</v>
      </c>
      <c r="Q12" s="17"/>
      <c r="R12" s="17"/>
      <c r="S12" s="17"/>
      <c r="T12" s="17">
        <v>6.62</v>
      </c>
      <c r="U12" s="17">
        <f>P12+T12</f>
        <v>62.65</v>
      </c>
      <c r="V12" s="17">
        <v>6</v>
      </c>
      <c r="W12" s="16"/>
      <c r="X12" s="9">
        <f>L12</f>
        <v>0.61</v>
      </c>
      <c r="Y12">
        <f>J12/(100*102)</f>
        <v>0.47649901960784313</v>
      </c>
      <c r="Z12" s="6">
        <f>U12/(100*102)*100*100*10000/1000</f>
        <v>614.21568627450972</v>
      </c>
      <c r="AA12">
        <f>N12/(100*102)*100*100*10000/1000</f>
        <v>563.43137254901956</v>
      </c>
      <c r="AB12">
        <f>V12/(100*102)*100*100*10000/1000</f>
        <v>58.823529411764696</v>
      </c>
      <c r="AC12">
        <f>SUM(N12,U12,V12)/(100*102)*100*100*10000/1000</f>
        <v>1236.4705882352939</v>
      </c>
      <c r="AD12">
        <f>J12/U12</f>
        <v>77.578451715881883</v>
      </c>
      <c r="AE12">
        <f>J12/U12</f>
        <v>77.578451715881883</v>
      </c>
      <c r="AF12" s="15">
        <v>1</v>
      </c>
      <c r="AH12">
        <f>F12/D12</f>
        <v>9</v>
      </c>
      <c r="AI12">
        <f>0/D12</f>
        <v>0</v>
      </c>
      <c r="AJ12">
        <f>U12/D12</f>
        <v>7.8312499999999998</v>
      </c>
      <c r="AK12">
        <f>N12/D12</f>
        <v>7.1837499999999999</v>
      </c>
      <c r="AL12">
        <f>SUM(N12,U12,V12)/D12</f>
        <v>15.765000000000001</v>
      </c>
      <c r="AM12">
        <f>(U12/1000)/(1.016*1)*10000</f>
        <v>616.6338582677165</v>
      </c>
      <c r="AN12">
        <f>(N12/1000)/(1.016*1)*10000</f>
        <v>565.64960629921256</v>
      </c>
      <c r="AO12">
        <f>(V12/1000)/(1.016*1)*10000</f>
        <v>59.055118110236222</v>
      </c>
      <c r="AP12">
        <f>SUM(AM12:AO12)</f>
        <v>1241.3385826771653</v>
      </c>
      <c r="AQ12">
        <f>J12/(100*101.6)</f>
        <v>0.47837499999999999</v>
      </c>
      <c r="AR12" s="6">
        <f>X12</f>
        <v>0.61</v>
      </c>
    </row>
    <row r="13" spans="2:44" ht="34.9" customHeight="1" thickBot="1" x14ac:dyDescent="0.35">
      <c r="B13" s="8"/>
      <c r="C13" s="14" t="s">
        <v>50</v>
      </c>
      <c r="D13" s="3">
        <v>8</v>
      </c>
      <c r="E13" s="12"/>
      <c r="F13" s="3">
        <v>102</v>
      </c>
      <c r="G13" s="3" t="s">
        <v>53</v>
      </c>
      <c r="H13" s="3"/>
      <c r="I13" s="3"/>
      <c r="J13" s="13">
        <v>9186.33</v>
      </c>
      <c r="K13" s="3">
        <v>703.66</v>
      </c>
      <c r="L13" s="13">
        <v>0.75</v>
      </c>
      <c r="M13" s="12"/>
      <c r="N13" s="11">
        <v>67.63</v>
      </c>
      <c r="O13" s="11"/>
      <c r="P13" s="11">
        <v>66.819999999999993</v>
      </c>
      <c r="Q13" s="11"/>
      <c r="R13" s="11"/>
      <c r="S13" s="11"/>
      <c r="T13" s="11">
        <v>6.8</v>
      </c>
      <c r="U13" s="11">
        <f>P13+T13</f>
        <v>73.61999999999999</v>
      </c>
      <c r="V13" s="11">
        <v>7.32</v>
      </c>
      <c r="W13" s="10"/>
      <c r="X13" s="9">
        <f>L13</f>
        <v>0.75</v>
      </c>
      <c r="Y13">
        <f>J13/(100*102)</f>
        <v>0.90062058823529412</v>
      </c>
      <c r="Z13" s="6">
        <f>U13/(100*102)*100*100*10000/1000</f>
        <v>721.76470588235293</v>
      </c>
      <c r="AA13">
        <f>N13/(100*102)*100*100*10000/1000</f>
        <v>663.03921568627447</v>
      </c>
      <c r="AB13">
        <f>V13/(100*102)*100*100*10000/1000</f>
        <v>71.764705882352956</v>
      </c>
      <c r="AC13">
        <f>SUM(N13,U13,V13)/(100*102)*100*100*10000/1000</f>
        <v>1456.5686274509806</v>
      </c>
      <c r="AD13">
        <f>J13/U13</f>
        <v>124.78035859820703</v>
      </c>
      <c r="AE13">
        <f>J13/U13</f>
        <v>124.78035859820703</v>
      </c>
      <c r="AF13" s="8"/>
      <c r="AH13">
        <f>F13/D13</f>
        <v>12.75</v>
      </c>
      <c r="AI13">
        <f>1/D13</f>
        <v>0.125</v>
      </c>
      <c r="AJ13">
        <f>U13/D13</f>
        <v>9.2024999999999988</v>
      </c>
      <c r="AK13">
        <f>N13/D13</f>
        <v>8.4537499999999994</v>
      </c>
      <c r="AL13">
        <f>SUM(N13,U13,V13)/D13</f>
        <v>18.571249999999999</v>
      </c>
      <c r="AM13">
        <f>(U13/1000)/(1.016*1)*10000</f>
        <v>724.60629921259829</v>
      </c>
      <c r="AN13">
        <f>(N13/1000)/(1.016*1)*10000</f>
        <v>665.64960629921256</v>
      </c>
      <c r="AO13">
        <f>(V13/1000)/(1.016*1)*10000</f>
        <v>72.047244094488192</v>
      </c>
      <c r="AP13">
        <f>SUM(AM13:AO13)</f>
        <v>1462.303149606299</v>
      </c>
      <c r="AQ13">
        <f>J13/(100*101.6)</f>
        <v>0.90416633858267714</v>
      </c>
      <c r="AR13" s="6">
        <f>X13</f>
        <v>0.75</v>
      </c>
    </row>
    <row r="14" spans="2:44" ht="34.9" customHeight="1" x14ac:dyDescent="0.3">
      <c r="B14" s="15">
        <v>2</v>
      </c>
      <c r="C14" s="20" t="s">
        <v>51</v>
      </c>
      <c r="D14" s="2">
        <v>8</v>
      </c>
      <c r="E14" s="18"/>
      <c r="F14" s="2">
        <v>59</v>
      </c>
      <c r="G14" s="2"/>
      <c r="H14" s="2"/>
      <c r="I14" s="2"/>
      <c r="J14" s="19">
        <v>11393.95</v>
      </c>
      <c r="K14" s="2">
        <v>804.05</v>
      </c>
      <c r="L14" s="19">
        <v>1</v>
      </c>
      <c r="M14" s="18"/>
      <c r="N14" s="17">
        <v>50.98</v>
      </c>
      <c r="O14" s="17"/>
      <c r="P14" s="17">
        <v>50.53</v>
      </c>
      <c r="Q14" s="17"/>
      <c r="R14" s="17"/>
      <c r="S14" s="17"/>
      <c r="T14" s="17">
        <v>7.38</v>
      </c>
      <c r="U14" s="17">
        <f>P14+T14</f>
        <v>57.910000000000004</v>
      </c>
      <c r="V14" s="17">
        <v>3.96</v>
      </c>
      <c r="W14" s="16"/>
      <c r="X14" s="9">
        <f>L14</f>
        <v>1</v>
      </c>
      <c r="Y14">
        <f>J14/(100*102)</f>
        <v>1.1170539215686275</v>
      </c>
      <c r="Z14" s="6">
        <f>U14/(100*102)*100*100*10000/1000</f>
        <v>567.74509803921569</v>
      </c>
      <c r="AA14">
        <f>N14/(100*102)*100*100*10000/1000</f>
        <v>499.80392156862746</v>
      </c>
      <c r="AB14">
        <f>V14/(100*102)*100*100*10000/1000</f>
        <v>38.82352941176471</v>
      </c>
      <c r="AC14">
        <f>SUM(N14,U14,V14)/(100*102)*100*100*10000/1000</f>
        <v>1106.372549019608</v>
      </c>
      <c r="AD14">
        <f>J14/U14</f>
        <v>196.75271973752373</v>
      </c>
      <c r="AE14">
        <f>J14/U14</f>
        <v>196.75271973752373</v>
      </c>
      <c r="AF14" s="15">
        <v>2</v>
      </c>
      <c r="AH14">
        <f>F14/D14</f>
        <v>7.375</v>
      </c>
      <c r="AI14">
        <f>0/D14</f>
        <v>0</v>
      </c>
      <c r="AJ14">
        <f>U14/D14</f>
        <v>7.2387500000000005</v>
      </c>
      <c r="AK14">
        <f>N14/D14</f>
        <v>6.3724999999999996</v>
      </c>
      <c r="AL14">
        <f>SUM(N14,U14,V14)/D14</f>
        <v>14.106249999999999</v>
      </c>
      <c r="AM14">
        <f>(U14/1000)/(1.016*1)*10000</f>
        <v>569.98031496062993</v>
      </c>
      <c r="AN14">
        <f>(N14/1000)/(1.016*1)*10000</f>
        <v>501.77165354330708</v>
      </c>
      <c r="AO14">
        <f>(V14/1000)/(1.016*1)*10000</f>
        <v>38.976377952755904</v>
      </c>
      <c r="AP14">
        <f>SUM(AM14:AO14)</f>
        <v>1110.7283464566929</v>
      </c>
      <c r="AQ14">
        <f>J14/(100*101.6)</f>
        <v>1.1214517716535435</v>
      </c>
      <c r="AR14" s="6">
        <f>X14</f>
        <v>1</v>
      </c>
    </row>
    <row r="15" spans="2:44" ht="34.9" customHeight="1" thickBot="1" x14ac:dyDescent="0.35">
      <c r="B15" s="8"/>
      <c r="C15" s="14" t="s">
        <v>50</v>
      </c>
      <c r="D15" s="3">
        <v>8</v>
      </c>
      <c r="E15" s="12"/>
      <c r="F15" s="3">
        <v>81</v>
      </c>
      <c r="G15" s="3"/>
      <c r="H15" s="3"/>
      <c r="I15" s="3"/>
      <c r="J15" s="13">
        <v>11408.1</v>
      </c>
      <c r="K15" s="3">
        <v>877.69</v>
      </c>
      <c r="L15" s="13">
        <v>0.86</v>
      </c>
      <c r="M15" s="12"/>
      <c r="N15" s="11">
        <v>75.87</v>
      </c>
      <c r="O15" s="11"/>
      <c r="P15" s="11">
        <v>68.98</v>
      </c>
      <c r="Q15" s="11"/>
      <c r="R15" s="11"/>
      <c r="S15" s="11"/>
      <c r="T15" s="11">
        <v>7.69</v>
      </c>
      <c r="U15" s="11">
        <f>P15+T15</f>
        <v>76.67</v>
      </c>
      <c r="V15" s="11">
        <v>4.2</v>
      </c>
      <c r="W15" s="10"/>
      <c r="X15" s="9">
        <f>L15</f>
        <v>0.86</v>
      </c>
      <c r="Y15">
        <f>J15/(100*102)</f>
        <v>1.1184411764705882</v>
      </c>
      <c r="Z15" s="6">
        <f>U15/(100*102)*100*100*10000/1000</f>
        <v>751.66666666666674</v>
      </c>
      <c r="AA15">
        <f>N15/(100*102)*100*100*10000/1000</f>
        <v>743.82352941176487</v>
      </c>
      <c r="AB15">
        <f>V15/(100*102)*100*100*10000/1000</f>
        <v>41.17647058823529</v>
      </c>
      <c r="AC15">
        <f>SUM(N15,U15,V15)/(100*102)*100*100*10000/1000</f>
        <v>1536.6666666666665</v>
      </c>
      <c r="AD15">
        <f>J15/U15</f>
        <v>148.79483500717359</v>
      </c>
      <c r="AE15">
        <f>J15/U15</f>
        <v>148.79483500717359</v>
      </c>
      <c r="AF15" s="8"/>
      <c r="AH15">
        <f>F15/D15</f>
        <v>10.125</v>
      </c>
      <c r="AI15">
        <f>0/D15</f>
        <v>0</v>
      </c>
      <c r="AJ15">
        <f>U15/D15</f>
        <v>9.5837500000000002</v>
      </c>
      <c r="AK15">
        <f>N15/D15</f>
        <v>9.4837500000000006</v>
      </c>
      <c r="AL15">
        <f>SUM(N15,U15,V15)/D15</f>
        <v>19.592500000000001</v>
      </c>
      <c r="AM15">
        <f>(U15/1000)/(1.016*1)*10000</f>
        <v>754.62598425196859</v>
      </c>
      <c r="AN15">
        <f>(N15/1000)/(1.016*1)*10000</f>
        <v>746.75196850393718</v>
      </c>
      <c r="AO15">
        <f>(V15/1000)/(1.016*1)*10000</f>
        <v>41.338582677165363</v>
      </c>
      <c r="AP15">
        <f>SUM(AM15:AO15)</f>
        <v>1542.7165354330712</v>
      </c>
      <c r="AQ15">
        <f>J15/(100*101.6)</f>
        <v>1.1228444881889763</v>
      </c>
      <c r="AR15" s="6">
        <f>X15</f>
        <v>0.86</v>
      </c>
    </row>
    <row r="16" spans="2:44" ht="34.9" customHeight="1" x14ac:dyDescent="0.3">
      <c r="B16" s="15">
        <v>3</v>
      </c>
      <c r="C16" s="20" t="s">
        <v>51</v>
      </c>
      <c r="D16" s="2">
        <v>13</v>
      </c>
      <c r="E16" s="18"/>
      <c r="F16" s="2">
        <v>34</v>
      </c>
      <c r="G16" s="2"/>
      <c r="H16" s="2"/>
      <c r="I16" s="2"/>
      <c r="J16" s="19">
        <v>7563.91</v>
      </c>
      <c r="K16" s="2">
        <v>773.77</v>
      </c>
      <c r="L16" s="19">
        <v>0.65</v>
      </c>
      <c r="M16" s="18"/>
      <c r="N16" s="17">
        <v>50.98</v>
      </c>
      <c r="O16" s="17"/>
      <c r="P16" s="17">
        <v>51.47</v>
      </c>
      <c r="Q16" s="17"/>
      <c r="R16" s="17"/>
      <c r="S16" s="17"/>
      <c r="T16" s="17">
        <v>7.26</v>
      </c>
      <c r="U16" s="17">
        <f>P16+T16</f>
        <v>58.73</v>
      </c>
      <c r="V16" s="17">
        <v>2.48</v>
      </c>
      <c r="W16" s="16"/>
      <c r="X16" s="9">
        <f>L16</f>
        <v>0.65</v>
      </c>
      <c r="Y16">
        <f>J16/(100*102)</f>
        <v>0.74155980392156862</v>
      </c>
      <c r="Z16" s="6">
        <f>U16/(100*102)*100*100*10000/1000</f>
        <v>575.78431372549016</v>
      </c>
      <c r="AA16">
        <f>N16/(100*102)*100*100*10000/1000</f>
        <v>499.80392156862746</v>
      </c>
      <c r="AB16">
        <f>V16/(100*102)*100*100*10000/1000</f>
        <v>24.313725490196077</v>
      </c>
      <c r="AC16">
        <f>SUM(N16,U16,V16)/(100*102)*100*100*10000/1000</f>
        <v>1099.9019607843138</v>
      </c>
      <c r="AD16">
        <f>J16/U16</f>
        <v>128.79124808445428</v>
      </c>
      <c r="AE16">
        <f>J16/U16</f>
        <v>128.79124808445428</v>
      </c>
      <c r="AF16" s="15">
        <v>3</v>
      </c>
      <c r="AH16">
        <f>F16/D16</f>
        <v>2.6153846153846154</v>
      </c>
      <c r="AI16">
        <f>0/D16</f>
        <v>0</v>
      </c>
      <c r="AJ16">
        <f>U16/D16</f>
        <v>4.5176923076923075</v>
      </c>
      <c r="AK16">
        <f>N16/D16</f>
        <v>3.9215384615384612</v>
      </c>
      <c r="AL16">
        <f>SUM(N16,U16,V16)/D16</f>
        <v>8.629999999999999</v>
      </c>
      <c r="AM16">
        <f>(U16/1000)/(1.016*1)*10000</f>
        <v>578.05118110236219</v>
      </c>
      <c r="AN16">
        <f>(N16/1000)/(1.016*1)*10000</f>
        <v>501.77165354330708</v>
      </c>
      <c r="AO16">
        <f>(V16/1000)/(1.016*1)*10000</f>
        <v>24.409448818897641</v>
      </c>
      <c r="AP16">
        <f>SUM(AM16:AO16)</f>
        <v>1104.2322834645668</v>
      </c>
      <c r="AQ16">
        <f>J16/(100*101.6)</f>
        <v>0.74447933070866146</v>
      </c>
      <c r="AR16" s="6">
        <f>X16</f>
        <v>0.65</v>
      </c>
    </row>
    <row r="17" spans="2:44" ht="34.9" customHeight="1" thickBot="1" x14ac:dyDescent="0.35">
      <c r="B17" s="8"/>
      <c r="C17" s="14" t="s">
        <v>50</v>
      </c>
      <c r="D17" s="3">
        <v>12</v>
      </c>
      <c r="E17" s="12"/>
      <c r="F17" s="3">
        <v>39</v>
      </c>
      <c r="G17" s="3"/>
      <c r="H17" s="3"/>
      <c r="I17" s="3"/>
      <c r="J17" s="13">
        <v>10900.62</v>
      </c>
      <c r="K17" s="3">
        <v>665.41</v>
      </c>
      <c r="L17" s="13">
        <v>0.81</v>
      </c>
      <c r="M17" s="12"/>
      <c r="N17" s="11">
        <v>77.11</v>
      </c>
      <c r="O17" s="11"/>
      <c r="P17" s="11">
        <v>77.09</v>
      </c>
      <c r="Q17" s="11"/>
      <c r="R17" s="11"/>
      <c r="S17" s="11"/>
      <c r="T17" s="11">
        <v>5.54</v>
      </c>
      <c r="U17" s="11">
        <f>P17+T17</f>
        <v>82.63000000000001</v>
      </c>
      <c r="V17" s="11">
        <v>3</v>
      </c>
      <c r="W17" s="10"/>
      <c r="X17" s="9">
        <f>L17</f>
        <v>0.81</v>
      </c>
      <c r="Y17">
        <f>J17/(100*102)</f>
        <v>1.0686882352941178</v>
      </c>
      <c r="Z17" s="6">
        <f>U17/(100*102)*100*100*10000/1000</f>
        <v>810.09803921568641</v>
      </c>
      <c r="AA17">
        <f>N17/(100*102)*100*100*10000/1000</f>
        <v>755.98039215686265</v>
      </c>
      <c r="AB17">
        <f>V17/(100*102)*100*100*10000/1000</f>
        <v>29.411764705882348</v>
      </c>
      <c r="AC17">
        <f>SUM(N17,U17,V17)/(100*102)*100*100*10000/1000</f>
        <v>1595.4901960784314</v>
      </c>
      <c r="AD17">
        <f>J17/U17</f>
        <v>131.92085199080236</v>
      </c>
      <c r="AE17">
        <f>J17/U17</f>
        <v>131.92085199080236</v>
      </c>
      <c r="AF17" s="8"/>
      <c r="AH17">
        <f>F17/D17</f>
        <v>3.25</v>
      </c>
      <c r="AI17">
        <f>0/D17</f>
        <v>0</v>
      </c>
      <c r="AJ17">
        <f>U17/D17</f>
        <v>6.8858333333333341</v>
      </c>
      <c r="AK17">
        <f>N17/D17</f>
        <v>6.4258333333333333</v>
      </c>
      <c r="AL17">
        <f>SUM(N17,U17,V17)/D17</f>
        <v>13.561666666666667</v>
      </c>
      <c r="AM17">
        <f>(U17/1000)/(1.016*1)*10000</f>
        <v>813.2874015748032</v>
      </c>
      <c r="AN17">
        <f>(N17/1000)/(1.016*1)*10000</f>
        <v>758.95669291338572</v>
      </c>
      <c r="AO17">
        <f>(V17/1000)/(1.016*1)*10000</f>
        <v>29.527559055118111</v>
      </c>
      <c r="AP17">
        <f>SUM(AM17:AO17)</f>
        <v>1601.7716535433071</v>
      </c>
      <c r="AQ17">
        <f>J17/(100*101.6)</f>
        <v>1.0728956692913387</v>
      </c>
      <c r="AR17" s="6">
        <f>X17</f>
        <v>0.81</v>
      </c>
    </row>
    <row r="18" spans="2:44" s="21" customFormat="1" ht="34.9" customHeight="1" x14ac:dyDescent="0.3">
      <c r="B18" s="15">
        <v>6</v>
      </c>
      <c r="C18" s="20" t="s">
        <v>51</v>
      </c>
      <c r="D18" s="2">
        <v>9</v>
      </c>
      <c r="E18" s="18"/>
      <c r="F18" s="2">
        <v>52</v>
      </c>
      <c r="G18" s="2"/>
      <c r="H18" s="2"/>
      <c r="I18" s="2"/>
      <c r="J18" s="19">
        <v>8155.76</v>
      </c>
      <c r="K18" s="2">
        <v>692.35</v>
      </c>
      <c r="L18" s="19">
        <v>0.72</v>
      </c>
      <c r="M18" s="18"/>
      <c r="N18" s="17">
        <v>55.14</v>
      </c>
      <c r="O18" s="17"/>
      <c r="P18" s="17">
        <v>61.55</v>
      </c>
      <c r="Q18" s="17"/>
      <c r="R18" s="17"/>
      <c r="S18" s="17"/>
      <c r="T18" s="17">
        <v>7.07</v>
      </c>
      <c r="U18" s="17">
        <f>P18+T18</f>
        <v>68.62</v>
      </c>
      <c r="V18" s="17">
        <v>2.58</v>
      </c>
      <c r="W18" s="16"/>
      <c r="X18" s="9">
        <f>L18</f>
        <v>0.72</v>
      </c>
      <c r="Y18">
        <f>J18/(100*102)</f>
        <v>0.79958431372549021</v>
      </c>
      <c r="Z18" s="6">
        <f>U18/(100*102)*100*100*10000/1000</f>
        <v>672.7450980392158</v>
      </c>
      <c r="AA18">
        <f>N18/(100*102)*100*100*10000/1000</f>
        <v>540.58823529411757</v>
      </c>
      <c r="AB18">
        <f>V18/(100*102)*100*100*10000/1000</f>
        <v>25.294117647058826</v>
      </c>
      <c r="AC18">
        <f>SUM(N18,U18,V18)/(100*102)*100*100*10000/1000</f>
        <v>1238.6274509803923</v>
      </c>
      <c r="AD18">
        <f>J18/U18</f>
        <v>118.85397843194403</v>
      </c>
      <c r="AE18">
        <f>J18/U18</f>
        <v>118.85397843194403</v>
      </c>
      <c r="AF18" s="15">
        <v>6</v>
      </c>
      <c r="AG18" s="22"/>
      <c r="AH18">
        <f>F18/D18</f>
        <v>5.7777777777777777</v>
      </c>
      <c r="AI18">
        <f>0/D18</f>
        <v>0</v>
      </c>
      <c r="AJ18">
        <f>U18/D18</f>
        <v>7.6244444444444452</v>
      </c>
      <c r="AK18">
        <f>N18/D18</f>
        <v>6.1266666666666669</v>
      </c>
      <c r="AL18">
        <f>SUM(N18,U18,V18)/D18</f>
        <v>14.037777777777778</v>
      </c>
      <c r="AM18">
        <f>(U18/1000)/(1.016*1)*10000</f>
        <v>675.3937007874016</v>
      </c>
      <c r="AN18">
        <f>(N18/1000)/(1.016*1)*10000</f>
        <v>542.71653543307093</v>
      </c>
      <c r="AO18">
        <f>(V18/1000)/(1.016*1)*10000</f>
        <v>25.393700787401578</v>
      </c>
      <c r="AP18">
        <f>SUM(AM18:AO18)</f>
        <v>1243.5039370078739</v>
      </c>
      <c r="AQ18">
        <f>J18/(100*101.6)</f>
        <v>0.80273228346456693</v>
      </c>
      <c r="AR18" s="6">
        <f>X18</f>
        <v>0.72</v>
      </c>
    </row>
    <row r="19" spans="2:44" ht="34.9" customHeight="1" thickBot="1" x14ac:dyDescent="0.35">
      <c r="B19" s="8"/>
      <c r="C19" s="14" t="s">
        <v>50</v>
      </c>
      <c r="D19" s="3">
        <v>8</v>
      </c>
      <c r="E19" s="12"/>
      <c r="F19" s="3">
        <v>43</v>
      </c>
      <c r="G19" s="3"/>
      <c r="H19" s="3"/>
      <c r="I19" s="3"/>
      <c r="J19" s="13">
        <v>7250.86</v>
      </c>
      <c r="K19" s="3">
        <v>604.02</v>
      </c>
      <c r="L19" s="13">
        <v>0.67</v>
      </c>
      <c r="M19" s="12"/>
      <c r="N19" s="11">
        <v>50.5</v>
      </c>
      <c r="O19" s="11"/>
      <c r="P19" s="11">
        <v>51.7</v>
      </c>
      <c r="Q19" s="11"/>
      <c r="R19" s="11"/>
      <c r="S19" s="11"/>
      <c r="T19" s="11">
        <v>5.76</v>
      </c>
      <c r="U19" s="11">
        <f>P19+T19</f>
        <v>57.46</v>
      </c>
      <c r="V19" s="11">
        <v>2.58</v>
      </c>
      <c r="W19" s="10"/>
      <c r="X19" s="9">
        <f>L19</f>
        <v>0.67</v>
      </c>
      <c r="Y19">
        <f>J19/(100*102)</f>
        <v>0.71086862745098034</v>
      </c>
      <c r="Z19" s="6">
        <f>U19/(100*102)*100*100*10000/1000</f>
        <v>563.33333333333337</v>
      </c>
      <c r="AA19">
        <f>N19/(100*102)*100*100*10000/1000</f>
        <v>495.09803921568624</v>
      </c>
      <c r="AB19">
        <f>V19/(100*102)*100*100*10000/1000</f>
        <v>25.294117647058826</v>
      </c>
      <c r="AC19">
        <f>SUM(N19,U19,V19)/(100*102)*100*100*10000/1000</f>
        <v>1083.7254901960785</v>
      </c>
      <c r="AD19">
        <f>J19/U19</f>
        <v>126.1896971806474</v>
      </c>
      <c r="AE19">
        <f>J19/U19</f>
        <v>126.1896971806474</v>
      </c>
      <c r="AF19" s="8"/>
      <c r="AH19">
        <f>F19/D19</f>
        <v>5.375</v>
      </c>
      <c r="AI19">
        <f>0/D19</f>
        <v>0</v>
      </c>
      <c r="AJ19">
        <f>U19/D19</f>
        <v>7.1825000000000001</v>
      </c>
      <c r="AK19">
        <f>N19/D19</f>
        <v>6.3125</v>
      </c>
      <c r="AL19">
        <f>SUM(N19,U19,V19)/D19</f>
        <v>13.817500000000001</v>
      </c>
      <c r="AM19">
        <f>(U19/1000)/(1.016*1)*10000</f>
        <v>565.55118110236219</v>
      </c>
      <c r="AN19">
        <f>(N19/1000)/(1.016*1)*10000</f>
        <v>497.04724409448824</v>
      </c>
      <c r="AO19">
        <f>(V19/1000)/(1.016*1)*10000</f>
        <v>25.393700787401578</v>
      </c>
      <c r="AP19">
        <f>SUM(AM19:AO19)</f>
        <v>1087.992125984252</v>
      </c>
      <c r="AQ19">
        <f>J19/(100*101.6)</f>
        <v>0.71366732283464562</v>
      </c>
      <c r="AR19" s="6">
        <f>X19</f>
        <v>0.67</v>
      </c>
    </row>
    <row r="20" spans="2:44" ht="34.9" customHeight="1" x14ac:dyDescent="0.3">
      <c r="B20" s="15">
        <v>7</v>
      </c>
      <c r="C20" s="20" t="s">
        <v>51</v>
      </c>
      <c r="D20" s="2">
        <v>7</v>
      </c>
      <c r="E20" s="18"/>
      <c r="F20" s="2">
        <v>69</v>
      </c>
      <c r="G20" s="2"/>
      <c r="H20" s="2"/>
      <c r="I20" s="2"/>
      <c r="J20" s="19">
        <v>7333.98</v>
      </c>
      <c r="K20" s="2">
        <v>716.35</v>
      </c>
      <c r="L20" s="19">
        <v>0.91</v>
      </c>
      <c r="M20" s="18"/>
      <c r="N20" s="17">
        <v>48.79</v>
      </c>
      <c r="O20" s="17"/>
      <c r="P20" s="17">
        <v>51.29</v>
      </c>
      <c r="Q20" s="17"/>
      <c r="R20" s="17"/>
      <c r="S20" s="17"/>
      <c r="T20" s="17">
        <v>7.03</v>
      </c>
      <c r="U20" s="17">
        <f>P20+T20</f>
        <v>58.32</v>
      </c>
      <c r="V20" s="17">
        <v>3.7</v>
      </c>
      <c r="W20" s="16"/>
      <c r="X20" s="9">
        <f>L20</f>
        <v>0.91</v>
      </c>
      <c r="Y20">
        <f>J20/(100*102)</f>
        <v>0.71901764705882354</v>
      </c>
      <c r="Z20" s="6">
        <f>U20/(100*102)*100*100*10000/1000</f>
        <v>571.76470588235304</v>
      </c>
      <c r="AA20">
        <f>N20/(100*102)*100*100*10000/1000</f>
        <v>478.33333333333331</v>
      </c>
      <c r="AB20">
        <f>V20/(100*102)*100*100*10000/1000</f>
        <v>36.274509803921575</v>
      </c>
      <c r="AC20">
        <f>SUM(N20,U20,V20)/(100*102)*100*100*10000/1000</f>
        <v>1086.372549019608</v>
      </c>
      <c r="AD20">
        <f>J20/U20</f>
        <v>125.75411522633745</v>
      </c>
      <c r="AE20">
        <f>J20/U20</f>
        <v>125.75411522633745</v>
      </c>
      <c r="AF20" s="15">
        <v>7</v>
      </c>
      <c r="AH20">
        <f>F20/D20</f>
        <v>9.8571428571428577</v>
      </c>
      <c r="AI20">
        <f>0/D20</f>
        <v>0</v>
      </c>
      <c r="AJ20">
        <f>U20/D20</f>
        <v>8.331428571428571</v>
      </c>
      <c r="AK20">
        <f>N20/D20</f>
        <v>6.97</v>
      </c>
      <c r="AL20">
        <f>SUM(N20,U20,V20)/D20</f>
        <v>15.83</v>
      </c>
      <c r="AM20">
        <f>(U20/1000)/(1.016*1)*10000</f>
        <v>574.01574803149595</v>
      </c>
      <c r="AN20">
        <f>(N20/1000)/(1.016*1)*10000</f>
        <v>480.21653543307082</v>
      </c>
      <c r="AO20">
        <f>(V20/1000)/(1.016*1)*10000</f>
        <v>36.417322834645667</v>
      </c>
      <c r="AP20">
        <f>SUM(AM20:AO20)</f>
        <v>1090.6496062992123</v>
      </c>
      <c r="AQ20">
        <f>J20/(100*101.6)</f>
        <v>0.72184842519685033</v>
      </c>
      <c r="AR20" s="6">
        <f>X20</f>
        <v>0.91</v>
      </c>
    </row>
    <row r="21" spans="2:44" ht="34.9" customHeight="1" thickBot="1" x14ac:dyDescent="0.35">
      <c r="B21" s="8"/>
      <c r="C21" s="14" t="s">
        <v>50</v>
      </c>
      <c r="D21" s="3">
        <v>9</v>
      </c>
      <c r="E21" s="12"/>
      <c r="F21" s="3">
        <v>25</v>
      </c>
      <c r="G21" s="3"/>
      <c r="H21" s="3"/>
      <c r="I21" s="3"/>
      <c r="J21" s="13">
        <v>13256.94</v>
      </c>
      <c r="K21" s="3">
        <v>839.99</v>
      </c>
      <c r="L21" s="13">
        <v>0.8</v>
      </c>
      <c r="M21" s="12"/>
      <c r="N21" s="11">
        <v>64.56</v>
      </c>
      <c r="O21" s="11"/>
      <c r="P21" s="11">
        <v>65.16</v>
      </c>
      <c r="Q21" s="11"/>
      <c r="R21" s="11"/>
      <c r="S21" s="11"/>
      <c r="T21" s="11">
        <v>8.07</v>
      </c>
      <c r="U21" s="11">
        <f>P21+T21</f>
        <v>73.22999999999999</v>
      </c>
      <c r="V21" s="11">
        <v>1.28</v>
      </c>
      <c r="W21" s="10"/>
      <c r="X21" s="9">
        <f>L21</f>
        <v>0.8</v>
      </c>
      <c r="Y21">
        <f>J21/(100*102)</f>
        <v>1.2997000000000001</v>
      </c>
      <c r="Z21" s="6">
        <f>U21/(100*102)*100*100*10000/1000</f>
        <v>717.94117647058806</v>
      </c>
      <c r="AA21">
        <f>N21/(100*102)*100*100*10000/1000</f>
        <v>632.94117647058829</v>
      </c>
      <c r="AB21">
        <f>V21/(100*102)*100*100*10000/1000</f>
        <v>12.549019607843137</v>
      </c>
      <c r="AC21">
        <f>SUM(N21,U21,V21)/(100*102)*100*100*10000/1000</f>
        <v>1363.4313725490194</v>
      </c>
      <c r="AD21">
        <f>J21/U21</f>
        <v>181.03154444899636</v>
      </c>
      <c r="AE21">
        <f>J21/U21</f>
        <v>181.03154444899636</v>
      </c>
      <c r="AF21" s="8"/>
      <c r="AH21">
        <f>F21/D21</f>
        <v>2.7777777777777777</v>
      </c>
      <c r="AI21">
        <f>0/D21</f>
        <v>0</v>
      </c>
      <c r="AJ21">
        <f>U21/D21</f>
        <v>8.1366666666666649</v>
      </c>
      <c r="AK21">
        <f>N21/D21</f>
        <v>7.1733333333333338</v>
      </c>
      <c r="AL21">
        <f>SUM(N21,U21,V21)/D21</f>
        <v>15.452222222222222</v>
      </c>
      <c r="AM21">
        <f>(U21/1000)/(1.016*1)*10000</f>
        <v>720.76771653543301</v>
      </c>
      <c r="AN21">
        <f>(N21/1000)/(1.016*1)*10000</f>
        <v>635.43307086614186</v>
      </c>
      <c r="AO21">
        <f>(V21/1000)/(1.016*1)*10000</f>
        <v>12.598425196850394</v>
      </c>
      <c r="AP21">
        <f>SUM(AM21:AO21)</f>
        <v>1368.7992125984254</v>
      </c>
      <c r="AQ21">
        <f>J21/(100*101.6)</f>
        <v>1.3048169291338583</v>
      </c>
      <c r="AR21" s="6">
        <f>X21</f>
        <v>0.8</v>
      </c>
    </row>
    <row r="22" spans="2:44" ht="34.9" customHeight="1" x14ac:dyDescent="0.3">
      <c r="B22" s="15">
        <v>10</v>
      </c>
      <c r="C22" s="20" t="s">
        <v>51</v>
      </c>
      <c r="D22" s="2">
        <v>8</v>
      </c>
      <c r="E22" s="18"/>
      <c r="F22" s="2">
        <v>44</v>
      </c>
      <c r="G22" s="2"/>
      <c r="H22" s="2"/>
      <c r="I22" s="2"/>
      <c r="J22" s="19">
        <v>7129.11</v>
      </c>
      <c r="K22" s="2">
        <v>769.4</v>
      </c>
      <c r="L22" s="19">
        <v>0.96</v>
      </c>
      <c r="M22" s="18"/>
      <c r="N22" s="17">
        <v>50.56</v>
      </c>
      <c r="O22" s="17"/>
      <c r="P22" s="17">
        <v>46.5</v>
      </c>
      <c r="Q22" s="17"/>
      <c r="R22" s="17"/>
      <c r="S22" s="17"/>
      <c r="T22" s="17">
        <v>7.59</v>
      </c>
      <c r="U22" s="17">
        <f>P22+T22</f>
        <v>54.09</v>
      </c>
      <c r="V22" s="17">
        <v>2.0699999999999998</v>
      </c>
      <c r="W22" s="16"/>
      <c r="X22" s="9">
        <f>L22</f>
        <v>0.96</v>
      </c>
      <c r="Y22">
        <f>J22/(100*102)</f>
        <v>0.69893235294117639</v>
      </c>
      <c r="Z22" s="6">
        <f>U22/(100*102)*100*100*10000/1000</f>
        <v>530.29411764705878</v>
      </c>
      <c r="AA22">
        <f>N22/(100*102)*100*100*10000/1000</f>
        <v>495.68627450980392</v>
      </c>
      <c r="AB22">
        <f>V22/(100*102)*100*100*10000/1000</f>
        <v>20.294117647058819</v>
      </c>
      <c r="AC22">
        <f>SUM(N22,U22,V22)/(100*102)*100*100*10000/1000</f>
        <v>1046.2745098039218</v>
      </c>
      <c r="AD22">
        <f>J22/U22</f>
        <v>131.80088740987242</v>
      </c>
      <c r="AE22">
        <f>J22/U22</f>
        <v>131.80088740987242</v>
      </c>
      <c r="AF22" s="15">
        <v>10</v>
      </c>
      <c r="AH22">
        <f>F22/D22</f>
        <v>5.5</v>
      </c>
      <c r="AI22">
        <f>0/D22</f>
        <v>0</v>
      </c>
      <c r="AJ22">
        <f>U22/D22</f>
        <v>6.7612500000000004</v>
      </c>
      <c r="AK22">
        <f>N22/D22</f>
        <v>6.32</v>
      </c>
      <c r="AL22">
        <f>SUM(N22,U22,V22)/D22</f>
        <v>13.34</v>
      </c>
      <c r="AM22">
        <f>(U22/1000)/(1.016*1)*10000</f>
        <v>532.38188976377955</v>
      </c>
      <c r="AN22">
        <f>(N22/1000)/(1.016*1)*10000</f>
        <v>497.63779527559052</v>
      </c>
      <c r="AO22">
        <f>(V22/1000)/(1.016*1)*10000</f>
        <v>20.374015748031493</v>
      </c>
      <c r="AP22">
        <f>SUM(AM22:AO22)</f>
        <v>1050.3937007874015</v>
      </c>
      <c r="AQ22">
        <f>J22/(100*101.6)</f>
        <v>0.70168405511811016</v>
      </c>
      <c r="AR22" s="6">
        <f>X22</f>
        <v>0.96</v>
      </c>
    </row>
    <row r="23" spans="2:44" ht="34.9" customHeight="1" thickBot="1" x14ac:dyDescent="0.35">
      <c r="B23" s="8"/>
      <c r="C23" s="14" t="s">
        <v>50</v>
      </c>
      <c r="D23" s="3">
        <v>16</v>
      </c>
      <c r="E23" s="12"/>
      <c r="F23" s="3">
        <v>49</v>
      </c>
      <c r="G23" s="3" t="s">
        <v>52</v>
      </c>
      <c r="H23" s="3"/>
      <c r="I23" s="3"/>
      <c r="J23" s="13">
        <v>8362.4</v>
      </c>
      <c r="K23" s="3">
        <v>812.78</v>
      </c>
      <c r="L23" s="13">
        <v>1.0900000000000001</v>
      </c>
      <c r="M23" s="12"/>
      <c r="N23" s="11">
        <v>76.5</v>
      </c>
      <c r="O23" s="11"/>
      <c r="P23" s="11">
        <v>79.52</v>
      </c>
      <c r="Q23" s="11"/>
      <c r="R23" s="11"/>
      <c r="S23" s="11"/>
      <c r="T23" s="11">
        <v>6.97</v>
      </c>
      <c r="U23" s="11">
        <f>P23+T23</f>
        <v>86.49</v>
      </c>
      <c r="V23" s="11">
        <v>3.19</v>
      </c>
      <c r="W23" s="10"/>
      <c r="X23" s="9">
        <f>L23</f>
        <v>1.0900000000000001</v>
      </c>
      <c r="Y23">
        <f>J23/(100*102)</f>
        <v>0.81984313725490188</v>
      </c>
      <c r="Z23" s="6">
        <f>U23/(100*102)*100*100*10000/1000</f>
        <v>847.94117647058806</v>
      </c>
      <c r="AA23">
        <f>N23/(100*102)*100*100*10000/1000</f>
        <v>750</v>
      </c>
      <c r="AB23">
        <f>V23/(100*102)*100*100*10000/1000</f>
        <v>31.274509803921571</v>
      </c>
      <c r="AC23">
        <f>SUM(N23,U23,V23)/(100*102)*100*100*10000/1000</f>
        <v>1629.2156862745098</v>
      </c>
      <c r="AD23">
        <f>J23/U23</f>
        <v>96.686322118163957</v>
      </c>
      <c r="AE23">
        <f>J23/U23</f>
        <v>96.686322118163957</v>
      </c>
      <c r="AF23" s="8"/>
      <c r="AH23">
        <f>F23/D23</f>
        <v>3.0625</v>
      </c>
      <c r="AI23">
        <f>1/D23</f>
        <v>6.25E-2</v>
      </c>
      <c r="AJ23">
        <f>U23/D23</f>
        <v>5.4056249999999997</v>
      </c>
      <c r="AK23">
        <f>N23/D23</f>
        <v>4.78125</v>
      </c>
      <c r="AL23">
        <f>SUM(N23,U23,V23)/D23</f>
        <v>10.38625</v>
      </c>
      <c r="AM23">
        <f>(U23/1000)/(1.016*1)*10000</f>
        <v>851.27952755905517</v>
      </c>
      <c r="AN23">
        <f>(N23/1000)/(1.016*1)*10000</f>
        <v>752.95275590551171</v>
      </c>
      <c r="AO23">
        <f>(V23/1000)/(1.016*1)*10000</f>
        <v>31.397637795275593</v>
      </c>
      <c r="AP23">
        <f>SUM(AM23:AO23)</f>
        <v>1635.6299212598426</v>
      </c>
      <c r="AQ23">
        <f>J23/(100*101.6)</f>
        <v>0.82307086614173219</v>
      </c>
      <c r="AR23" s="6">
        <f>X23</f>
        <v>1.0900000000000001</v>
      </c>
    </row>
    <row r="24" spans="2:44" ht="34.9" customHeight="1" x14ac:dyDescent="0.3">
      <c r="B24" s="15">
        <v>11</v>
      </c>
      <c r="C24" s="20" t="s">
        <v>51</v>
      </c>
      <c r="D24" s="2">
        <v>11</v>
      </c>
      <c r="E24" s="18"/>
      <c r="F24" s="2">
        <v>30</v>
      </c>
      <c r="G24" s="2"/>
      <c r="H24" s="2"/>
      <c r="I24" s="2"/>
      <c r="J24" s="19">
        <v>7412.07</v>
      </c>
      <c r="K24" s="2">
        <v>598.91999999999996</v>
      </c>
      <c r="L24" s="19">
        <v>0.66</v>
      </c>
      <c r="M24" s="18"/>
      <c r="N24" s="17">
        <v>51.6</v>
      </c>
      <c r="O24" s="17"/>
      <c r="P24" s="17">
        <v>57.97</v>
      </c>
      <c r="Q24" s="17"/>
      <c r="R24" s="17"/>
      <c r="S24" s="17"/>
      <c r="T24" s="17">
        <v>6.18</v>
      </c>
      <c r="U24" s="17">
        <f>P24+T24</f>
        <v>64.150000000000006</v>
      </c>
      <c r="V24" s="17">
        <v>2.4900000000000002</v>
      </c>
      <c r="W24" s="16"/>
      <c r="X24" s="9">
        <f>L24</f>
        <v>0.66</v>
      </c>
      <c r="Y24">
        <f>J24/(100*102)</f>
        <v>0.72667352941176466</v>
      </c>
      <c r="Z24" s="6">
        <f>U24/(100*102)*100*100*10000/1000</f>
        <v>628.92156862745094</v>
      </c>
      <c r="AA24">
        <f>N24/(100*102)*100*100*10000/1000</f>
        <v>505.88235294117646</v>
      </c>
      <c r="AB24">
        <f>V24/(100*102)*100*100*10000/1000</f>
        <v>24.411764705882355</v>
      </c>
      <c r="AC24">
        <f>SUM(N24,U24,V24)/(100*102)*100*100*10000/1000</f>
        <v>1159.2156862745098</v>
      </c>
      <c r="AD24">
        <f>J24/U24</f>
        <v>115.54279033515198</v>
      </c>
      <c r="AE24">
        <f>J24/U24</f>
        <v>115.54279033515198</v>
      </c>
      <c r="AF24" s="15">
        <v>11</v>
      </c>
      <c r="AH24">
        <f>F24/D24</f>
        <v>2.7272727272727271</v>
      </c>
      <c r="AI24">
        <f>0/D24</f>
        <v>0</v>
      </c>
      <c r="AJ24">
        <f>U24/D24</f>
        <v>5.831818181818182</v>
      </c>
      <c r="AK24">
        <f>N24/D24</f>
        <v>4.6909090909090914</v>
      </c>
      <c r="AL24">
        <f>SUM(N24,U24,V24)/D24</f>
        <v>10.749090909090908</v>
      </c>
      <c r="AM24">
        <f>(U24/1000)/(1.016*1)*10000</f>
        <v>631.39763779527573</v>
      </c>
      <c r="AN24">
        <f>(N24/1000)/(1.016*1)*10000</f>
        <v>507.87401574803152</v>
      </c>
      <c r="AO24">
        <f>(V24/1000)/(1.016*1)*10000</f>
        <v>24.507874015748033</v>
      </c>
      <c r="AP24">
        <f>SUM(AM24:AO24)</f>
        <v>1163.7795275590554</v>
      </c>
      <c r="AQ24">
        <f>J24/(100*101.6)</f>
        <v>0.72953444881889762</v>
      </c>
      <c r="AR24" s="6">
        <f>X24</f>
        <v>0.66</v>
      </c>
    </row>
    <row r="25" spans="2:44" ht="34.9" customHeight="1" thickBot="1" x14ac:dyDescent="0.35">
      <c r="B25" s="8"/>
      <c r="C25" s="14" t="s">
        <v>50</v>
      </c>
      <c r="D25" s="3">
        <v>17</v>
      </c>
      <c r="E25" s="12"/>
      <c r="F25" s="3">
        <v>27</v>
      </c>
      <c r="G25" s="3"/>
      <c r="H25" s="3"/>
      <c r="I25" s="3"/>
      <c r="J25" s="13">
        <v>10961.1</v>
      </c>
      <c r="K25" s="3">
        <v>614.01</v>
      </c>
      <c r="L25" s="13">
        <v>0.94</v>
      </c>
      <c r="M25" s="12"/>
      <c r="N25" s="11">
        <v>70.91</v>
      </c>
      <c r="O25" s="11"/>
      <c r="P25" s="11">
        <v>74.760000000000005</v>
      </c>
      <c r="Q25" s="11"/>
      <c r="R25" s="11"/>
      <c r="S25" s="11"/>
      <c r="T25" s="11">
        <v>5.85</v>
      </c>
      <c r="U25" s="11">
        <f>P25+T25</f>
        <v>80.61</v>
      </c>
      <c r="V25" s="11">
        <v>1.89</v>
      </c>
      <c r="W25" s="10"/>
      <c r="X25" s="9">
        <f>L25</f>
        <v>0.94</v>
      </c>
      <c r="Y25">
        <f>J25/(100*102)</f>
        <v>1.0746176470588236</v>
      </c>
      <c r="Z25" s="6">
        <f>U25/(100*102)*100*100*10000/1000</f>
        <v>790.29411764705878</v>
      </c>
      <c r="AA25">
        <f>N25/(100*102)*100*100*10000/1000</f>
        <v>695.19607843137248</v>
      </c>
      <c r="AB25">
        <f>V25/(100*102)*100*100*10000/1000</f>
        <v>18.52941176470588</v>
      </c>
      <c r="AC25">
        <f>SUM(N25,U25,V25)/(100*102)*100*100*10000/1000</f>
        <v>1504.019607843137</v>
      </c>
      <c r="AD25">
        <f>J25/U25</f>
        <v>135.97692593970973</v>
      </c>
      <c r="AE25">
        <f>J25/U25</f>
        <v>135.97692593970973</v>
      </c>
      <c r="AF25" s="8"/>
      <c r="AH25">
        <f>F25/D25</f>
        <v>1.588235294117647</v>
      </c>
      <c r="AI25">
        <f>0/D25</f>
        <v>0</v>
      </c>
      <c r="AJ25">
        <f>U25/D25</f>
        <v>4.7417647058823533</v>
      </c>
      <c r="AK25">
        <f>N25/D25</f>
        <v>4.171176470588235</v>
      </c>
      <c r="AL25">
        <f>SUM(N25,U25,V25)/D25</f>
        <v>9.0241176470588211</v>
      </c>
      <c r="AM25">
        <f>(U25/1000)/(1.016*1)*10000</f>
        <v>793.40551181102364</v>
      </c>
      <c r="AN25">
        <f>(N25/1000)/(1.016*1)*10000</f>
        <v>697.93307086614175</v>
      </c>
      <c r="AO25">
        <f>(V25/1000)/(1.016*1)*10000</f>
        <v>18.602362204724407</v>
      </c>
      <c r="AP25">
        <f>SUM(AM25:AO25)</f>
        <v>1509.9409448818899</v>
      </c>
      <c r="AQ25">
        <f>J25/(100*101.6)</f>
        <v>1.0788484251968504</v>
      </c>
      <c r="AR25" s="6">
        <f>X25</f>
        <v>0.94</v>
      </c>
    </row>
    <row r="26" spans="2:44" ht="14.25" customHeight="1" x14ac:dyDescent="0.25"/>
    <row r="27" spans="2:44" ht="14.25" customHeight="1" x14ac:dyDescent="0.25">
      <c r="D27">
        <f>AVERAGE(D12:D25)</f>
        <v>10.142857142857142</v>
      </c>
    </row>
    <row r="28" spans="2:44" ht="14.25" customHeight="1" x14ac:dyDescent="0.25">
      <c r="W28" t="s">
        <v>49</v>
      </c>
      <c r="X28" s="4">
        <f>AVERAGE(X12:X13,X18:X19)</f>
        <v>0.6875</v>
      </c>
      <c r="Y28" s="4">
        <f>AVERAGE(Y12:Y13,Y18:Y19)</f>
        <v>0.72189313725490201</v>
      </c>
      <c r="Z28" s="7">
        <f>AVERAGE(Z12:Z13,Z18:Z19)</f>
        <v>643.01470588235304</v>
      </c>
      <c r="AA28" s="7">
        <f>AVERAGE(AA12:AA13,AA18:AA19)</f>
        <v>565.53921568627447</v>
      </c>
      <c r="AB28" s="7">
        <f>AVERAGE(AB12:AB13,AB18:AB19)</f>
        <v>45.294117647058826</v>
      </c>
      <c r="AC28" s="7">
        <f>AVERAGE(AC12:AC13,AC18:AC19)</f>
        <v>1253.8480392156864</v>
      </c>
      <c r="AD28" s="7">
        <f>AVERAGE(AD12:AD13,AD18:AD19)</f>
        <v>111.85062148167009</v>
      </c>
      <c r="AE28" s="7">
        <f>AVERAGE(AE12:AE13,AE18:AE19)</f>
        <v>111.85062148167009</v>
      </c>
    </row>
    <row r="29" spans="2:44" ht="14.25" customHeight="1" x14ac:dyDescent="0.25">
      <c r="W29" t="s">
        <v>48</v>
      </c>
      <c r="X29" s="4">
        <f>AVERAGE(X16:X17,X20:X21)</f>
        <v>0.79249999999999998</v>
      </c>
      <c r="Y29" s="4">
        <f>AVERAGE(Y16:Y17,Y20:Y21)</f>
        <v>0.95724142156862746</v>
      </c>
      <c r="Z29" s="7">
        <f>AVERAGE(Z16:Z17,Z20:Z21)</f>
        <v>668.89705882352951</v>
      </c>
      <c r="AA29" s="7">
        <f>AVERAGE(AA16:AA17,AA20:AA21)</f>
        <v>591.76470588235293</v>
      </c>
      <c r="AB29" s="7">
        <f>AVERAGE(AB16:AB17,AB20:AB21)</f>
        <v>25.637254901960784</v>
      </c>
      <c r="AC29" s="7">
        <f>AVERAGE(AC16:AC17,AC20:AC21)</f>
        <v>1286.2990196078431</v>
      </c>
      <c r="AD29" s="7">
        <f>AVERAGE(AD16:AD17,AD20:AD21)</f>
        <v>141.87443993764762</v>
      </c>
      <c r="AE29" s="7">
        <f>AVERAGE(AE16:AE17,AE20:AE21)</f>
        <v>141.87443993764762</v>
      </c>
    </row>
    <row r="30" spans="2:44" ht="14.25" customHeight="1" x14ac:dyDescent="0.25">
      <c r="W30" t="s">
        <v>47</v>
      </c>
      <c r="X30" s="4">
        <f>AVERAGE(X22:X23,X14:X15)</f>
        <v>0.97749999999999992</v>
      </c>
      <c r="Y30" s="4">
        <f>AVERAGE(Y22:Y23,Y14:Y15)</f>
        <v>0.93856764705882345</v>
      </c>
      <c r="Z30" s="7">
        <f>AVERAGE(Z22:Z23,Z14:Z15)</f>
        <v>674.41176470588232</v>
      </c>
      <c r="AA30" s="7">
        <f>AVERAGE(AA22:AA23,AA14:AA15)</f>
        <v>622.32843137254906</v>
      </c>
      <c r="AB30" s="7">
        <f>AVERAGE(AB22:AB23,AB14:AB15)</f>
        <v>32.892156862745097</v>
      </c>
      <c r="AC30" s="7">
        <f>AVERAGE(AC22:AC23,AC14:AC15)</f>
        <v>1329.6323529411766</v>
      </c>
      <c r="AD30" s="7">
        <f>AVERAGE(AD22:AD23,AD14:AD15)</f>
        <v>143.50869106818342</v>
      </c>
      <c r="AE30" s="7">
        <f>AVERAGE(AE22:AE23,AE14:AE15)</f>
        <v>143.50869106818342</v>
      </c>
    </row>
    <row r="31" spans="2:44" ht="14.25" customHeight="1" x14ac:dyDescent="0.25"/>
    <row r="32" spans="2:44" ht="14.25" customHeight="1" x14ac:dyDescent="0.25">
      <c r="W32" t="s">
        <v>49</v>
      </c>
      <c r="Y32" s="4">
        <f>AVERAGE(Y12:Y13)</f>
        <v>0.68855980392156857</v>
      </c>
      <c r="Z32" s="4"/>
      <c r="AA32" s="4"/>
      <c r="AB32" s="4"/>
      <c r="AC32" s="7">
        <f>AVERAGE(AC12:AC13)</f>
        <v>1346.5196078431372</v>
      </c>
    </row>
    <row r="33" spans="23:29" ht="14.25" customHeight="1" x14ac:dyDescent="0.25">
      <c r="W33" t="s">
        <v>48</v>
      </c>
      <c r="Y33" s="4">
        <f>AVERAGE(Y16:Y17)</f>
        <v>0.90512401960784317</v>
      </c>
      <c r="Z33" s="4"/>
      <c r="AA33" s="4"/>
      <c r="AB33" s="4"/>
      <c r="AC33" s="7">
        <f>AVERAGE(AC16:AC17)</f>
        <v>1347.6960784313726</v>
      </c>
    </row>
    <row r="34" spans="23:29" ht="14.25" customHeight="1" x14ac:dyDescent="0.25">
      <c r="W34" t="s">
        <v>47</v>
      </c>
      <c r="Y34" s="4">
        <f>AVERAGE(Y14:Y15)</f>
        <v>1.1177475490196078</v>
      </c>
      <c r="Z34" s="4"/>
      <c r="AA34" s="4"/>
      <c r="AB34" s="4"/>
      <c r="AC34" s="7">
        <f>AVERAGE(AC14:AC15)</f>
        <v>1321.5196078431372</v>
      </c>
    </row>
    <row r="35" spans="23:29" ht="14.25" customHeight="1" x14ac:dyDescent="0.25">
      <c r="Y35" s="4"/>
      <c r="Z35" s="4"/>
      <c r="AA35" s="4"/>
      <c r="AB35" s="4"/>
      <c r="AC35" s="7"/>
    </row>
    <row r="36" spans="23:29" ht="14.25" customHeight="1" x14ac:dyDescent="0.25">
      <c r="W36" t="s">
        <v>49</v>
      </c>
      <c r="Y36" s="4">
        <f>AVERAGE(Y18:Y19)</f>
        <v>0.75522647058823522</v>
      </c>
      <c r="Z36" s="4"/>
      <c r="AA36" s="4"/>
      <c r="AB36" s="4"/>
      <c r="AC36" s="7">
        <f>AVERAGE(AC18:AC19)</f>
        <v>1161.1764705882354</v>
      </c>
    </row>
    <row r="37" spans="23:29" ht="14.25" customHeight="1" x14ac:dyDescent="0.25">
      <c r="W37" t="s">
        <v>48</v>
      </c>
      <c r="Y37" s="4">
        <f>AVERAGE(Y20:Y21)</f>
        <v>1.0093588235294118</v>
      </c>
      <c r="Z37" s="4"/>
      <c r="AA37" s="4"/>
      <c r="AB37" s="4"/>
      <c r="AC37" s="7">
        <f>AVERAGE(AC20:AC21)</f>
        <v>1224.9019607843138</v>
      </c>
    </row>
    <row r="38" spans="23:29" ht="14.25" customHeight="1" x14ac:dyDescent="0.25">
      <c r="W38" t="s">
        <v>47</v>
      </c>
      <c r="Y38" s="4">
        <f>AVERAGE(Y22:Y23)</f>
        <v>0.75938774509803908</v>
      </c>
      <c r="Z38" s="4"/>
      <c r="AA38" s="4"/>
      <c r="AB38" s="4"/>
      <c r="AC38" s="7">
        <f>AVERAGE(AC22:AC23)</f>
        <v>1337.7450980392159</v>
      </c>
    </row>
    <row r="39" spans="23:29" ht="14.25" customHeight="1" x14ac:dyDescent="0.25"/>
    <row r="40" spans="23:29" ht="14.25" customHeight="1" x14ac:dyDescent="0.25"/>
    <row r="41" spans="23:29" ht="14.25" customHeight="1" x14ac:dyDescent="0.25"/>
    <row r="42" spans="23:29" ht="14.25" customHeight="1" x14ac:dyDescent="0.25"/>
    <row r="43" spans="23:29" ht="14.25" customHeight="1" x14ac:dyDescent="0.25"/>
    <row r="44" spans="23:29" ht="14.25" customHeight="1" x14ac:dyDescent="0.25"/>
    <row r="45" spans="23:29" ht="14.25" customHeight="1" x14ac:dyDescent="0.25"/>
    <row r="46" spans="23:29" ht="14.25" customHeight="1" x14ac:dyDescent="0.25"/>
    <row r="47" spans="23:29" ht="14.25" customHeight="1" x14ac:dyDescent="0.25"/>
    <row r="48" spans="23:29"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sheetData>
  <mergeCells count="14">
    <mergeCell ref="AF24:AF25"/>
    <mergeCell ref="AF12:AF13"/>
    <mergeCell ref="AF14:AF15"/>
    <mergeCell ref="AF16:AF17"/>
    <mergeCell ref="AF18:AF19"/>
    <mergeCell ref="AF20:AF21"/>
    <mergeCell ref="AF22:AF23"/>
    <mergeCell ref="B24:B25"/>
    <mergeCell ref="B12:B13"/>
    <mergeCell ref="B14:B15"/>
    <mergeCell ref="B16:B17"/>
    <mergeCell ref="B18:B19"/>
    <mergeCell ref="B20:B21"/>
    <mergeCell ref="B22:B23"/>
  </mergeCells>
  <printOptions horizontalCentered="1"/>
  <pageMargins left="0.18" right="0.18" top="0.75" bottom="0.75" header="0.3" footer="0.3"/>
  <pageSetup scale="5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A2212-9332-4CBC-95F0-5E4001C6D92A}">
  <dimension ref="A1:O70"/>
  <sheetViews>
    <sheetView topLeftCell="A2" zoomScale="75" zoomScaleNormal="75" zoomScaleSheetLayoutView="70" workbookViewId="0">
      <selection activeCell="D25" sqref="D25"/>
    </sheetView>
  </sheetViews>
  <sheetFormatPr defaultColWidth="8.85546875" defaultRowHeight="15" x14ac:dyDescent="0.25"/>
  <cols>
    <col min="1" max="1" width="9.140625" customWidth="1"/>
    <col min="2" max="2" width="7.42578125" customWidth="1"/>
    <col min="3" max="3" width="13.7109375" style="78" customWidth="1"/>
    <col min="4" max="5" width="16.7109375" style="78" customWidth="1"/>
    <col min="6" max="8" width="16.7109375" customWidth="1"/>
    <col min="9" max="9" width="0.85546875" customWidth="1"/>
    <col min="10" max="14" width="16.7109375" customWidth="1"/>
    <col min="15" max="15" width="32.42578125" customWidth="1"/>
    <col min="16" max="16" width="8.7109375" customWidth="1"/>
  </cols>
  <sheetData>
    <row r="1" spans="1:15" ht="18.75" x14ac:dyDescent="0.3">
      <c r="B1" s="27">
        <v>2014</v>
      </c>
      <c r="C1" s="73" t="s">
        <v>89</v>
      </c>
      <c r="D1" s="117"/>
      <c r="E1" s="117"/>
      <c r="F1" s="117"/>
      <c r="G1" s="117"/>
      <c r="H1" s="117"/>
      <c r="I1" s="117"/>
      <c r="J1" s="117"/>
      <c r="K1" s="117"/>
      <c r="L1" s="117"/>
      <c r="M1" s="117"/>
      <c r="N1" s="117"/>
    </row>
    <row r="2" spans="1:15" ht="18.75" x14ac:dyDescent="0.3">
      <c r="A2" s="117"/>
      <c r="B2" s="117"/>
      <c r="C2" s="73" t="s">
        <v>88</v>
      </c>
      <c r="E2" s="73" t="s">
        <v>87</v>
      </c>
      <c r="F2" s="117"/>
      <c r="G2" s="117"/>
      <c r="H2" s="117"/>
      <c r="I2" s="117"/>
      <c r="J2" s="117"/>
      <c r="K2" s="117"/>
      <c r="L2" s="117"/>
      <c r="M2" s="117"/>
      <c r="N2" s="117"/>
    </row>
    <row r="3" spans="1:15" ht="18.75" x14ac:dyDescent="0.3">
      <c r="C3" s="73"/>
    </row>
    <row r="4" spans="1:15" ht="15.75" x14ac:dyDescent="0.25">
      <c r="C4" s="117" t="s">
        <v>139</v>
      </c>
      <c r="D4" s="117"/>
      <c r="F4" s="116"/>
      <c r="G4" s="116"/>
      <c r="H4" s="119" t="s">
        <v>138</v>
      </c>
      <c r="I4" s="119"/>
      <c r="J4" s="40">
        <v>41814</v>
      </c>
      <c r="K4" s="114" t="s">
        <v>137</v>
      </c>
      <c r="L4" s="118" t="s">
        <v>136</v>
      </c>
    </row>
    <row r="5" spans="1:15" ht="15.75" x14ac:dyDescent="0.25">
      <c r="C5" s="117"/>
      <c r="D5" s="117" t="s">
        <v>135</v>
      </c>
      <c r="F5" s="116"/>
      <c r="G5" s="116"/>
      <c r="H5" s="116"/>
      <c r="I5" s="116"/>
      <c r="K5" s="114" t="s">
        <v>134</v>
      </c>
      <c r="L5" s="30" t="s">
        <v>133</v>
      </c>
    </row>
    <row r="6" spans="1:15" ht="17.45" customHeight="1" x14ac:dyDescent="0.3">
      <c r="C6" s="73"/>
      <c r="D6" s="73"/>
      <c r="F6" s="116"/>
      <c r="G6" s="116"/>
      <c r="H6" s="116"/>
      <c r="I6" s="116"/>
      <c r="J6" s="115"/>
      <c r="K6" s="115"/>
      <c r="N6" s="114"/>
    </row>
    <row r="7" spans="1:15" ht="21" x14ac:dyDescent="0.35">
      <c r="D7" s="113" t="s">
        <v>132</v>
      </c>
      <c r="E7" s="112"/>
      <c r="F7" s="111"/>
      <c r="G7" s="111"/>
      <c r="H7" s="110"/>
      <c r="I7" s="108"/>
      <c r="J7" s="112" t="s">
        <v>131</v>
      </c>
      <c r="K7" s="112"/>
      <c r="L7" s="111"/>
      <c r="M7" s="111"/>
      <c r="N7" s="110"/>
    </row>
    <row r="8" spans="1:15" ht="50.45" customHeight="1" thickBot="1" x14ac:dyDescent="0.3">
      <c r="D8" s="109" t="s">
        <v>130</v>
      </c>
      <c r="E8" s="106" t="s">
        <v>129</v>
      </c>
      <c r="F8" s="105" t="s">
        <v>128</v>
      </c>
      <c r="G8" s="104" t="s">
        <v>127</v>
      </c>
      <c r="H8" s="103" t="s">
        <v>126</v>
      </c>
      <c r="I8" s="108"/>
      <c r="J8" s="107" t="s">
        <v>130</v>
      </c>
      <c r="K8" s="106" t="s">
        <v>129</v>
      </c>
      <c r="L8" s="105" t="s">
        <v>128</v>
      </c>
      <c r="M8" s="104" t="s">
        <v>127</v>
      </c>
      <c r="N8" s="103" t="s">
        <v>126</v>
      </c>
      <c r="O8" s="102" t="s">
        <v>55</v>
      </c>
    </row>
    <row r="9" spans="1:15" ht="49.9" customHeight="1" thickBot="1" x14ac:dyDescent="0.3">
      <c r="B9" s="101" t="s">
        <v>125</v>
      </c>
      <c r="C9" s="100" t="s">
        <v>49</v>
      </c>
      <c r="D9" s="97">
        <v>48</v>
      </c>
      <c r="E9" s="96">
        <v>43</v>
      </c>
      <c r="F9" s="97">
        <v>39</v>
      </c>
      <c r="G9" s="96">
        <v>39</v>
      </c>
      <c r="H9" s="95">
        <v>65</v>
      </c>
      <c r="I9" s="99"/>
      <c r="J9" s="98">
        <v>50</v>
      </c>
      <c r="K9" s="96">
        <v>44</v>
      </c>
      <c r="L9" s="97">
        <v>33</v>
      </c>
      <c r="M9" s="96">
        <v>35</v>
      </c>
      <c r="N9" s="95">
        <v>67</v>
      </c>
      <c r="O9" s="80" t="s">
        <v>124</v>
      </c>
    </row>
    <row r="10" spans="1:15" ht="49.9" customHeight="1" thickBot="1" x14ac:dyDescent="0.3">
      <c r="B10" s="94" t="s">
        <v>123</v>
      </c>
      <c r="C10" s="93" t="s">
        <v>47</v>
      </c>
      <c r="D10" s="90">
        <v>49</v>
      </c>
      <c r="E10" s="89">
        <v>56</v>
      </c>
      <c r="F10" s="90">
        <v>42</v>
      </c>
      <c r="G10" s="89">
        <v>49</v>
      </c>
      <c r="H10" s="88">
        <v>59</v>
      </c>
      <c r="I10" s="92"/>
      <c r="J10" s="91">
        <v>54</v>
      </c>
      <c r="K10" s="89">
        <v>58</v>
      </c>
      <c r="L10" s="90">
        <v>44</v>
      </c>
      <c r="M10" s="89">
        <v>48</v>
      </c>
      <c r="N10" s="88">
        <v>56</v>
      </c>
      <c r="O10" s="80" t="s">
        <v>122</v>
      </c>
    </row>
    <row r="11" spans="1:15" ht="49.9" customHeight="1" thickBot="1" x14ac:dyDescent="0.3">
      <c r="B11" s="94" t="s">
        <v>121</v>
      </c>
      <c r="C11" s="93" t="s">
        <v>116</v>
      </c>
      <c r="D11" s="90">
        <v>42</v>
      </c>
      <c r="E11" s="89">
        <v>46</v>
      </c>
      <c r="F11" s="90">
        <v>32</v>
      </c>
      <c r="G11" s="89">
        <v>39</v>
      </c>
      <c r="H11" s="88">
        <v>63</v>
      </c>
      <c r="I11" s="92"/>
      <c r="J11" s="91">
        <v>51</v>
      </c>
      <c r="K11" s="89">
        <v>49</v>
      </c>
      <c r="L11" s="90">
        <v>37</v>
      </c>
      <c r="M11" s="89">
        <v>44</v>
      </c>
      <c r="N11" s="88">
        <v>62</v>
      </c>
      <c r="O11" s="80" t="s">
        <v>115</v>
      </c>
    </row>
    <row r="12" spans="1:15" ht="49.9" customHeight="1" thickBot="1" x14ac:dyDescent="0.3">
      <c r="B12" s="94" t="s">
        <v>120</v>
      </c>
      <c r="C12" s="93" t="s">
        <v>49</v>
      </c>
      <c r="D12" s="90">
        <v>45</v>
      </c>
      <c r="E12" s="89">
        <v>42</v>
      </c>
      <c r="F12" s="90">
        <v>29</v>
      </c>
      <c r="G12" s="89">
        <v>35</v>
      </c>
      <c r="H12" s="88">
        <v>67</v>
      </c>
      <c r="I12" s="92"/>
      <c r="J12" s="91">
        <v>50</v>
      </c>
      <c r="K12" s="89">
        <v>48</v>
      </c>
      <c r="L12" s="90">
        <v>37</v>
      </c>
      <c r="M12" s="89">
        <v>39</v>
      </c>
      <c r="N12" s="88">
        <v>62</v>
      </c>
      <c r="O12" s="80" t="s">
        <v>115</v>
      </c>
    </row>
    <row r="13" spans="1:15" ht="49.9" customHeight="1" thickBot="1" x14ac:dyDescent="0.3">
      <c r="B13" s="94" t="s">
        <v>119</v>
      </c>
      <c r="C13" s="93" t="s">
        <v>116</v>
      </c>
      <c r="D13" s="90">
        <v>44</v>
      </c>
      <c r="E13" s="89">
        <v>43</v>
      </c>
      <c r="F13" s="90">
        <v>38</v>
      </c>
      <c r="G13" s="89">
        <v>31</v>
      </c>
      <c r="H13" s="88">
        <v>67</v>
      </c>
      <c r="I13" s="92"/>
      <c r="J13" s="91">
        <v>51</v>
      </c>
      <c r="K13" s="89">
        <v>50</v>
      </c>
      <c r="L13" s="90">
        <v>49</v>
      </c>
      <c r="M13" s="89">
        <v>44</v>
      </c>
      <c r="N13" s="88">
        <v>61</v>
      </c>
      <c r="O13" s="80" t="s">
        <v>115</v>
      </c>
    </row>
    <row r="14" spans="1:15" ht="49.9" customHeight="1" thickBot="1" x14ac:dyDescent="0.3">
      <c r="B14" s="94" t="s">
        <v>118</v>
      </c>
      <c r="C14" s="93" t="s">
        <v>47</v>
      </c>
      <c r="D14" s="90">
        <v>47</v>
      </c>
      <c r="E14" s="89">
        <v>46</v>
      </c>
      <c r="F14" s="90">
        <v>34</v>
      </c>
      <c r="G14" s="89">
        <v>41</v>
      </c>
      <c r="H14" s="88">
        <v>62</v>
      </c>
      <c r="I14" s="92"/>
      <c r="J14" s="91">
        <v>50</v>
      </c>
      <c r="K14" s="89">
        <v>48</v>
      </c>
      <c r="L14" s="90">
        <v>39</v>
      </c>
      <c r="M14" s="89">
        <v>39</v>
      </c>
      <c r="N14" s="88">
        <v>64</v>
      </c>
      <c r="O14" s="80" t="s">
        <v>115</v>
      </c>
    </row>
    <row r="15" spans="1:15" ht="49.9" customHeight="1" thickBot="1" x14ac:dyDescent="0.3">
      <c r="B15" s="87" t="s">
        <v>117</v>
      </c>
      <c r="C15" s="86" t="s">
        <v>116</v>
      </c>
      <c r="D15" s="83">
        <v>38</v>
      </c>
      <c r="E15" s="82">
        <v>41</v>
      </c>
      <c r="F15" s="83">
        <v>33</v>
      </c>
      <c r="G15" s="82">
        <v>34</v>
      </c>
      <c r="H15" s="81">
        <v>67</v>
      </c>
      <c r="I15" s="85"/>
      <c r="J15" s="84">
        <v>39</v>
      </c>
      <c r="K15" s="82">
        <v>43</v>
      </c>
      <c r="L15" s="83">
        <v>29</v>
      </c>
      <c r="M15" s="82">
        <v>34</v>
      </c>
      <c r="N15" s="81">
        <v>67</v>
      </c>
      <c r="O15" s="80" t="s">
        <v>115</v>
      </c>
    </row>
    <row r="16" spans="1:15" x14ac:dyDescent="0.25">
      <c r="J16" s="79"/>
      <c r="K16" s="79"/>
    </row>
    <row r="17" spans="7:13" x14ac:dyDescent="0.25">
      <c r="J17" s="79"/>
      <c r="K17" s="79"/>
    </row>
    <row r="18" spans="7:13" x14ac:dyDescent="0.25">
      <c r="J18" s="79"/>
      <c r="K18" s="79"/>
    </row>
    <row r="19" spans="7:13" x14ac:dyDescent="0.25">
      <c r="G19" s="78"/>
      <c r="J19" s="79"/>
      <c r="K19" s="78"/>
      <c r="M19" s="78"/>
    </row>
    <row r="20" spans="7:13" x14ac:dyDescent="0.25">
      <c r="G20" s="78">
        <f>AVERAGE(D9:E9)</f>
        <v>45.5</v>
      </c>
      <c r="H20">
        <f>AVERAGE(F9:G9)</f>
        <v>39</v>
      </c>
      <c r="J20" s="79"/>
      <c r="K20" s="78">
        <f>G20/100</f>
        <v>0.45500000000000002</v>
      </c>
      <c r="L20">
        <f>H20/100</f>
        <v>0.39</v>
      </c>
      <c r="M20" s="78"/>
    </row>
    <row r="21" spans="7:13" x14ac:dyDescent="0.25">
      <c r="G21" s="78">
        <f>AVERAGE(J9:K9)</f>
        <v>47</v>
      </c>
      <c r="H21">
        <f>AVERAGE(L9:M9)</f>
        <v>34</v>
      </c>
      <c r="J21" s="79"/>
      <c r="K21" s="78">
        <f>G21/100</f>
        <v>0.47</v>
      </c>
      <c r="L21">
        <f>H21/100</f>
        <v>0.34</v>
      </c>
      <c r="M21" s="78"/>
    </row>
    <row r="22" spans="7:13" x14ac:dyDescent="0.25">
      <c r="G22" s="78">
        <f>AVERAGE(D10:E10)</f>
        <v>52.5</v>
      </c>
      <c r="H22">
        <f>AVERAGE(F10:G10)</f>
        <v>45.5</v>
      </c>
      <c r="J22" s="79"/>
      <c r="K22" s="78">
        <f>G22/100</f>
        <v>0.52500000000000002</v>
      </c>
      <c r="L22">
        <f>H22/100</f>
        <v>0.45500000000000002</v>
      </c>
      <c r="M22" s="78"/>
    </row>
    <row r="23" spans="7:13" x14ac:dyDescent="0.25">
      <c r="G23" s="78">
        <f>AVERAGE(J10:K10)</f>
        <v>56</v>
      </c>
      <c r="H23">
        <f>AVERAGE(L10:M10)</f>
        <v>46</v>
      </c>
      <c r="J23" s="79"/>
      <c r="K23" s="78">
        <f>G23/100</f>
        <v>0.56000000000000005</v>
      </c>
      <c r="L23">
        <f>H23/100</f>
        <v>0.46</v>
      </c>
      <c r="M23" s="78"/>
    </row>
    <row r="24" spans="7:13" x14ac:dyDescent="0.25">
      <c r="G24" s="78">
        <f>AVERAGE(D11:E11)</f>
        <v>44</v>
      </c>
      <c r="H24">
        <f>AVERAGE(F11:G11)</f>
        <v>35.5</v>
      </c>
      <c r="J24" s="79"/>
      <c r="K24" s="78">
        <f>G24/100</f>
        <v>0.44</v>
      </c>
      <c r="L24">
        <f>H24/100</f>
        <v>0.35499999999999998</v>
      </c>
      <c r="M24" s="78"/>
    </row>
    <row r="25" spans="7:13" x14ac:dyDescent="0.25">
      <c r="G25" s="78">
        <f>AVERAGE(J11:K11)</f>
        <v>50</v>
      </c>
      <c r="H25">
        <f>AVERAGE(L11:M11)</f>
        <v>40.5</v>
      </c>
      <c r="J25" s="79"/>
      <c r="K25" s="78">
        <f>G25/100</f>
        <v>0.5</v>
      </c>
      <c r="L25">
        <f>H25/100</f>
        <v>0.40500000000000003</v>
      </c>
      <c r="M25" s="78"/>
    </row>
    <row r="26" spans="7:13" x14ac:dyDescent="0.25">
      <c r="G26" s="78">
        <f>AVERAGE(D12:E12)</f>
        <v>43.5</v>
      </c>
      <c r="H26">
        <f>AVERAGE(F12:G12)</f>
        <v>32</v>
      </c>
      <c r="J26" s="79"/>
      <c r="K26" s="78">
        <f>G26/100</f>
        <v>0.435</v>
      </c>
      <c r="L26">
        <f>H26/100</f>
        <v>0.32</v>
      </c>
    </row>
    <row r="27" spans="7:13" x14ac:dyDescent="0.25">
      <c r="G27" s="78">
        <f>AVERAGE(J12:K12)</f>
        <v>49</v>
      </c>
      <c r="H27">
        <f>AVERAGE(L12:M12)</f>
        <v>38</v>
      </c>
      <c r="J27" s="79"/>
      <c r="K27" s="78">
        <f>G27/100</f>
        <v>0.49</v>
      </c>
      <c r="L27">
        <f>H27/100</f>
        <v>0.38</v>
      </c>
    </row>
    <row r="28" spans="7:13" x14ac:dyDescent="0.25">
      <c r="G28" s="78">
        <f>AVERAGE(D13:E13)</f>
        <v>43.5</v>
      </c>
      <c r="H28">
        <f>AVERAGE(F13:G13)</f>
        <v>34.5</v>
      </c>
      <c r="J28" s="79"/>
      <c r="K28" s="78">
        <f>G28/100</f>
        <v>0.435</v>
      </c>
      <c r="L28">
        <f>H28/100</f>
        <v>0.34499999999999997</v>
      </c>
    </row>
    <row r="29" spans="7:13" x14ac:dyDescent="0.25">
      <c r="G29" s="78">
        <f>AVERAGE(J13:K13)</f>
        <v>50.5</v>
      </c>
      <c r="H29">
        <f>AVERAGE(L13:M13)</f>
        <v>46.5</v>
      </c>
      <c r="J29" s="79"/>
      <c r="K29" s="78">
        <f>G29/100</f>
        <v>0.505</v>
      </c>
      <c r="L29">
        <f>H29/100</f>
        <v>0.46500000000000002</v>
      </c>
    </row>
    <row r="30" spans="7:13" x14ac:dyDescent="0.25">
      <c r="G30" s="78">
        <f>AVERAGE(D14:E14)</f>
        <v>46.5</v>
      </c>
      <c r="H30">
        <f>AVERAGE(F14:G14)</f>
        <v>37.5</v>
      </c>
      <c r="J30" s="79"/>
      <c r="K30" s="78">
        <f>G30/100</f>
        <v>0.46500000000000002</v>
      </c>
      <c r="L30">
        <f>H30/100</f>
        <v>0.375</v>
      </c>
    </row>
    <row r="31" spans="7:13" x14ac:dyDescent="0.25">
      <c r="G31" s="78">
        <f>AVERAGE(J14:K14)</f>
        <v>49</v>
      </c>
      <c r="H31">
        <f>AVERAGE(L14:M14)</f>
        <v>39</v>
      </c>
      <c r="J31" s="79"/>
      <c r="K31" s="78">
        <f>G31/100</f>
        <v>0.49</v>
      </c>
      <c r="L31">
        <f>H31/100</f>
        <v>0.39</v>
      </c>
    </row>
    <row r="32" spans="7:13" x14ac:dyDescent="0.25">
      <c r="G32" s="78">
        <f>AVERAGE(D15:E15)</f>
        <v>39.5</v>
      </c>
      <c r="H32">
        <f>AVERAGE(F15:G15)</f>
        <v>33.5</v>
      </c>
      <c r="J32" s="79"/>
      <c r="K32" s="78">
        <f>G32/100</f>
        <v>0.39500000000000002</v>
      </c>
      <c r="L32">
        <f>H32/100</f>
        <v>0.33500000000000002</v>
      </c>
    </row>
    <row r="33" spans="7:12" x14ac:dyDescent="0.25">
      <c r="G33" s="78">
        <f>AVERAGE(J15:K15)</f>
        <v>41</v>
      </c>
      <c r="H33">
        <f>AVERAGE(L15:M15)</f>
        <v>31.5</v>
      </c>
      <c r="J33" s="79"/>
      <c r="K33" s="78">
        <f>G33/100</f>
        <v>0.41</v>
      </c>
      <c r="L33">
        <f>H33/100</f>
        <v>0.315</v>
      </c>
    </row>
    <row r="34" spans="7:12" x14ac:dyDescent="0.25">
      <c r="J34" s="79"/>
      <c r="K34" s="79"/>
    </row>
    <row r="35" spans="7:12" x14ac:dyDescent="0.25">
      <c r="J35" s="79"/>
      <c r="K35" s="79"/>
    </row>
    <row r="36" spans="7:12" x14ac:dyDescent="0.25">
      <c r="J36" s="79"/>
      <c r="K36" s="79"/>
    </row>
    <row r="37" spans="7:12" x14ac:dyDescent="0.25">
      <c r="J37" s="79"/>
      <c r="K37" s="79"/>
    </row>
    <row r="38" spans="7:12" x14ac:dyDescent="0.25">
      <c r="J38" s="79"/>
      <c r="K38" s="79"/>
    </row>
    <row r="39" spans="7:12" x14ac:dyDescent="0.25">
      <c r="J39" s="79"/>
      <c r="K39" s="79"/>
    </row>
    <row r="40" spans="7:12" x14ac:dyDescent="0.25">
      <c r="J40" s="79"/>
      <c r="K40" s="79"/>
    </row>
    <row r="41" spans="7:12" x14ac:dyDescent="0.25">
      <c r="J41" s="79"/>
      <c r="K41" s="79"/>
    </row>
    <row r="42" spans="7:12" x14ac:dyDescent="0.25">
      <c r="J42" s="79"/>
      <c r="K42" s="79"/>
    </row>
    <row r="43" spans="7:12" x14ac:dyDescent="0.25">
      <c r="J43" s="79"/>
      <c r="K43" s="79"/>
    </row>
    <row r="44" spans="7:12" x14ac:dyDescent="0.25">
      <c r="J44" s="79"/>
      <c r="K44" s="79"/>
    </row>
    <row r="45" spans="7:12" x14ac:dyDescent="0.25">
      <c r="J45" s="79"/>
      <c r="K45" s="79"/>
    </row>
    <row r="46" spans="7:12" x14ac:dyDescent="0.25">
      <c r="J46" s="79"/>
      <c r="K46" s="79"/>
    </row>
    <row r="47" spans="7:12" x14ac:dyDescent="0.25">
      <c r="J47" s="79"/>
      <c r="K47" s="79"/>
    </row>
    <row r="48" spans="7:12" x14ac:dyDescent="0.25">
      <c r="J48" s="79"/>
      <c r="K48" s="79"/>
    </row>
    <row r="49" spans="10:11" x14ac:dyDescent="0.25">
      <c r="J49" s="79"/>
      <c r="K49" s="79"/>
    </row>
    <row r="50" spans="10:11" x14ac:dyDescent="0.25">
      <c r="J50" s="79"/>
      <c r="K50" s="79"/>
    </row>
    <row r="51" spans="10:11" x14ac:dyDescent="0.25">
      <c r="J51" s="79"/>
      <c r="K51" s="79"/>
    </row>
    <row r="52" spans="10:11" x14ac:dyDescent="0.25">
      <c r="J52" s="79"/>
      <c r="K52" s="79"/>
    </row>
    <row r="53" spans="10:11" x14ac:dyDescent="0.25">
      <c r="J53" s="79"/>
      <c r="K53" s="79"/>
    </row>
    <row r="54" spans="10:11" x14ac:dyDescent="0.25">
      <c r="J54" s="79"/>
      <c r="K54" s="79"/>
    </row>
    <row r="55" spans="10:11" x14ac:dyDescent="0.25">
      <c r="J55" s="79"/>
      <c r="K55" s="79"/>
    </row>
    <row r="56" spans="10:11" x14ac:dyDescent="0.25">
      <c r="J56" s="79"/>
      <c r="K56" s="79"/>
    </row>
    <row r="57" spans="10:11" x14ac:dyDescent="0.25">
      <c r="J57" s="79"/>
      <c r="K57" s="79"/>
    </row>
    <row r="58" spans="10:11" x14ac:dyDescent="0.25">
      <c r="J58" s="79"/>
      <c r="K58" s="79"/>
    </row>
    <row r="59" spans="10:11" x14ac:dyDescent="0.25">
      <c r="J59" s="79"/>
      <c r="K59" s="79"/>
    </row>
    <row r="60" spans="10:11" x14ac:dyDescent="0.25">
      <c r="J60" s="79"/>
      <c r="K60" s="79"/>
    </row>
    <row r="61" spans="10:11" x14ac:dyDescent="0.25">
      <c r="J61" s="79"/>
      <c r="K61" s="79"/>
    </row>
    <row r="62" spans="10:11" x14ac:dyDescent="0.25">
      <c r="J62" s="79"/>
      <c r="K62" s="79"/>
    </row>
    <row r="63" spans="10:11" x14ac:dyDescent="0.25">
      <c r="J63" s="79"/>
      <c r="K63" s="79"/>
    </row>
    <row r="64" spans="10:11" x14ac:dyDescent="0.25">
      <c r="J64" s="79"/>
      <c r="K64" s="79"/>
    </row>
    <row r="65" spans="10:11" x14ac:dyDescent="0.25">
      <c r="J65" s="79"/>
      <c r="K65" s="79"/>
    </row>
    <row r="66" spans="10:11" x14ac:dyDescent="0.25">
      <c r="J66" s="79"/>
      <c r="K66" s="79"/>
    </row>
    <row r="67" spans="10:11" x14ac:dyDescent="0.25">
      <c r="J67" s="79"/>
      <c r="K67" s="79"/>
    </row>
    <row r="68" spans="10:11" x14ac:dyDescent="0.25">
      <c r="J68" s="79"/>
      <c r="K68" s="79"/>
    </row>
    <row r="69" spans="10:11" x14ac:dyDescent="0.25">
      <c r="J69" s="79"/>
      <c r="K69" s="79"/>
    </row>
    <row r="70" spans="10:11" x14ac:dyDescent="0.25">
      <c r="J70" s="79"/>
      <c r="K70" s="79"/>
    </row>
  </sheetData>
  <pageMargins left="0.25" right="0.25" top="0.5" bottom="1" header="0.3" footer="0.53"/>
  <pageSetup scale="75" orientation="landscape" r:id="rId1"/>
  <headerFooter>
    <oddFooter>&amp;R&amp;Z&amp;F
&amp;P of &amp;N
smm</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A1506-AB5E-4E78-BA04-EF0D875D836B}">
  <sheetPr>
    <pageSetUpPr fitToPage="1"/>
  </sheetPr>
  <dimension ref="B1:AT85"/>
  <sheetViews>
    <sheetView zoomScale="70" zoomScaleNormal="70" workbookViewId="0">
      <selection activeCell="G33" sqref="G33"/>
    </sheetView>
  </sheetViews>
  <sheetFormatPr defaultRowHeight="15" x14ac:dyDescent="0.25"/>
  <cols>
    <col min="1" max="1" width="3.85546875" customWidth="1"/>
    <col min="2" max="2" width="8.28515625" customWidth="1"/>
    <col min="3" max="3" width="10.7109375" customWidth="1"/>
    <col min="4" max="4" width="14.28515625" customWidth="1"/>
    <col min="5" max="5" width="13" customWidth="1"/>
    <col min="6" max="6" width="0.85546875" customWidth="1"/>
    <col min="7" max="7" width="14.85546875" customWidth="1"/>
    <col min="8" max="8" width="15.7109375" customWidth="1"/>
    <col min="9" max="9" width="14.7109375" customWidth="1"/>
    <col min="10" max="10" width="13.140625" hidden="1" customWidth="1"/>
    <col min="11" max="11" width="18.7109375" customWidth="1"/>
    <col min="12" max="12" width="18.7109375" hidden="1" customWidth="1"/>
    <col min="13" max="13" width="18.7109375" customWidth="1"/>
    <col min="14" max="14" width="11.5703125" customWidth="1"/>
    <col min="15" max="15" width="1.28515625" customWidth="1"/>
    <col min="16" max="16" width="15.7109375" customWidth="1"/>
    <col min="17" max="17" width="15.7109375" hidden="1" customWidth="1"/>
    <col min="18" max="18" width="15.7109375" customWidth="1"/>
    <col min="19" max="22" width="15.7109375" hidden="1" customWidth="1"/>
    <col min="23" max="23" width="15.7109375" customWidth="1"/>
    <col min="24" max="24" width="22.28515625" customWidth="1"/>
    <col min="25" max="25" width="88.42578125" customWidth="1"/>
    <col min="26" max="29" width="10" customWidth="1"/>
    <col min="30" max="32" width="12.85546875" customWidth="1"/>
  </cols>
  <sheetData>
    <row r="1" spans="2:46" ht="21" x14ac:dyDescent="0.35">
      <c r="B1" s="46">
        <v>2014</v>
      </c>
      <c r="C1" s="45" t="s">
        <v>89</v>
      </c>
      <c r="D1" s="45"/>
      <c r="E1" s="45"/>
      <c r="F1" s="44"/>
      <c r="G1" s="44"/>
      <c r="H1" s="44"/>
      <c r="I1" s="44"/>
      <c r="J1" s="44"/>
      <c r="K1" s="44"/>
      <c r="L1" s="44"/>
      <c r="M1" s="44"/>
    </row>
    <row r="2" spans="2:46" ht="21" x14ac:dyDescent="0.35">
      <c r="B2" s="45"/>
      <c r="C2" s="45" t="s">
        <v>88</v>
      </c>
      <c r="D2" s="45"/>
      <c r="E2" s="45" t="s">
        <v>87</v>
      </c>
      <c r="F2" s="44"/>
      <c r="G2" s="44"/>
      <c r="H2" s="44"/>
      <c r="I2" s="44"/>
      <c r="J2" s="44"/>
      <c r="K2" s="44"/>
      <c r="L2" s="44"/>
      <c r="M2" s="44"/>
    </row>
    <row r="4" spans="2:46" ht="15.75" x14ac:dyDescent="0.25">
      <c r="B4" s="23" t="s">
        <v>86</v>
      </c>
      <c r="C4" s="23"/>
      <c r="D4" s="23"/>
      <c r="E4" s="23"/>
      <c r="F4" s="23"/>
      <c r="G4" s="23"/>
      <c r="H4" s="23"/>
      <c r="I4" s="23"/>
      <c r="J4" s="23"/>
      <c r="K4" s="23"/>
      <c r="L4" s="23"/>
      <c r="M4" s="23"/>
      <c r="N4" s="23"/>
      <c r="O4" s="23"/>
    </row>
    <row r="5" spans="2:46" ht="15.75" x14ac:dyDescent="0.25">
      <c r="B5" s="34"/>
      <c r="C5" s="32" t="s">
        <v>85</v>
      </c>
      <c r="D5" s="38">
        <v>41842</v>
      </c>
      <c r="E5" s="38"/>
      <c r="F5" s="37" t="s">
        <v>98</v>
      </c>
      <c r="G5" s="23"/>
      <c r="H5" s="23"/>
      <c r="I5" s="23"/>
      <c r="J5" s="23"/>
      <c r="K5" s="23"/>
      <c r="L5" s="23"/>
      <c r="M5" s="23"/>
      <c r="N5" s="23"/>
      <c r="O5" s="23"/>
    </row>
    <row r="6" spans="2:46" ht="15.75" x14ac:dyDescent="0.25">
      <c r="B6" s="34"/>
      <c r="C6" s="32" t="s">
        <v>84</v>
      </c>
      <c r="D6" s="33" t="s">
        <v>97</v>
      </c>
      <c r="E6" s="33"/>
      <c r="F6" s="23"/>
      <c r="G6" s="23"/>
      <c r="H6" s="23"/>
      <c r="I6" s="23"/>
      <c r="J6" s="23"/>
      <c r="K6" s="23"/>
      <c r="L6" s="23"/>
      <c r="M6" s="23"/>
      <c r="N6" s="23"/>
      <c r="O6" s="23"/>
      <c r="P6" s="43" t="s">
        <v>82</v>
      </c>
      <c r="Q6" s="42"/>
      <c r="R6" s="42"/>
    </row>
    <row r="7" spans="2:46" ht="19.149999999999999" customHeight="1" x14ac:dyDescent="0.25">
      <c r="B7" s="34"/>
      <c r="C7" s="32"/>
      <c r="D7" s="23"/>
      <c r="E7" s="23"/>
      <c r="F7" s="23"/>
      <c r="G7" s="23"/>
      <c r="H7" s="23"/>
      <c r="I7" s="23"/>
      <c r="J7" s="23"/>
      <c r="K7" s="23"/>
      <c r="L7" s="23"/>
      <c r="M7" s="23"/>
      <c r="N7" s="23"/>
      <c r="O7" s="23"/>
      <c r="P7" s="32" t="s">
        <v>81</v>
      </c>
      <c r="Q7" s="41"/>
      <c r="R7" s="40">
        <v>41855</v>
      </c>
    </row>
    <row r="8" spans="2:46" ht="18" customHeight="1" x14ac:dyDescent="0.25">
      <c r="B8" s="34"/>
      <c r="C8" s="32" t="s">
        <v>80</v>
      </c>
      <c r="D8" s="39" t="s">
        <v>96</v>
      </c>
      <c r="E8" s="38"/>
      <c r="F8" s="37"/>
      <c r="G8" s="23"/>
      <c r="H8" s="23"/>
      <c r="I8" s="23"/>
      <c r="J8" s="23"/>
      <c r="K8" s="23"/>
      <c r="L8" s="23"/>
      <c r="M8" s="23"/>
      <c r="N8" s="23"/>
      <c r="O8" s="23"/>
      <c r="P8" s="32" t="s">
        <v>79</v>
      </c>
      <c r="Q8" s="36"/>
      <c r="R8" s="35" t="s">
        <v>78</v>
      </c>
    </row>
    <row r="9" spans="2:46" ht="18" customHeight="1" x14ac:dyDescent="0.25">
      <c r="B9" s="34"/>
      <c r="C9" s="32" t="s">
        <v>77</v>
      </c>
      <c r="D9" s="33" t="s">
        <v>95</v>
      </c>
      <c r="E9" s="33"/>
      <c r="F9" s="23"/>
      <c r="G9" s="23"/>
      <c r="H9" s="23"/>
      <c r="I9" s="23"/>
      <c r="J9" s="23"/>
      <c r="K9" s="23"/>
      <c r="L9" s="23"/>
      <c r="M9" s="23"/>
      <c r="N9" s="23"/>
      <c r="O9" s="23"/>
      <c r="P9" s="32" t="s">
        <v>75</v>
      </c>
      <c r="Q9" s="31"/>
      <c r="R9" s="30" t="s">
        <v>74</v>
      </c>
    </row>
    <row r="10" spans="2:46" ht="18" customHeight="1" x14ac:dyDescent="0.25">
      <c r="C10" s="29"/>
      <c r="N10" s="28"/>
      <c r="O10" s="28"/>
      <c r="P10" s="28"/>
      <c r="Q10" s="28"/>
      <c r="R10" s="28"/>
      <c r="S10" s="28"/>
      <c r="T10" s="28"/>
      <c r="U10" s="28"/>
      <c r="V10" s="28"/>
      <c r="W10" s="28"/>
      <c r="X10" s="28"/>
    </row>
    <row r="11" spans="2:46" s="23" customFormat="1" ht="80.45" customHeight="1" thickBot="1" x14ac:dyDescent="0.35">
      <c r="B11" s="27" t="s">
        <v>73</v>
      </c>
      <c r="C11" s="27" t="s">
        <v>72</v>
      </c>
      <c r="D11" s="24" t="s">
        <v>94</v>
      </c>
      <c r="E11" s="24" t="s">
        <v>71</v>
      </c>
      <c r="F11" s="26"/>
      <c r="G11" s="24" t="s">
        <v>70</v>
      </c>
      <c r="H11" s="24" t="s">
        <v>69</v>
      </c>
      <c r="I11" s="24" t="s">
        <v>68</v>
      </c>
      <c r="J11" s="24" t="s">
        <v>67</v>
      </c>
      <c r="K11" s="24" t="s">
        <v>66</v>
      </c>
      <c r="L11" s="24" t="s">
        <v>65</v>
      </c>
      <c r="M11" s="24" t="s">
        <v>65</v>
      </c>
      <c r="N11" s="24" t="s">
        <v>64</v>
      </c>
      <c r="O11" s="26"/>
      <c r="P11" s="24" t="s">
        <v>63</v>
      </c>
      <c r="Q11" s="25" t="s">
        <v>61</v>
      </c>
      <c r="R11" s="24" t="s">
        <v>93</v>
      </c>
      <c r="S11" s="25" t="s">
        <v>61</v>
      </c>
      <c r="T11" s="24" t="s">
        <v>92</v>
      </c>
      <c r="U11" s="24" t="s">
        <v>59</v>
      </c>
      <c r="V11" s="24" t="s">
        <v>58</v>
      </c>
      <c r="W11" s="24" t="s">
        <v>57</v>
      </c>
      <c r="X11" s="24" t="s">
        <v>56</v>
      </c>
      <c r="Y11" s="24" t="s">
        <v>55</v>
      </c>
      <c r="AI11" s="23" t="s">
        <v>17</v>
      </c>
      <c r="AJ11" s="23" t="s">
        <v>18</v>
      </c>
      <c r="AK11" s="23" t="s">
        <v>27</v>
      </c>
      <c r="AL11" s="23" t="s">
        <v>19</v>
      </c>
      <c r="AM11" s="23" t="s">
        <v>20</v>
      </c>
      <c r="AN11" s="23" t="s">
        <v>21</v>
      </c>
      <c r="AO11" s="23" t="s">
        <v>22</v>
      </c>
      <c r="AP11" s="23" t="s">
        <v>23</v>
      </c>
      <c r="AQ11" s="23" t="s">
        <v>24</v>
      </c>
      <c r="AR11" s="23" t="s">
        <v>25</v>
      </c>
      <c r="AS11" s="23" t="s">
        <v>26</v>
      </c>
      <c r="AT11" s="23" t="s">
        <v>16</v>
      </c>
    </row>
    <row r="12" spans="2:46" ht="34.9" customHeight="1" x14ac:dyDescent="0.3">
      <c r="B12" s="15">
        <v>1</v>
      </c>
      <c r="C12" s="20" t="s">
        <v>51</v>
      </c>
      <c r="D12" s="48">
        <v>41843</v>
      </c>
      <c r="E12" s="2">
        <v>7</v>
      </c>
      <c r="F12" s="18"/>
      <c r="G12" s="2">
        <v>134</v>
      </c>
      <c r="H12" s="2">
        <v>11</v>
      </c>
      <c r="I12" s="2">
        <v>97</v>
      </c>
      <c r="J12" s="2"/>
      <c r="K12" s="19">
        <v>24460.9</v>
      </c>
      <c r="L12" s="2"/>
      <c r="M12" s="2">
        <v>793.84</v>
      </c>
      <c r="N12" s="2">
        <v>2.36</v>
      </c>
      <c r="O12" s="18"/>
      <c r="P12" s="17">
        <v>188.14</v>
      </c>
      <c r="Q12" s="17"/>
      <c r="R12" s="17">
        <v>179.42</v>
      </c>
      <c r="S12" s="17"/>
      <c r="T12" s="17"/>
      <c r="U12" s="17"/>
      <c r="V12" s="17"/>
      <c r="W12" s="17">
        <f>R12+V12</f>
        <v>179.42</v>
      </c>
      <c r="X12" s="17">
        <v>135.57</v>
      </c>
      <c r="Y12" s="16"/>
      <c r="Z12">
        <f>K12/(100*102)</f>
        <v>2.3981274509803923</v>
      </c>
      <c r="AA12">
        <f>W12/(100*102)*100*100*10000/1000</f>
        <v>1759.019607843137</v>
      </c>
      <c r="AB12">
        <f>P12/(100*102)*100*100*10000/1000</f>
        <v>1844.5098039215684</v>
      </c>
      <c r="AC12">
        <f>X12/(100*102)*100*100*10000/1000</f>
        <v>1329.1176470588234</v>
      </c>
      <c r="AD12">
        <f>SUM(P12,W12,X12)/(100*102)*100*100*10000/1000</f>
        <v>4932.6470588235297</v>
      </c>
      <c r="AE12">
        <f>M12/10</f>
        <v>79.384</v>
      </c>
      <c r="AF12">
        <f>K12/W12</f>
        <v>136.3331847062758</v>
      </c>
      <c r="AG12" s="15">
        <v>1</v>
      </c>
      <c r="AI12">
        <f>G12/E12</f>
        <v>19.142857142857142</v>
      </c>
      <c r="AJ12">
        <f>H12/E12</f>
        <v>1.5714285714285714</v>
      </c>
      <c r="AK12">
        <f>I12/E12</f>
        <v>13.857142857142858</v>
      </c>
      <c r="AL12">
        <f>W12/E12</f>
        <v>25.631428571428568</v>
      </c>
      <c r="AM12">
        <f>P12/E12</f>
        <v>26.877142857142854</v>
      </c>
      <c r="AN12">
        <f>SUM(P12,W12,X12)/E12</f>
        <v>71.875714285714281</v>
      </c>
      <c r="AO12">
        <f>(W12/1000)/(1.016*1)*10000</f>
        <v>1765.9448818897638</v>
      </c>
      <c r="AP12">
        <f>(P12/1000)/(1.016*1)*10000</f>
        <v>1851.7716535433069</v>
      </c>
      <c r="AQ12">
        <f>(X12/1000)/(1.016*1)*10000</f>
        <v>1334.3503937007872</v>
      </c>
      <c r="AR12">
        <f>SUM(AO12:AQ12)</f>
        <v>4952.0669291338581</v>
      </c>
      <c r="AS12">
        <f>K12/(100*101.6)</f>
        <v>2.4075688976377956</v>
      </c>
      <c r="AT12" s="6">
        <f>N12</f>
        <v>2.36</v>
      </c>
    </row>
    <row r="13" spans="2:46" ht="34.9" customHeight="1" thickBot="1" x14ac:dyDescent="0.35">
      <c r="B13" s="8"/>
      <c r="C13" s="14" t="s">
        <v>50</v>
      </c>
      <c r="D13" s="47">
        <v>41843</v>
      </c>
      <c r="E13" s="3">
        <v>8</v>
      </c>
      <c r="F13" s="12"/>
      <c r="G13" s="3">
        <v>106</v>
      </c>
      <c r="H13" s="3">
        <v>16</v>
      </c>
      <c r="I13" s="3">
        <v>123</v>
      </c>
      <c r="J13" s="3"/>
      <c r="K13" s="13">
        <v>22954.91</v>
      </c>
      <c r="L13" s="3"/>
      <c r="M13" s="3">
        <v>752.95</v>
      </c>
      <c r="N13" s="3">
        <v>2.16</v>
      </c>
      <c r="O13" s="12"/>
      <c r="P13" s="11">
        <v>163.99</v>
      </c>
      <c r="Q13" s="11"/>
      <c r="R13" s="11">
        <v>158.43</v>
      </c>
      <c r="S13" s="11"/>
      <c r="T13" s="11"/>
      <c r="U13" s="11"/>
      <c r="V13" s="11"/>
      <c r="W13" s="11">
        <f>R13+V13</f>
        <v>158.43</v>
      </c>
      <c r="X13" s="11">
        <v>133.96</v>
      </c>
      <c r="Y13" s="10"/>
      <c r="Z13">
        <f>K13/(100*102)</f>
        <v>2.2504813725490198</v>
      </c>
      <c r="AA13">
        <f>W13/(100*102)*100*100*10000/1000</f>
        <v>1553.2352941176471</v>
      </c>
      <c r="AB13">
        <f>P13/(100*102)*100*100*10000/1000</f>
        <v>1607.7450980392157</v>
      </c>
      <c r="AC13">
        <f>X13/(100*102)*100*100*10000/1000</f>
        <v>1313.3333333333335</v>
      </c>
      <c r="AD13">
        <f>SUM(P13,W13,X13)/(100*102)*100*100*10000/1000</f>
        <v>4474.3137254901958</v>
      </c>
      <c r="AE13">
        <f>M13/10</f>
        <v>75.295000000000002</v>
      </c>
      <c r="AF13">
        <f>K13/W13</f>
        <v>144.88991983841444</v>
      </c>
      <c r="AG13" s="8"/>
      <c r="AI13">
        <f>G13/E13</f>
        <v>13.25</v>
      </c>
      <c r="AJ13">
        <f>H13/E13</f>
        <v>2</v>
      </c>
      <c r="AK13">
        <f>I13/E13</f>
        <v>15.375</v>
      </c>
      <c r="AL13">
        <f>W13/E13</f>
        <v>19.803750000000001</v>
      </c>
      <c r="AM13">
        <f>P13/E13</f>
        <v>20.498750000000001</v>
      </c>
      <c r="AN13">
        <f>SUM(P13,W13,X13)/E13</f>
        <v>57.047499999999999</v>
      </c>
      <c r="AO13">
        <f>(W13/1000)/(1.016*1)*10000</f>
        <v>1559.3503937007874</v>
      </c>
      <c r="AP13">
        <f>(P13/1000)/(1.016*1)*10000</f>
        <v>1614.0748031496064</v>
      </c>
      <c r="AQ13">
        <f>(X13/1000)/(1.016*1)*10000</f>
        <v>1318.5039370078739</v>
      </c>
      <c r="AR13">
        <f>SUM(AO13:AQ13)</f>
        <v>4491.929133858268</v>
      </c>
      <c r="AS13">
        <f>K13/(100*101.6)</f>
        <v>2.2593415354330708</v>
      </c>
      <c r="AT13" s="6">
        <f>N13</f>
        <v>2.16</v>
      </c>
    </row>
    <row r="14" spans="2:46" ht="34.9" customHeight="1" x14ac:dyDescent="0.3">
      <c r="B14" s="15">
        <v>2</v>
      </c>
      <c r="C14" s="20" t="s">
        <v>51</v>
      </c>
      <c r="D14" s="48">
        <v>41844</v>
      </c>
      <c r="E14" s="2">
        <v>7</v>
      </c>
      <c r="F14" s="18"/>
      <c r="G14" s="2">
        <v>211</v>
      </c>
      <c r="H14" s="2">
        <v>9</v>
      </c>
      <c r="I14" s="2">
        <v>232</v>
      </c>
      <c r="J14" s="2"/>
      <c r="K14" s="19">
        <v>52976.03</v>
      </c>
      <c r="L14" s="2"/>
      <c r="M14" s="2">
        <v>1219.27</v>
      </c>
      <c r="N14" s="2">
        <v>4.33</v>
      </c>
      <c r="O14" s="18"/>
      <c r="P14" s="17">
        <v>452.3</v>
      </c>
      <c r="Q14" s="17"/>
      <c r="R14" s="17">
        <v>321.08</v>
      </c>
      <c r="S14" s="17"/>
      <c r="T14" s="17"/>
      <c r="U14" s="17"/>
      <c r="V14" s="17"/>
      <c r="W14" s="17">
        <f>R14+V14</f>
        <v>321.08</v>
      </c>
      <c r="X14" s="17">
        <v>223.19</v>
      </c>
      <c r="Y14" s="16"/>
      <c r="Z14">
        <f>K14/(100*102)</f>
        <v>5.1937284313725485</v>
      </c>
      <c r="AA14">
        <f>W14/(100*102)*100*100*10000/1000</f>
        <v>3147.8431372549021</v>
      </c>
      <c r="AB14">
        <f>P14/(100*102)*100*100*10000/1000</f>
        <v>4434.3137254901958</v>
      </c>
      <c r="AC14">
        <f>X14/(100*102)*100*100*10000/1000</f>
        <v>2188.1372549019611</v>
      </c>
      <c r="AD14">
        <f>SUM(P14,W14,X14)/(100*102)*100*100*10000/1000</f>
        <v>9770.2941176470595</v>
      </c>
      <c r="AE14">
        <f>M14/10</f>
        <v>121.92699999999999</v>
      </c>
      <c r="AF14">
        <f>K14/W14</f>
        <v>164.99324155973591</v>
      </c>
      <c r="AG14" s="15">
        <v>2</v>
      </c>
      <c r="AI14">
        <f>G14/E14</f>
        <v>30.142857142857142</v>
      </c>
      <c r="AJ14">
        <f>H14/E14</f>
        <v>1.2857142857142858</v>
      </c>
      <c r="AK14">
        <f>I14/E14</f>
        <v>33.142857142857146</v>
      </c>
      <c r="AL14">
        <f>W14/E14</f>
        <v>45.868571428571428</v>
      </c>
      <c r="AM14">
        <f>P14/E14</f>
        <v>64.614285714285714</v>
      </c>
      <c r="AN14">
        <f>SUM(P14,W14,X14)/E14</f>
        <v>142.36714285714285</v>
      </c>
      <c r="AO14">
        <f>(W14/1000)/(1.016*1)*10000</f>
        <v>3160.2362204724404</v>
      </c>
      <c r="AP14">
        <f>(P14/1000)/(1.016*1)*10000</f>
        <v>4451.7716535433074</v>
      </c>
      <c r="AQ14">
        <f>(X14/1000)/(1.016*1)*10000</f>
        <v>2196.751968503937</v>
      </c>
      <c r="AR14">
        <f>SUM(AO14:AQ14)</f>
        <v>9808.7598425196848</v>
      </c>
      <c r="AS14">
        <f>K14/(100*101.6)</f>
        <v>5.2141761811023617</v>
      </c>
      <c r="AT14" s="6">
        <f>N14</f>
        <v>4.33</v>
      </c>
    </row>
    <row r="15" spans="2:46" ht="34.9" customHeight="1" thickBot="1" x14ac:dyDescent="0.35">
      <c r="B15" s="8"/>
      <c r="C15" s="14" t="s">
        <v>50</v>
      </c>
      <c r="D15" s="47">
        <v>41844</v>
      </c>
      <c r="E15" s="3">
        <v>11</v>
      </c>
      <c r="F15" s="12"/>
      <c r="G15" s="3">
        <v>112</v>
      </c>
      <c r="H15" s="3">
        <v>6</v>
      </c>
      <c r="I15" s="3">
        <v>229</v>
      </c>
      <c r="J15" s="3"/>
      <c r="K15" s="13">
        <v>47508.27</v>
      </c>
      <c r="L15" s="3"/>
      <c r="M15" s="3">
        <v>1109.92</v>
      </c>
      <c r="N15" s="3">
        <v>4.57</v>
      </c>
      <c r="O15" s="12"/>
      <c r="P15" s="11">
        <v>403.87</v>
      </c>
      <c r="Q15" s="11"/>
      <c r="R15" s="11">
        <v>294.17</v>
      </c>
      <c r="S15" s="11"/>
      <c r="T15" s="11"/>
      <c r="U15" s="11"/>
      <c r="V15" s="11"/>
      <c r="W15" s="11">
        <f>R15+V15</f>
        <v>294.17</v>
      </c>
      <c r="X15" s="11">
        <v>233.94</v>
      </c>
      <c r="Y15" s="10"/>
      <c r="Z15">
        <f>K15/(100*102)</f>
        <v>4.6576735294117642</v>
      </c>
      <c r="AA15">
        <f>W15/(100*102)*100*100*10000/1000</f>
        <v>2884.0196078431372</v>
      </c>
      <c r="AB15">
        <f>P15/(100*102)*100*100*10000/1000</f>
        <v>3959.5098039215691</v>
      </c>
      <c r="AC15">
        <f>X15/(100*102)*100*100*10000/1000</f>
        <v>2293.5294117647059</v>
      </c>
      <c r="AD15">
        <f>SUM(P15,W15,X15)/(100*102)*100*100*10000/1000</f>
        <v>9137.0588235294108</v>
      </c>
      <c r="AE15">
        <f>M15/10</f>
        <v>110.992</v>
      </c>
      <c r="AF15">
        <f>K15/W15</f>
        <v>161.49937111194205</v>
      </c>
      <c r="AG15" s="8"/>
      <c r="AI15">
        <f>G15/E15</f>
        <v>10.181818181818182</v>
      </c>
      <c r="AJ15">
        <f>H15/E15</f>
        <v>0.54545454545454541</v>
      </c>
      <c r="AK15">
        <f>I15/E15</f>
        <v>20.818181818181817</v>
      </c>
      <c r="AL15">
        <f>W15/E15</f>
        <v>26.742727272727276</v>
      </c>
      <c r="AM15">
        <f>P15/E15</f>
        <v>36.715454545454548</v>
      </c>
      <c r="AN15">
        <f>SUM(P15,W15,X15)/E15</f>
        <v>84.725454545454554</v>
      </c>
      <c r="AO15">
        <f>(W15/1000)/(1.016*1)*10000</f>
        <v>2895.374015748032</v>
      </c>
      <c r="AP15">
        <f>(P15/1000)/(1.016*1)*10000</f>
        <v>3975.0984251968503</v>
      </c>
      <c r="AQ15">
        <f>(X15/1000)/(1.016*1)*10000</f>
        <v>2302.5590551181103</v>
      </c>
      <c r="AR15">
        <f>SUM(AO15:AQ15)</f>
        <v>9173.031496062993</v>
      </c>
      <c r="AS15">
        <f>K15/(100*101.6)</f>
        <v>4.6760108267716536</v>
      </c>
      <c r="AT15" s="6">
        <f>N15</f>
        <v>4.57</v>
      </c>
    </row>
    <row r="16" spans="2:46" ht="34.9" customHeight="1" x14ac:dyDescent="0.25">
      <c r="B16" s="15">
        <v>3</v>
      </c>
      <c r="C16" s="20" t="s">
        <v>51</v>
      </c>
      <c r="D16" s="48">
        <v>41842</v>
      </c>
      <c r="E16" s="2">
        <v>12</v>
      </c>
      <c r="F16" s="18"/>
      <c r="G16" s="2">
        <v>151</v>
      </c>
      <c r="H16" s="2">
        <v>14</v>
      </c>
      <c r="I16" s="2">
        <v>92</v>
      </c>
      <c r="J16" s="2"/>
      <c r="K16" s="54">
        <v>42814.15</v>
      </c>
      <c r="L16" s="2"/>
      <c r="M16" s="2">
        <v>1216.1099999999999</v>
      </c>
      <c r="N16" s="2">
        <v>4.76</v>
      </c>
      <c r="O16" s="18"/>
      <c r="P16" s="17">
        <v>337.92</v>
      </c>
      <c r="Q16" s="17"/>
      <c r="R16" s="17">
        <v>238.86</v>
      </c>
      <c r="S16" s="17"/>
      <c r="T16" s="17"/>
      <c r="U16" s="17"/>
      <c r="V16" s="17"/>
      <c r="W16" s="17">
        <f>R16+V16</f>
        <v>238.86</v>
      </c>
      <c r="X16" s="17">
        <v>70.03</v>
      </c>
      <c r="Y16" s="53" t="s">
        <v>91</v>
      </c>
      <c r="Z16">
        <f>K16/(100*102)</f>
        <v>4.1974656862745103</v>
      </c>
      <c r="AA16">
        <f>W16/(100*102)*100*100*10000/1000</f>
        <v>2341.7647058823532</v>
      </c>
      <c r="AB16">
        <f>P16/(100*102)*100*100*10000/1000</f>
        <v>3312.9411764705887</v>
      </c>
      <c r="AC16">
        <f>X16/(100*102)*100*100*10000/1000</f>
        <v>686.56862745098033</v>
      </c>
      <c r="AD16">
        <f>SUM(P16,W16,X16)/(100*102)*100*100*10000/1000</f>
        <v>6341.2745098039222</v>
      </c>
      <c r="AE16">
        <f>M16/10</f>
        <v>121.61099999999999</v>
      </c>
      <c r="AF16">
        <f>K16/W16</f>
        <v>179.24369923804738</v>
      </c>
      <c r="AG16" s="15">
        <v>3</v>
      </c>
      <c r="AI16">
        <f>G16/E16</f>
        <v>12.583333333333334</v>
      </c>
      <c r="AJ16">
        <f>H16/E16</f>
        <v>1.1666666666666667</v>
      </c>
      <c r="AK16">
        <f>I16/E16</f>
        <v>7.666666666666667</v>
      </c>
      <c r="AL16">
        <f>W16/E16</f>
        <v>19.905000000000001</v>
      </c>
      <c r="AM16">
        <f>P16/E16</f>
        <v>28.16</v>
      </c>
      <c r="AN16">
        <f>SUM(P16,W16,X16)/E16</f>
        <v>53.900833333333331</v>
      </c>
      <c r="AO16">
        <f>(W16/1000)/(1.016*1)*10000</f>
        <v>2350.9842519685039</v>
      </c>
      <c r="AP16">
        <f>(P16/1000)/(1.016*1)*10000</f>
        <v>3325.9842519685039</v>
      </c>
      <c r="AQ16">
        <f>(X16/1000)/(1.016*1)*10000</f>
        <v>689.27165354330702</v>
      </c>
      <c r="AR16">
        <f>SUM(AO16:AQ16)</f>
        <v>6366.2401574803152</v>
      </c>
      <c r="AS16">
        <f>K16/(100*101.6)</f>
        <v>4.2139911417322837</v>
      </c>
      <c r="AT16" s="6">
        <f>N16</f>
        <v>4.76</v>
      </c>
    </row>
    <row r="17" spans="2:46" ht="34.9" customHeight="1" thickBot="1" x14ac:dyDescent="0.3">
      <c r="B17" s="8"/>
      <c r="C17" s="14" t="s">
        <v>50</v>
      </c>
      <c r="D17" s="47">
        <v>41842</v>
      </c>
      <c r="E17" s="3">
        <v>10</v>
      </c>
      <c r="F17" s="12"/>
      <c r="G17" s="3">
        <v>173</v>
      </c>
      <c r="H17" s="3">
        <v>27</v>
      </c>
      <c r="I17" s="3">
        <v>185</v>
      </c>
      <c r="J17" s="3"/>
      <c r="K17" s="52">
        <v>55813.58</v>
      </c>
      <c r="L17" s="3"/>
      <c r="M17" s="51" t="s">
        <v>90</v>
      </c>
      <c r="N17" s="50">
        <v>5.23</v>
      </c>
      <c r="O17" s="12"/>
      <c r="P17" s="11">
        <v>353.51</v>
      </c>
      <c r="Q17" s="11"/>
      <c r="R17" s="11">
        <v>304.75</v>
      </c>
      <c r="S17" s="11"/>
      <c r="T17" s="11"/>
      <c r="U17" s="11"/>
      <c r="V17" s="11"/>
      <c r="W17" s="11">
        <f>R17+V17</f>
        <v>304.75</v>
      </c>
      <c r="X17" s="11">
        <v>181.44</v>
      </c>
      <c r="Y17" s="49"/>
      <c r="Z17">
        <f>K17/(100*102)</f>
        <v>5.4719196078431374</v>
      </c>
      <c r="AA17">
        <f>W17/(100*102)*100*100*10000/1000</f>
        <v>2987.7450980392155</v>
      </c>
      <c r="AB17">
        <f>P17/(100*102)*100*100*10000/1000</f>
        <v>3465.7843137254899</v>
      </c>
      <c r="AC17">
        <f>X17/(100*102)*100*100*10000/1000</f>
        <v>1778.8235294117646</v>
      </c>
      <c r="AD17">
        <f>SUM(P17,W17,X17)/(100*102)*100*100*10000/1000</f>
        <v>8232.3529411764703</v>
      </c>
      <c r="AF17">
        <f>K17/W17</f>
        <v>183.14546349466778</v>
      </c>
      <c r="AG17" s="8"/>
      <c r="AI17">
        <f>G17/E17</f>
        <v>17.3</v>
      </c>
      <c r="AJ17">
        <f>H17/E17</f>
        <v>2.7</v>
      </c>
      <c r="AK17">
        <f>I17/E17</f>
        <v>18.5</v>
      </c>
      <c r="AL17">
        <f>W17/E17</f>
        <v>30.475000000000001</v>
      </c>
      <c r="AM17">
        <f>P17/E17</f>
        <v>35.350999999999999</v>
      </c>
      <c r="AN17">
        <f>SUM(P17,W17,X17)/E17</f>
        <v>83.97</v>
      </c>
      <c r="AO17">
        <f>(W17/1000)/(1.016*1)*10000</f>
        <v>2999.5078740157483</v>
      </c>
      <c r="AP17">
        <f>(P17/1000)/(1.016*1)*10000</f>
        <v>3479.429133858268</v>
      </c>
      <c r="AQ17">
        <f>(X17/1000)/(1.016*1)*10000</f>
        <v>1785.8267716535431</v>
      </c>
      <c r="AR17">
        <f>SUM(AO17:AQ17)</f>
        <v>8264.7637795275587</v>
      </c>
      <c r="AS17">
        <f>K17/(100*101.6)</f>
        <v>5.4934625984251975</v>
      </c>
      <c r="AT17" s="6">
        <f>N17</f>
        <v>5.23</v>
      </c>
    </row>
    <row r="18" spans="2:46" s="21" customFormat="1" ht="34.9" customHeight="1" x14ac:dyDescent="0.3">
      <c r="B18" s="15">
        <v>6</v>
      </c>
      <c r="C18" s="20" t="s">
        <v>51</v>
      </c>
      <c r="D18" s="48">
        <v>41842</v>
      </c>
      <c r="E18" s="2">
        <v>13</v>
      </c>
      <c r="F18" s="18"/>
      <c r="G18" s="2">
        <v>99</v>
      </c>
      <c r="H18" s="2">
        <v>9</v>
      </c>
      <c r="I18" s="2">
        <v>126</v>
      </c>
      <c r="J18" s="2"/>
      <c r="K18" s="19">
        <v>20080.2</v>
      </c>
      <c r="L18" s="2"/>
      <c r="M18" s="2">
        <v>775.43</v>
      </c>
      <c r="N18" s="2">
        <v>2.5099999999999998</v>
      </c>
      <c r="O18" s="18"/>
      <c r="P18" s="17">
        <v>229.51</v>
      </c>
      <c r="Q18" s="17"/>
      <c r="R18" s="17">
        <v>200.58</v>
      </c>
      <c r="S18" s="17"/>
      <c r="T18" s="17"/>
      <c r="U18" s="17"/>
      <c r="V18" s="17"/>
      <c r="W18" s="17">
        <f>R18+V18</f>
        <v>200.58</v>
      </c>
      <c r="X18" s="17">
        <v>126.27</v>
      </c>
      <c r="Y18" s="16"/>
      <c r="Z18">
        <f>K18/(100*102)</f>
        <v>1.9686470588235294</v>
      </c>
      <c r="AA18">
        <f>W18/(100*102)*100*100*10000/1000</f>
        <v>1966.4705882352941</v>
      </c>
      <c r="AB18">
        <f>P18/(100*102)*100*100*10000/1000</f>
        <v>2250.0980392156862</v>
      </c>
      <c r="AC18">
        <f>X18/(100*102)*100*100*10000/1000</f>
        <v>1237.9411764705883</v>
      </c>
      <c r="AD18">
        <f>SUM(P18,W18,X18)/(100*102)*100*100*10000/1000</f>
        <v>5454.5098039215682</v>
      </c>
      <c r="AE18">
        <f>M18/10</f>
        <v>77.542999999999992</v>
      </c>
      <c r="AF18">
        <f>K18/W18</f>
        <v>100.11067903081064</v>
      </c>
      <c r="AG18" s="15">
        <v>6</v>
      </c>
      <c r="AH18" s="22"/>
      <c r="AI18">
        <f>G18/E18</f>
        <v>7.615384615384615</v>
      </c>
      <c r="AJ18">
        <f>H18/E18</f>
        <v>0.69230769230769229</v>
      </c>
      <c r="AK18">
        <f>I18/E18</f>
        <v>9.6923076923076916</v>
      </c>
      <c r="AL18">
        <f>W18/E18</f>
        <v>15.42923076923077</v>
      </c>
      <c r="AM18">
        <f>P18/E18</f>
        <v>17.654615384615383</v>
      </c>
      <c r="AN18">
        <f>SUM(P18,W18,X18)/E18</f>
        <v>42.796923076923079</v>
      </c>
      <c r="AO18">
        <f>(W18/1000)/(1.016*1)*10000</f>
        <v>1974.2125984251968</v>
      </c>
      <c r="AP18">
        <f>(P18/1000)/(1.016*1)*10000</f>
        <v>2258.9566929133857</v>
      </c>
      <c r="AQ18">
        <f>(X18/1000)/(1.016*1)*10000</f>
        <v>1242.8149606299212</v>
      </c>
      <c r="AR18">
        <f>SUM(AO18:AQ18)</f>
        <v>5475.9842519685035</v>
      </c>
      <c r="AS18">
        <f>K18/(100*101.6)</f>
        <v>1.9763976377952757</v>
      </c>
      <c r="AT18" s="6">
        <f>N18</f>
        <v>2.5099999999999998</v>
      </c>
    </row>
    <row r="19" spans="2:46" ht="34.9" customHeight="1" thickBot="1" x14ac:dyDescent="0.35">
      <c r="B19" s="8"/>
      <c r="C19" s="14" t="s">
        <v>50</v>
      </c>
      <c r="D19" s="47">
        <v>41842</v>
      </c>
      <c r="E19" s="3">
        <v>8</v>
      </c>
      <c r="F19" s="12"/>
      <c r="G19" s="3">
        <v>96</v>
      </c>
      <c r="H19" s="3">
        <v>10</v>
      </c>
      <c r="I19" s="3">
        <v>128</v>
      </c>
      <c r="J19" s="3"/>
      <c r="K19" s="13">
        <v>21660.7</v>
      </c>
      <c r="L19" s="3"/>
      <c r="M19" s="3">
        <v>735.48</v>
      </c>
      <c r="N19" s="3">
        <v>2.39</v>
      </c>
      <c r="O19" s="12"/>
      <c r="P19" s="11">
        <v>205.12</v>
      </c>
      <c r="Q19" s="11"/>
      <c r="R19" s="11">
        <v>176.23</v>
      </c>
      <c r="S19" s="11"/>
      <c r="T19" s="11"/>
      <c r="U19" s="11"/>
      <c r="V19" s="11"/>
      <c r="W19" s="11">
        <f>R19+V19</f>
        <v>176.23</v>
      </c>
      <c r="X19" s="11">
        <v>111.89</v>
      </c>
      <c r="Y19" s="10"/>
      <c r="Z19">
        <f>K19/(100*102)</f>
        <v>2.1235980392156861</v>
      </c>
      <c r="AA19">
        <f>W19/(100*102)*100*100*10000/1000</f>
        <v>1727.7450980392155</v>
      </c>
      <c r="AB19">
        <f>P19/(100*102)*100*100*10000/1000</f>
        <v>2010.980392156863</v>
      </c>
      <c r="AC19">
        <f>X19/(100*102)*100*100*10000/1000</f>
        <v>1096.9607843137253</v>
      </c>
      <c r="AD19">
        <f>SUM(P19,W19,X19)/(100*102)*100*100*10000/1000</f>
        <v>4835.6862745098042</v>
      </c>
      <c r="AE19">
        <f>M19/10</f>
        <v>73.548000000000002</v>
      </c>
      <c r="AF19">
        <f>K19/W19</f>
        <v>122.9115360608296</v>
      </c>
      <c r="AG19" s="8"/>
      <c r="AI19">
        <f>G19/E19</f>
        <v>12</v>
      </c>
      <c r="AJ19">
        <f>H19/E19</f>
        <v>1.25</v>
      </c>
      <c r="AK19">
        <f>I19/E19</f>
        <v>16</v>
      </c>
      <c r="AL19">
        <f>W19/E19</f>
        <v>22.028749999999999</v>
      </c>
      <c r="AM19">
        <f>P19/E19</f>
        <v>25.64</v>
      </c>
      <c r="AN19">
        <f>SUM(P19,W19,X19)/E19</f>
        <v>61.655000000000001</v>
      </c>
      <c r="AO19">
        <f>(W19/1000)/(1.016*1)*10000</f>
        <v>1734.5472440944882</v>
      </c>
      <c r="AP19">
        <f>(P19/1000)/(1.016*1)*10000</f>
        <v>2018.8976377952756</v>
      </c>
      <c r="AQ19">
        <f>(X19/1000)/(1.016*1)*10000</f>
        <v>1101.2795275590552</v>
      </c>
      <c r="AR19">
        <f>SUM(AO19:AQ19)</f>
        <v>4854.7244094488187</v>
      </c>
      <c r="AS19">
        <f>K19/(100*101.6)</f>
        <v>2.1319586614173227</v>
      </c>
      <c r="AT19" s="6">
        <f>N19</f>
        <v>2.39</v>
      </c>
    </row>
    <row r="20" spans="2:46" ht="34.9" customHeight="1" x14ac:dyDescent="0.3">
      <c r="B20" s="15">
        <v>7</v>
      </c>
      <c r="C20" s="20" t="s">
        <v>51</v>
      </c>
      <c r="D20" s="48">
        <v>41843</v>
      </c>
      <c r="E20" s="2">
        <v>13</v>
      </c>
      <c r="F20" s="18"/>
      <c r="G20" s="2">
        <v>175</v>
      </c>
      <c r="H20" s="2">
        <v>14</v>
      </c>
      <c r="I20" s="2">
        <v>135</v>
      </c>
      <c r="J20" s="2"/>
      <c r="K20" s="19">
        <v>55381.55</v>
      </c>
      <c r="L20" s="2"/>
      <c r="M20" s="2">
        <v>1096.8399999999999</v>
      </c>
      <c r="N20" s="2">
        <v>4.8499999999999996</v>
      </c>
      <c r="O20" s="18"/>
      <c r="P20" s="17">
        <v>400.21</v>
      </c>
      <c r="Q20" s="17"/>
      <c r="R20" s="17">
        <v>311.25</v>
      </c>
      <c r="S20" s="17"/>
      <c r="T20" s="17"/>
      <c r="U20" s="17"/>
      <c r="V20" s="17"/>
      <c r="W20" s="17">
        <f>R20+V20</f>
        <v>311.25</v>
      </c>
      <c r="X20" s="17">
        <v>123.62</v>
      </c>
      <c r="Y20" s="16"/>
      <c r="Z20">
        <f>K20/(100*102)</f>
        <v>5.4295637254901967</v>
      </c>
      <c r="AA20">
        <f>W20/(100*102)*100*100*10000/1000</f>
        <v>3051.4705882352941</v>
      </c>
      <c r="AB20">
        <f>P20/(100*102)*100*100*10000/1000</f>
        <v>3923.6274509803925</v>
      </c>
      <c r="AC20">
        <f>X20/(100*102)*100*100*10000/1000</f>
        <v>1211.9607843137253</v>
      </c>
      <c r="AD20">
        <f>SUM(P20,W20,X20)/(100*102)*100*100*10000/1000</f>
        <v>8187.0588235294117</v>
      </c>
      <c r="AE20">
        <f>M20/10</f>
        <v>109.684</v>
      </c>
      <c r="AF20">
        <f>K20/W20</f>
        <v>177.93269076305222</v>
      </c>
      <c r="AG20" s="15">
        <v>7</v>
      </c>
      <c r="AI20">
        <f>G20/E20</f>
        <v>13.461538461538462</v>
      </c>
      <c r="AJ20">
        <f>H20/E20</f>
        <v>1.0769230769230769</v>
      </c>
      <c r="AK20">
        <f>I20/E20</f>
        <v>10.384615384615385</v>
      </c>
      <c r="AL20">
        <f>W20/E20</f>
        <v>23.942307692307693</v>
      </c>
      <c r="AM20">
        <f>P20/E20</f>
        <v>30.785384615384615</v>
      </c>
      <c r="AN20">
        <f>SUM(P20,W20,X20)/E20</f>
        <v>64.236923076923077</v>
      </c>
      <c r="AO20">
        <f>(W20/1000)/(1.016*1)*10000</f>
        <v>3063.4842519685039</v>
      </c>
      <c r="AP20">
        <f>(P20/1000)/(1.016*1)*10000</f>
        <v>3939.0748031496059</v>
      </c>
      <c r="AQ20">
        <f>(X20/1000)/(1.016*1)*10000</f>
        <v>1216.732283464567</v>
      </c>
      <c r="AR20">
        <f>SUM(AO20:AQ20)</f>
        <v>8219.2913385826778</v>
      </c>
      <c r="AS20">
        <f>K20/(100*101.6)</f>
        <v>5.4509399606299214</v>
      </c>
      <c r="AT20" s="6">
        <f>N20</f>
        <v>4.8499999999999996</v>
      </c>
    </row>
    <row r="21" spans="2:46" ht="34.9" customHeight="1" thickBot="1" x14ac:dyDescent="0.35">
      <c r="B21" s="8"/>
      <c r="C21" s="14" t="s">
        <v>50</v>
      </c>
      <c r="D21" s="47">
        <v>41843</v>
      </c>
      <c r="E21" s="3">
        <v>10</v>
      </c>
      <c r="F21" s="12"/>
      <c r="G21" s="3">
        <v>155</v>
      </c>
      <c r="H21" s="3">
        <v>6</v>
      </c>
      <c r="I21" s="3">
        <v>124</v>
      </c>
      <c r="J21" s="3"/>
      <c r="K21" s="13">
        <v>47290.53</v>
      </c>
      <c r="L21" s="3"/>
      <c r="M21" s="3">
        <v>1182.81</v>
      </c>
      <c r="N21" s="3">
        <v>5.1100000000000003</v>
      </c>
      <c r="O21" s="12"/>
      <c r="P21" s="11">
        <v>347.21</v>
      </c>
      <c r="Q21" s="11"/>
      <c r="R21" s="11">
        <v>257.94</v>
      </c>
      <c r="S21" s="11"/>
      <c r="T21" s="11"/>
      <c r="U21" s="11"/>
      <c r="V21" s="11"/>
      <c r="W21" s="11">
        <f>R21+V21</f>
        <v>257.94</v>
      </c>
      <c r="X21" s="11">
        <v>95.05</v>
      </c>
      <c r="Y21" s="10"/>
      <c r="Z21">
        <f>K21/(100*102)</f>
        <v>4.6363264705882354</v>
      </c>
      <c r="AA21">
        <f>W21/(100*102)*100*100*10000/1000</f>
        <v>2528.8235294117649</v>
      </c>
      <c r="AB21">
        <f>P21/(100*102)*100*100*10000/1000</f>
        <v>3404.0196078431363</v>
      </c>
      <c r="AC21">
        <f>X21/(100*102)*100*100*10000/1000</f>
        <v>931.862745098039</v>
      </c>
      <c r="AD21">
        <f>SUM(P21,W21,X21)/(100*102)*100*100*10000/1000</f>
        <v>6864.7058823529405</v>
      </c>
      <c r="AE21">
        <f>M21/10</f>
        <v>118.28099999999999</v>
      </c>
      <c r="AF21">
        <f>K21/W21</f>
        <v>183.33926494533611</v>
      </c>
      <c r="AG21" s="8"/>
      <c r="AI21">
        <f>G21/E21</f>
        <v>15.5</v>
      </c>
      <c r="AJ21">
        <f>H21/E21</f>
        <v>0.6</v>
      </c>
      <c r="AK21">
        <f>I21/E21</f>
        <v>12.4</v>
      </c>
      <c r="AL21">
        <f>W21/E21</f>
        <v>25.794</v>
      </c>
      <c r="AM21">
        <f>P21/E21</f>
        <v>34.720999999999997</v>
      </c>
      <c r="AN21">
        <f>SUM(P21,W21,X21)/E21</f>
        <v>70.02</v>
      </c>
      <c r="AO21">
        <f>(W21/1000)/(1.016*1)*10000</f>
        <v>2538.7795275590552</v>
      </c>
      <c r="AP21">
        <f>(P21/1000)/(1.016*1)*10000</f>
        <v>3417.4212598425192</v>
      </c>
      <c r="AQ21">
        <f>(X21/1000)/(1.016*1)*10000</f>
        <v>935.53149606299212</v>
      </c>
      <c r="AR21">
        <f>SUM(AO21:AQ21)</f>
        <v>6891.7322834645665</v>
      </c>
      <c r="AS21">
        <f>K21/(100*101.6)</f>
        <v>4.6545797244094489</v>
      </c>
      <c r="AT21" s="6">
        <f>N21</f>
        <v>5.1100000000000003</v>
      </c>
    </row>
    <row r="22" spans="2:46" ht="34.9" customHeight="1" x14ac:dyDescent="0.3">
      <c r="B22" s="15">
        <v>10</v>
      </c>
      <c r="C22" s="20" t="s">
        <v>51</v>
      </c>
      <c r="D22" s="48">
        <v>41843</v>
      </c>
      <c r="E22" s="2">
        <v>10</v>
      </c>
      <c r="F22" s="18"/>
      <c r="G22" s="2">
        <v>113</v>
      </c>
      <c r="H22" s="2">
        <v>15</v>
      </c>
      <c r="I22" s="2">
        <v>104</v>
      </c>
      <c r="J22" s="2"/>
      <c r="K22" s="19">
        <v>33533.11</v>
      </c>
      <c r="L22" s="2"/>
      <c r="M22" s="2">
        <v>889.07</v>
      </c>
      <c r="N22" s="2">
        <v>4.2699999999999996</v>
      </c>
      <c r="O22" s="18"/>
      <c r="P22" s="17">
        <v>296.36</v>
      </c>
      <c r="Q22" s="17"/>
      <c r="R22" s="17">
        <v>225.87</v>
      </c>
      <c r="S22" s="17"/>
      <c r="T22" s="17"/>
      <c r="U22" s="17"/>
      <c r="V22" s="17"/>
      <c r="W22" s="17">
        <f>R22+V22</f>
        <v>225.87</v>
      </c>
      <c r="X22" s="17">
        <v>107.31</v>
      </c>
      <c r="Y22" s="16"/>
      <c r="Z22">
        <f>K22/(100*102)</f>
        <v>3.2875598039215688</v>
      </c>
      <c r="AA22">
        <f>W22/(100*102)*100*100*10000/1000</f>
        <v>2214.4117647058824</v>
      </c>
      <c r="AB22">
        <f>P22/(100*102)*100*100*10000/1000</f>
        <v>2905.4901960784314</v>
      </c>
      <c r="AC22">
        <f>X22/(100*102)*100*100*10000/1000</f>
        <v>1052.0588235294117</v>
      </c>
      <c r="AD22">
        <f>SUM(P22,W22,X22)/(100*102)*100*100*10000/1000</f>
        <v>6171.9607843137264</v>
      </c>
      <c r="AE22">
        <f>M22/10</f>
        <v>88.907000000000011</v>
      </c>
      <c r="AF22">
        <f>K22/W22</f>
        <v>148.46199141098862</v>
      </c>
      <c r="AG22" s="15">
        <v>10</v>
      </c>
      <c r="AI22">
        <f>G22/E22</f>
        <v>11.3</v>
      </c>
      <c r="AJ22">
        <f>H22/E22</f>
        <v>1.5</v>
      </c>
      <c r="AK22">
        <f>I22/E22</f>
        <v>10.4</v>
      </c>
      <c r="AL22">
        <f>W22/E22</f>
        <v>22.587</v>
      </c>
      <c r="AM22">
        <f>P22/E22</f>
        <v>29.636000000000003</v>
      </c>
      <c r="AN22">
        <f>SUM(P22,W22,X22)/E22</f>
        <v>62.953999999999994</v>
      </c>
      <c r="AO22">
        <f>(W22/1000)/(1.016*1)*10000</f>
        <v>2223.1299212598428</v>
      </c>
      <c r="AP22">
        <f>(P22/1000)/(1.016*1)*10000</f>
        <v>2916.9291338582675</v>
      </c>
      <c r="AQ22">
        <f>(X22/1000)/(1.016*1)*10000</f>
        <v>1056.2007874015749</v>
      </c>
      <c r="AR22">
        <f>SUM(AO22:AQ22)</f>
        <v>6196.2598425196848</v>
      </c>
      <c r="AS22">
        <f>K22/(100*101.6)</f>
        <v>3.3005029527559056</v>
      </c>
      <c r="AT22" s="6">
        <f>N22</f>
        <v>4.2699999999999996</v>
      </c>
    </row>
    <row r="23" spans="2:46" ht="34.9" customHeight="1" thickBot="1" x14ac:dyDescent="0.35">
      <c r="B23" s="8"/>
      <c r="C23" s="14" t="s">
        <v>50</v>
      </c>
      <c r="D23" s="47">
        <v>41843</v>
      </c>
      <c r="E23" s="3">
        <v>16</v>
      </c>
      <c r="F23" s="12"/>
      <c r="G23" s="3">
        <v>153</v>
      </c>
      <c r="H23" s="3">
        <v>19</v>
      </c>
      <c r="I23" s="3">
        <v>183</v>
      </c>
      <c r="J23" s="3"/>
      <c r="K23" s="13">
        <v>49812.15</v>
      </c>
      <c r="L23" s="3"/>
      <c r="M23" s="3">
        <v>1015.46</v>
      </c>
      <c r="N23" s="3">
        <v>5.12</v>
      </c>
      <c r="O23" s="12"/>
      <c r="P23" s="11">
        <v>381</v>
      </c>
      <c r="Q23" s="11"/>
      <c r="R23" s="11">
        <v>296.42</v>
      </c>
      <c r="S23" s="11"/>
      <c r="T23" s="11"/>
      <c r="U23" s="11"/>
      <c r="V23" s="11"/>
      <c r="W23" s="11">
        <f>R23+V23</f>
        <v>296.42</v>
      </c>
      <c r="X23" s="11">
        <v>135.93</v>
      </c>
      <c r="Y23" s="10"/>
      <c r="Z23">
        <f>K23/(100*102)</f>
        <v>4.8835441176470589</v>
      </c>
      <c r="AA23">
        <f>W23/(100*102)*100*100*10000/1000</f>
        <v>2906.0784313725494</v>
      </c>
      <c r="AB23">
        <f>P23/(100*102)*100*100*10000/1000</f>
        <v>3735.2941176470595</v>
      </c>
      <c r="AC23">
        <f>X23/(100*102)*100*100*10000/1000</f>
        <v>1332.6470588235297</v>
      </c>
      <c r="AD23">
        <f>SUM(P23,W23,X23)/(100*102)*100*100*10000/1000</f>
        <v>7974.0196078431381</v>
      </c>
      <c r="AE23">
        <f>M23/10</f>
        <v>101.54600000000001</v>
      </c>
      <c r="AF23">
        <f>K23/W23</f>
        <v>168.04584710883205</v>
      </c>
      <c r="AG23" s="8"/>
      <c r="AI23">
        <f>G23/E23</f>
        <v>9.5625</v>
      </c>
      <c r="AJ23">
        <f>H23/E23</f>
        <v>1.1875</v>
      </c>
      <c r="AK23">
        <f>I23/E23</f>
        <v>11.4375</v>
      </c>
      <c r="AL23">
        <f>W23/E23</f>
        <v>18.526250000000001</v>
      </c>
      <c r="AM23">
        <f>P23/E23</f>
        <v>23.8125</v>
      </c>
      <c r="AN23">
        <f>SUM(P23,W23,X23)/E23</f>
        <v>50.834375000000009</v>
      </c>
      <c r="AO23">
        <f>(W23/1000)/(1.016*1)*10000</f>
        <v>2917.5196850393704</v>
      </c>
      <c r="AP23">
        <f>(P23/1000)/(1.016*1)*10000</f>
        <v>3750</v>
      </c>
      <c r="AQ23">
        <f>(X23/1000)/(1.016*1)*10000</f>
        <v>1337.8937007874015</v>
      </c>
      <c r="AR23">
        <f>SUM(AO23:AQ23)</f>
        <v>8005.4133858267724</v>
      </c>
      <c r="AS23">
        <f>K23/(100*101.6)</f>
        <v>4.9027706692913391</v>
      </c>
      <c r="AT23" s="6">
        <f>N23</f>
        <v>5.12</v>
      </c>
    </row>
    <row r="24" spans="2:46" ht="34.9" customHeight="1" x14ac:dyDescent="0.3">
      <c r="B24" s="15">
        <v>11</v>
      </c>
      <c r="C24" s="20" t="s">
        <v>51</v>
      </c>
      <c r="D24" s="48">
        <v>41844</v>
      </c>
      <c r="E24" s="2">
        <v>19</v>
      </c>
      <c r="F24" s="18"/>
      <c r="G24" s="2">
        <v>152</v>
      </c>
      <c r="H24" s="2">
        <v>8</v>
      </c>
      <c r="I24" s="2">
        <v>99</v>
      </c>
      <c r="J24" s="2"/>
      <c r="K24" s="19">
        <v>45093.209000000003</v>
      </c>
      <c r="L24" s="2"/>
      <c r="M24" s="2">
        <v>938.44</v>
      </c>
      <c r="N24" s="2">
        <v>4.66</v>
      </c>
      <c r="O24" s="18"/>
      <c r="P24" s="17">
        <v>378.57</v>
      </c>
      <c r="Q24" s="17"/>
      <c r="R24" s="17">
        <v>285.52</v>
      </c>
      <c r="S24" s="17"/>
      <c r="T24" s="17"/>
      <c r="U24" s="17"/>
      <c r="V24" s="17"/>
      <c r="W24" s="17">
        <f>R24+V24</f>
        <v>285.52</v>
      </c>
      <c r="X24" s="17">
        <v>90.17</v>
      </c>
      <c r="Y24" s="16"/>
      <c r="Z24">
        <f>K24/(100*102)</f>
        <v>4.420902843137255</v>
      </c>
      <c r="AA24">
        <f>W24/(100*102)*100*100*10000/1000</f>
        <v>2799.2156862745096</v>
      </c>
      <c r="AB24">
        <f>P24/(100*102)*100*100*10000/1000</f>
        <v>3711.4705882352941</v>
      </c>
      <c r="AC24">
        <f>X24/(100*102)*100*100*10000/1000</f>
        <v>884.01960784313735</v>
      </c>
      <c r="AD24">
        <f>SUM(P24,W24,X24)/(100*102)*100*100*10000/1000</f>
        <v>7394.7058823529387</v>
      </c>
      <c r="AE24">
        <f>M24/10</f>
        <v>93.844000000000008</v>
      </c>
      <c r="AF24">
        <f>K24/W24</f>
        <v>157.93362636592886</v>
      </c>
      <c r="AG24" s="15">
        <v>11</v>
      </c>
      <c r="AI24">
        <f>G24/E24</f>
        <v>8</v>
      </c>
      <c r="AJ24">
        <f>H24/E24</f>
        <v>0.42105263157894735</v>
      </c>
      <c r="AK24">
        <f>I24/E24</f>
        <v>5.2105263157894735</v>
      </c>
      <c r="AL24">
        <f>W24/E24</f>
        <v>15.02736842105263</v>
      </c>
      <c r="AM24">
        <f>P24/E24</f>
        <v>19.924736842105261</v>
      </c>
      <c r="AN24">
        <f>SUM(P24,W24,X24)/E24</f>
        <v>39.697894736842102</v>
      </c>
      <c r="AO24">
        <f>(W24/1000)/(1.016*1)*10000</f>
        <v>2810.2362204724409</v>
      </c>
      <c r="AP24">
        <f>(P24/1000)/(1.016*1)*10000</f>
        <v>3726.0826771653542</v>
      </c>
      <c r="AQ24">
        <f>(X24/1000)/(1.016*1)*10000</f>
        <v>887.5</v>
      </c>
      <c r="AR24">
        <f>SUM(AO24:AQ24)</f>
        <v>7423.8188976377951</v>
      </c>
      <c r="AS24">
        <f>K24/(100*101.6)</f>
        <v>4.4383079724409455</v>
      </c>
      <c r="AT24" s="6">
        <f>N24</f>
        <v>4.66</v>
      </c>
    </row>
    <row r="25" spans="2:46" ht="34.9" customHeight="1" thickBot="1" x14ac:dyDescent="0.35">
      <c r="B25" s="8"/>
      <c r="C25" s="14" t="s">
        <v>50</v>
      </c>
      <c r="D25" s="47">
        <v>41844</v>
      </c>
      <c r="E25" s="3">
        <v>15</v>
      </c>
      <c r="F25" s="12"/>
      <c r="G25" s="3">
        <v>92</v>
      </c>
      <c r="H25" s="3">
        <v>10</v>
      </c>
      <c r="I25" s="3">
        <v>134</v>
      </c>
      <c r="J25" s="3"/>
      <c r="K25" s="13">
        <v>76946.31</v>
      </c>
      <c r="L25" s="3"/>
      <c r="M25" s="3">
        <v>893.06</v>
      </c>
      <c r="N25" s="3">
        <v>3.87</v>
      </c>
      <c r="O25" s="12"/>
      <c r="P25" s="11">
        <v>272.79000000000002</v>
      </c>
      <c r="Q25" s="11"/>
      <c r="R25" s="11">
        <v>228.65</v>
      </c>
      <c r="S25" s="11"/>
      <c r="T25" s="11"/>
      <c r="U25" s="11"/>
      <c r="V25" s="11"/>
      <c r="W25" s="11">
        <f>R25+V25</f>
        <v>228.65</v>
      </c>
      <c r="X25" s="11">
        <v>103.37</v>
      </c>
      <c r="Y25" s="10"/>
      <c r="Z25">
        <f>K25/(100*102)</f>
        <v>7.5437558823529409</v>
      </c>
      <c r="AA25">
        <f>W25/(100*102)*100*100*10000/1000</f>
        <v>2241.6666666666665</v>
      </c>
      <c r="AB25">
        <f>P25/(100*102)*100*100*10000/1000</f>
        <v>2674.4117647058824</v>
      </c>
      <c r="AC25">
        <f>X25/(100*102)*100*100*10000/1000</f>
        <v>1013.4313725490197</v>
      </c>
      <c r="AD25">
        <f>SUM(P25,W25,X25)/(100*102)*100*100*10000/1000</f>
        <v>5929.5098039215691</v>
      </c>
      <c r="AE25">
        <f>M25/10</f>
        <v>89.305999999999997</v>
      </c>
      <c r="AF25">
        <f>K25/W25</f>
        <v>336.52442597856987</v>
      </c>
      <c r="AG25" s="8"/>
      <c r="AI25">
        <f>G25/E25</f>
        <v>6.1333333333333337</v>
      </c>
      <c r="AJ25">
        <f>H25/E25</f>
        <v>0.66666666666666663</v>
      </c>
      <c r="AK25">
        <f>I25/E25</f>
        <v>8.9333333333333336</v>
      </c>
      <c r="AL25">
        <f>W25/E25</f>
        <v>15.243333333333334</v>
      </c>
      <c r="AM25">
        <f>P25/E25</f>
        <v>18.186</v>
      </c>
      <c r="AN25">
        <f>SUM(P25,W25,X25)/E25</f>
        <v>40.320666666666668</v>
      </c>
      <c r="AO25">
        <f>(W25/1000)/(1.016*1)*10000</f>
        <v>2250.4921259842517</v>
      </c>
      <c r="AP25">
        <f>(P25/1000)/(1.016*1)*10000</f>
        <v>2684.9409448818901</v>
      </c>
      <c r="AQ25">
        <f>(X25/1000)/(1.016*1)*10000</f>
        <v>1017.4212598425197</v>
      </c>
      <c r="AR25">
        <f>SUM(AO25:AQ25)</f>
        <v>5952.854330708662</v>
      </c>
      <c r="AS25">
        <f>K25/(100*101.6)</f>
        <v>7.5734557086614167</v>
      </c>
      <c r="AT25" s="6">
        <f>N25</f>
        <v>3.87</v>
      </c>
    </row>
    <row r="26" spans="2:46" ht="14.25" customHeight="1" x14ac:dyDescent="0.25"/>
    <row r="27" spans="2:46" ht="14.25" customHeight="1" x14ac:dyDescent="0.25">
      <c r="E27">
        <f>AVERAGE(E12:E25)</f>
        <v>11.357142857142858</v>
      </c>
    </row>
    <row r="28" spans="2:46" ht="14.25" customHeight="1" x14ac:dyDescent="0.25">
      <c r="N28" s="4">
        <f>AVERAGE(N12:N13,N18:N19)</f>
        <v>2.355</v>
      </c>
      <c r="Y28" t="s">
        <v>49</v>
      </c>
      <c r="Z28" s="4">
        <f>AVERAGE(Z12:Z13,Z18:Z19)</f>
        <v>2.1852134803921568</v>
      </c>
      <c r="AA28" s="7">
        <f>AVERAGE(AA12:AA13,AA18:AA19)</f>
        <v>1751.6176470588234</v>
      </c>
      <c r="AB28" s="7">
        <f>AVERAGE(AB12:AB13,AB18:AB19)</f>
        <v>1928.3333333333333</v>
      </c>
      <c r="AC28" s="7">
        <f>AVERAGE(AC12:AC13,AC18:AC19)</f>
        <v>1244.3382352941176</v>
      </c>
      <c r="AD28" s="7">
        <f>AVERAGE(AD12:AD13,AD18:AD19)</f>
        <v>4924.2892156862745</v>
      </c>
      <c r="AE28" s="7">
        <f>AVERAGE(AE12:AE13,AE18:AE19)</f>
        <v>76.442499999999995</v>
      </c>
      <c r="AF28" s="7">
        <f>AVERAGE(AF12:AF13,AF18:AF19)</f>
        <v>126.06132990908262</v>
      </c>
    </row>
    <row r="29" spans="2:46" ht="14.25" customHeight="1" x14ac:dyDescent="0.25">
      <c r="N29" s="4">
        <f>AVERAGE(N16:N17,N20:N21)</f>
        <v>4.9874999999999998</v>
      </c>
      <c r="Y29" t="s">
        <v>48</v>
      </c>
      <c r="Z29" s="4">
        <f>AVERAGE(Z16:Z17,Z20:Z21)</f>
        <v>4.9338188725490202</v>
      </c>
      <c r="AA29" s="7">
        <f>AVERAGE(AA16:AA17,AA20:AA21)</f>
        <v>2727.4509803921565</v>
      </c>
      <c r="AB29" s="7">
        <f>AVERAGE(AB16:AB17,AB20:AB21)</f>
        <v>3526.5931372549021</v>
      </c>
      <c r="AC29" s="7">
        <f>AVERAGE(AC16:AC17,AC20:AC21)</f>
        <v>1152.3039215686274</v>
      </c>
      <c r="AD29" s="7">
        <f>AVERAGE(AD16:AD17,AD20:AD21)</f>
        <v>7406.3480392156862</v>
      </c>
      <c r="AE29" s="7">
        <f>AVERAGE(AE16:AE17,AE20:AE21)</f>
        <v>116.52533333333332</v>
      </c>
      <c r="AF29" s="7">
        <f>AVERAGE(AF16:AF17,AF20:AF21)</f>
        <v>180.91527961027586</v>
      </c>
    </row>
    <row r="30" spans="2:46" ht="14.25" customHeight="1" x14ac:dyDescent="0.25">
      <c r="N30" s="4">
        <f>AVERAGE(N22:N23,N14:N15)</f>
        <v>4.5724999999999998</v>
      </c>
      <c r="Y30" t="s">
        <v>47</v>
      </c>
      <c r="Z30" s="4">
        <f>AVERAGE(Z22:Z23,Z14:Z15)</f>
        <v>4.5056264705882354</v>
      </c>
      <c r="AA30" s="7">
        <f>AVERAGE(AA22:AA23,AA14:AA15)</f>
        <v>2788.088235294118</v>
      </c>
      <c r="AB30" s="7">
        <f>AVERAGE(AB22:AB23,AB14:AB15)</f>
        <v>3758.6519607843138</v>
      </c>
      <c r="AC30" s="7">
        <f>AVERAGE(AC22:AC23,AC14:AC15)</f>
        <v>1716.5931372549021</v>
      </c>
      <c r="AD30" s="7">
        <f>AVERAGE(AD22:AD23,AD14:AD15)</f>
        <v>8263.3333333333339</v>
      </c>
      <c r="AE30" s="7">
        <f>AVERAGE(AE22:AE23,AE14:AE15)</f>
        <v>105.843</v>
      </c>
      <c r="AF30" s="7">
        <f>AVERAGE(AF22:AF23,AF14:AF15)</f>
        <v>160.75011279787466</v>
      </c>
    </row>
    <row r="31" spans="2:46" ht="14.25" customHeight="1" x14ac:dyDescent="0.25">
      <c r="Z31" s="4"/>
      <c r="AA31" s="4"/>
      <c r="AB31" s="4"/>
      <c r="AC31" s="4"/>
      <c r="AE31" s="7"/>
      <c r="AF31" s="7"/>
    </row>
    <row r="32" spans="2:46" ht="14.25" customHeight="1" x14ac:dyDescent="0.25">
      <c r="Y32" t="s">
        <v>49</v>
      </c>
      <c r="Z32" s="4">
        <f>AVERAGE(Z12:Z13)</f>
        <v>2.324304411764706</v>
      </c>
      <c r="AA32" s="4"/>
      <c r="AB32" s="4"/>
      <c r="AC32" s="4"/>
      <c r="AD32" s="7">
        <f>AVERAGE(AD12:AD13)</f>
        <v>4703.4803921568628</v>
      </c>
      <c r="AE32" s="7">
        <f>AVERAGE(AE28:AE30)</f>
        <v>99.603611111111107</v>
      </c>
      <c r="AF32" s="7">
        <f>AVERAGE(AF28:AF30)</f>
        <v>155.90890743907769</v>
      </c>
    </row>
    <row r="33" spans="25:30" ht="14.25" customHeight="1" x14ac:dyDescent="0.25">
      <c r="Y33" t="s">
        <v>48</v>
      </c>
      <c r="Z33" s="4">
        <f>AVERAGE(Z16:Z17)</f>
        <v>4.8346926470588238</v>
      </c>
      <c r="AA33" s="4"/>
      <c r="AB33" s="4"/>
      <c r="AC33" s="4"/>
      <c r="AD33" s="7">
        <f>AVERAGE(AD16:AD17)</f>
        <v>7286.8137254901958</v>
      </c>
    </row>
    <row r="34" spans="25:30" ht="14.25" customHeight="1" x14ac:dyDescent="0.25">
      <c r="Y34" t="s">
        <v>47</v>
      </c>
      <c r="Z34" s="4">
        <f>AVERAGE(Z14:Z15)</f>
        <v>4.9257009803921559</v>
      </c>
      <c r="AA34" s="4"/>
      <c r="AB34" s="4"/>
      <c r="AC34" s="4"/>
      <c r="AD34" s="7">
        <f>AVERAGE(AD14:AD15)</f>
        <v>9453.6764705882342</v>
      </c>
    </row>
    <row r="35" spans="25:30" ht="14.25" customHeight="1" x14ac:dyDescent="0.25">
      <c r="Z35" s="4"/>
      <c r="AA35" s="4"/>
      <c r="AB35" s="4"/>
      <c r="AC35" s="4"/>
      <c r="AD35" s="7"/>
    </row>
    <row r="36" spans="25:30" ht="14.25" customHeight="1" x14ac:dyDescent="0.25">
      <c r="Y36" t="s">
        <v>49</v>
      </c>
      <c r="Z36" s="4">
        <f>AVERAGE(Z18:Z19)</f>
        <v>2.046122549019608</v>
      </c>
      <c r="AA36" s="4"/>
      <c r="AB36" s="4"/>
      <c r="AC36" s="4"/>
      <c r="AD36" s="7">
        <f>AVERAGE(AD18:AD19)</f>
        <v>5145.0980392156862</v>
      </c>
    </row>
    <row r="37" spans="25:30" ht="14.25" customHeight="1" x14ac:dyDescent="0.25">
      <c r="Y37" t="s">
        <v>48</v>
      </c>
      <c r="Z37" s="4">
        <f>AVERAGE(Z20:Z21)</f>
        <v>5.0329450980392156</v>
      </c>
      <c r="AA37" s="4"/>
      <c r="AB37" s="4"/>
      <c r="AC37" s="4"/>
      <c r="AD37" s="7">
        <f>AVERAGE(AD20:AD21)</f>
        <v>7525.8823529411766</v>
      </c>
    </row>
    <row r="38" spans="25:30" ht="14.25" customHeight="1" x14ac:dyDescent="0.25">
      <c r="Y38" t="s">
        <v>47</v>
      </c>
      <c r="Z38" s="4">
        <f>AVERAGE(Z22:Z23)</f>
        <v>4.085551960784314</v>
      </c>
      <c r="AA38" s="4"/>
      <c r="AB38" s="4"/>
      <c r="AC38" s="4"/>
      <c r="AD38" s="7">
        <f>AVERAGE(AD22:AD23)</f>
        <v>7072.9901960784318</v>
      </c>
    </row>
    <row r="39" spans="25:30" ht="14.25" customHeight="1" x14ac:dyDescent="0.25"/>
    <row r="40" spans="25:30" ht="14.25" customHeight="1" x14ac:dyDescent="0.25"/>
    <row r="41" spans="25:30" ht="14.25" customHeight="1" x14ac:dyDescent="0.25"/>
    <row r="42" spans="25:30" ht="14.25" customHeight="1" x14ac:dyDescent="0.25"/>
    <row r="43" spans="25:30" ht="14.25" customHeight="1" x14ac:dyDescent="0.25"/>
    <row r="44" spans="25:30" ht="14.25" customHeight="1" x14ac:dyDescent="0.25"/>
    <row r="45" spans="25:30" ht="14.25" customHeight="1" x14ac:dyDescent="0.25"/>
    <row r="46" spans="25:30" ht="14.25" customHeight="1" x14ac:dyDescent="0.25"/>
    <row r="47" spans="25:30" ht="14.25" customHeight="1" x14ac:dyDescent="0.25"/>
    <row r="48" spans="25:30"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sheetData>
  <mergeCells count="15">
    <mergeCell ref="AG24:AG25"/>
    <mergeCell ref="AG12:AG13"/>
    <mergeCell ref="AG14:AG15"/>
    <mergeCell ref="AG16:AG17"/>
    <mergeCell ref="AG18:AG19"/>
    <mergeCell ref="AG20:AG21"/>
    <mergeCell ref="AG22:AG23"/>
    <mergeCell ref="B24:B25"/>
    <mergeCell ref="Y16:Y17"/>
    <mergeCell ref="B12:B13"/>
    <mergeCell ref="B14:B15"/>
    <mergeCell ref="B16:B17"/>
    <mergeCell ref="B18:B19"/>
    <mergeCell ref="B20:B21"/>
    <mergeCell ref="B22:B23"/>
  </mergeCells>
  <printOptions horizontalCentered="1"/>
  <pageMargins left="0.18" right="0.18" top="0.75" bottom="0.75" header="0.3" footer="0.3"/>
  <pageSetup scale="4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D074E-BB7F-49D8-938D-DC60EE6F7ACE}">
  <sheetPr>
    <pageSetUpPr fitToPage="1"/>
  </sheetPr>
  <dimension ref="A1:O70"/>
  <sheetViews>
    <sheetView zoomScale="70" zoomScaleNormal="70" zoomScaleSheetLayoutView="70" workbookViewId="0">
      <selection activeCell="F36" sqref="F36"/>
    </sheetView>
  </sheetViews>
  <sheetFormatPr defaultColWidth="8.85546875" defaultRowHeight="15" x14ac:dyDescent="0.25"/>
  <cols>
    <col min="1" max="1" width="9.140625" customWidth="1"/>
    <col min="2" max="2" width="7.42578125" customWidth="1"/>
    <col min="3" max="3" width="13.7109375" style="78" customWidth="1"/>
    <col min="4" max="5" width="16.7109375" style="78" customWidth="1"/>
    <col min="6" max="8" width="16.7109375" customWidth="1"/>
    <col min="9" max="9" width="0.85546875" customWidth="1"/>
    <col min="10" max="14" width="16.7109375" customWidth="1"/>
    <col min="15" max="15" width="32.42578125" customWidth="1"/>
    <col min="16" max="16" width="8.7109375" customWidth="1"/>
  </cols>
  <sheetData>
    <row r="1" spans="1:15" ht="18.75" x14ac:dyDescent="0.3">
      <c r="B1" s="27">
        <v>2014</v>
      </c>
      <c r="C1" s="73" t="s">
        <v>89</v>
      </c>
      <c r="D1" s="117"/>
      <c r="E1" s="117"/>
      <c r="F1" s="117"/>
      <c r="G1" s="117"/>
      <c r="H1" s="117"/>
      <c r="I1" s="117"/>
      <c r="J1" s="117"/>
      <c r="K1" s="117"/>
      <c r="L1" s="117"/>
      <c r="M1" s="117"/>
      <c r="N1" s="117"/>
    </row>
    <row r="2" spans="1:15" ht="18.75" x14ac:dyDescent="0.3">
      <c r="A2" s="117"/>
      <c r="B2" s="117"/>
      <c r="C2" s="73" t="s">
        <v>88</v>
      </c>
      <c r="E2" s="73" t="s">
        <v>87</v>
      </c>
      <c r="F2" s="117"/>
      <c r="G2" s="117"/>
      <c r="H2" s="117"/>
      <c r="I2" s="117"/>
      <c r="J2" s="117"/>
      <c r="K2" s="117"/>
      <c r="L2" s="117"/>
      <c r="M2" s="117"/>
      <c r="N2" s="117"/>
    </row>
    <row r="3" spans="1:15" ht="18.75" x14ac:dyDescent="0.3">
      <c r="C3" s="73"/>
    </row>
    <row r="4" spans="1:15" ht="15.75" x14ac:dyDescent="0.25">
      <c r="C4" s="117" t="s">
        <v>139</v>
      </c>
      <c r="D4" s="117"/>
      <c r="F4" s="116"/>
      <c r="G4" s="116"/>
      <c r="H4" s="119" t="s">
        <v>138</v>
      </c>
      <c r="I4" s="119"/>
      <c r="J4" s="40">
        <v>41842</v>
      </c>
      <c r="K4" s="114" t="s">
        <v>137</v>
      </c>
      <c r="L4" s="118" t="s">
        <v>142</v>
      </c>
    </row>
    <row r="5" spans="1:15" ht="15.75" x14ac:dyDescent="0.25">
      <c r="C5" s="117"/>
      <c r="D5" s="117" t="s">
        <v>135</v>
      </c>
      <c r="F5" s="116"/>
      <c r="G5" s="116"/>
      <c r="H5" s="116"/>
      <c r="I5" s="116"/>
      <c r="J5" t="s">
        <v>98</v>
      </c>
      <c r="K5" s="114" t="s">
        <v>134</v>
      </c>
      <c r="L5" s="30" t="s">
        <v>141</v>
      </c>
    </row>
    <row r="6" spans="1:15" ht="17.45" customHeight="1" x14ac:dyDescent="0.3">
      <c r="C6" s="73"/>
      <c r="D6" s="73"/>
      <c r="F6" s="116"/>
      <c r="G6" s="116"/>
      <c r="H6" s="116"/>
      <c r="I6" s="116"/>
      <c r="J6" s="115"/>
      <c r="K6" s="115"/>
      <c r="N6" s="114"/>
    </row>
    <row r="7" spans="1:15" ht="21" x14ac:dyDescent="0.35">
      <c r="D7" s="113" t="s">
        <v>132</v>
      </c>
      <c r="E7" s="112"/>
      <c r="F7" s="111"/>
      <c r="G7" s="111"/>
      <c r="H7" s="111"/>
      <c r="I7" s="108"/>
      <c r="J7" s="113" t="s">
        <v>131</v>
      </c>
      <c r="K7" s="112"/>
      <c r="L7" s="111"/>
      <c r="M7" s="111"/>
      <c r="N7" s="110"/>
    </row>
    <row r="8" spans="1:15" ht="50.45" customHeight="1" thickBot="1" x14ac:dyDescent="0.3">
      <c r="D8" s="109" t="s">
        <v>130</v>
      </c>
      <c r="E8" s="106" t="s">
        <v>129</v>
      </c>
      <c r="F8" s="105" t="s">
        <v>128</v>
      </c>
      <c r="G8" s="104" t="s">
        <v>127</v>
      </c>
      <c r="H8" s="144" t="s">
        <v>126</v>
      </c>
      <c r="I8" s="108"/>
      <c r="J8" s="109" t="s">
        <v>130</v>
      </c>
      <c r="K8" s="106" t="s">
        <v>129</v>
      </c>
      <c r="L8" s="105" t="s">
        <v>128</v>
      </c>
      <c r="M8" s="104" t="s">
        <v>127</v>
      </c>
      <c r="N8" s="103" t="s">
        <v>126</v>
      </c>
      <c r="O8" s="102" t="s">
        <v>55</v>
      </c>
    </row>
    <row r="9" spans="1:15" ht="49.9" customHeight="1" thickBot="1" x14ac:dyDescent="0.3">
      <c r="B9" s="143" t="s">
        <v>125</v>
      </c>
      <c r="C9" s="142" t="s">
        <v>49</v>
      </c>
      <c r="D9" s="140">
        <v>71</v>
      </c>
      <c r="E9" s="139">
        <v>66</v>
      </c>
      <c r="F9" s="138">
        <v>70</v>
      </c>
      <c r="G9" s="137">
        <v>67</v>
      </c>
      <c r="H9" s="141">
        <v>39</v>
      </c>
      <c r="I9" s="99"/>
      <c r="J9" s="140">
        <v>72</v>
      </c>
      <c r="K9" s="139">
        <v>67</v>
      </c>
      <c r="L9" s="138">
        <v>75</v>
      </c>
      <c r="M9" s="137">
        <v>63</v>
      </c>
      <c r="N9" s="136">
        <v>38</v>
      </c>
      <c r="O9" s="80" t="s">
        <v>140</v>
      </c>
    </row>
    <row r="10" spans="1:15" ht="49.9" customHeight="1" thickBot="1" x14ac:dyDescent="0.3">
      <c r="B10" s="135" t="s">
        <v>123</v>
      </c>
      <c r="C10" s="134" t="s">
        <v>47</v>
      </c>
      <c r="D10" s="132">
        <v>94</v>
      </c>
      <c r="E10" s="131">
        <v>98</v>
      </c>
      <c r="F10" s="130">
        <v>84</v>
      </c>
      <c r="G10" s="129">
        <v>83</v>
      </c>
      <c r="H10" s="133">
        <v>36</v>
      </c>
      <c r="I10" s="92"/>
      <c r="J10" s="132">
        <v>102</v>
      </c>
      <c r="K10" s="131">
        <v>111</v>
      </c>
      <c r="L10" s="130">
        <v>89</v>
      </c>
      <c r="M10" s="129">
        <v>87</v>
      </c>
      <c r="N10" s="128">
        <v>42</v>
      </c>
      <c r="O10" s="80" t="s">
        <v>140</v>
      </c>
    </row>
    <row r="11" spans="1:15" ht="49.9" customHeight="1" thickBot="1" x14ac:dyDescent="0.3">
      <c r="B11" s="135" t="s">
        <v>121</v>
      </c>
      <c r="C11" s="134" t="s">
        <v>116</v>
      </c>
      <c r="D11" s="132">
        <v>104</v>
      </c>
      <c r="E11" s="131">
        <v>119</v>
      </c>
      <c r="F11" s="130">
        <v>83</v>
      </c>
      <c r="G11" s="129">
        <v>87</v>
      </c>
      <c r="H11" s="133">
        <v>40</v>
      </c>
      <c r="I11" s="92"/>
      <c r="J11" s="132">
        <v>109</v>
      </c>
      <c r="K11" s="131">
        <v>112</v>
      </c>
      <c r="L11" s="130">
        <v>78</v>
      </c>
      <c r="M11" s="129">
        <v>85</v>
      </c>
      <c r="N11" s="128">
        <v>43</v>
      </c>
      <c r="O11" s="80" t="s">
        <v>140</v>
      </c>
    </row>
    <row r="12" spans="1:15" ht="49.9" customHeight="1" thickBot="1" x14ac:dyDescent="0.3">
      <c r="B12" s="135" t="s">
        <v>120</v>
      </c>
      <c r="C12" s="134" t="s">
        <v>49</v>
      </c>
      <c r="D12" s="132">
        <v>76</v>
      </c>
      <c r="E12" s="131">
        <v>84</v>
      </c>
      <c r="F12" s="130">
        <v>71</v>
      </c>
      <c r="G12" s="129">
        <v>66</v>
      </c>
      <c r="H12" s="133">
        <v>41</v>
      </c>
      <c r="I12" s="92"/>
      <c r="J12" s="132">
        <v>81</v>
      </c>
      <c r="K12" s="131">
        <v>79</v>
      </c>
      <c r="L12" s="130">
        <v>63</v>
      </c>
      <c r="M12" s="129">
        <v>65</v>
      </c>
      <c r="N12" s="128">
        <v>45</v>
      </c>
      <c r="O12" s="80" t="s">
        <v>140</v>
      </c>
    </row>
    <row r="13" spans="1:15" ht="49.9" customHeight="1" thickBot="1" x14ac:dyDescent="0.3">
      <c r="B13" s="135" t="s">
        <v>119</v>
      </c>
      <c r="C13" s="134" t="s">
        <v>116</v>
      </c>
      <c r="D13" s="132">
        <v>113</v>
      </c>
      <c r="E13" s="131">
        <v>103</v>
      </c>
      <c r="F13" s="130">
        <v>100</v>
      </c>
      <c r="G13" s="129">
        <v>82</v>
      </c>
      <c r="H13" s="133">
        <v>33</v>
      </c>
      <c r="I13" s="92"/>
      <c r="J13" s="132">
        <v>118</v>
      </c>
      <c r="K13" s="131">
        <v>108</v>
      </c>
      <c r="L13" s="130">
        <v>93</v>
      </c>
      <c r="M13" s="129">
        <v>82</v>
      </c>
      <c r="N13" s="128">
        <v>30</v>
      </c>
      <c r="O13" s="80" t="s">
        <v>140</v>
      </c>
    </row>
    <row r="14" spans="1:15" ht="49.9" customHeight="1" thickBot="1" x14ac:dyDescent="0.3">
      <c r="B14" s="135" t="s">
        <v>118</v>
      </c>
      <c r="C14" s="134" t="s">
        <v>47</v>
      </c>
      <c r="D14" s="132">
        <v>98</v>
      </c>
      <c r="E14" s="131">
        <v>94</v>
      </c>
      <c r="F14" s="130">
        <v>67</v>
      </c>
      <c r="G14" s="129">
        <v>70</v>
      </c>
      <c r="H14" s="133">
        <v>37</v>
      </c>
      <c r="I14" s="92"/>
      <c r="J14" s="132">
        <v>106</v>
      </c>
      <c r="K14" s="131">
        <v>101</v>
      </c>
      <c r="L14" s="130">
        <v>82</v>
      </c>
      <c r="M14" s="129">
        <v>91</v>
      </c>
      <c r="N14" s="128">
        <v>38</v>
      </c>
      <c r="O14" s="80" t="s">
        <v>140</v>
      </c>
    </row>
    <row r="15" spans="1:15" ht="49.9" customHeight="1" thickBot="1" x14ac:dyDescent="0.3">
      <c r="B15" s="127" t="s">
        <v>117</v>
      </c>
      <c r="C15" s="126" t="s">
        <v>116</v>
      </c>
      <c r="D15" s="124">
        <v>97</v>
      </c>
      <c r="E15" s="123">
        <v>98</v>
      </c>
      <c r="F15" s="122">
        <v>68</v>
      </c>
      <c r="G15" s="121">
        <v>75</v>
      </c>
      <c r="H15" s="125">
        <v>35</v>
      </c>
      <c r="I15" s="85"/>
      <c r="J15" s="124">
        <v>89</v>
      </c>
      <c r="K15" s="123">
        <v>91</v>
      </c>
      <c r="L15" s="122">
        <v>69</v>
      </c>
      <c r="M15" s="121">
        <v>77</v>
      </c>
      <c r="N15" s="120">
        <v>37</v>
      </c>
      <c r="O15" s="80" t="s">
        <v>140</v>
      </c>
    </row>
    <row r="16" spans="1:15" x14ac:dyDescent="0.25">
      <c r="J16" s="79"/>
      <c r="K16" s="79"/>
    </row>
    <row r="17" spans="7:12" x14ac:dyDescent="0.25">
      <c r="J17" s="79"/>
      <c r="K17" s="79"/>
    </row>
    <row r="18" spans="7:12" x14ac:dyDescent="0.25">
      <c r="J18" s="79"/>
      <c r="K18" s="79"/>
    </row>
    <row r="19" spans="7:12" x14ac:dyDescent="0.25">
      <c r="J19" s="79"/>
      <c r="K19" s="79"/>
    </row>
    <row r="20" spans="7:12" x14ac:dyDescent="0.25">
      <c r="G20" s="78">
        <f>AVERAGE(D9:E9)</f>
        <v>68.5</v>
      </c>
      <c r="H20">
        <f>AVERAGE(F9:G9)</f>
        <v>68.5</v>
      </c>
      <c r="J20" s="79"/>
      <c r="K20" s="78">
        <f>G20/100</f>
        <v>0.68500000000000005</v>
      </c>
      <c r="L20">
        <f>H20/100</f>
        <v>0.68500000000000005</v>
      </c>
    </row>
    <row r="21" spans="7:12" x14ac:dyDescent="0.25">
      <c r="G21" s="78">
        <f>AVERAGE(J9:K9)</f>
        <v>69.5</v>
      </c>
      <c r="H21">
        <f>AVERAGE(L9:M9)</f>
        <v>69</v>
      </c>
      <c r="J21" s="79"/>
      <c r="K21" s="78">
        <f>G21/100</f>
        <v>0.69499999999999995</v>
      </c>
      <c r="L21">
        <f>H21/100</f>
        <v>0.69</v>
      </c>
    </row>
    <row r="22" spans="7:12" x14ac:dyDescent="0.25">
      <c r="G22" s="78">
        <f>AVERAGE(D10:E10)</f>
        <v>96</v>
      </c>
      <c r="H22">
        <f>AVERAGE(F10:G10)</f>
        <v>83.5</v>
      </c>
      <c r="J22" s="79"/>
      <c r="K22" s="78">
        <f>G22/100</f>
        <v>0.96</v>
      </c>
      <c r="L22">
        <f>H22/100</f>
        <v>0.83499999999999996</v>
      </c>
    </row>
    <row r="23" spans="7:12" x14ac:dyDescent="0.25">
      <c r="G23" s="78">
        <f>AVERAGE(J10:K10)</f>
        <v>106.5</v>
      </c>
      <c r="H23">
        <f>AVERAGE(L10:M10)</f>
        <v>88</v>
      </c>
      <c r="J23" s="79"/>
      <c r="K23" s="78">
        <f>G23/100</f>
        <v>1.0649999999999999</v>
      </c>
      <c r="L23">
        <f>H23/100</f>
        <v>0.88</v>
      </c>
    </row>
    <row r="24" spans="7:12" x14ac:dyDescent="0.25">
      <c r="G24" s="78">
        <f>AVERAGE(D11:E11)</f>
        <v>111.5</v>
      </c>
      <c r="H24">
        <f>AVERAGE(F11:G11)</f>
        <v>85</v>
      </c>
      <c r="J24" s="79"/>
      <c r="K24" s="78">
        <f>G24/100</f>
        <v>1.115</v>
      </c>
      <c r="L24">
        <f>H24/100</f>
        <v>0.85</v>
      </c>
    </row>
    <row r="25" spans="7:12" x14ac:dyDescent="0.25">
      <c r="G25" s="78">
        <f>AVERAGE(J11:K11)</f>
        <v>110.5</v>
      </c>
      <c r="H25">
        <f>AVERAGE(L11:M11)</f>
        <v>81.5</v>
      </c>
      <c r="J25" s="79"/>
      <c r="K25" s="78">
        <f>G25/100</f>
        <v>1.105</v>
      </c>
      <c r="L25">
        <f>H25/100</f>
        <v>0.81499999999999995</v>
      </c>
    </row>
    <row r="26" spans="7:12" x14ac:dyDescent="0.25">
      <c r="G26" s="78">
        <f>AVERAGE(D12:E12)</f>
        <v>80</v>
      </c>
      <c r="H26">
        <f>AVERAGE(F12:G12)</f>
        <v>68.5</v>
      </c>
      <c r="J26" s="79"/>
      <c r="K26" s="78">
        <f>G26/100</f>
        <v>0.8</v>
      </c>
      <c r="L26">
        <f>H26/100</f>
        <v>0.68500000000000005</v>
      </c>
    </row>
    <row r="27" spans="7:12" x14ac:dyDescent="0.25">
      <c r="G27" s="78">
        <f>AVERAGE(J12:K12)</f>
        <v>80</v>
      </c>
      <c r="H27">
        <f>AVERAGE(L12:M12)</f>
        <v>64</v>
      </c>
      <c r="J27" s="79"/>
      <c r="K27" s="78">
        <f>G27/100</f>
        <v>0.8</v>
      </c>
      <c r="L27">
        <f>H27/100</f>
        <v>0.64</v>
      </c>
    </row>
    <row r="28" spans="7:12" x14ac:dyDescent="0.25">
      <c r="G28" s="78">
        <f>AVERAGE(D13:E13)</f>
        <v>108</v>
      </c>
      <c r="H28">
        <f>AVERAGE(F13:G13)</f>
        <v>91</v>
      </c>
      <c r="J28" s="79"/>
      <c r="K28" s="78">
        <f>G28/100</f>
        <v>1.08</v>
      </c>
      <c r="L28">
        <f>H28/100</f>
        <v>0.91</v>
      </c>
    </row>
    <row r="29" spans="7:12" x14ac:dyDescent="0.25">
      <c r="G29" s="78">
        <f>AVERAGE(J13:K13)</f>
        <v>113</v>
      </c>
      <c r="H29">
        <f>AVERAGE(L13:M13)</f>
        <v>87.5</v>
      </c>
      <c r="J29" s="79"/>
      <c r="K29" s="78">
        <f>G29/100</f>
        <v>1.1299999999999999</v>
      </c>
      <c r="L29">
        <f>H29/100</f>
        <v>0.875</v>
      </c>
    </row>
    <row r="30" spans="7:12" x14ac:dyDescent="0.25">
      <c r="G30" s="78">
        <f>AVERAGE(D14:E14)</f>
        <v>96</v>
      </c>
      <c r="H30">
        <f>AVERAGE(F14:G14)</f>
        <v>68.5</v>
      </c>
      <c r="J30" s="79"/>
      <c r="K30" s="78">
        <f>G30/100</f>
        <v>0.96</v>
      </c>
      <c r="L30">
        <f>H30/100</f>
        <v>0.68500000000000005</v>
      </c>
    </row>
    <row r="31" spans="7:12" x14ac:dyDescent="0.25">
      <c r="G31" s="78">
        <f>AVERAGE(J14:K14)</f>
        <v>103.5</v>
      </c>
      <c r="H31">
        <f>AVERAGE(L14:M14)</f>
        <v>86.5</v>
      </c>
      <c r="J31" s="79"/>
      <c r="K31" s="78">
        <f>G31/100</f>
        <v>1.0349999999999999</v>
      </c>
      <c r="L31">
        <f>H31/100</f>
        <v>0.86499999999999999</v>
      </c>
    </row>
    <row r="32" spans="7:12" x14ac:dyDescent="0.25">
      <c r="G32" s="78">
        <f>AVERAGE(D15:E15)</f>
        <v>97.5</v>
      </c>
      <c r="H32">
        <f>AVERAGE(F15:G15)</f>
        <v>71.5</v>
      </c>
      <c r="J32" s="79"/>
      <c r="K32" s="78">
        <f>G32/100</f>
        <v>0.97499999999999998</v>
      </c>
      <c r="L32">
        <f>H32/100</f>
        <v>0.71499999999999997</v>
      </c>
    </row>
    <row r="33" spans="7:12" x14ac:dyDescent="0.25">
      <c r="G33" s="78">
        <f>AVERAGE(J15:K15)</f>
        <v>90</v>
      </c>
      <c r="H33">
        <f>AVERAGE(L15:M15)</f>
        <v>73</v>
      </c>
      <c r="J33" s="79"/>
      <c r="K33" s="78">
        <f>G33/100</f>
        <v>0.9</v>
      </c>
      <c r="L33">
        <f>H33/100</f>
        <v>0.73</v>
      </c>
    </row>
    <row r="34" spans="7:12" x14ac:dyDescent="0.25">
      <c r="J34" s="79"/>
      <c r="K34" s="79"/>
    </row>
    <row r="35" spans="7:12" x14ac:dyDescent="0.25">
      <c r="J35" s="79"/>
      <c r="K35" s="79"/>
    </row>
    <row r="36" spans="7:12" x14ac:dyDescent="0.25">
      <c r="J36" s="79"/>
      <c r="K36" s="79"/>
    </row>
    <row r="37" spans="7:12" x14ac:dyDescent="0.25">
      <c r="J37" s="79"/>
      <c r="K37" s="79"/>
    </row>
    <row r="38" spans="7:12" x14ac:dyDescent="0.25">
      <c r="J38" s="79"/>
      <c r="K38" s="79"/>
    </row>
    <row r="39" spans="7:12" x14ac:dyDescent="0.25">
      <c r="J39" s="79"/>
      <c r="K39" s="79"/>
    </row>
    <row r="40" spans="7:12" x14ac:dyDescent="0.25">
      <c r="J40" s="79"/>
      <c r="K40" s="79"/>
    </row>
    <row r="41" spans="7:12" x14ac:dyDescent="0.25">
      <c r="J41" s="79"/>
      <c r="K41" s="79"/>
    </row>
    <row r="42" spans="7:12" x14ac:dyDescent="0.25">
      <c r="J42" s="79"/>
      <c r="K42" s="79"/>
    </row>
    <row r="43" spans="7:12" x14ac:dyDescent="0.25">
      <c r="J43" s="79"/>
      <c r="K43" s="79"/>
    </row>
    <row r="44" spans="7:12" x14ac:dyDescent="0.25">
      <c r="J44" s="79"/>
      <c r="K44" s="79"/>
    </row>
    <row r="45" spans="7:12" x14ac:dyDescent="0.25">
      <c r="J45" s="79"/>
      <c r="K45" s="79"/>
    </row>
    <row r="46" spans="7:12" x14ac:dyDescent="0.25">
      <c r="J46" s="79"/>
      <c r="K46" s="79"/>
    </row>
    <row r="47" spans="7:12" x14ac:dyDescent="0.25">
      <c r="J47" s="79"/>
      <c r="K47" s="79"/>
    </row>
    <row r="48" spans="7:12" x14ac:dyDescent="0.25">
      <c r="J48" s="79"/>
      <c r="K48" s="79"/>
    </row>
    <row r="49" spans="10:11" x14ac:dyDescent="0.25">
      <c r="J49" s="79"/>
      <c r="K49" s="79"/>
    </row>
    <row r="50" spans="10:11" x14ac:dyDescent="0.25">
      <c r="J50" s="79"/>
      <c r="K50" s="79"/>
    </row>
    <row r="51" spans="10:11" x14ac:dyDescent="0.25">
      <c r="J51" s="79"/>
      <c r="K51" s="79"/>
    </row>
    <row r="52" spans="10:11" x14ac:dyDescent="0.25">
      <c r="J52" s="79"/>
      <c r="K52" s="79"/>
    </row>
    <row r="53" spans="10:11" x14ac:dyDescent="0.25">
      <c r="J53" s="79"/>
      <c r="K53" s="79"/>
    </row>
    <row r="54" spans="10:11" x14ac:dyDescent="0.25">
      <c r="J54" s="79"/>
      <c r="K54" s="79"/>
    </row>
    <row r="55" spans="10:11" x14ac:dyDescent="0.25">
      <c r="J55" s="79"/>
      <c r="K55" s="79"/>
    </row>
    <row r="56" spans="10:11" x14ac:dyDescent="0.25">
      <c r="J56" s="79"/>
      <c r="K56" s="79"/>
    </row>
    <row r="57" spans="10:11" x14ac:dyDescent="0.25">
      <c r="J57" s="79"/>
      <c r="K57" s="79"/>
    </row>
    <row r="58" spans="10:11" x14ac:dyDescent="0.25">
      <c r="J58" s="79"/>
      <c r="K58" s="79"/>
    </row>
    <row r="59" spans="10:11" x14ac:dyDescent="0.25">
      <c r="J59" s="79"/>
      <c r="K59" s="79"/>
    </row>
    <row r="60" spans="10:11" x14ac:dyDescent="0.25">
      <c r="J60" s="79"/>
      <c r="K60" s="79"/>
    </row>
    <row r="61" spans="10:11" x14ac:dyDescent="0.25">
      <c r="J61" s="79"/>
      <c r="K61" s="79"/>
    </row>
    <row r="62" spans="10:11" x14ac:dyDescent="0.25">
      <c r="J62" s="79"/>
      <c r="K62" s="79"/>
    </row>
    <row r="63" spans="10:11" x14ac:dyDescent="0.25">
      <c r="J63" s="79"/>
      <c r="K63" s="79"/>
    </row>
    <row r="64" spans="10:11" x14ac:dyDescent="0.25">
      <c r="J64" s="79"/>
      <c r="K64" s="79"/>
    </row>
    <row r="65" spans="10:11" x14ac:dyDescent="0.25">
      <c r="J65" s="79"/>
      <c r="K65" s="79"/>
    </row>
    <row r="66" spans="10:11" x14ac:dyDescent="0.25">
      <c r="J66" s="79"/>
      <c r="K66" s="79"/>
    </row>
    <row r="67" spans="10:11" x14ac:dyDescent="0.25">
      <c r="J67" s="79"/>
      <c r="K67" s="79"/>
    </row>
    <row r="68" spans="10:11" x14ac:dyDescent="0.25">
      <c r="J68" s="79"/>
      <c r="K68" s="79"/>
    </row>
    <row r="69" spans="10:11" x14ac:dyDescent="0.25">
      <c r="J69" s="79"/>
      <c r="K69" s="79"/>
    </row>
    <row r="70" spans="10:11" x14ac:dyDescent="0.25">
      <c r="J70" s="79"/>
      <c r="K70" s="79"/>
    </row>
  </sheetData>
  <pageMargins left="0.25" right="0.25" top="0.5" bottom="1" header="0.3" footer="0.53"/>
  <pageSetup scale="60" orientation="landscape" r:id="rId1"/>
  <headerFooter>
    <oddFooter>&amp;R&amp;Z&amp;F
&amp;P of &amp;N
smm</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8FD4-ABBA-46EB-BC64-9441AA162306}">
  <dimension ref="A1:BC41"/>
  <sheetViews>
    <sheetView zoomScale="70" zoomScaleNormal="70" workbookViewId="0">
      <selection activeCell="AO43" sqref="AO43"/>
    </sheetView>
  </sheetViews>
  <sheetFormatPr defaultRowHeight="15" x14ac:dyDescent="0.25"/>
  <cols>
    <col min="1" max="1" width="3.85546875" customWidth="1"/>
    <col min="2" max="2" width="8.28515625" customWidth="1"/>
    <col min="3" max="3" width="10.7109375" customWidth="1"/>
    <col min="4" max="4" width="14.28515625" customWidth="1"/>
    <col min="5" max="5" width="1.5703125" customWidth="1"/>
    <col min="6" max="6" width="15" customWidth="1"/>
    <col min="7" max="7" width="14.85546875" customWidth="1"/>
    <col min="8" max="8" width="15.7109375" customWidth="1"/>
    <col min="9" max="9" width="24.140625" hidden="1" customWidth="1"/>
    <col min="10" max="10" width="26.85546875" customWidth="1"/>
    <col min="11" max="12" width="18.7109375" customWidth="1"/>
    <col min="13" max="13" width="1.5703125" customWidth="1"/>
    <col min="14" max="14" width="15.7109375" customWidth="1"/>
    <col min="15" max="15" width="15.7109375" hidden="1" customWidth="1"/>
    <col min="16" max="16" width="15.7109375" customWidth="1"/>
    <col min="17" max="17" width="15.7109375" hidden="1" customWidth="1"/>
    <col min="18" max="18" width="15.7109375" customWidth="1"/>
    <col min="19" max="19" width="15.7109375" hidden="1" customWidth="1"/>
    <col min="20" max="21" width="15.7109375" customWidth="1"/>
    <col min="22" max="22" width="15.7109375" hidden="1" customWidth="1"/>
    <col min="23" max="25" width="15.7109375" customWidth="1"/>
    <col min="26" max="26" width="19.42578125" customWidth="1"/>
  </cols>
  <sheetData>
    <row r="1" spans="1:55" ht="21" x14ac:dyDescent="0.35">
      <c r="B1" s="46">
        <v>2014</v>
      </c>
      <c r="C1" s="45" t="s">
        <v>89</v>
      </c>
      <c r="D1" s="45"/>
      <c r="E1" s="45"/>
      <c r="F1" s="44"/>
      <c r="G1" s="44"/>
      <c r="H1" s="44"/>
      <c r="I1" s="44"/>
      <c r="J1" s="44"/>
      <c r="K1" s="44"/>
      <c r="L1" s="44"/>
    </row>
    <row r="2" spans="1:55" ht="21" x14ac:dyDescent="0.35">
      <c r="B2" s="45"/>
      <c r="C2" s="45" t="s">
        <v>88</v>
      </c>
      <c r="D2" s="45"/>
      <c r="E2" s="45" t="s">
        <v>87</v>
      </c>
      <c r="F2" s="44"/>
      <c r="G2" s="44"/>
      <c r="H2" s="44"/>
      <c r="I2" s="44"/>
      <c r="J2" s="44"/>
      <c r="K2" s="44"/>
      <c r="L2" s="44"/>
    </row>
    <row r="4" spans="1:55" ht="15.75" x14ac:dyDescent="0.25">
      <c r="B4" s="23" t="s">
        <v>86</v>
      </c>
      <c r="C4" s="23"/>
      <c r="D4" s="23"/>
      <c r="E4" s="23"/>
      <c r="F4" s="23"/>
      <c r="G4" s="23"/>
      <c r="H4" s="23"/>
      <c r="I4" s="23"/>
      <c r="J4" s="23"/>
      <c r="K4" s="23"/>
      <c r="L4" s="23"/>
      <c r="M4" s="23"/>
      <c r="N4" s="23"/>
    </row>
    <row r="5" spans="1:55" ht="15.75" x14ac:dyDescent="0.25">
      <c r="B5" s="34"/>
      <c r="C5" s="32" t="s">
        <v>85</v>
      </c>
      <c r="D5" s="38">
        <v>41869</v>
      </c>
      <c r="E5" s="38" t="s">
        <v>112</v>
      </c>
      <c r="F5" s="37"/>
      <c r="G5" s="23"/>
      <c r="H5" s="23"/>
      <c r="I5" s="23"/>
      <c r="J5" s="23"/>
      <c r="K5" s="23"/>
      <c r="L5" s="23"/>
      <c r="M5" s="23"/>
      <c r="N5" s="23"/>
    </row>
    <row r="6" spans="1:55" ht="15.75" x14ac:dyDescent="0.25">
      <c r="B6" s="34"/>
      <c r="C6" s="32" t="s">
        <v>84</v>
      </c>
      <c r="D6" s="33" t="s">
        <v>110</v>
      </c>
      <c r="E6" s="33"/>
      <c r="F6" s="23"/>
      <c r="G6" s="23"/>
      <c r="H6" s="23"/>
      <c r="I6" s="23"/>
      <c r="J6" s="23"/>
      <c r="K6" s="23"/>
      <c r="L6" s="23"/>
      <c r="M6" s="23"/>
      <c r="N6" s="43" t="s">
        <v>82</v>
      </c>
      <c r="O6" s="42"/>
      <c r="P6" s="42"/>
    </row>
    <row r="7" spans="1:55" ht="15.75" x14ac:dyDescent="0.25">
      <c r="B7" s="34"/>
      <c r="C7" s="32"/>
      <c r="D7" s="23"/>
      <c r="E7" s="23"/>
      <c r="F7" s="23"/>
      <c r="G7" s="23"/>
      <c r="H7" s="23"/>
      <c r="I7" s="23"/>
      <c r="J7" s="23"/>
      <c r="K7" s="23"/>
      <c r="L7" s="23"/>
      <c r="M7" s="23"/>
      <c r="N7" s="32" t="s">
        <v>81</v>
      </c>
      <c r="O7" s="41"/>
      <c r="P7" s="40">
        <v>41887</v>
      </c>
    </row>
    <row r="8" spans="1:55" ht="15.75" x14ac:dyDescent="0.25">
      <c r="B8" s="34"/>
      <c r="C8" s="32" t="s">
        <v>80</v>
      </c>
      <c r="D8" s="39" t="s">
        <v>111</v>
      </c>
      <c r="E8" s="38"/>
      <c r="F8" s="37"/>
      <c r="G8" s="23"/>
      <c r="H8" s="23"/>
      <c r="I8" s="23"/>
      <c r="J8" s="23"/>
      <c r="K8" s="23"/>
      <c r="L8" s="23"/>
      <c r="M8" s="23"/>
      <c r="N8" s="32" t="s">
        <v>79</v>
      </c>
      <c r="O8" s="36"/>
      <c r="P8" s="35" t="s">
        <v>78</v>
      </c>
    </row>
    <row r="9" spans="1:55" ht="15.75" x14ac:dyDescent="0.25">
      <c r="B9" s="34"/>
      <c r="C9" s="32" t="s">
        <v>77</v>
      </c>
      <c r="D9" s="33" t="s">
        <v>110</v>
      </c>
      <c r="E9" s="33"/>
      <c r="F9" s="23"/>
      <c r="G9" s="23"/>
      <c r="H9" s="23"/>
      <c r="I9" s="23"/>
      <c r="J9" s="23"/>
      <c r="K9" s="23"/>
      <c r="L9" s="23"/>
      <c r="M9" s="23"/>
      <c r="N9" s="32" t="s">
        <v>75</v>
      </c>
      <c r="O9" s="31"/>
      <c r="P9" s="30" t="s">
        <v>74</v>
      </c>
    </row>
    <row r="10" spans="1:55" ht="18.75" x14ac:dyDescent="0.3">
      <c r="C10" s="29"/>
      <c r="D10" s="77" t="s">
        <v>109</v>
      </c>
      <c r="M10" s="28"/>
      <c r="N10" s="28"/>
      <c r="O10" s="28"/>
      <c r="P10" s="28"/>
      <c r="Q10" s="28"/>
      <c r="R10" s="28"/>
      <c r="S10" s="28"/>
      <c r="T10" s="76"/>
      <c r="U10" s="75" t="s">
        <v>108</v>
      </c>
      <c r="V10" s="74"/>
      <c r="W10" s="74"/>
      <c r="X10" s="74"/>
      <c r="Y10" s="73"/>
      <c r="Z10" s="28"/>
    </row>
    <row r="11" spans="1:55" ht="113.25" thickBot="1" x14ac:dyDescent="0.35">
      <c r="A11" s="23"/>
      <c r="B11" s="27" t="s">
        <v>73</v>
      </c>
      <c r="C11" s="27"/>
      <c r="D11" s="24" t="s">
        <v>71</v>
      </c>
      <c r="E11" s="26"/>
      <c r="F11" s="24" t="s">
        <v>70</v>
      </c>
      <c r="G11" s="24" t="s">
        <v>67</v>
      </c>
      <c r="H11" s="24" t="s">
        <v>68</v>
      </c>
      <c r="I11" s="24" t="s">
        <v>67</v>
      </c>
      <c r="J11" s="24" t="s">
        <v>66</v>
      </c>
      <c r="K11" s="24" t="s">
        <v>65</v>
      </c>
      <c r="L11" s="24" t="s">
        <v>64</v>
      </c>
      <c r="M11" s="26"/>
      <c r="N11" s="24" t="s">
        <v>63</v>
      </c>
      <c r="O11" s="25" t="s">
        <v>61</v>
      </c>
      <c r="P11" s="24" t="s">
        <v>93</v>
      </c>
      <c r="Q11" s="25" t="s">
        <v>61</v>
      </c>
      <c r="R11" s="24" t="s">
        <v>107</v>
      </c>
      <c r="S11" s="24" t="s">
        <v>59</v>
      </c>
      <c r="T11" s="72" t="s">
        <v>106</v>
      </c>
      <c r="U11" s="72" t="s">
        <v>105</v>
      </c>
      <c r="V11" s="72" t="s">
        <v>57</v>
      </c>
      <c r="W11" s="72" t="s">
        <v>104</v>
      </c>
      <c r="X11" s="72" t="s">
        <v>103</v>
      </c>
      <c r="Y11" s="72" t="s">
        <v>102</v>
      </c>
      <c r="Z11" s="24" t="s">
        <v>55</v>
      </c>
      <c r="AA11" s="23"/>
      <c r="AB11" s="23"/>
      <c r="AC11" s="23"/>
      <c r="AD11" s="23"/>
      <c r="AM11" s="23" t="s">
        <v>17</v>
      </c>
      <c r="AN11" s="23" t="s">
        <v>18</v>
      </c>
      <c r="AO11" s="23" t="s">
        <v>27</v>
      </c>
      <c r="AP11" s="23" t="s">
        <v>42</v>
      </c>
      <c r="AQ11" s="23" t="s">
        <v>19</v>
      </c>
      <c r="AR11" s="23" t="s">
        <v>20</v>
      </c>
      <c r="AS11" s="23" t="s">
        <v>21</v>
      </c>
      <c r="AT11" s="23" t="s">
        <v>22</v>
      </c>
      <c r="AU11" s="23" t="s">
        <v>23</v>
      </c>
      <c r="AV11" s="23" t="s">
        <v>24</v>
      </c>
      <c r="AW11" s="23" t="s">
        <v>25</v>
      </c>
      <c r="AX11" s="23" t="s">
        <v>26</v>
      </c>
      <c r="AY11" s="23" t="s">
        <v>16</v>
      </c>
      <c r="AZ11" s="23" t="s">
        <v>43</v>
      </c>
      <c r="BA11" s="23" t="s">
        <v>44</v>
      </c>
      <c r="BB11" s="23" t="s">
        <v>45</v>
      </c>
      <c r="BC11" s="23" t="s">
        <v>46</v>
      </c>
    </row>
    <row r="12" spans="1:55" ht="18.75" x14ac:dyDescent="0.3">
      <c r="B12" s="15">
        <v>1</v>
      </c>
      <c r="C12" s="71"/>
      <c r="D12" s="69">
        <v>8</v>
      </c>
      <c r="E12" s="68"/>
      <c r="F12" s="69">
        <v>9</v>
      </c>
      <c r="G12" s="69">
        <v>26</v>
      </c>
      <c r="H12" s="69">
        <v>73</v>
      </c>
      <c r="I12" s="69"/>
      <c r="J12" s="70">
        <v>32450.43</v>
      </c>
      <c r="K12" s="69">
        <v>920.76</v>
      </c>
      <c r="L12" s="69">
        <v>1.95</v>
      </c>
      <c r="M12" s="68"/>
      <c r="N12" s="67">
        <v>289.45999999999998</v>
      </c>
      <c r="O12" s="67"/>
      <c r="P12" s="67">
        <v>243.38</v>
      </c>
      <c r="Q12" s="67"/>
      <c r="R12" s="67">
        <v>254.84</v>
      </c>
      <c r="S12" s="67"/>
      <c r="T12" s="65">
        <v>24</v>
      </c>
      <c r="U12" s="66">
        <v>28.39</v>
      </c>
      <c r="V12" s="66">
        <f>P12+U12</f>
        <v>271.77</v>
      </c>
      <c r="W12" s="66">
        <v>41.43</v>
      </c>
      <c r="X12" s="66">
        <v>57.68</v>
      </c>
      <c r="Y12" s="65">
        <v>669</v>
      </c>
      <c r="Z12" s="64"/>
      <c r="AA12">
        <f>J12/(100*102)</f>
        <v>3.1814147058823528</v>
      </c>
      <c r="AB12">
        <f>P12/(100*102)*100*100*10000/1000</f>
        <v>2386.0784313725494</v>
      </c>
      <c r="AC12">
        <f>N12/(100*102)*100*100*10000/1000</f>
        <v>2837.8431372549021</v>
      </c>
      <c r="AD12">
        <f>R12/(100*102)*100*100*10000/1000</f>
        <v>2498.4313725490197</v>
      </c>
      <c r="AE12">
        <f>SUM(N12,P12,R12,U12,W12,X12)/(100*102)*100*100*10000/1000</f>
        <v>8972.3529411764703</v>
      </c>
      <c r="AF12" s="6">
        <f>SUM(W12:X12)/(100*102)*100*100*10000/1000</f>
        <v>971.66666666666674</v>
      </c>
      <c r="AG12" s="6">
        <f>SUM(W12,X12)/SUM(U12,W12,X12)*100</f>
        <v>77.733333333333334</v>
      </c>
      <c r="AH12" s="6">
        <f>SUM(X12)/SUM(U12,W12,X12)*100</f>
        <v>45.239215686274505</v>
      </c>
      <c r="AI12" s="6">
        <f>K12/10</f>
        <v>92.075999999999993</v>
      </c>
      <c r="AJ12" s="15">
        <v>1</v>
      </c>
      <c r="AK12">
        <f>G12/SUM(G12:H12)*100</f>
        <v>26.262626262626267</v>
      </c>
      <c r="AM12">
        <f>F12/D12</f>
        <v>1.125</v>
      </c>
      <c r="AN12">
        <v>0</v>
      </c>
      <c r="AO12">
        <f>H12/D12</f>
        <v>9.125</v>
      </c>
      <c r="AP12">
        <f>G12/D12</f>
        <v>3.25</v>
      </c>
      <c r="AQ12">
        <f>P12/D12</f>
        <v>30.422499999999999</v>
      </c>
      <c r="AR12">
        <f>N12/D12</f>
        <v>36.182499999999997</v>
      </c>
      <c r="AS12">
        <f>SUM(N12,P12,R12,U12,W12,X12)/D12</f>
        <v>114.39749999999998</v>
      </c>
      <c r="AT12">
        <f>(P12/1000)/(1.016*1)*10000</f>
        <v>2395.4724409448818</v>
      </c>
      <c r="AU12">
        <f>(N12/1000)/(1.016*1)*10000</f>
        <v>2849.0157480314961</v>
      </c>
      <c r="AV12">
        <f>(SUM(R12,U12,W12,X12)/1000)/(1.016*1)*10000</f>
        <v>3763.1889763779532</v>
      </c>
      <c r="AW12">
        <f>SUM(AT12:AV12)</f>
        <v>9007.677165354331</v>
      </c>
      <c r="AX12">
        <f>J12/(100*101.6)</f>
        <v>3.1939399606299212</v>
      </c>
      <c r="AY12" s="6">
        <f>L12</f>
        <v>1.95</v>
      </c>
      <c r="AZ12">
        <f>Y12/T12</f>
        <v>27.875</v>
      </c>
      <c r="BA12">
        <f>U12/SUM(U12,W12,X12)</f>
        <v>0.22266666666666668</v>
      </c>
      <c r="BB12">
        <f>X12/SUM(U12,W12,X12)</f>
        <v>0.45239215686274509</v>
      </c>
      <c r="BC12">
        <f>W12/SUM(U12,W12,X12)</f>
        <v>0.32494117647058823</v>
      </c>
    </row>
    <row r="13" spans="1:55" ht="19.5" thickBot="1" x14ac:dyDescent="0.35">
      <c r="B13" s="8"/>
      <c r="C13" s="63"/>
      <c r="D13" s="60"/>
      <c r="E13" s="59"/>
      <c r="F13" s="60"/>
      <c r="G13" s="62" t="s">
        <v>101</v>
      </c>
      <c r="H13" s="60"/>
      <c r="I13" s="60"/>
      <c r="J13" s="61"/>
      <c r="K13" s="60"/>
      <c r="L13" s="60"/>
      <c r="M13" s="59"/>
      <c r="N13" s="58"/>
      <c r="O13" s="58"/>
      <c r="P13" s="58"/>
      <c r="Q13" s="58"/>
      <c r="R13" s="58"/>
      <c r="S13" s="58"/>
      <c r="T13" s="56"/>
      <c r="U13" s="57"/>
      <c r="V13" s="57">
        <f>P13+U13</f>
        <v>0</v>
      </c>
      <c r="W13" s="57"/>
      <c r="X13" s="57"/>
      <c r="Y13" s="56"/>
      <c r="Z13" s="55"/>
      <c r="AF13" s="6"/>
      <c r="AG13" s="6"/>
      <c r="AH13" s="6"/>
      <c r="AI13" s="6"/>
      <c r="AJ13" s="8"/>
      <c r="AM13" t="e">
        <f>F13/D13</f>
        <v>#DIV/0!</v>
      </c>
      <c r="AN13">
        <v>0</v>
      </c>
      <c r="AO13" t="e">
        <f>H13/D13</f>
        <v>#DIV/0!</v>
      </c>
      <c r="AP13" t="e">
        <f>G13/D13</f>
        <v>#VALUE!</v>
      </c>
      <c r="AQ13" t="e">
        <f>P13/D13</f>
        <v>#DIV/0!</v>
      </c>
      <c r="AR13" t="e">
        <f>N13/D13</f>
        <v>#DIV/0!</v>
      </c>
      <c r="AS13" t="e">
        <f>SUM(N13,P13,R13,U13,W13,X13)/D13</f>
        <v>#DIV/0!</v>
      </c>
      <c r="AT13">
        <f>(P13/1000)/(1.016*1)*10000</f>
        <v>0</v>
      </c>
      <c r="AU13">
        <f>(N13/1000)/(1.016*1)*10000</f>
        <v>0</v>
      </c>
      <c r="AV13">
        <f>(SUM(R13,U13,W13,X13)/1000)/(1.016*1)*10000</f>
        <v>0</v>
      </c>
      <c r="AW13">
        <f>SUM(AT13:AV13)</f>
        <v>0</v>
      </c>
      <c r="AX13">
        <f>J13/(100*101.6)</f>
        <v>0</v>
      </c>
      <c r="AY13" s="6">
        <f>L13</f>
        <v>0</v>
      </c>
      <c r="AZ13" t="e">
        <f>Y13/T13</f>
        <v>#DIV/0!</v>
      </c>
      <c r="BA13" t="e">
        <f>U13/SUM(U13,W13,X13)</f>
        <v>#DIV/0!</v>
      </c>
      <c r="BB13" t="e">
        <f>X13/SUM(U13,W13,X13)</f>
        <v>#DIV/0!</v>
      </c>
      <c r="BC13" t="e">
        <f>W13/SUM(U13,W13,X13)</f>
        <v>#DIV/0!</v>
      </c>
    </row>
    <row r="14" spans="1:55" ht="18.75" x14ac:dyDescent="0.3">
      <c r="B14" s="15">
        <v>2</v>
      </c>
      <c r="C14" s="71"/>
      <c r="D14" s="69">
        <v>9</v>
      </c>
      <c r="E14" s="68"/>
      <c r="F14" s="69">
        <v>2</v>
      </c>
      <c r="G14" s="69">
        <v>7</v>
      </c>
      <c r="H14" s="69">
        <v>177</v>
      </c>
      <c r="I14" s="69"/>
      <c r="J14" s="70">
        <v>53222.13</v>
      </c>
      <c r="K14" s="69">
        <v>1039.74</v>
      </c>
      <c r="L14" s="69">
        <v>4.66</v>
      </c>
      <c r="M14" s="68"/>
      <c r="N14" s="67">
        <v>432.41</v>
      </c>
      <c r="O14" s="67"/>
      <c r="P14" s="67">
        <v>318.94</v>
      </c>
      <c r="Q14" s="67"/>
      <c r="R14" s="67">
        <v>658.04</v>
      </c>
      <c r="S14" s="67"/>
      <c r="T14" s="65">
        <v>7</v>
      </c>
      <c r="U14" s="66">
        <v>10.76</v>
      </c>
      <c r="V14" s="66">
        <f>P14+U14</f>
        <v>329.7</v>
      </c>
      <c r="W14" s="66">
        <v>18.78</v>
      </c>
      <c r="X14" s="66">
        <v>27.2</v>
      </c>
      <c r="Y14" s="65">
        <v>260</v>
      </c>
      <c r="Z14" s="64"/>
      <c r="AA14">
        <f>J14/(100*102)</f>
        <v>5.2178558823529411</v>
      </c>
      <c r="AB14">
        <f>P14/(100*102)*100*100*10000/1000</f>
        <v>3126.8627450980389</v>
      </c>
      <c r="AC14">
        <f>N14/(100*102)*100*100*10000/1000</f>
        <v>4239.3137254901967</v>
      </c>
      <c r="AD14">
        <f>R14/(100*102)*100*100*10000/1000</f>
        <v>6451.3725490196075</v>
      </c>
      <c r="AE14">
        <f>SUM(N14,P14,R14,U14,W14,X14)/(100*102)*100*100*10000/1000</f>
        <v>14373.823529411762</v>
      </c>
      <c r="AF14" s="6">
        <f>SUM(W14:X14)/(100*102)*100*100*10000/1000</f>
        <v>450.78431372549016</v>
      </c>
      <c r="AG14" s="6">
        <f>SUM(W14,X14)/SUM(U14,W14,X14)*100</f>
        <v>81.036305956996841</v>
      </c>
      <c r="AH14" s="6">
        <f>SUM(X14)/SUM(U14,W14,X14)*100</f>
        <v>47.937962636587947</v>
      </c>
      <c r="AI14" s="6">
        <f>K14/10</f>
        <v>103.974</v>
      </c>
      <c r="AJ14" s="15">
        <v>2</v>
      </c>
      <c r="AK14">
        <f>G14/SUM(G14:H14)*100</f>
        <v>3.804347826086957</v>
      </c>
      <c r="AM14">
        <f>F14/D14</f>
        <v>0.22222222222222221</v>
      </c>
      <c r="AN14">
        <v>0</v>
      </c>
      <c r="AO14">
        <f>H14/D14</f>
        <v>19.666666666666668</v>
      </c>
      <c r="AP14">
        <f>G14/D14</f>
        <v>0.77777777777777779</v>
      </c>
      <c r="AQ14">
        <f>P14/D14</f>
        <v>35.437777777777775</v>
      </c>
      <c r="AR14">
        <f>N14/D14</f>
        <v>48.045555555555559</v>
      </c>
      <c r="AS14">
        <f>SUM(N14,P14,R14,U14,W14,X14)/D14</f>
        <v>162.90333333333331</v>
      </c>
      <c r="AT14">
        <f>(P14/1000)/(1.016*1)*10000</f>
        <v>3139.1732283464567</v>
      </c>
      <c r="AU14">
        <f>(N14/1000)/(1.016*1)*10000</f>
        <v>4256.0039370078739</v>
      </c>
      <c r="AV14">
        <f>(SUM(R14,U14,W14,X14)/1000)/(1.016*1)*10000</f>
        <v>7035.2362204724404</v>
      </c>
      <c r="AW14">
        <f>SUM(AT14:AV14)</f>
        <v>14430.413385826771</v>
      </c>
      <c r="AX14">
        <f>J14/(100*101.6)</f>
        <v>5.238398622047244</v>
      </c>
      <c r="AY14" s="6">
        <f>L14</f>
        <v>4.66</v>
      </c>
      <c r="AZ14">
        <f>Y14/T14</f>
        <v>37.142857142857146</v>
      </c>
      <c r="BA14">
        <f>U14/SUM(U14,W14,X14)</f>
        <v>0.18963694043003174</v>
      </c>
      <c r="BB14">
        <f>X14/SUM(U14,W14,X14)</f>
        <v>0.4793796263658795</v>
      </c>
      <c r="BC14">
        <f>W14/SUM(U14,W14,X14)</f>
        <v>0.33098343320408885</v>
      </c>
    </row>
    <row r="15" spans="1:55" ht="19.5" thickBot="1" x14ac:dyDescent="0.35">
      <c r="B15" s="8"/>
      <c r="C15" s="63"/>
      <c r="D15" s="60"/>
      <c r="E15" s="59"/>
      <c r="F15" s="60"/>
      <c r="G15" s="62" t="s">
        <v>100</v>
      </c>
      <c r="H15" s="60"/>
      <c r="I15" s="60"/>
      <c r="J15" s="61"/>
      <c r="K15" s="60"/>
      <c r="L15" s="60"/>
      <c r="M15" s="59"/>
      <c r="N15" s="58"/>
      <c r="O15" s="58"/>
      <c r="P15" s="58"/>
      <c r="Q15" s="58"/>
      <c r="R15" s="58"/>
      <c r="S15" s="58"/>
      <c r="T15" s="56"/>
      <c r="U15" s="57"/>
      <c r="V15" s="57">
        <f>P15+U15</f>
        <v>0</v>
      </c>
      <c r="W15" s="57"/>
      <c r="X15" s="57"/>
      <c r="Y15" s="56"/>
      <c r="Z15" s="55"/>
      <c r="AF15" s="6"/>
      <c r="AG15" s="6"/>
      <c r="AH15" s="6"/>
      <c r="AI15" s="6"/>
      <c r="AJ15" s="8"/>
      <c r="AM15" t="e">
        <f>F15/D15</f>
        <v>#DIV/0!</v>
      </c>
      <c r="AN15">
        <v>0</v>
      </c>
      <c r="AO15" t="e">
        <f>H15/D15</f>
        <v>#DIV/0!</v>
      </c>
      <c r="AP15" t="e">
        <f>G15/D15</f>
        <v>#VALUE!</v>
      </c>
      <c r="AQ15" t="e">
        <f>P15/D15</f>
        <v>#DIV/0!</v>
      </c>
      <c r="AR15" t="e">
        <f>N15/D15</f>
        <v>#DIV/0!</v>
      </c>
      <c r="AS15" t="e">
        <f>SUM(N15,P15,R15,U15,W15,X15)/D15</f>
        <v>#DIV/0!</v>
      </c>
      <c r="AT15">
        <f>(P15/1000)/(1.016*1)*10000</f>
        <v>0</v>
      </c>
      <c r="AU15">
        <f>(N15/1000)/(1.016*1)*10000</f>
        <v>0</v>
      </c>
      <c r="AV15">
        <f>(SUM(R15,U15,W15,X15)/1000)/(1.016*1)*10000</f>
        <v>0</v>
      </c>
      <c r="AW15">
        <f>SUM(AT15:AV15)</f>
        <v>0</v>
      </c>
      <c r="AX15">
        <f>J15/(100*101.6)</f>
        <v>0</v>
      </c>
      <c r="AY15" s="6">
        <f>L15</f>
        <v>0</v>
      </c>
      <c r="AZ15" t="e">
        <f>Y15/T15</f>
        <v>#DIV/0!</v>
      </c>
      <c r="BA15" t="e">
        <f>U15/SUM(U15,W15,X15)</f>
        <v>#DIV/0!</v>
      </c>
      <c r="BB15" t="e">
        <f>X15/SUM(U15,W15,X15)</f>
        <v>#DIV/0!</v>
      </c>
      <c r="BC15" t="e">
        <f>W15/SUM(U15,W15,X15)</f>
        <v>#DIV/0!</v>
      </c>
    </row>
    <row r="16" spans="1:55" ht="18.75" x14ac:dyDescent="0.3">
      <c r="B16" s="15">
        <v>3</v>
      </c>
      <c r="C16" s="71"/>
      <c r="D16" s="69">
        <v>13</v>
      </c>
      <c r="E16" s="68"/>
      <c r="F16" s="69">
        <v>33</v>
      </c>
      <c r="G16" s="69">
        <v>9</v>
      </c>
      <c r="H16" s="69">
        <v>188</v>
      </c>
      <c r="I16" s="69"/>
      <c r="J16" s="70">
        <v>46562.42</v>
      </c>
      <c r="K16" s="69">
        <v>1223.52</v>
      </c>
      <c r="L16" s="69">
        <v>4.75</v>
      </c>
      <c r="M16" s="68"/>
      <c r="N16" s="67">
        <v>364.86</v>
      </c>
      <c r="O16" s="67"/>
      <c r="P16" s="67">
        <v>286.97000000000003</v>
      </c>
      <c r="Q16" s="67"/>
      <c r="R16" s="67">
        <v>455.55</v>
      </c>
      <c r="S16" s="67"/>
      <c r="T16" s="65">
        <v>9</v>
      </c>
      <c r="U16" s="66">
        <v>9.82</v>
      </c>
      <c r="V16" s="66">
        <f>P16+U16</f>
        <v>296.79000000000002</v>
      </c>
      <c r="W16" s="66">
        <v>18.37</v>
      </c>
      <c r="X16" s="66">
        <v>24.81</v>
      </c>
      <c r="Y16" s="65">
        <v>524</v>
      </c>
      <c r="Z16" s="64"/>
      <c r="AA16">
        <f>J16/(100*102)</f>
        <v>4.5649431372549021</v>
      </c>
      <c r="AB16">
        <f>P16/(100*102)*100*100*10000/1000</f>
        <v>2813.4313725490197</v>
      </c>
      <c r="AC16">
        <f>N16/(100*102)*100*100*10000/1000</f>
        <v>3577.0588235294117</v>
      </c>
      <c r="AD16">
        <f>R16/(100*102)*100*100*10000/1000</f>
        <v>4466.1764705882351</v>
      </c>
      <c r="AE16">
        <f>SUM(N16,P16,R16,U16,W16,X16)/(100*102)*100*100*10000/1000</f>
        <v>11376.274509803921</v>
      </c>
      <c r="AF16" s="6">
        <f>SUM(W16:X16)/(100*102)*100*100*10000/1000</f>
        <v>423.33333333333331</v>
      </c>
      <c r="AG16" s="6">
        <f>SUM(W16,X16)/SUM(U16,W16,X16)*100</f>
        <v>81.471698113207552</v>
      </c>
      <c r="AH16" s="6">
        <f>SUM(X16)/SUM(U16,W16,X16)*100</f>
        <v>46.811320754716981</v>
      </c>
      <c r="AI16" s="6">
        <f>K16/10</f>
        <v>122.352</v>
      </c>
      <c r="AJ16" s="15">
        <v>3</v>
      </c>
      <c r="AK16">
        <f>G16/SUM(G16:H16)*100</f>
        <v>4.5685279187817258</v>
      </c>
      <c r="AM16">
        <f>F16/D16</f>
        <v>2.5384615384615383</v>
      </c>
      <c r="AN16">
        <v>0</v>
      </c>
      <c r="AO16">
        <f>H16/D16</f>
        <v>14.461538461538462</v>
      </c>
      <c r="AP16">
        <f>G16/D16</f>
        <v>0.69230769230769229</v>
      </c>
      <c r="AQ16">
        <f>P16/D16</f>
        <v>22.074615384615388</v>
      </c>
      <c r="AR16">
        <f>N16/D16</f>
        <v>28.066153846153846</v>
      </c>
      <c r="AS16">
        <f>SUM(N16,P16,R16,U16,W16,X16)/D16</f>
        <v>89.259999999999991</v>
      </c>
      <c r="AT16">
        <f>(P16/1000)/(1.016*1)*10000</f>
        <v>2824.5078740157483</v>
      </c>
      <c r="AU16">
        <f>(N16/1000)/(1.016*1)*10000</f>
        <v>3591.141732283465</v>
      </c>
      <c r="AV16">
        <f>(SUM(R16,U16,W16,X16)/1000)/(1.016*1)*10000</f>
        <v>5005.4133858267724</v>
      </c>
      <c r="AW16">
        <f>SUM(AT16:AV16)</f>
        <v>11421.062992125986</v>
      </c>
      <c r="AX16">
        <f>J16/(100*101.6)</f>
        <v>4.5829153543307086</v>
      </c>
      <c r="AY16" s="6">
        <f>L16</f>
        <v>4.75</v>
      </c>
      <c r="AZ16">
        <f>Y16/T16</f>
        <v>58.222222222222221</v>
      </c>
      <c r="BA16">
        <f>U16/SUM(U16,W16,X16)</f>
        <v>0.18528301886792453</v>
      </c>
      <c r="BB16">
        <f>X16/SUM(U16,W16,X16)</f>
        <v>0.46811320754716979</v>
      </c>
      <c r="BC16">
        <f>W16/SUM(U16,W16,X16)</f>
        <v>0.34660377358490568</v>
      </c>
    </row>
    <row r="17" spans="1:55" ht="19.5" thickBot="1" x14ac:dyDescent="0.35">
      <c r="B17" s="8"/>
      <c r="C17" s="63"/>
      <c r="D17" s="60"/>
      <c r="E17" s="59"/>
      <c r="F17" s="60"/>
      <c r="G17" s="62" t="s">
        <v>100</v>
      </c>
      <c r="H17" s="60"/>
      <c r="I17" s="60"/>
      <c r="J17" s="61"/>
      <c r="K17" s="60"/>
      <c r="L17" s="60"/>
      <c r="M17" s="59"/>
      <c r="N17" s="58"/>
      <c r="O17" s="58"/>
      <c r="P17" s="58"/>
      <c r="Q17" s="58"/>
      <c r="R17" s="58"/>
      <c r="S17" s="58"/>
      <c r="T17" s="56"/>
      <c r="U17" s="57"/>
      <c r="V17" s="57">
        <f>P17+U17</f>
        <v>0</v>
      </c>
      <c r="W17" s="57"/>
      <c r="X17" s="57"/>
      <c r="Y17" s="56"/>
      <c r="Z17" s="55"/>
      <c r="AF17" s="6"/>
      <c r="AG17" s="6"/>
      <c r="AH17" s="6"/>
      <c r="AI17" s="6"/>
      <c r="AJ17" s="8"/>
      <c r="AM17" t="e">
        <f>F17/D17</f>
        <v>#DIV/0!</v>
      </c>
      <c r="AN17">
        <v>0</v>
      </c>
      <c r="AO17" t="e">
        <f>H17/D17</f>
        <v>#DIV/0!</v>
      </c>
      <c r="AP17" t="e">
        <f>G17/D17</f>
        <v>#VALUE!</v>
      </c>
      <c r="AQ17" t="e">
        <f>P17/D17</f>
        <v>#DIV/0!</v>
      </c>
      <c r="AR17" t="e">
        <f>N17/D17</f>
        <v>#DIV/0!</v>
      </c>
      <c r="AS17" t="e">
        <f>SUM(N17,P17,R17,U17,W17,X17)/D17</f>
        <v>#DIV/0!</v>
      </c>
      <c r="AT17">
        <f>(P17/1000)/(1.016*1)*10000</f>
        <v>0</v>
      </c>
      <c r="AU17">
        <f>(N17/1000)/(1.016*1)*10000</f>
        <v>0</v>
      </c>
      <c r="AV17">
        <f>(SUM(R17,U17,W17,X17)/1000)/(1.016*1)*10000</f>
        <v>0</v>
      </c>
      <c r="AW17">
        <f>SUM(AT17:AV17)</f>
        <v>0</v>
      </c>
      <c r="AX17">
        <f>J17/(100*101.6)</f>
        <v>0</v>
      </c>
      <c r="AY17" s="6">
        <f>L17</f>
        <v>0</v>
      </c>
      <c r="AZ17" t="e">
        <f>Y17/T17</f>
        <v>#DIV/0!</v>
      </c>
      <c r="BA17" t="e">
        <f>U17/SUM(U17,W17,X17)</f>
        <v>#DIV/0!</v>
      </c>
      <c r="BB17" t="e">
        <f>X17/SUM(U17,W17,X17)</f>
        <v>#DIV/0!</v>
      </c>
      <c r="BC17" t="e">
        <f>W17/SUM(U17,W17,X17)</f>
        <v>#DIV/0!</v>
      </c>
    </row>
    <row r="18" spans="1:55" ht="18.75" x14ac:dyDescent="0.3">
      <c r="A18" s="21"/>
      <c r="B18" s="15">
        <v>6</v>
      </c>
      <c r="C18" s="71"/>
      <c r="D18" s="69">
        <v>10</v>
      </c>
      <c r="E18" s="68"/>
      <c r="F18" s="69">
        <v>13</v>
      </c>
      <c r="G18" s="69">
        <v>19</v>
      </c>
      <c r="H18" s="69">
        <v>58</v>
      </c>
      <c r="I18" s="69"/>
      <c r="J18" s="70">
        <v>33103.93</v>
      </c>
      <c r="K18" s="69">
        <v>961.16</v>
      </c>
      <c r="L18" s="69">
        <v>2.36</v>
      </c>
      <c r="M18" s="68"/>
      <c r="N18" s="67">
        <v>280.08</v>
      </c>
      <c r="O18" s="67"/>
      <c r="P18" s="67">
        <v>245.96</v>
      </c>
      <c r="Q18" s="67"/>
      <c r="R18" s="67">
        <v>271.39</v>
      </c>
      <c r="S18" s="67"/>
      <c r="T18" s="65">
        <v>19</v>
      </c>
      <c r="U18" s="66">
        <v>26.48</v>
      </c>
      <c r="V18" s="66">
        <f>P18+U18</f>
        <v>272.44</v>
      </c>
      <c r="W18" s="66">
        <v>39.51</v>
      </c>
      <c r="X18" s="66">
        <v>55.57</v>
      </c>
      <c r="Y18" s="65">
        <v>571</v>
      </c>
      <c r="Z18" s="64"/>
      <c r="AA18">
        <f>J18/(100*102)</f>
        <v>3.2454833333333335</v>
      </c>
      <c r="AB18">
        <f>P18/(100*102)*100*100*10000/1000</f>
        <v>2411.372549019608</v>
      </c>
      <c r="AC18">
        <f>N18/(100*102)*100*100*10000/1000</f>
        <v>2745.882352941177</v>
      </c>
      <c r="AD18">
        <f>R18/(100*102)*100*100*10000/1000</f>
        <v>2660.6862745098038</v>
      </c>
      <c r="AE18">
        <f>SUM(N18,P18,R18,U18,W18,X18)/(100*102)*100*100*10000/1000</f>
        <v>9009.7058823529405</v>
      </c>
      <c r="AF18" s="6">
        <f>SUM(W18:X18)/(100*102)*100*100*10000/1000</f>
        <v>932.15686274509812</v>
      </c>
      <c r="AG18" s="6">
        <f>SUM(W18,X18)/SUM(U18,W18,X18)*100</f>
        <v>78.216518591641986</v>
      </c>
      <c r="AH18" s="6">
        <f>SUM(X18)/SUM(U18,W18,X18)*100</f>
        <v>45.714050674564</v>
      </c>
      <c r="AI18" s="6">
        <f>K18/10</f>
        <v>96.116</v>
      </c>
      <c r="AJ18" s="15">
        <v>6</v>
      </c>
      <c r="AK18">
        <f>G18/SUM(G18:H18)*100</f>
        <v>24.675324675324674</v>
      </c>
      <c r="AM18">
        <f>F18/D18</f>
        <v>1.3</v>
      </c>
      <c r="AN18">
        <v>0</v>
      </c>
      <c r="AO18">
        <f>H18/D18</f>
        <v>5.8</v>
      </c>
      <c r="AP18">
        <f>G18/D18</f>
        <v>1.9</v>
      </c>
      <c r="AQ18">
        <f>P18/D18</f>
        <v>24.596</v>
      </c>
      <c r="AR18">
        <f>N18/D18</f>
        <v>28.007999999999999</v>
      </c>
      <c r="AS18">
        <f>SUM(N18,P18,R18,U18,W18,X18)/D18</f>
        <v>91.899000000000001</v>
      </c>
      <c r="AT18">
        <f>(P18/1000)/(1.016*1)*10000</f>
        <v>2420.8661417322837</v>
      </c>
      <c r="AU18">
        <f>(N18/1000)/(1.016*1)*10000</f>
        <v>2756.6929133858266</v>
      </c>
      <c r="AV18">
        <f>(SUM(R18,U18,W18,X18)/1000)/(1.016*1)*10000</f>
        <v>3867.6181102362202</v>
      </c>
      <c r="AW18">
        <f>SUM(AT18:AV18)</f>
        <v>9045.177165354331</v>
      </c>
      <c r="AX18">
        <f>J18/(100*101.6)</f>
        <v>3.2582608267716537</v>
      </c>
      <c r="AY18" s="6">
        <f>L18</f>
        <v>2.36</v>
      </c>
      <c r="AZ18">
        <f>Y18/T18</f>
        <v>30.05263157894737</v>
      </c>
      <c r="BA18">
        <f>U18/SUM(U18,W18,X18)</f>
        <v>0.21783481408358013</v>
      </c>
      <c r="BB18">
        <f>X18/SUM(U18,W18,X18)</f>
        <v>0.45714050674564</v>
      </c>
      <c r="BC18">
        <f>W18/SUM(U18,W18,X18)</f>
        <v>0.32502467917077982</v>
      </c>
    </row>
    <row r="19" spans="1:55" ht="19.5" thickBot="1" x14ac:dyDescent="0.35">
      <c r="B19" s="8"/>
      <c r="C19" s="63"/>
      <c r="D19" s="60"/>
      <c r="E19" s="59"/>
      <c r="F19" s="60"/>
      <c r="G19" s="62" t="s">
        <v>100</v>
      </c>
      <c r="H19" s="60"/>
      <c r="I19" s="60"/>
      <c r="J19" s="61"/>
      <c r="K19" s="60"/>
      <c r="L19" s="60"/>
      <c r="M19" s="59"/>
      <c r="N19" s="58"/>
      <c r="O19" s="58"/>
      <c r="P19" s="58"/>
      <c r="Q19" s="58"/>
      <c r="R19" s="58"/>
      <c r="S19" s="58"/>
      <c r="T19" s="56"/>
      <c r="U19" s="57"/>
      <c r="V19" s="57">
        <f>P19+U19</f>
        <v>0</v>
      </c>
      <c r="W19" s="57"/>
      <c r="X19" s="57"/>
      <c r="Y19" s="56"/>
      <c r="Z19" s="55"/>
      <c r="AF19" s="6"/>
      <c r="AG19" s="6"/>
      <c r="AH19" s="6"/>
      <c r="AI19" s="6"/>
      <c r="AJ19" s="8"/>
      <c r="AM19" t="e">
        <f>F19/D19</f>
        <v>#DIV/0!</v>
      </c>
      <c r="AN19">
        <v>0</v>
      </c>
      <c r="AO19" t="e">
        <f>H19/D19</f>
        <v>#DIV/0!</v>
      </c>
      <c r="AP19" t="e">
        <f>G19/D19</f>
        <v>#VALUE!</v>
      </c>
      <c r="AQ19" t="e">
        <f>P19/D19</f>
        <v>#DIV/0!</v>
      </c>
      <c r="AR19" t="e">
        <f>N19/D19</f>
        <v>#DIV/0!</v>
      </c>
      <c r="AS19" t="e">
        <f>SUM(N19,P19,R19,U19,W19,X19)/D19</f>
        <v>#DIV/0!</v>
      </c>
      <c r="AT19">
        <f>(P19/1000)/(1.016*1)*10000</f>
        <v>0</v>
      </c>
      <c r="AU19">
        <f>(N19/1000)/(1.016*1)*10000</f>
        <v>0</v>
      </c>
      <c r="AV19">
        <f>(SUM(R19,U19,W19,X19)/1000)/(1.016*1)*10000</f>
        <v>0</v>
      </c>
      <c r="AW19">
        <f>SUM(AT19:AV19)</f>
        <v>0</v>
      </c>
      <c r="AX19">
        <f>J19/(100*101.6)</f>
        <v>0</v>
      </c>
      <c r="AY19" s="6">
        <f>L19</f>
        <v>0</v>
      </c>
      <c r="AZ19" t="e">
        <f>Y19/T19</f>
        <v>#DIV/0!</v>
      </c>
      <c r="BA19" t="e">
        <f>U19/SUM(U19,W19,X19)</f>
        <v>#DIV/0!</v>
      </c>
      <c r="BB19" t="e">
        <f>X19/SUM(U19,W19,X19)</f>
        <v>#DIV/0!</v>
      </c>
      <c r="BC19" t="e">
        <f>W19/SUM(U19,W19,X19)</f>
        <v>#DIV/0!</v>
      </c>
    </row>
    <row r="20" spans="1:55" ht="18.75" x14ac:dyDescent="0.3">
      <c r="B20" s="15">
        <v>7</v>
      </c>
      <c r="C20" s="71"/>
      <c r="D20" s="69">
        <v>12</v>
      </c>
      <c r="E20" s="68"/>
      <c r="F20" s="69">
        <v>8</v>
      </c>
      <c r="G20" s="69">
        <v>12</v>
      </c>
      <c r="H20" s="69">
        <v>200</v>
      </c>
      <c r="I20" s="69"/>
      <c r="J20" s="70">
        <v>59192.15</v>
      </c>
      <c r="K20" s="69">
        <v>1326.23</v>
      </c>
      <c r="L20" s="69">
        <v>5.26</v>
      </c>
      <c r="M20" s="68"/>
      <c r="N20" s="67">
        <v>438.22</v>
      </c>
      <c r="O20" s="67"/>
      <c r="P20" s="67">
        <v>342.25</v>
      </c>
      <c r="Q20" s="67"/>
      <c r="R20" s="67">
        <v>680.06</v>
      </c>
      <c r="S20" s="67"/>
      <c r="T20" s="65">
        <v>12</v>
      </c>
      <c r="U20" s="66">
        <v>14.84</v>
      </c>
      <c r="V20" s="66">
        <f>P20+U20</f>
        <v>357.09</v>
      </c>
      <c r="W20" s="66">
        <v>24.39</v>
      </c>
      <c r="X20" s="66">
        <v>33.47</v>
      </c>
      <c r="Y20" s="65">
        <v>333</v>
      </c>
      <c r="Z20" s="64"/>
      <c r="AA20">
        <f>J20/(100*102)</f>
        <v>5.8031519607843141</v>
      </c>
      <c r="AB20">
        <f>P20/(100*102)*100*100*10000/1000</f>
        <v>3355.3921568627457</v>
      </c>
      <c r="AC20">
        <f>N20/(100*102)*100*100*10000/1000</f>
        <v>4296.2745098039222</v>
      </c>
      <c r="AD20">
        <f>R20/(100*102)*100*100*10000/1000</f>
        <v>6667.254901960785</v>
      </c>
      <c r="AE20">
        <f>SUM(N20,P20,R20,U20,W20,X20)/(100*102)*100*100*10000/1000</f>
        <v>15031.666666666668</v>
      </c>
      <c r="AF20" s="6">
        <f>SUM(W20:X20)/(100*102)*100*100*10000/1000</f>
        <v>567.25490196078431</v>
      </c>
      <c r="AG20" s="6">
        <f>SUM(W20,X20)/SUM(U20,W20,X20)*100</f>
        <v>79.587345254470421</v>
      </c>
      <c r="AH20" s="6">
        <f>SUM(X20)/SUM(U20,W20,X20)*100</f>
        <v>46.038514442916089</v>
      </c>
      <c r="AI20" s="6">
        <f>K20/10</f>
        <v>132.62299999999999</v>
      </c>
      <c r="AJ20" s="15">
        <v>7</v>
      </c>
      <c r="AK20">
        <f>G20/SUM(G20:H20)*100</f>
        <v>5.6603773584905666</v>
      </c>
      <c r="AM20">
        <f>F20/D20</f>
        <v>0.66666666666666663</v>
      </c>
      <c r="AN20">
        <v>0</v>
      </c>
      <c r="AO20">
        <f>H20/D20</f>
        <v>16.666666666666668</v>
      </c>
      <c r="AP20">
        <f>G20/D20</f>
        <v>1</v>
      </c>
      <c r="AQ20">
        <f>P20/D20</f>
        <v>28.520833333333332</v>
      </c>
      <c r="AR20">
        <f>N20/D20</f>
        <v>36.518333333333338</v>
      </c>
      <c r="AS20">
        <f>SUM(N20,P20,R20,U20,W20,X20)/D20</f>
        <v>127.76916666666666</v>
      </c>
      <c r="AT20">
        <f>(P20/1000)/(1.016*1)*10000</f>
        <v>3368.6023622047246</v>
      </c>
      <c r="AU20">
        <f>(N20/1000)/(1.016*1)*10000</f>
        <v>4313.1889763779527</v>
      </c>
      <c r="AV20">
        <f>(SUM(R20,U20,W20,X20)/1000)/(1.016*1)*10000</f>
        <v>7409.0551181102364</v>
      </c>
      <c r="AW20">
        <f>SUM(AT20:AV20)</f>
        <v>15090.846456692914</v>
      </c>
      <c r="AX20">
        <f>J20/(100*101.6)</f>
        <v>5.8259990157480317</v>
      </c>
      <c r="AY20" s="6">
        <f>L20</f>
        <v>5.26</v>
      </c>
      <c r="AZ20">
        <f>Y20/T20</f>
        <v>27.75</v>
      </c>
      <c r="BA20">
        <f>U20/SUM(U20,W20,X20)</f>
        <v>0.20412654745529574</v>
      </c>
      <c r="BB20">
        <f>X20/SUM(U20,W20,X20)</f>
        <v>0.4603851444291609</v>
      </c>
      <c r="BC20">
        <f>W20/SUM(U20,W20,X20)</f>
        <v>0.33548830811554331</v>
      </c>
    </row>
    <row r="21" spans="1:55" ht="19.5" thickBot="1" x14ac:dyDescent="0.35">
      <c r="B21" s="8"/>
      <c r="C21" s="63"/>
      <c r="D21" s="60"/>
      <c r="E21" s="59"/>
      <c r="F21" s="60"/>
      <c r="G21" s="62" t="s">
        <v>100</v>
      </c>
      <c r="H21" s="60"/>
      <c r="I21" s="60"/>
      <c r="J21" s="61"/>
      <c r="K21" s="60"/>
      <c r="L21" s="60"/>
      <c r="M21" s="59"/>
      <c r="N21" s="58"/>
      <c r="O21" s="58"/>
      <c r="P21" s="58"/>
      <c r="Q21" s="58"/>
      <c r="R21" s="58"/>
      <c r="S21" s="58"/>
      <c r="T21" s="56"/>
      <c r="U21" s="57"/>
      <c r="V21" s="57">
        <f>P21+U21</f>
        <v>0</v>
      </c>
      <c r="W21" s="57"/>
      <c r="X21" s="57"/>
      <c r="Y21" s="56"/>
      <c r="Z21" s="55"/>
      <c r="AF21" s="6"/>
      <c r="AG21" s="6"/>
      <c r="AH21" s="6"/>
      <c r="AI21" s="6"/>
      <c r="AJ21" s="8"/>
      <c r="AM21" t="e">
        <f>F21/D21</f>
        <v>#DIV/0!</v>
      </c>
      <c r="AN21">
        <v>0</v>
      </c>
      <c r="AO21" t="e">
        <f>H21/D21</f>
        <v>#DIV/0!</v>
      </c>
      <c r="AP21" t="e">
        <f>G21/D21</f>
        <v>#VALUE!</v>
      </c>
      <c r="AQ21" t="e">
        <f>P21/D21</f>
        <v>#DIV/0!</v>
      </c>
      <c r="AR21" t="e">
        <f>N21/D21</f>
        <v>#DIV/0!</v>
      </c>
      <c r="AS21" t="e">
        <f>SUM(N21,P21,R21,U21,W21,X21)/D21</f>
        <v>#DIV/0!</v>
      </c>
      <c r="AT21">
        <f>(P21/1000)/(1.016*1)*10000</f>
        <v>0</v>
      </c>
      <c r="AU21">
        <f>(N21/1000)/(1.016*1)*10000</f>
        <v>0</v>
      </c>
      <c r="AV21">
        <f>(SUM(R21,U21,W21,X21)/1000)/(1.016*1)*10000</f>
        <v>0</v>
      </c>
      <c r="AW21">
        <f>SUM(AT21:AV21)</f>
        <v>0</v>
      </c>
      <c r="AX21">
        <f>J21/(100*101.6)</f>
        <v>0</v>
      </c>
      <c r="AY21" s="6">
        <f>L21</f>
        <v>0</v>
      </c>
      <c r="AZ21" t="e">
        <f>Y21/T21</f>
        <v>#DIV/0!</v>
      </c>
      <c r="BA21" t="e">
        <f>U21/SUM(U21,W21,X21)</f>
        <v>#DIV/0!</v>
      </c>
      <c r="BB21" t="e">
        <f>X21/SUM(U21,W21,X21)</f>
        <v>#DIV/0!</v>
      </c>
      <c r="BC21" t="e">
        <f>W21/SUM(U21,W21,X21)</f>
        <v>#DIV/0!</v>
      </c>
    </row>
    <row r="22" spans="1:55" ht="18.75" x14ac:dyDescent="0.3">
      <c r="B22" s="15">
        <v>10</v>
      </c>
      <c r="C22" s="71"/>
      <c r="D22" s="69">
        <v>14</v>
      </c>
      <c r="E22" s="68"/>
      <c r="F22" s="69">
        <v>17</v>
      </c>
      <c r="G22" s="69">
        <v>7</v>
      </c>
      <c r="H22" s="69">
        <v>166</v>
      </c>
      <c r="I22" s="69"/>
      <c r="J22" s="70">
        <v>51043.72</v>
      </c>
      <c r="K22" s="69">
        <v>1040.02</v>
      </c>
      <c r="L22" s="69">
        <v>4.92</v>
      </c>
      <c r="M22" s="68"/>
      <c r="N22" s="67">
        <v>391.04</v>
      </c>
      <c r="O22" s="67"/>
      <c r="P22" s="67">
        <v>291.85000000000002</v>
      </c>
      <c r="Q22" s="67"/>
      <c r="R22" s="67">
        <v>542</v>
      </c>
      <c r="S22" s="67"/>
      <c r="T22" s="65">
        <v>7</v>
      </c>
      <c r="U22" s="66">
        <v>8.32</v>
      </c>
      <c r="V22" s="66">
        <f>P22+U22</f>
        <v>300.17</v>
      </c>
      <c r="W22" s="66">
        <v>13.53</v>
      </c>
      <c r="X22" s="66">
        <v>18.75</v>
      </c>
      <c r="Y22" s="65">
        <v>183</v>
      </c>
      <c r="Z22" s="64"/>
      <c r="AA22">
        <f>J22/(100*102)</f>
        <v>5.0042862745098038</v>
      </c>
      <c r="AB22">
        <f>P22/(100*102)*100*100*10000/1000</f>
        <v>2861.2745098039213</v>
      </c>
      <c r="AC22">
        <f>N22/(100*102)*100*100*10000/1000</f>
        <v>3833.7254901960787</v>
      </c>
      <c r="AD22">
        <f>R22/(100*102)*100*100*10000/1000</f>
        <v>5313.7254901960778</v>
      </c>
      <c r="AE22">
        <f>SUM(N22,P22,R22,U22,W22,X22)/(100*102)*100*100*10000/1000</f>
        <v>12406.764705882351</v>
      </c>
      <c r="AF22" s="6">
        <f>SUM(W22:X22)/(100*102)*100*100*10000/1000</f>
        <v>316.47058823529414</v>
      </c>
      <c r="AG22" s="6">
        <f>SUM(W22,X22)/SUM(U22,W22,X22)*100</f>
        <v>79.50738916256158</v>
      </c>
      <c r="AH22" s="6">
        <f>SUM(X22)/SUM(U22,W22,X22)*100</f>
        <v>46.182266009852214</v>
      </c>
      <c r="AI22" s="6">
        <f>K22/10</f>
        <v>104.002</v>
      </c>
      <c r="AJ22" s="15">
        <v>10</v>
      </c>
      <c r="AK22">
        <f>G22/SUM(G22:H22)*100</f>
        <v>4.0462427745664744</v>
      </c>
      <c r="AM22">
        <f>F22/D22</f>
        <v>1.2142857142857142</v>
      </c>
      <c r="AN22">
        <v>0</v>
      </c>
      <c r="AO22">
        <f>H22/D22</f>
        <v>11.857142857142858</v>
      </c>
      <c r="AP22">
        <f>G22/D22</f>
        <v>0.5</v>
      </c>
      <c r="AQ22">
        <f>P22/D22</f>
        <v>20.846428571428572</v>
      </c>
      <c r="AR22">
        <f>N22/D22</f>
        <v>27.931428571428572</v>
      </c>
      <c r="AS22">
        <f>SUM(N22,P22,R22,U22,W22,X22)/D22</f>
        <v>90.392142857142858</v>
      </c>
      <c r="AT22">
        <f>(P22/1000)/(1.016*1)*10000</f>
        <v>2872.5393700787399</v>
      </c>
      <c r="AU22">
        <f>(N22/1000)/(1.016*1)*10000</f>
        <v>3848.8188976377951</v>
      </c>
      <c r="AV22">
        <f>(SUM(R22,U22,W22,X22)/1000)/(1.016*1)*10000</f>
        <v>5734.251968503937</v>
      </c>
      <c r="AW22">
        <f>SUM(AT22:AV22)</f>
        <v>12455.610236220473</v>
      </c>
      <c r="AX22">
        <f>J22/(100*101.6)</f>
        <v>5.0239881889763778</v>
      </c>
      <c r="AY22" s="6">
        <f>L22</f>
        <v>4.92</v>
      </c>
      <c r="AZ22">
        <f>Y22/T22</f>
        <v>26.142857142857142</v>
      </c>
      <c r="BA22">
        <f>U22/SUM(U22,W22,X22)</f>
        <v>0.20492610837438424</v>
      </c>
      <c r="BB22">
        <f>X22/SUM(U22,W22,X22)</f>
        <v>0.46182266009852213</v>
      </c>
      <c r="BC22">
        <f>W22/SUM(U22,W22,X22)</f>
        <v>0.33325123152709357</v>
      </c>
    </row>
    <row r="23" spans="1:55" ht="19.5" thickBot="1" x14ac:dyDescent="0.35">
      <c r="B23" s="8"/>
      <c r="C23" s="63"/>
      <c r="D23" s="60"/>
      <c r="E23" s="59"/>
      <c r="F23" s="60"/>
      <c r="G23" s="62" t="s">
        <v>100</v>
      </c>
      <c r="H23" s="60"/>
      <c r="I23" s="60"/>
      <c r="J23" s="61"/>
      <c r="K23" s="60"/>
      <c r="L23" s="60"/>
      <c r="M23" s="59"/>
      <c r="N23" s="58"/>
      <c r="O23" s="58"/>
      <c r="P23" s="58"/>
      <c r="Q23" s="58"/>
      <c r="R23" s="58"/>
      <c r="S23" s="58"/>
      <c r="T23" s="56"/>
      <c r="U23" s="57"/>
      <c r="V23" s="57">
        <f>P23+U23</f>
        <v>0</v>
      </c>
      <c r="W23" s="57"/>
      <c r="X23" s="57"/>
      <c r="Y23" s="56"/>
      <c r="Z23" s="55"/>
      <c r="AF23" s="6"/>
      <c r="AG23" s="6"/>
      <c r="AH23" s="6"/>
      <c r="AI23" s="6"/>
      <c r="AJ23" s="8"/>
      <c r="AM23" t="e">
        <f>F23/D23</f>
        <v>#DIV/0!</v>
      </c>
      <c r="AN23">
        <v>0</v>
      </c>
      <c r="AO23" t="e">
        <f>H23/D23</f>
        <v>#DIV/0!</v>
      </c>
      <c r="AP23" t="e">
        <f>G23/D23</f>
        <v>#VALUE!</v>
      </c>
      <c r="AQ23" t="e">
        <f>P23/D23</f>
        <v>#DIV/0!</v>
      </c>
      <c r="AR23" t="e">
        <f>N23/D23</f>
        <v>#DIV/0!</v>
      </c>
      <c r="AS23" t="e">
        <f>SUM(N23,P23,R23,U23,W23,X23)/D23</f>
        <v>#DIV/0!</v>
      </c>
      <c r="AT23">
        <f>(P23/1000)/(1.016*1)*10000</f>
        <v>0</v>
      </c>
      <c r="AU23">
        <f>(N23/1000)/(1.016*1)*10000</f>
        <v>0</v>
      </c>
      <c r="AV23">
        <f>(SUM(R23,U23,W23,X23)/1000)/(1.016*1)*10000</f>
        <v>0</v>
      </c>
      <c r="AW23">
        <f>SUM(AT23:AV23)</f>
        <v>0</v>
      </c>
      <c r="AX23">
        <f>J23/(100*101.6)</f>
        <v>0</v>
      </c>
      <c r="AY23" s="6">
        <f>L23</f>
        <v>0</v>
      </c>
      <c r="AZ23" t="e">
        <f>Y23/T23</f>
        <v>#DIV/0!</v>
      </c>
      <c r="BA23" t="e">
        <f>U23/SUM(U23,W23,X23)</f>
        <v>#DIV/0!</v>
      </c>
      <c r="BB23" t="e">
        <f>X23/SUM(U23,W23,X23)</f>
        <v>#DIV/0!</v>
      </c>
      <c r="BC23" t="e">
        <f>W23/SUM(U23,W23,X23)</f>
        <v>#DIV/0!</v>
      </c>
    </row>
    <row r="24" spans="1:55" ht="18.75" x14ac:dyDescent="0.3">
      <c r="B24" s="15">
        <v>11</v>
      </c>
      <c r="C24" s="71"/>
      <c r="D24" s="69">
        <v>17</v>
      </c>
      <c r="E24" s="68"/>
      <c r="F24" s="69">
        <v>18</v>
      </c>
      <c r="G24" s="69">
        <v>10</v>
      </c>
      <c r="H24" s="69">
        <v>142</v>
      </c>
      <c r="I24" s="69"/>
      <c r="J24" s="70">
        <v>41746.18</v>
      </c>
      <c r="K24" s="69">
        <v>1092.94</v>
      </c>
      <c r="L24" s="69">
        <v>4.6399999999999997</v>
      </c>
      <c r="M24" s="68"/>
      <c r="N24" s="67">
        <v>367.85</v>
      </c>
      <c r="O24" s="67"/>
      <c r="P24" s="67">
        <v>271.94</v>
      </c>
      <c r="Q24" s="67"/>
      <c r="R24" s="67">
        <v>370.92</v>
      </c>
      <c r="S24" s="67"/>
      <c r="T24" s="65">
        <v>9</v>
      </c>
      <c r="U24" s="66">
        <v>10.52</v>
      </c>
      <c r="V24" s="66">
        <f>P24+U24</f>
        <v>282.45999999999998</v>
      </c>
      <c r="W24" s="66">
        <v>17.48</v>
      </c>
      <c r="X24" s="66">
        <v>25.86</v>
      </c>
      <c r="Y24" s="65">
        <v>254</v>
      </c>
      <c r="Z24" s="64"/>
      <c r="AA24">
        <f>J24/(100*102)</f>
        <v>4.0927627450980388</v>
      </c>
      <c r="AB24">
        <f>P24/(100*102)*100*100*10000/1000</f>
        <v>2666.0784313725494</v>
      </c>
      <c r="AC24">
        <f>N24/(100*102)*100*100*10000/1000</f>
        <v>3606.372549019608</v>
      </c>
      <c r="AD24">
        <f>R24/(100*102)*100*100*10000/1000</f>
        <v>3636.4705882352946</v>
      </c>
      <c r="AE24">
        <f>SUM(N24,P24,R24,U24,W24,X24)/(100*102)*100*100*10000/1000</f>
        <v>10436.960784313724</v>
      </c>
      <c r="AF24" s="6">
        <f>SUM(W24:X24)/(100*102)*100*100*10000/1000</f>
        <v>424.90196078431376</v>
      </c>
      <c r="AG24" s="6">
        <f>SUM(W24,X24)/SUM(U24,W24,X24)*100</f>
        <v>80.467879688080217</v>
      </c>
      <c r="AH24" s="6">
        <f>SUM(X24)/SUM(U24,W24,X24)*100</f>
        <v>48.01336799108801</v>
      </c>
      <c r="AI24" s="6">
        <f>K24/10</f>
        <v>109.29400000000001</v>
      </c>
      <c r="AJ24" s="15">
        <v>11</v>
      </c>
      <c r="AK24">
        <f>G24/SUM(G24:H24)*100</f>
        <v>6.5789473684210522</v>
      </c>
      <c r="AM24">
        <f>F24/D24</f>
        <v>1.0588235294117647</v>
      </c>
      <c r="AN24">
        <v>0</v>
      </c>
      <c r="AO24">
        <f>H24/D24</f>
        <v>8.3529411764705888</v>
      </c>
      <c r="AP24">
        <f>G24/D24</f>
        <v>0.58823529411764708</v>
      </c>
      <c r="AQ24">
        <f>P24/D24</f>
        <v>15.996470588235294</v>
      </c>
      <c r="AR24">
        <f>N24/D24</f>
        <v>21.638235294117649</v>
      </c>
      <c r="AS24">
        <f>SUM(N24,P24,R24,U24,W24,X24)/D24</f>
        <v>62.621764705882349</v>
      </c>
      <c r="AT24">
        <f>(P24/1000)/(1.016*1)*10000</f>
        <v>2676.5748031496059</v>
      </c>
      <c r="AU24">
        <f>(N24/1000)/(1.016*1)*10000</f>
        <v>3620.5708661417325</v>
      </c>
      <c r="AV24">
        <f>(SUM(R24,U24,W24,X24)/1000)/(1.016*1)*10000</f>
        <v>4180.9055118110236</v>
      </c>
      <c r="AW24">
        <f>SUM(AT24:AV24)</f>
        <v>10478.051181102361</v>
      </c>
      <c r="AX24">
        <f>J24/(100*101.6)</f>
        <v>4.1088759842519682</v>
      </c>
      <c r="AY24" s="6">
        <f>L24</f>
        <v>4.6399999999999997</v>
      </c>
      <c r="AZ24">
        <f>Y24/T24</f>
        <v>28.222222222222221</v>
      </c>
      <c r="BA24">
        <f>U24/SUM(U24,W24,X24)</f>
        <v>0.19532120311919793</v>
      </c>
      <c r="BB24">
        <f>X24/SUM(U24,W24,X24)</f>
        <v>0.48013367991088007</v>
      </c>
      <c r="BC24">
        <f>W24/SUM(U24,W24,X24)</f>
        <v>0.32454511696992205</v>
      </c>
    </row>
    <row r="25" spans="1:55" ht="19.5" thickBot="1" x14ac:dyDescent="0.35">
      <c r="B25" s="8"/>
      <c r="C25" s="63"/>
      <c r="D25" s="60"/>
      <c r="E25" s="59"/>
      <c r="F25" s="60"/>
      <c r="G25" s="62" t="s">
        <v>99</v>
      </c>
      <c r="H25" s="60"/>
      <c r="I25" s="60"/>
      <c r="J25" s="61"/>
      <c r="K25" s="60"/>
      <c r="L25" s="60"/>
      <c r="M25" s="59"/>
      <c r="N25" s="58"/>
      <c r="O25" s="58"/>
      <c r="P25" s="58"/>
      <c r="Q25" s="58"/>
      <c r="R25" s="58"/>
      <c r="S25" s="58"/>
      <c r="T25" s="56"/>
      <c r="U25" s="57"/>
      <c r="V25" s="57">
        <f>P25+U25</f>
        <v>0</v>
      </c>
      <c r="W25" s="57"/>
      <c r="X25" s="57"/>
      <c r="Y25" s="56"/>
      <c r="Z25" s="55"/>
      <c r="AG25" s="6"/>
      <c r="AH25" s="6"/>
      <c r="AI25" s="6"/>
      <c r="AJ25" s="8"/>
      <c r="AM25" t="e">
        <f>F25/D25</f>
        <v>#DIV/0!</v>
      </c>
      <c r="AN25">
        <v>0</v>
      </c>
      <c r="AO25" t="e">
        <f>H25/D25</f>
        <v>#DIV/0!</v>
      </c>
      <c r="AP25" t="e">
        <f>G25/D25</f>
        <v>#VALUE!</v>
      </c>
      <c r="AQ25" t="e">
        <f>P25/D25</f>
        <v>#DIV/0!</v>
      </c>
      <c r="AR25" t="e">
        <f>N25/D25</f>
        <v>#DIV/0!</v>
      </c>
      <c r="AS25" t="e">
        <f>SUM(N25,P25,R25,U25,W25,X25)/D25</f>
        <v>#DIV/0!</v>
      </c>
      <c r="AT25">
        <f>(P25/1000)/(1.016*1)*10000</f>
        <v>0</v>
      </c>
      <c r="AU25">
        <f>(N25/1000)/(1.016*1)*10000</f>
        <v>0</v>
      </c>
      <c r="AV25">
        <f>(SUM(R25,U25,W25,X25)/1000)/(1.016*1)*10000</f>
        <v>0</v>
      </c>
      <c r="AW25">
        <f>SUM(AT25:AV25)</f>
        <v>0</v>
      </c>
      <c r="AX25">
        <f>J25/(100*101.6)</f>
        <v>0</v>
      </c>
      <c r="AY25" s="6">
        <f>L25</f>
        <v>0</v>
      </c>
      <c r="AZ25" t="e">
        <f>Y25/T25</f>
        <v>#DIV/0!</v>
      </c>
      <c r="BA25" t="e">
        <f>U25/SUM(U25,W25,X25)</f>
        <v>#DIV/0!</v>
      </c>
      <c r="BB25" t="e">
        <f>X25/SUM(U25,W25,X25)</f>
        <v>#DIV/0!</v>
      </c>
      <c r="BC25" t="e">
        <f>W25/SUM(U25,W25,X25)</f>
        <v>#DIV/0!</v>
      </c>
    </row>
    <row r="27" spans="1:55" x14ac:dyDescent="0.25">
      <c r="D27">
        <f>AVERAGE(D12:D25)</f>
        <v>11.857142857142858</v>
      </c>
    </row>
    <row r="28" spans="1:55" x14ac:dyDescent="0.25">
      <c r="L28" s="4">
        <f>AVERAGE(L12:L13,L18:L19)</f>
        <v>2.1549999999999998</v>
      </c>
      <c r="Z28" t="s">
        <v>49</v>
      </c>
      <c r="AA28" s="4">
        <f>AVERAGE(AA12:AA13,AA18:AA19)</f>
        <v>3.2134490196078431</v>
      </c>
      <c r="AB28" s="7">
        <f>AVERAGE(AB12:AB13,AB18:AB19)</f>
        <v>2398.7254901960787</v>
      </c>
      <c r="AC28" s="7">
        <f>AVERAGE(AC12:AC13,AC18:AC19)</f>
        <v>2791.8627450980393</v>
      </c>
      <c r="AD28" s="7">
        <f>AVERAGE(AD12:AD13,AD18:AD19)</f>
        <v>2579.5588235294117</v>
      </c>
      <c r="AE28" s="7">
        <f>AVERAGE(AE12:AE13,AE18:AE19)</f>
        <v>8991.0294117647063</v>
      </c>
      <c r="AF28" s="7">
        <f>AVERAGE(AF12:AF13,AF18:AF19)</f>
        <v>951.91176470588243</v>
      </c>
      <c r="AG28" s="7">
        <f>AVERAGE(AG12:AG13,AG18:AG19)</f>
        <v>77.97492596248766</v>
      </c>
      <c r="AH28" s="7">
        <f>AVERAGE(AH12:AH13,AH18:AH19)</f>
        <v>45.476633180419256</v>
      </c>
      <c r="AI28" s="7">
        <f>AVERAGE(AI12:AI13,AI18:AI19)</f>
        <v>94.096000000000004</v>
      </c>
      <c r="AK28" s="7">
        <f>AVERAGE(AK12:AK24)</f>
        <v>10.799484883471104</v>
      </c>
    </row>
    <row r="29" spans="1:55" x14ac:dyDescent="0.25">
      <c r="D29">
        <f>AVERAGE(d175Weights!D27,d203Weights!E27,d230Weights!D27)</f>
        <v>11.11904761904762</v>
      </c>
      <c r="L29" s="4">
        <f>AVERAGE(L16:L17,L20:L21)</f>
        <v>5.0049999999999999</v>
      </c>
      <c r="Z29" t="s">
        <v>48</v>
      </c>
      <c r="AA29" s="4">
        <f>AVERAGE(AA16:AA17,AA20:AA21)</f>
        <v>5.1840475490196081</v>
      </c>
      <c r="AB29" s="7">
        <f>AVERAGE(AB16:AB17,AB20:AB21)</f>
        <v>3084.4117647058829</v>
      </c>
      <c r="AC29" s="7">
        <f>AVERAGE(AC16:AC17,AC20:AC21)</f>
        <v>3936.666666666667</v>
      </c>
      <c r="AD29" s="7">
        <f>AVERAGE(AD16:AD17,AD20:AD21)</f>
        <v>5566.7156862745105</v>
      </c>
      <c r="AE29" s="7">
        <f>AVERAGE(AE16:AE17,AE20:AE21)</f>
        <v>13203.970588235294</v>
      </c>
      <c r="AF29" s="7">
        <f>AVERAGE(AF16:AF17,AF20:AF21)</f>
        <v>495.29411764705878</v>
      </c>
      <c r="AG29" s="7">
        <f>AVERAGE(AG16:AG17,AG20:AG21)</f>
        <v>80.529521683838993</v>
      </c>
      <c r="AH29" s="7">
        <f>AVERAGE(AH16:AH17,AH20:AH21)</f>
        <v>46.424917598816535</v>
      </c>
      <c r="AI29" s="7">
        <f>AVERAGE(AI16:AI17,AI20:AI21)</f>
        <v>127.4875</v>
      </c>
    </row>
    <row r="30" spans="1:55" x14ac:dyDescent="0.25">
      <c r="L30" s="4">
        <f>AVERAGE(L22:L23,L14:L15)</f>
        <v>4.79</v>
      </c>
      <c r="Z30" t="s">
        <v>47</v>
      </c>
      <c r="AA30" s="4">
        <f>AVERAGE(AA22:AA23,AA14:AA15)</f>
        <v>5.1110710784313724</v>
      </c>
      <c r="AB30" s="7">
        <f>AVERAGE(AB22:AB23,AB14:AB15)</f>
        <v>2994.0686274509799</v>
      </c>
      <c r="AC30" s="7">
        <f>AVERAGE(AC22:AC23,AC14:AC15)</f>
        <v>4036.5196078431377</v>
      </c>
      <c r="AD30" s="7">
        <f>AVERAGE(AD22:AD23,AD14:AD15)</f>
        <v>5882.5490196078426</v>
      </c>
      <c r="AE30" s="7">
        <f>AVERAGE(AE22:AE23,AE14:AE15)</f>
        <v>13390.294117647056</v>
      </c>
      <c r="AF30" s="7">
        <f>AVERAGE(AF22:AF23,AF14:AF15)</f>
        <v>383.62745098039215</v>
      </c>
      <c r="AG30" s="7">
        <f>AVERAGE(AG22:AG23,AG14:AG15)</f>
        <v>80.271847559779218</v>
      </c>
      <c r="AH30" s="7">
        <f>AVERAGE(AH22:AH23,AH14:AH15)</f>
        <v>47.060114323220077</v>
      </c>
      <c r="AI30" s="7">
        <f>AVERAGE(AI22:AI23,AI14:AI15)</f>
        <v>103.988</v>
      </c>
    </row>
    <row r="32" spans="1:55" x14ac:dyDescent="0.25">
      <c r="Z32" t="s">
        <v>49</v>
      </c>
      <c r="AA32" s="4">
        <f>AVERAGE(AA12:AA13)</f>
        <v>3.1814147058823528</v>
      </c>
      <c r="AB32" s="4"/>
      <c r="AC32" s="4"/>
      <c r="AD32" s="4"/>
      <c r="AE32" s="7">
        <f>AVERAGE(AE12:AE13)</f>
        <v>8972.3529411764703</v>
      </c>
      <c r="AG32" s="7">
        <f>AVERAGE(AG28:AG30)</f>
        <v>79.59209840203529</v>
      </c>
      <c r="AH32" s="7">
        <f>AVERAGE(AH28:AH30)</f>
        <v>46.320555034151958</v>
      </c>
      <c r="AI32" s="7">
        <f>AVERAGE(AI28:AI30)</f>
        <v>108.52383333333334</v>
      </c>
    </row>
    <row r="33" spans="2:31" x14ac:dyDescent="0.25">
      <c r="Z33" t="s">
        <v>48</v>
      </c>
      <c r="AA33" s="4">
        <f>AVERAGE(AA16:AA17)</f>
        <v>4.5649431372549021</v>
      </c>
      <c r="AB33" s="4"/>
      <c r="AC33" s="4"/>
      <c r="AD33" s="4"/>
      <c r="AE33" s="7">
        <f>AVERAGE(AE16:AE17)</f>
        <v>11376.274509803921</v>
      </c>
    </row>
    <row r="34" spans="2:31" x14ac:dyDescent="0.25">
      <c r="Z34" t="s">
        <v>47</v>
      </c>
      <c r="AA34" s="4">
        <f>AVERAGE(AA14:AA15)</f>
        <v>5.2178558823529411</v>
      </c>
      <c r="AB34" s="4"/>
      <c r="AC34" s="4"/>
      <c r="AD34" s="4"/>
      <c r="AE34" s="7">
        <f>AVERAGE(AE14:AE15)</f>
        <v>14373.823529411762</v>
      </c>
    </row>
    <row r="35" spans="2:31" x14ac:dyDescent="0.25">
      <c r="AA35" s="4"/>
      <c r="AB35" s="4"/>
      <c r="AC35" s="4"/>
      <c r="AD35" s="4"/>
      <c r="AE35" s="7"/>
    </row>
    <row r="36" spans="2:31" x14ac:dyDescent="0.25">
      <c r="Z36" t="s">
        <v>49</v>
      </c>
      <c r="AA36" s="4">
        <f>AVERAGE(AA18:AA19)</f>
        <v>3.2454833333333335</v>
      </c>
      <c r="AB36" s="4"/>
      <c r="AC36" s="4"/>
      <c r="AD36" s="4"/>
      <c r="AE36" s="7">
        <f>AVERAGE(AE18:AE19)</f>
        <v>9009.7058823529405</v>
      </c>
    </row>
    <row r="37" spans="2:31" x14ac:dyDescent="0.25">
      <c r="Z37" t="s">
        <v>48</v>
      </c>
      <c r="AA37" s="4">
        <f>AVERAGE(AA20:AA21)</f>
        <v>5.8031519607843141</v>
      </c>
      <c r="AB37" s="4"/>
      <c r="AC37" s="4"/>
      <c r="AD37" s="4"/>
      <c r="AE37" s="7">
        <f>AVERAGE(AE20:AE21)</f>
        <v>15031.666666666668</v>
      </c>
    </row>
    <row r="38" spans="2:31" x14ac:dyDescent="0.25">
      <c r="Z38" t="s">
        <v>47</v>
      </c>
      <c r="AA38" s="4">
        <f>AVERAGE(AA22:AA23)</f>
        <v>5.0042862745098038</v>
      </c>
      <c r="AB38" s="4"/>
      <c r="AC38" s="4"/>
      <c r="AD38" s="4"/>
      <c r="AE38" s="7">
        <f>AVERAGE(AE22:AE23)</f>
        <v>12406.764705882351</v>
      </c>
    </row>
    <row r="41" spans="2:31" x14ac:dyDescent="0.25">
      <c r="B41">
        <v>50</v>
      </c>
    </row>
  </sheetData>
  <mergeCells count="15">
    <mergeCell ref="U10:X10"/>
    <mergeCell ref="B12:B13"/>
    <mergeCell ref="B14:B15"/>
    <mergeCell ref="B16:B17"/>
    <mergeCell ref="B18:B19"/>
    <mergeCell ref="B20:B21"/>
    <mergeCell ref="B22:B23"/>
    <mergeCell ref="B24:B25"/>
    <mergeCell ref="AJ12:AJ13"/>
    <mergeCell ref="AJ14:AJ15"/>
    <mergeCell ref="AJ16:AJ17"/>
    <mergeCell ref="AJ18:AJ19"/>
    <mergeCell ref="AJ20:AJ21"/>
    <mergeCell ref="AJ22:AJ23"/>
    <mergeCell ref="AJ24:AJ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91158-1C41-4F7B-99D9-363AF58BFAE1}">
  <sheetPr>
    <pageSetUpPr fitToPage="1"/>
  </sheetPr>
  <dimension ref="A1:N70"/>
  <sheetViews>
    <sheetView zoomScale="70" zoomScaleNormal="70" zoomScaleSheetLayoutView="70" workbookViewId="0">
      <selection activeCell="J35" sqref="J35"/>
    </sheetView>
  </sheetViews>
  <sheetFormatPr defaultColWidth="8.85546875" defaultRowHeight="15" x14ac:dyDescent="0.25"/>
  <cols>
    <col min="1" max="1" width="9.140625" customWidth="1"/>
    <col min="2" max="2" width="7.42578125" customWidth="1"/>
    <col min="3" max="3" width="13.7109375" style="78" customWidth="1"/>
    <col min="4" max="5" width="16.7109375" style="78" customWidth="1"/>
    <col min="6" max="8" width="16.7109375" customWidth="1"/>
    <col min="9" max="9" width="0.85546875" customWidth="1"/>
    <col min="10" max="14" width="16.7109375" customWidth="1"/>
    <col min="15" max="15" width="32.42578125" customWidth="1"/>
    <col min="16" max="16" width="8.7109375" customWidth="1"/>
  </cols>
  <sheetData>
    <row r="1" spans="1:14" ht="18.75" x14ac:dyDescent="0.3">
      <c r="B1" s="27">
        <v>2014</v>
      </c>
      <c r="C1" s="73" t="s">
        <v>89</v>
      </c>
      <c r="D1" s="117"/>
      <c r="E1" s="117"/>
      <c r="F1" s="117"/>
      <c r="G1" s="117"/>
      <c r="H1" s="117"/>
      <c r="I1" s="117"/>
      <c r="J1" s="117"/>
      <c r="K1" s="117"/>
      <c r="L1" s="117"/>
      <c r="M1" s="117"/>
      <c r="N1" s="117"/>
    </row>
    <row r="2" spans="1:14" ht="18.75" x14ac:dyDescent="0.3">
      <c r="A2" s="117"/>
      <c r="B2" s="117"/>
      <c r="C2" s="73" t="s">
        <v>88</v>
      </c>
      <c r="E2" s="73" t="s">
        <v>87</v>
      </c>
      <c r="F2" s="117"/>
      <c r="G2" s="117"/>
      <c r="H2" s="117"/>
      <c r="I2" s="117"/>
      <c r="J2" s="117"/>
      <c r="K2" s="117"/>
      <c r="L2" s="117"/>
      <c r="M2" s="117"/>
      <c r="N2" s="117"/>
    </row>
    <row r="3" spans="1:14" ht="18.75" x14ac:dyDescent="0.3">
      <c r="C3" s="73"/>
    </row>
    <row r="4" spans="1:14" ht="15.75" x14ac:dyDescent="0.25">
      <c r="C4" s="117" t="s">
        <v>139</v>
      </c>
      <c r="D4" s="117"/>
      <c r="F4" s="116"/>
      <c r="G4" s="116"/>
      <c r="H4" s="119" t="s">
        <v>138</v>
      </c>
      <c r="I4" s="119"/>
      <c r="J4" s="40">
        <v>41869</v>
      </c>
      <c r="K4" s="114" t="s">
        <v>137</v>
      </c>
      <c r="L4" s="118">
        <v>1100</v>
      </c>
    </row>
    <row r="5" spans="1:14" ht="15.75" x14ac:dyDescent="0.25">
      <c r="C5" s="117"/>
      <c r="D5" s="117" t="s">
        <v>135</v>
      </c>
      <c r="F5" s="116"/>
      <c r="G5" s="116"/>
      <c r="H5" s="116"/>
      <c r="I5" s="116"/>
      <c r="K5" s="114" t="s">
        <v>134</v>
      </c>
      <c r="L5" s="30" t="s">
        <v>78</v>
      </c>
    </row>
    <row r="6" spans="1:14" ht="17.45" customHeight="1" x14ac:dyDescent="0.3">
      <c r="C6" s="73"/>
      <c r="D6" s="73"/>
      <c r="F6" s="116"/>
      <c r="G6" s="116"/>
      <c r="H6" s="116"/>
      <c r="I6" s="116"/>
      <c r="J6" s="115"/>
      <c r="K6" s="115"/>
      <c r="N6" s="114"/>
    </row>
    <row r="7" spans="1:14" ht="21" x14ac:dyDescent="0.35">
      <c r="D7" s="113" t="s">
        <v>144</v>
      </c>
      <c r="E7" s="112"/>
      <c r="F7" s="111"/>
      <c r="G7" s="111"/>
      <c r="H7" s="111"/>
    </row>
    <row r="8" spans="1:14" ht="50.45" customHeight="1" thickBot="1" x14ac:dyDescent="0.3">
      <c r="D8" s="109" t="s">
        <v>130</v>
      </c>
      <c r="E8" s="106" t="s">
        <v>129</v>
      </c>
      <c r="F8" s="105" t="s">
        <v>128</v>
      </c>
      <c r="G8" s="104" t="s">
        <v>127</v>
      </c>
      <c r="H8" s="144" t="s">
        <v>126</v>
      </c>
      <c r="I8" s="147"/>
      <c r="J8" s="102" t="s">
        <v>55</v>
      </c>
    </row>
    <row r="9" spans="1:14" ht="49.9" customHeight="1" thickBot="1" x14ac:dyDescent="0.3">
      <c r="B9" s="143" t="s">
        <v>125</v>
      </c>
      <c r="C9" s="142" t="s">
        <v>49</v>
      </c>
      <c r="D9" s="140">
        <v>77</v>
      </c>
      <c r="E9" s="139">
        <v>70</v>
      </c>
      <c r="F9" s="138">
        <v>70</v>
      </c>
      <c r="G9" s="137">
        <v>52</v>
      </c>
      <c r="H9" s="141">
        <v>34</v>
      </c>
      <c r="I9" s="141"/>
      <c r="J9" s="80"/>
    </row>
    <row r="10" spans="1:14" ht="49.9" customHeight="1" thickBot="1" x14ac:dyDescent="0.3">
      <c r="B10" s="135" t="s">
        <v>123</v>
      </c>
      <c r="C10" s="134" t="s">
        <v>47</v>
      </c>
      <c r="D10" s="132">
        <v>98</v>
      </c>
      <c r="E10" s="131">
        <v>96</v>
      </c>
      <c r="F10" s="130" t="s">
        <v>143</v>
      </c>
      <c r="G10" s="129" t="s">
        <v>143</v>
      </c>
      <c r="H10" s="133" t="s">
        <v>143</v>
      </c>
      <c r="I10" s="146"/>
      <c r="J10" s="80"/>
    </row>
    <row r="11" spans="1:14" ht="49.9" customHeight="1" thickBot="1" x14ac:dyDescent="0.3">
      <c r="B11" s="135" t="s">
        <v>121</v>
      </c>
      <c r="C11" s="134" t="s">
        <v>116</v>
      </c>
      <c r="D11" s="132">
        <v>94</v>
      </c>
      <c r="E11" s="131">
        <v>97</v>
      </c>
      <c r="F11" s="130" t="s">
        <v>143</v>
      </c>
      <c r="G11" s="129" t="s">
        <v>143</v>
      </c>
      <c r="H11" s="133" t="s">
        <v>143</v>
      </c>
      <c r="I11" s="146"/>
      <c r="J11" s="80"/>
    </row>
    <row r="12" spans="1:14" ht="49.9" customHeight="1" thickBot="1" x14ac:dyDescent="0.3">
      <c r="B12" s="135" t="s">
        <v>120</v>
      </c>
      <c r="C12" s="134" t="s">
        <v>49</v>
      </c>
      <c r="D12" s="132">
        <v>81</v>
      </c>
      <c r="E12" s="131">
        <v>75</v>
      </c>
      <c r="F12" s="130">
        <v>79</v>
      </c>
      <c r="G12" s="129">
        <v>78</v>
      </c>
      <c r="H12" s="133">
        <v>22</v>
      </c>
      <c r="I12" s="146"/>
      <c r="J12" s="80"/>
    </row>
    <row r="13" spans="1:14" ht="49.9" customHeight="1" thickBot="1" x14ac:dyDescent="0.3">
      <c r="B13" s="135" t="s">
        <v>119</v>
      </c>
      <c r="C13" s="134" t="s">
        <v>116</v>
      </c>
      <c r="D13" s="132">
        <v>107</v>
      </c>
      <c r="E13" s="131">
        <v>105</v>
      </c>
      <c r="F13" s="130" t="s">
        <v>143</v>
      </c>
      <c r="G13" s="129" t="s">
        <v>143</v>
      </c>
      <c r="H13" s="133" t="s">
        <v>143</v>
      </c>
      <c r="I13" s="146"/>
      <c r="J13" s="80"/>
    </row>
    <row r="14" spans="1:14" ht="49.9" customHeight="1" thickBot="1" x14ac:dyDescent="0.3">
      <c r="B14" s="135" t="s">
        <v>118</v>
      </c>
      <c r="C14" s="134" t="s">
        <v>47</v>
      </c>
      <c r="D14" s="132">
        <v>91</v>
      </c>
      <c r="E14" s="131">
        <v>98</v>
      </c>
      <c r="F14" s="130" t="s">
        <v>143</v>
      </c>
      <c r="G14" s="129" t="s">
        <v>143</v>
      </c>
      <c r="H14" s="133" t="s">
        <v>143</v>
      </c>
      <c r="I14" s="146"/>
      <c r="J14" s="80"/>
    </row>
    <row r="15" spans="1:14" ht="49.9" customHeight="1" thickBot="1" x14ac:dyDescent="0.3">
      <c r="B15" s="127" t="s">
        <v>117</v>
      </c>
      <c r="C15" s="126" t="s">
        <v>116</v>
      </c>
      <c r="D15" s="124">
        <v>92</v>
      </c>
      <c r="E15" s="123">
        <v>90</v>
      </c>
      <c r="F15" s="122" t="s">
        <v>143</v>
      </c>
      <c r="G15" s="121" t="s">
        <v>143</v>
      </c>
      <c r="H15" s="125" t="s">
        <v>143</v>
      </c>
      <c r="I15" s="145"/>
      <c r="J15" s="80"/>
    </row>
    <row r="16" spans="1:14" x14ac:dyDescent="0.25">
      <c r="J16" s="79"/>
      <c r="K16" s="79"/>
    </row>
    <row r="17" spans="5:11" x14ac:dyDescent="0.25">
      <c r="J17" s="79"/>
      <c r="K17" s="79"/>
    </row>
    <row r="18" spans="5:11" x14ac:dyDescent="0.25">
      <c r="J18" s="79"/>
      <c r="K18" s="79"/>
    </row>
    <row r="19" spans="5:11" x14ac:dyDescent="0.25">
      <c r="E19" s="78">
        <f>AVERAGE(D9:E9)/100</f>
        <v>0.73499999999999999</v>
      </c>
      <c r="G19">
        <f>AVERAGE(F9:G9)/100</f>
        <v>0.61</v>
      </c>
      <c r="J19" s="79"/>
      <c r="K19" s="79"/>
    </row>
    <row r="20" spans="5:11" x14ac:dyDescent="0.25">
      <c r="E20" s="78">
        <f>AVERAGE(D10:E10)/100</f>
        <v>0.97</v>
      </c>
      <c r="G20" t="e">
        <f>AVERAGE(F10:G10)/100</f>
        <v>#DIV/0!</v>
      </c>
      <c r="J20" s="79"/>
      <c r="K20" s="79"/>
    </row>
    <row r="21" spans="5:11" x14ac:dyDescent="0.25">
      <c r="E21" s="78">
        <f>AVERAGE(D11:E11)/100</f>
        <v>0.95499999999999996</v>
      </c>
      <c r="G21" t="e">
        <f>AVERAGE(F11:G11)/100</f>
        <v>#DIV/0!</v>
      </c>
      <c r="J21" s="79"/>
      <c r="K21" s="79"/>
    </row>
    <row r="22" spans="5:11" x14ac:dyDescent="0.25">
      <c r="E22" s="78">
        <f>AVERAGE(D12:E12)/100</f>
        <v>0.78</v>
      </c>
      <c r="G22">
        <f>AVERAGE(F12:G12)/100</f>
        <v>0.78500000000000003</v>
      </c>
      <c r="J22" s="79"/>
      <c r="K22" s="79"/>
    </row>
    <row r="23" spans="5:11" x14ac:dyDescent="0.25">
      <c r="E23" s="78">
        <f>AVERAGE(D13:E13)/100</f>
        <v>1.06</v>
      </c>
      <c r="G23" t="e">
        <f>AVERAGE(F13:G13)/100</f>
        <v>#DIV/0!</v>
      </c>
      <c r="J23" s="79"/>
      <c r="K23" s="79"/>
    </row>
    <row r="24" spans="5:11" x14ac:dyDescent="0.25">
      <c r="E24" s="78">
        <f>AVERAGE(D14:E14)/100</f>
        <v>0.94499999999999995</v>
      </c>
      <c r="G24" t="e">
        <f>AVERAGE(F14:G14)/100</f>
        <v>#DIV/0!</v>
      </c>
      <c r="J24" s="79"/>
      <c r="K24" s="79"/>
    </row>
    <row r="25" spans="5:11" x14ac:dyDescent="0.25">
      <c r="E25" s="78">
        <f>AVERAGE(D15:E15)/100</f>
        <v>0.91</v>
      </c>
      <c r="G25" t="e">
        <f>AVERAGE(F15:G15)/100</f>
        <v>#DIV/0!</v>
      </c>
      <c r="J25" s="79"/>
      <c r="K25" s="79"/>
    </row>
    <row r="26" spans="5:11" x14ac:dyDescent="0.25">
      <c r="J26" s="79"/>
      <c r="K26" s="79"/>
    </row>
    <row r="27" spans="5:11" x14ac:dyDescent="0.25">
      <c r="J27" s="79"/>
      <c r="K27" s="79"/>
    </row>
    <row r="28" spans="5:11" x14ac:dyDescent="0.25">
      <c r="J28" s="79"/>
      <c r="K28" s="79"/>
    </row>
    <row r="29" spans="5:11" x14ac:dyDescent="0.25">
      <c r="J29" s="79"/>
      <c r="K29" s="79"/>
    </row>
    <row r="30" spans="5:11" x14ac:dyDescent="0.25">
      <c r="J30" s="79"/>
      <c r="K30" s="79"/>
    </row>
    <row r="31" spans="5:11" x14ac:dyDescent="0.25">
      <c r="J31" s="79"/>
      <c r="K31" s="79"/>
    </row>
    <row r="32" spans="5:11" x14ac:dyDescent="0.25">
      <c r="J32" s="79"/>
      <c r="K32" s="79"/>
    </row>
    <row r="33" spans="10:11" x14ac:dyDescent="0.25">
      <c r="J33" s="79"/>
      <c r="K33" s="79"/>
    </row>
    <row r="34" spans="10:11" x14ac:dyDescent="0.25">
      <c r="J34" s="79"/>
      <c r="K34" s="79"/>
    </row>
    <row r="35" spans="10:11" x14ac:dyDescent="0.25">
      <c r="J35" s="79"/>
      <c r="K35" s="79"/>
    </row>
    <row r="36" spans="10:11" x14ac:dyDescent="0.25">
      <c r="J36" s="79"/>
      <c r="K36" s="79"/>
    </row>
    <row r="37" spans="10:11" x14ac:dyDescent="0.25">
      <c r="J37" s="79"/>
      <c r="K37" s="79"/>
    </row>
    <row r="38" spans="10:11" x14ac:dyDescent="0.25">
      <c r="J38" s="79"/>
      <c r="K38" s="79"/>
    </row>
    <row r="39" spans="10:11" x14ac:dyDescent="0.25">
      <c r="J39" s="79"/>
      <c r="K39" s="79"/>
    </row>
    <row r="40" spans="10:11" x14ac:dyDescent="0.25">
      <c r="J40" s="79"/>
      <c r="K40" s="79"/>
    </row>
    <row r="41" spans="10:11" x14ac:dyDescent="0.25">
      <c r="J41" s="79"/>
      <c r="K41" s="79"/>
    </row>
    <row r="42" spans="10:11" x14ac:dyDescent="0.25">
      <c r="J42" s="79"/>
      <c r="K42" s="79"/>
    </row>
    <row r="43" spans="10:11" x14ac:dyDescent="0.25">
      <c r="J43" s="79"/>
      <c r="K43" s="79"/>
    </row>
    <row r="44" spans="10:11" x14ac:dyDescent="0.25">
      <c r="J44" s="79"/>
      <c r="K44" s="79"/>
    </row>
    <row r="45" spans="10:11" x14ac:dyDescent="0.25">
      <c r="J45" s="79"/>
      <c r="K45" s="79"/>
    </row>
    <row r="46" spans="10:11" x14ac:dyDescent="0.25">
      <c r="J46" s="79"/>
      <c r="K46" s="79"/>
    </row>
    <row r="47" spans="10:11" x14ac:dyDescent="0.25">
      <c r="J47" s="79"/>
      <c r="K47" s="79"/>
    </row>
    <row r="48" spans="10:11" x14ac:dyDescent="0.25">
      <c r="J48" s="79"/>
      <c r="K48" s="79"/>
    </row>
    <row r="49" spans="10:11" x14ac:dyDescent="0.25">
      <c r="J49" s="79"/>
      <c r="K49" s="79"/>
    </row>
    <row r="50" spans="10:11" x14ac:dyDescent="0.25">
      <c r="J50" s="79"/>
      <c r="K50" s="79"/>
    </row>
    <row r="51" spans="10:11" x14ac:dyDescent="0.25">
      <c r="J51" s="79"/>
      <c r="K51" s="79"/>
    </row>
    <row r="52" spans="10:11" x14ac:dyDescent="0.25">
      <c r="J52" s="79"/>
      <c r="K52" s="79"/>
    </row>
    <row r="53" spans="10:11" x14ac:dyDescent="0.25">
      <c r="J53" s="79"/>
      <c r="K53" s="79"/>
    </row>
    <row r="54" spans="10:11" x14ac:dyDescent="0.25">
      <c r="J54" s="79"/>
      <c r="K54" s="79"/>
    </row>
    <row r="55" spans="10:11" x14ac:dyDescent="0.25">
      <c r="J55" s="79"/>
      <c r="K55" s="79"/>
    </row>
    <row r="56" spans="10:11" x14ac:dyDescent="0.25">
      <c r="J56" s="79"/>
      <c r="K56" s="79"/>
    </row>
    <row r="57" spans="10:11" x14ac:dyDescent="0.25">
      <c r="J57" s="79"/>
      <c r="K57" s="79"/>
    </row>
    <row r="58" spans="10:11" x14ac:dyDescent="0.25">
      <c r="J58" s="79"/>
      <c r="K58" s="79"/>
    </row>
    <row r="59" spans="10:11" x14ac:dyDescent="0.25">
      <c r="J59" s="79"/>
      <c r="K59" s="79"/>
    </row>
    <row r="60" spans="10:11" x14ac:dyDescent="0.25">
      <c r="J60" s="79"/>
      <c r="K60" s="79"/>
    </row>
    <row r="61" spans="10:11" x14ac:dyDescent="0.25">
      <c r="J61" s="79"/>
      <c r="K61" s="79"/>
    </row>
    <row r="62" spans="10:11" x14ac:dyDescent="0.25">
      <c r="J62" s="79"/>
      <c r="K62" s="79"/>
    </row>
    <row r="63" spans="10:11" x14ac:dyDescent="0.25">
      <c r="J63" s="79"/>
      <c r="K63" s="79"/>
    </row>
    <row r="64" spans="10:11" x14ac:dyDescent="0.25">
      <c r="J64" s="79"/>
      <c r="K64" s="79"/>
    </row>
    <row r="65" spans="10:11" x14ac:dyDescent="0.25">
      <c r="J65" s="79"/>
      <c r="K65" s="79"/>
    </row>
    <row r="66" spans="10:11" x14ac:dyDescent="0.25">
      <c r="J66" s="79"/>
      <c r="K66" s="79"/>
    </row>
    <row r="67" spans="10:11" x14ac:dyDescent="0.25">
      <c r="J67" s="79"/>
      <c r="K67" s="79"/>
    </row>
    <row r="68" spans="10:11" x14ac:dyDescent="0.25">
      <c r="J68" s="79"/>
      <c r="K68" s="79"/>
    </row>
    <row r="69" spans="10:11" x14ac:dyDescent="0.25">
      <c r="J69" s="79"/>
      <c r="K69" s="79"/>
    </row>
    <row r="70" spans="10:11" x14ac:dyDescent="0.25">
      <c r="J70" s="79"/>
      <c r="K70" s="79"/>
    </row>
  </sheetData>
  <pageMargins left="0.25" right="0.25" top="0.5" bottom="1" header="0.3" footer="0.53"/>
  <pageSetup scale="60" orientation="landscape" r:id="rId1"/>
  <headerFooter>
    <oddFooter>&amp;R&amp;Z&amp;F
&amp;P of &amp;N
smm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PlantDF</vt:lpstr>
      <vt:lpstr>d175Weights</vt:lpstr>
      <vt:lpstr>d175Height</vt:lpstr>
      <vt:lpstr>d203Weights</vt:lpstr>
      <vt:lpstr>d203Height</vt:lpstr>
      <vt:lpstr>d230Weights</vt:lpstr>
      <vt:lpstr>d230Height</vt:lpstr>
      <vt:lpstr>d175Height!Print_Area</vt:lpstr>
      <vt:lpstr>d175Weights!Print_Area</vt:lpstr>
      <vt:lpstr>d203Height!Print_Area</vt:lpstr>
      <vt:lpstr>d203Weights!Print_Area</vt:lpstr>
      <vt:lpstr>d230Height!Print_Area</vt:lpstr>
      <vt:lpstr>d175Height!Print_Titles</vt:lpstr>
      <vt:lpstr>d203Height!Print_Titles</vt:lpstr>
      <vt:lpstr>d230Height!Print_Titles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2025-06-11T16:43:24Z</dcterms:created>
  <dcterms:modified xsi:type="dcterms:W3CDTF">2025-06-11T19:49:37Z</dcterms:modified>
</cp:coreProperties>
</file>