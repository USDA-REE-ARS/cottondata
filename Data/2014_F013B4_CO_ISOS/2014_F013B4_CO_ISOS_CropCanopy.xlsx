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8E6293EA-3B78-49FF-9F68-436E271DA175}" xr6:coauthVersionLast="47" xr6:coauthVersionMax="47" xr10:uidLastSave="{00000000-0000-0000-0000-000000000000}"/>
  <bookViews>
    <workbookView xWindow="-1545" yWindow="-27375" windowWidth="17820" windowHeight="26805" xr2:uid="{00000000-000D-0000-FFFF-FFFF00000000}"/>
  </bookViews>
  <sheets>
    <sheet name="Height" sheetId="9" r:id="rId1"/>
    <sheet name="Width" sheetId="10" r:id="rId2"/>
    <sheet name="Summary-Plant Heights" sheetId="6" r:id="rId3"/>
    <sheet name="Summary-Bed Heights" sheetId="7" r:id="rId4"/>
    <sheet name="Summary-Cover" sheetId="8" r:id="rId5"/>
    <sheet name="Blank" sheetId="4" r:id="rId6"/>
  </sheets>
  <definedNames>
    <definedName name="_xlnm.Print_Area" localSheetId="5">Blank!$A$1:$AB$19</definedName>
    <definedName name="_xlnm.Print_Titles" localSheetId="5">Blank!$7:$8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8" l="1"/>
  <c r="L78" i="8"/>
  <c r="M78" i="8"/>
  <c r="N78" i="8"/>
  <c r="K79" i="8"/>
  <c r="L79" i="8"/>
  <c r="M79" i="8"/>
  <c r="N79" i="8"/>
  <c r="K80" i="8"/>
  <c r="L80" i="8"/>
  <c r="M80" i="8"/>
  <c r="N80" i="8"/>
  <c r="E80" i="8"/>
  <c r="E79" i="8"/>
  <c r="E78" i="8"/>
  <c r="J80" i="8"/>
  <c r="I80" i="8"/>
  <c r="H80" i="8"/>
  <c r="G80" i="8"/>
  <c r="F80" i="8"/>
  <c r="J79" i="8"/>
  <c r="I79" i="8"/>
  <c r="H79" i="8"/>
  <c r="G79" i="8"/>
  <c r="F79" i="8"/>
  <c r="J78" i="8"/>
  <c r="I78" i="8"/>
  <c r="H78" i="8"/>
  <c r="G78" i="8"/>
  <c r="F78" i="8"/>
  <c r="J80" i="6"/>
  <c r="I80" i="6"/>
  <c r="H80" i="6"/>
  <c r="G80" i="6"/>
  <c r="F80" i="6"/>
  <c r="J79" i="6"/>
  <c r="I79" i="6"/>
  <c r="H79" i="6"/>
  <c r="G79" i="6"/>
  <c r="F79" i="6"/>
  <c r="J78" i="6"/>
  <c r="I78" i="6"/>
  <c r="H78" i="6"/>
  <c r="G78" i="6"/>
  <c r="F78" i="6"/>
  <c r="E80" i="6"/>
  <c r="E79" i="6"/>
  <c r="E78" i="6"/>
  <c r="N75" i="7" l="1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J75" i="7" l="1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H75" i="7" l="1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F75" i="7" l="1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</calcChain>
</file>

<file path=xl/sharedStrings.xml><?xml version="1.0" encoding="utf-8"?>
<sst xmlns="http://schemas.openxmlformats.org/spreadsheetml/2006/main" count="587" uniqueCount="138">
  <si>
    <t>Span 1</t>
  </si>
  <si>
    <t>Span 2</t>
  </si>
  <si>
    <t>Span 3</t>
  </si>
  <si>
    <t>Span 4</t>
  </si>
  <si>
    <t>Span 5</t>
  </si>
  <si>
    <t>Trt 1</t>
  </si>
  <si>
    <t>Trt 2</t>
  </si>
  <si>
    <t>Trt 3</t>
  </si>
  <si>
    <t>Trt 4</t>
  </si>
  <si>
    <t>Trt 5</t>
  </si>
  <si>
    <t>Trt 6</t>
  </si>
  <si>
    <t>Trt 7</t>
  </si>
  <si>
    <t>Trt 8</t>
  </si>
  <si>
    <t>Trt 9</t>
  </si>
  <si>
    <t>Trt 10</t>
  </si>
  <si>
    <t>Stress</t>
  </si>
  <si>
    <t>FAO</t>
  </si>
  <si>
    <t>CropMod</t>
  </si>
  <si>
    <t>SEB</t>
  </si>
  <si>
    <t>NDVI</t>
  </si>
  <si>
    <t xml:space="preserve">Cotton </t>
  </si>
  <si>
    <t>Irrigation Scheduling experiment</t>
  </si>
  <si>
    <t>Span 7</t>
  </si>
  <si>
    <t>Trt 11</t>
  </si>
  <si>
    <t>NT 1</t>
  </si>
  <si>
    <t>NT 3</t>
  </si>
  <si>
    <t>NT 4</t>
  </si>
  <si>
    <t>NT 5</t>
  </si>
  <si>
    <t>NT 6</t>
  </si>
  <si>
    <t>F013 - lateral move irrigation</t>
  </si>
  <si>
    <t>← N</t>
  </si>
  <si>
    <t>Heights in cm</t>
  </si>
  <si>
    <t>Date:</t>
  </si>
  <si>
    <t>time:</t>
  </si>
  <si>
    <t>initials:</t>
  </si>
  <si>
    <r>
      <t xml:space="preserve">from top of </t>
    </r>
    <r>
      <rPr>
        <b/>
        <sz val="10"/>
        <color theme="1"/>
        <rFont val="Arial"/>
        <family val="2"/>
      </rPr>
      <t>bed</t>
    </r>
  </si>
  <si>
    <r>
      <t xml:space="preserve">from bottom of </t>
    </r>
    <r>
      <rPr>
        <b/>
        <sz val="10"/>
        <color theme="1"/>
        <rFont val="Arial"/>
        <family val="2"/>
      </rPr>
      <t>furrow</t>
    </r>
  </si>
  <si>
    <r>
      <rPr>
        <b/>
        <sz val="14"/>
        <color theme="1"/>
        <rFont val="Arial Rounded MT Bold"/>
        <family val="2"/>
      </rPr>
      <t>Canopy Heights</t>
    </r>
    <r>
      <rPr>
        <b/>
        <sz val="14"/>
        <color theme="1"/>
        <rFont val="Arial"/>
        <family val="2"/>
      </rPr>
      <t xml:space="preserve"> - all treatments</t>
    </r>
  </si>
  <si>
    <t>NT 2</t>
  </si>
  <si>
    <t>doy:</t>
  </si>
  <si>
    <r>
      <t xml:space="preserve">Summary of </t>
    </r>
    <r>
      <rPr>
        <b/>
        <sz val="12"/>
        <color theme="1"/>
        <rFont val="Arial Rounded MT Bold"/>
        <family val="2"/>
      </rPr>
      <t>Canopy Heights</t>
    </r>
    <r>
      <rPr>
        <b/>
        <sz val="12"/>
        <color theme="1"/>
        <rFont val="Arial"/>
        <family val="2"/>
      </rPr>
      <t xml:space="preserve"> - all treatments</t>
    </r>
  </si>
  <si>
    <t>3 &amp; 4 June</t>
  </si>
  <si>
    <t>154 &amp; 155</t>
  </si>
  <si>
    <t>from bottom of furrow</t>
  </si>
  <si>
    <r>
      <t xml:space="preserve">from top of </t>
    </r>
    <r>
      <rPr>
        <b/>
        <sz val="8"/>
        <color theme="1"/>
        <rFont val="Arial"/>
        <family val="2"/>
      </rPr>
      <t>bed</t>
    </r>
  </si>
  <si>
    <r>
      <t xml:space="preserve">from bottom of </t>
    </r>
    <r>
      <rPr>
        <b/>
        <sz val="8"/>
        <color theme="1"/>
        <rFont val="Arial"/>
        <family val="2"/>
      </rPr>
      <t>furrow</t>
    </r>
  </si>
  <si>
    <r>
      <t xml:space="preserve">Summary of </t>
    </r>
    <r>
      <rPr>
        <b/>
        <sz val="12"/>
        <color theme="1"/>
        <rFont val="Arial Rounded MT Bold"/>
        <family val="2"/>
      </rPr>
      <t>Canopy Heights</t>
    </r>
    <r>
      <rPr>
        <b/>
        <sz val="12"/>
        <color theme="1"/>
        <rFont val="Arial"/>
        <family val="2"/>
      </rPr>
      <t xml:space="preserve"> </t>
    </r>
    <r>
      <rPr>
        <b/>
        <i/>
        <sz val="12"/>
        <color theme="1"/>
        <rFont val="Arial"/>
        <family val="2"/>
      </rPr>
      <t xml:space="preserve">from bottom of furrow </t>
    </r>
    <r>
      <rPr>
        <b/>
        <sz val="12"/>
        <color theme="1"/>
        <rFont val="Arial"/>
        <family val="2"/>
      </rPr>
      <t>- all treatments</t>
    </r>
  </si>
  <si>
    <t>Bed elevation</t>
  </si>
  <si>
    <t>Width of canopy</t>
  </si>
  <si>
    <t>Between rows</t>
  </si>
  <si>
    <t>NT position 1</t>
  </si>
  <si>
    <t>NT position 6</t>
  </si>
  <si>
    <t>NT position 5</t>
  </si>
  <si>
    <t>NT position 4</t>
  </si>
  <si>
    <t>NT position 3</t>
  </si>
  <si>
    <t>NT position 2</t>
  </si>
  <si>
    <t>Canopy Cover</t>
  </si>
  <si>
    <t>Width between rows</t>
  </si>
  <si>
    <r>
      <t xml:space="preserve">Summary of </t>
    </r>
    <r>
      <rPr>
        <b/>
        <sz val="12"/>
        <color theme="1"/>
        <rFont val="Arial Rounded MT Bold"/>
        <family val="2"/>
      </rPr>
      <t>Canopy Cover</t>
    </r>
    <r>
      <rPr>
        <b/>
        <i/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- all treatments</t>
    </r>
  </si>
  <si>
    <t>Widths in cm</t>
  </si>
  <si>
    <t>Did not measure widths the first time I measured heights (3 &amp; 4 June) - smm</t>
  </si>
  <si>
    <t>No more tractor runs. Did not take bed measurements</t>
  </si>
  <si>
    <t>Blank = closed canopy</t>
  </si>
  <si>
    <t>CROPMOD</t>
  </si>
  <si>
    <t>STRESS</t>
  </si>
  <si>
    <t>p11-6</t>
  </si>
  <si>
    <t>p11-5</t>
  </si>
  <si>
    <t>p11-4</t>
  </si>
  <si>
    <t>p11-3</t>
  </si>
  <si>
    <t>p11-2</t>
  </si>
  <si>
    <t>p11-1</t>
  </si>
  <si>
    <t>p10-6</t>
  </si>
  <si>
    <t>p10-5</t>
  </si>
  <si>
    <t>p10-4</t>
  </si>
  <si>
    <t>p10-3</t>
  </si>
  <si>
    <t>p10-2</t>
  </si>
  <si>
    <t>p10-1</t>
  </si>
  <si>
    <t>p09-6</t>
  </si>
  <si>
    <t>p09-5</t>
  </si>
  <si>
    <t>p09-4</t>
  </si>
  <si>
    <t>p09-3</t>
  </si>
  <si>
    <t>p09-2</t>
  </si>
  <si>
    <t>p09-1</t>
  </si>
  <si>
    <t>p08-6</t>
  </si>
  <si>
    <t>p08-5</t>
  </si>
  <si>
    <t>p08-4</t>
  </si>
  <si>
    <t>p08-3</t>
  </si>
  <si>
    <t>p08-2</t>
  </si>
  <si>
    <t>p08-1</t>
  </si>
  <si>
    <t>p07-6</t>
  </si>
  <si>
    <t>p07-5</t>
  </si>
  <si>
    <t>p07-4</t>
  </si>
  <si>
    <t>p07-3</t>
  </si>
  <si>
    <t>p07-2</t>
  </si>
  <si>
    <t>p07-1</t>
  </si>
  <si>
    <t>p06-6</t>
  </si>
  <si>
    <t>p06-5</t>
  </si>
  <si>
    <t>p06-4</t>
  </si>
  <si>
    <t>p06-3</t>
  </si>
  <si>
    <t>p06-2</t>
  </si>
  <si>
    <t>p06-1</t>
  </si>
  <si>
    <t>p05-6</t>
  </si>
  <si>
    <t>p05-5</t>
  </si>
  <si>
    <t>p05-4</t>
  </si>
  <si>
    <t>p05-3</t>
  </si>
  <si>
    <t>p05-2</t>
  </si>
  <si>
    <t>p05-1</t>
  </si>
  <si>
    <t>p04-6</t>
  </si>
  <si>
    <t>p04-5</t>
  </si>
  <si>
    <t>p04-4</t>
  </si>
  <si>
    <t>p04-3</t>
  </si>
  <si>
    <t>p04-2</t>
  </si>
  <si>
    <t>p04-1</t>
  </si>
  <si>
    <t>p03-6</t>
  </si>
  <si>
    <t>p03-5</t>
  </si>
  <si>
    <t>p03-4</t>
  </si>
  <si>
    <t>p03-3</t>
  </si>
  <si>
    <t>p03-2</t>
  </si>
  <si>
    <t>p03-1</t>
  </si>
  <si>
    <t>p02-6</t>
  </si>
  <si>
    <t>p02-5</t>
  </si>
  <si>
    <t>p02-4</t>
  </si>
  <si>
    <t>p02-3</t>
  </si>
  <si>
    <t>p02-2</t>
  </si>
  <si>
    <t>p02-1</t>
  </si>
  <si>
    <t>p01-6</t>
  </si>
  <si>
    <t>p01-5</t>
  </si>
  <si>
    <t>p01-4</t>
  </si>
  <si>
    <t>p01-3</t>
  </si>
  <si>
    <t>p01-2</t>
  </si>
  <si>
    <t>p01-1</t>
  </si>
  <si>
    <t>DOY224</t>
  </si>
  <si>
    <t>DOY209</t>
  </si>
  <si>
    <t>DOY195</t>
  </si>
  <si>
    <t>DOY181</t>
  </si>
  <si>
    <t>DOY167</t>
  </si>
  <si>
    <t>DOY154</t>
  </si>
  <si>
    <t>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</si>
</sst>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 Black"/>
      <family val="2"/>
    </font>
    <font>
      <b/>
      <sz val="14"/>
      <color theme="1"/>
      <name val="Arial Rounded MT Bold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 Rounded MT Bold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.5"/>
      <color theme="1"/>
      <name val="Arial"/>
      <family val="2"/>
    </font>
    <font>
      <b/>
      <i/>
      <sz val="12"/>
      <color theme="1"/>
      <name val="Arial"/>
      <family val="2"/>
    </font>
    <font>
      <i/>
      <sz val="8"/>
      <color theme="1"/>
      <name val="Arial Rounded MT Bold"/>
      <family val="2"/>
    </font>
    <font>
      <b/>
      <i/>
      <sz val="8"/>
      <color theme="1"/>
      <name val="Arial Rounded MT Bold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theme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E6"/>
        <bgColor theme="1"/>
      </patternFill>
    </fill>
    <fill>
      <patternFill patternType="solid">
        <fgColor rgb="FFFFE5E6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right"/>
    </xf>
    <xf numFmtId="0" fontId="8" fillId="0" borderId="6" xfId="0" applyFont="1" applyBorder="1"/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8" fillId="0" borderId="2" xfId="0" applyFont="1" applyBorder="1"/>
    <xf numFmtId="0" fontId="12" fillId="0" borderId="3" xfId="0" applyFont="1" applyBorder="1" applyAlignment="1">
      <alignment horizontal="centerContinuous"/>
    </xf>
    <xf numFmtId="0" fontId="10" fillId="0" borderId="5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3" fillId="0" borderId="0" xfId="0" applyFont="1"/>
    <xf numFmtId="0" fontId="16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12" fillId="0" borderId="0" xfId="0" applyFont="1" applyAlignment="1">
      <alignment horizontal="centerContinuous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0" xfId="0" applyFont="1" applyFill="1" applyBorder="1" applyAlignment="1">
      <alignment horizont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 wrapText="1"/>
    </xf>
    <xf numFmtId="0" fontId="0" fillId="0" borderId="0" xfId="0" applyAlignment="1">
      <alignment horizontal="centerContinuous"/>
    </xf>
    <xf numFmtId="0" fontId="0" fillId="0" borderId="4" xfId="0" applyBorder="1" applyAlignment="1">
      <alignment horizontal="centerContinuous"/>
    </xf>
    <xf numFmtId="16" fontId="10" fillId="0" borderId="0" xfId="0" applyNumberFormat="1" applyFont="1" applyAlignment="1">
      <alignment horizontal="center"/>
    </xf>
    <xf numFmtId="16" fontId="10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2" fillId="0" borderId="0" xfId="0" applyFont="1"/>
    <xf numFmtId="0" fontId="17" fillId="0" borderId="5" xfId="0" applyFont="1" applyBorder="1" applyAlignment="1">
      <alignment horizontal="center" wrapText="1"/>
    </xf>
    <xf numFmtId="0" fontId="21" fillId="3" borderId="35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164" fontId="3" fillId="0" borderId="0" xfId="0" applyNumberFormat="1" applyFont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16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5E6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6718-7D1C-4180-982B-0BF0E3AF3BDD}">
  <dimension ref="A1:G67"/>
  <sheetViews>
    <sheetView tabSelected="1" workbookViewId="0"/>
  </sheetViews>
  <sheetFormatPr defaultRowHeight="15" x14ac:dyDescent="0.25"/>
  <sheetData>
    <row r="1" spans="1:7" x14ac:dyDescent="0.25">
      <c r="A1" t="s">
        <v>137</v>
      </c>
      <c r="B1" t="s">
        <v>136</v>
      </c>
      <c r="C1" t="s">
        <v>135</v>
      </c>
      <c r="D1" t="s">
        <v>134</v>
      </c>
      <c r="E1" t="s">
        <v>133</v>
      </c>
      <c r="F1" t="s">
        <v>132</v>
      </c>
      <c r="G1" t="s">
        <v>131</v>
      </c>
    </row>
    <row r="2" spans="1:7" x14ac:dyDescent="0.25">
      <c r="A2" t="s">
        <v>130</v>
      </c>
      <c r="B2">
        <v>18</v>
      </c>
      <c r="C2">
        <v>39</v>
      </c>
      <c r="D2">
        <v>48</v>
      </c>
      <c r="E2">
        <v>68</v>
      </c>
      <c r="F2">
        <v>74</v>
      </c>
      <c r="G2">
        <v>72</v>
      </c>
    </row>
    <row r="3" spans="1:7" x14ac:dyDescent="0.25">
      <c r="A3" t="s">
        <v>129</v>
      </c>
      <c r="B3">
        <v>18</v>
      </c>
      <c r="C3">
        <v>39</v>
      </c>
      <c r="D3">
        <v>48</v>
      </c>
      <c r="E3">
        <v>69</v>
      </c>
      <c r="F3">
        <v>62</v>
      </c>
      <c r="G3">
        <v>70</v>
      </c>
    </row>
    <row r="4" spans="1:7" x14ac:dyDescent="0.25">
      <c r="A4" t="s">
        <v>128</v>
      </c>
      <c r="B4">
        <v>19</v>
      </c>
      <c r="C4">
        <v>33</v>
      </c>
      <c r="D4">
        <v>57</v>
      </c>
      <c r="E4">
        <v>74</v>
      </c>
      <c r="F4">
        <v>74</v>
      </c>
      <c r="G4">
        <v>84</v>
      </c>
    </row>
    <row r="5" spans="1:7" x14ac:dyDescent="0.25">
      <c r="A5" t="s">
        <v>127</v>
      </c>
      <c r="B5">
        <v>19</v>
      </c>
      <c r="C5">
        <v>38</v>
      </c>
      <c r="D5">
        <v>51</v>
      </c>
      <c r="E5">
        <v>68</v>
      </c>
      <c r="F5">
        <v>64</v>
      </c>
      <c r="G5">
        <v>66</v>
      </c>
    </row>
    <row r="6" spans="1:7" x14ac:dyDescent="0.25">
      <c r="A6" t="s">
        <v>126</v>
      </c>
      <c r="B6">
        <v>17</v>
      </c>
      <c r="C6">
        <v>38</v>
      </c>
      <c r="D6">
        <v>54</v>
      </c>
      <c r="E6">
        <v>69</v>
      </c>
      <c r="F6">
        <v>69</v>
      </c>
      <c r="G6">
        <v>74</v>
      </c>
    </row>
    <row r="7" spans="1:7" x14ac:dyDescent="0.25">
      <c r="A7" t="s">
        <v>125</v>
      </c>
      <c r="B7">
        <v>19</v>
      </c>
      <c r="C7">
        <v>38</v>
      </c>
      <c r="D7">
        <v>46</v>
      </c>
      <c r="E7">
        <v>56</v>
      </c>
      <c r="F7">
        <v>57</v>
      </c>
      <c r="G7">
        <v>62</v>
      </c>
    </row>
    <row r="8" spans="1:7" x14ac:dyDescent="0.25">
      <c r="A8" t="s">
        <v>124</v>
      </c>
      <c r="B8">
        <v>19</v>
      </c>
      <c r="C8">
        <v>31</v>
      </c>
      <c r="D8">
        <v>60</v>
      </c>
      <c r="E8">
        <v>88</v>
      </c>
      <c r="F8">
        <v>98</v>
      </c>
      <c r="G8">
        <v>102</v>
      </c>
    </row>
    <row r="9" spans="1:7" x14ac:dyDescent="0.25">
      <c r="A9" t="s">
        <v>123</v>
      </c>
      <c r="B9">
        <v>17</v>
      </c>
      <c r="C9">
        <v>39</v>
      </c>
      <c r="D9">
        <v>70</v>
      </c>
      <c r="E9">
        <v>97</v>
      </c>
      <c r="F9">
        <v>110</v>
      </c>
      <c r="G9">
        <v>118</v>
      </c>
    </row>
    <row r="10" spans="1:7" x14ac:dyDescent="0.25">
      <c r="A10" t="s">
        <v>122</v>
      </c>
      <c r="B10">
        <v>19</v>
      </c>
      <c r="C10">
        <v>35</v>
      </c>
      <c r="D10">
        <v>68</v>
      </c>
      <c r="E10">
        <v>100</v>
      </c>
      <c r="F10">
        <v>104</v>
      </c>
      <c r="G10">
        <v>102</v>
      </c>
    </row>
    <row r="11" spans="1:7" x14ac:dyDescent="0.25">
      <c r="A11" t="s">
        <v>121</v>
      </c>
      <c r="B11">
        <v>16</v>
      </c>
      <c r="C11">
        <v>36</v>
      </c>
      <c r="D11">
        <v>65</v>
      </c>
      <c r="E11">
        <v>92</v>
      </c>
      <c r="F11">
        <v>103</v>
      </c>
      <c r="G11">
        <v>97</v>
      </c>
    </row>
    <row r="12" spans="1:7" x14ac:dyDescent="0.25">
      <c r="A12" t="s">
        <v>120</v>
      </c>
      <c r="B12">
        <v>15</v>
      </c>
      <c r="C12">
        <v>33</v>
      </c>
      <c r="D12">
        <v>65</v>
      </c>
      <c r="E12">
        <v>92</v>
      </c>
      <c r="F12">
        <v>98</v>
      </c>
      <c r="G12">
        <v>97</v>
      </c>
    </row>
    <row r="13" spans="1:7" x14ac:dyDescent="0.25">
      <c r="A13" t="s">
        <v>119</v>
      </c>
      <c r="B13">
        <v>16</v>
      </c>
      <c r="C13">
        <v>33</v>
      </c>
      <c r="D13">
        <v>55</v>
      </c>
      <c r="E13">
        <v>71</v>
      </c>
      <c r="F13">
        <v>76</v>
      </c>
      <c r="G13">
        <v>77</v>
      </c>
    </row>
    <row r="14" spans="1:7" x14ac:dyDescent="0.25">
      <c r="A14" t="s">
        <v>118</v>
      </c>
      <c r="B14">
        <v>19</v>
      </c>
      <c r="C14">
        <v>35</v>
      </c>
      <c r="D14">
        <v>59</v>
      </c>
      <c r="E14">
        <v>96</v>
      </c>
      <c r="F14">
        <v>111</v>
      </c>
      <c r="G14">
        <v>126</v>
      </c>
    </row>
    <row r="15" spans="1:7" x14ac:dyDescent="0.25">
      <c r="A15" t="s">
        <v>117</v>
      </c>
      <c r="B15">
        <v>17</v>
      </c>
      <c r="C15">
        <v>33</v>
      </c>
      <c r="D15">
        <v>61</v>
      </c>
      <c r="E15">
        <v>99</v>
      </c>
      <c r="F15">
        <v>112</v>
      </c>
      <c r="G15">
        <v>107</v>
      </c>
    </row>
    <row r="16" spans="1:7" x14ac:dyDescent="0.25">
      <c r="A16" t="s">
        <v>116</v>
      </c>
      <c r="B16">
        <v>22</v>
      </c>
      <c r="C16">
        <v>39</v>
      </c>
      <c r="D16">
        <v>70</v>
      </c>
      <c r="E16">
        <v>103</v>
      </c>
      <c r="F16">
        <v>116</v>
      </c>
      <c r="G16">
        <v>113</v>
      </c>
    </row>
    <row r="17" spans="1:7" x14ac:dyDescent="0.25">
      <c r="A17" t="s">
        <v>115</v>
      </c>
      <c r="B17">
        <v>20</v>
      </c>
      <c r="C17">
        <v>34</v>
      </c>
      <c r="D17">
        <v>54</v>
      </c>
      <c r="E17">
        <v>79</v>
      </c>
      <c r="F17">
        <v>102</v>
      </c>
      <c r="G17">
        <v>101</v>
      </c>
    </row>
    <row r="18" spans="1:7" x14ac:dyDescent="0.25">
      <c r="A18" t="s">
        <v>114</v>
      </c>
      <c r="B18">
        <v>21</v>
      </c>
      <c r="C18">
        <v>34</v>
      </c>
      <c r="D18">
        <v>60</v>
      </c>
      <c r="E18">
        <v>86</v>
      </c>
      <c r="F18">
        <v>95</v>
      </c>
      <c r="G18">
        <v>94</v>
      </c>
    </row>
    <row r="19" spans="1:7" x14ac:dyDescent="0.25">
      <c r="A19" t="s">
        <v>113</v>
      </c>
      <c r="B19">
        <v>18</v>
      </c>
      <c r="C19">
        <v>33</v>
      </c>
      <c r="D19">
        <v>55</v>
      </c>
      <c r="E19">
        <v>83</v>
      </c>
      <c r="F19">
        <v>88</v>
      </c>
      <c r="G19">
        <v>89</v>
      </c>
    </row>
    <row r="20" spans="1:7" x14ac:dyDescent="0.25">
      <c r="A20" t="s">
        <v>112</v>
      </c>
      <c r="B20">
        <v>21</v>
      </c>
      <c r="C20">
        <v>42</v>
      </c>
      <c r="D20">
        <v>73</v>
      </c>
      <c r="E20">
        <v>97</v>
      </c>
      <c r="F20">
        <v>114</v>
      </c>
      <c r="G20">
        <v>116</v>
      </c>
    </row>
    <row r="21" spans="1:7" x14ac:dyDescent="0.25">
      <c r="A21" t="s">
        <v>111</v>
      </c>
      <c r="B21">
        <v>20</v>
      </c>
      <c r="C21">
        <v>41</v>
      </c>
      <c r="D21">
        <v>76</v>
      </c>
      <c r="E21">
        <v>99</v>
      </c>
      <c r="F21">
        <v>109</v>
      </c>
      <c r="G21">
        <v>113</v>
      </c>
    </row>
    <row r="22" spans="1:7" x14ac:dyDescent="0.25">
      <c r="A22" t="s">
        <v>110</v>
      </c>
      <c r="B22">
        <v>21</v>
      </c>
      <c r="C22">
        <v>41</v>
      </c>
      <c r="D22">
        <v>78</v>
      </c>
      <c r="E22">
        <v>105</v>
      </c>
      <c r="F22">
        <v>109</v>
      </c>
      <c r="G22">
        <v>111</v>
      </c>
    </row>
    <row r="23" spans="1:7" x14ac:dyDescent="0.25">
      <c r="A23" t="s">
        <v>109</v>
      </c>
      <c r="B23">
        <v>21</v>
      </c>
      <c r="C23">
        <v>42</v>
      </c>
      <c r="D23">
        <v>67</v>
      </c>
      <c r="E23">
        <v>86</v>
      </c>
      <c r="F23">
        <v>95</v>
      </c>
      <c r="G23">
        <v>97</v>
      </c>
    </row>
    <row r="24" spans="1:7" x14ac:dyDescent="0.25">
      <c r="A24" t="s">
        <v>108</v>
      </c>
      <c r="B24">
        <v>19</v>
      </c>
      <c r="C24">
        <v>29</v>
      </c>
      <c r="D24">
        <v>58</v>
      </c>
      <c r="E24">
        <v>82</v>
      </c>
      <c r="F24">
        <v>90</v>
      </c>
      <c r="G24">
        <v>96</v>
      </c>
    </row>
    <row r="25" spans="1:7" x14ac:dyDescent="0.25">
      <c r="A25" t="s">
        <v>107</v>
      </c>
      <c r="B25">
        <v>19</v>
      </c>
      <c r="C25">
        <v>32</v>
      </c>
      <c r="D25">
        <v>51</v>
      </c>
      <c r="E25">
        <v>74</v>
      </c>
      <c r="F25">
        <v>72</v>
      </c>
      <c r="G25">
        <v>77</v>
      </c>
    </row>
    <row r="26" spans="1:7" x14ac:dyDescent="0.25">
      <c r="A26" t="s">
        <v>106</v>
      </c>
      <c r="B26">
        <v>21</v>
      </c>
      <c r="C26">
        <v>36</v>
      </c>
      <c r="D26">
        <v>62</v>
      </c>
      <c r="E26">
        <v>97</v>
      </c>
      <c r="F26">
        <v>90</v>
      </c>
      <c r="G26">
        <v>110</v>
      </c>
    </row>
    <row r="27" spans="1:7" x14ac:dyDescent="0.25">
      <c r="A27" t="s">
        <v>105</v>
      </c>
      <c r="B27">
        <v>21</v>
      </c>
      <c r="C27">
        <v>40</v>
      </c>
      <c r="D27">
        <v>72</v>
      </c>
      <c r="E27">
        <v>103</v>
      </c>
      <c r="F27">
        <v>110</v>
      </c>
      <c r="G27">
        <v>121</v>
      </c>
    </row>
    <row r="28" spans="1:7" x14ac:dyDescent="0.25">
      <c r="A28" t="s">
        <v>104</v>
      </c>
      <c r="B28">
        <v>24</v>
      </c>
      <c r="C28">
        <v>40</v>
      </c>
      <c r="D28">
        <v>75</v>
      </c>
      <c r="E28">
        <v>108</v>
      </c>
      <c r="F28">
        <v>121</v>
      </c>
      <c r="G28">
        <v>124</v>
      </c>
    </row>
    <row r="29" spans="1:7" x14ac:dyDescent="0.25">
      <c r="A29" t="s">
        <v>103</v>
      </c>
      <c r="B29">
        <v>22</v>
      </c>
      <c r="C29">
        <v>39</v>
      </c>
      <c r="D29">
        <v>70</v>
      </c>
      <c r="E29">
        <v>100</v>
      </c>
      <c r="F29">
        <v>109</v>
      </c>
      <c r="G29">
        <v>100</v>
      </c>
    </row>
    <row r="30" spans="1:7" x14ac:dyDescent="0.25">
      <c r="A30" t="s">
        <v>102</v>
      </c>
      <c r="B30">
        <v>22</v>
      </c>
      <c r="C30">
        <v>40</v>
      </c>
      <c r="D30">
        <v>70</v>
      </c>
      <c r="E30">
        <v>97</v>
      </c>
      <c r="F30">
        <v>107</v>
      </c>
      <c r="G30">
        <v>102</v>
      </c>
    </row>
    <row r="31" spans="1:7" x14ac:dyDescent="0.25">
      <c r="A31" t="s">
        <v>101</v>
      </c>
      <c r="B31">
        <v>20</v>
      </c>
      <c r="C31">
        <v>34</v>
      </c>
      <c r="D31">
        <v>61</v>
      </c>
      <c r="E31">
        <v>78</v>
      </c>
      <c r="F31">
        <v>76</v>
      </c>
      <c r="G31">
        <v>91</v>
      </c>
    </row>
    <row r="32" spans="1:7" x14ac:dyDescent="0.25">
      <c r="A32" t="s">
        <v>100</v>
      </c>
      <c r="B32">
        <v>16</v>
      </c>
      <c r="C32">
        <v>30</v>
      </c>
      <c r="D32">
        <v>46</v>
      </c>
      <c r="E32">
        <v>68</v>
      </c>
      <c r="F32">
        <v>64</v>
      </c>
      <c r="G32">
        <v>69</v>
      </c>
    </row>
    <row r="33" spans="1:7" x14ac:dyDescent="0.25">
      <c r="A33" t="s">
        <v>99</v>
      </c>
      <c r="B33">
        <v>21</v>
      </c>
      <c r="C33">
        <v>33</v>
      </c>
      <c r="D33">
        <v>55</v>
      </c>
      <c r="E33">
        <v>76</v>
      </c>
      <c r="F33">
        <v>82</v>
      </c>
      <c r="G33">
        <v>83</v>
      </c>
    </row>
    <row r="34" spans="1:7" x14ac:dyDescent="0.25">
      <c r="A34" t="s">
        <v>98</v>
      </c>
      <c r="B34">
        <v>22</v>
      </c>
      <c r="C34">
        <v>35</v>
      </c>
      <c r="D34">
        <v>53</v>
      </c>
      <c r="E34">
        <v>68</v>
      </c>
      <c r="F34">
        <v>78</v>
      </c>
      <c r="G34">
        <v>80</v>
      </c>
    </row>
    <row r="35" spans="1:7" x14ac:dyDescent="0.25">
      <c r="A35" t="s">
        <v>97</v>
      </c>
      <c r="B35">
        <v>22</v>
      </c>
      <c r="C35">
        <v>35</v>
      </c>
      <c r="D35">
        <v>52</v>
      </c>
      <c r="E35">
        <v>67</v>
      </c>
      <c r="F35">
        <v>70</v>
      </c>
      <c r="G35">
        <v>77</v>
      </c>
    </row>
    <row r="36" spans="1:7" x14ac:dyDescent="0.25">
      <c r="A36" t="s">
        <v>96</v>
      </c>
      <c r="B36">
        <v>16</v>
      </c>
      <c r="C36">
        <v>39</v>
      </c>
      <c r="D36">
        <v>52</v>
      </c>
      <c r="E36">
        <v>66</v>
      </c>
      <c r="F36">
        <v>61</v>
      </c>
      <c r="G36">
        <v>72</v>
      </c>
    </row>
    <row r="37" spans="1:7" x14ac:dyDescent="0.25">
      <c r="A37" t="s">
        <v>95</v>
      </c>
      <c r="B37">
        <v>21</v>
      </c>
      <c r="C37">
        <v>30</v>
      </c>
      <c r="D37">
        <v>51</v>
      </c>
      <c r="E37">
        <v>65</v>
      </c>
      <c r="F37">
        <v>68</v>
      </c>
      <c r="G37">
        <v>74</v>
      </c>
    </row>
    <row r="38" spans="1:7" x14ac:dyDescent="0.25">
      <c r="A38" t="s">
        <v>94</v>
      </c>
      <c r="B38">
        <v>20</v>
      </c>
      <c r="C38">
        <v>30</v>
      </c>
      <c r="D38">
        <v>54</v>
      </c>
      <c r="E38">
        <v>90</v>
      </c>
      <c r="F38">
        <v>112</v>
      </c>
      <c r="G38">
        <v>116</v>
      </c>
    </row>
    <row r="39" spans="1:7" x14ac:dyDescent="0.25">
      <c r="A39" t="s">
        <v>93</v>
      </c>
      <c r="B39">
        <v>20</v>
      </c>
      <c r="C39">
        <v>32</v>
      </c>
      <c r="D39">
        <v>65</v>
      </c>
      <c r="E39">
        <v>90</v>
      </c>
      <c r="F39">
        <v>110</v>
      </c>
      <c r="G39">
        <v>130</v>
      </c>
    </row>
    <row r="40" spans="1:7" x14ac:dyDescent="0.25">
      <c r="A40" t="s">
        <v>92</v>
      </c>
      <c r="B40">
        <v>18</v>
      </c>
      <c r="C40">
        <v>30</v>
      </c>
      <c r="D40">
        <v>55</v>
      </c>
      <c r="E40">
        <v>85</v>
      </c>
      <c r="F40">
        <v>100</v>
      </c>
      <c r="G40">
        <v>111</v>
      </c>
    </row>
    <row r="41" spans="1:7" x14ac:dyDescent="0.25">
      <c r="A41" t="s">
        <v>91</v>
      </c>
      <c r="B41">
        <v>21</v>
      </c>
      <c r="C41">
        <v>36</v>
      </c>
      <c r="D41">
        <v>65</v>
      </c>
      <c r="E41">
        <v>93</v>
      </c>
      <c r="F41">
        <v>108</v>
      </c>
      <c r="G41">
        <v>113</v>
      </c>
    </row>
    <row r="42" spans="1:7" x14ac:dyDescent="0.25">
      <c r="A42" t="s">
        <v>90</v>
      </c>
      <c r="B42">
        <v>22</v>
      </c>
      <c r="C42">
        <v>33</v>
      </c>
      <c r="D42">
        <v>55</v>
      </c>
      <c r="E42">
        <v>83</v>
      </c>
      <c r="F42">
        <v>101</v>
      </c>
      <c r="G42">
        <v>97</v>
      </c>
    </row>
    <row r="43" spans="1:7" x14ac:dyDescent="0.25">
      <c r="A43" t="s">
        <v>89</v>
      </c>
      <c r="B43">
        <v>23</v>
      </c>
      <c r="C43">
        <v>29</v>
      </c>
      <c r="D43">
        <v>55</v>
      </c>
      <c r="E43">
        <v>74</v>
      </c>
      <c r="F43">
        <v>82</v>
      </c>
      <c r="G43">
        <v>84</v>
      </c>
    </row>
    <row r="44" spans="1:7" x14ac:dyDescent="0.25">
      <c r="A44" t="s">
        <v>88</v>
      </c>
      <c r="B44">
        <v>20</v>
      </c>
      <c r="C44">
        <v>33</v>
      </c>
      <c r="D44">
        <v>65</v>
      </c>
      <c r="E44">
        <v>90</v>
      </c>
      <c r="F44">
        <v>91</v>
      </c>
      <c r="G44">
        <v>96</v>
      </c>
    </row>
    <row r="45" spans="1:7" x14ac:dyDescent="0.25">
      <c r="A45" t="s">
        <v>87</v>
      </c>
      <c r="B45">
        <v>21</v>
      </c>
      <c r="C45">
        <v>39</v>
      </c>
      <c r="D45">
        <v>73</v>
      </c>
      <c r="E45">
        <v>103</v>
      </c>
      <c r="F45">
        <v>111</v>
      </c>
      <c r="G45">
        <v>113</v>
      </c>
    </row>
    <row r="46" spans="1:7" x14ac:dyDescent="0.25">
      <c r="A46" t="s">
        <v>86</v>
      </c>
      <c r="B46">
        <v>15</v>
      </c>
      <c r="C46">
        <v>44</v>
      </c>
      <c r="D46">
        <v>58</v>
      </c>
      <c r="E46">
        <v>86</v>
      </c>
      <c r="F46">
        <v>90</v>
      </c>
      <c r="G46">
        <v>92</v>
      </c>
    </row>
    <row r="47" spans="1:7" x14ac:dyDescent="0.25">
      <c r="A47" t="s">
        <v>85</v>
      </c>
      <c r="B47">
        <v>20</v>
      </c>
      <c r="C47">
        <v>33</v>
      </c>
      <c r="D47">
        <v>62</v>
      </c>
      <c r="E47">
        <v>100</v>
      </c>
      <c r="F47">
        <v>111</v>
      </c>
      <c r="G47">
        <v>116</v>
      </c>
    </row>
    <row r="48" spans="1:7" x14ac:dyDescent="0.25">
      <c r="A48" t="s">
        <v>84</v>
      </c>
      <c r="B48">
        <v>23</v>
      </c>
      <c r="C48">
        <v>40</v>
      </c>
      <c r="D48">
        <v>58</v>
      </c>
      <c r="E48">
        <v>78</v>
      </c>
      <c r="F48">
        <v>76</v>
      </c>
      <c r="G48">
        <v>81</v>
      </c>
    </row>
    <row r="49" spans="1:7" x14ac:dyDescent="0.25">
      <c r="A49" t="s">
        <v>83</v>
      </c>
      <c r="B49">
        <v>20</v>
      </c>
      <c r="C49">
        <v>30</v>
      </c>
      <c r="D49">
        <v>50</v>
      </c>
      <c r="E49">
        <v>69</v>
      </c>
      <c r="F49">
        <v>73</v>
      </c>
      <c r="G49">
        <v>77</v>
      </c>
    </row>
    <row r="50" spans="1:7" x14ac:dyDescent="0.25">
      <c r="A50" t="s">
        <v>82</v>
      </c>
      <c r="B50">
        <v>20</v>
      </c>
      <c r="C50">
        <v>35</v>
      </c>
      <c r="D50">
        <v>54</v>
      </c>
      <c r="E50">
        <v>68</v>
      </c>
      <c r="F50">
        <v>80</v>
      </c>
      <c r="G50">
        <v>95</v>
      </c>
    </row>
    <row r="51" spans="1:7" x14ac:dyDescent="0.25">
      <c r="A51" t="s">
        <v>81</v>
      </c>
      <c r="B51">
        <v>17</v>
      </c>
      <c r="C51">
        <v>38</v>
      </c>
      <c r="D51">
        <v>66</v>
      </c>
      <c r="E51">
        <v>102</v>
      </c>
      <c r="F51">
        <v>119</v>
      </c>
      <c r="G51">
        <v>122</v>
      </c>
    </row>
    <row r="52" spans="1:7" x14ac:dyDescent="0.25">
      <c r="A52" t="s">
        <v>80</v>
      </c>
      <c r="B52">
        <v>21</v>
      </c>
      <c r="C52">
        <v>37</v>
      </c>
      <c r="D52">
        <v>63</v>
      </c>
      <c r="E52">
        <v>96</v>
      </c>
      <c r="F52">
        <v>111</v>
      </c>
      <c r="G52">
        <v>110</v>
      </c>
    </row>
    <row r="53" spans="1:7" x14ac:dyDescent="0.25">
      <c r="A53" t="s">
        <v>79</v>
      </c>
      <c r="B53">
        <v>24</v>
      </c>
      <c r="C53">
        <v>40</v>
      </c>
      <c r="D53">
        <v>60</v>
      </c>
      <c r="E53">
        <v>92</v>
      </c>
      <c r="F53">
        <v>108</v>
      </c>
      <c r="G53">
        <v>111</v>
      </c>
    </row>
    <row r="54" spans="1:7" x14ac:dyDescent="0.25">
      <c r="A54" t="s">
        <v>78</v>
      </c>
      <c r="B54">
        <v>22</v>
      </c>
      <c r="C54">
        <v>31</v>
      </c>
      <c r="D54">
        <v>52</v>
      </c>
      <c r="E54">
        <v>76</v>
      </c>
      <c r="F54">
        <v>81</v>
      </c>
      <c r="G54">
        <v>93</v>
      </c>
    </row>
    <row r="55" spans="1:7" x14ac:dyDescent="0.25">
      <c r="A55" t="s">
        <v>77</v>
      </c>
      <c r="B55">
        <v>20</v>
      </c>
      <c r="C55">
        <v>31</v>
      </c>
      <c r="D55">
        <v>54</v>
      </c>
      <c r="E55">
        <v>83</v>
      </c>
      <c r="F55">
        <v>88</v>
      </c>
      <c r="G55">
        <v>99</v>
      </c>
    </row>
    <row r="56" spans="1:7" x14ac:dyDescent="0.25">
      <c r="A56" t="s">
        <v>76</v>
      </c>
      <c r="B56">
        <v>21</v>
      </c>
      <c r="C56">
        <v>32</v>
      </c>
      <c r="D56">
        <v>55</v>
      </c>
      <c r="E56">
        <v>71</v>
      </c>
      <c r="F56">
        <v>78</v>
      </c>
      <c r="G56">
        <v>101</v>
      </c>
    </row>
    <row r="57" spans="1:7" x14ac:dyDescent="0.25">
      <c r="A57" t="s">
        <v>75</v>
      </c>
      <c r="B57">
        <v>23</v>
      </c>
      <c r="C57">
        <v>38</v>
      </c>
      <c r="D57">
        <v>64</v>
      </c>
      <c r="E57">
        <v>84</v>
      </c>
      <c r="F57">
        <v>89</v>
      </c>
      <c r="G57">
        <v>87</v>
      </c>
    </row>
    <row r="58" spans="1:7" x14ac:dyDescent="0.25">
      <c r="A58" t="s">
        <v>74</v>
      </c>
      <c r="B58">
        <v>23</v>
      </c>
      <c r="C58">
        <v>40</v>
      </c>
      <c r="D58">
        <v>66</v>
      </c>
      <c r="E58">
        <v>92</v>
      </c>
      <c r="F58">
        <v>98</v>
      </c>
      <c r="G58">
        <v>109</v>
      </c>
    </row>
    <row r="59" spans="1:7" x14ac:dyDescent="0.25">
      <c r="A59" t="s">
        <v>73</v>
      </c>
      <c r="B59">
        <v>24</v>
      </c>
      <c r="C59">
        <v>42</v>
      </c>
      <c r="D59">
        <v>76</v>
      </c>
      <c r="E59">
        <v>87</v>
      </c>
      <c r="F59">
        <v>90</v>
      </c>
      <c r="G59">
        <v>92</v>
      </c>
    </row>
    <row r="60" spans="1:7" x14ac:dyDescent="0.25">
      <c r="A60" t="s">
        <v>72</v>
      </c>
      <c r="B60">
        <v>22</v>
      </c>
      <c r="C60">
        <v>38</v>
      </c>
      <c r="D60">
        <v>56</v>
      </c>
      <c r="E60">
        <v>75</v>
      </c>
      <c r="F60">
        <v>76</v>
      </c>
      <c r="G60">
        <v>84</v>
      </c>
    </row>
    <row r="61" spans="1:7" x14ac:dyDescent="0.25">
      <c r="A61" t="s">
        <v>71</v>
      </c>
      <c r="B61">
        <v>20</v>
      </c>
      <c r="C61">
        <v>34</v>
      </c>
      <c r="D61">
        <v>53</v>
      </c>
      <c r="E61">
        <v>68</v>
      </c>
      <c r="F61">
        <v>74</v>
      </c>
      <c r="G61">
        <v>77</v>
      </c>
    </row>
    <row r="62" spans="1:7" x14ac:dyDescent="0.25">
      <c r="A62" t="s">
        <v>70</v>
      </c>
      <c r="B62">
        <v>19</v>
      </c>
      <c r="C62">
        <v>34</v>
      </c>
      <c r="D62">
        <v>50</v>
      </c>
      <c r="E62">
        <v>71</v>
      </c>
      <c r="F62">
        <v>80</v>
      </c>
      <c r="G62">
        <v>88</v>
      </c>
    </row>
    <row r="63" spans="1:7" x14ac:dyDescent="0.25">
      <c r="A63" t="s">
        <v>69</v>
      </c>
      <c r="B63">
        <v>19</v>
      </c>
      <c r="C63">
        <v>34</v>
      </c>
      <c r="D63">
        <v>54</v>
      </c>
      <c r="E63">
        <v>84</v>
      </c>
      <c r="F63">
        <v>97</v>
      </c>
      <c r="G63">
        <v>105</v>
      </c>
    </row>
    <row r="64" spans="1:7" x14ac:dyDescent="0.25">
      <c r="A64" t="s">
        <v>68</v>
      </c>
      <c r="B64">
        <v>21</v>
      </c>
      <c r="C64">
        <v>37</v>
      </c>
      <c r="D64">
        <v>58</v>
      </c>
      <c r="E64">
        <v>81</v>
      </c>
      <c r="F64">
        <v>97</v>
      </c>
      <c r="G64">
        <v>102</v>
      </c>
    </row>
    <row r="65" spans="1:7" x14ac:dyDescent="0.25">
      <c r="A65" t="s">
        <v>67</v>
      </c>
      <c r="B65">
        <v>18</v>
      </c>
      <c r="C65">
        <v>35</v>
      </c>
      <c r="D65">
        <v>54</v>
      </c>
      <c r="E65">
        <v>71</v>
      </c>
      <c r="F65">
        <v>90</v>
      </c>
      <c r="G65">
        <v>92</v>
      </c>
    </row>
    <row r="66" spans="1:7" x14ac:dyDescent="0.25">
      <c r="A66" t="s">
        <v>66</v>
      </c>
      <c r="B66">
        <v>19</v>
      </c>
      <c r="C66">
        <v>38</v>
      </c>
      <c r="D66">
        <v>52</v>
      </c>
      <c r="E66">
        <v>70</v>
      </c>
      <c r="F66">
        <v>81</v>
      </c>
      <c r="G66">
        <v>84</v>
      </c>
    </row>
    <row r="67" spans="1:7" x14ac:dyDescent="0.25">
      <c r="A67" t="s">
        <v>65</v>
      </c>
      <c r="B67">
        <v>21</v>
      </c>
      <c r="C67">
        <v>32</v>
      </c>
      <c r="D67">
        <v>50</v>
      </c>
      <c r="E67">
        <v>80</v>
      </c>
      <c r="F67">
        <v>91</v>
      </c>
      <c r="G67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7EAF-4D5B-4581-B3AA-7D94B84FE386}">
  <dimension ref="A1:F67"/>
  <sheetViews>
    <sheetView workbookViewId="0"/>
  </sheetViews>
  <sheetFormatPr defaultRowHeight="15" x14ac:dyDescent="0.25"/>
  <sheetData>
    <row r="1" spans="1:6" x14ac:dyDescent="0.25">
      <c r="A1" t="s">
        <v>137</v>
      </c>
      <c r="B1" t="s">
        <v>135</v>
      </c>
      <c r="C1" t="s">
        <v>134</v>
      </c>
      <c r="D1" t="s">
        <v>133</v>
      </c>
      <c r="E1" t="s">
        <v>132</v>
      </c>
      <c r="F1" t="s">
        <v>131</v>
      </c>
    </row>
    <row r="2" spans="1:6" x14ac:dyDescent="0.25">
      <c r="A2" t="s">
        <v>130</v>
      </c>
      <c r="B2">
        <v>31</v>
      </c>
      <c r="C2">
        <v>41</v>
      </c>
      <c r="D2">
        <v>58</v>
      </c>
      <c r="E2">
        <v>75</v>
      </c>
      <c r="F2">
        <v>8</v>
      </c>
    </row>
    <row r="3" spans="1:6" x14ac:dyDescent="0.25">
      <c r="A3" t="s">
        <v>129</v>
      </c>
      <c r="B3">
        <v>37</v>
      </c>
      <c r="C3">
        <v>39</v>
      </c>
      <c r="D3">
        <v>63</v>
      </c>
      <c r="E3">
        <v>70</v>
      </c>
      <c r="F3">
        <v>81</v>
      </c>
    </row>
    <row r="4" spans="1:6" x14ac:dyDescent="0.25">
      <c r="A4" t="s">
        <v>128</v>
      </c>
      <c r="B4">
        <v>34</v>
      </c>
      <c r="C4">
        <v>45</v>
      </c>
      <c r="D4">
        <v>69</v>
      </c>
      <c r="E4">
        <v>73</v>
      </c>
      <c r="F4">
        <v>91</v>
      </c>
    </row>
    <row r="5" spans="1:6" x14ac:dyDescent="0.25">
      <c r="A5" t="s">
        <v>127</v>
      </c>
      <c r="B5">
        <v>31</v>
      </c>
      <c r="C5">
        <v>38</v>
      </c>
      <c r="D5">
        <v>51</v>
      </c>
      <c r="E5">
        <v>55</v>
      </c>
      <c r="F5">
        <v>65</v>
      </c>
    </row>
    <row r="6" spans="1:6" x14ac:dyDescent="0.25">
      <c r="A6" t="s">
        <v>126</v>
      </c>
      <c r="B6">
        <v>33</v>
      </c>
      <c r="C6">
        <v>44</v>
      </c>
      <c r="D6">
        <v>60</v>
      </c>
      <c r="E6">
        <v>61</v>
      </c>
      <c r="F6">
        <v>76</v>
      </c>
    </row>
    <row r="7" spans="1:6" x14ac:dyDescent="0.25">
      <c r="A7" t="s">
        <v>125</v>
      </c>
      <c r="B7">
        <v>29</v>
      </c>
      <c r="C7">
        <v>37</v>
      </c>
      <c r="D7">
        <v>50</v>
      </c>
      <c r="E7">
        <v>64</v>
      </c>
      <c r="F7">
        <v>66</v>
      </c>
    </row>
    <row r="8" spans="1:6" x14ac:dyDescent="0.25">
      <c r="A8" t="s">
        <v>124</v>
      </c>
      <c r="B8">
        <v>30</v>
      </c>
      <c r="C8">
        <v>52</v>
      </c>
      <c r="D8">
        <v>71</v>
      </c>
      <c r="E8">
        <v>102</v>
      </c>
      <c r="F8">
        <v>102</v>
      </c>
    </row>
    <row r="9" spans="1:6" x14ac:dyDescent="0.25">
      <c r="A9" t="s">
        <v>123</v>
      </c>
      <c r="B9">
        <v>32</v>
      </c>
      <c r="C9">
        <v>58</v>
      </c>
      <c r="D9">
        <v>85</v>
      </c>
      <c r="E9">
        <v>102</v>
      </c>
      <c r="F9">
        <v>102</v>
      </c>
    </row>
    <row r="10" spans="1:6" x14ac:dyDescent="0.25">
      <c r="A10" t="s">
        <v>122</v>
      </c>
      <c r="B10">
        <v>34</v>
      </c>
      <c r="C10">
        <v>62</v>
      </c>
      <c r="D10">
        <v>82</v>
      </c>
      <c r="E10">
        <v>102</v>
      </c>
      <c r="F10">
        <v>102</v>
      </c>
    </row>
    <row r="11" spans="1:6" x14ac:dyDescent="0.25">
      <c r="A11" t="s">
        <v>121</v>
      </c>
      <c r="B11">
        <v>36</v>
      </c>
      <c r="C11">
        <v>54</v>
      </c>
      <c r="D11">
        <v>85</v>
      </c>
      <c r="E11">
        <v>102</v>
      </c>
      <c r="F11">
        <v>102</v>
      </c>
    </row>
    <row r="12" spans="1:6" x14ac:dyDescent="0.25">
      <c r="A12" t="s">
        <v>120</v>
      </c>
      <c r="B12">
        <v>34</v>
      </c>
      <c r="C12">
        <v>52</v>
      </c>
      <c r="D12">
        <v>68</v>
      </c>
      <c r="E12">
        <v>89</v>
      </c>
      <c r="F12">
        <v>102</v>
      </c>
    </row>
    <row r="13" spans="1:6" x14ac:dyDescent="0.25">
      <c r="A13" t="s">
        <v>119</v>
      </c>
      <c r="B13">
        <v>34</v>
      </c>
      <c r="C13">
        <v>44</v>
      </c>
      <c r="D13">
        <v>62</v>
      </c>
      <c r="E13">
        <v>74</v>
      </c>
      <c r="F13">
        <v>80</v>
      </c>
    </row>
    <row r="14" spans="1:6" x14ac:dyDescent="0.25">
      <c r="A14" t="s">
        <v>118</v>
      </c>
      <c r="B14">
        <v>29</v>
      </c>
      <c r="C14">
        <v>51</v>
      </c>
      <c r="D14">
        <v>81</v>
      </c>
      <c r="E14">
        <v>102</v>
      </c>
      <c r="F14">
        <v>102</v>
      </c>
    </row>
    <row r="15" spans="1:6" x14ac:dyDescent="0.25">
      <c r="A15" t="s">
        <v>117</v>
      </c>
      <c r="B15">
        <v>28</v>
      </c>
      <c r="C15">
        <v>56</v>
      </c>
      <c r="D15">
        <v>73</v>
      </c>
      <c r="E15">
        <v>102</v>
      </c>
      <c r="F15">
        <v>102</v>
      </c>
    </row>
    <row r="16" spans="1:6" x14ac:dyDescent="0.25">
      <c r="A16" t="s">
        <v>116</v>
      </c>
      <c r="B16">
        <v>36</v>
      </c>
      <c r="C16">
        <v>58</v>
      </c>
      <c r="D16">
        <v>89</v>
      </c>
      <c r="E16">
        <v>102</v>
      </c>
      <c r="F16">
        <v>102</v>
      </c>
    </row>
    <row r="17" spans="1:6" x14ac:dyDescent="0.25">
      <c r="A17" t="s">
        <v>115</v>
      </c>
      <c r="B17">
        <v>29</v>
      </c>
      <c r="C17">
        <v>51</v>
      </c>
      <c r="D17">
        <v>74</v>
      </c>
      <c r="E17">
        <v>102</v>
      </c>
      <c r="F17">
        <v>102</v>
      </c>
    </row>
    <row r="18" spans="1:6" x14ac:dyDescent="0.25">
      <c r="A18" t="s">
        <v>114</v>
      </c>
      <c r="B18">
        <v>31</v>
      </c>
      <c r="C18">
        <v>50</v>
      </c>
      <c r="D18">
        <v>68</v>
      </c>
      <c r="E18">
        <v>102</v>
      </c>
      <c r="F18">
        <v>102</v>
      </c>
    </row>
    <row r="19" spans="1:6" x14ac:dyDescent="0.25">
      <c r="A19" t="s">
        <v>113</v>
      </c>
      <c r="B19">
        <v>27</v>
      </c>
      <c r="C19">
        <v>48</v>
      </c>
      <c r="D19">
        <v>63</v>
      </c>
      <c r="E19">
        <v>69</v>
      </c>
      <c r="F19">
        <v>102</v>
      </c>
    </row>
    <row r="20" spans="1:6" x14ac:dyDescent="0.25">
      <c r="A20" t="s">
        <v>112</v>
      </c>
      <c r="B20">
        <v>36</v>
      </c>
      <c r="C20">
        <v>63</v>
      </c>
      <c r="D20">
        <v>93</v>
      </c>
      <c r="E20">
        <v>102</v>
      </c>
      <c r="F20">
        <v>102</v>
      </c>
    </row>
    <row r="21" spans="1:6" x14ac:dyDescent="0.25">
      <c r="A21" t="s">
        <v>111</v>
      </c>
      <c r="B21">
        <v>36</v>
      </c>
      <c r="C21">
        <v>61</v>
      </c>
      <c r="D21">
        <v>93</v>
      </c>
      <c r="E21">
        <v>102</v>
      </c>
      <c r="F21">
        <v>102</v>
      </c>
    </row>
    <row r="22" spans="1:6" x14ac:dyDescent="0.25">
      <c r="A22" t="s">
        <v>110</v>
      </c>
      <c r="B22">
        <v>38</v>
      </c>
      <c r="C22">
        <v>63</v>
      </c>
      <c r="D22">
        <v>85</v>
      </c>
      <c r="E22">
        <v>102</v>
      </c>
      <c r="F22">
        <v>102</v>
      </c>
    </row>
    <row r="23" spans="1:6" x14ac:dyDescent="0.25">
      <c r="A23" t="s">
        <v>109</v>
      </c>
      <c r="B23">
        <v>39</v>
      </c>
      <c r="C23">
        <v>62</v>
      </c>
      <c r="D23">
        <v>77</v>
      </c>
      <c r="E23">
        <v>102</v>
      </c>
      <c r="F23">
        <v>102</v>
      </c>
    </row>
    <row r="24" spans="1:6" x14ac:dyDescent="0.25">
      <c r="A24" t="s">
        <v>108</v>
      </c>
      <c r="B24">
        <v>24</v>
      </c>
      <c r="C24">
        <v>51</v>
      </c>
      <c r="D24">
        <v>75</v>
      </c>
      <c r="E24">
        <v>102</v>
      </c>
      <c r="F24">
        <v>102</v>
      </c>
    </row>
    <row r="25" spans="1:6" x14ac:dyDescent="0.25">
      <c r="A25" t="s">
        <v>107</v>
      </c>
      <c r="B25">
        <v>27</v>
      </c>
      <c r="C25">
        <v>44</v>
      </c>
      <c r="D25">
        <v>64</v>
      </c>
      <c r="E25">
        <v>79</v>
      </c>
      <c r="F25">
        <v>83</v>
      </c>
    </row>
    <row r="26" spans="1:6" x14ac:dyDescent="0.25">
      <c r="A26" t="s">
        <v>106</v>
      </c>
      <c r="B26">
        <v>36</v>
      </c>
      <c r="C26">
        <v>52</v>
      </c>
      <c r="D26">
        <v>78</v>
      </c>
      <c r="E26">
        <v>78</v>
      </c>
      <c r="F26">
        <v>102</v>
      </c>
    </row>
    <row r="27" spans="1:6" x14ac:dyDescent="0.25">
      <c r="A27" t="s">
        <v>105</v>
      </c>
      <c r="B27">
        <v>30</v>
      </c>
      <c r="C27">
        <v>60</v>
      </c>
      <c r="D27">
        <v>91</v>
      </c>
      <c r="E27">
        <v>102</v>
      </c>
      <c r="F27">
        <v>102</v>
      </c>
    </row>
    <row r="28" spans="1:6" x14ac:dyDescent="0.25">
      <c r="A28" t="s">
        <v>104</v>
      </c>
      <c r="B28">
        <v>34</v>
      </c>
      <c r="C28">
        <v>58</v>
      </c>
      <c r="D28">
        <v>91</v>
      </c>
      <c r="E28">
        <v>102</v>
      </c>
      <c r="F28">
        <v>102</v>
      </c>
    </row>
    <row r="29" spans="1:6" x14ac:dyDescent="0.25">
      <c r="A29" t="s">
        <v>103</v>
      </c>
      <c r="B29">
        <v>32</v>
      </c>
      <c r="C29">
        <v>63</v>
      </c>
      <c r="D29">
        <v>84</v>
      </c>
      <c r="E29">
        <v>102</v>
      </c>
      <c r="F29">
        <v>102</v>
      </c>
    </row>
    <row r="30" spans="1:6" x14ac:dyDescent="0.25">
      <c r="A30" t="s">
        <v>102</v>
      </c>
      <c r="B30">
        <v>36</v>
      </c>
      <c r="C30">
        <v>58</v>
      </c>
      <c r="D30">
        <v>85</v>
      </c>
      <c r="E30">
        <v>102</v>
      </c>
      <c r="F30">
        <v>102</v>
      </c>
    </row>
    <row r="31" spans="1:6" x14ac:dyDescent="0.25">
      <c r="A31" t="s">
        <v>101</v>
      </c>
      <c r="B31">
        <v>31</v>
      </c>
      <c r="C31">
        <v>45</v>
      </c>
      <c r="D31">
        <v>65</v>
      </c>
      <c r="E31">
        <v>72</v>
      </c>
      <c r="F31">
        <v>88</v>
      </c>
    </row>
    <row r="32" spans="1:6" x14ac:dyDescent="0.25">
      <c r="A32" t="s">
        <v>100</v>
      </c>
      <c r="B32">
        <v>28</v>
      </c>
      <c r="C32">
        <v>38</v>
      </c>
      <c r="D32">
        <v>56</v>
      </c>
      <c r="E32">
        <v>50</v>
      </c>
      <c r="F32">
        <v>70</v>
      </c>
    </row>
    <row r="33" spans="1:6" x14ac:dyDescent="0.25">
      <c r="A33" t="s">
        <v>99</v>
      </c>
      <c r="B33">
        <v>28</v>
      </c>
      <c r="C33">
        <v>39</v>
      </c>
      <c r="D33">
        <v>58</v>
      </c>
      <c r="E33">
        <v>63</v>
      </c>
      <c r="F33">
        <v>75</v>
      </c>
    </row>
    <row r="34" spans="1:6" x14ac:dyDescent="0.25">
      <c r="A34" t="s">
        <v>98</v>
      </c>
      <c r="B34">
        <v>31</v>
      </c>
      <c r="C34">
        <v>41</v>
      </c>
      <c r="D34">
        <v>63</v>
      </c>
      <c r="E34">
        <v>63</v>
      </c>
      <c r="F34">
        <v>81</v>
      </c>
    </row>
    <row r="35" spans="1:6" x14ac:dyDescent="0.25">
      <c r="A35" t="s">
        <v>97</v>
      </c>
      <c r="B35">
        <v>29</v>
      </c>
      <c r="C35">
        <v>38</v>
      </c>
      <c r="D35">
        <v>61</v>
      </c>
      <c r="E35">
        <v>63</v>
      </c>
      <c r="F35">
        <v>77</v>
      </c>
    </row>
    <row r="36" spans="1:6" x14ac:dyDescent="0.25">
      <c r="A36" t="s">
        <v>96</v>
      </c>
      <c r="B36">
        <v>32</v>
      </c>
      <c r="C36">
        <v>45</v>
      </c>
      <c r="D36">
        <v>60</v>
      </c>
      <c r="E36">
        <v>61</v>
      </c>
      <c r="F36">
        <v>74</v>
      </c>
    </row>
    <row r="37" spans="1:6" x14ac:dyDescent="0.25">
      <c r="A37" t="s">
        <v>95</v>
      </c>
      <c r="B37">
        <v>25</v>
      </c>
      <c r="C37">
        <v>41</v>
      </c>
      <c r="D37">
        <v>59</v>
      </c>
      <c r="E37">
        <v>60</v>
      </c>
      <c r="F37">
        <v>76</v>
      </c>
    </row>
    <row r="38" spans="1:6" x14ac:dyDescent="0.25">
      <c r="A38" t="s">
        <v>94</v>
      </c>
      <c r="B38">
        <v>23</v>
      </c>
      <c r="C38">
        <v>44</v>
      </c>
      <c r="D38">
        <v>72</v>
      </c>
      <c r="E38">
        <v>102</v>
      </c>
      <c r="F38">
        <v>102</v>
      </c>
    </row>
    <row r="39" spans="1:6" x14ac:dyDescent="0.25">
      <c r="A39" t="s">
        <v>93</v>
      </c>
      <c r="B39">
        <v>30</v>
      </c>
      <c r="C39">
        <v>49</v>
      </c>
      <c r="D39">
        <v>74</v>
      </c>
      <c r="E39">
        <v>102</v>
      </c>
      <c r="F39">
        <v>102</v>
      </c>
    </row>
    <row r="40" spans="1:6" x14ac:dyDescent="0.25">
      <c r="A40" t="s">
        <v>92</v>
      </c>
      <c r="B40">
        <v>26</v>
      </c>
      <c r="C40">
        <v>44</v>
      </c>
      <c r="D40">
        <v>69</v>
      </c>
      <c r="E40">
        <v>102</v>
      </c>
      <c r="F40">
        <v>102</v>
      </c>
    </row>
    <row r="41" spans="1:6" x14ac:dyDescent="0.25">
      <c r="A41" t="s">
        <v>91</v>
      </c>
      <c r="B41">
        <v>26</v>
      </c>
      <c r="C41">
        <v>51</v>
      </c>
      <c r="D41">
        <v>77</v>
      </c>
      <c r="E41">
        <v>102</v>
      </c>
      <c r="F41">
        <v>102</v>
      </c>
    </row>
    <row r="42" spans="1:6" x14ac:dyDescent="0.25">
      <c r="A42" t="s">
        <v>90</v>
      </c>
      <c r="B42">
        <v>30</v>
      </c>
      <c r="C42">
        <v>45</v>
      </c>
      <c r="D42">
        <v>72</v>
      </c>
      <c r="E42">
        <v>102</v>
      </c>
      <c r="F42">
        <v>102</v>
      </c>
    </row>
    <row r="43" spans="1:6" x14ac:dyDescent="0.25">
      <c r="A43" t="s">
        <v>89</v>
      </c>
      <c r="B43">
        <v>23</v>
      </c>
      <c r="C43">
        <v>43</v>
      </c>
      <c r="D43">
        <v>74</v>
      </c>
      <c r="E43">
        <v>82</v>
      </c>
      <c r="F43">
        <v>90</v>
      </c>
    </row>
    <row r="44" spans="1:6" x14ac:dyDescent="0.25">
      <c r="A44" t="s">
        <v>88</v>
      </c>
      <c r="B44">
        <v>26</v>
      </c>
      <c r="C44">
        <v>54</v>
      </c>
      <c r="D44">
        <v>72</v>
      </c>
      <c r="E44">
        <v>102</v>
      </c>
      <c r="F44">
        <v>102</v>
      </c>
    </row>
    <row r="45" spans="1:6" x14ac:dyDescent="0.25">
      <c r="A45" t="s">
        <v>87</v>
      </c>
      <c r="B45">
        <v>32</v>
      </c>
      <c r="C45">
        <v>51</v>
      </c>
      <c r="D45">
        <v>80</v>
      </c>
      <c r="E45">
        <v>102</v>
      </c>
      <c r="F45">
        <v>102</v>
      </c>
    </row>
    <row r="46" spans="1:6" x14ac:dyDescent="0.25">
      <c r="A46" t="s">
        <v>86</v>
      </c>
      <c r="B46">
        <v>35</v>
      </c>
      <c r="C46">
        <v>52</v>
      </c>
      <c r="D46">
        <v>70</v>
      </c>
      <c r="E46">
        <v>102</v>
      </c>
      <c r="F46">
        <v>102</v>
      </c>
    </row>
    <row r="47" spans="1:6" x14ac:dyDescent="0.25">
      <c r="A47" t="s">
        <v>85</v>
      </c>
      <c r="B47">
        <v>30</v>
      </c>
      <c r="C47">
        <v>50</v>
      </c>
      <c r="D47">
        <v>79</v>
      </c>
      <c r="E47">
        <v>102</v>
      </c>
      <c r="F47">
        <v>102</v>
      </c>
    </row>
    <row r="48" spans="1:6" x14ac:dyDescent="0.25">
      <c r="A48" t="s">
        <v>84</v>
      </c>
      <c r="B48">
        <v>32</v>
      </c>
      <c r="C48">
        <v>46</v>
      </c>
      <c r="D48">
        <v>59</v>
      </c>
      <c r="E48">
        <v>74</v>
      </c>
      <c r="F48">
        <v>23</v>
      </c>
    </row>
    <row r="49" spans="1:6" x14ac:dyDescent="0.25">
      <c r="A49" t="s">
        <v>83</v>
      </c>
      <c r="B49">
        <v>25</v>
      </c>
      <c r="C49">
        <v>48</v>
      </c>
      <c r="D49">
        <v>55</v>
      </c>
      <c r="E49">
        <v>70</v>
      </c>
      <c r="F49">
        <v>21</v>
      </c>
    </row>
    <row r="50" spans="1:6" x14ac:dyDescent="0.25">
      <c r="A50" t="s">
        <v>82</v>
      </c>
      <c r="B50">
        <v>29</v>
      </c>
      <c r="C50">
        <v>42</v>
      </c>
      <c r="D50">
        <v>59</v>
      </c>
      <c r="E50">
        <v>70</v>
      </c>
      <c r="F50">
        <v>102</v>
      </c>
    </row>
    <row r="51" spans="1:6" x14ac:dyDescent="0.25">
      <c r="A51" t="s">
        <v>81</v>
      </c>
      <c r="B51">
        <v>34</v>
      </c>
      <c r="C51">
        <v>53</v>
      </c>
      <c r="D51">
        <v>84</v>
      </c>
      <c r="E51">
        <v>102</v>
      </c>
      <c r="F51">
        <v>102</v>
      </c>
    </row>
    <row r="52" spans="1:6" x14ac:dyDescent="0.25">
      <c r="A52" t="s">
        <v>80</v>
      </c>
      <c r="B52">
        <v>35</v>
      </c>
      <c r="C52">
        <v>55</v>
      </c>
      <c r="D52">
        <v>76</v>
      </c>
      <c r="E52">
        <v>102</v>
      </c>
      <c r="F52">
        <v>102</v>
      </c>
    </row>
    <row r="53" spans="1:6" x14ac:dyDescent="0.25">
      <c r="A53" t="s">
        <v>79</v>
      </c>
      <c r="B53">
        <v>38</v>
      </c>
      <c r="C53">
        <v>54</v>
      </c>
      <c r="D53">
        <v>78</v>
      </c>
      <c r="E53">
        <v>102</v>
      </c>
      <c r="F53">
        <v>102</v>
      </c>
    </row>
    <row r="54" spans="1:6" x14ac:dyDescent="0.25">
      <c r="A54" t="s">
        <v>78</v>
      </c>
      <c r="B54">
        <v>30</v>
      </c>
      <c r="C54">
        <v>49</v>
      </c>
      <c r="D54">
        <v>70</v>
      </c>
      <c r="E54">
        <v>84</v>
      </c>
      <c r="F54">
        <v>102</v>
      </c>
    </row>
    <row r="55" spans="1:6" x14ac:dyDescent="0.25">
      <c r="A55" t="s">
        <v>77</v>
      </c>
      <c r="B55">
        <v>25</v>
      </c>
      <c r="C55">
        <v>46</v>
      </c>
      <c r="D55">
        <v>66</v>
      </c>
      <c r="E55">
        <v>79</v>
      </c>
      <c r="F55">
        <v>102</v>
      </c>
    </row>
    <row r="56" spans="1:6" x14ac:dyDescent="0.25">
      <c r="A56" t="s">
        <v>76</v>
      </c>
      <c r="B56">
        <v>32</v>
      </c>
      <c r="C56">
        <v>43</v>
      </c>
      <c r="D56">
        <v>59</v>
      </c>
      <c r="E56">
        <v>31</v>
      </c>
      <c r="F56">
        <v>102</v>
      </c>
    </row>
    <row r="57" spans="1:6" x14ac:dyDescent="0.25">
      <c r="A57" t="s">
        <v>75</v>
      </c>
      <c r="B57">
        <v>32</v>
      </c>
      <c r="C57">
        <v>46</v>
      </c>
      <c r="D57">
        <v>69</v>
      </c>
      <c r="E57">
        <v>76</v>
      </c>
      <c r="F57">
        <v>91</v>
      </c>
    </row>
    <row r="58" spans="1:6" x14ac:dyDescent="0.25">
      <c r="A58" t="s">
        <v>74</v>
      </c>
      <c r="B58">
        <v>34</v>
      </c>
      <c r="C58">
        <v>54</v>
      </c>
      <c r="D58">
        <v>79</v>
      </c>
      <c r="E58">
        <v>102</v>
      </c>
      <c r="F58">
        <v>102</v>
      </c>
    </row>
    <row r="59" spans="1:6" x14ac:dyDescent="0.25">
      <c r="A59" t="s">
        <v>73</v>
      </c>
      <c r="B59">
        <v>38</v>
      </c>
      <c r="C59">
        <v>48</v>
      </c>
      <c r="D59">
        <v>69</v>
      </c>
      <c r="E59">
        <v>85</v>
      </c>
      <c r="F59">
        <v>102</v>
      </c>
    </row>
    <row r="60" spans="1:6" x14ac:dyDescent="0.25">
      <c r="A60" t="s">
        <v>72</v>
      </c>
      <c r="B60">
        <v>33</v>
      </c>
      <c r="C60">
        <v>47</v>
      </c>
      <c r="D60">
        <v>67</v>
      </c>
      <c r="E60">
        <v>77</v>
      </c>
      <c r="F60">
        <v>92</v>
      </c>
    </row>
    <row r="61" spans="1:6" x14ac:dyDescent="0.25">
      <c r="A61" t="s">
        <v>71</v>
      </c>
      <c r="B61">
        <v>26</v>
      </c>
      <c r="C61">
        <v>37</v>
      </c>
      <c r="D61">
        <v>59</v>
      </c>
      <c r="E61">
        <v>66</v>
      </c>
      <c r="F61">
        <v>82</v>
      </c>
    </row>
    <row r="62" spans="1:6" x14ac:dyDescent="0.25">
      <c r="A62" t="s">
        <v>70</v>
      </c>
      <c r="B62">
        <v>29</v>
      </c>
      <c r="C62">
        <v>33</v>
      </c>
      <c r="D62">
        <v>56</v>
      </c>
      <c r="E62">
        <v>78</v>
      </c>
      <c r="F62">
        <v>102</v>
      </c>
    </row>
    <row r="63" spans="1:6" x14ac:dyDescent="0.25">
      <c r="A63" t="s">
        <v>69</v>
      </c>
      <c r="B63">
        <v>25</v>
      </c>
      <c r="C63">
        <v>35</v>
      </c>
      <c r="D63">
        <v>61</v>
      </c>
      <c r="E63">
        <v>80</v>
      </c>
      <c r="F63">
        <v>102</v>
      </c>
    </row>
    <row r="64" spans="1:6" x14ac:dyDescent="0.25">
      <c r="A64" t="s">
        <v>68</v>
      </c>
      <c r="B64">
        <v>31</v>
      </c>
      <c r="C64">
        <v>42</v>
      </c>
      <c r="D64">
        <v>71</v>
      </c>
      <c r="E64">
        <v>102</v>
      </c>
      <c r="F64">
        <v>102</v>
      </c>
    </row>
    <row r="65" spans="1:6" x14ac:dyDescent="0.25">
      <c r="A65" t="s">
        <v>67</v>
      </c>
      <c r="B65">
        <v>34</v>
      </c>
      <c r="C65">
        <v>38</v>
      </c>
      <c r="D65">
        <v>61</v>
      </c>
      <c r="E65">
        <v>80</v>
      </c>
      <c r="F65">
        <v>102</v>
      </c>
    </row>
    <row r="66" spans="1:6" x14ac:dyDescent="0.25">
      <c r="A66" t="s">
        <v>66</v>
      </c>
      <c r="B66">
        <v>28</v>
      </c>
      <c r="C66">
        <v>37</v>
      </c>
      <c r="D66">
        <v>57</v>
      </c>
      <c r="E66">
        <v>75</v>
      </c>
      <c r="F66">
        <v>102</v>
      </c>
    </row>
    <row r="67" spans="1:6" x14ac:dyDescent="0.25">
      <c r="A67" t="s">
        <v>65</v>
      </c>
      <c r="B67">
        <v>31</v>
      </c>
      <c r="C67">
        <v>37</v>
      </c>
      <c r="D67">
        <v>63</v>
      </c>
      <c r="E67">
        <v>78</v>
      </c>
      <c r="F67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zoomScale="85" zoomScaleNormal="85" workbookViewId="0"/>
  </sheetViews>
  <sheetFormatPr defaultColWidth="8.85546875" defaultRowHeight="14.25" x14ac:dyDescent="0.2"/>
  <cols>
    <col min="1" max="4" width="8.85546875" style="35"/>
    <col min="5" max="15" width="8.85546875" style="37"/>
    <col min="16" max="16384" width="8.85546875" style="35"/>
  </cols>
  <sheetData>
    <row r="1" spans="1:15" ht="18" x14ac:dyDescent="0.25">
      <c r="A1" s="2">
        <v>2014</v>
      </c>
      <c r="B1" s="3" t="s">
        <v>29</v>
      </c>
      <c r="C1" s="4"/>
      <c r="D1" s="4"/>
    </row>
    <row r="2" spans="1:15" ht="18" x14ac:dyDescent="0.25">
      <c r="A2" s="4"/>
      <c r="B2" s="3" t="s">
        <v>20</v>
      </c>
      <c r="C2" s="6"/>
      <c r="D2" s="3" t="s">
        <v>21</v>
      </c>
    </row>
    <row r="4" spans="1:15" ht="15.75" x14ac:dyDescent="0.25">
      <c r="B4" s="4" t="s">
        <v>40</v>
      </c>
      <c r="C4" s="4"/>
    </row>
    <row r="5" spans="1:15" ht="15.75" x14ac:dyDescent="0.25">
      <c r="B5" s="4"/>
      <c r="C5" s="4" t="s">
        <v>31</v>
      </c>
    </row>
    <row r="7" spans="1:15" ht="15" x14ac:dyDescent="0.25">
      <c r="D7" s="10" t="s">
        <v>32</v>
      </c>
      <c r="E7" s="39" t="s">
        <v>41</v>
      </c>
      <c r="F7" s="80">
        <v>41806</v>
      </c>
      <c r="G7" s="80">
        <v>41820</v>
      </c>
      <c r="H7" s="80">
        <v>41834</v>
      </c>
      <c r="I7" s="80">
        <v>41848</v>
      </c>
      <c r="J7" s="80">
        <v>41863</v>
      </c>
      <c r="K7" s="38"/>
      <c r="L7" s="38"/>
      <c r="M7" s="38"/>
      <c r="N7" s="38"/>
      <c r="O7" s="38"/>
    </row>
    <row r="8" spans="1:15" ht="15" x14ac:dyDescent="0.25">
      <c r="D8" s="10" t="s">
        <v>39</v>
      </c>
      <c r="E8" s="39" t="s">
        <v>42</v>
      </c>
      <c r="F8" s="38">
        <v>167</v>
      </c>
      <c r="G8" s="38">
        <v>181</v>
      </c>
      <c r="H8" s="38">
        <v>195</v>
      </c>
      <c r="I8" s="38">
        <v>209</v>
      </c>
      <c r="J8" s="38">
        <v>224</v>
      </c>
      <c r="K8" s="38"/>
      <c r="L8" s="38"/>
      <c r="M8" s="38"/>
      <c r="N8" s="38"/>
      <c r="O8" s="38"/>
    </row>
    <row r="9" spans="1:15" ht="23.25" thickBot="1" x14ac:dyDescent="0.3">
      <c r="D9" s="10"/>
      <c r="E9" s="36" t="s">
        <v>44</v>
      </c>
      <c r="F9" s="36" t="s">
        <v>44</v>
      </c>
      <c r="G9" s="36" t="s">
        <v>44</v>
      </c>
      <c r="H9" s="36" t="s">
        <v>44</v>
      </c>
      <c r="I9" s="36" t="s">
        <v>44</v>
      </c>
      <c r="J9" s="36" t="s">
        <v>44</v>
      </c>
      <c r="K9" s="36" t="s">
        <v>44</v>
      </c>
      <c r="L9" s="36" t="s">
        <v>44</v>
      </c>
      <c r="M9" s="36" t="s">
        <v>44</v>
      </c>
      <c r="N9" s="36" t="s">
        <v>44</v>
      </c>
      <c r="O9" s="36" t="s">
        <v>44</v>
      </c>
    </row>
    <row r="10" spans="1:15" s="40" customFormat="1" ht="16.899999999999999" customHeight="1" x14ac:dyDescent="0.25">
      <c r="B10" s="21" t="s">
        <v>0</v>
      </c>
      <c r="C10" s="21" t="s">
        <v>5</v>
      </c>
      <c r="D10" s="23" t="s">
        <v>24</v>
      </c>
      <c r="E10" s="41">
        <v>18</v>
      </c>
      <c r="F10" s="42">
        <v>39</v>
      </c>
      <c r="G10" s="42">
        <v>48</v>
      </c>
      <c r="H10" s="42">
        <v>68</v>
      </c>
      <c r="I10" s="42">
        <v>74</v>
      </c>
      <c r="J10" s="42">
        <v>72</v>
      </c>
      <c r="K10" s="42"/>
      <c r="L10" s="42"/>
      <c r="M10" s="42"/>
      <c r="N10" s="42"/>
      <c r="O10" s="42"/>
    </row>
    <row r="11" spans="1:15" s="40" customFormat="1" ht="16.899999999999999" customHeight="1" x14ac:dyDescent="0.25">
      <c r="B11" s="20"/>
      <c r="C11" s="20" t="s">
        <v>15</v>
      </c>
      <c r="D11" s="24" t="s">
        <v>38</v>
      </c>
      <c r="E11" s="43">
        <v>18</v>
      </c>
      <c r="F11" s="44">
        <v>39</v>
      </c>
      <c r="G11" s="44">
        <v>48</v>
      </c>
      <c r="H11" s="44">
        <v>69</v>
      </c>
      <c r="I11" s="44">
        <v>62</v>
      </c>
      <c r="J11" s="44">
        <v>70</v>
      </c>
      <c r="K11" s="44"/>
      <c r="L11" s="44"/>
      <c r="M11" s="44"/>
      <c r="N11" s="44"/>
      <c r="O11" s="44"/>
    </row>
    <row r="12" spans="1:15" s="40" customFormat="1" ht="16.899999999999999" customHeight="1" x14ac:dyDescent="0.25">
      <c r="B12" s="20"/>
      <c r="C12" s="20"/>
      <c r="D12" s="24" t="s">
        <v>25</v>
      </c>
      <c r="E12" s="43">
        <v>19</v>
      </c>
      <c r="F12" s="44">
        <v>33</v>
      </c>
      <c r="G12" s="44">
        <v>57</v>
      </c>
      <c r="H12" s="44">
        <v>74</v>
      </c>
      <c r="I12" s="44">
        <v>74</v>
      </c>
      <c r="J12" s="44">
        <v>84</v>
      </c>
      <c r="K12" s="44"/>
      <c r="L12" s="44"/>
      <c r="M12" s="44"/>
      <c r="N12" s="44"/>
      <c r="O12" s="44"/>
    </row>
    <row r="13" spans="1:15" s="40" customFormat="1" ht="16.899999999999999" customHeight="1" x14ac:dyDescent="0.25">
      <c r="B13" s="20"/>
      <c r="C13" s="20"/>
      <c r="D13" s="24" t="s">
        <v>26</v>
      </c>
      <c r="E13" s="43">
        <v>19</v>
      </c>
      <c r="F13" s="44">
        <v>38</v>
      </c>
      <c r="G13" s="44">
        <v>51</v>
      </c>
      <c r="H13" s="44">
        <v>68</v>
      </c>
      <c r="I13" s="44">
        <v>64</v>
      </c>
      <c r="J13" s="44">
        <v>66</v>
      </c>
      <c r="K13" s="44"/>
      <c r="L13" s="44"/>
      <c r="M13" s="44"/>
      <c r="N13" s="44"/>
      <c r="O13" s="44"/>
    </row>
    <row r="14" spans="1:15" s="40" customFormat="1" ht="16.899999999999999" customHeight="1" x14ac:dyDescent="0.25">
      <c r="B14" s="20"/>
      <c r="C14" s="20"/>
      <c r="D14" s="24" t="s">
        <v>27</v>
      </c>
      <c r="E14" s="43">
        <v>17</v>
      </c>
      <c r="F14" s="44">
        <v>38</v>
      </c>
      <c r="G14" s="44">
        <v>54</v>
      </c>
      <c r="H14" s="44">
        <v>69</v>
      </c>
      <c r="I14" s="44">
        <v>69</v>
      </c>
      <c r="J14" s="44">
        <v>74</v>
      </c>
      <c r="K14" s="44"/>
      <c r="L14" s="44"/>
      <c r="M14" s="44"/>
      <c r="N14" s="44"/>
      <c r="O14" s="44"/>
    </row>
    <row r="15" spans="1:15" s="40" customFormat="1" ht="16.899999999999999" customHeight="1" thickBot="1" x14ac:dyDescent="0.3">
      <c r="B15" s="22"/>
      <c r="C15" s="22"/>
      <c r="D15" s="25" t="s">
        <v>28</v>
      </c>
      <c r="E15" s="45">
        <v>19</v>
      </c>
      <c r="F15" s="46">
        <v>38</v>
      </c>
      <c r="G15" s="46">
        <v>46</v>
      </c>
      <c r="H15" s="46">
        <v>56</v>
      </c>
      <c r="I15" s="46">
        <v>57</v>
      </c>
      <c r="J15" s="46">
        <v>62</v>
      </c>
      <c r="K15" s="46"/>
      <c r="L15" s="46"/>
      <c r="M15" s="46"/>
      <c r="N15" s="46"/>
      <c r="O15" s="46"/>
    </row>
    <row r="16" spans="1:15" s="40" customFormat="1" ht="16.899999999999999" customHeight="1" x14ac:dyDescent="0.25">
      <c r="B16" s="21" t="s">
        <v>0</v>
      </c>
      <c r="C16" s="21" t="s">
        <v>6</v>
      </c>
      <c r="D16" s="23" t="s">
        <v>24</v>
      </c>
      <c r="E16" s="41">
        <v>19</v>
      </c>
      <c r="F16" s="42">
        <v>31</v>
      </c>
      <c r="G16" s="42">
        <v>60</v>
      </c>
      <c r="H16" s="42">
        <v>88</v>
      </c>
      <c r="I16" s="42">
        <v>98</v>
      </c>
      <c r="J16" s="42">
        <v>102</v>
      </c>
      <c r="K16" s="42"/>
      <c r="L16" s="42"/>
      <c r="M16" s="42"/>
      <c r="N16" s="42"/>
      <c r="O16" s="42"/>
    </row>
    <row r="17" spans="2:15" s="40" customFormat="1" ht="16.899999999999999" customHeight="1" x14ac:dyDescent="0.25">
      <c r="B17" s="20"/>
      <c r="C17" s="20" t="s">
        <v>16</v>
      </c>
      <c r="D17" s="24" t="s">
        <v>38</v>
      </c>
      <c r="E17" s="43">
        <v>17</v>
      </c>
      <c r="F17" s="44">
        <v>39</v>
      </c>
      <c r="G17" s="44">
        <v>70</v>
      </c>
      <c r="H17" s="44">
        <v>97</v>
      </c>
      <c r="I17" s="44">
        <v>110</v>
      </c>
      <c r="J17" s="44">
        <v>118</v>
      </c>
      <c r="K17" s="44"/>
      <c r="L17" s="44"/>
      <c r="M17" s="44"/>
      <c r="N17" s="44"/>
      <c r="O17" s="44"/>
    </row>
    <row r="18" spans="2:15" s="40" customFormat="1" ht="16.899999999999999" customHeight="1" x14ac:dyDescent="0.25">
      <c r="B18" s="20"/>
      <c r="C18" s="20"/>
      <c r="D18" s="24" t="s">
        <v>25</v>
      </c>
      <c r="E18" s="43">
        <v>19</v>
      </c>
      <c r="F18" s="44">
        <v>35</v>
      </c>
      <c r="G18" s="44">
        <v>68</v>
      </c>
      <c r="H18" s="44">
        <v>100</v>
      </c>
      <c r="I18" s="44">
        <v>104</v>
      </c>
      <c r="J18" s="44">
        <v>102</v>
      </c>
      <c r="K18" s="44"/>
      <c r="L18" s="44"/>
      <c r="M18" s="44"/>
      <c r="N18" s="44"/>
      <c r="O18" s="44"/>
    </row>
    <row r="19" spans="2:15" s="40" customFormat="1" ht="16.899999999999999" customHeight="1" x14ac:dyDescent="0.25">
      <c r="B19" s="20"/>
      <c r="C19" s="20"/>
      <c r="D19" s="24" t="s">
        <v>26</v>
      </c>
      <c r="E19" s="43">
        <v>16</v>
      </c>
      <c r="F19" s="44">
        <v>36</v>
      </c>
      <c r="G19" s="44">
        <v>65</v>
      </c>
      <c r="H19" s="44">
        <v>92</v>
      </c>
      <c r="I19" s="44">
        <v>103</v>
      </c>
      <c r="J19" s="44">
        <v>97</v>
      </c>
      <c r="K19" s="44"/>
      <c r="L19" s="44"/>
      <c r="M19" s="44"/>
      <c r="N19" s="44"/>
      <c r="O19" s="44"/>
    </row>
    <row r="20" spans="2:15" s="40" customFormat="1" ht="16.899999999999999" customHeight="1" x14ac:dyDescent="0.25">
      <c r="B20" s="20"/>
      <c r="C20" s="20"/>
      <c r="D20" s="24" t="s">
        <v>27</v>
      </c>
      <c r="E20" s="43">
        <v>15</v>
      </c>
      <c r="F20" s="44">
        <v>33</v>
      </c>
      <c r="G20" s="44">
        <v>65</v>
      </c>
      <c r="H20" s="44">
        <v>92</v>
      </c>
      <c r="I20" s="44">
        <v>98</v>
      </c>
      <c r="J20" s="44">
        <v>97</v>
      </c>
      <c r="K20" s="44"/>
      <c r="L20" s="44"/>
      <c r="M20" s="44"/>
      <c r="N20" s="44"/>
      <c r="O20" s="44"/>
    </row>
    <row r="21" spans="2:15" s="40" customFormat="1" ht="16.899999999999999" customHeight="1" thickBot="1" x14ac:dyDescent="0.3">
      <c r="B21" s="22"/>
      <c r="C21" s="22"/>
      <c r="D21" s="25" t="s">
        <v>28</v>
      </c>
      <c r="E21" s="45">
        <v>16</v>
      </c>
      <c r="F21" s="46">
        <v>33</v>
      </c>
      <c r="G21" s="46">
        <v>55</v>
      </c>
      <c r="H21" s="46">
        <v>71</v>
      </c>
      <c r="I21" s="46">
        <v>76</v>
      </c>
      <c r="J21" s="46">
        <v>77</v>
      </c>
      <c r="K21" s="46"/>
      <c r="L21" s="46"/>
      <c r="M21" s="46"/>
      <c r="N21" s="46"/>
      <c r="O21" s="46"/>
    </row>
    <row r="22" spans="2:15" s="40" customFormat="1" ht="16.899999999999999" customHeight="1" x14ac:dyDescent="0.25">
      <c r="B22" s="21" t="s">
        <v>1</v>
      </c>
      <c r="C22" s="21" t="s">
        <v>7</v>
      </c>
      <c r="D22" s="23" t="s">
        <v>24</v>
      </c>
      <c r="E22" s="41">
        <v>19</v>
      </c>
      <c r="F22" s="42">
        <v>35</v>
      </c>
      <c r="G22" s="42">
        <v>59</v>
      </c>
      <c r="H22" s="42">
        <v>96</v>
      </c>
      <c r="I22" s="42">
        <v>111</v>
      </c>
      <c r="J22" s="42">
        <v>126</v>
      </c>
      <c r="K22" s="42"/>
      <c r="L22" s="42"/>
      <c r="M22" s="42"/>
      <c r="N22" s="42"/>
      <c r="O22" s="42"/>
    </row>
    <row r="23" spans="2:15" s="40" customFormat="1" ht="16.899999999999999" customHeight="1" x14ac:dyDescent="0.25">
      <c r="B23" s="20"/>
      <c r="C23" s="20" t="s">
        <v>17</v>
      </c>
      <c r="D23" s="24" t="s">
        <v>38</v>
      </c>
      <c r="E23" s="43">
        <v>17</v>
      </c>
      <c r="F23" s="44">
        <v>33</v>
      </c>
      <c r="G23" s="44">
        <v>61</v>
      </c>
      <c r="H23" s="44">
        <v>99</v>
      </c>
      <c r="I23" s="44">
        <v>112</v>
      </c>
      <c r="J23" s="44">
        <v>107</v>
      </c>
      <c r="K23" s="44"/>
      <c r="L23" s="44"/>
      <c r="M23" s="44"/>
      <c r="N23" s="44"/>
      <c r="O23" s="44"/>
    </row>
    <row r="24" spans="2:15" s="40" customFormat="1" ht="16.899999999999999" customHeight="1" x14ac:dyDescent="0.25">
      <c r="B24" s="20"/>
      <c r="C24" s="20"/>
      <c r="D24" s="24" t="s">
        <v>25</v>
      </c>
      <c r="E24" s="43">
        <v>22</v>
      </c>
      <c r="F24" s="44">
        <v>39</v>
      </c>
      <c r="G24" s="44">
        <v>70</v>
      </c>
      <c r="H24" s="44">
        <v>103</v>
      </c>
      <c r="I24" s="44">
        <v>116</v>
      </c>
      <c r="J24" s="44">
        <v>113</v>
      </c>
      <c r="K24" s="44"/>
      <c r="L24" s="44"/>
      <c r="M24" s="44"/>
      <c r="N24" s="44"/>
      <c r="O24" s="44"/>
    </row>
    <row r="25" spans="2:15" s="40" customFormat="1" ht="16.899999999999999" customHeight="1" x14ac:dyDescent="0.25">
      <c r="B25" s="20"/>
      <c r="C25" s="20"/>
      <c r="D25" s="24" t="s">
        <v>26</v>
      </c>
      <c r="E25" s="43">
        <v>20</v>
      </c>
      <c r="F25" s="44">
        <v>34</v>
      </c>
      <c r="G25" s="44">
        <v>54</v>
      </c>
      <c r="H25" s="44">
        <v>79</v>
      </c>
      <c r="I25" s="44">
        <v>102</v>
      </c>
      <c r="J25" s="44">
        <v>101</v>
      </c>
      <c r="K25" s="44"/>
      <c r="L25" s="44"/>
      <c r="M25" s="44"/>
      <c r="N25" s="44"/>
      <c r="O25" s="44"/>
    </row>
    <row r="26" spans="2:15" s="40" customFormat="1" ht="16.899999999999999" customHeight="1" x14ac:dyDescent="0.25">
      <c r="B26" s="20"/>
      <c r="C26" s="20"/>
      <c r="D26" s="24" t="s">
        <v>27</v>
      </c>
      <c r="E26" s="43">
        <v>21</v>
      </c>
      <c r="F26" s="44">
        <v>34</v>
      </c>
      <c r="G26" s="44">
        <v>60</v>
      </c>
      <c r="H26" s="44">
        <v>86</v>
      </c>
      <c r="I26" s="44">
        <v>95</v>
      </c>
      <c r="J26" s="44">
        <v>94</v>
      </c>
      <c r="K26" s="44"/>
      <c r="L26" s="44"/>
      <c r="M26" s="44"/>
      <c r="N26" s="44"/>
      <c r="O26" s="44"/>
    </row>
    <row r="27" spans="2:15" s="40" customFormat="1" ht="16.899999999999999" customHeight="1" thickBot="1" x14ac:dyDescent="0.3">
      <c r="B27" s="22"/>
      <c r="C27" s="22"/>
      <c r="D27" s="25" t="s">
        <v>28</v>
      </c>
      <c r="E27" s="45">
        <v>18</v>
      </c>
      <c r="F27" s="46">
        <v>33</v>
      </c>
      <c r="G27" s="46">
        <v>55</v>
      </c>
      <c r="H27" s="46">
        <v>83</v>
      </c>
      <c r="I27" s="46">
        <v>88</v>
      </c>
      <c r="J27" s="46">
        <v>89</v>
      </c>
      <c r="K27" s="46"/>
      <c r="L27" s="46"/>
      <c r="M27" s="46"/>
      <c r="N27" s="46"/>
      <c r="O27" s="46"/>
    </row>
    <row r="28" spans="2:15" s="40" customFormat="1" ht="16.899999999999999" customHeight="1" x14ac:dyDescent="0.25">
      <c r="B28" s="26" t="s">
        <v>1</v>
      </c>
      <c r="C28" s="26" t="s">
        <v>8</v>
      </c>
      <c r="D28" s="27" t="s">
        <v>24</v>
      </c>
      <c r="E28" s="41">
        <v>21</v>
      </c>
      <c r="F28" s="42">
        <v>42</v>
      </c>
      <c r="G28" s="42">
        <v>73</v>
      </c>
      <c r="H28" s="42">
        <v>97</v>
      </c>
      <c r="I28" s="42">
        <v>114</v>
      </c>
      <c r="J28" s="42">
        <v>116</v>
      </c>
      <c r="K28" s="42"/>
      <c r="L28" s="42"/>
      <c r="M28" s="42"/>
      <c r="N28" s="42"/>
      <c r="O28" s="42"/>
    </row>
    <row r="29" spans="2:15" s="40" customFormat="1" ht="16.899999999999999" customHeight="1" x14ac:dyDescent="0.25">
      <c r="B29" s="28"/>
      <c r="C29" s="28" t="s">
        <v>18</v>
      </c>
      <c r="D29" s="29" t="s">
        <v>38</v>
      </c>
      <c r="E29" s="43">
        <v>20</v>
      </c>
      <c r="F29" s="44">
        <v>41</v>
      </c>
      <c r="G29" s="44">
        <v>76</v>
      </c>
      <c r="H29" s="44">
        <v>99</v>
      </c>
      <c r="I29" s="44">
        <v>109</v>
      </c>
      <c r="J29" s="44">
        <v>113</v>
      </c>
      <c r="K29" s="44"/>
      <c r="L29" s="44"/>
      <c r="M29" s="44"/>
      <c r="N29" s="44"/>
      <c r="O29" s="44"/>
    </row>
    <row r="30" spans="2:15" s="40" customFormat="1" ht="16.899999999999999" customHeight="1" x14ac:dyDescent="0.25">
      <c r="B30" s="28"/>
      <c r="C30" s="28"/>
      <c r="D30" s="29" t="s">
        <v>25</v>
      </c>
      <c r="E30" s="43">
        <v>21</v>
      </c>
      <c r="F30" s="44">
        <v>41</v>
      </c>
      <c r="G30" s="44">
        <v>78</v>
      </c>
      <c r="H30" s="44">
        <v>105</v>
      </c>
      <c r="I30" s="44">
        <v>109</v>
      </c>
      <c r="J30" s="44">
        <v>111</v>
      </c>
      <c r="K30" s="44"/>
      <c r="L30" s="44"/>
      <c r="M30" s="44"/>
      <c r="N30" s="44"/>
      <c r="O30" s="44"/>
    </row>
    <row r="31" spans="2:15" s="40" customFormat="1" ht="16.899999999999999" customHeight="1" x14ac:dyDescent="0.25">
      <c r="B31" s="28"/>
      <c r="C31" s="28"/>
      <c r="D31" s="29" t="s">
        <v>26</v>
      </c>
      <c r="E31" s="43">
        <v>21</v>
      </c>
      <c r="F31" s="44">
        <v>42</v>
      </c>
      <c r="G31" s="44">
        <v>67</v>
      </c>
      <c r="H31" s="44">
        <v>86</v>
      </c>
      <c r="I31" s="44">
        <v>95</v>
      </c>
      <c r="J31" s="44">
        <v>97</v>
      </c>
      <c r="K31" s="44"/>
      <c r="L31" s="44"/>
      <c r="M31" s="44"/>
      <c r="N31" s="44"/>
      <c r="O31" s="44"/>
    </row>
    <row r="32" spans="2:15" s="40" customFormat="1" ht="16.899999999999999" customHeight="1" x14ac:dyDescent="0.25">
      <c r="B32" s="28"/>
      <c r="C32" s="28"/>
      <c r="D32" s="29" t="s">
        <v>27</v>
      </c>
      <c r="E32" s="43">
        <v>19</v>
      </c>
      <c r="F32" s="44">
        <v>29</v>
      </c>
      <c r="G32" s="44">
        <v>58</v>
      </c>
      <c r="H32" s="44">
        <v>82</v>
      </c>
      <c r="I32" s="44">
        <v>90</v>
      </c>
      <c r="J32" s="44">
        <v>96</v>
      </c>
      <c r="K32" s="44"/>
      <c r="L32" s="44"/>
      <c r="M32" s="44"/>
      <c r="N32" s="44"/>
      <c r="O32" s="44"/>
    </row>
    <row r="33" spans="2:15" s="40" customFormat="1" ht="16.899999999999999" customHeight="1" thickBot="1" x14ac:dyDescent="0.3">
      <c r="B33" s="30"/>
      <c r="C33" s="30"/>
      <c r="D33" s="31" t="s">
        <v>28</v>
      </c>
      <c r="E33" s="45">
        <v>19</v>
      </c>
      <c r="F33" s="46">
        <v>32</v>
      </c>
      <c r="G33" s="46">
        <v>51</v>
      </c>
      <c r="H33" s="46">
        <v>74</v>
      </c>
      <c r="I33" s="46">
        <v>72</v>
      </c>
      <c r="J33" s="46">
        <v>77</v>
      </c>
      <c r="K33" s="46"/>
      <c r="L33" s="46"/>
      <c r="M33" s="46"/>
      <c r="N33" s="46"/>
      <c r="O33" s="46"/>
    </row>
    <row r="34" spans="2:15" s="40" customFormat="1" ht="16.899999999999999" customHeight="1" x14ac:dyDescent="0.25">
      <c r="B34" s="26" t="s">
        <v>2</v>
      </c>
      <c r="C34" s="26" t="s">
        <v>9</v>
      </c>
      <c r="D34" s="27" t="s">
        <v>24</v>
      </c>
      <c r="E34" s="41">
        <v>21</v>
      </c>
      <c r="F34" s="42">
        <v>36</v>
      </c>
      <c r="G34" s="42">
        <v>62</v>
      </c>
      <c r="H34" s="42">
        <v>97</v>
      </c>
      <c r="I34" s="42">
        <v>90</v>
      </c>
      <c r="J34" s="42">
        <v>110</v>
      </c>
      <c r="K34" s="42"/>
      <c r="L34" s="42"/>
      <c r="M34" s="42"/>
      <c r="N34" s="42"/>
      <c r="O34" s="42"/>
    </row>
    <row r="35" spans="2:15" s="40" customFormat="1" ht="16.899999999999999" customHeight="1" x14ac:dyDescent="0.25">
      <c r="B35" s="28"/>
      <c r="C35" s="28" t="s">
        <v>19</v>
      </c>
      <c r="D35" s="29" t="s">
        <v>38</v>
      </c>
      <c r="E35" s="43">
        <v>21</v>
      </c>
      <c r="F35" s="44">
        <v>40</v>
      </c>
      <c r="G35" s="44">
        <v>72</v>
      </c>
      <c r="H35" s="44">
        <v>103</v>
      </c>
      <c r="I35" s="44">
        <v>110</v>
      </c>
      <c r="J35" s="44">
        <v>121</v>
      </c>
      <c r="K35" s="44"/>
      <c r="L35" s="44"/>
      <c r="M35" s="44"/>
      <c r="N35" s="44"/>
      <c r="O35" s="44"/>
    </row>
    <row r="36" spans="2:15" s="40" customFormat="1" ht="16.899999999999999" customHeight="1" x14ac:dyDescent="0.25">
      <c r="B36" s="28"/>
      <c r="C36" s="28"/>
      <c r="D36" s="29" t="s">
        <v>25</v>
      </c>
      <c r="E36" s="43">
        <v>24</v>
      </c>
      <c r="F36" s="44">
        <v>40</v>
      </c>
      <c r="G36" s="44">
        <v>75</v>
      </c>
      <c r="H36" s="44">
        <v>108</v>
      </c>
      <c r="I36" s="44">
        <v>121</v>
      </c>
      <c r="J36" s="44">
        <v>124</v>
      </c>
      <c r="K36" s="44"/>
      <c r="L36" s="44"/>
      <c r="M36" s="44"/>
      <c r="N36" s="44"/>
      <c r="O36" s="44"/>
    </row>
    <row r="37" spans="2:15" s="40" customFormat="1" ht="16.899999999999999" customHeight="1" x14ac:dyDescent="0.25">
      <c r="B37" s="28"/>
      <c r="C37" s="28"/>
      <c r="D37" s="29" t="s">
        <v>26</v>
      </c>
      <c r="E37" s="43">
        <v>22</v>
      </c>
      <c r="F37" s="44">
        <v>39</v>
      </c>
      <c r="G37" s="44">
        <v>70</v>
      </c>
      <c r="H37" s="44">
        <v>100</v>
      </c>
      <c r="I37" s="44">
        <v>109</v>
      </c>
      <c r="J37" s="44">
        <v>100</v>
      </c>
      <c r="K37" s="44"/>
      <c r="L37" s="44"/>
      <c r="M37" s="44"/>
      <c r="N37" s="44"/>
      <c r="O37" s="44"/>
    </row>
    <row r="38" spans="2:15" s="40" customFormat="1" ht="16.899999999999999" customHeight="1" x14ac:dyDescent="0.25">
      <c r="B38" s="28"/>
      <c r="C38" s="28"/>
      <c r="D38" s="29" t="s">
        <v>27</v>
      </c>
      <c r="E38" s="43">
        <v>22</v>
      </c>
      <c r="F38" s="44">
        <v>40</v>
      </c>
      <c r="G38" s="44">
        <v>70</v>
      </c>
      <c r="H38" s="44">
        <v>97</v>
      </c>
      <c r="I38" s="44">
        <v>107</v>
      </c>
      <c r="J38" s="44">
        <v>102</v>
      </c>
      <c r="K38" s="44"/>
      <c r="L38" s="44"/>
      <c r="M38" s="44"/>
      <c r="N38" s="44"/>
      <c r="O38" s="44"/>
    </row>
    <row r="39" spans="2:15" s="40" customFormat="1" ht="16.899999999999999" customHeight="1" thickBot="1" x14ac:dyDescent="0.3">
      <c r="B39" s="30"/>
      <c r="C39" s="30"/>
      <c r="D39" s="31" t="s">
        <v>28</v>
      </c>
      <c r="E39" s="45">
        <v>20</v>
      </c>
      <c r="F39" s="46">
        <v>34</v>
      </c>
      <c r="G39" s="46">
        <v>61</v>
      </c>
      <c r="H39" s="46">
        <v>78</v>
      </c>
      <c r="I39" s="46">
        <v>76</v>
      </c>
      <c r="J39" s="46">
        <v>91</v>
      </c>
      <c r="K39" s="46"/>
      <c r="L39" s="46"/>
      <c r="M39" s="46"/>
      <c r="N39" s="46"/>
      <c r="O39" s="46"/>
    </row>
    <row r="40" spans="2:15" s="40" customFormat="1" ht="16.899999999999999" customHeight="1" x14ac:dyDescent="0.25">
      <c r="B40" s="21" t="s">
        <v>2</v>
      </c>
      <c r="C40" s="21" t="s">
        <v>10</v>
      </c>
      <c r="D40" s="23" t="s">
        <v>24</v>
      </c>
      <c r="E40" s="41">
        <v>16</v>
      </c>
      <c r="F40" s="42">
        <v>30</v>
      </c>
      <c r="G40" s="42">
        <v>46</v>
      </c>
      <c r="H40" s="42">
        <v>68</v>
      </c>
      <c r="I40" s="42">
        <v>64</v>
      </c>
      <c r="J40" s="42">
        <v>69</v>
      </c>
      <c r="K40" s="42"/>
      <c r="L40" s="42"/>
      <c r="M40" s="42"/>
      <c r="N40" s="42"/>
      <c r="O40" s="42"/>
    </row>
    <row r="41" spans="2:15" s="40" customFormat="1" ht="16.899999999999999" customHeight="1" x14ac:dyDescent="0.25">
      <c r="B41" s="20"/>
      <c r="C41" s="20" t="s">
        <v>15</v>
      </c>
      <c r="D41" s="24" t="s">
        <v>38</v>
      </c>
      <c r="E41" s="43">
        <v>21</v>
      </c>
      <c r="F41" s="44">
        <v>33</v>
      </c>
      <c r="G41" s="44">
        <v>55</v>
      </c>
      <c r="H41" s="44">
        <v>76</v>
      </c>
      <c r="I41" s="44">
        <v>82</v>
      </c>
      <c r="J41" s="44">
        <v>83</v>
      </c>
      <c r="K41" s="44"/>
      <c r="L41" s="44"/>
      <c r="M41" s="44"/>
      <c r="N41" s="44"/>
      <c r="O41" s="44"/>
    </row>
    <row r="42" spans="2:15" s="40" customFormat="1" ht="16.899999999999999" customHeight="1" x14ac:dyDescent="0.25">
      <c r="B42" s="20"/>
      <c r="C42" s="20"/>
      <c r="D42" s="24" t="s">
        <v>25</v>
      </c>
      <c r="E42" s="43">
        <v>22</v>
      </c>
      <c r="F42" s="44">
        <v>35</v>
      </c>
      <c r="G42" s="44">
        <v>53</v>
      </c>
      <c r="H42" s="44">
        <v>68</v>
      </c>
      <c r="I42" s="44">
        <v>78</v>
      </c>
      <c r="J42" s="44">
        <v>80</v>
      </c>
      <c r="K42" s="44"/>
      <c r="L42" s="44"/>
      <c r="M42" s="44"/>
      <c r="N42" s="44"/>
      <c r="O42" s="44"/>
    </row>
    <row r="43" spans="2:15" s="40" customFormat="1" ht="16.899999999999999" customHeight="1" x14ac:dyDescent="0.25">
      <c r="B43" s="20"/>
      <c r="C43" s="20"/>
      <c r="D43" s="24" t="s">
        <v>26</v>
      </c>
      <c r="E43" s="43">
        <v>22</v>
      </c>
      <c r="F43" s="44">
        <v>35</v>
      </c>
      <c r="G43" s="44">
        <v>52</v>
      </c>
      <c r="H43" s="44">
        <v>67</v>
      </c>
      <c r="I43" s="44">
        <v>70</v>
      </c>
      <c r="J43" s="44">
        <v>77</v>
      </c>
      <c r="K43" s="44"/>
      <c r="L43" s="44"/>
      <c r="M43" s="44"/>
      <c r="N43" s="44"/>
      <c r="O43" s="44"/>
    </row>
    <row r="44" spans="2:15" s="40" customFormat="1" ht="16.899999999999999" customHeight="1" x14ac:dyDescent="0.25">
      <c r="B44" s="20"/>
      <c r="C44" s="20"/>
      <c r="D44" s="24" t="s">
        <v>27</v>
      </c>
      <c r="E44" s="43">
        <v>16</v>
      </c>
      <c r="F44" s="44">
        <v>39</v>
      </c>
      <c r="G44" s="44">
        <v>52</v>
      </c>
      <c r="H44" s="44">
        <v>66</v>
      </c>
      <c r="I44" s="44">
        <v>61</v>
      </c>
      <c r="J44" s="44">
        <v>72</v>
      </c>
      <c r="K44" s="44"/>
      <c r="L44" s="44"/>
      <c r="M44" s="44"/>
      <c r="N44" s="44"/>
      <c r="O44" s="44"/>
    </row>
    <row r="45" spans="2:15" s="40" customFormat="1" ht="16.899999999999999" customHeight="1" thickBot="1" x14ac:dyDescent="0.3">
      <c r="B45" s="22"/>
      <c r="C45" s="22"/>
      <c r="D45" s="25" t="s">
        <v>28</v>
      </c>
      <c r="E45" s="45">
        <v>21</v>
      </c>
      <c r="F45" s="46">
        <v>30</v>
      </c>
      <c r="G45" s="46">
        <v>51</v>
      </c>
      <c r="H45" s="46">
        <v>65</v>
      </c>
      <c r="I45" s="46">
        <v>68</v>
      </c>
      <c r="J45" s="46">
        <v>74</v>
      </c>
      <c r="K45" s="46"/>
      <c r="L45" s="46"/>
      <c r="M45" s="46"/>
      <c r="N45" s="46"/>
      <c r="O45" s="46"/>
    </row>
    <row r="46" spans="2:15" s="40" customFormat="1" ht="16.899999999999999" customHeight="1" x14ac:dyDescent="0.25">
      <c r="B46" s="21" t="s">
        <v>3</v>
      </c>
      <c r="C46" s="21" t="s">
        <v>11</v>
      </c>
      <c r="D46" s="23" t="s">
        <v>24</v>
      </c>
      <c r="E46" s="41">
        <v>20</v>
      </c>
      <c r="F46" s="42">
        <v>30</v>
      </c>
      <c r="G46" s="42">
        <v>54</v>
      </c>
      <c r="H46" s="42">
        <v>90</v>
      </c>
      <c r="I46" s="42">
        <v>112</v>
      </c>
      <c r="J46" s="42">
        <v>116</v>
      </c>
      <c r="K46" s="42"/>
      <c r="L46" s="42"/>
      <c r="M46" s="42"/>
      <c r="N46" s="42"/>
      <c r="O46" s="42"/>
    </row>
    <row r="47" spans="2:15" s="40" customFormat="1" ht="16.899999999999999" customHeight="1" x14ac:dyDescent="0.25">
      <c r="B47" s="20"/>
      <c r="C47" s="20" t="s">
        <v>17</v>
      </c>
      <c r="D47" s="24" t="s">
        <v>38</v>
      </c>
      <c r="E47" s="43">
        <v>20</v>
      </c>
      <c r="F47" s="44">
        <v>32</v>
      </c>
      <c r="G47" s="44">
        <v>65</v>
      </c>
      <c r="H47" s="44">
        <v>90</v>
      </c>
      <c r="I47" s="44">
        <v>110</v>
      </c>
      <c r="J47" s="44">
        <v>130</v>
      </c>
      <c r="K47" s="44"/>
      <c r="L47" s="44"/>
      <c r="M47" s="44"/>
      <c r="N47" s="44"/>
      <c r="O47" s="44"/>
    </row>
    <row r="48" spans="2:15" s="40" customFormat="1" ht="16.899999999999999" customHeight="1" x14ac:dyDescent="0.25">
      <c r="B48" s="20"/>
      <c r="C48" s="20"/>
      <c r="D48" s="24" t="s">
        <v>25</v>
      </c>
      <c r="E48" s="43">
        <v>18</v>
      </c>
      <c r="F48" s="44">
        <v>30</v>
      </c>
      <c r="G48" s="44">
        <v>55</v>
      </c>
      <c r="H48" s="44">
        <v>85</v>
      </c>
      <c r="I48" s="44">
        <v>100</v>
      </c>
      <c r="J48" s="44">
        <v>111</v>
      </c>
      <c r="K48" s="44"/>
      <c r="L48" s="44"/>
      <c r="M48" s="44"/>
      <c r="N48" s="44"/>
      <c r="O48" s="44"/>
    </row>
    <row r="49" spans="2:15" s="40" customFormat="1" ht="16.899999999999999" customHeight="1" x14ac:dyDescent="0.25">
      <c r="B49" s="20"/>
      <c r="C49" s="20"/>
      <c r="D49" s="24" t="s">
        <v>26</v>
      </c>
      <c r="E49" s="43">
        <v>21</v>
      </c>
      <c r="F49" s="44">
        <v>36</v>
      </c>
      <c r="G49" s="44">
        <v>65</v>
      </c>
      <c r="H49" s="44">
        <v>93</v>
      </c>
      <c r="I49" s="44">
        <v>108</v>
      </c>
      <c r="J49" s="44">
        <v>113</v>
      </c>
      <c r="K49" s="44"/>
      <c r="L49" s="44"/>
      <c r="M49" s="44"/>
      <c r="N49" s="44"/>
      <c r="O49" s="44"/>
    </row>
    <row r="50" spans="2:15" s="40" customFormat="1" ht="16.899999999999999" customHeight="1" x14ac:dyDescent="0.25">
      <c r="B50" s="20"/>
      <c r="C50" s="20"/>
      <c r="D50" s="24" t="s">
        <v>27</v>
      </c>
      <c r="E50" s="43">
        <v>22</v>
      </c>
      <c r="F50" s="44">
        <v>33</v>
      </c>
      <c r="G50" s="44">
        <v>55</v>
      </c>
      <c r="H50" s="44">
        <v>83</v>
      </c>
      <c r="I50" s="44">
        <v>101</v>
      </c>
      <c r="J50" s="44">
        <v>97</v>
      </c>
      <c r="K50" s="44"/>
      <c r="L50" s="44"/>
      <c r="M50" s="44"/>
      <c r="N50" s="44"/>
      <c r="O50" s="44"/>
    </row>
    <row r="51" spans="2:15" s="40" customFormat="1" ht="16.899999999999999" customHeight="1" thickBot="1" x14ac:dyDescent="0.3">
      <c r="B51" s="22"/>
      <c r="C51" s="22"/>
      <c r="D51" s="25" t="s">
        <v>28</v>
      </c>
      <c r="E51" s="45">
        <v>23</v>
      </c>
      <c r="F51" s="46">
        <v>29</v>
      </c>
      <c r="G51" s="46">
        <v>55</v>
      </c>
      <c r="H51" s="46">
        <v>74</v>
      </c>
      <c r="I51" s="46">
        <v>82</v>
      </c>
      <c r="J51" s="46">
        <v>84</v>
      </c>
      <c r="K51" s="46"/>
      <c r="L51" s="46"/>
      <c r="M51" s="46"/>
      <c r="N51" s="46"/>
      <c r="O51" s="46"/>
    </row>
    <row r="52" spans="2:15" s="40" customFormat="1" ht="16.899999999999999" customHeight="1" x14ac:dyDescent="0.25">
      <c r="B52" s="26" t="s">
        <v>3</v>
      </c>
      <c r="C52" s="26" t="s">
        <v>12</v>
      </c>
      <c r="D52" s="32" t="s">
        <v>24</v>
      </c>
      <c r="E52" s="41">
        <v>20</v>
      </c>
      <c r="F52" s="42">
        <v>33</v>
      </c>
      <c r="G52" s="42">
        <v>65</v>
      </c>
      <c r="H52" s="42">
        <v>90</v>
      </c>
      <c r="I52" s="42">
        <v>91</v>
      </c>
      <c r="J52" s="42">
        <v>96</v>
      </c>
      <c r="K52" s="42"/>
      <c r="L52" s="42"/>
      <c r="M52" s="42"/>
      <c r="N52" s="42"/>
      <c r="O52" s="42"/>
    </row>
    <row r="53" spans="2:15" s="40" customFormat="1" ht="16.899999999999999" customHeight="1" x14ac:dyDescent="0.25">
      <c r="B53" s="28"/>
      <c r="C53" s="28" t="s">
        <v>18</v>
      </c>
      <c r="D53" s="33" t="s">
        <v>38</v>
      </c>
      <c r="E53" s="43">
        <v>21</v>
      </c>
      <c r="F53" s="44">
        <v>39</v>
      </c>
      <c r="G53" s="44">
        <v>73</v>
      </c>
      <c r="H53" s="44">
        <v>103</v>
      </c>
      <c r="I53" s="44">
        <v>111</v>
      </c>
      <c r="J53" s="44">
        <v>113</v>
      </c>
      <c r="K53" s="44"/>
      <c r="L53" s="44"/>
      <c r="M53" s="44"/>
      <c r="N53" s="44"/>
      <c r="O53" s="44"/>
    </row>
    <row r="54" spans="2:15" s="40" customFormat="1" ht="16.899999999999999" customHeight="1" x14ac:dyDescent="0.25">
      <c r="B54" s="28"/>
      <c r="C54" s="28"/>
      <c r="D54" s="33" t="s">
        <v>25</v>
      </c>
      <c r="E54" s="43">
        <v>15</v>
      </c>
      <c r="F54" s="44">
        <v>44</v>
      </c>
      <c r="G54" s="44">
        <v>58</v>
      </c>
      <c r="H54" s="44">
        <v>86</v>
      </c>
      <c r="I54" s="44">
        <v>90</v>
      </c>
      <c r="J54" s="44">
        <v>92</v>
      </c>
      <c r="K54" s="44"/>
      <c r="L54" s="44"/>
      <c r="M54" s="44"/>
      <c r="N54" s="44"/>
      <c r="O54" s="44"/>
    </row>
    <row r="55" spans="2:15" s="40" customFormat="1" ht="16.899999999999999" customHeight="1" x14ac:dyDescent="0.25">
      <c r="B55" s="28"/>
      <c r="C55" s="28"/>
      <c r="D55" s="33" t="s">
        <v>26</v>
      </c>
      <c r="E55" s="43">
        <v>20</v>
      </c>
      <c r="F55" s="44">
        <v>33</v>
      </c>
      <c r="G55" s="44">
        <v>62</v>
      </c>
      <c r="H55" s="44">
        <v>100</v>
      </c>
      <c r="I55" s="44">
        <v>111</v>
      </c>
      <c r="J55" s="44">
        <v>116</v>
      </c>
      <c r="K55" s="44"/>
      <c r="L55" s="44"/>
      <c r="M55" s="44"/>
      <c r="N55" s="44"/>
      <c r="O55" s="44"/>
    </row>
    <row r="56" spans="2:15" s="40" customFormat="1" ht="16.899999999999999" customHeight="1" x14ac:dyDescent="0.25">
      <c r="B56" s="28"/>
      <c r="C56" s="28"/>
      <c r="D56" s="33" t="s">
        <v>27</v>
      </c>
      <c r="E56" s="43">
        <v>23</v>
      </c>
      <c r="F56" s="44">
        <v>40</v>
      </c>
      <c r="G56" s="44">
        <v>58</v>
      </c>
      <c r="H56" s="44">
        <v>78</v>
      </c>
      <c r="I56" s="44">
        <v>76</v>
      </c>
      <c r="J56" s="44">
        <v>81</v>
      </c>
      <c r="K56" s="44"/>
      <c r="L56" s="44"/>
      <c r="M56" s="44"/>
      <c r="N56" s="44"/>
      <c r="O56" s="44"/>
    </row>
    <row r="57" spans="2:15" s="40" customFormat="1" ht="16.899999999999999" customHeight="1" thickBot="1" x14ac:dyDescent="0.3">
      <c r="B57" s="30"/>
      <c r="C57" s="30"/>
      <c r="D57" s="34" t="s">
        <v>28</v>
      </c>
      <c r="E57" s="45">
        <v>20</v>
      </c>
      <c r="F57" s="46">
        <v>30</v>
      </c>
      <c r="G57" s="46">
        <v>50</v>
      </c>
      <c r="H57" s="46">
        <v>69</v>
      </c>
      <c r="I57" s="46">
        <v>73</v>
      </c>
      <c r="J57" s="46">
        <v>77</v>
      </c>
      <c r="K57" s="46"/>
      <c r="L57" s="46"/>
      <c r="M57" s="46"/>
      <c r="N57" s="46"/>
      <c r="O57" s="46"/>
    </row>
    <row r="58" spans="2:15" s="40" customFormat="1" ht="16.899999999999999" customHeight="1" x14ac:dyDescent="0.25">
      <c r="B58" s="26" t="s">
        <v>4</v>
      </c>
      <c r="C58" s="26" t="s">
        <v>13</v>
      </c>
      <c r="D58" s="32" t="s">
        <v>24</v>
      </c>
      <c r="E58" s="41">
        <v>20</v>
      </c>
      <c r="F58" s="42">
        <v>35</v>
      </c>
      <c r="G58" s="42">
        <v>54</v>
      </c>
      <c r="H58" s="42">
        <v>68</v>
      </c>
      <c r="I58" s="42">
        <v>80</v>
      </c>
      <c r="J58" s="42">
        <v>95</v>
      </c>
      <c r="K58" s="42"/>
      <c r="L58" s="42"/>
      <c r="M58" s="42"/>
      <c r="N58" s="42"/>
      <c r="O58" s="42"/>
    </row>
    <row r="59" spans="2:15" s="40" customFormat="1" ht="16.899999999999999" customHeight="1" x14ac:dyDescent="0.25">
      <c r="B59" s="28"/>
      <c r="C59" s="28" t="s">
        <v>19</v>
      </c>
      <c r="D59" s="33" t="s">
        <v>38</v>
      </c>
      <c r="E59" s="43">
        <v>17</v>
      </c>
      <c r="F59" s="44">
        <v>38</v>
      </c>
      <c r="G59" s="44">
        <v>66</v>
      </c>
      <c r="H59" s="44">
        <v>102</v>
      </c>
      <c r="I59" s="44">
        <v>119</v>
      </c>
      <c r="J59" s="44">
        <v>122</v>
      </c>
      <c r="K59" s="44"/>
      <c r="L59" s="44"/>
      <c r="M59" s="44"/>
      <c r="N59" s="44"/>
      <c r="O59" s="44"/>
    </row>
    <row r="60" spans="2:15" s="40" customFormat="1" ht="16.899999999999999" customHeight="1" x14ac:dyDescent="0.25">
      <c r="B60" s="28"/>
      <c r="C60" s="28"/>
      <c r="D60" s="33" t="s">
        <v>25</v>
      </c>
      <c r="E60" s="43">
        <v>21</v>
      </c>
      <c r="F60" s="44">
        <v>37</v>
      </c>
      <c r="G60" s="44">
        <v>63</v>
      </c>
      <c r="H60" s="44">
        <v>96</v>
      </c>
      <c r="I60" s="44">
        <v>111</v>
      </c>
      <c r="J60" s="44">
        <v>110</v>
      </c>
      <c r="K60" s="44"/>
      <c r="L60" s="44"/>
      <c r="M60" s="44"/>
      <c r="N60" s="44"/>
      <c r="O60" s="44"/>
    </row>
    <row r="61" spans="2:15" s="40" customFormat="1" ht="16.899999999999999" customHeight="1" x14ac:dyDescent="0.25">
      <c r="B61" s="28"/>
      <c r="C61" s="28"/>
      <c r="D61" s="33" t="s">
        <v>26</v>
      </c>
      <c r="E61" s="43">
        <v>24</v>
      </c>
      <c r="F61" s="44">
        <v>40</v>
      </c>
      <c r="G61" s="44">
        <v>60</v>
      </c>
      <c r="H61" s="44">
        <v>92</v>
      </c>
      <c r="I61" s="44">
        <v>108</v>
      </c>
      <c r="J61" s="44">
        <v>111</v>
      </c>
      <c r="K61" s="44"/>
      <c r="L61" s="44"/>
      <c r="M61" s="44"/>
      <c r="N61" s="44"/>
      <c r="O61" s="44"/>
    </row>
    <row r="62" spans="2:15" s="40" customFormat="1" ht="16.899999999999999" customHeight="1" x14ac:dyDescent="0.25">
      <c r="B62" s="28"/>
      <c r="C62" s="28"/>
      <c r="D62" s="33" t="s">
        <v>27</v>
      </c>
      <c r="E62" s="43">
        <v>22</v>
      </c>
      <c r="F62" s="44">
        <v>31</v>
      </c>
      <c r="G62" s="44">
        <v>52</v>
      </c>
      <c r="H62" s="44">
        <v>76</v>
      </c>
      <c r="I62" s="44">
        <v>81</v>
      </c>
      <c r="J62" s="44">
        <v>93</v>
      </c>
      <c r="K62" s="44"/>
      <c r="L62" s="44"/>
      <c r="M62" s="44"/>
      <c r="N62" s="44"/>
      <c r="O62" s="44"/>
    </row>
    <row r="63" spans="2:15" s="40" customFormat="1" ht="16.899999999999999" customHeight="1" thickBot="1" x14ac:dyDescent="0.3">
      <c r="B63" s="30"/>
      <c r="C63" s="30"/>
      <c r="D63" s="34" t="s">
        <v>28</v>
      </c>
      <c r="E63" s="45">
        <v>20</v>
      </c>
      <c r="F63" s="46">
        <v>31</v>
      </c>
      <c r="G63" s="46">
        <v>54</v>
      </c>
      <c r="H63" s="46">
        <v>83</v>
      </c>
      <c r="I63" s="46">
        <v>88</v>
      </c>
      <c r="J63" s="46">
        <v>99</v>
      </c>
      <c r="K63" s="46"/>
      <c r="L63" s="46"/>
      <c r="M63" s="46"/>
      <c r="N63" s="46"/>
      <c r="O63" s="46"/>
    </row>
    <row r="64" spans="2:15" s="40" customFormat="1" ht="16.899999999999999" customHeight="1" x14ac:dyDescent="0.25">
      <c r="B64" s="21" t="s">
        <v>4</v>
      </c>
      <c r="C64" s="21" t="s">
        <v>14</v>
      </c>
      <c r="D64" s="23" t="s">
        <v>24</v>
      </c>
      <c r="E64" s="41">
        <v>21</v>
      </c>
      <c r="F64" s="42">
        <v>32</v>
      </c>
      <c r="G64" s="42">
        <v>55</v>
      </c>
      <c r="H64" s="42">
        <v>71</v>
      </c>
      <c r="I64" s="42">
        <v>78</v>
      </c>
      <c r="J64" s="42">
        <v>101</v>
      </c>
      <c r="K64" s="42"/>
      <c r="L64" s="42"/>
      <c r="M64" s="42"/>
      <c r="N64" s="42"/>
      <c r="O64" s="42"/>
    </row>
    <row r="65" spans="2:15" s="40" customFormat="1" ht="16.899999999999999" customHeight="1" x14ac:dyDescent="0.25">
      <c r="B65" s="20"/>
      <c r="C65" s="20" t="s">
        <v>16</v>
      </c>
      <c r="D65" s="24" t="s">
        <v>38</v>
      </c>
      <c r="E65" s="43">
        <v>23</v>
      </c>
      <c r="F65" s="44">
        <v>38</v>
      </c>
      <c r="G65" s="44">
        <v>64</v>
      </c>
      <c r="H65" s="44">
        <v>84</v>
      </c>
      <c r="I65" s="44">
        <v>89</v>
      </c>
      <c r="J65" s="44">
        <v>87</v>
      </c>
      <c r="K65" s="44"/>
      <c r="L65" s="44"/>
      <c r="M65" s="44"/>
      <c r="N65" s="44"/>
      <c r="O65" s="44"/>
    </row>
    <row r="66" spans="2:15" s="40" customFormat="1" ht="16.899999999999999" customHeight="1" x14ac:dyDescent="0.25">
      <c r="B66" s="20"/>
      <c r="C66" s="20"/>
      <c r="D66" s="24" t="s">
        <v>25</v>
      </c>
      <c r="E66" s="43">
        <v>23</v>
      </c>
      <c r="F66" s="44">
        <v>40</v>
      </c>
      <c r="G66" s="44">
        <v>66</v>
      </c>
      <c r="H66" s="44">
        <v>92</v>
      </c>
      <c r="I66" s="44">
        <v>98</v>
      </c>
      <c r="J66" s="44">
        <v>109</v>
      </c>
      <c r="K66" s="44"/>
      <c r="L66" s="44"/>
      <c r="M66" s="44"/>
      <c r="N66" s="44"/>
      <c r="O66" s="44"/>
    </row>
    <row r="67" spans="2:15" s="40" customFormat="1" ht="16.899999999999999" customHeight="1" x14ac:dyDescent="0.25">
      <c r="B67" s="20"/>
      <c r="C67" s="20"/>
      <c r="D67" s="24" t="s">
        <v>26</v>
      </c>
      <c r="E67" s="43">
        <v>24</v>
      </c>
      <c r="F67" s="44">
        <v>42</v>
      </c>
      <c r="G67" s="44">
        <v>76</v>
      </c>
      <c r="H67" s="44">
        <v>87</v>
      </c>
      <c r="I67" s="44">
        <v>90</v>
      </c>
      <c r="J67" s="44">
        <v>92</v>
      </c>
      <c r="K67" s="44"/>
      <c r="L67" s="44"/>
      <c r="M67" s="44"/>
      <c r="N67" s="44"/>
      <c r="O67" s="44"/>
    </row>
    <row r="68" spans="2:15" s="40" customFormat="1" ht="16.899999999999999" customHeight="1" x14ac:dyDescent="0.25">
      <c r="B68" s="20"/>
      <c r="C68" s="20"/>
      <c r="D68" s="24" t="s">
        <v>27</v>
      </c>
      <c r="E68" s="43">
        <v>22</v>
      </c>
      <c r="F68" s="44">
        <v>38</v>
      </c>
      <c r="G68" s="44">
        <v>56</v>
      </c>
      <c r="H68" s="44">
        <v>75</v>
      </c>
      <c r="I68" s="44">
        <v>76</v>
      </c>
      <c r="J68" s="44">
        <v>84</v>
      </c>
      <c r="K68" s="44"/>
      <c r="L68" s="44"/>
      <c r="M68" s="44"/>
      <c r="N68" s="44"/>
      <c r="O68" s="44"/>
    </row>
    <row r="69" spans="2:15" s="40" customFormat="1" ht="16.899999999999999" customHeight="1" thickBot="1" x14ac:dyDescent="0.3">
      <c r="B69" s="22"/>
      <c r="C69" s="22"/>
      <c r="D69" s="25" t="s">
        <v>28</v>
      </c>
      <c r="E69" s="45">
        <v>20</v>
      </c>
      <c r="F69" s="46">
        <v>34</v>
      </c>
      <c r="G69" s="46">
        <v>53</v>
      </c>
      <c r="H69" s="46">
        <v>68</v>
      </c>
      <c r="I69" s="46">
        <v>74</v>
      </c>
      <c r="J69" s="46">
        <v>77</v>
      </c>
      <c r="K69" s="46"/>
      <c r="L69" s="46"/>
      <c r="M69" s="46"/>
      <c r="N69" s="46"/>
      <c r="O69" s="46"/>
    </row>
    <row r="70" spans="2:15" s="40" customFormat="1" ht="16.899999999999999" customHeight="1" x14ac:dyDescent="0.25">
      <c r="B70" s="21" t="s">
        <v>22</v>
      </c>
      <c r="C70" s="21" t="s">
        <v>23</v>
      </c>
      <c r="D70" s="23" t="s">
        <v>24</v>
      </c>
      <c r="E70" s="41">
        <v>19</v>
      </c>
      <c r="F70" s="42">
        <v>34</v>
      </c>
      <c r="G70" s="42">
        <v>50</v>
      </c>
      <c r="H70" s="42">
        <v>71</v>
      </c>
      <c r="I70" s="42">
        <v>80</v>
      </c>
      <c r="J70" s="42">
        <v>88</v>
      </c>
      <c r="K70" s="42"/>
      <c r="L70" s="42"/>
      <c r="M70" s="42"/>
      <c r="N70" s="42"/>
      <c r="O70" s="42"/>
    </row>
    <row r="71" spans="2:15" s="40" customFormat="1" ht="16.899999999999999" customHeight="1" x14ac:dyDescent="0.25">
      <c r="B71" s="20"/>
      <c r="C71" s="20" t="s">
        <v>17</v>
      </c>
      <c r="D71" s="24" t="s">
        <v>38</v>
      </c>
      <c r="E71" s="43">
        <v>19</v>
      </c>
      <c r="F71" s="44">
        <v>34</v>
      </c>
      <c r="G71" s="44">
        <v>54</v>
      </c>
      <c r="H71" s="44">
        <v>84</v>
      </c>
      <c r="I71" s="44">
        <v>97</v>
      </c>
      <c r="J71" s="44">
        <v>105</v>
      </c>
      <c r="K71" s="44"/>
      <c r="L71" s="44"/>
      <c r="M71" s="44"/>
      <c r="N71" s="44"/>
      <c r="O71" s="44"/>
    </row>
    <row r="72" spans="2:15" s="40" customFormat="1" ht="16.899999999999999" customHeight="1" x14ac:dyDescent="0.25">
      <c r="B72" s="20"/>
      <c r="C72" s="20"/>
      <c r="D72" s="24" t="s">
        <v>25</v>
      </c>
      <c r="E72" s="43">
        <v>21</v>
      </c>
      <c r="F72" s="44">
        <v>37</v>
      </c>
      <c r="G72" s="44">
        <v>58</v>
      </c>
      <c r="H72" s="44">
        <v>81</v>
      </c>
      <c r="I72" s="44">
        <v>97</v>
      </c>
      <c r="J72" s="44">
        <v>102</v>
      </c>
      <c r="K72" s="44"/>
      <c r="L72" s="44"/>
      <c r="M72" s="44"/>
      <c r="N72" s="44"/>
      <c r="O72" s="44"/>
    </row>
    <row r="73" spans="2:15" s="40" customFormat="1" ht="16.899999999999999" customHeight="1" x14ac:dyDescent="0.25">
      <c r="B73" s="20"/>
      <c r="C73" s="20"/>
      <c r="D73" s="24" t="s">
        <v>26</v>
      </c>
      <c r="E73" s="43">
        <v>18</v>
      </c>
      <c r="F73" s="44">
        <v>35</v>
      </c>
      <c r="G73" s="44">
        <v>54</v>
      </c>
      <c r="H73" s="44">
        <v>71</v>
      </c>
      <c r="I73" s="44">
        <v>90</v>
      </c>
      <c r="J73" s="44">
        <v>92</v>
      </c>
      <c r="K73" s="44"/>
      <c r="L73" s="44"/>
      <c r="M73" s="44"/>
      <c r="N73" s="44"/>
      <c r="O73" s="44"/>
    </row>
    <row r="74" spans="2:15" s="40" customFormat="1" ht="16.899999999999999" customHeight="1" x14ac:dyDescent="0.25">
      <c r="B74" s="20"/>
      <c r="C74" s="20"/>
      <c r="D74" s="24" t="s">
        <v>27</v>
      </c>
      <c r="E74" s="43">
        <v>19</v>
      </c>
      <c r="F74" s="44">
        <v>38</v>
      </c>
      <c r="G74" s="44">
        <v>52</v>
      </c>
      <c r="H74" s="44">
        <v>70</v>
      </c>
      <c r="I74" s="44">
        <v>81</v>
      </c>
      <c r="J74" s="44">
        <v>84</v>
      </c>
      <c r="K74" s="44"/>
      <c r="L74" s="44"/>
      <c r="M74" s="44"/>
      <c r="N74" s="44"/>
      <c r="O74" s="44"/>
    </row>
    <row r="75" spans="2:15" s="40" customFormat="1" ht="16.899999999999999" customHeight="1" thickBot="1" x14ac:dyDescent="0.3">
      <c r="B75" s="22"/>
      <c r="C75" s="22"/>
      <c r="D75" s="25" t="s">
        <v>28</v>
      </c>
      <c r="E75" s="45">
        <v>21</v>
      </c>
      <c r="F75" s="46">
        <v>32</v>
      </c>
      <c r="G75" s="46">
        <v>50</v>
      </c>
      <c r="H75" s="46">
        <v>80</v>
      </c>
      <c r="I75" s="46">
        <v>91</v>
      </c>
      <c r="J75" s="46">
        <v>93</v>
      </c>
      <c r="K75" s="46"/>
      <c r="L75" s="46"/>
      <c r="M75" s="46"/>
      <c r="N75" s="46"/>
      <c r="O75" s="46"/>
    </row>
    <row r="78" spans="2:15" x14ac:dyDescent="0.2">
      <c r="C78" s="87" t="s">
        <v>63</v>
      </c>
      <c r="E78" s="88">
        <f>AVERAGE(E22:E27,E46:E51)/100</f>
        <v>0.20083333333333331</v>
      </c>
      <c r="F78" s="88">
        <f t="shared" ref="F78:J78" si="0">AVERAGE(F22:F27,F46:F51)/100</f>
        <v>0.33166666666666667</v>
      </c>
      <c r="G78" s="88">
        <f t="shared" si="0"/>
        <v>0.59</v>
      </c>
      <c r="H78" s="88">
        <f t="shared" si="0"/>
        <v>0.88416666666666677</v>
      </c>
      <c r="I78" s="88">
        <f t="shared" si="0"/>
        <v>1.0308333333333333</v>
      </c>
      <c r="J78" s="88">
        <f t="shared" si="0"/>
        <v>1.0674999999999999</v>
      </c>
    </row>
    <row r="79" spans="2:15" x14ac:dyDescent="0.2">
      <c r="C79" s="87" t="s">
        <v>16</v>
      </c>
      <c r="E79" s="88">
        <f>AVERAGE(E16:E21,E64:E69)/100</f>
        <v>0.19583333333333333</v>
      </c>
      <c r="F79" s="88">
        <f t="shared" ref="F79:J79" si="1">AVERAGE(F16:F21,F64:F69)/100</f>
        <v>0.35916666666666663</v>
      </c>
      <c r="G79" s="88">
        <f t="shared" si="1"/>
        <v>0.62749999999999995</v>
      </c>
      <c r="H79" s="88">
        <f t="shared" si="1"/>
        <v>0.84750000000000003</v>
      </c>
      <c r="I79" s="88">
        <f t="shared" si="1"/>
        <v>0.91166666666666674</v>
      </c>
      <c r="J79" s="88">
        <f t="shared" si="1"/>
        <v>0.95250000000000001</v>
      </c>
    </row>
    <row r="80" spans="2:15" x14ac:dyDescent="0.2">
      <c r="C80" s="87" t="s">
        <v>64</v>
      </c>
      <c r="E80" s="88">
        <f>AVERAGE(E10:E15,E40:E45)/100</f>
        <v>0.19</v>
      </c>
      <c r="F80" s="88">
        <f t="shared" ref="F80:J80" si="2">AVERAGE(F10:F15,F40:F45)/100</f>
        <v>0.35583333333333333</v>
      </c>
      <c r="G80" s="88">
        <f t="shared" si="2"/>
        <v>0.51083333333333336</v>
      </c>
      <c r="H80" s="88">
        <f t="shared" si="2"/>
        <v>0.67833333333333323</v>
      </c>
      <c r="I80" s="88">
        <f t="shared" si="2"/>
        <v>0.68583333333333329</v>
      </c>
      <c r="J80" s="88">
        <f t="shared" si="2"/>
        <v>0.73583333333333334</v>
      </c>
    </row>
    <row r="82" spans="4:10" ht="15" x14ac:dyDescent="0.25">
      <c r="D82" s="10" t="s">
        <v>32</v>
      </c>
      <c r="E82" s="39" t="s">
        <v>41</v>
      </c>
      <c r="F82" s="80">
        <v>41806</v>
      </c>
      <c r="G82" s="80">
        <v>41820</v>
      </c>
      <c r="H82" s="80">
        <v>41834</v>
      </c>
      <c r="I82" s="80">
        <v>41848</v>
      </c>
      <c r="J82" s="80">
        <v>41863</v>
      </c>
    </row>
    <row r="83" spans="4:10" ht="15" x14ac:dyDescent="0.25">
      <c r="D83" s="10" t="s">
        <v>39</v>
      </c>
      <c r="E83" s="39" t="s">
        <v>42</v>
      </c>
      <c r="F83" s="38">
        <v>167</v>
      </c>
      <c r="G83" s="38">
        <v>181</v>
      </c>
      <c r="H83" s="38">
        <v>195</v>
      </c>
      <c r="I83" s="38">
        <v>209</v>
      </c>
      <c r="J83" s="38">
        <v>224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5"/>
  <sheetViews>
    <sheetView zoomScale="85" zoomScaleNormal="85" workbookViewId="0"/>
  </sheetViews>
  <sheetFormatPr defaultColWidth="8.85546875" defaultRowHeight="14.25" x14ac:dyDescent="0.2"/>
  <cols>
    <col min="1" max="4" width="8.85546875" style="35"/>
    <col min="5" max="28" width="8.85546875" style="37"/>
    <col min="29" max="16384" width="8.85546875" style="35"/>
  </cols>
  <sheetData>
    <row r="1" spans="1:28" ht="18" x14ac:dyDescent="0.25">
      <c r="A1" s="2">
        <v>2014</v>
      </c>
      <c r="B1" s="3" t="s">
        <v>29</v>
      </c>
      <c r="C1" s="4"/>
      <c r="D1" s="4"/>
    </row>
    <row r="2" spans="1:28" ht="18" x14ac:dyDescent="0.25">
      <c r="A2" s="4"/>
      <c r="B2" s="3" t="s">
        <v>20</v>
      </c>
      <c r="C2" s="6"/>
      <c r="D2" s="3" t="s">
        <v>21</v>
      </c>
    </row>
    <row r="4" spans="1:28" ht="15.75" x14ac:dyDescent="0.25">
      <c r="B4" s="4" t="s">
        <v>46</v>
      </c>
      <c r="C4" s="4"/>
    </row>
    <row r="5" spans="1:28" ht="15.75" x14ac:dyDescent="0.25">
      <c r="B5" s="4"/>
      <c r="C5" s="4" t="s">
        <v>31</v>
      </c>
      <c r="O5" s="93" t="s">
        <v>61</v>
      </c>
      <c r="P5" s="94"/>
    </row>
    <row r="6" spans="1:28" x14ac:dyDescent="0.2">
      <c r="O6" s="94"/>
      <c r="P6" s="94"/>
    </row>
    <row r="7" spans="1:28" ht="15" x14ac:dyDescent="0.25">
      <c r="D7" s="10" t="s">
        <v>32</v>
      </c>
      <c r="E7" s="95" t="s">
        <v>41</v>
      </c>
      <c r="F7" s="92"/>
      <c r="G7" s="81">
        <v>41806</v>
      </c>
      <c r="H7" s="81"/>
      <c r="I7" s="96">
        <v>41820</v>
      </c>
      <c r="J7" s="90"/>
      <c r="K7" s="96">
        <v>41834</v>
      </c>
      <c r="L7" s="90"/>
      <c r="M7" s="96">
        <v>41848</v>
      </c>
      <c r="N7" s="97"/>
      <c r="O7" s="96">
        <v>41863</v>
      </c>
      <c r="P7" s="90"/>
      <c r="Q7" s="89"/>
      <c r="R7" s="90"/>
      <c r="S7" s="89"/>
      <c r="T7" s="90"/>
      <c r="U7" s="89"/>
      <c r="V7" s="90"/>
      <c r="W7" s="89"/>
      <c r="X7" s="90"/>
      <c r="Y7" s="89"/>
      <c r="Z7" s="90"/>
      <c r="AA7" s="35"/>
      <c r="AB7" s="35"/>
    </row>
    <row r="8" spans="1:28" ht="15" x14ac:dyDescent="0.25">
      <c r="D8" s="10" t="s">
        <v>39</v>
      </c>
      <c r="E8" s="95" t="s">
        <v>42</v>
      </c>
      <c r="F8" s="92"/>
      <c r="G8" s="82">
        <v>167</v>
      </c>
      <c r="H8" s="82"/>
      <c r="I8" s="89">
        <v>181</v>
      </c>
      <c r="J8" s="90"/>
      <c r="K8" s="89">
        <v>195</v>
      </c>
      <c r="L8" s="90"/>
      <c r="M8" s="89">
        <v>209</v>
      </c>
      <c r="N8" s="97"/>
      <c r="O8" s="91"/>
      <c r="P8" s="90"/>
      <c r="Q8" s="91"/>
      <c r="R8" s="92"/>
      <c r="S8" s="89"/>
      <c r="T8" s="90"/>
      <c r="U8" s="89"/>
      <c r="V8" s="90"/>
      <c r="W8" s="89"/>
      <c r="X8" s="90"/>
      <c r="Y8" s="89"/>
      <c r="Z8" s="90"/>
      <c r="AA8" s="35"/>
      <c r="AB8" s="35"/>
    </row>
    <row r="9" spans="1:28" ht="34.5" thickBot="1" x14ac:dyDescent="0.3">
      <c r="D9" s="10"/>
      <c r="E9" s="54" t="s">
        <v>45</v>
      </c>
      <c r="F9" s="50" t="s">
        <v>47</v>
      </c>
      <c r="G9" s="54" t="s">
        <v>45</v>
      </c>
      <c r="H9" s="55" t="s">
        <v>47</v>
      </c>
      <c r="I9" s="54" t="s">
        <v>45</v>
      </c>
      <c r="J9" s="55" t="s">
        <v>47</v>
      </c>
      <c r="K9" s="54" t="s">
        <v>45</v>
      </c>
      <c r="L9" s="55" t="s">
        <v>47</v>
      </c>
      <c r="M9" s="54" t="s">
        <v>45</v>
      </c>
      <c r="N9" s="55" t="s">
        <v>47</v>
      </c>
      <c r="O9" s="36" t="s">
        <v>45</v>
      </c>
      <c r="P9" s="55" t="s">
        <v>47</v>
      </c>
      <c r="Q9" s="36" t="s">
        <v>45</v>
      </c>
      <c r="R9" s="50" t="s">
        <v>47</v>
      </c>
      <c r="S9" s="54" t="s">
        <v>45</v>
      </c>
      <c r="T9" s="55" t="s">
        <v>47</v>
      </c>
      <c r="U9" s="54" t="s">
        <v>45</v>
      </c>
      <c r="V9" s="55" t="s">
        <v>47</v>
      </c>
      <c r="W9" s="54" t="s">
        <v>45</v>
      </c>
      <c r="X9" s="55" t="s">
        <v>47</v>
      </c>
      <c r="Y9" s="54" t="s">
        <v>43</v>
      </c>
      <c r="Z9" s="55" t="s">
        <v>47</v>
      </c>
      <c r="AA9" s="35"/>
      <c r="AB9" s="35"/>
    </row>
    <row r="10" spans="1:28" s="40" customFormat="1" ht="16.899999999999999" customHeight="1" x14ac:dyDescent="0.25">
      <c r="B10" s="21" t="s">
        <v>0</v>
      </c>
      <c r="C10" s="21" t="s">
        <v>5</v>
      </c>
      <c r="D10" s="15" t="s">
        <v>24</v>
      </c>
      <c r="E10" s="41">
        <v>26</v>
      </c>
      <c r="F10" s="51">
        <f>E10-'Summary-Plant Heights'!E10</f>
        <v>8</v>
      </c>
      <c r="G10" s="41">
        <v>47</v>
      </c>
      <c r="H10" s="51">
        <f>G10-'Summary-Plant Heights'!F10</f>
        <v>8</v>
      </c>
      <c r="I10" s="41">
        <v>58</v>
      </c>
      <c r="J10" s="56">
        <f>I10-'Summary-Plant Heights'!G10</f>
        <v>10</v>
      </c>
      <c r="K10" s="41">
        <v>73</v>
      </c>
      <c r="L10" s="56">
        <f>K10-'Summary-Plant Heights'!H10</f>
        <v>5</v>
      </c>
      <c r="M10" s="41">
        <v>79</v>
      </c>
      <c r="N10" s="56">
        <f>M10-'Summary-Plant Heights'!I10</f>
        <v>5</v>
      </c>
      <c r="O10" s="47"/>
      <c r="P10" s="56"/>
      <c r="Q10" s="47"/>
      <c r="R10" s="51"/>
      <c r="S10" s="41"/>
      <c r="T10" s="56"/>
      <c r="U10" s="41"/>
      <c r="V10" s="56"/>
      <c r="W10" s="41"/>
      <c r="X10" s="56"/>
      <c r="Y10" s="41"/>
      <c r="Z10" s="56"/>
    </row>
    <row r="11" spans="1:28" s="40" customFormat="1" ht="16.899999999999999" customHeight="1" x14ac:dyDescent="0.25">
      <c r="B11" s="20"/>
      <c r="C11" s="20" t="s">
        <v>15</v>
      </c>
      <c r="D11" s="17" t="s">
        <v>38</v>
      </c>
      <c r="E11" s="43">
        <v>25</v>
      </c>
      <c r="F11" s="52">
        <f>E11-'Summary-Plant Heights'!E11</f>
        <v>7</v>
      </c>
      <c r="G11" s="43">
        <v>47</v>
      </c>
      <c r="H11" s="57">
        <f>G11-'Summary-Plant Heights'!F11</f>
        <v>8</v>
      </c>
      <c r="I11" s="43">
        <v>55</v>
      </c>
      <c r="J11" s="57">
        <f>I11-'Summary-Plant Heights'!G11</f>
        <v>7</v>
      </c>
      <c r="K11" s="43">
        <v>74</v>
      </c>
      <c r="L11" s="57">
        <f>K11-'Summary-Plant Heights'!H11</f>
        <v>5</v>
      </c>
      <c r="M11" s="43">
        <v>69</v>
      </c>
      <c r="N11" s="57">
        <f>M11-'Summary-Plant Heights'!I11</f>
        <v>7</v>
      </c>
      <c r="O11" s="48"/>
      <c r="P11" s="57"/>
      <c r="Q11" s="48"/>
      <c r="R11" s="52"/>
      <c r="S11" s="43"/>
      <c r="T11" s="57"/>
      <c r="U11" s="43"/>
      <c r="V11" s="57"/>
      <c r="W11" s="43"/>
      <c r="X11" s="57"/>
      <c r="Y11" s="43"/>
      <c r="Z11" s="57"/>
    </row>
    <row r="12" spans="1:28" s="40" customFormat="1" ht="16.899999999999999" customHeight="1" x14ac:dyDescent="0.25">
      <c r="B12" s="20"/>
      <c r="C12" s="20"/>
      <c r="D12" s="17" t="s">
        <v>25</v>
      </c>
      <c r="E12" s="43">
        <v>26</v>
      </c>
      <c r="F12" s="52">
        <f>E12-'Summary-Plant Heights'!E12</f>
        <v>7</v>
      </c>
      <c r="G12" s="43">
        <v>45</v>
      </c>
      <c r="H12" s="57">
        <f>G12-'Summary-Plant Heights'!F12</f>
        <v>12</v>
      </c>
      <c r="I12" s="43">
        <v>65</v>
      </c>
      <c r="J12" s="57">
        <f>I12-'Summary-Plant Heights'!G12</f>
        <v>8</v>
      </c>
      <c r="K12" s="43">
        <v>80</v>
      </c>
      <c r="L12" s="57">
        <f>K12-'Summary-Plant Heights'!H12</f>
        <v>6</v>
      </c>
      <c r="M12" s="43">
        <v>83</v>
      </c>
      <c r="N12" s="57">
        <f>M12-'Summary-Plant Heights'!I12</f>
        <v>9</v>
      </c>
      <c r="O12" s="48"/>
      <c r="P12" s="57"/>
      <c r="Q12" s="48"/>
      <c r="R12" s="52"/>
      <c r="S12" s="43"/>
      <c r="T12" s="57"/>
      <c r="U12" s="43"/>
      <c r="V12" s="57"/>
      <c r="W12" s="43"/>
      <c r="X12" s="57"/>
      <c r="Y12" s="43"/>
      <c r="Z12" s="57"/>
    </row>
    <row r="13" spans="1:28" s="40" customFormat="1" ht="16.899999999999999" customHeight="1" x14ac:dyDescent="0.25">
      <c r="B13" s="20"/>
      <c r="C13" s="20"/>
      <c r="D13" s="17" t="s">
        <v>26</v>
      </c>
      <c r="E13" s="43">
        <v>25</v>
      </c>
      <c r="F13" s="52">
        <f>E13-'Summary-Plant Heights'!E13</f>
        <v>6</v>
      </c>
      <c r="G13" s="43">
        <v>46</v>
      </c>
      <c r="H13" s="57">
        <f>G13-'Summary-Plant Heights'!F13</f>
        <v>8</v>
      </c>
      <c r="I13" s="43">
        <v>59</v>
      </c>
      <c r="J13" s="57">
        <f>I13-'Summary-Plant Heights'!G13</f>
        <v>8</v>
      </c>
      <c r="K13" s="43">
        <v>71</v>
      </c>
      <c r="L13" s="57">
        <f>K13-'Summary-Plant Heights'!H13</f>
        <v>3</v>
      </c>
      <c r="M13" s="43">
        <v>72</v>
      </c>
      <c r="N13" s="57">
        <f>M13-'Summary-Plant Heights'!I13</f>
        <v>8</v>
      </c>
      <c r="O13" s="48"/>
      <c r="P13" s="57"/>
      <c r="Q13" s="48"/>
      <c r="R13" s="52"/>
      <c r="S13" s="43"/>
      <c r="T13" s="57"/>
      <c r="U13" s="43"/>
      <c r="V13" s="57"/>
      <c r="W13" s="43"/>
      <c r="X13" s="57"/>
      <c r="Y13" s="43"/>
      <c r="Z13" s="57"/>
    </row>
    <row r="14" spans="1:28" s="40" customFormat="1" ht="16.899999999999999" customHeight="1" x14ac:dyDescent="0.25">
      <c r="B14" s="20"/>
      <c r="C14" s="20"/>
      <c r="D14" s="17" t="s">
        <v>27</v>
      </c>
      <c r="E14" s="43">
        <v>25</v>
      </c>
      <c r="F14" s="52">
        <f>E14-'Summary-Plant Heights'!E14</f>
        <v>8</v>
      </c>
      <c r="G14" s="43">
        <v>47</v>
      </c>
      <c r="H14" s="57">
        <f>G14-'Summary-Plant Heights'!F14</f>
        <v>9</v>
      </c>
      <c r="I14" s="43">
        <v>61</v>
      </c>
      <c r="J14" s="57">
        <f>I14-'Summary-Plant Heights'!G14</f>
        <v>7</v>
      </c>
      <c r="K14" s="43">
        <v>74</v>
      </c>
      <c r="L14" s="57">
        <f>K14-'Summary-Plant Heights'!H14</f>
        <v>5</v>
      </c>
      <c r="M14" s="43">
        <v>78</v>
      </c>
      <c r="N14" s="57">
        <f>M14-'Summary-Plant Heights'!I14</f>
        <v>9</v>
      </c>
      <c r="O14" s="48"/>
      <c r="P14" s="57"/>
      <c r="Q14" s="48"/>
      <c r="R14" s="52"/>
      <c r="S14" s="43"/>
      <c r="T14" s="57"/>
      <c r="U14" s="43"/>
      <c r="V14" s="57"/>
      <c r="W14" s="43"/>
      <c r="X14" s="57"/>
      <c r="Y14" s="43"/>
      <c r="Z14" s="57"/>
    </row>
    <row r="15" spans="1:28" s="40" customFormat="1" ht="16.899999999999999" customHeight="1" thickBot="1" x14ac:dyDescent="0.3">
      <c r="B15" s="22"/>
      <c r="C15" s="22"/>
      <c r="D15" s="59" t="s">
        <v>28</v>
      </c>
      <c r="E15" s="45">
        <v>26</v>
      </c>
      <c r="F15" s="53">
        <f>E15-'Summary-Plant Heights'!E15</f>
        <v>7</v>
      </c>
      <c r="G15" s="45">
        <v>49</v>
      </c>
      <c r="H15" s="58">
        <f>G15-'Summary-Plant Heights'!F15</f>
        <v>11</v>
      </c>
      <c r="I15" s="45">
        <v>58</v>
      </c>
      <c r="J15" s="58">
        <f>I15-'Summary-Plant Heights'!G15</f>
        <v>12</v>
      </c>
      <c r="K15" s="45">
        <v>63</v>
      </c>
      <c r="L15" s="58">
        <f>K15-'Summary-Plant Heights'!H15</f>
        <v>7</v>
      </c>
      <c r="M15" s="45">
        <v>68</v>
      </c>
      <c r="N15" s="58">
        <f>M15-'Summary-Plant Heights'!I15</f>
        <v>11</v>
      </c>
      <c r="O15" s="49"/>
      <c r="P15" s="58"/>
      <c r="Q15" s="49"/>
      <c r="R15" s="53"/>
      <c r="S15" s="45"/>
      <c r="T15" s="58"/>
      <c r="U15" s="45"/>
      <c r="V15" s="58"/>
      <c r="W15" s="45"/>
      <c r="X15" s="58"/>
      <c r="Y15" s="45"/>
      <c r="Z15" s="58"/>
    </row>
    <row r="16" spans="1:28" s="40" customFormat="1" ht="16.899999999999999" customHeight="1" x14ac:dyDescent="0.25">
      <c r="B16" s="21" t="s">
        <v>0</v>
      </c>
      <c r="C16" s="21" t="s">
        <v>6</v>
      </c>
      <c r="D16" s="15" t="s">
        <v>24</v>
      </c>
      <c r="E16" s="41">
        <v>23</v>
      </c>
      <c r="F16" s="51">
        <f>E16-'Summary-Plant Heights'!E16</f>
        <v>4</v>
      </c>
      <c r="G16" s="41">
        <v>42</v>
      </c>
      <c r="H16" s="56">
        <f>G16-'Summary-Plant Heights'!F16</f>
        <v>11</v>
      </c>
      <c r="I16" s="41">
        <v>69</v>
      </c>
      <c r="J16" s="56">
        <f>I16-'Summary-Plant Heights'!G16</f>
        <v>9</v>
      </c>
      <c r="K16" s="41">
        <v>92</v>
      </c>
      <c r="L16" s="56">
        <f>K16-'Summary-Plant Heights'!H16</f>
        <v>4</v>
      </c>
      <c r="M16" s="41">
        <v>103</v>
      </c>
      <c r="N16" s="56">
        <f>M16-'Summary-Plant Heights'!I16</f>
        <v>5</v>
      </c>
      <c r="O16" s="47"/>
      <c r="P16" s="56"/>
      <c r="Q16" s="47"/>
      <c r="R16" s="51"/>
      <c r="S16" s="41"/>
      <c r="T16" s="56"/>
      <c r="U16" s="41"/>
      <c r="V16" s="56"/>
      <c r="W16" s="41"/>
      <c r="X16" s="56"/>
      <c r="Y16" s="41"/>
      <c r="Z16" s="56"/>
    </row>
    <row r="17" spans="2:26" s="40" customFormat="1" ht="16.899999999999999" customHeight="1" x14ac:dyDescent="0.25">
      <c r="B17" s="20"/>
      <c r="C17" s="20" t="s">
        <v>16</v>
      </c>
      <c r="D17" s="17" t="s">
        <v>38</v>
      </c>
      <c r="E17" s="43">
        <v>25</v>
      </c>
      <c r="F17" s="52">
        <f>E17-'Summary-Plant Heights'!E17</f>
        <v>8</v>
      </c>
      <c r="G17" s="43">
        <v>47</v>
      </c>
      <c r="H17" s="57">
        <f>G17-'Summary-Plant Heights'!F17</f>
        <v>8</v>
      </c>
      <c r="I17" s="43">
        <v>77</v>
      </c>
      <c r="J17" s="57">
        <f>I17-'Summary-Plant Heights'!G17</f>
        <v>7</v>
      </c>
      <c r="K17" s="43">
        <v>103</v>
      </c>
      <c r="L17" s="57">
        <f>K17-'Summary-Plant Heights'!H17</f>
        <v>6</v>
      </c>
      <c r="M17" s="43">
        <v>117</v>
      </c>
      <c r="N17" s="57">
        <f>M17-'Summary-Plant Heights'!I17</f>
        <v>7</v>
      </c>
      <c r="O17" s="48"/>
      <c r="P17" s="57"/>
      <c r="Q17" s="48"/>
      <c r="R17" s="52"/>
      <c r="S17" s="43"/>
      <c r="T17" s="57"/>
      <c r="U17" s="43"/>
      <c r="V17" s="57"/>
      <c r="W17" s="43"/>
      <c r="X17" s="57"/>
      <c r="Y17" s="43"/>
      <c r="Z17" s="57"/>
    </row>
    <row r="18" spans="2:26" s="40" customFormat="1" ht="16.899999999999999" customHeight="1" x14ac:dyDescent="0.25">
      <c r="B18" s="20"/>
      <c r="C18" s="20"/>
      <c r="D18" s="17" t="s">
        <v>25</v>
      </c>
      <c r="E18" s="43">
        <v>23</v>
      </c>
      <c r="F18" s="52">
        <f>E18-'Summary-Plant Heights'!E18</f>
        <v>4</v>
      </c>
      <c r="G18" s="43">
        <v>43</v>
      </c>
      <c r="H18" s="57">
        <f>G18-'Summary-Plant Heights'!F18</f>
        <v>8</v>
      </c>
      <c r="I18" s="43">
        <v>73</v>
      </c>
      <c r="J18" s="57">
        <f>I18-'Summary-Plant Heights'!G18</f>
        <v>5</v>
      </c>
      <c r="K18" s="43">
        <v>107</v>
      </c>
      <c r="L18" s="57">
        <f>K18-'Summary-Plant Heights'!H18</f>
        <v>7</v>
      </c>
      <c r="M18" s="43">
        <v>114</v>
      </c>
      <c r="N18" s="57">
        <f>M18-'Summary-Plant Heights'!I18</f>
        <v>10</v>
      </c>
      <c r="O18" s="48"/>
      <c r="P18" s="57"/>
      <c r="Q18" s="48"/>
      <c r="R18" s="52"/>
      <c r="S18" s="43"/>
      <c r="T18" s="57"/>
      <c r="U18" s="43"/>
      <c r="V18" s="57"/>
      <c r="W18" s="43"/>
      <c r="X18" s="57"/>
      <c r="Y18" s="43"/>
      <c r="Z18" s="57"/>
    </row>
    <row r="19" spans="2:26" s="40" customFormat="1" ht="16.899999999999999" customHeight="1" x14ac:dyDescent="0.25">
      <c r="B19" s="20"/>
      <c r="C19" s="20"/>
      <c r="D19" s="17" t="s">
        <v>26</v>
      </c>
      <c r="E19" s="43">
        <v>25</v>
      </c>
      <c r="F19" s="52">
        <f>E19-'Summary-Plant Heights'!E19</f>
        <v>9</v>
      </c>
      <c r="G19" s="43">
        <v>48</v>
      </c>
      <c r="H19" s="57">
        <f>G19-'Summary-Plant Heights'!F19</f>
        <v>12</v>
      </c>
      <c r="I19" s="43">
        <v>70</v>
      </c>
      <c r="J19" s="57">
        <f>I19-'Summary-Plant Heights'!G19</f>
        <v>5</v>
      </c>
      <c r="K19" s="43">
        <v>99</v>
      </c>
      <c r="L19" s="57">
        <f>K19-'Summary-Plant Heights'!H19</f>
        <v>7</v>
      </c>
      <c r="M19" s="43">
        <v>112</v>
      </c>
      <c r="N19" s="57">
        <f>M19-'Summary-Plant Heights'!I19</f>
        <v>9</v>
      </c>
      <c r="O19" s="48"/>
      <c r="P19" s="57"/>
      <c r="Q19" s="48"/>
      <c r="R19" s="52"/>
      <c r="S19" s="43"/>
      <c r="T19" s="57"/>
      <c r="U19" s="43"/>
      <c r="V19" s="57"/>
      <c r="W19" s="43"/>
      <c r="X19" s="57"/>
      <c r="Y19" s="43"/>
      <c r="Z19" s="57"/>
    </row>
    <row r="20" spans="2:26" s="40" customFormat="1" ht="16.899999999999999" customHeight="1" x14ac:dyDescent="0.25">
      <c r="B20" s="20"/>
      <c r="C20" s="20"/>
      <c r="D20" s="17" t="s">
        <v>27</v>
      </c>
      <c r="E20" s="43">
        <v>22</v>
      </c>
      <c r="F20" s="52">
        <f>E20-'Summary-Plant Heights'!E20</f>
        <v>7</v>
      </c>
      <c r="G20" s="43">
        <v>43</v>
      </c>
      <c r="H20" s="57">
        <f>G20-'Summary-Plant Heights'!F20</f>
        <v>10</v>
      </c>
      <c r="I20" s="43">
        <v>70</v>
      </c>
      <c r="J20" s="57">
        <f>I20-'Summary-Plant Heights'!G20</f>
        <v>5</v>
      </c>
      <c r="K20" s="43">
        <v>97</v>
      </c>
      <c r="L20" s="57">
        <f>K20-'Summary-Plant Heights'!H20</f>
        <v>5</v>
      </c>
      <c r="M20" s="43">
        <v>107</v>
      </c>
      <c r="N20" s="57">
        <f>M20-'Summary-Plant Heights'!I20</f>
        <v>9</v>
      </c>
      <c r="O20" s="48"/>
      <c r="P20" s="57"/>
      <c r="Q20" s="48"/>
      <c r="R20" s="52"/>
      <c r="S20" s="43"/>
      <c r="T20" s="57"/>
      <c r="U20" s="43"/>
      <c r="V20" s="57"/>
      <c r="W20" s="43"/>
      <c r="X20" s="57"/>
      <c r="Y20" s="43"/>
      <c r="Z20" s="57"/>
    </row>
    <row r="21" spans="2:26" s="40" customFormat="1" ht="16.899999999999999" customHeight="1" thickBot="1" x14ac:dyDescent="0.3">
      <c r="B21" s="22"/>
      <c r="C21" s="22"/>
      <c r="D21" s="59" t="s">
        <v>28</v>
      </c>
      <c r="E21" s="45">
        <v>24</v>
      </c>
      <c r="F21" s="53">
        <f>E21-'Summary-Plant Heights'!E21</f>
        <v>8</v>
      </c>
      <c r="G21" s="45">
        <v>46</v>
      </c>
      <c r="H21" s="58">
        <f>G21-'Summary-Plant Heights'!F21</f>
        <v>13</v>
      </c>
      <c r="I21" s="45">
        <v>63</v>
      </c>
      <c r="J21" s="58">
        <f>I21-'Summary-Plant Heights'!G21</f>
        <v>8</v>
      </c>
      <c r="K21" s="45">
        <v>78</v>
      </c>
      <c r="L21" s="58">
        <f>K21-'Summary-Plant Heights'!H21</f>
        <v>7</v>
      </c>
      <c r="M21" s="45">
        <v>80</v>
      </c>
      <c r="N21" s="58">
        <f>M21-'Summary-Plant Heights'!I21</f>
        <v>4</v>
      </c>
      <c r="O21" s="49"/>
      <c r="P21" s="58"/>
      <c r="Q21" s="49"/>
      <c r="R21" s="53"/>
      <c r="S21" s="45"/>
      <c r="T21" s="58"/>
      <c r="U21" s="45"/>
      <c r="V21" s="58"/>
      <c r="W21" s="45"/>
      <c r="X21" s="58"/>
      <c r="Y21" s="45"/>
      <c r="Z21" s="58"/>
    </row>
    <row r="22" spans="2:26" s="40" customFormat="1" ht="16.899999999999999" customHeight="1" x14ac:dyDescent="0.25">
      <c r="B22" s="21" t="s">
        <v>1</v>
      </c>
      <c r="C22" s="21" t="s">
        <v>7</v>
      </c>
      <c r="D22" s="15" t="s">
        <v>24</v>
      </c>
      <c r="E22" s="41">
        <v>25</v>
      </c>
      <c r="F22" s="51">
        <f>E22-'Summary-Plant Heights'!E22</f>
        <v>6</v>
      </c>
      <c r="G22" s="41">
        <v>43</v>
      </c>
      <c r="H22" s="56">
        <f>G22-'Summary-Plant Heights'!F22</f>
        <v>8</v>
      </c>
      <c r="I22" s="41">
        <v>69</v>
      </c>
      <c r="J22" s="56">
        <f>I22-'Summary-Plant Heights'!G22</f>
        <v>10</v>
      </c>
      <c r="K22" s="41">
        <v>103</v>
      </c>
      <c r="L22" s="56">
        <f>K22-'Summary-Plant Heights'!H22</f>
        <v>7</v>
      </c>
      <c r="M22" s="41">
        <v>121</v>
      </c>
      <c r="N22" s="56">
        <f>M22-'Summary-Plant Heights'!I22</f>
        <v>10</v>
      </c>
      <c r="O22" s="47"/>
      <c r="P22" s="56"/>
      <c r="Q22" s="47"/>
      <c r="R22" s="51"/>
      <c r="S22" s="41"/>
      <c r="T22" s="56"/>
      <c r="U22" s="41"/>
      <c r="V22" s="56"/>
      <c r="W22" s="41"/>
      <c r="X22" s="56"/>
      <c r="Y22" s="41"/>
      <c r="Z22" s="56"/>
    </row>
    <row r="23" spans="2:26" s="40" customFormat="1" ht="16.899999999999999" customHeight="1" x14ac:dyDescent="0.25">
      <c r="B23" s="20"/>
      <c r="C23" s="20" t="s">
        <v>17</v>
      </c>
      <c r="D23" s="17" t="s">
        <v>38</v>
      </c>
      <c r="E23" s="43">
        <v>24</v>
      </c>
      <c r="F23" s="52">
        <f>E23-'Summary-Plant Heights'!E23</f>
        <v>7</v>
      </c>
      <c r="G23" s="43">
        <v>41</v>
      </c>
      <c r="H23" s="57">
        <f>G23-'Summary-Plant Heights'!F23</f>
        <v>8</v>
      </c>
      <c r="I23" s="43">
        <v>69</v>
      </c>
      <c r="J23" s="57">
        <f>I23-'Summary-Plant Heights'!G23</f>
        <v>8</v>
      </c>
      <c r="K23" s="43">
        <v>105</v>
      </c>
      <c r="L23" s="57">
        <f>K23-'Summary-Plant Heights'!H23</f>
        <v>6</v>
      </c>
      <c r="M23" s="43">
        <v>121</v>
      </c>
      <c r="N23" s="57">
        <f>M23-'Summary-Plant Heights'!I23</f>
        <v>9</v>
      </c>
      <c r="O23" s="48"/>
      <c r="P23" s="57"/>
      <c r="Q23" s="48"/>
      <c r="R23" s="52"/>
      <c r="S23" s="43"/>
      <c r="T23" s="57"/>
      <c r="U23" s="43"/>
      <c r="V23" s="57"/>
      <c r="W23" s="43"/>
      <c r="X23" s="57"/>
      <c r="Y23" s="43"/>
      <c r="Z23" s="57"/>
    </row>
    <row r="24" spans="2:26" s="40" customFormat="1" ht="16.899999999999999" customHeight="1" x14ac:dyDescent="0.25">
      <c r="B24" s="20"/>
      <c r="C24" s="20"/>
      <c r="D24" s="17" t="s">
        <v>25</v>
      </c>
      <c r="E24" s="43">
        <v>27</v>
      </c>
      <c r="F24" s="52">
        <f>E24-'Summary-Plant Heights'!E24</f>
        <v>5</v>
      </c>
      <c r="G24" s="43">
        <v>54</v>
      </c>
      <c r="H24" s="57">
        <f>G24-'Summary-Plant Heights'!F24</f>
        <v>15</v>
      </c>
      <c r="I24" s="43">
        <v>77</v>
      </c>
      <c r="J24" s="57">
        <f>I24-'Summary-Plant Heights'!G24</f>
        <v>7</v>
      </c>
      <c r="K24" s="43">
        <v>110</v>
      </c>
      <c r="L24" s="57">
        <f>K24-'Summary-Plant Heights'!H24</f>
        <v>7</v>
      </c>
      <c r="M24" s="43">
        <v>124</v>
      </c>
      <c r="N24" s="57">
        <f>M24-'Summary-Plant Heights'!I24</f>
        <v>8</v>
      </c>
      <c r="O24" s="48"/>
      <c r="P24" s="57"/>
      <c r="Q24" s="48"/>
      <c r="R24" s="52"/>
      <c r="S24" s="43"/>
      <c r="T24" s="57"/>
      <c r="U24" s="43"/>
      <c r="V24" s="57"/>
      <c r="W24" s="43"/>
      <c r="X24" s="57"/>
      <c r="Y24" s="43"/>
      <c r="Z24" s="57"/>
    </row>
    <row r="25" spans="2:26" s="40" customFormat="1" ht="16.899999999999999" customHeight="1" x14ac:dyDescent="0.25">
      <c r="B25" s="20"/>
      <c r="C25" s="20"/>
      <c r="D25" s="17" t="s">
        <v>26</v>
      </c>
      <c r="E25" s="43">
        <v>26</v>
      </c>
      <c r="F25" s="52">
        <f>E25-'Summary-Plant Heights'!E25</f>
        <v>6</v>
      </c>
      <c r="G25" s="43">
        <v>45</v>
      </c>
      <c r="H25" s="57">
        <f>G25-'Summary-Plant Heights'!F25</f>
        <v>11</v>
      </c>
      <c r="I25" s="43">
        <v>61</v>
      </c>
      <c r="J25" s="57">
        <f>I25-'Summary-Plant Heights'!G25</f>
        <v>7</v>
      </c>
      <c r="K25" s="43">
        <v>84</v>
      </c>
      <c r="L25" s="57">
        <f>K25-'Summary-Plant Heights'!H25</f>
        <v>5</v>
      </c>
      <c r="M25" s="43">
        <v>110</v>
      </c>
      <c r="N25" s="57">
        <f>M25-'Summary-Plant Heights'!I25</f>
        <v>8</v>
      </c>
      <c r="O25" s="48"/>
      <c r="P25" s="57"/>
      <c r="Q25" s="48"/>
      <c r="R25" s="52"/>
      <c r="S25" s="43"/>
      <c r="T25" s="57"/>
      <c r="U25" s="43"/>
      <c r="V25" s="57"/>
      <c r="W25" s="43"/>
      <c r="X25" s="57"/>
      <c r="Y25" s="43"/>
      <c r="Z25" s="57"/>
    </row>
    <row r="26" spans="2:26" s="40" customFormat="1" ht="16.899999999999999" customHeight="1" x14ac:dyDescent="0.25">
      <c r="B26" s="20"/>
      <c r="C26" s="20"/>
      <c r="D26" s="17" t="s">
        <v>27</v>
      </c>
      <c r="E26" s="43">
        <v>28</v>
      </c>
      <c r="F26" s="52">
        <f>E26-'Summary-Plant Heights'!E26</f>
        <v>7</v>
      </c>
      <c r="G26" s="43">
        <v>43</v>
      </c>
      <c r="H26" s="57">
        <f>G26-'Summary-Plant Heights'!F26</f>
        <v>9</v>
      </c>
      <c r="I26" s="43">
        <v>70</v>
      </c>
      <c r="J26" s="57">
        <f>I26-'Summary-Plant Heights'!G26</f>
        <v>10</v>
      </c>
      <c r="K26" s="43">
        <v>92</v>
      </c>
      <c r="L26" s="57">
        <f>K26-'Summary-Plant Heights'!H26</f>
        <v>6</v>
      </c>
      <c r="M26" s="43">
        <v>101</v>
      </c>
      <c r="N26" s="57">
        <f>M26-'Summary-Plant Heights'!I26</f>
        <v>6</v>
      </c>
      <c r="O26" s="48"/>
      <c r="P26" s="57"/>
      <c r="Q26" s="48"/>
      <c r="R26" s="52"/>
      <c r="S26" s="43"/>
      <c r="T26" s="57"/>
      <c r="U26" s="43"/>
      <c r="V26" s="57"/>
      <c r="W26" s="43"/>
      <c r="X26" s="57"/>
      <c r="Y26" s="43"/>
      <c r="Z26" s="57"/>
    </row>
    <row r="27" spans="2:26" s="40" customFormat="1" ht="16.899999999999999" customHeight="1" thickBot="1" x14ac:dyDescent="0.3">
      <c r="B27" s="22"/>
      <c r="C27" s="22"/>
      <c r="D27" s="59" t="s">
        <v>28</v>
      </c>
      <c r="E27" s="45">
        <v>24</v>
      </c>
      <c r="F27" s="53">
        <f>E27-'Summary-Plant Heights'!E27</f>
        <v>6</v>
      </c>
      <c r="G27" s="45">
        <v>44</v>
      </c>
      <c r="H27" s="58">
        <f>G27-'Summary-Plant Heights'!F27</f>
        <v>11</v>
      </c>
      <c r="I27" s="45">
        <v>66</v>
      </c>
      <c r="J27" s="58">
        <f>I27-'Summary-Plant Heights'!G27</f>
        <v>11</v>
      </c>
      <c r="K27" s="45">
        <v>90</v>
      </c>
      <c r="L27" s="58">
        <f>K27-'Summary-Plant Heights'!H27</f>
        <v>7</v>
      </c>
      <c r="M27" s="45">
        <v>96</v>
      </c>
      <c r="N27" s="58">
        <f>M27-'Summary-Plant Heights'!I27</f>
        <v>8</v>
      </c>
      <c r="O27" s="49"/>
      <c r="P27" s="58"/>
      <c r="Q27" s="49"/>
      <c r="R27" s="53"/>
      <c r="S27" s="45"/>
      <c r="T27" s="58"/>
      <c r="U27" s="45"/>
      <c r="V27" s="58"/>
      <c r="W27" s="45"/>
      <c r="X27" s="58"/>
      <c r="Y27" s="45"/>
      <c r="Z27" s="58"/>
    </row>
    <row r="28" spans="2:26" s="40" customFormat="1" ht="16.899999999999999" customHeight="1" x14ac:dyDescent="0.25">
      <c r="B28" s="26" t="s">
        <v>1</v>
      </c>
      <c r="C28" s="26" t="s">
        <v>8</v>
      </c>
      <c r="D28" s="60" t="s">
        <v>24</v>
      </c>
      <c r="E28" s="41">
        <v>28</v>
      </c>
      <c r="F28" s="51">
        <f>E28-'Summary-Plant Heights'!E28</f>
        <v>7</v>
      </c>
      <c r="G28" s="41">
        <v>55</v>
      </c>
      <c r="H28" s="56">
        <f>G28-'Summary-Plant Heights'!F28</f>
        <v>13</v>
      </c>
      <c r="I28" s="41">
        <v>81</v>
      </c>
      <c r="J28" s="56">
        <f>I28-'Summary-Plant Heights'!G28</f>
        <v>8</v>
      </c>
      <c r="K28" s="41">
        <v>104</v>
      </c>
      <c r="L28" s="56">
        <f>K28-'Summary-Plant Heights'!H28</f>
        <v>7</v>
      </c>
      <c r="M28" s="41">
        <v>121</v>
      </c>
      <c r="N28" s="56">
        <f>M28-'Summary-Plant Heights'!I28</f>
        <v>7</v>
      </c>
      <c r="O28" s="47"/>
      <c r="P28" s="56"/>
      <c r="Q28" s="47"/>
      <c r="R28" s="51"/>
      <c r="S28" s="41"/>
      <c r="T28" s="56"/>
      <c r="U28" s="41"/>
      <c r="V28" s="56"/>
      <c r="W28" s="41"/>
      <c r="X28" s="56"/>
      <c r="Y28" s="41"/>
      <c r="Z28" s="56"/>
    </row>
    <row r="29" spans="2:26" s="40" customFormat="1" ht="16.899999999999999" customHeight="1" x14ac:dyDescent="0.25">
      <c r="B29" s="28"/>
      <c r="C29" s="28" t="s">
        <v>18</v>
      </c>
      <c r="D29" s="61" t="s">
        <v>38</v>
      </c>
      <c r="E29" s="43">
        <v>25</v>
      </c>
      <c r="F29" s="52">
        <f>E29-'Summary-Plant Heights'!E29</f>
        <v>5</v>
      </c>
      <c r="G29" s="43">
        <v>50</v>
      </c>
      <c r="H29" s="57">
        <f>G29-'Summary-Plant Heights'!F29</f>
        <v>9</v>
      </c>
      <c r="I29" s="43">
        <v>81</v>
      </c>
      <c r="J29" s="57">
        <f>I29-'Summary-Plant Heights'!G29</f>
        <v>5</v>
      </c>
      <c r="K29" s="43">
        <v>103</v>
      </c>
      <c r="L29" s="57">
        <f>K29-'Summary-Plant Heights'!H29</f>
        <v>4</v>
      </c>
      <c r="M29" s="43">
        <v>118</v>
      </c>
      <c r="N29" s="57">
        <f>M29-'Summary-Plant Heights'!I29</f>
        <v>9</v>
      </c>
      <c r="O29" s="48"/>
      <c r="P29" s="57"/>
      <c r="Q29" s="48"/>
      <c r="R29" s="52"/>
      <c r="S29" s="43"/>
      <c r="T29" s="57"/>
      <c r="U29" s="43"/>
      <c r="V29" s="57"/>
      <c r="W29" s="43"/>
      <c r="X29" s="57"/>
      <c r="Y29" s="43"/>
      <c r="Z29" s="57"/>
    </row>
    <row r="30" spans="2:26" s="40" customFormat="1" ht="16.899999999999999" customHeight="1" x14ac:dyDescent="0.25">
      <c r="B30" s="28"/>
      <c r="C30" s="28"/>
      <c r="D30" s="61" t="s">
        <v>25</v>
      </c>
      <c r="E30" s="43">
        <v>27</v>
      </c>
      <c r="F30" s="52">
        <f>E30-'Summary-Plant Heights'!E30</f>
        <v>6</v>
      </c>
      <c r="G30" s="43">
        <v>53</v>
      </c>
      <c r="H30" s="57">
        <f>G30-'Summary-Plant Heights'!F30</f>
        <v>12</v>
      </c>
      <c r="I30" s="43">
        <v>82</v>
      </c>
      <c r="J30" s="57">
        <f>I30-'Summary-Plant Heights'!G30</f>
        <v>4</v>
      </c>
      <c r="K30" s="43">
        <v>110</v>
      </c>
      <c r="L30" s="57">
        <f>K30-'Summary-Plant Heights'!H30</f>
        <v>5</v>
      </c>
      <c r="M30" s="43">
        <v>117</v>
      </c>
      <c r="N30" s="57">
        <f>M30-'Summary-Plant Heights'!I30</f>
        <v>8</v>
      </c>
      <c r="O30" s="48"/>
      <c r="P30" s="57"/>
      <c r="Q30" s="48"/>
      <c r="R30" s="52"/>
      <c r="S30" s="43"/>
      <c r="T30" s="57"/>
      <c r="U30" s="43"/>
      <c r="V30" s="57"/>
      <c r="W30" s="43"/>
      <c r="X30" s="57"/>
      <c r="Y30" s="43"/>
      <c r="Z30" s="57"/>
    </row>
    <row r="31" spans="2:26" s="40" customFormat="1" ht="16.899999999999999" customHeight="1" x14ac:dyDescent="0.25">
      <c r="B31" s="28"/>
      <c r="C31" s="28"/>
      <c r="D31" s="61" t="s">
        <v>26</v>
      </c>
      <c r="E31" s="43">
        <v>27</v>
      </c>
      <c r="F31" s="52">
        <f>E31-'Summary-Plant Heights'!E31</f>
        <v>6</v>
      </c>
      <c r="G31" s="43">
        <v>52</v>
      </c>
      <c r="H31" s="57">
        <f>G31-'Summary-Plant Heights'!F31</f>
        <v>10</v>
      </c>
      <c r="I31" s="43">
        <v>74</v>
      </c>
      <c r="J31" s="57">
        <f>I31-'Summary-Plant Heights'!G31</f>
        <v>7</v>
      </c>
      <c r="K31" s="43">
        <v>92</v>
      </c>
      <c r="L31" s="57">
        <f>K31-'Summary-Plant Heights'!H31</f>
        <v>6</v>
      </c>
      <c r="M31" s="43">
        <v>106</v>
      </c>
      <c r="N31" s="57">
        <f>M31-'Summary-Plant Heights'!I31</f>
        <v>11</v>
      </c>
      <c r="O31" s="48"/>
      <c r="P31" s="57"/>
      <c r="Q31" s="48"/>
      <c r="R31" s="52"/>
      <c r="S31" s="43"/>
      <c r="T31" s="57"/>
      <c r="U31" s="43"/>
      <c r="V31" s="57"/>
      <c r="W31" s="43"/>
      <c r="X31" s="57"/>
      <c r="Y31" s="43"/>
      <c r="Z31" s="57"/>
    </row>
    <row r="32" spans="2:26" s="40" customFormat="1" ht="16.899999999999999" customHeight="1" x14ac:dyDescent="0.25">
      <c r="B32" s="28"/>
      <c r="C32" s="28"/>
      <c r="D32" s="61" t="s">
        <v>27</v>
      </c>
      <c r="E32" s="43">
        <v>23</v>
      </c>
      <c r="F32" s="52">
        <f>E32-'Summary-Plant Heights'!E32</f>
        <v>4</v>
      </c>
      <c r="G32" s="43">
        <v>38</v>
      </c>
      <c r="H32" s="57">
        <f>G32-'Summary-Plant Heights'!F32</f>
        <v>9</v>
      </c>
      <c r="I32" s="43">
        <v>64</v>
      </c>
      <c r="J32" s="57">
        <f>I32-'Summary-Plant Heights'!G32</f>
        <v>6</v>
      </c>
      <c r="K32" s="43">
        <v>88</v>
      </c>
      <c r="L32" s="57">
        <f>K32-'Summary-Plant Heights'!H32</f>
        <v>6</v>
      </c>
      <c r="M32" s="43">
        <v>97</v>
      </c>
      <c r="N32" s="57">
        <f>M32-'Summary-Plant Heights'!I32</f>
        <v>7</v>
      </c>
      <c r="O32" s="48"/>
      <c r="P32" s="57"/>
      <c r="Q32" s="48"/>
      <c r="R32" s="52"/>
      <c r="S32" s="43"/>
      <c r="T32" s="57"/>
      <c r="U32" s="43"/>
      <c r="V32" s="57"/>
      <c r="W32" s="43"/>
      <c r="X32" s="57"/>
      <c r="Y32" s="43"/>
      <c r="Z32" s="57"/>
    </row>
    <row r="33" spans="2:26" s="40" customFormat="1" ht="16.899999999999999" customHeight="1" thickBot="1" x14ac:dyDescent="0.3">
      <c r="B33" s="30"/>
      <c r="C33" s="30"/>
      <c r="D33" s="62" t="s">
        <v>28</v>
      </c>
      <c r="E33" s="45">
        <v>22</v>
      </c>
      <c r="F33" s="53">
        <f>E33-'Summary-Plant Heights'!E33</f>
        <v>3</v>
      </c>
      <c r="G33" s="45">
        <v>40</v>
      </c>
      <c r="H33" s="58">
        <f>G33-'Summary-Plant Heights'!F33</f>
        <v>8</v>
      </c>
      <c r="I33" s="45">
        <v>60</v>
      </c>
      <c r="J33" s="58">
        <f>I33-'Summary-Plant Heights'!G33</f>
        <v>9</v>
      </c>
      <c r="K33" s="45">
        <v>82</v>
      </c>
      <c r="L33" s="58">
        <f>K33-'Summary-Plant Heights'!H33</f>
        <v>8</v>
      </c>
      <c r="M33" s="45">
        <v>82</v>
      </c>
      <c r="N33" s="58">
        <f>M33-'Summary-Plant Heights'!I33</f>
        <v>10</v>
      </c>
      <c r="O33" s="49"/>
      <c r="P33" s="58"/>
      <c r="Q33" s="49"/>
      <c r="R33" s="53"/>
      <c r="S33" s="45"/>
      <c r="T33" s="58"/>
      <c r="U33" s="45"/>
      <c r="V33" s="58"/>
      <c r="W33" s="45"/>
      <c r="X33" s="58"/>
      <c r="Y33" s="45"/>
      <c r="Z33" s="58"/>
    </row>
    <row r="34" spans="2:26" s="40" customFormat="1" ht="16.899999999999999" customHeight="1" x14ac:dyDescent="0.25">
      <c r="B34" s="26" t="s">
        <v>2</v>
      </c>
      <c r="C34" s="26" t="s">
        <v>9</v>
      </c>
      <c r="D34" s="60" t="s">
        <v>24</v>
      </c>
      <c r="E34" s="41">
        <v>28</v>
      </c>
      <c r="F34" s="51">
        <f>E34-'Summary-Plant Heights'!E34</f>
        <v>7</v>
      </c>
      <c r="G34" s="41">
        <v>44</v>
      </c>
      <c r="H34" s="56">
        <f>G34-'Summary-Plant Heights'!F34</f>
        <v>8</v>
      </c>
      <c r="I34" s="41">
        <v>68</v>
      </c>
      <c r="J34" s="56">
        <f>I34-'Summary-Plant Heights'!G34</f>
        <v>6</v>
      </c>
      <c r="K34" s="41">
        <v>102</v>
      </c>
      <c r="L34" s="56">
        <f>K34-'Summary-Plant Heights'!H34</f>
        <v>5</v>
      </c>
      <c r="M34" s="41">
        <v>97</v>
      </c>
      <c r="N34" s="56">
        <f>M34-'Summary-Plant Heights'!I34</f>
        <v>7</v>
      </c>
      <c r="O34" s="47"/>
      <c r="P34" s="56"/>
      <c r="Q34" s="47"/>
      <c r="R34" s="51"/>
      <c r="S34" s="41"/>
      <c r="T34" s="56"/>
      <c r="U34" s="41"/>
      <c r="V34" s="56"/>
      <c r="W34" s="41"/>
      <c r="X34" s="56"/>
      <c r="Y34" s="41"/>
      <c r="Z34" s="56"/>
    </row>
    <row r="35" spans="2:26" s="40" customFormat="1" ht="16.899999999999999" customHeight="1" x14ac:dyDescent="0.25">
      <c r="B35" s="28"/>
      <c r="C35" s="28" t="s">
        <v>19</v>
      </c>
      <c r="D35" s="61" t="s">
        <v>38</v>
      </c>
      <c r="E35" s="43">
        <v>29</v>
      </c>
      <c r="F35" s="52">
        <f>E35-'Summary-Plant Heights'!E35</f>
        <v>8</v>
      </c>
      <c r="G35" s="43">
        <v>49</v>
      </c>
      <c r="H35" s="57">
        <f>G35-'Summary-Plant Heights'!F35</f>
        <v>9</v>
      </c>
      <c r="I35" s="43">
        <v>79</v>
      </c>
      <c r="J35" s="57">
        <f>I35-'Summary-Plant Heights'!G35</f>
        <v>7</v>
      </c>
      <c r="K35" s="43">
        <v>110</v>
      </c>
      <c r="L35" s="57">
        <f>K35-'Summary-Plant Heights'!H35</f>
        <v>7</v>
      </c>
      <c r="M35" s="43">
        <v>118</v>
      </c>
      <c r="N35" s="57">
        <f>M35-'Summary-Plant Heights'!I35</f>
        <v>8</v>
      </c>
      <c r="O35" s="48"/>
      <c r="P35" s="57"/>
      <c r="Q35" s="48"/>
      <c r="R35" s="52"/>
      <c r="S35" s="43"/>
      <c r="T35" s="57"/>
      <c r="U35" s="43"/>
      <c r="V35" s="57"/>
      <c r="W35" s="43"/>
      <c r="X35" s="57"/>
      <c r="Y35" s="43"/>
      <c r="Z35" s="57"/>
    </row>
    <row r="36" spans="2:26" s="40" customFormat="1" ht="16.899999999999999" customHeight="1" x14ac:dyDescent="0.25">
      <c r="B36" s="28"/>
      <c r="C36" s="28"/>
      <c r="D36" s="61" t="s">
        <v>25</v>
      </c>
      <c r="E36" s="43">
        <v>29</v>
      </c>
      <c r="F36" s="52">
        <f>E36-'Summary-Plant Heights'!E36</f>
        <v>5</v>
      </c>
      <c r="G36" s="43">
        <v>48</v>
      </c>
      <c r="H36" s="57">
        <f>G36-'Summary-Plant Heights'!F36</f>
        <v>8</v>
      </c>
      <c r="I36" s="43">
        <v>80</v>
      </c>
      <c r="J36" s="57">
        <f>I36-'Summary-Plant Heights'!G36</f>
        <v>5</v>
      </c>
      <c r="K36" s="43">
        <v>112</v>
      </c>
      <c r="L36" s="57">
        <f>K36-'Summary-Plant Heights'!H36</f>
        <v>4</v>
      </c>
      <c r="M36" s="43">
        <v>129</v>
      </c>
      <c r="N36" s="57">
        <f>M36-'Summary-Plant Heights'!I36</f>
        <v>8</v>
      </c>
      <c r="O36" s="48"/>
      <c r="P36" s="57"/>
      <c r="Q36" s="48"/>
      <c r="R36" s="52"/>
      <c r="S36" s="43"/>
      <c r="T36" s="57"/>
      <c r="U36" s="43"/>
      <c r="V36" s="57"/>
      <c r="W36" s="43"/>
      <c r="X36" s="57"/>
      <c r="Y36" s="43"/>
      <c r="Z36" s="57"/>
    </row>
    <row r="37" spans="2:26" s="40" customFormat="1" ht="16.899999999999999" customHeight="1" x14ac:dyDescent="0.25">
      <c r="B37" s="28"/>
      <c r="C37" s="28"/>
      <c r="D37" s="61" t="s">
        <v>26</v>
      </c>
      <c r="E37" s="43">
        <v>28</v>
      </c>
      <c r="F37" s="52">
        <f>E37-'Summary-Plant Heights'!E37</f>
        <v>6</v>
      </c>
      <c r="G37" s="43">
        <v>43</v>
      </c>
      <c r="H37" s="57">
        <f>G37-'Summary-Plant Heights'!F37</f>
        <v>4</v>
      </c>
      <c r="I37" s="43">
        <v>77</v>
      </c>
      <c r="J37" s="57">
        <f>I37-'Summary-Plant Heights'!G37</f>
        <v>7</v>
      </c>
      <c r="K37" s="43">
        <v>107</v>
      </c>
      <c r="L37" s="57">
        <f>K37-'Summary-Plant Heights'!H37</f>
        <v>7</v>
      </c>
      <c r="M37" s="43">
        <v>117</v>
      </c>
      <c r="N37" s="57">
        <f>M37-'Summary-Plant Heights'!I37</f>
        <v>8</v>
      </c>
      <c r="O37" s="48"/>
      <c r="P37" s="57"/>
      <c r="Q37" s="48"/>
      <c r="R37" s="52"/>
      <c r="S37" s="43"/>
      <c r="T37" s="57"/>
      <c r="U37" s="43"/>
      <c r="V37" s="57"/>
      <c r="W37" s="43"/>
      <c r="X37" s="57"/>
      <c r="Y37" s="43"/>
      <c r="Z37" s="57"/>
    </row>
    <row r="38" spans="2:26" s="40" customFormat="1" ht="16.899999999999999" customHeight="1" x14ac:dyDescent="0.25">
      <c r="B38" s="28"/>
      <c r="C38" s="28"/>
      <c r="D38" s="61" t="s">
        <v>27</v>
      </c>
      <c r="E38" s="43">
        <v>28</v>
      </c>
      <c r="F38" s="52">
        <f>E38-'Summary-Plant Heights'!E38</f>
        <v>6</v>
      </c>
      <c r="G38" s="43">
        <v>45</v>
      </c>
      <c r="H38" s="57">
        <f>G38-'Summary-Plant Heights'!F38</f>
        <v>5</v>
      </c>
      <c r="I38" s="43">
        <v>74</v>
      </c>
      <c r="J38" s="57">
        <f>I38-'Summary-Plant Heights'!G38</f>
        <v>4</v>
      </c>
      <c r="K38" s="43">
        <v>101</v>
      </c>
      <c r="L38" s="57">
        <f>K38-'Summary-Plant Heights'!H38</f>
        <v>4</v>
      </c>
      <c r="M38" s="43">
        <v>116</v>
      </c>
      <c r="N38" s="57">
        <f>M38-'Summary-Plant Heights'!I38</f>
        <v>9</v>
      </c>
      <c r="O38" s="48"/>
      <c r="P38" s="57"/>
      <c r="Q38" s="48"/>
      <c r="R38" s="52"/>
      <c r="S38" s="43"/>
      <c r="T38" s="57"/>
      <c r="U38" s="43"/>
      <c r="V38" s="57"/>
      <c r="W38" s="43"/>
      <c r="X38" s="57"/>
      <c r="Y38" s="43"/>
      <c r="Z38" s="57"/>
    </row>
    <row r="39" spans="2:26" s="40" customFormat="1" ht="16.899999999999999" customHeight="1" thickBot="1" x14ac:dyDescent="0.3">
      <c r="B39" s="30"/>
      <c r="C39" s="30"/>
      <c r="D39" s="62" t="s">
        <v>28</v>
      </c>
      <c r="E39" s="45">
        <v>26</v>
      </c>
      <c r="F39" s="53">
        <f>E39-'Summary-Plant Heights'!E39</f>
        <v>6</v>
      </c>
      <c r="G39" s="45">
        <v>39</v>
      </c>
      <c r="H39" s="58">
        <f>G39-'Summary-Plant Heights'!F39</f>
        <v>5</v>
      </c>
      <c r="I39" s="45">
        <v>66</v>
      </c>
      <c r="J39" s="58">
        <f>I39-'Summary-Plant Heights'!G39</f>
        <v>5</v>
      </c>
      <c r="K39" s="45">
        <v>83</v>
      </c>
      <c r="L39" s="58">
        <f>K39-'Summary-Plant Heights'!H39</f>
        <v>5</v>
      </c>
      <c r="M39" s="45">
        <v>84</v>
      </c>
      <c r="N39" s="58">
        <f>M39-'Summary-Plant Heights'!I39</f>
        <v>8</v>
      </c>
      <c r="O39" s="49"/>
      <c r="P39" s="58"/>
      <c r="Q39" s="49"/>
      <c r="R39" s="53"/>
      <c r="S39" s="45"/>
      <c r="T39" s="58"/>
      <c r="U39" s="45"/>
      <c r="V39" s="58"/>
      <c r="W39" s="45"/>
      <c r="X39" s="58"/>
      <c r="Y39" s="45"/>
      <c r="Z39" s="58"/>
    </row>
    <row r="40" spans="2:26" s="40" customFormat="1" ht="16.899999999999999" customHeight="1" x14ac:dyDescent="0.25">
      <c r="B40" s="21" t="s">
        <v>2</v>
      </c>
      <c r="C40" s="21" t="s">
        <v>10</v>
      </c>
      <c r="D40" s="15" t="s">
        <v>24</v>
      </c>
      <c r="E40" s="41">
        <v>24</v>
      </c>
      <c r="F40" s="51">
        <f>E40-'Summary-Plant Heights'!E40</f>
        <v>8</v>
      </c>
      <c r="G40" s="41">
        <v>42</v>
      </c>
      <c r="H40" s="56">
        <f>G40-'Summary-Plant Heights'!F40</f>
        <v>12</v>
      </c>
      <c r="I40" s="41">
        <v>56</v>
      </c>
      <c r="J40" s="56">
        <f>I40-'Summary-Plant Heights'!G40</f>
        <v>10</v>
      </c>
      <c r="K40" s="41">
        <v>76</v>
      </c>
      <c r="L40" s="56">
        <f>K40-'Summary-Plant Heights'!H40</f>
        <v>8</v>
      </c>
      <c r="M40" s="41">
        <v>71</v>
      </c>
      <c r="N40" s="56">
        <f>M40-'Summary-Plant Heights'!I40</f>
        <v>7</v>
      </c>
      <c r="O40" s="47"/>
      <c r="P40" s="56"/>
      <c r="Q40" s="47"/>
      <c r="R40" s="51"/>
      <c r="S40" s="41"/>
      <c r="T40" s="56"/>
      <c r="U40" s="41"/>
      <c r="V40" s="56"/>
      <c r="W40" s="41"/>
      <c r="X40" s="56"/>
      <c r="Y40" s="41"/>
      <c r="Z40" s="56"/>
    </row>
    <row r="41" spans="2:26" s="40" customFormat="1" ht="16.899999999999999" customHeight="1" x14ac:dyDescent="0.25">
      <c r="B41" s="20"/>
      <c r="C41" s="20" t="s">
        <v>15</v>
      </c>
      <c r="D41" s="17" t="s">
        <v>38</v>
      </c>
      <c r="E41" s="43">
        <v>28</v>
      </c>
      <c r="F41" s="52">
        <f>E41-'Summary-Plant Heights'!E41</f>
        <v>7</v>
      </c>
      <c r="G41" s="43">
        <v>41</v>
      </c>
      <c r="H41" s="57">
        <f>G41-'Summary-Plant Heights'!F41</f>
        <v>8</v>
      </c>
      <c r="I41" s="43">
        <v>63</v>
      </c>
      <c r="J41" s="57">
        <f>I41-'Summary-Plant Heights'!G41</f>
        <v>8</v>
      </c>
      <c r="K41" s="43">
        <v>83</v>
      </c>
      <c r="L41" s="57">
        <f>K41-'Summary-Plant Heights'!H41</f>
        <v>7</v>
      </c>
      <c r="M41" s="43">
        <v>91</v>
      </c>
      <c r="N41" s="57">
        <f>M41-'Summary-Plant Heights'!I41</f>
        <v>9</v>
      </c>
      <c r="O41" s="48"/>
      <c r="P41" s="57"/>
      <c r="Q41" s="48"/>
      <c r="R41" s="52"/>
      <c r="S41" s="43"/>
      <c r="T41" s="57"/>
      <c r="U41" s="43"/>
      <c r="V41" s="57"/>
      <c r="W41" s="43"/>
      <c r="X41" s="57"/>
      <c r="Y41" s="43"/>
      <c r="Z41" s="57"/>
    </row>
    <row r="42" spans="2:26" s="40" customFormat="1" ht="16.899999999999999" customHeight="1" x14ac:dyDescent="0.25">
      <c r="B42" s="20"/>
      <c r="C42" s="20"/>
      <c r="D42" s="17" t="s">
        <v>25</v>
      </c>
      <c r="E42" s="43">
        <v>28</v>
      </c>
      <c r="F42" s="52">
        <f>E42-'Summary-Plant Heights'!E42</f>
        <v>6</v>
      </c>
      <c r="G42" s="43">
        <v>47</v>
      </c>
      <c r="H42" s="57">
        <f>G42-'Summary-Plant Heights'!F42</f>
        <v>12</v>
      </c>
      <c r="I42" s="43">
        <v>64</v>
      </c>
      <c r="J42" s="57">
        <f>I42-'Summary-Plant Heights'!G42</f>
        <v>11</v>
      </c>
      <c r="K42" s="43">
        <v>74</v>
      </c>
      <c r="L42" s="57">
        <f>K42-'Summary-Plant Heights'!H42</f>
        <v>6</v>
      </c>
      <c r="M42" s="43">
        <v>86</v>
      </c>
      <c r="N42" s="57">
        <f>M42-'Summary-Plant Heights'!I42</f>
        <v>8</v>
      </c>
      <c r="O42" s="48"/>
      <c r="P42" s="57"/>
      <c r="Q42" s="48"/>
      <c r="R42" s="52"/>
      <c r="S42" s="43"/>
      <c r="T42" s="57"/>
      <c r="U42" s="43"/>
      <c r="V42" s="57"/>
      <c r="W42" s="43"/>
      <c r="X42" s="57"/>
      <c r="Y42" s="43"/>
      <c r="Z42" s="57"/>
    </row>
    <row r="43" spans="2:26" s="40" customFormat="1" ht="16.899999999999999" customHeight="1" x14ac:dyDescent="0.25">
      <c r="B43" s="20"/>
      <c r="C43" s="20"/>
      <c r="D43" s="17" t="s">
        <v>26</v>
      </c>
      <c r="E43" s="43">
        <v>29</v>
      </c>
      <c r="F43" s="52">
        <f>E43-'Summary-Plant Heights'!E43</f>
        <v>7</v>
      </c>
      <c r="G43" s="43">
        <v>46</v>
      </c>
      <c r="H43" s="57">
        <f>G43-'Summary-Plant Heights'!F43</f>
        <v>11</v>
      </c>
      <c r="I43" s="43">
        <v>62</v>
      </c>
      <c r="J43" s="57">
        <f>I43-'Summary-Plant Heights'!G43</f>
        <v>10</v>
      </c>
      <c r="K43" s="43">
        <v>72</v>
      </c>
      <c r="L43" s="57">
        <f>K43-'Summary-Plant Heights'!H43</f>
        <v>5</v>
      </c>
      <c r="M43" s="43">
        <v>77</v>
      </c>
      <c r="N43" s="57">
        <f>M43-'Summary-Plant Heights'!I43</f>
        <v>7</v>
      </c>
      <c r="O43" s="48"/>
      <c r="P43" s="57"/>
      <c r="Q43" s="48"/>
      <c r="R43" s="52"/>
      <c r="S43" s="43"/>
      <c r="T43" s="57"/>
      <c r="U43" s="43"/>
      <c r="V43" s="57"/>
      <c r="W43" s="43"/>
      <c r="X43" s="57"/>
      <c r="Y43" s="43"/>
      <c r="Z43" s="57"/>
    </row>
    <row r="44" spans="2:26" s="40" customFormat="1" ht="16.899999999999999" customHeight="1" x14ac:dyDescent="0.25">
      <c r="B44" s="20"/>
      <c r="C44" s="20"/>
      <c r="D44" s="17" t="s">
        <v>27</v>
      </c>
      <c r="E44" s="43">
        <v>26</v>
      </c>
      <c r="F44" s="52">
        <f>E44-'Summary-Plant Heights'!E44</f>
        <v>10</v>
      </c>
      <c r="G44" s="43">
        <v>48</v>
      </c>
      <c r="H44" s="57">
        <f>G44-'Summary-Plant Heights'!F44</f>
        <v>9</v>
      </c>
      <c r="I44" s="43">
        <v>61</v>
      </c>
      <c r="J44" s="57">
        <f>I44-'Summary-Plant Heights'!G44</f>
        <v>9</v>
      </c>
      <c r="K44" s="43">
        <v>71</v>
      </c>
      <c r="L44" s="57">
        <f>K44-'Summary-Plant Heights'!H44</f>
        <v>5</v>
      </c>
      <c r="M44" s="43">
        <v>70</v>
      </c>
      <c r="N44" s="57">
        <f>M44-'Summary-Plant Heights'!I44</f>
        <v>9</v>
      </c>
      <c r="O44" s="48"/>
      <c r="P44" s="57"/>
      <c r="Q44" s="48"/>
      <c r="R44" s="52"/>
      <c r="S44" s="43"/>
      <c r="T44" s="57"/>
      <c r="U44" s="43"/>
      <c r="V44" s="57"/>
      <c r="W44" s="43"/>
      <c r="X44" s="57"/>
      <c r="Y44" s="43"/>
      <c r="Z44" s="57"/>
    </row>
    <row r="45" spans="2:26" s="40" customFormat="1" ht="16.899999999999999" customHeight="1" thickBot="1" x14ac:dyDescent="0.3">
      <c r="B45" s="22"/>
      <c r="C45" s="22"/>
      <c r="D45" s="59" t="s">
        <v>28</v>
      </c>
      <c r="E45" s="45">
        <v>26</v>
      </c>
      <c r="F45" s="53">
        <f>E45-'Summary-Plant Heights'!E45</f>
        <v>5</v>
      </c>
      <c r="G45" s="45">
        <v>38</v>
      </c>
      <c r="H45" s="58">
        <f>G45-'Summary-Plant Heights'!F45</f>
        <v>8</v>
      </c>
      <c r="I45" s="45">
        <v>59</v>
      </c>
      <c r="J45" s="58">
        <f>I45-'Summary-Plant Heights'!G45</f>
        <v>8</v>
      </c>
      <c r="K45" s="45">
        <v>69</v>
      </c>
      <c r="L45" s="58">
        <f>K45-'Summary-Plant Heights'!H45</f>
        <v>4</v>
      </c>
      <c r="M45" s="45">
        <v>76</v>
      </c>
      <c r="N45" s="58">
        <f>M45-'Summary-Plant Heights'!I45</f>
        <v>8</v>
      </c>
      <c r="O45" s="49"/>
      <c r="P45" s="58"/>
      <c r="Q45" s="49"/>
      <c r="R45" s="53"/>
      <c r="S45" s="45"/>
      <c r="T45" s="58"/>
      <c r="U45" s="45"/>
      <c r="V45" s="58"/>
      <c r="W45" s="45"/>
      <c r="X45" s="58"/>
      <c r="Y45" s="45"/>
      <c r="Z45" s="58"/>
    </row>
    <row r="46" spans="2:26" s="40" customFormat="1" ht="16.899999999999999" customHeight="1" x14ac:dyDescent="0.25">
      <c r="B46" s="21" t="s">
        <v>3</v>
      </c>
      <c r="C46" s="21" t="s">
        <v>11</v>
      </c>
      <c r="D46" s="15" t="s">
        <v>24</v>
      </c>
      <c r="E46" s="41">
        <v>27</v>
      </c>
      <c r="F46" s="51">
        <f>E46-'Summary-Plant Heights'!E46</f>
        <v>7</v>
      </c>
      <c r="G46" s="41">
        <v>42</v>
      </c>
      <c r="H46" s="56">
        <f>G46-'Summary-Plant Heights'!F46</f>
        <v>12</v>
      </c>
      <c r="I46" s="41">
        <v>64</v>
      </c>
      <c r="J46" s="56">
        <f>I46-'Summary-Plant Heights'!G46</f>
        <v>10</v>
      </c>
      <c r="K46" s="41">
        <v>96</v>
      </c>
      <c r="L46" s="56">
        <f>K46-'Summary-Plant Heights'!H46</f>
        <v>6</v>
      </c>
      <c r="M46" s="41">
        <v>121</v>
      </c>
      <c r="N46" s="56">
        <f>M46-'Summary-Plant Heights'!I46</f>
        <v>9</v>
      </c>
      <c r="O46" s="47"/>
      <c r="P46" s="56"/>
      <c r="Q46" s="47"/>
      <c r="R46" s="51"/>
      <c r="S46" s="41"/>
      <c r="T46" s="56"/>
      <c r="U46" s="41"/>
      <c r="V46" s="56"/>
      <c r="W46" s="41"/>
      <c r="X46" s="56"/>
      <c r="Y46" s="41"/>
      <c r="Z46" s="56"/>
    </row>
    <row r="47" spans="2:26" s="40" customFormat="1" ht="16.899999999999999" customHeight="1" x14ac:dyDescent="0.25">
      <c r="B47" s="20"/>
      <c r="C47" s="20" t="s">
        <v>17</v>
      </c>
      <c r="D47" s="17" t="s">
        <v>38</v>
      </c>
      <c r="E47" s="43">
        <v>26</v>
      </c>
      <c r="F47" s="52">
        <f>E47-'Summary-Plant Heights'!E47</f>
        <v>6</v>
      </c>
      <c r="G47" s="43">
        <v>39</v>
      </c>
      <c r="H47" s="57">
        <f>G47-'Summary-Plant Heights'!F47</f>
        <v>7</v>
      </c>
      <c r="I47" s="43">
        <v>70</v>
      </c>
      <c r="J47" s="57">
        <f>I47-'Summary-Plant Heights'!G47</f>
        <v>5</v>
      </c>
      <c r="K47" s="43">
        <v>95</v>
      </c>
      <c r="L47" s="57">
        <f>K47-'Summary-Plant Heights'!H47</f>
        <v>5</v>
      </c>
      <c r="M47" s="43">
        <v>117</v>
      </c>
      <c r="N47" s="57">
        <f>M47-'Summary-Plant Heights'!I47</f>
        <v>7</v>
      </c>
      <c r="O47" s="48"/>
      <c r="P47" s="57"/>
      <c r="Q47" s="48"/>
      <c r="R47" s="52"/>
      <c r="S47" s="43"/>
      <c r="T47" s="57"/>
      <c r="U47" s="43"/>
      <c r="V47" s="57"/>
      <c r="W47" s="43"/>
      <c r="X47" s="57"/>
      <c r="Y47" s="43"/>
      <c r="Z47" s="57"/>
    </row>
    <row r="48" spans="2:26" s="40" customFormat="1" ht="16.899999999999999" customHeight="1" x14ac:dyDescent="0.25">
      <c r="B48" s="20"/>
      <c r="C48" s="20"/>
      <c r="D48" s="17" t="s">
        <v>25</v>
      </c>
      <c r="E48" s="43">
        <v>27</v>
      </c>
      <c r="F48" s="52">
        <f>E48-'Summary-Plant Heights'!E48</f>
        <v>9</v>
      </c>
      <c r="G48" s="43">
        <v>38</v>
      </c>
      <c r="H48" s="57">
        <f>G48-'Summary-Plant Heights'!F48</f>
        <v>8</v>
      </c>
      <c r="I48" s="43">
        <v>63</v>
      </c>
      <c r="J48" s="57">
        <f>I48-'Summary-Plant Heights'!G48</f>
        <v>8</v>
      </c>
      <c r="K48" s="43">
        <v>94</v>
      </c>
      <c r="L48" s="57">
        <f>K48-'Summary-Plant Heights'!H48</f>
        <v>9</v>
      </c>
      <c r="M48" s="43">
        <v>107</v>
      </c>
      <c r="N48" s="57">
        <f>M48-'Summary-Plant Heights'!I48</f>
        <v>7</v>
      </c>
      <c r="O48" s="48"/>
      <c r="P48" s="57"/>
      <c r="Q48" s="48"/>
      <c r="R48" s="52"/>
      <c r="S48" s="43"/>
      <c r="T48" s="57"/>
      <c r="U48" s="43"/>
      <c r="V48" s="57"/>
      <c r="W48" s="43"/>
      <c r="X48" s="57"/>
      <c r="Y48" s="43"/>
      <c r="Z48" s="57"/>
    </row>
    <row r="49" spans="2:26" s="40" customFormat="1" ht="16.899999999999999" customHeight="1" x14ac:dyDescent="0.25">
      <c r="B49" s="20"/>
      <c r="C49" s="20"/>
      <c r="D49" s="17" t="s">
        <v>26</v>
      </c>
      <c r="E49" s="43">
        <v>28</v>
      </c>
      <c r="F49" s="52">
        <f>E49-'Summary-Plant Heights'!E49</f>
        <v>7</v>
      </c>
      <c r="G49" s="43">
        <v>45</v>
      </c>
      <c r="H49" s="57">
        <f>G49-'Summary-Plant Heights'!F49</f>
        <v>9</v>
      </c>
      <c r="I49" s="43">
        <v>70</v>
      </c>
      <c r="J49" s="57">
        <f>I49-'Summary-Plant Heights'!G49</f>
        <v>5</v>
      </c>
      <c r="K49" s="43">
        <v>97</v>
      </c>
      <c r="L49" s="57">
        <f>K49-'Summary-Plant Heights'!H49</f>
        <v>4</v>
      </c>
      <c r="M49" s="43">
        <v>116</v>
      </c>
      <c r="N49" s="57">
        <f>M49-'Summary-Plant Heights'!I49</f>
        <v>8</v>
      </c>
      <c r="O49" s="48"/>
      <c r="P49" s="57"/>
      <c r="Q49" s="48"/>
      <c r="R49" s="52"/>
      <c r="S49" s="43"/>
      <c r="T49" s="57"/>
      <c r="U49" s="43"/>
      <c r="V49" s="57"/>
      <c r="W49" s="43"/>
      <c r="X49" s="57"/>
      <c r="Y49" s="43"/>
      <c r="Z49" s="57"/>
    </row>
    <row r="50" spans="2:26" s="40" customFormat="1" ht="16.899999999999999" customHeight="1" x14ac:dyDescent="0.25">
      <c r="B50" s="20"/>
      <c r="C50" s="20"/>
      <c r="D50" s="17" t="s">
        <v>27</v>
      </c>
      <c r="E50" s="43">
        <v>28</v>
      </c>
      <c r="F50" s="52">
        <f>E50-'Summary-Plant Heights'!E50</f>
        <v>6</v>
      </c>
      <c r="G50" s="43">
        <v>46</v>
      </c>
      <c r="H50" s="57">
        <f>G50-'Summary-Plant Heights'!F50</f>
        <v>13</v>
      </c>
      <c r="I50" s="43">
        <v>64</v>
      </c>
      <c r="J50" s="57">
        <f>I50-'Summary-Plant Heights'!G50</f>
        <v>9</v>
      </c>
      <c r="K50" s="43">
        <v>89</v>
      </c>
      <c r="L50" s="57">
        <f>K50-'Summary-Plant Heights'!H50</f>
        <v>6</v>
      </c>
      <c r="M50" s="43">
        <v>107</v>
      </c>
      <c r="N50" s="57">
        <f>M50-'Summary-Plant Heights'!I50</f>
        <v>6</v>
      </c>
      <c r="O50" s="48"/>
      <c r="P50" s="57"/>
      <c r="Q50" s="48"/>
      <c r="R50" s="52"/>
      <c r="S50" s="43"/>
      <c r="T50" s="57"/>
      <c r="U50" s="43"/>
      <c r="V50" s="57"/>
      <c r="W50" s="43"/>
      <c r="X50" s="57"/>
      <c r="Y50" s="43"/>
      <c r="Z50" s="57"/>
    </row>
    <row r="51" spans="2:26" s="40" customFormat="1" ht="16.899999999999999" customHeight="1" thickBot="1" x14ac:dyDescent="0.3">
      <c r="B51" s="22"/>
      <c r="C51" s="22"/>
      <c r="D51" s="59" t="s">
        <v>28</v>
      </c>
      <c r="E51" s="45">
        <v>30</v>
      </c>
      <c r="F51" s="53">
        <f>E51-'Summary-Plant Heights'!E51</f>
        <v>7</v>
      </c>
      <c r="G51" s="45">
        <v>39</v>
      </c>
      <c r="H51" s="58">
        <f>G51-'Summary-Plant Heights'!F51</f>
        <v>10</v>
      </c>
      <c r="I51" s="45">
        <v>63</v>
      </c>
      <c r="J51" s="58">
        <f>I51-'Summary-Plant Heights'!G51</f>
        <v>8</v>
      </c>
      <c r="K51" s="45">
        <v>81</v>
      </c>
      <c r="L51" s="58">
        <f>K51-'Summary-Plant Heights'!H51</f>
        <v>7</v>
      </c>
      <c r="M51" s="45">
        <v>90</v>
      </c>
      <c r="N51" s="58">
        <f>M51-'Summary-Plant Heights'!I51</f>
        <v>8</v>
      </c>
      <c r="O51" s="49"/>
      <c r="P51" s="58"/>
      <c r="Q51" s="49"/>
      <c r="R51" s="53"/>
      <c r="S51" s="45"/>
      <c r="T51" s="58"/>
      <c r="U51" s="45"/>
      <c r="V51" s="58"/>
      <c r="W51" s="45"/>
      <c r="X51" s="58"/>
      <c r="Y51" s="45"/>
      <c r="Z51" s="58"/>
    </row>
    <row r="52" spans="2:26" s="40" customFormat="1" ht="16.899999999999999" customHeight="1" x14ac:dyDescent="0.25">
      <c r="B52" s="26" t="s">
        <v>3</v>
      </c>
      <c r="C52" s="26" t="s">
        <v>12</v>
      </c>
      <c r="D52" s="63" t="s">
        <v>24</v>
      </c>
      <c r="E52" s="41">
        <v>30</v>
      </c>
      <c r="F52" s="51">
        <f>E52-'Summary-Plant Heights'!E52</f>
        <v>10</v>
      </c>
      <c r="G52" s="41">
        <v>45</v>
      </c>
      <c r="H52" s="56">
        <f>G52-'Summary-Plant Heights'!F52</f>
        <v>12</v>
      </c>
      <c r="I52" s="41">
        <v>72</v>
      </c>
      <c r="J52" s="56">
        <f>I52-'Summary-Plant Heights'!G52</f>
        <v>7</v>
      </c>
      <c r="K52" s="41">
        <v>95</v>
      </c>
      <c r="L52" s="56">
        <f>K52-'Summary-Plant Heights'!H52</f>
        <v>5</v>
      </c>
      <c r="M52" s="41">
        <v>100</v>
      </c>
      <c r="N52" s="56">
        <f>M52-'Summary-Plant Heights'!I52</f>
        <v>9</v>
      </c>
      <c r="O52" s="47"/>
      <c r="P52" s="56"/>
      <c r="Q52" s="47"/>
      <c r="R52" s="51"/>
      <c r="S52" s="41"/>
      <c r="T52" s="56"/>
      <c r="U52" s="41"/>
      <c r="V52" s="56"/>
      <c r="W52" s="41"/>
      <c r="X52" s="56"/>
      <c r="Y52" s="41"/>
      <c r="Z52" s="56"/>
    </row>
    <row r="53" spans="2:26" s="40" customFormat="1" ht="16.899999999999999" customHeight="1" x14ac:dyDescent="0.25">
      <c r="B53" s="28"/>
      <c r="C53" s="28" t="s">
        <v>18</v>
      </c>
      <c r="D53" s="64" t="s">
        <v>38</v>
      </c>
      <c r="E53" s="43">
        <v>30</v>
      </c>
      <c r="F53" s="52">
        <f>E53-'Summary-Plant Heights'!E53</f>
        <v>9</v>
      </c>
      <c r="G53" s="43">
        <v>47</v>
      </c>
      <c r="H53" s="57">
        <f>G53-'Summary-Plant Heights'!F53</f>
        <v>8</v>
      </c>
      <c r="I53" s="43">
        <v>77</v>
      </c>
      <c r="J53" s="57">
        <f>I53-'Summary-Plant Heights'!G53</f>
        <v>4</v>
      </c>
      <c r="K53" s="43">
        <v>109</v>
      </c>
      <c r="L53" s="57">
        <f>K53-'Summary-Plant Heights'!H53</f>
        <v>6</v>
      </c>
      <c r="M53" s="43">
        <v>121</v>
      </c>
      <c r="N53" s="57">
        <f>M53-'Summary-Plant Heights'!I53</f>
        <v>10</v>
      </c>
      <c r="O53" s="48"/>
      <c r="P53" s="57"/>
      <c r="Q53" s="48"/>
      <c r="R53" s="52"/>
      <c r="S53" s="43"/>
      <c r="T53" s="57"/>
      <c r="U53" s="43"/>
      <c r="V53" s="57"/>
      <c r="W53" s="43"/>
      <c r="X53" s="57"/>
      <c r="Y53" s="43"/>
      <c r="Z53" s="57"/>
    </row>
    <row r="54" spans="2:26" s="40" customFormat="1" ht="16.899999999999999" customHeight="1" x14ac:dyDescent="0.25">
      <c r="B54" s="28"/>
      <c r="C54" s="28"/>
      <c r="D54" s="64" t="s">
        <v>25</v>
      </c>
      <c r="E54" s="43">
        <v>27</v>
      </c>
      <c r="F54" s="52">
        <f>E54-'Summary-Plant Heights'!E54</f>
        <v>12</v>
      </c>
      <c r="G54" s="43">
        <v>54</v>
      </c>
      <c r="H54" s="57">
        <f>G54-'Summary-Plant Heights'!F54</f>
        <v>10</v>
      </c>
      <c r="I54" s="43">
        <v>64</v>
      </c>
      <c r="J54" s="57">
        <f>I54-'Summary-Plant Heights'!G54</f>
        <v>6</v>
      </c>
      <c r="K54" s="43">
        <v>91</v>
      </c>
      <c r="L54" s="57">
        <f>K54-'Summary-Plant Heights'!H54</f>
        <v>5</v>
      </c>
      <c r="M54" s="43">
        <v>99</v>
      </c>
      <c r="N54" s="57">
        <f>M54-'Summary-Plant Heights'!I54</f>
        <v>9</v>
      </c>
      <c r="O54" s="48"/>
      <c r="P54" s="57"/>
      <c r="Q54" s="48"/>
      <c r="R54" s="52"/>
      <c r="S54" s="43"/>
      <c r="T54" s="57"/>
      <c r="U54" s="43"/>
      <c r="V54" s="57"/>
      <c r="W54" s="43"/>
      <c r="X54" s="57"/>
      <c r="Y54" s="43"/>
      <c r="Z54" s="57"/>
    </row>
    <row r="55" spans="2:26" s="40" customFormat="1" ht="16.899999999999999" customHeight="1" x14ac:dyDescent="0.25">
      <c r="B55" s="28"/>
      <c r="C55" s="28"/>
      <c r="D55" s="64" t="s">
        <v>26</v>
      </c>
      <c r="E55" s="43">
        <v>28</v>
      </c>
      <c r="F55" s="52">
        <f>E55-'Summary-Plant Heights'!E55</f>
        <v>8</v>
      </c>
      <c r="G55" s="43">
        <v>44</v>
      </c>
      <c r="H55" s="57">
        <f>G55-'Summary-Plant Heights'!F55</f>
        <v>11</v>
      </c>
      <c r="I55" s="43">
        <v>73</v>
      </c>
      <c r="J55" s="57">
        <f>I55-'Summary-Plant Heights'!G55</f>
        <v>11</v>
      </c>
      <c r="K55" s="43">
        <v>104</v>
      </c>
      <c r="L55" s="57">
        <f>K55-'Summary-Plant Heights'!H55</f>
        <v>4</v>
      </c>
      <c r="M55" s="43">
        <v>120</v>
      </c>
      <c r="N55" s="57">
        <f>M55-'Summary-Plant Heights'!I55</f>
        <v>9</v>
      </c>
      <c r="O55" s="48"/>
      <c r="P55" s="57"/>
      <c r="Q55" s="48"/>
      <c r="R55" s="52"/>
      <c r="S55" s="43"/>
      <c r="T55" s="57"/>
      <c r="U55" s="43"/>
      <c r="V55" s="57"/>
      <c r="W55" s="43"/>
      <c r="X55" s="57"/>
      <c r="Y55" s="43"/>
      <c r="Z55" s="57"/>
    </row>
    <row r="56" spans="2:26" s="40" customFormat="1" ht="16.899999999999999" customHeight="1" x14ac:dyDescent="0.25">
      <c r="B56" s="28"/>
      <c r="C56" s="28"/>
      <c r="D56" s="64" t="s">
        <v>27</v>
      </c>
      <c r="E56" s="43">
        <v>32</v>
      </c>
      <c r="F56" s="52">
        <f>E56-'Summary-Plant Heights'!E56</f>
        <v>9</v>
      </c>
      <c r="G56" s="43">
        <v>49</v>
      </c>
      <c r="H56" s="57">
        <f>G56-'Summary-Plant Heights'!F56</f>
        <v>9</v>
      </c>
      <c r="I56" s="43">
        <v>64</v>
      </c>
      <c r="J56" s="57">
        <f>I56-'Summary-Plant Heights'!G56</f>
        <v>6</v>
      </c>
      <c r="K56" s="43">
        <v>82</v>
      </c>
      <c r="L56" s="57">
        <f>K56-'Summary-Plant Heights'!H56</f>
        <v>4</v>
      </c>
      <c r="M56" s="43">
        <v>86</v>
      </c>
      <c r="N56" s="57">
        <f>M56-'Summary-Plant Heights'!I56</f>
        <v>10</v>
      </c>
      <c r="O56" s="48"/>
      <c r="P56" s="57"/>
      <c r="Q56" s="48"/>
      <c r="R56" s="52"/>
      <c r="S56" s="43"/>
      <c r="T56" s="57"/>
      <c r="U56" s="43"/>
      <c r="V56" s="57"/>
      <c r="W56" s="43"/>
      <c r="X56" s="57"/>
      <c r="Y56" s="43"/>
      <c r="Z56" s="57"/>
    </row>
    <row r="57" spans="2:26" s="40" customFormat="1" ht="16.899999999999999" customHeight="1" thickBot="1" x14ac:dyDescent="0.3">
      <c r="B57" s="30"/>
      <c r="C57" s="30"/>
      <c r="D57" s="65" t="s">
        <v>28</v>
      </c>
      <c r="E57" s="45">
        <v>30</v>
      </c>
      <c r="F57" s="53">
        <f>E57-'Summary-Plant Heights'!E57</f>
        <v>10</v>
      </c>
      <c r="G57" s="45">
        <v>40</v>
      </c>
      <c r="H57" s="58">
        <f>G57-'Summary-Plant Heights'!F57</f>
        <v>10</v>
      </c>
      <c r="I57" s="45">
        <v>59</v>
      </c>
      <c r="J57" s="58">
        <f>I57-'Summary-Plant Heights'!G57</f>
        <v>9</v>
      </c>
      <c r="K57" s="45">
        <v>76</v>
      </c>
      <c r="L57" s="58">
        <f>K57-'Summary-Plant Heights'!H57</f>
        <v>7</v>
      </c>
      <c r="M57" s="45">
        <v>84</v>
      </c>
      <c r="N57" s="58">
        <f>M57-'Summary-Plant Heights'!I57</f>
        <v>11</v>
      </c>
      <c r="O57" s="49"/>
      <c r="P57" s="58"/>
      <c r="Q57" s="49"/>
      <c r="R57" s="53"/>
      <c r="S57" s="45"/>
      <c r="T57" s="58"/>
      <c r="U57" s="45"/>
      <c r="V57" s="58"/>
      <c r="W57" s="45"/>
      <c r="X57" s="58"/>
      <c r="Y57" s="45"/>
      <c r="Z57" s="58"/>
    </row>
    <row r="58" spans="2:26" s="40" customFormat="1" ht="16.899999999999999" customHeight="1" x14ac:dyDescent="0.25">
      <c r="B58" s="26" t="s">
        <v>4</v>
      </c>
      <c r="C58" s="26" t="s">
        <v>13</v>
      </c>
      <c r="D58" s="63" t="s">
        <v>24</v>
      </c>
      <c r="E58" s="41">
        <v>28</v>
      </c>
      <c r="F58" s="51">
        <f>E58-'Summary-Plant Heights'!E58</f>
        <v>8</v>
      </c>
      <c r="G58" s="41">
        <v>49</v>
      </c>
      <c r="H58" s="56">
        <f>G58-'Summary-Plant Heights'!F58</f>
        <v>14</v>
      </c>
      <c r="I58" s="41">
        <v>61</v>
      </c>
      <c r="J58" s="56">
        <f>I58-'Summary-Plant Heights'!G58</f>
        <v>7</v>
      </c>
      <c r="K58" s="41">
        <v>74</v>
      </c>
      <c r="L58" s="56">
        <f>K58-'Summary-Plant Heights'!H58</f>
        <v>6</v>
      </c>
      <c r="M58" s="41">
        <v>87</v>
      </c>
      <c r="N58" s="56">
        <f>M58-'Summary-Plant Heights'!I58</f>
        <v>7</v>
      </c>
      <c r="O58" s="47"/>
      <c r="P58" s="56"/>
      <c r="Q58" s="47"/>
      <c r="R58" s="51"/>
      <c r="S58" s="41"/>
      <c r="T58" s="56"/>
      <c r="U58" s="41"/>
      <c r="V58" s="56"/>
      <c r="W58" s="41"/>
      <c r="X58" s="56"/>
      <c r="Y58" s="41"/>
      <c r="Z58" s="56"/>
    </row>
    <row r="59" spans="2:26" s="40" customFormat="1" ht="16.899999999999999" customHeight="1" x14ac:dyDescent="0.25">
      <c r="B59" s="28"/>
      <c r="C59" s="28" t="s">
        <v>19</v>
      </c>
      <c r="D59" s="64" t="s">
        <v>38</v>
      </c>
      <c r="E59" s="43">
        <v>25</v>
      </c>
      <c r="F59" s="52">
        <f>E59-'Summary-Plant Heights'!E59</f>
        <v>8</v>
      </c>
      <c r="G59" s="43">
        <v>50</v>
      </c>
      <c r="H59" s="57">
        <f>G59-'Summary-Plant Heights'!F59</f>
        <v>12</v>
      </c>
      <c r="I59" s="43">
        <v>76</v>
      </c>
      <c r="J59" s="57">
        <f>I59-'Summary-Plant Heights'!G59</f>
        <v>10</v>
      </c>
      <c r="K59" s="43">
        <v>110</v>
      </c>
      <c r="L59" s="57">
        <f>K59-'Summary-Plant Heights'!H59</f>
        <v>8</v>
      </c>
      <c r="M59" s="43">
        <v>126</v>
      </c>
      <c r="N59" s="57">
        <f>M59-'Summary-Plant Heights'!I59</f>
        <v>7</v>
      </c>
      <c r="O59" s="48"/>
      <c r="P59" s="57"/>
      <c r="Q59" s="48"/>
      <c r="R59" s="52"/>
      <c r="S59" s="43"/>
      <c r="T59" s="57"/>
      <c r="U59" s="43"/>
      <c r="V59" s="57"/>
      <c r="W59" s="43"/>
      <c r="X59" s="57"/>
      <c r="Y59" s="43"/>
      <c r="Z59" s="57"/>
    </row>
    <row r="60" spans="2:26" s="40" customFormat="1" ht="16.899999999999999" customHeight="1" x14ac:dyDescent="0.25">
      <c r="B60" s="28"/>
      <c r="C60" s="28"/>
      <c r="D60" s="64" t="s">
        <v>25</v>
      </c>
      <c r="E60" s="43">
        <v>30</v>
      </c>
      <c r="F60" s="52">
        <f>E60-'Summary-Plant Heights'!E60</f>
        <v>9</v>
      </c>
      <c r="G60" s="43">
        <v>50</v>
      </c>
      <c r="H60" s="57">
        <f>G60-'Summary-Plant Heights'!F60</f>
        <v>13</v>
      </c>
      <c r="I60" s="43">
        <v>71</v>
      </c>
      <c r="J60" s="57">
        <f>I60-'Summary-Plant Heights'!G60</f>
        <v>8</v>
      </c>
      <c r="K60" s="43">
        <v>102</v>
      </c>
      <c r="L60" s="57">
        <f>K60-'Summary-Plant Heights'!H60</f>
        <v>6</v>
      </c>
      <c r="M60" s="43">
        <v>111</v>
      </c>
      <c r="N60" s="57">
        <f>M60-'Summary-Plant Heights'!I60</f>
        <v>0</v>
      </c>
      <c r="O60" s="48"/>
      <c r="P60" s="57"/>
      <c r="Q60" s="48"/>
      <c r="R60" s="52"/>
      <c r="S60" s="43"/>
      <c r="T60" s="57"/>
      <c r="U60" s="43"/>
      <c r="V60" s="57"/>
      <c r="W60" s="43"/>
      <c r="X60" s="57"/>
      <c r="Y60" s="43"/>
      <c r="Z60" s="57"/>
    </row>
    <row r="61" spans="2:26" s="40" customFormat="1" ht="16.899999999999999" customHeight="1" x14ac:dyDescent="0.25">
      <c r="B61" s="28"/>
      <c r="C61" s="28"/>
      <c r="D61" s="64" t="s">
        <v>26</v>
      </c>
      <c r="E61" s="43">
        <v>32</v>
      </c>
      <c r="F61" s="52">
        <f>E61-'Summary-Plant Heights'!E61</f>
        <v>8</v>
      </c>
      <c r="G61" s="43">
        <v>50</v>
      </c>
      <c r="H61" s="57">
        <f>G61-'Summary-Plant Heights'!F61</f>
        <v>10</v>
      </c>
      <c r="I61" s="43">
        <v>68</v>
      </c>
      <c r="J61" s="57">
        <f>I61-'Summary-Plant Heights'!G61</f>
        <v>8</v>
      </c>
      <c r="K61" s="43">
        <v>100</v>
      </c>
      <c r="L61" s="57">
        <f>K61-'Summary-Plant Heights'!H61</f>
        <v>8</v>
      </c>
      <c r="M61" s="43">
        <v>117</v>
      </c>
      <c r="N61" s="57">
        <f>M61-'Summary-Plant Heights'!I61</f>
        <v>9</v>
      </c>
      <c r="O61" s="48"/>
      <c r="P61" s="57"/>
      <c r="Q61" s="48"/>
      <c r="R61" s="52"/>
      <c r="S61" s="43"/>
      <c r="T61" s="57"/>
      <c r="U61" s="43"/>
      <c r="V61" s="57"/>
      <c r="W61" s="43"/>
      <c r="X61" s="57"/>
      <c r="Y61" s="43"/>
      <c r="Z61" s="57"/>
    </row>
    <row r="62" spans="2:26" s="40" customFormat="1" ht="16.899999999999999" customHeight="1" x14ac:dyDescent="0.25">
      <c r="B62" s="28"/>
      <c r="C62" s="28"/>
      <c r="D62" s="64" t="s">
        <v>27</v>
      </c>
      <c r="E62" s="43">
        <v>29</v>
      </c>
      <c r="F62" s="52">
        <f>E62-'Summary-Plant Heights'!E62</f>
        <v>7</v>
      </c>
      <c r="G62" s="43">
        <v>45</v>
      </c>
      <c r="H62" s="57">
        <f>G62-'Summary-Plant Heights'!F62</f>
        <v>14</v>
      </c>
      <c r="I62" s="43">
        <v>60</v>
      </c>
      <c r="J62" s="57">
        <f>I62-'Summary-Plant Heights'!G62</f>
        <v>8</v>
      </c>
      <c r="K62" s="43">
        <v>83</v>
      </c>
      <c r="L62" s="57">
        <f>K62-'Summary-Plant Heights'!H62</f>
        <v>7</v>
      </c>
      <c r="M62" s="43">
        <v>91</v>
      </c>
      <c r="N62" s="57">
        <f>M62-'Summary-Plant Heights'!I62</f>
        <v>10</v>
      </c>
      <c r="O62" s="48"/>
      <c r="P62" s="57"/>
      <c r="Q62" s="48"/>
      <c r="R62" s="52"/>
      <c r="S62" s="43"/>
      <c r="T62" s="57"/>
      <c r="U62" s="43"/>
      <c r="V62" s="57"/>
      <c r="W62" s="43"/>
      <c r="X62" s="57"/>
      <c r="Y62" s="43"/>
      <c r="Z62" s="57"/>
    </row>
    <row r="63" spans="2:26" s="40" customFormat="1" ht="16.899999999999999" customHeight="1" thickBot="1" x14ac:dyDescent="0.3">
      <c r="B63" s="30"/>
      <c r="C63" s="30"/>
      <c r="D63" s="65" t="s">
        <v>28</v>
      </c>
      <c r="E63" s="45">
        <v>26</v>
      </c>
      <c r="F63" s="53">
        <f>E63-'Summary-Plant Heights'!E63</f>
        <v>6</v>
      </c>
      <c r="G63" s="45">
        <v>42</v>
      </c>
      <c r="H63" s="58">
        <f>G63-'Summary-Plant Heights'!F63</f>
        <v>11</v>
      </c>
      <c r="I63" s="45">
        <v>63</v>
      </c>
      <c r="J63" s="58">
        <f>I63-'Summary-Plant Heights'!G63</f>
        <v>9</v>
      </c>
      <c r="K63" s="45">
        <v>88</v>
      </c>
      <c r="L63" s="58">
        <f>K63-'Summary-Plant Heights'!H63</f>
        <v>5</v>
      </c>
      <c r="M63" s="45">
        <v>97</v>
      </c>
      <c r="N63" s="58">
        <f>M63-'Summary-Plant Heights'!I63</f>
        <v>9</v>
      </c>
      <c r="O63" s="49"/>
      <c r="P63" s="58"/>
      <c r="Q63" s="49"/>
      <c r="R63" s="53"/>
      <c r="S63" s="45"/>
      <c r="T63" s="58"/>
      <c r="U63" s="45"/>
      <c r="V63" s="58"/>
      <c r="W63" s="45"/>
      <c r="X63" s="58"/>
      <c r="Y63" s="45"/>
      <c r="Z63" s="58"/>
    </row>
    <row r="64" spans="2:26" s="40" customFormat="1" ht="16.899999999999999" customHeight="1" x14ac:dyDescent="0.25">
      <c r="B64" s="21" t="s">
        <v>4</v>
      </c>
      <c r="C64" s="21" t="s">
        <v>14</v>
      </c>
      <c r="D64" s="15" t="s">
        <v>24</v>
      </c>
      <c r="E64" s="41">
        <v>29</v>
      </c>
      <c r="F64" s="51">
        <f>E64-'Summary-Plant Heights'!E64</f>
        <v>8</v>
      </c>
      <c r="G64" s="41">
        <v>42</v>
      </c>
      <c r="H64" s="56">
        <f>G64-'Summary-Plant Heights'!F64</f>
        <v>10</v>
      </c>
      <c r="I64" s="41">
        <v>63</v>
      </c>
      <c r="J64" s="56">
        <f>I64-'Summary-Plant Heights'!G64</f>
        <v>8</v>
      </c>
      <c r="K64" s="41">
        <v>80</v>
      </c>
      <c r="L64" s="56">
        <f>K64-'Summary-Plant Heights'!H64</f>
        <v>9</v>
      </c>
      <c r="M64" s="41">
        <v>84</v>
      </c>
      <c r="N64" s="56">
        <f>M64-'Summary-Plant Heights'!I64</f>
        <v>6</v>
      </c>
      <c r="O64" s="47"/>
      <c r="P64" s="56"/>
      <c r="Q64" s="47"/>
      <c r="R64" s="51"/>
      <c r="S64" s="41"/>
      <c r="T64" s="56"/>
      <c r="U64" s="41"/>
      <c r="V64" s="56"/>
      <c r="W64" s="41"/>
      <c r="X64" s="56"/>
      <c r="Y64" s="41"/>
      <c r="Z64" s="56"/>
    </row>
    <row r="65" spans="2:26" s="40" customFormat="1" ht="16.899999999999999" customHeight="1" x14ac:dyDescent="0.25">
      <c r="B65" s="20"/>
      <c r="C65" s="20" t="s">
        <v>16</v>
      </c>
      <c r="D65" s="17" t="s">
        <v>38</v>
      </c>
      <c r="E65" s="43">
        <v>30</v>
      </c>
      <c r="F65" s="52">
        <f>E65-'Summary-Plant Heights'!E65</f>
        <v>7</v>
      </c>
      <c r="G65" s="43">
        <v>48</v>
      </c>
      <c r="H65" s="57">
        <f>G65-'Summary-Plant Heights'!F65</f>
        <v>10</v>
      </c>
      <c r="I65" s="43">
        <v>70</v>
      </c>
      <c r="J65" s="57">
        <f>I65-'Summary-Plant Heights'!G65</f>
        <v>6</v>
      </c>
      <c r="K65" s="43">
        <v>89</v>
      </c>
      <c r="L65" s="57">
        <f>K65-'Summary-Plant Heights'!H65</f>
        <v>5</v>
      </c>
      <c r="M65" s="43">
        <v>95</v>
      </c>
      <c r="N65" s="57">
        <f>M65-'Summary-Plant Heights'!I65</f>
        <v>6</v>
      </c>
      <c r="O65" s="48"/>
      <c r="P65" s="57"/>
      <c r="Q65" s="48"/>
      <c r="R65" s="52"/>
      <c r="S65" s="43"/>
      <c r="T65" s="57"/>
      <c r="U65" s="43"/>
      <c r="V65" s="57"/>
      <c r="W65" s="43"/>
      <c r="X65" s="57"/>
      <c r="Y65" s="43"/>
      <c r="Z65" s="57"/>
    </row>
    <row r="66" spans="2:26" s="40" customFormat="1" ht="16.899999999999999" customHeight="1" x14ac:dyDescent="0.25">
      <c r="B66" s="20"/>
      <c r="C66" s="20"/>
      <c r="D66" s="17" t="s">
        <v>25</v>
      </c>
      <c r="E66" s="43">
        <v>31</v>
      </c>
      <c r="F66" s="52">
        <f>E66-'Summary-Plant Heights'!E66</f>
        <v>8</v>
      </c>
      <c r="G66" s="43">
        <v>53</v>
      </c>
      <c r="H66" s="57">
        <f>G66-'Summary-Plant Heights'!F66</f>
        <v>13</v>
      </c>
      <c r="I66" s="43">
        <v>77</v>
      </c>
      <c r="J66" s="57">
        <f>I66-'Summary-Plant Heights'!G66</f>
        <v>11</v>
      </c>
      <c r="K66" s="43">
        <v>98</v>
      </c>
      <c r="L66" s="57">
        <f>K66-'Summary-Plant Heights'!H66</f>
        <v>6</v>
      </c>
      <c r="M66" s="43">
        <v>106</v>
      </c>
      <c r="N66" s="57">
        <f>M66-'Summary-Plant Heights'!I66</f>
        <v>8</v>
      </c>
      <c r="O66" s="48"/>
      <c r="P66" s="57"/>
      <c r="Q66" s="48"/>
      <c r="R66" s="52"/>
      <c r="S66" s="43"/>
      <c r="T66" s="57"/>
      <c r="U66" s="43"/>
      <c r="V66" s="57"/>
      <c r="W66" s="43"/>
      <c r="X66" s="57"/>
      <c r="Y66" s="43"/>
      <c r="Z66" s="57"/>
    </row>
    <row r="67" spans="2:26" s="40" customFormat="1" ht="16.899999999999999" customHeight="1" x14ac:dyDescent="0.25">
      <c r="B67" s="20"/>
      <c r="C67" s="20"/>
      <c r="D67" s="17" t="s">
        <v>26</v>
      </c>
      <c r="E67" s="43">
        <v>33</v>
      </c>
      <c r="F67" s="52">
        <f>E67-'Summary-Plant Heights'!E67</f>
        <v>9</v>
      </c>
      <c r="G67" s="43">
        <v>55</v>
      </c>
      <c r="H67" s="57">
        <f>G67-'Summary-Plant Heights'!F67</f>
        <v>13</v>
      </c>
      <c r="I67" s="43">
        <v>76</v>
      </c>
      <c r="J67" s="57">
        <f>I67-'Summary-Plant Heights'!G67</f>
        <v>0</v>
      </c>
      <c r="K67" s="43">
        <v>95</v>
      </c>
      <c r="L67" s="57">
        <f>K67-'Summary-Plant Heights'!H67</f>
        <v>8</v>
      </c>
      <c r="M67" s="43">
        <v>98</v>
      </c>
      <c r="N67" s="57">
        <f>M67-'Summary-Plant Heights'!I67</f>
        <v>8</v>
      </c>
      <c r="O67" s="48"/>
      <c r="P67" s="57"/>
      <c r="Q67" s="48"/>
      <c r="R67" s="52"/>
      <c r="S67" s="43"/>
      <c r="T67" s="57"/>
      <c r="U67" s="43"/>
      <c r="V67" s="57"/>
      <c r="W67" s="43"/>
      <c r="X67" s="57"/>
      <c r="Y67" s="43"/>
      <c r="Z67" s="57"/>
    </row>
    <row r="68" spans="2:26" s="40" customFormat="1" ht="16.899999999999999" customHeight="1" x14ac:dyDescent="0.25">
      <c r="B68" s="20"/>
      <c r="C68" s="20"/>
      <c r="D68" s="17" t="s">
        <v>27</v>
      </c>
      <c r="E68" s="43">
        <v>31</v>
      </c>
      <c r="F68" s="52">
        <f>E68-'Summary-Plant Heights'!E68</f>
        <v>9</v>
      </c>
      <c r="G68" s="43">
        <v>49</v>
      </c>
      <c r="H68" s="57">
        <f>G68-'Summary-Plant Heights'!F68</f>
        <v>11</v>
      </c>
      <c r="I68" s="43">
        <v>66</v>
      </c>
      <c r="J68" s="57">
        <f>I68-'Summary-Plant Heights'!G68</f>
        <v>10</v>
      </c>
      <c r="K68" s="43">
        <v>81</v>
      </c>
      <c r="L68" s="57">
        <f>K68-'Summary-Plant Heights'!H68</f>
        <v>6</v>
      </c>
      <c r="M68" s="43">
        <v>83</v>
      </c>
      <c r="N68" s="57">
        <f>M68-'Summary-Plant Heights'!I68</f>
        <v>7</v>
      </c>
      <c r="O68" s="48"/>
      <c r="P68" s="57"/>
      <c r="Q68" s="48"/>
      <c r="R68" s="52"/>
      <c r="S68" s="43"/>
      <c r="T68" s="57"/>
      <c r="U68" s="43"/>
      <c r="V68" s="57"/>
      <c r="W68" s="43"/>
      <c r="X68" s="57"/>
      <c r="Y68" s="43"/>
      <c r="Z68" s="57"/>
    </row>
    <row r="69" spans="2:26" s="40" customFormat="1" ht="16.899999999999999" customHeight="1" thickBot="1" x14ac:dyDescent="0.3">
      <c r="B69" s="22"/>
      <c r="C69" s="22"/>
      <c r="D69" s="59" t="s">
        <v>28</v>
      </c>
      <c r="E69" s="45">
        <v>31</v>
      </c>
      <c r="F69" s="53">
        <f>E69-'Summary-Plant Heights'!E69</f>
        <v>11</v>
      </c>
      <c r="G69" s="45">
        <v>47</v>
      </c>
      <c r="H69" s="58">
        <f>G69-'Summary-Plant Heights'!F69</f>
        <v>13</v>
      </c>
      <c r="I69" s="45">
        <v>61</v>
      </c>
      <c r="J69" s="58">
        <f>I69-'Summary-Plant Heights'!G69</f>
        <v>8</v>
      </c>
      <c r="K69" s="45">
        <v>74</v>
      </c>
      <c r="L69" s="58">
        <f>K69-'Summary-Plant Heights'!H69</f>
        <v>6</v>
      </c>
      <c r="M69" s="45">
        <v>78</v>
      </c>
      <c r="N69" s="58">
        <f>M69-'Summary-Plant Heights'!I69</f>
        <v>4</v>
      </c>
      <c r="O69" s="49"/>
      <c r="P69" s="58"/>
      <c r="Q69" s="49"/>
      <c r="R69" s="53"/>
      <c r="S69" s="45"/>
      <c r="T69" s="58"/>
      <c r="U69" s="45"/>
      <c r="V69" s="58"/>
      <c r="W69" s="45"/>
      <c r="X69" s="58"/>
      <c r="Y69" s="45"/>
      <c r="Z69" s="58"/>
    </row>
    <row r="70" spans="2:26" s="40" customFormat="1" ht="16.899999999999999" customHeight="1" x14ac:dyDescent="0.25">
      <c r="B70" s="21" t="s">
        <v>22</v>
      </c>
      <c r="C70" s="21" t="s">
        <v>23</v>
      </c>
      <c r="D70" s="15" t="s">
        <v>24</v>
      </c>
      <c r="E70" s="41">
        <v>28</v>
      </c>
      <c r="F70" s="51">
        <f>E70-'Summary-Plant Heights'!E70</f>
        <v>9</v>
      </c>
      <c r="G70" s="41">
        <v>44</v>
      </c>
      <c r="H70" s="56">
        <f>G70-'Summary-Plant Heights'!F70</f>
        <v>10</v>
      </c>
      <c r="I70" s="41">
        <v>58</v>
      </c>
      <c r="J70" s="56">
        <f>I70-'Summary-Plant Heights'!G70</f>
        <v>8</v>
      </c>
      <c r="K70" s="41">
        <v>79</v>
      </c>
      <c r="L70" s="56">
        <f>K70-'Summary-Plant Heights'!H70</f>
        <v>8</v>
      </c>
      <c r="M70" s="41">
        <v>89</v>
      </c>
      <c r="N70" s="56">
        <f>M70-'Summary-Plant Heights'!I70</f>
        <v>9</v>
      </c>
      <c r="O70" s="47"/>
      <c r="P70" s="56"/>
      <c r="Q70" s="47"/>
      <c r="R70" s="51"/>
      <c r="S70" s="41"/>
      <c r="T70" s="56"/>
      <c r="U70" s="41"/>
      <c r="V70" s="56"/>
      <c r="W70" s="41"/>
      <c r="X70" s="56"/>
      <c r="Y70" s="41"/>
      <c r="Z70" s="56"/>
    </row>
    <row r="71" spans="2:26" s="40" customFormat="1" ht="16.899999999999999" customHeight="1" x14ac:dyDescent="0.25">
      <c r="B71" s="20"/>
      <c r="C71" s="20" t="s">
        <v>17</v>
      </c>
      <c r="D71" s="17" t="s">
        <v>38</v>
      </c>
      <c r="E71" s="43">
        <v>27</v>
      </c>
      <c r="F71" s="52">
        <f>E71-'Summary-Plant Heights'!E71</f>
        <v>8</v>
      </c>
      <c r="G71" s="43">
        <v>45</v>
      </c>
      <c r="H71" s="57">
        <f>G71-'Summary-Plant Heights'!F71</f>
        <v>11</v>
      </c>
      <c r="I71" s="43">
        <v>63</v>
      </c>
      <c r="J71" s="57">
        <f>I71-'Summary-Plant Heights'!G71</f>
        <v>9</v>
      </c>
      <c r="K71" s="43">
        <v>90</v>
      </c>
      <c r="L71" s="57">
        <f>K71-'Summary-Plant Heights'!H71</f>
        <v>6</v>
      </c>
      <c r="M71" s="43">
        <v>105</v>
      </c>
      <c r="N71" s="57">
        <f>M71-'Summary-Plant Heights'!I71</f>
        <v>8</v>
      </c>
      <c r="O71" s="48"/>
      <c r="P71" s="57"/>
      <c r="Q71" s="48"/>
      <c r="R71" s="52"/>
      <c r="S71" s="43"/>
      <c r="T71" s="57"/>
      <c r="U71" s="43"/>
      <c r="V71" s="57"/>
      <c r="W71" s="43"/>
      <c r="X71" s="57"/>
      <c r="Y71" s="43"/>
      <c r="Z71" s="57"/>
    </row>
    <row r="72" spans="2:26" s="40" customFormat="1" ht="16.899999999999999" customHeight="1" x14ac:dyDescent="0.25">
      <c r="B72" s="20"/>
      <c r="C72" s="20"/>
      <c r="D72" s="17" t="s">
        <v>25</v>
      </c>
      <c r="E72" s="43">
        <v>29</v>
      </c>
      <c r="F72" s="52">
        <f>E72-'Summary-Plant Heights'!E72</f>
        <v>8</v>
      </c>
      <c r="G72" s="43">
        <v>49</v>
      </c>
      <c r="H72" s="57">
        <f>G72-'Summary-Plant Heights'!F72</f>
        <v>12</v>
      </c>
      <c r="I72" s="43">
        <v>67</v>
      </c>
      <c r="J72" s="57">
        <f>I72-'Summary-Plant Heights'!G72</f>
        <v>9</v>
      </c>
      <c r="K72" s="43">
        <v>88</v>
      </c>
      <c r="L72" s="57">
        <f>K72-'Summary-Plant Heights'!H72</f>
        <v>7</v>
      </c>
      <c r="M72" s="43">
        <v>104</v>
      </c>
      <c r="N72" s="57">
        <f>M72-'Summary-Plant Heights'!I72</f>
        <v>7</v>
      </c>
      <c r="O72" s="48"/>
      <c r="P72" s="57"/>
      <c r="Q72" s="48"/>
      <c r="R72" s="52"/>
      <c r="S72" s="43"/>
      <c r="T72" s="57"/>
      <c r="U72" s="43"/>
      <c r="V72" s="57"/>
      <c r="W72" s="43"/>
      <c r="X72" s="57"/>
      <c r="Y72" s="43"/>
      <c r="Z72" s="57"/>
    </row>
    <row r="73" spans="2:26" s="40" customFormat="1" ht="16.899999999999999" customHeight="1" x14ac:dyDescent="0.25">
      <c r="B73" s="20"/>
      <c r="C73" s="20"/>
      <c r="D73" s="17" t="s">
        <v>26</v>
      </c>
      <c r="E73" s="43">
        <v>23</v>
      </c>
      <c r="F73" s="52">
        <f>E73-'Summary-Plant Heights'!E73</f>
        <v>5</v>
      </c>
      <c r="G73" s="43">
        <v>46</v>
      </c>
      <c r="H73" s="57">
        <f>G73-'Summary-Plant Heights'!F73</f>
        <v>11</v>
      </c>
      <c r="I73" s="43">
        <v>62</v>
      </c>
      <c r="J73" s="57">
        <f>I73-'Summary-Plant Heights'!G73</f>
        <v>8</v>
      </c>
      <c r="K73" s="43">
        <v>83</v>
      </c>
      <c r="L73" s="57">
        <f>K73-'Summary-Plant Heights'!H73</f>
        <v>12</v>
      </c>
      <c r="M73" s="43">
        <v>97</v>
      </c>
      <c r="N73" s="57">
        <f>M73-'Summary-Plant Heights'!I73</f>
        <v>7</v>
      </c>
      <c r="O73" s="48"/>
      <c r="P73" s="57"/>
      <c r="Q73" s="48"/>
      <c r="R73" s="52"/>
      <c r="S73" s="43"/>
      <c r="T73" s="57"/>
      <c r="U73" s="43"/>
      <c r="V73" s="57"/>
      <c r="W73" s="43"/>
      <c r="X73" s="57"/>
      <c r="Y73" s="43"/>
      <c r="Z73" s="57"/>
    </row>
    <row r="74" spans="2:26" s="40" customFormat="1" ht="16.899999999999999" customHeight="1" x14ac:dyDescent="0.25">
      <c r="B74" s="20"/>
      <c r="C74" s="20"/>
      <c r="D74" s="17" t="s">
        <v>27</v>
      </c>
      <c r="E74" s="43">
        <v>24</v>
      </c>
      <c r="F74" s="52">
        <f>E74-'Summary-Plant Heights'!E74</f>
        <v>5</v>
      </c>
      <c r="G74" s="43">
        <v>49</v>
      </c>
      <c r="H74" s="57">
        <f>G74-'Summary-Plant Heights'!F74</f>
        <v>11</v>
      </c>
      <c r="I74" s="43">
        <v>62</v>
      </c>
      <c r="J74" s="57">
        <f>I74-'Summary-Plant Heights'!G74</f>
        <v>10</v>
      </c>
      <c r="K74" s="43">
        <v>78</v>
      </c>
      <c r="L74" s="57">
        <f>K74-'Summary-Plant Heights'!H74</f>
        <v>8</v>
      </c>
      <c r="M74" s="43">
        <v>90</v>
      </c>
      <c r="N74" s="57">
        <f>M74-'Summary-Plant Heights'!I74</f>
        <v>9</v>
      </c>
      <c r="O74" s="48"/>
      <c r="P74" s="57"/>
      <c r="Q74" s="48"/>
      <c r="R74" s="52"/>
      <c r="S74" s="43"/>
      <c r="T74" s="57"/>
      <c r="U74" s="43"/>
      <c r="V74" s="57"/>
      <c r="W74" s="43"/>
      <c r="X74" s="57"/>
      <c r="Y74" s="43"/>
      <c r="Z74" s="57"/>
    </row>
    <row r="75" spans="2:26" s="40" customFormat="1" ht="16.899999999999999" customHeight="1" thickBot="1" x14ac:dyDescent="0.3">
      <c r="B75" s="22"/>
      <c r="C75" s="22"/>
      <c r="D75" s="59" t="s">
        <v>28</v>
      </c>
      <c r="E75" s="45">
        <v>28</v>
      </c>
      <c r="F75" s="53">
        <f>E75-'Summary-Plant Heights'!E75</f>
        <v>7</v>
      </c>
      <c r="G75" s="45">
        <v>44</v>
      </c>
      <c r="H75" s="58">
        <f>G75-'Summary-Plant Heights'!F75</f>
        <v>12</v>
      </c>
      <c r="I75" s="45">
        <v>60</v>
      </c>
      <c r="J75" s="58">
        <f>I75-'Summary-Plant Heights'!G75</f>
        <v>10</v>
      </c>
      <c r="K75" s="45">
        <v>87</v>
      </c>
      <c r="L75" s="58">
        <f>K75-'Summary-Plant Heights'!H75</f>
        <v>7</v>
      </c>
      <c r="M75" s="45">
        <v>99</v>
      </c>
      <c r="N75" s="58">
        <f>M75-'Summary-Plant Heights'!I75</f>
        <v>8</v>
      </c>
      <c r="O75" s="49"/>
      <c r="P75" s="58"/>
      <c r="Q75" s="49"/>
      <c r="R75" s="53"/>
      <c r="S75" s="45"/>
      <c r="T75" s="58"/>
      <c r="U75" s="45"/>
      <c r="V75" s="58"/>
      <c r="W75" s="45"/>
      <c r="X75" s="58"/>
      <c r="Y75" s="45"/>
      <c r="Z75" s="58"/>
    </row>
  </sheetData>
  <mergeCells count="21">
    <mergeCell ref="O5:P6"/>
    <mergeCell ref="E7:F7"/>
    <mergeCell ref="E8:F8"/>
    <mergeCell ref="I7:J7"/>
    <mergeCell ref="I8:J8"/>
    <mergeCell ref="K7:L7"/>
    <mergeCell ref="K8:L8"/>
    <mergeCell ref="M7:N7"/>
    <mergeCell ref="M8:N8"/>
    <mergeCell ref="O7:P7"/>
    <mergeCell ref="O8:P8"/>
    <mergeCell ref="W7:X7"/>
    <mergeCell ref="W8:X8"/>
    <mergeCell ref="Y7:Z7"/>
    <mergeCell ref="Y8:Z8"/>
    <mergeCell ref="Q7:R7"/>
    <mergeCell ref="Q8:R8"/>
    <mergeCell ref="S7:T7"/>
    <mergeCell ref="S8:T8"/>
    <mergeCell ref="U7:V7"/>
    <mergeCell ref="U8:V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2"/>
  <sheetViews>
    <sheetView zoomScale="85" zoomScaleNormal="85" workbookViewId="0"/>
  </sheetViews>
  <sheetFormatPr defaultColWidth="8.85546875" defaultRowHeight="14.25" x14ac:dyDescent="0.2"/>
  <cols>
    <col min="1" max="2" width="8.85546875" style="35"/>
    <col min="3" max="3" width="11" style="35" customWidth="1"/>
    <col min="4" max="4" width="8.85546875" style="35"/>
    <col min="5" max="28" width="8.85546875" style="37"/>
    <col min="29" max="16384" width="8.85546875" style="35"/>
  </cols>
  <sheetData>
    <row r="1" spans="1:28" ht="18" x14ac:dyDescent="0.25">
      <c r="A1" s="2">
        <v>2014</v>
      </c>
      <c r="B1" s="3" t="s">
        <v>29</v>
      </c>
      <c r="C1" s="4"/>
      <c r="D1" s="4"/>
    </row>
    <row r="2" spans="1:28" ht="18" x14ac:dyDescent="0.25">
      <c r="A2" s="4"/>
      <c r="B2" s="3" t="s">
        <v>20</v>
      </c>
      <c r="C2" s="6"/>
      <c r="D2" s="3" t="s">
        <v>21</v>
      </c>
    </row>
    <row r="4" spans="1:28" ht="15.75" x14ac:dyDescent="0.25">
      <c r="B4" s="4" t="s">
        <v>58</v>
      </c>
      <c r="C4" s="4"/>
    </row>
    <row r="5" spans="1:28" ht="15.75" x14ac:dyDescent="0.25">
      <c r="B5" s="4"/>
      <c r="C5" s="4" t="s">
        <v>59</v>
      </c>
    </row>
    <row r="6" spans="1:28" x14ac:dyDescent="0.2">
      <c r="C6" s="83" t="s">
        <v>60</v>
      </c>
      <c r="K6" s="86" t="s">
        <v>62</v>
      </c>
    </row>
    <row r="7" spans="1:28" ht="15" x14ac:dyDescent="0.25">
      <c r="D7" s="10" t="s">
        <v>32</v>
      </c>
      <c r="E7" s="81">
        <v>41806</v>
      </c>
      <c r="F7" s="81"/>
      <c r="G7" s="96">
        <v>41820</v>
      </c>
      <c r="H7" s="90"/>
      <c r="I7" s="96">
        <v>41834</v>
      </c>
      <c r="J7" s="90"/>
      <c r="K7" s="96">
        <v>41848</v>
      </c>
      <c r="L7" s="97"/>
      <c r="M7" s="96">
        <v>41863</v>
      </c>
      <c r="N7" s="90"/>
      <c r="O7" s="89"/>
      <c r="P7" s="90"/>
      <c r="Q7" s="89"/>
      <c r="R7" s="90"/>
      <c r="S7" s="89"/>
      <c r="T7" s="90"/>
      <c r="U7" s="89"/>
      <c r="V7" s="90"/>
      <c r="W7" s="89"/>
      <c r="X7" s="90"/>
      <c r="Y7" s="89"/>
      <c r="Z7" s="90"/>
      <c r="AA7" s="35"/>
      <c r="AB7" s="35"/>
    </row>
    <row r="8" spans="1:28" ht="15" x14ac:dyDescent="0.25">
      <c r="D8" s="10" t="s">
        <v>39</v>
      </c>
      <c r="E8" s="82">
        <v>167</v>
      </c>
      <c r="F8" s="82"/>
      <c r="G8" s="89">
        <v>181</v>
      </c>
      <c r="H8" s="90"/>
      <c r="I8" s="89">
        <v>195</v>
      </c>
      <c r="J8" s="90"/>
      <c r="K8" s="89">
        <v>209</v>
      </c>
      <c r="L8" s="97"/>
      <c r="M8" s="89">
        <v>224</v>
      </c>
      <c r="N8" s="90"/>
      <c r="O8" s="91"/>
      <c r="P8" s="90"/>
      <c r="Q8" s="91"/>
      <c r="R8" s="92"/>
      <c r="S8" s="89"/>
      <c r="T8" s="90"/>
      <c r="U8" s="89"/>
      <c r="V8" s="90"/>
      <c r="W8" s="89"/>
      <c r="X8" s="90"/>
      <c r="Y8" s="89"/>
      <c r="Z8" s="90"/>
      <c r="AA8" s="35"/>
      <c r="AB8" s="35"/>
    </row>
    <row r="9" spans="1:28" ht="42.6" customHeight="1" thickBot="1" x14ac:dyDescent="0.3">
      <c r="D9" s="10"/>
      <c r="E9" s="84" t="s">
        <v>56</v>
      </c>
      <c r="F9" s="85" t="s">
        <v>57</v>
      </c>
      <c r="G9" s="84" t="s">
        <v>56</v>
      </c>
      <c r="H9" s="85" t="s">
        <v>57</v>
      </c>
      <c r="I9" s="84" t="s">
        <v>56</v>
      </c>
      <c r="J9" s="85" t="s">
        <v>57</v>
      </c>
      <c r="K9" s="84" t="s">
        <v>56</v>
      </c>
      <c r="L9" s="85" t="s">
        <v>57</v>
      </c>
      <c r="M9" s="84" t="s">
        <v>56</v>
      </c>
      <c r="N9" s="85" t="s">
        <v>57</v>
      </c>
      <c r="O9" s="84" t="s">
        <v>56</v>
      </c>
      <c r="P9" s="85" t="s">
        <v>57</v>
      </c>
      <c r="Q9" s="84" t="s">
        <v>56</v>
      </c>
      <c r="R9" s="85" t="s">
        <v>57</v>
      </c>
      <c r="S9" s="84" t="s">
        <v>56</v>
      </c>
      <c r="T9" s="85" t="s">
        <v>57</v>
      </c>
      <c r="U9" s="84" t="s">
        <v>56</v>
      </c>
      <c r="V9" s="85" t="s">
        <v>57</v>
      </c>
      <c r="W9" s="84" t="s">
        <v>56</v>
      </c>
      <c r="X9" s="85" t="s">
        <v>57</v>
      </c>
      <c r="Y9" s="84" t="s">
        <v>56</v>
      </c>
      <c r="Z9" s="85" t="s">
        <v>57</v>
      </c>
      <c r="AA9" s="35"/>
      <c r="AB9" s="35"/>
    </row>
    <row r="10" spans="1:28" s="40" customFormat="1" ht="16.899999999999999" customHeight="1" x14ac:dyDescent="0.25">
      <c r="B10" s="21" t="s">
        <v>0</v>
      </c>
      <c r="C10" s="21" t="s">
        <v>5</v>
      </c>
      <c r="D10" s="15" t="s">
        <v>24</v>
      </c>
      <c r="E10" s="41">
        <v>31</v>
      </c>
      <c r="F10" s="51">
        <v>71</v>
      </c>
      <c r="G10" s="41">
        <v>41</v>
      </c>
      <c r="H10" s="56">
        <v>63</v>
      </c>
      <c r="I10" s="41">
        <v>58</v>
      </c>
      <c r="J10" s="56">
        <v>45</v>
      </c>
      <c r="K10" s="41">
        <v>75</v>
      </c>
      <c r="L10" s="56">
        <v>30</v>
      </c>
      <c r="M10" s="41">
        <v>8</v>
      </c>
      <c r="N10" s="56">
        <v>18</v>
      </c>
      <c r="O10" s="47"/>
      <c r="P10" s="56"/>
      <c r="Q10" s="47"/>
      <c r="R10" s="51"/>
      <c r="S10" s="41"/>
      <c r="T10" s="56"/>
      <c r="U10" s="41"/>
      <c r="V10" s="56"/>
      <c r="W10" s="41"/>
      <c r="X10" s="56"/>
      <c r="Y10" s="41"/>
      <c r="Z10" s="56"/>
    </row>
    <row r="11" spans="1:28" s="40" customFormat="1" ht="16.899999999999999" customHeight="1" x14ac:dyDescent="0.25">
      <c r="B11" s="20"/>
      <c r="C11" s="20" t="s">
        <v>15</v>
      </c>
      <c r="D11" s="17" t="s">
        <v>38</v>
      </c>
      <c r="E11" s="43">
        <v>37</v>
      </c>
      <c r="F11" s="52">
        <v>68</v>
      </c>
      <c r="G11" s="43">
        <v>39</v>
      </c>
      <c r="H11" s="57">
        <v>59</v>
      </c>
      <c r="I11" s="43">
        <v>63</v>
      </c>
      <c r="J11" s="57">
        <v>43</v>
      </c>
      <c r="K11" s="43">
        <v>70</v>
      </c>
      <c r="L11" s="57">
        <v>34</v>
      </c>
      <c r="M11" s="43">
        <v>81</v>
      </c>
      <c r="N11" s="57">
        <v>21</v>
      </c>
      <c r="O11" s="48"/>
      <c r="P11" s="57"/>
      <c r="Q11" s="48"/>
      <c r="R11" s="52"/>
      <c r="S11" s="43"/>
      <c r="T11" s="57"/>
      <c r="U11" s="43"/>
      <c r="V11" s="57"/>
      <c r="W11" s="43"/>
      <c r="X11" s="57"/>
      <c r="Y11" s="43"/>
      <c r="Z11" s="57"/>
    </row>
    <row r="12" spans="1:28" s="40" customFormat="1" ht="16.899999999999999" customHeight="1" x14ac:dyDescent="0.25">
      <c r="B12" s="20"/>
      <c r="C12" s="20"/>
      <c r="D12" s="17" t="s">
        <v>25</v>
      </c>
      <c r="E12" s="43">
        <v>34</v>
      </c>
      <c r="F12" s="52">
        <v>63</v>
      </c>
      <c r="G12" s="43">
        <v>45</v>
      </c>
      <c r="H12" s="57">
        <v>57</v>
      </c>
      <c r="I12" s="43">
        <v>69</v>
      </c>
      <c r="J12" s="57">
        <v>28</v>
      </c>
      <c r="K12" s="43">
        <v>73</v>
      </c>
      <c r="L12" s="57">
        <v>32</v>
      </c>
      <c r="M12" s="43">
        <v>91</v>
      </c>
      <c r="N12" s="57">
        <v>16</v>
      </c>
      <c r="O12" s="48"/>
      <c r="P12" s="57"/>
      <c r="Q12" s="48"/>
      <c r="R12" s="52"/>
      <c r="S12" s="43"/>
      <c r="T12" s="57"/>
      <c r="U12" s="43"/>
      <c r="V12" s="57"/>
      <c r="W12" s="43"/>
      <c r="X12" s="57"/>
      <c r="Y12" s="43"/>
      <c r="Z12" s="57"/>
    </row>
    <row r="13" spans="1:28" s="40" customFormat="1" ht="16.899999999999999" customHeight="1" x14ac:dyDescent="0.25">
      <c r="B13" s="20"/>
      <c r="C13" s="20"/>
      <c r="D13" s="17" t="s">
        <v>26</v>
      </c>
      <c r="E13" s="43">
        <v>31</v>
      </c>
      <c r="F13" s="52">
        <v>67</v>
      </c>
      <c r="G13" s="43">
        <v>38</v>
      </c>
      <c r="H13" s="57">
        <v>63</v>
      </c>
      <c r="I13" s="43">
        <v>51</v>
      </c>
      <c r="J13" s="57">
        <v>50</v>
      </c>
      <c r="K13" s="43">
        <v>55</v>
      </c>
      <c r="L13" s="57">
        <v>46</v>
      </c>
      <c r="M13" s="43">
        <v>65</v>
      </c>
      <c r="N13" s="57">
        <v>40</v>
      </c>
      <c r="O13" s="48"/>
      <c r="P13" s="57"/>
      <c r="Q13" s="48"/>
      <c r="R13" s="52"/>
      <c r="S13" s="43"/>
      <c r="T13" s="57"/>
      <c r="U13" s="43"/>
      <c r="V13" s="57"/>
      <c r="W13" s="43"/>
      <c r="X13" s="57"/>
      <c r="Y13" s="43"/>
      <c r="Z13" s="57"/>
    </row>
    <row r="14" spans="1:28" s="40" customFormat="1" ht="16.899999999999999" customHeight="1" x14ac:dyDescent="0.25">
      <c r="B14" s="20"/>
      <c r="C14" s="20"/>
      <c r="D14" s="17" t="s">
        <v>27</v>
      </c>
      <c r="E14" s="43">
        <v>33</v>
      </c>
      <c r="F14" s="52">
        <v>64</v>
      </c>
      <c r="G14" s="43">
        <v>44</v>
      </c>
      <c r="H14" s="57">
        <v>58</v>
      </c>
      <c r="I14" s="43">
        <v>60</v>
      </c>
      <c r="J14" s="57">
        <v>43</v>
      </c>
      <c r="K14" s="43">
        <v>61</v>
      </c>
      <c r="L14" s="57">
        <v>34</v>
      </c>
      <c r="M14" s="43">
        <v>76</v>
      </c>
      <c r="N14" s="57">
        <v>31</v>
      </c>
      <c r="O14" s="48"/>
      <c r="P14" s="57"/>
      <c r="Q14" s="48"/>
      <c r="R14" s="52"/>
      <c r="S14" s="43"/>
      <c r="T14" s="57"/>
      <c r="U14" s="43"/>
      <c r="V14" s="57"/>
      <c r="W14" s="43"/>
      <c r="X14" s="57"/>
      <c r="Y14" s="43"/>
      <c r="Z14" s="57"/>
    </row>
    <row r="15" spans="1:28" s="40" customFormat="1" ht="16.899999999999999" customHeight="1" thickBot="1" x14ac:dyDescent="0.3">
      <c r="B15" s="22"/>
      <c r="C15" s="22"/>
      <c r="D15" s="59" t="s">
        <v>28</v>
      </c>
      <c r="E15" s="45">
        <v>29</v>
      </c>
      <c r="F15" s="53">
        <v>72</v>
      </c>
      <c r="G15" s="45">
        <v>37</v>
      </c>
      <c r="H15" s="58">
        <v>66</v>
      </c>
      <c r="I15" s="45">
        <v>50</v>
      </c>
      <c r="J15" s="58">
        <v>51</v>
      </c>
      <c r="K15" s="45">
        <v>64</v>
      </c>
      <c r="L15" s="58">
        <v>40</v>
      </c>
      <c r="M15" s="45">
        <v>66</v>
      </c>
      <c r="N15" s="58">
        <v>47</v>
      </c>
      <c r="O15" s="49"/>
      <c r="P15" s="58"/>
      <c r="Q15" s="49"/>
      <c r="R15" s="53"/>
      <c r="S15" s="45"/>
      <c r="T15" s="58"/>
      <c r="U15" s="45"/>
      <c r="V15" s="58"/>
      <c r="W15" s="45"/>
      <c r="X15" s="58"/>
      <c r="Y15" s="45"/>
      <c r="Z15" s="58"/>
    </row>
    <row r="16" spans="1:28" s="40" customFormat="1" ht="16.899999999999999" customHeight="1" x14ac:dyDescent="0.25">
      <c r="B16" s="21" t="s">
        <v>0</v>
      </c>
      <c r="C16" s="21" t="s">
        <v>6</v>
      </c>
      <c r="D16" s="15" t="s">
        <v>24</v>
      </c>
      <c r="E16" s="41">
        <v>30</v>
      </c>
      <c r="F16" s="51">
        <v>69</v>
      </c>
      <c r="G16" s="41">
        <v>52</v>
      </c>
      <c r="H16" s="56">
        <v>48</v>
      </c>
      <c r="I16" s="41">
        <v>71</v>
      </c>
      <c r="J16" s="56">
        <v>28</v>
      </c>
      <c r="K16" s="41">
        <v>102</v>
      </c>
      <c r="L16" s="56"/>
      <c r="M16" s="41">
        <v>102</v>
      </c>
      <c r="N16" s="56"/>
      <c r="O16" s="47"/>
      <c r="P16" s="56"/>
      <c r="Q16" s="47"/>
      <c r="R16" s="51"/>
      <c r="S16" s="41"/>
      <c r="T16" s="56"/>
      <c r="U16" s="41"/>
      <c r="V16" s="56"/>
      <c r="W16" s="41"/>
      <c r="X16" s="56"/>
      <c r="Y16" s="41"/>
      <c r="Z16" s="56"/>
    </row>
    <row r="17" spans="2:26" s="40" customFormat="1" ht="16.899999999999999" customHeight="1" x14ac:dyDescent="0.25">
      <c r="B17" s="20"/>
      <c r="C17" s="20" t="s">
        <v>16</v>
      </c>
      <c r="D17" s="17" t="s">
        <v>38</v>
      </c>
      <c r="E17" s="43">
        <v>32</v>
      </c>
      <c r="F17" s="52">
        <v>69</v>
      </c>
      <c r="G17" s="43">
        <v>58</v>
      </c>
      <c r="H17" s="57">
        <v>46</v>
      </c>
      <c r="I17" s="43">
        <v>85</v>
      </c>
      <c r="J17" s="57">
        <v>16</v>
      </c>
      <c r="K17" s="43">
        <v>102</v>
      </c>
      <c r="L17" s="57"/>
      <c r="M17" s="43">
        <v>102</v>
      </c>
      <c r="N17" s="57"/>
      <c r="O17" s="48"/>
      <c r="P17" s="57"/>
      <c r="Q17" s="48"/>
      <c r="R17" s="52"/>
      <c r="S17" s="43"/>
      <c r="T17" s="57"/>
      <c r="U17" s="43"/>
      <c r="V17" s="57"/>
      <c r="W17" s="43"/>
      <c r="X17" s="57"/>
      <c r="Y17" s="43"/>
      <c r="Z17" s="57"/>
    </row>
    <row r="18" spans="2:26" s="40" customFormat="1" ht="16.899999999999999" customHeight="1" x14ac:dyDescent="0.25">
      <c r="B18" s="20"/>
      <c r="C18" s="20"/>
      <c r="D18" s="17" t="s">
        <v>25</v>
      </c>
      <c r="E18" s="43">
        <v>34</v>
      </c>
      <c r="F18" s="52">
        <v>63</v>
      </c>
      <c r="G18" s="43">
        <v>62</v>
      </c>
      <c r="H18" s="57">
        <v>35</v>
      </c>
      <c r="I18" s="43">
        <v>82</v>
      </c>
      <c r="J18" s="57">
        <v>16</v>
      </c>
      <c r="K18" s="43">
        <v>102</v>
      </c>
      <c r="L18" s="57"/>
      <c r="M18" s="43">
        <v>102</v>
      </c>
      <c r="N18" s="57"/>
      <c r="O18" s="48"/>
      <c r="P18" s="57"/>
      <c r="Q18" s="48"/>
      <c r="R18" s="52"/>
      <c r="S18" s="43"/>
      <c r="T18" s="57"/>
      <c r="U18" s="43"/>
      <c r="V18" s="57"/>
      <c r="W18" s="43"/>
      <c r="X18" s="57"/>
      <c r="Y18" s="43"/>
      <c r="Z18" s="57"/>
    </row>
    <row r="19" spans="2:26" s="40" customFormat="1" ht="16.899999999999999" customHeight="1" x14ac:dyDescent="0.25">
      <c r="B19" s="20"/>
      <c r="C19" s="20"/>
      <c r="D19" s="17" t="s">
        <v>26</v>
      </c>
      <c r="E19" s="43">
        <v>36</v>
      </c>
      <c r="F19" s="52">
        <v>66</v>
      </c>
      <c r="G19" s="43">
        <v>54</v>
      </c>
      <c r="H19" s="57">
        <v>44</v>
      </c>
      <c r="I19" s="43">
        <v>85</v>
      </c>
      <c r="J19" s="57">
        <v>18</v>
      </c>
      <c r="K19" s="43">
        <v>102</v>
      </c>
      <c r="L19" s="57"/>
      <c r="M19" s="43">
        <v>102</v>
      </c>
      <c r="N19" s="57"/>
      <c r="O19" s="48"/>
      <c r="P19" s="57"/>
      <c r="Q19" s="48"/>
      <c r="R19" s="52"/>
      <c r="S19" s="43"/>
      <c r="T19" s="57"/>
      <c r="U19" s="43"/>
      <c r="V19" s="57"/>
      <c r="W19" s="43"/>
      <c r="X19" s="57"/>
      <c r="Y19" s="43"/>
      <c r="Z19" s="57"/>
    </row>
    <row r="20" spans="2:26" s="40" customFormat="1" ht="16.899999999999999" customHeight="1" x14ac:dyDescent="0.25">
      <c r="B20" s="20"/>
      <c r="C20" s="20"/>
      <c r="D20" s="17" t="s">
        <v>27</v>
      </c>
      <c r="E20" s="43">
        <v>34</v>
      </c>
      <c r="F20" s="52">
        <v>62</v>
      </c>
      <c r="G20" s="43">
        <v>52</v>
      </c>
      <c r="H20" s="57">
        <v>37</v>
      </c>
      <c r="I20" s="43">
        <v>68</v>
      </c>
      <c r="J20" s="57">
        <v>26</v>
      </c>
      <c r="K20" s="43">
        <v>89</v>
      </c>
      <c r="L20" s="57">
        <v>12</v>
      </c>
      <c r="M20" s="43">
        <v>102</v>
      </c>
      <c r="N20" s="57"/>
      <c r="O20" s="48"/>
      <c r="P20" s="57"/>
      <c r="Q20" s="48"/>
      <c r="R20" s="52"/>
      <c r="S20" s="43"/>
      <c r="T20" s="57"/>
      <c r="U20" s="43"/>
      <c r="V20" s="57"/>
      <c r="W20" s="43"/>
      <c r="X20" s="57"/>
      <c r="Y20" s="43"/>
      <c r="Z20" s="57"/>
    </row>
    <row r="21" spans="2:26" s="40" customFormat="1" ht="16.899999999999999" customHeight="1" thickBot="1" x14ac:dyDescent="0.3">
      <c r="B21" s="22"/>
      <c r="C21" s="22"/>
      <c r="D21" s="59" t="s">
        <v>28</v>
      </c>
      <c r="E21" s="45">
        <v>34</v>
      </c>
      <c r="F21" s="53">
        <v>63</v>
      </c>
      <c r="G21" s="45">
        <v>44</v>
      </c>
      <c r="H21" s="58">
        <v>57</v>
      </c>
      <c r="I21" s="45">
        <v>62</v>
      </c>
      <c r="J21" s="58">
        <v>40</v>
      </c>
      <c r="K21" s="45">
        <v>74</v>
      </c>
      <c r="L21" s="58">
        <v>30</v>
      </c>
      <c r="M21" s="45">
        <v>80</v>
      </c>
      <c r="N21" s="58">
        <v>23</v>
      </c>
      <c r="O21" s="49"/>
      <c r="P21" s="58"/>
      <c r="Q21" s="49"/>
      <c r="R21" s="53"/>
      <c r="S21" s="45"/>
      <c r="T21" s="58"/>
      <c r="U21" s="45"/>
      <c r="V21" s="58"/>
      <c r="W21" s="45"/>
      <c r="X21" s="58"/>
      <c r="Y21" s="45"/>
      <c r="Z21" s="58"/>
    </row>
    <row r="22" spans="2:26" s="40" customFormat="1" ht="16.899999999999999" customHeight="1" thickBot="1" x14ac:dyDescent="0.3">
      <c r="B22" s="21" t="s">
        <v>1</v>
      </c>
      <c r="C22" s="21" t="s">
        <v>7</v>
      </c>
      <c r="D22" s="15" t="s">
        <v>24</v>
      </c>
      <c r="E22" s="41">
        <v>29</v>
      </c>
      <c r="F22" s="51">
        <v>64</v>
      </c>
      <c r="G22" s="41">
        <v>51</v>
      </c>
      <c r="H22" s="56">
        <v>47</v>
      </c>
      <c r="I22" s="41">
        <v>81</v>
      </c>
      <c r="J22" s="56">
        <v>24</v>
      </c>
      <c r="K22" s="41">
        <v>102</v>
      </c>
      <c r="L22" s="56"/>
      <c r="M22" s="41">
        <v>102</v>
      </c>
      <c r="N22" s="56"/>
      <c r="O22" s="47"/>
      <c r="P22" s="56"/>
      <c r="Q22" s="47"/>
      <c r="R22" s="51"/>
      <c r="S22" s="41"/>
      <c r="T22" s="56"/>
      <c r="U22" s="41"/>
      <c r="V22" s="56"/>
      <c r="W22" s="41"/>
      <c r="X22" s="56"/>
      <c r="Y22" s="41"/>
      <c r="Z22" s="56"/>
    </row>
    <row r="23" spans="2:26" s="40" customFormat="1" ht="16.899999999999999" customHeight="1" thickBot="1" x14ac:dyDescent="0.3">
      <c r="B23" s="20"/>
      <c r="C23" s="20" t="s">
        <v>17</v>
      </c>
      <c r="D23" s="17" t="s">
        <v>38</v>
      </c>
      <c r="E23" s="43">
        <v>28</v>
      </c>
      <c r="F23" s="52">
        <v>70</v>
      </c>
      <c r="G23" s="43">
        <v>56</v>
      </c>
      <c r="H23" s="57">
        <v>45</v>
      </c>
      <c r="I23" s="43">
        <v>73</v>
      </c>
      <c r="J23" s="57">
        <v>16</v>
      </c>
      <c r="K23" s="43">
        <v>102</v>
      </c>
      <c r="L23" s="57"/>
      <c r="M23" s="41">
        <v>102</v>
      </c>
      <c r="N23" s="57"/>
      <c r="O23" s="48"/>
      <c r="P23" s="57"/>
      <c r="Q23" s="48"/>
      <c r="R23" s="52"/>
      <c r="S23" s="43"/>
      <c r="T23" s="57"/>
      <c r="U23" s="43"/>
      <c r="V23" s="57"/>
      <c r="W23" s="43"/>
      <c r="X23" s="57"/>
      <c r="Y23" s="43"/>
      <c r="Z23" s="57"/>
    </row>
    <row r="24" spans="2:26" s="40" customFormat="1" ht="16.899999999999999" customHeight="1" thickBot="1" x14ac:dyDescent="0.3">
      <c r="B24" s="20"/>
      <c r="C24" s="20"/>
      <c r="D24" s="17" t="s">
        <v>25</v>
      </c>
      <c r="E24" s="43">
        <v>36</v>
      </c>
      <c r="F24" s="52">
        <v>67</v>
      </c>
      <c r="G24" s="43">
        <v>58</v>
      </c>
      <c r="H24" s="57">
        <v>44</v>
      </c>
      <c r="I24" s="43">
        <v>89</v>
      </c>
      <c r="J24" s="57">
        <v>13</v>
      </c>
      <c r="K24" s="43">
        <v>102</v>
      </c>
      <c r="L24" s="57"/>
      <c r="M24" s="41">
        <v>102</v>
      </c>
      <c r="N24" s="57"/>
      <c r="O24" s="48"/>
      <c r="P24" s="57"/>
      <c r="Q24" s="48"/>
      <c r="R24" s="52"/>
      <c r="S24" s="43"/>
      <c r="T24" s="57"/>
      <c r="U24" s="43"/>
      <c r="V24" s="57"/>
      <c r="W24" s="43"/>
      <c r="X24" s="57"/>
      <c r="Y24" s="43"/>
      <c r="Z24" s="57"/>
    </row>
    <row r="25" spans="2:26" s="40" customFormat="1" ht="16.899999999999999" customHeight="1" thickBot="1" x14ac:dyDescent="0.3">
      <c r="B25" s="20"/>
      <c r="C25" s="20"/>
      <c r="D25" s="17" t="s">
        <v>26</v>
      </c>
      <c r="E25" s="43">
        <v>29</v>
      </c>
      <c r="F25" s="52">
        <v>70</v>
      </c>
      <c r="G25" s="43">
        <v>51</v>
      </c>
      <c r="H25" s="57">
        <v>52</v>
      </c>
      <c r="I25" s="43">
        <v>74</v>
      </c>
      <c r="J25" s="57">
        <v>24</v>
      </c>
      <c r="K25" s="43">
        <v>102</v>
      </c>
      <c r="L25" s="57"/>
      <c r="M25" s="41">
        <v>102</v>
      </c>
      <c r="N25" s="57"/>
      <c r="O25" s="48"/>
      <c r="P25" s="57"/>
      <c r="Q25" s="48"/>
      <c r="R25" s="52"/>
      <c r="S25" s="43"/>
      <c r="T25" s="57"/>
      <c r="U25" s="43"/>
      <c r="V25" s="57"/>
      <c r="W25" s="43"/>
      <c r="X25" s="57"/>
      <c r="Y25" s="43"/>
      <c r="Z25" s="57"/>
    </row>
    <row r="26" spans="2:26" s="40" customFormat="1" ht="16.899999999999999" customHeight="1" thickBot="1" x14ac:dyDescent="0.3">
      <c r="B26" s="20"/>
      <c r="C26" s="20"/>
      <c r="D26" s="17" t="s">
        <v>27</v>
      </c>
      <c r="E26" s="43">
        <v>31</v>
      </c>
      <c r="F26" s="52">
        <v>69</v>
      </c>
      <c r="G26" s="43">
        <v>50</v>
      </c>
      <c r="H26" s="57">
        <v>53</v>
      </c>
      <c r="I26" s="43">
        <v>68</v>
      </c>
      <c r="J26" s="57">
        <v>27</v>
      </c>
      <c r="K26" s="43">
        <v>102</v>
      </c>
      <c r="L26" s="57"/>
      <c r="M26" s="41">
        <v>102</v>
      </c>
      <c r="N26" s="57"/>
      <c r="O26" s="48"/>
      <c r="P26" s="57"/>
      <c r="Q26" s="48"/>
      <c r="R26" s="52"/>
      <c r="S26" s="43"/>
      <c r="T26" s="57"/>
      <c r="U26" s="43"/>
      <c r="V26" s="57"/>
      <c r="W26" s="43"/>
      <c r="X26" s="57"/>
      <c r="Y26" s="43"/>
      <c r="Z26" s="57"/>
    </row>
    <row r="27" spans="2:26" s="40" customFormat="1" ht="16.899999999999999" customHeight="1" thickBot="1" x14ac:dyDescent="0.3">
      <c r="B27" s="22"/>
      <c r="C27" s="22"/>
      <c r="D27" s="59" t="s">
        <v>28</v>
      </c>
      <c r="E27" s="45">
        <v>27</v>
      </c>
      <c r="F27" s="53">
        <v>72</v>
      </c>
      <c r="G27" s="45">
        <v>48</v>
      </c>
      <c r="H27" s="58">
        <v>57</v>
      </c>
      <c r="I27" s="45">
        <v>63</v>
      </c>
      <c r="J27" s="58">
        <v>37</v>
      </c>
      <c r="K27" s="45">
        <v>69</v>
      </c>
      <c r="L27" s="58">
        <v>32</v>
      </c>
      <c r="M27" s="41">
        <v>102</v>
      </c>
      <c r="N27" s="58"/>
      <c r="O27" s="49"/>
      <c r="P27" s="58"/>
      <c r="Q27" s="49"/>
      <c r="R27" s="53"/>
      <c r="S27" s="45"/>
      <c r="T27" s="58"/>
      <c r="U27" s="45"/>
      <c r="V27" s="58"/>
      <c r="W27" s="45"/>
      <c r="X27" s="58"/>
      <c r="Y27" s="45"/>
      <c r="Z27" s="58"/>
    </row>
    <row r="28" spans="2:26" s="40" customFormat="1" ht="16.899999999999999" customHeight="1" thickBot="1" x14ac:dyDescent="0.3">
      <c r="B28" s="26" t="s">
        <v>1</v>
      </c>
      <c r="C28" s="26" t="s">
        <v>8</v>
      </c>
      <c r="D28" s="60" t="s">
        <v>24</v>
      </c>
      <c r="E28" s="41">
        <v>36</v>
      </c>
      <c r="F28" s="51">
        <v>65</v>
      </c>
      <c r="G28" s="41">
        <v>63</v>
      </c>
      <c r="H28" s="56">
        <v>33</v>
      </c>
      <c r="I28" s="41">
        <v>93</v>
      </c>
      <c r="J28" s="56">
        <v>18</v>
      </c>
      <c r="K28" s="41">
        <v>102</v>
      </c>
      <c r="L28" s="56"/>
      <c r="M28" s="41">
        <v>102</v>
      </c>
      <c r="N28" s="56"/>
      <c r="O28" s="47"/>
      <c r="P28" s="56"/>
      <c r="Q28" s="47"/>
      <c r="R28" s="51"/>
      <c r="S28" s="41"/>
      <c r="T28" s="56"/>
      <c r="U28" s="41"/>
      <c r="V28" s="56"/>
      <c r="W28" s="41"/>
      <c r="X28" s="56"/>
      <c r="Y28" s="41"/>
      <c r="Z28" s="56"/>
    </row>
    <row r="29" spans="2:26" s="40" customFormat="1" ht="16.899999999999999" customHeight="1" thickBot="1" x14ac:dyDescent="0.3">
      <c r="B29" s="28"/>
      <c r="C29" s="28" t="s">
        <v>18</v>
      </c>
      <c r="D29" s="61" t="s">
        <v>38</v>
      </c>
      <c r="E29" s="43">
        <v>36</v>
      </c>
      <c r="F29" s="52">
        <v>63</v>
      </c>
      <c r="G29" s="43">
        <v>61</v>
      </c>
      <c r="H29" s="57">
        <v>43</v>
      </c>
      <c r="I29" s="43">
        <v>93</v>
      </c>
      <c r="J29" s="57">
        <v>19</v>
      </c>
      <c r="K29" s="43">
        <v>102</v>
      </c>
      <c r="L29" s="57"/>
      <c r="M29" s="41">
        <v>102</v>
      </c>
      <c r="N29" s="57"/>
      <c r="O29" s="48"/>
      <c r="P29" s="57"/>
      <c r="Q29" s="48"/>
      <c r="R29" s="52"/>
      <c r="S29" s="43"/>
      <c r="T29" s="57"/>
      <c r="U29" s="43"/>
      <c r="V29" s="57"/>
      <c r="W29" s="43"/>
      <c r="X29" s="57"/>
      <c r="Y29" s="43"/>
      <c r="Z29" s="57"/>
    </row>
    <row r="30" spans="2:26" s="40" customFormat="1" ht="16.899999999999999" customHeight="1" thickBot="1" x14ac:dyDescent="0.3">
      <c r="B30" s="28"/>
      <c r="C30" s="28"/>
      <c r="D30" s="61" t="s">
        <v>25</v>
      </c>
      <c r="E30" s="43">
        <v>38</v>
      </c>
      <c r="F30" s="52">
        <v>58</v>
      </c>
      <c r="G30" s="43">
        <v>63</v>
      </c>
      <c r="H30" s="57">
        <v>43</v>
      </c>
      <c r="I30" s="43">
        <v>85</v>
      </c>
      <c r="J30" s="57">
        <v>14</v>
      </c>
      <c r="K30" s="43">
        <v>102</v>
      </c>
      <c r="L30" s="57"/>
      <c r="M30" s="41">
        <v>102</v>
      </c>
      <c r="N30" s="57"/>
      <c r="O30" s="48"/>
      <c r="P30" s="57"/>
      <c r="Q30" s="48"/>
      <c r="R30" s="52"/>
      <c r="S30" s="43"/>
      <c r="T30" s="57"/>
      <c r="U30" s="43"/>
      <c r="V30" s="57"/>
      <c r="W30" s="43"/>
      <c r="X30" s="57"/>
      <c r="Y30" s="43"/>
      <c r="Z30" s="57"/>
    </row>
    <row r="31" spans="2:26" s="40" customFormat="1" ht="16.899999999999999" customHeight="1" thickBot="1" x14ac:dyDescent="0.3">
      <c r="B31" s="28"/>
      <c r="C31" s="28"/>
      <c r="D31" s="61" t="s">
        <v>26</v>
      </c>
      <c r="E31" s="43">
        <v>39</v>
      </c>
      <c r="F31" s="52">
        <v>65</v>
      </c>
      <c r="G31" s="43">
        <v>62</v>
      </c>
      <c r="H31" s="57">
        <v>43</v>
      </c>
      <c r="I31" s="43">
        <v>77</v>
      </c>
      <c r="J31" s="57">
        <v>22</v>
      </c>
      <c r="K31" s="43">
        <v>102</v>
      </c>
      <c r="L31" s="57"/>
      <c r="M31" s="41">
        <v>102</v>
      </c>
      <c r="N31" s="57"/>
      <c r="O31" s="48"/>
      <c r="P31" s="57"/>
      <c r="Q31" s="48"/>
      <c r="R31" s="52"/>
      <c r="S31" s="43"/>
      <c r="T31" s="57"/>
      <c r="U31" s="43"/>
      <c r="V31" s="57"/>
      <c r="W31" s="43"/>
      <c r="X31" s="57"/>
      <c r="Y31" s="43"/>
      <c r="Z31" s="57"/>
    </row>
    <row r="32" spans="2:26" s="40" customFormat="1" ht="16.899999999999999" customHeight="1" x14ac:dyDescent="0.25">
      <c r="B32" s="28"/>
      <c r="C32" s="28"/>
      <c r="D32" s="61" t="s">
        <v>27</v>
      </c>
      <c r="E32" s="43">
        <v>24</v>
      </c>
      <c r="F32" s="52">
        <v>75</v>
      </c>
      <c r="G32" s="43">
        <v>51</v>
      </c>
      <c r="H32" s="57">
        <v>48</v>
      </c>
      <c r="I32" s="43">
        <v>75</v>
      </c>
      <c r="J32" s="57">
        <v>24</v>
      </c>
      <c r="K32" s="43">
        <v>102</v>
      </c>
      <c r="L32" s="57"/>
      <c r="M32" s="41">
        <v>102</v>
      </c>
      <c r="N32" s="57"/>
      <c r="O32" s="48"/>
      <c r="P32" s="57"/>
      <c r="Q32" s="48"/>
      <c r="R32" s="52"/>
      <c r="S32" s="43"/>
      <c r="T32" s="57"/>
      <c r="U32" s="43"/>
      <c r="V32" s="57"/>
      <c r="W32" s="43"/>
      <c r="X32" s="57"/>
      <c r="Y32" s="43"/>
      <c r="Z32" s="57"/>
    </row>
    <row r="33" spans="2:26" s="40" customFormat="1" ht="16.899999999999999" customHeight="1" thickBot="1" x14ac:dyDescent="0.3">
      <c r="B33" s="30"/>
      <c r="C33" s="30"/>
      <c r="D33" s="62" t="s">
        <v>28</v>
      </c>
      <c r="E33" s="45">
        <v>27</v>
      </c>
      <c r="F33" s="53">
        <v>65</v>
      </c>
      <c r="G33" s="45">
        <v>44</v>
      </c>
      <c r="H33" s="58">
        <v>54</v>
      </c>
      <c r="I33" s="45">
        <v>64</v>
      </c>
      <c r="J33" s="58">
        <v>28</v>
      </c>
      <c r="K33" s="45">
        <v>79</v>
      </c>
      <c r="L33" s="58">
        <v>22</v>
      </c>
      <c r="M33" s="45">
        <v>83</v>
      </c>
      <c r="N33" s="58">
        <v>21</v>
      </c>
      <c r="O33" s="49"/>
      <c r="P33" s="58"/>
      <c r="Q33" s="49"/>
      <c r="R33" s="53"/>
      <c r="S33" s="45"/>
      <c r="T33" s="58"/>
      <c r="U33" s="45"/>
      <c r="V33" s="58"/>
      <c r="W33" s="45"/>
      <c r="X33" s="58"/>
      <c r="Y33" s="45"/>
      <c r="Z33" s="58"/>
    </row>
    <row r="34" spans="2:26" s="40" customFormat="1" ht="16.899999999999999" customHeight="1" x14ac:dyDescent="0.25">
      <c r="B34" s="26" t="s">
        <v>2</v>
      </c>
      <c r="C34" s="26" t="s">
        <v>9</v>
      </c>
      <c r="D34" s="60" t="s">
        <v>24</v>
      </c>
      <c r="E34" s="41">
        <v>36</v>
      </c>
      <c r="F34" s="51">
        <v>44</v>
      </c>
      <c r="G34" s="41">
        <v>52</v>
      </c>
      <c r="H34" s="56">
        <v>47</v>
      </c>
      <c r="I34" s="41">
        <v>78</v>
      </c>
      <c r="J34" s="56">
        <v>15</v>
      </c>
      <c r="K34" s="41">
        <v>78</v>
      </c>
      <c r="L34" s="56">
        <v>23</v>
      </c>
      <c r="M34" s="41">
        <v>102</v>
      </c>
      <c r="N34" s="56"/>
      <c r="O34" s="47"/>
      <c r="P34" s="56"/>
      <c r="Q34" s="47"/>
      <c r="R34" s="51"/>
      <c r="S34" s="41"/>
      <c r="T34" s="56"/>
      <c r="U34" s="41"/>
      <c r="V34" s="56"/>
      <c r="W34" s="41"/>
      <c r="X34" s="56"/>
      <c r="Y34" s="41"/>
      <c r="Z34" s="56"/>
    </row>
    <row r="35" spans="2:26" s="40" customFormat="1" ht="16.899999999999999" customHeight="1" x14ac:dyDescent="0.25">
      <c r="B35" s="28"/>
      <c r="C35" s="28" t="s">
        <v>19</v>
      </c>
      <c r="D35" s="61" t="s">
        <v>38</v>
      </c>
      <c r="E35" s="43">
        <v>30</v>
      </c>
      <c r="F35" s="52">
        <v>72</v>
      </c>
      <c r="G35" s="43">
        <v>60</v>
      </c>
      <c r="H35" s="57">
        <v>42</v>
      </c>
      <c r="I35" s="43">
        <v>91</v>
      </c>
      <c r="J35" s="57">
        <v>11</v>
      </c>
      <c r="K35" s="43">
        <v>102</v>
      </c>
      <c r="L35" s="57"/>
      <c r="M35" s="43">
        <v>102</v>
      </c>
      <c r="N35" s="57"/>
      <c r="O35" s="48"/>
      <c r="P35" s="57"/>
      <c r="Q35" s="48"/>
      <c r="R35" s="52"/>
      <c r="S35" s="43"/>
      <c r="T35" s="57"/>
      <c r="U35" s="43"/>
      <c r="V35" s="57"/>
      <c r="W35" s="43"/>
      <c r="X35" s="57"/>
      <c r="Y35" s="43"/>
      <c r="Z35" s="57"/>
    </row>
    <row r="36" spans="2:26" s="40" customFormat="1" ht="16.899999999999999" customHeight="1" x14ac:dyDescent="0.25">
      <c r="B36" s="28"/>
      <c r="C36" s="28"/>
      <c r="D36" s="61" t="s">
        <v>25</v>
      </c>
      <c r="E36" s="43">
        <v>34</v>
      </c>
      <c r="F36" s="52">
        <v>68</v>
      </c>
      <c r="G36" s="43">
        <v>58</v>
      </c>
      <c r="H36" s="57">
        <v>41</v>
      </c>
      <c r="I36" s="43">
        <v>91</v>
      </c>
      <c r="J36" s="57">
        <v>10</v>
      </c>
      <c r="K36" s="43">
        <v>102</v>
      </c>
      <c r="L36" s="57"/>
      <c r="M36" s="43">
        <v>102</v>
      </c>
      <c r="N36" s="57"/>
      <c r="O36" s="48"/>
      <c r="P36" s="57"/>
      <c r="Q36" s="48"/>
      <c r="R36" s="52"/>
      <c r="S36" s="43"/>
      <c r="T36" s="57"/>
      <c r="U36" s="43"/>
      <c r="V36" s="57"/>
      <c r="W36" s="43"/>
      <c r="X36" s="57"/>
      <c r="Y36" s="43"/>
      <c r="Z36" s="57"/>
    </row>
    <row r="37" spans="2:26" s="40" customFormat="1" ht="16.899999999999999" customHeight="1" x14ac:dyDescent="0.25">
      <c r="B37" s="28"/>
      <c r="C37" s="28"/>
      <c r="D37" s="61" t="s">
        <v>26</v>
      </c>
      <c r="E37" s="43">
        <v>32</v>
      </c>
      <c r="F37" s="52">
        <v>67</v>
      </c>
      <c r="G37" s="43">
        <v>63</v>
      </c>
      <c r="H37" s="57">
        <v>41</v>
      </c>
      <c r="I37" s="43">
        <v>84</v>
      </c>
      <c r="J37" s="57">
        <v>16</v>
      </c>
      <c r="K37" s="43">
        <v>102</v>
      </c>
      <c r="L37" s="57"/>
      <c r="M37" s="43">
        <v>102</v>
      </c>
      <c r="N37" s="57"/>
      <c r="O37" s="48"/>
      <c r="P37" s="57"/>
      <c r="Q37" s="48"/>
      <c r="R37" s="52"/>
      <c r="S37" s="43"/>
      <c r="T37" s="57"/>
      <c r="U37" s="43"/>
      <c r="V37" s="57"/>
      <c r="W37" s="43"/>
      <c r="X37" s="57"/>
      <c r="Y37" s="43"/>
      <c r="Z37" s="57"/>
    </row>
    <row r="38" spans="2:26" s="40" customFormat="1" ht="16.899999999999999" customHeight="1" x14ac:dyDescent="0.25">
      <c r="B38" s="28"/>
      <c r="C38" s="28"/>
      <c r="D38" s="61" t="s">
        <v>27</v>
      </c>
      <c r="E38" s="43">
        <v>36</v>
      </c>
      <c r="F38" s="52">
        <v>66</v>
      </c>
      <c r="G38" s="43">
        <v>58</v>
      </c>
      <c r="H38" s="57">
        <v>41</v>
      </c>
      <c r="I38" s="43">
        <v>85</v>
      </c>
      <c r="J38" s="57">
        <v>16</v>
      </c>
      <c r="K38" s="43">
        <v>102</v>
      </c>
      <c r="L38" s="57"/>
      <c r="M38" s="43">
        <v>102</v>
      </c>
      <c r="N38" s="57"/>
      <c r="O38" s="48"/>
      <c r="P38" s="57"/>
      <c r="Q38" s="48"/>
      <c r="R38" s="52"/>
      <c r="S38" s="43"/>
      <c r="T38" s="57"/>
      <c r="U38" s="43"/>
      <c r="V38" s="57"/>
      <c r="W38" s="43"/>
      <c r="X38" s="57"/>
      <c r="Y38" s="43"/>
      <c r="Z38" s="57"/>
    </row>
    <row r="39" spans="2:26" s="40" customFormat="1" ht="16.899999999999999" customHeight="1" thickBot="1" x14ac:dyDescent="0.3">
      <c r="B39" s="30"/>
      <c r="C39" s="30"/>
      <c r="D39" s="62" t="s">
        <v>28</v>
      </c>
      <c r="E39" s="45">
        <v>31</v>
      </c>
      <c r="F39" s="53">
        <v>72</v>
      </c>
      <c r="G39" s="45">
        <v>45</v>
      </c>
      <c r="H39" s="58">
        <v>57</v>
      </c>
      <c r="I39" s="45">
        <v>65</v>
      </c>
      <c r="J39" s="58">
        <v>26</v>
      </c>
      <c r="K39" s="45">
        <v>72</v>
      </c>
      <c r="L39" s="58">
        <v>32</v>
      </c>
      <c r="M39" s="45">
        <v>88</v>
      </c>
      <c r="N39" s="58">
        <v>14</v>
      </c>
      <c r="O39" s="49"/>
      <c r="P39" s="58"/>
      <c r="Q39" s="49"/>
      <c r="R39" s="53"/>
      <c r="S39" s="45"/>
      <c r="T39" s="58"/>
      <c r="U39" s="45"/>
      <c r="V39" s="58"/>
      <c r="W39" s="45"/>
      <c r="X39" s="58"/>
      <c r="Y39" s="45"/>
      <c r="Z39" s="58"/>
    </row>
    <row r="40" spans="2:26" s="40" customFormat="1" ht="16.899999999999999" customHeight="1" x14ac:dyDescent="0.25">
      <c r="B40" s="21" t="s">
        <v>2</v>
      </c>
      <c r="C40" s="21" t="s">
        <v>10</v>
      </c>
      <c r="D40" s="15" t="s">
        <v>24</v>
      </c>
      <c r="E40" s="41">
        <v>28</v>
      </c>
      <c r="F40" s="51">
        <v>76</v>
      </c>
      <c r="G40" s="41">
        <v>38</v>
      </c>
      <c r="H40" s="56">
        <v>61</v>
      </c>
      <c r="I40" s="41">
        <v>56</v>
      </c>
      <c r="J40" s="56">
        <v>39</v>
      </c>
      <c r="K40" s="41">
        <v>50</v>
      </c>
      <c r="L40" s="56">
        <v>52</v>
      </c>
      <c r="M40" s="41">
        <v>70</v>
      </c>
      <c r="N40" s="56">
        <v>31</v>
      </c>
      <c r="O40" s="47"/>
      <c r="P40" s="56"/>
      <c r="Q40" s="47"/>
      <c r="R40" s="51"/>
      <c r="S40" s="41"/>
      <c r="T40" s="56"/>
      <c r="U40" s="41"/>
      <c r="V40" s="56"/>
      <c r="W40" s="41"/>
      <c r="X40" s="56"/>
      <c r="Y40" s="41"/>
      <c r="Z40" s="56"/>
    </row>
    <row r="41" spans="2:26" s="40" customFormat="1" ht="16.899999999999999" customHeight="1" x14ac:dyDescent="0.25">
      <c r="B41" s="20"/>
      <c r="C41" s="20" t="s">
        <v>15</v>
      </c>
      <c r="D41" s="17" t="s">
        <v>38</v>
      </c>
      <c r="E41" s="43">
        <v>28</v>
      </c>
      <c r="F41" s="52">
        <v>76</v>
      </c>
      <c r="G41" s="43">
        <v>39</v>
      </c>
      <c r="H41" s="57">
        <v>62</v>
      </c>
      <c r="I41" s="43">
        <v>58</v>
      </c>
      <c r="J41" s="57">
        <v>56</v>
      </c>
      <c r="K41" s="43">
        <v>63</v>
      </c>
      <c r="L41" s="57">
        <v>40</v>
      </c>
      <c r="M41" s="43">
        <v>75</v>
      </c>
      <c r="N41" s="57">
        <v>26</v>
      </c>
      <c r="O41" s="48"/>
      <c r="P41" s="57"/>
      <c r="Q41" s="48"/>
      <c r="R41" s="52"/>
      <c r="S41" s="43"/>
      <c r="T41" s="57"/>
      <c r="U41" s="43"/>
      <c r="V41" s="57"/>
      <c r="W41" s="43"/>
      <c r="X41" s="57"/>
      <c r="Y41" s="43"/>
      <c r="Z41" s="57"/>
    </row>
    <row r="42" spans="2:26" s="40" customFormat="1" ht="16.899999999999999" customHeight="1" x14ac:dyDescent="0.25">
      <c r="B42" s="20"/>
      <c r="C42" s="20"/>
      <c r="D42" s="17" t="s">
        <v>25</v>
      </c>
      <c r="E42" s="43">
        <v>31</v>
      </c>
      <c r="F42" s="52">
        <v>75</v>
      </c>
      <c r="G42" s="43">
        <v>41</v>
      </c>
      <c r="H42" s="57">
        <v>64</v>
      </c>
      <c r="I42" s="43">
        <v>63</v>
      </c>
      <c r="J42" s="57">
        <v>36</v>
      </c>
      <c r="K42" s="43">
        <v>63</v>
      </c>
      <c r="L42" s="57">
        <v>40</v>
      </c>
      <c r="M42" s="43">
        <v>81</v>
      </c>
      <c r="N42" s="57">
        <v>21</v>
      </c>
      <c r="O42" s="48"/>
      <c r="P42" s="57"/>
      <c r="Q42" s="48"/>
      <c r="R42" s="52"/>
      <c r="S42" s="43"/>
      <c r="T42" s="57"/>
      <c r="U42" s="43"/>
      <c r="V42" s="57"/>
      <c r="W42" s="43"/>
      <c r="X42" s="57"/>
      <c r="Y42" s="43"/>
      <c r="Z42" s="57"/>
    </row>
    <row r="43" spans="2:26" s="40" customFormat="1" ht="16.899999999999999" customHeight="1" x14ac:dyDescent="0.25">
      <c r="B43" s="20"/>
      <c r="C43" s="20"/>
      <c r="D43" s="17" t="s">
        <v>26</v>
      </c>
      <c r="E43" s="43">
        <v>29</v>
      </c>
      <c r="F43" s="52">
        <v>74</v>
      </c>
      <c r="G43" s="43">
        <v>38</v>
      </c>
      <c r="H43" s="57">
        <v>64</v>
      </c>
      <c r="I43" s="43">
        <v>61</v>
      </c>
      <c r="J43" s="57">
        <v>40</v>
      </c>
      <c r="K43" s="43">
        <v>63</v>
      </c>
      <c r="L43" s="57">
        <v>41</v>
      </c>
      <c r="M43" s="43">
        <v>77</v>
      </c>
      <c r="N43" s="57">
        <v>26</v>
      </c>
      <c r="O43" s="48"/>
      <c r="P43" s="57"/>
      <c r="Q43" s="48"/>
      <c r="R43" s="52"/>
      <c r="S43" s="43"/>
      <c r="T43" s="57"/>
      <c r="U43" s="43"/>
      <c r="V43" s="57"/>
      <c r="W43" s="43"/>
      <c r="X43" s="57"/>
      <c r="Y43" s="43"/>
      <c r="Z43" s="57"/>
    </row>
    <row r="44" spans="2:26" s="40" customFormat="1" ht="16.899999999999999" customHeight="1" x14ac:dyDescent="0.25">
      <c r="B44" s="20"/>
      <c r="C44" s="20"/>
      <c r="D44" s="17" t="s">
        <v>27</v>
      </c>
      <c r="E44" s="43">
        <v>32</v>
      </c>
      <c r="F44" s="52">
        <v>70</v>
      </c>
      <c r="G44" s="43">
        <v>45</v>
      </c>
      <c r="H44" s="57">
        <v>59</v>
      </c>
      <c r="I44" s="43">
        <v>60</v>
      </c>
      <c r="J44" s="57">
        <v>41</v>
      </c>
      <c r="K44" s="43">
        <v>61</v>
      </c>
      <c r="L44" s="57">
        <v>38</v>
      </c>
      <c r="M44" s="43">
        <v>74</v>
      </c>
      <c r="N44" s="57">
        <v>26</v>
      </c>
      <c r="O44" s="48"/>
      <c r="P44" s="57"/>
      <c r="Q44" s="48"/>
      <c r="R44" s="52"/>
      <c r="S44" s="43"/>
      <c r="T44" s="57"/>
      <c r="U44" s="43"/>
      <c r="V44" s="57"/>
      <c r="W44" s="43"/>
      <c r="X44" s="57"/>
      <c r="Y44" s="43"/>
      <c r="Z44" s="57"/>
    </row>
    <row r="45" spans="2:26" s="40" customFormat="1" ht="16.899999999999999" customHeight="1" thickBot="1" x14ac:dyDescent="0.3">
      <c r="B45" s="22"/>
      <c r="C45" s="22"/>
      <c r="D45" s="59" t="s">
        <v>28</v>
      </c>
      <c r="E45" s="45">
        <v>25</v>
      </c>
      <c r="F45" s="53">
        <v>78</v>
      </c>
      <c r="G45" s="45">
        <v>41</v>
      </c>
      <c r="H45" s="58">
        <v>57</v>
      </c>
      <c r="I45" s="45">
        <v>59</v>
      </c>
      <c r="J45" s="58">
        <v>45</v>
      </c>
      <c r="K45" s="45">
        <v>60</v>
      </c>
      <c r="L45" s="58">
        <v>41</v>
      </c>
      <c r="M45" s="45">
        <v>76</v>
      </c>
      <c r="N45" s="58">
        <v>25</v>
      </c>
      <c r="O45" s="49"/>
      <c r="P45" s="58"/>
      <c r="Q45" s="49"/>
      <c r="R45" s="53"/>
      <c r="S45" s="45"/>
      <c r="T45" s="58"/>
      <c r="U45" s="45"/>
      <c r="V45" s="58"/>
      <c r="W45" s="45"/>
      <c r="X45" s="58"/>
      <c r="Y45" s="45"/>
      <c r="Z45" s="58"/>
    </row>
    <row r="46" spans="2:26" s="40" customFormat="1" ht="16.899999999999999" customHeight="1" x14ac:dyDescent="0.25">
      <c r="B46" s="21" t="s">
        <v>3</v>
      </c>
      <c r="C46" s="21" t="s">
        <v>11</v>
      </c>
      <c r="D46" s="15" t="s">
        <v>24</v>
      </c>
      <c r="E46" s="41">
        <v>23</v>
      </c>
      <c r="F46" s="51">
        <v>75</v>
      </c>
      <c r="G46" s="41">
        <v>44</v>
      </c>
      <c r="H46" s="56">
        <v>60</v>
      </c>
      <c r="I46" s="41">
        <v>72</v>
      </c>
      <c r="J46" s="56">
        <v>29</v>
      </c>
      <c r="K46" s="41">
        <v>102</v>
      </c>
      <c r="L46" s="56"/>
      <c r="M46" s="41">
        <v>102</v>
      </c>
      <c r="N46" s="56"/>
      <c r="O46" s="47"/>
      <c r="P46" s="56"/>
      <c r="Q46" s="47"/>
      <c r="R46" s="51"/>
      <c r="S46" s="41"/>
      <c r="T46" s="56"/>
      <c r="U46" s="41"/>
      <c r="V46" s="56"/>
      <c r="W46" s="41"/>
      <c r="X46" s="56"/>
      <c r="Y46" s="41"/>
      <c r="Z46" s="56"/>
    </row>
    <row r="47" spans="2:26" s="40" customFormat="1" ht="16.899999999999999" customHeight="1" x14ac:dyDescent="0.25">
      <c r="B47" s="20"/>
      <c r="C47" s="20" t="s">
        <v>17</v>
      </c>
      <c r="D47" s="17" t="s">
        <v>38</v>
      </c>
      <c r="E47" s="43">
        <v>30</v>
      </c>
      <c r="F47" s="52">
        <v>73</v>
      </c>
      <c r="G47" s="43">
        <v>49</v>
      </c>
      <c r="H47" s="57">
        <v>45</v>
      </c>
      <c r="I47" s="43">
        <v>74</v>
      </c>
      <c r="J47" s="57">
        <v>25</v>
      </c>
      <c r="K47" s="43">
        <v>102</v>
      </c>
      <c r="L47" s="57"/>
      <c r="M47" s="43">
        <v>102</v>
      </c>
      <c r="N47" s="57"/>
      <c r="O47" s="48"/>
      <c r="P47" s="57"/>
      <c r="Q47" s="48"/>
      <c r="R47" s="52"/>
      <c r="S47" s="43"/>
      <c r="T47" s="57"/>
      <c r="U47" s="43"/>
      <c r="V47" s="57"/>
      <c r="W47" s="43"/>
      <c r="X47" s="57"/>
      <c r="Y47" s="43"/>
      <c r="Z47" s="57"/>
    </row>
    <row r="48" spans="2:26" s="40" customFormat="1" ht="16.899999999999999" customHeight="1" x14ac:dyDescent="0.25">
      <c r="B48" s="20"/>
      <c r="C48" s="20"/>
      <c r="D48" s="17" t="s">
        <v>25</v>
      </c>
      <c r="E48" s="43">
        <v>26</v>
      </c>
      <c r="F48" s="52">
        <v>72</v>
      </c>
      <c r="G48" s="43">
        <v>44</v>
      </c>
      <c r="H48" s="57">
        <v>55</v>
      </c>
      <c r="I48" s="43">
        <v>69</v>
      </c>
      <c r="J48" s="57">
        <v>32</v>
      </c>
      <c r="K48" s="43">
        <v>102</v>
      </c>
      <c r="L48" s="57"/>
      <c r="M48" s="43">
        <v>102</v>
      </c>
      <c r="N48" s="57"/>
      <c r="O48" s="48"/>
      <c r="P48" s="57"/>
      <c r="Q48" s="48"/>
      <c r="R48" s="52"/>
      <c r="S48" s="43"/>
      <c r="T48" s="57"/>
      <c r="U48" s="43"/>
      <c r="V48" s="57"/>
      <c r="W48" s="43"/>
      <c r="X48" s="57"/>
      <c r="Y48" s="43"/>
      <c r="Z48" s="57"/>
    </row>
    <row r="49" spans="2:26" s="40" customFormat="1" ht="16.899999999999999" customHeight="1" x14ac:dyDescent="0.25">
      <c r="B49" s="20"/>
      <c r="C49" s="20"/>
      <c r="D49" s="17" t="s">
        <v>26</v>
      </c>
      <c r="E49" s="43">
        <v>26</v>
      </c>
      <c r="F49" s="52">
        <v>73</v>
      </c>
      <c r="G49" s="43">
        <v>51</v>
      </c>
      <c r="H49" s="57">
        <v>51</v>
      </c>
      <c r="I49" s="43">
        <v>77</v>
      </c>
      <c r="J49" s="57">
        <v>24</v>
      </c>
      <c r="K49" s="43">
        <v>102</v>
      </c>
      <c r="L49" s="57"/>
      <c r="M49" s="43">
        <v>102</v>
      </c>
      <c r="N49" s="57"/>
      <c r="O49" s="48"/>
      <c r="P49" s="57"/>
      <c r="Q49" s="48"/>
      <c r="R49" s="52"/>
      <c r="S49" s="43"/>
      <c r="T49" s="57"/>
      <c r="U49" s="43"/>
      <c r="V49" s="57"/>
      <c r="W49" s="43"/>
      <c r="X49" s="57"/>
      <c r="Y49" s="43"/>
      <c r="Z49" s="57"/>
    </row>
    <row r="50" spans="2:26" s="40" customFormat="1" ht="16.899999999999999" customHeight="1" x14ac:dyDescent="0.25">
      <c r="B50" s="20"/>
      <c r="C50" s="20"/>
      <c r="D50" s="17" t="s">
        <v>27</v>
      </c>
      <c r="E50" s="43">
        <v>30</v>
      </c>
      <c r="F50" s="52">
        <v>75</v>
      </c>
      <c r="G50" s="43">
        <v>45</v>
      </c>
      <c r="H50" s="57">
        <v>61</v>
      </c>
      <c r="I50" s="43">
        <v>72</v>
      </c>
      <c r="J50" s="57">
        <v>30</v>
      </c>
      <c r="K50" s="43">
        <v>102</v>
      </c>
      <c r="L50" s="57"/>
      <c r="M50" s="43">
        <v>102</v>
      </c>
      <c r="N50" s="57"/>
      <c r="O50" s="48"/>
      <c r="P50" s="57"/>
      <c r="Q50" s="48"/>
      <c r="R50" s="52"/>
      <c r="S50" s="43"/>
      <c r="T50" s="57"/>
      <c r="U50" s="43"/>
      <c r="V50" s="57"/>
      <c r="W50" s="43"/>
      <c r="X50" s="57"/>
      <c r="Y50" s="43"/>
      <c r="Z50" s="57"/>
    </row>
    <row r="51" spans="2:26" s="40" customFormat="1" ht="16.899999999999999" customHeight="1" thickBot="1" x14ac:dyDescent="0.3">
      <c r="B51" s="22"/>
      <c r="C51" s="22"/>
      <c r="D51" s="59" t="s">
        <v>28</v>
      </c>
      <c r="E51" s="45">
        <v>23</v>
      </c>
      <c r="F51" s="53">
        <v>80</v>
      </c>
      <c r="G51" s="45">
        <v>43</v>
      </c>
      <c r="H51" s="58">
        <v>65</v>
      </c>
      <c r="I51" s="45">
        <v>74</v>
      </c>
      <c r="J51" s="58">
        <v>35</v>
      </c>
      <c r="K51" s="45">
        <v>82</v>
      </c>
      <c r="L51" s="58">
        <v>30</v>
      </c>
      <c r="M51" s="45">
        <v>90</v>
      </c>
      <c r="N51" s="58">
        <v>12</v>
      </c>
      <c r="O51" s="49"/>
      <c r="P51" s="58"/>
      <c r="Q51" s="49"/>
      <c r="R51" s="53"/>
      <c r="S51" s="45"/>
      <c r="T51" s="58"/>
      <c r="U51" s="45"/>
      <c r="V51" s="58"/>
      <c r="W51" s="45"/>
      <c r="X51" s="58"/>
      <c r="Y51" s="45"/>
      <c r="Z51" s="58"/>
    </row>
    <row r="52" spans="2:26" s="40" customFormat="1" ht="16.899999999999999" customHeight="1" x14ac:dyDescent="0.25">
      <c r="B52" s="26" t="s">
        <v>3</v>
      </c>
      <c r="C52" s="26" t="s">
        <v>12</v>
      </c>
      <c r="D52" s="63" t="s">
        <v>24</v>
      </c>
      <c r="E52" s="41">
        <v>26</v>
      </c>
      <c r="F52" s="51">
        <v>75</v>
      </c>
      <c r="G52" s="41">
        <v>54</v>
      </c>
      <c r="H52" s="56">
        <v>51</v>
      </c>
      <c r="I52" s="41">
        <v>72</v>
      </c>
      <c r="J52" s="56">
        <v>25</v>
      </c>
      <c r="K52" s="41">
        <v>102</v>
      </c>
      <c r="L52" s="56"/>
      <c r="M52" s="41">
        <v>102</v>
      </c>
      <c r="N52" s="56"/>
      <c r="O52" s="47"/>
      <c r="P52" s="56"/>
      <c r="Q52" s="47"/>
      <c r="R52" s="51"/>
      <c r="S52" s="41"/>
      <c r="T52" s="56"/>
      <c r="U52" s="41"/>
      <c r="V52" s="56"/>
      <c r="W52" s="41"/>
      <c r="X52" s="56"/>
      <c r="Y52" s="41"/>
      <c r="Z52" s="56"/>
    </row>
    <row r="53" spans="2:26" s="40" customFormat="1" ht="16.899999999999999" customHeight="1" x14ac:dyDescent="0.25">
      <c r="B53" s="28"/>
      <c r="C53" s="28" t="s">
        <v>18</v>
      </c>
      <c r="D53" s="64" t="s">
        <v>38</v>
      </c>
      <c r="E53" s="43">
        <v>32</v>
      </c>
      <c r="F53" s="52">
        <v>73</v>
      </c>
      <c r="G53" s="43">
        <v>51</v>
      </c>
      <c r="H53" s="57">
        <v>52</v>
      </c>
      <c r="I53" s="43">
        <v>80</v>
      </c>
      <c r="J53" s="57">
        <v>23</v>
      </c>
      <c r="K53" s="43">
        <v>102</v>
      </c>
      <c r="L53" s="57"/>
      <c r="M53" s="43">
        <v>102</v>
      </c>
      <c r="N53" s="57"/>
      <c r="O53" s="48"/>
      <c r="P53" s="57"/>
      <c r="Q53" s="48"/>
      <c r="R53" s="52"/>
      <c r="S53" s="43"/>
      <c r="T53" s="57"/>
      <c r="U53" s="43"/>
      <c r="V53" s="57"/>
      <c r="W53" s="43"/>
      <c r="X53" s="57"/>
      <c r="Y53" s="43"/>
      <c r="Z53" s="57"/>
    </row>
    <row r="54" spans="2:26" s="40" customFormat="1" ht="16.899999999999999" customHeight="1" x14ac:dyDescent="0.25">
      <c r="B54" s="28"/>
      <c r="C54" s="28"/>
      <c r="D54" s="64" t="s">
        <v>25</v>
      </c>
      <c r="E54" s="43">
        <v>35</v>
      </c>
      <c r="F54" s="52">
        <v>63</v>
      </c>
      <c r="G54" s="43">
        <v>52</v>
      </c>
      <c r="H54" s="57">
        <v>51</v>
      </c>
      <c r="I54" s="43">
        <v>70</v>
      </c>
      <c r="J54" s="57">
        <v>31</v>
      </c>
      <c r="K54" s="43">
        <v>102</v>
      </c>
      <c r="L54" s="57"/>
      <c r="M54" s="43">
        <v>102</v>
      </c>
      <c r="N54" s="57"/>
      <c r="O54" s="48"/>
      <c r="P54" s="57"/>
      <c r="Q54" s="48"/>
      <c r="R54" s="52"/>
      <c r="S54" s="43"/>
      <c r="T54" s="57"/>
      <c r="U54" s="43"/>
      <c r="V54" s="57"/>
      <c r="W54" s="43"/>
      <c r="X54" s="57"/>
      <c r="Y54" s="43"/>
      <c r="Z54" s="57"/>
    </row>
    <row r="55" spans="2:26" s="40" customFormat="1" ht="16.899999999999999" customHeight="1" x14ac:dyDescent="0.25">
      <c r="B55" s="28"/>
      <c r="C55" s="28"/>
      <c r="D55" s="64" t="s">
        <v>26</v>
      </c>
      <c r="E55" s="43">
        <v>30</v>
      </c>
      <c r="F55" s="52">
        <v>69</v>
      </c>
      <c r="G55" s="43">
        <v>50</v>
      </c>
      <c r="H55" s="57">
        <v>47</v>
      </c>
      <c r="I55" s="43">
        <v>79</v>
      </c>
      <c r="J55" s="57">
        <v>20</v>
      </c>
      <c r="K55" s="43">
        <v>102</v>
      </c>
      <c r="L55" s="57"/>
      <c r="M55" s="43">
        <v>102</v>
      </c>
      <c r="N55" s="57"/>
      <c r="O55" s="48"/>
      <c r="P55" s="57"/>
      <c r="Q55" s="48"/>
      <c r="R55" s="52"/>
      <c r="S55" s="43"/>
      <c r="T55" s="57"/>
      <c r="U55" s="43"/>
      <c r="V55" s="57"/>
      <c r="W55" s="43"/>
      <c r="X55" s="57"/>
      <c r="Y55" s="43"/>
      <c r="Z55" s="57"/>
    </row>
    <row r="56" spans="2:26" s="40" customFormat="1" ht="16.899999999999999" customHeight="1" x14ac:dyDescent="0.25">
      <c r="B56" s="28"/>
      <c r="C56" s="28"/>
      <c r="D56" s="64" t="s">
        <v>27</v>
      </c>
      <c r="E56" s="43">
        <v>32</v>
      </c>
      <c r="F56" s="52">
        <v>68</v>
      </c>
      <c r="G56" s="43">
        <v>46</v>
      </c>
      <c r="H56" s="57">
        <v>53</v>
      </c>
      <c r="I56" s="43">
        <v>59</v>
      </c>
      <c r="J56" s="57">
        <v>39</v>
      </c>
      <c r="K56" s="43">
        <v>74</v>
      </c>
      <c r="L56" s="57">
        <v>29</v>
      </c>
      <c r="M56" s="43">
        <v>23</v>
      </c>
      <c r="N56" s="57">
        <v>23</v>
      </c>
      <c r="O56" s="48"/>
      <c r="P56" s="57"/>
      <c r="Q56" s="48"/>
      <c r="R56" s="52"/>
      <c r="S56" s="43"/>
      <c r="T56" s="57"/>
      <c r="U56" s="43"/>
      <c r="V56" s="57"/>
      <c r="W56" s="43"/>
      <c r="X56" s="57"/>
      <c r="Y56" s="43"/>
      <c r="Z56" s="57"/>
    </row>
    <row r="57" spans="2:26" s="40" customFormat="1" ht="16.899999999999999" customHeight="1" thickBot="1" x14ac:dyDescent="0.3">
      <c r="B57" s="30"/>
      <c r="C57" s="30"/>
      <c r="D57" s="65" t="s">
        <v>28</v>
      </c>
      <c r="E57" s="45">
        <v>25</v>
      </c>
      <c r="F57" s="53">
        <v>72</v>
      </c>
      <c r="G57" s="45">
        <v>48</v>
      </c>
      <c r="H57" s="58">
        <v>55</v>
      </c>
      <c r="I57" s="45">
        <v>55</v>
      </c>
      <c r="J57" s="58">
        <v>47</v>
      </c>
      <c r="K57" s="45">
        <v>70</v>
      </c>
      <c r="L57" s="58">
        <v>33</v>
      </c>
      <c r="M57" s="45">
        <v>21</v>
      </c>
      <c r="N57" s="58">
        <v>21</v>
      </c>
      <c r="O57" s="49"/>
      <c r="P57" s="58"/>
      <c r="Q57" s="49"/>
      <c r="R57" s="53"/>
      <c r="S57" s="45"/>
      <c r="T57" s="58"/>
      <c r="U57" s="45"/>
      <c r="V57" s="58"/>
      <c r="W57" s="45"/>
      <c r="X57" s="58"/>
      <c r="Y57" s="45"/>
      <c r="Z57" s="58"/>
    </row>
    <row r="58" spans="2:26" s="40" customFormat="1" ht="16.899999999999999" customHeight="1" x14ac:dyDescent="0.25">
      <c r="B58" s="26" t="s">
        <v>4</v>
      </c>
      <c r="C58" s="26" t="s">
        <v>13</v>
      </c>
      <c r="D58" s="63" t="s">
        <v>24</v>
      </c>
      <c r="E58" s="41">
        <v>29</v>
      </c>
      <c r="F58" s="51">
        <v>73</v>
      </c>
      <c r="G58" s="41">
        <v>42</v>
      </c>
      <c r="H58" s="56">
        <v>59</v>
      </c>
      <c r="I58" s="41">
        <v>59</v>
      </c>
      <c r="J58" s="56">
        <v>40</v>
      </c>
      <c r="K58" s="41">
        <v>70</v>
      </c>
      <c r="L58" s="56">
        <v>33</v>
      </c>
      <c r="M58" s="41">
        <v>102</v>
      </c>
      <c r="N58" s="56"/>
      <c r="O58" s="47"/>
      <c r="P58" s="56"/>
      <c r="Q58" s="47"/>
      <c r="R58" s="51"/>
      <c r="S58" s="41"/>
      <c r="T58" s="56"/>
      <c r="U58" s="41"/>
      <c r="V58" s="56"/>
      <c r="W58" s="41"/>
      <c r="X58" s="56"/>
      <c r="Y58" s="41"/>
      <c r="Z58" s="56"/>
    </row>
    <row r="59" spans="2:26" s="40" customFormat="1" ht="16.899999999999999" customHeight="1" x14ac:dyDescent="0.25">
      <c r="B59" s="28"/>
      <c r="C59" s="28" t="s">
        <v>19</v>
      </c>
      <c r="D59" s="64" t="s">
        <v>38</v>
      </c>
      <c r="E59" s="43">
        <v>34</v>
      </c>
      <c r="F59" s="52">
        <v>68</v>
      </c>
      <c r="G59" s="43">
        <v>53</v>
      </c>
      <c r="H59" s="57">
        <v>48</v>
      </c>
      <c r="I59" s="43">
        <v>84</v>
      </c>
      <c r="J59" s="57">
        <v>17</v>
      </c>
      <c r="K59" s="43">
        <v>102</v>
      </c>
      <c r="L59" s="57"/>
      <c r="M59" s="43">
        <v>102</v>
      </c>
      <c r="N59" s="57"/>
      <c r="O59" s="48"/>
      <c r="P59" s="57"/>
      <c r="Q59" s="48"/>
      <c r="R59" s="52"/>
      <c r="S59" s="43"/>
      <c r="T59" s="57"/>
      <c r="U59" s="43"/>
      <c r="V59" s="57"/>
      <c r="W59" s="43"/>
      <c r="X59" s="57"/>
      <c r="Y59" s="43"/>
      <c r="Z59" s="57"/>
    </row>
    <row r="60" spans="2:26" s="40" customFormat="1" ht="16.899999999999999" customHeight="1" x14ac:dyDescent="0.25">
      <c r="B60" s="28"/>
      <c r="C60" s="28"/>
      <c r="D60" s="64" t="s">
        <v>25</v>
      </c>
      <c r="E60" s="43">
        <v>35</v>
      </c>
      <c r="F60" s="52">
        <v>66</v>
      </c>
      <c r="G60" s="43">
        <v>55</v>
      </c>
      <c r="H60" s="57">
        <v>48</v>
      </c>
      <c r="I60" s="43">
        <v>76</v>
      </c>
      <c r="J60" s="57">
        <v>25</v>
      </c>
      <c r="K60" s="43">
        <v>102</v>
      </c>
      <c r="L60" s="57"/>
      <c r="M60" s="43">
        <v>102</v>
      </c>
      <c r="N60" s="57"/>
      <c r="O60" s="48"/>
      <c r="P60" s="57"/>
      <c r="Q60" s="48"/>
      <c r="R60" s="52"/>
      <c r="S60" s="43"/>
      <c r="T60" s="57"/>
      <c r="U60" s="43"/>
      <c r="V60" s="57"/>
      <c r="W60" s="43"/>
      <c r="X60" s="57"/>
      <c r="Y60" s="43"/>
      <c r="Z60" s="57"/>
    </row>
    <row r="61" spans="2:26" s="40" customFormat="1" ht="16.899999999999999" customHeight="1" x14ac:dyDescent="0.25">
      <c r="B61" s="28"/>
      <c r="C61" s="28"/>
      <c r="D61" s="64" t="s">
        <v>26</v>
      </c>
      <c r="E61" s="43">
        <v>38</v>
      </c>
      <c r="F61" s="52">
        <v>65</v>
      </c>
      <c r="G61" s="43">
        <v>54</v>
      </c>
      <c r="H61" s="57">
        <v>48</v>
      </c>
      <c r="I61" s="43">
        <v>78</v>
      </c>
      <c r="J61" s="57">
        <v>20</v>
      </c>
      <c r="K61" s="43">
        <v>102</v>
      </c>
      <c r="L61" s="57"/>
      <c r="M61" s="43">
        <v>102</v>
      </c>
      <c r="N61" s="57"/>
      <c r="O61" s="48"/>
      <c r="P61" s="57"/>
      <c r="Q61" s="48"/>
      <c r="R61" s="52"/>
      <c r="S61" s="43"/>
      <c r="T61" s="57"/>
      <c r="U61" s="43"/>
      <c r="V61" s="57"/>
      <c r="W61" s="43"/>
      <c r="X61" s="57"/>
      <c r="Y61" s="43"/>
      <c r="Z61" s="57"/>
    </row>
    <row r="62" spans="2:26" s="40" customFormat="1" ht="16.899999999999999" customHeight="1" x14ac:dyDescent="0.25">
      <c r="B62" s="28"/>
      <c r="C62" s="28"/>
      <c r="D62" s="64" t="s">
        <v>27</v>
      </c>
      <c r="E62" s="43">
        <v>30</v>
      </c>
      <c r="F62" s="52">
        <v>75</v>
      </c>
      <c r="G62" s="43">
        <v>49</v>
      </c>
      <c r="H62" s="57">
        <v>56</v>
      </c>
      <c r="I62" s="43">
        <v>70</v>
      </c>
      <c r="J62" s="57">
        <v>32</v>
      </c>
      <c r="K62" s="43">
        <v>84</v>
      </c>
      <c r="L62" s="57">
        <v>19</v>
      </c>
      <c r="M62" s="43">
        <v>102</v>
      </c>
      <c r="N62" s="57"/>
      <c r="O62" s="48"/>
      <c r="P62" s="57"/>
      <c r="Q62" s="48"/>
      <c r="R62" s="52"/>
      <c r="S62" s="43"/>
      <c r="T62" s="57"/>
      <c r="U62" s="43"/>
      <c r="V62" s="57"/>
      <c r="W62" s="43"/>
      <c r="X62" s="57"/>
      <c r="Y62" s="43"/>
      <c r="Z62" s="57"/>
    </row>
    <row r="63" spans="2:26" s="40" customFormat="1" ht="16.899999999999999" customHeight="1" thickBot="1" x14ac:dyDescent="0.3">
      <c r="B63" s="30"/>
      <c r="C63" s="30"/>
      <c r="D63" s="65" t="s">
        <v>28</v>
      </c>
      <c r="E63" s="45">
        <v>25</v>
      </c>
      <c r="F63" s="53">
        <v>79</v>
      </c>
      <c r="G63" s="45">
        <v>46</v>
      </c>
      <c r="H63" s="58">
        <v>59</v>
      </c>
      <c r="I63" s="45">
        <v>66</v>
      </c>
      <c r="J63" s="58">
        <v>25</v>
      </c>
      <c r="K63" s="45">
        <v>79</v>
      </c>
      <c r="L63" s="58">
        <v>20</v>
      </c>
      <c r="M63" s="45">
        <v>102</v>
      </c>
      <c r="N63" s="58"/>
      <c r="O63" s="49"/>
      <c r="P63" s="58"/>
      <c r="Q63" s="49"/>
      <c r="R63" s="53"/>
      <c r="S63" s="45"/>
      <c r="T63" s="58"/>
      <c r="U63" s="45"/>
      <c r="V63" s="58"/>
      <c r="W63" s="45"/>
      <c r="X63" s="58"/>
      <c r="Y63" s="45"/>
      <c r="Z63" s="58"/>
    </row>
    <row r="64" spans="2:26" s="40" customFormat="1" ht="16.899999999999999" customHeight="1" x14ac:dyDescent="0.25">
      <c r="B64" s="21" t="s">
        <v>4</v>
      </c>
      <c r="C64" s="21" t="s">
        <v>14</v>
      </c>
      <c r="D64" s="15" t="s">
        <v>24</v>
      </c>
      <c r="E64" s="41">
        <v>32</v>
      </c>
      <c r="F64" s="51">
        <v>72</v>
      </c>
      <c r="G64" s="41">
        <v>43</v>
      </c>
      <c r="H64" s="56">
        <v>58</v>
      </c>
      <c r="I64" s="41">
        <v>59</v>
      </c>
      <c r="J64" s="56">
        <v>42</v>
      </c>
      <c r="K64" s="41">
        <v>31</v>
      </c>
      <c r="L64" s="56">
        <v>31</v>
      </c>
      <c r="M64" s="41">
        <v>102</v>
      </c>
      <c r="N64" s="56"/>
      <c r="O64" s="47"/>
      <c r="P64" s="56"/>
      <c r="Q64" s="47"/>
      <c r="R64" s="51"/>
      <c r="S64" s="41"/>
      <c r="T64" s="56"/>
      <c r="U64" s="41"/>
      <c r="V64" s="56"/>
      <c r="W64" s="41"/>
      <c r="X64" s="56"/>
      <c r="Y64" s="41"/>
      <c r="Z64" s="56"/>
    </row>
    <row r="65" spans="2:26" s="40" customFormat="1" ht="16.899999999999999" customHeight="1" x14ac:dyDescent="0.25">
      <c r="B65" s="20"/>
      <c r="C65" s="20" t="s">
        <v>16</v>
      </c>
      <c r="D65" s="17" t="s">
        <v>38</v>
      </c>
      <c r="E65" s="43">
        <v>32</v>
      </c>
      <c r="F65" s="52">
        <v>69</v>
      </c>
      <c r="G65" s="43">
        <v>46</v>
      </c>
      <c r="H65" s="57">
        <v>55</v>
      </c>
      <c r="I65" s="43">
        <v>69</v>
      </c>
      <c r="J65" s="57">
        <v>30</v>
      </c>
      <c r="K65" s="43">
        <v>76</v>
      </c>
      <c r="L65" s="57">
        <v>25</v>
      </c>
      <c r="M65" s="43">
        <v>91</v>
      </c>
      <c r="N65" s="57">
        <v>12</v>
      </c>
      <c r="O65" s="48"/>
      <c r="P65" s="57"/>
      <c r="Q65" s="48"/>
      <c r="R65" s="52"/>
      <c r="S65" s="43"/>
      <c r="T65" s="57"/>
      <c r="U65" s="43"/>
      <c r="V65" s="57"/>
      <c r="W65" s="43"/>
      <c r="X65" s="57"/>
      <c r="Y65" s="43"/>
      <c r="Z65" s="57"/>
    </row>
    <row r="66" spans="2:26" s="40" customFormat="1" ht="16.899999999999999" customHeight="1" x14ac:dyDescent="0.25">
      <c r="B66" s="20"/>
      <c r="C66" s="20"/>
      <c r="D66" s="17" t="s">
        <v>25</v>
      </c>
      <c r="E66" s="43">
        <v>34</v>
      </c>
      <c r="F66" s="52">
        <v>73</v>
      </c>
      <c r="G66" s="43">
        <v>54</v>
      </c>
      <c r="H66" s="57">
        <v>47</v>
      </c>
      <c r="I66" s="43">
        <v>79</v>
      </c>
      <c r="J66" s="57">
        <v>22</v>
      </c>
      <c r="K66" s="43">
        <v>102</v>
      </c>
      <c r="L66" s="57"/>
      <c r="M66" s="43">
        <v>102</v>
      </c>
      <c r="N66" s="57"/>
      <c r="O66" s="48"/>
      <c r="P66" s="57"/>
      <c r="Q66" s="48"/>
      <c r="R66" s="52"/>
      <c r="S66" s="43"/>
      <c r="T66" s="57"/>
      <c r="U66" s="43"/>
      <c r="V66" s="57"/>
      <c r="W66" s="43"/>
      <c r="X66" s="57"/>
      <c r="Y66" s="43"/>
      <c r="Z66" s="57"/>
    </row>
    <row r="67" spans="2:26" s="40" customFormat="1" ht="16.899999999999999" customHeight="1" x14ac:dyDescent="0.25">
      <c r="B67" s="20"/>
      <c r="C67" s="20"/>
      <c r="D67" s="17" t="s">
        <v>26</v>
      </c>
      <c r="E67" s="43">
        <v>38</v>
      </c>
      <c r="F67" s="52">
        <v>63</v>
      </c>
      <c r="G67" s="43">
        <v>48</v>
      </c>
      <c r="H67" s="57">
        <v>50</v>
      </c>
      <c r="I67" s="43">
        <v>69</v>
      </c>
      <c r="J67" s="57">
        <v>30</v>
      </c>
      <c r="K67" s="43">
        <v>85</v>
      </c>
      <c r="L67" s="57">
        <v>16</v>
      </c>
      <c r="M67" s="43">
        <v>102</v>
      </c>
      <c r="N67" s="57"/>
      <c r="O67" s="48"/>
      <c r="P67" s="57"/>
      <c r="Q67" s="48"/>
      <c r="R67" s="52"/>
      <c r="S67" s="43"/>
      <c r="T67" s="57"/>
      <c r="U67" s="43"/>
      <c r="V67" s="57"/>
      <c r="W67" s="43"/>
      <c r="X67" s="57"/>
      <c r="Y67" s="43"/>
      <c r="Z67" s="57"/>
    </row>
    <row r="68" spans="2:26" s="40" customFormat="1" ht="16.899999999999999" customHeight="1" x14ac:dyDescent="0.25">
      <c r="B68" s="20"/>
      <c r="C68" s="20"/>
      <c r="D68" s="17" t="s">
        <v>27</v>
      </c>
      <c r="E68" s="43">
        <v>33</v>
      </c>
      <c r="F68" s="52">
        <v>70</v>
      </c>
      <c r="G68" s="43">
        <v>47</v>
      </c>
      <c r="H68" s="57">
        <v>51</v>
      </c>
      <c r="I68" s="43">
        <v>67</v>
      </c>
      <c r="J68" s="57">
        <v>29</v>
      </c>
      <c r="K68" s="43">
        <v>77</v>
      </c>
      <c r="L68" s="57">
        <v>24</v>
      </c>
      <c r="M68" s="43">
        <v>92</v>
      </c>
      <c r="N68" s="57">
        <v>12</v>
      </c>
      <c r="O68" s="48"/>
      <c r="P68" s="57"/>
      <c r="Q68" s="48"/>
      <c r="R68" s="52"/>
      <c r="S68" s="43"/>
      <c r="T68" s="57"/>
      <c r="U68" s="43"/>
      <c r="V68" s="57"/>
      <c r="W68" s="43"/>
      <c r="X68" s="57"/>
      <c r="Y68" s="43"/>
      <c r="Z68" s="57"/>
    </row>
    <row r="69" spans="2:26" s="40" customFormat="1" ht="16.899999999999999" customHeight="1" thickBot="1" x14ac:dyDescent="0.3">
      <c r="B69" s="22"/>
      <c r="C69" s="22"/>
      <c r="D69" s="59" t="s">
        <v>28</v>
      </c>
      <c r="E69" s="45">
        <v>26</v>
      </c>
      <c r="F69" s="53">
        <v>80</v>
      </c>
      <c r="G69" s="45">
        <v>37</v>
      </c>
      <c r="H69" s="58">
        <v>60</v>
      </c>
      <c r="I69" s="45">
        <v>59</v>
      </c>
      <c r="J69" s="58">
        <v>39</v>
      </c>
      <c r="K69" s="45">
        <v>66</v>
      </c>
      <c r="L69" s="58">
        <v>38</v>
      </c>
      <c r="M69" s="45">
        <v>82</v>
      </c>
      <c r="N69" s="58">
        <v>16</v>
      </c>
      <c r="O69" s="49"/>
      <c r="P69" s="58"/>
      <c r="Q69" s="49"/>
      <c r="R69" s="53"/>
      <c r="S69" s="45"/>
      <c r="T69" s="58"/>
      <c r="U69" s="45"/>
      <c r="V69" s="58"/>
      <c r="W69" s="45"/>
      <c r="X69" s="58"/>
      <c r="Y69" s="45"/>
      <c r="Z69" s="58"/>
    </row>
    <row r="70" spans="2:26" s="40" customFormat="1" ht="16.899999999999999" customHeight="1" x14ac:dyDescent="0.25">
      <c r="B70" s="21" t="s">
        <v>22</v>
      </c>
      <c r="C70" s="21" t="s">
        <v>23</v>
      </c>
      <c r="D70" s="15" t="s">
        <v>24</v>
      </c>
      <c r="E70" s="41">
        <v>29</v>
      </c>
      <c r="F70" s="51">
        <v>71</v>
      </c>
      <c r="G70" s="41">
        <v>33</v>
      </c>
      <c r="H70" s="56">
        <v>64</v>
      </c>
      <c r="I70" s="41">
        <v>56</v>
      </c>
      <c r="J70" s="56">
        <v>32</v>
      </c>
      <c r="K70" s="41">
        <v>78</v>
      </c>
      <c r="L70" s="56">
        <v>21</v>
      </c>
      <c r="M70" s="41">
        <v>102</v>
      </c>
      <c r="N70" s="56"/>
      <c r="O70" s="47"/>
      <c r="P70" s="56"/>
      <c r="Q70" s="47"/>
      <c r="R70" s="51"/>
      <c r="S70" s="41"/>
      <c r="T70" s="56"/>
      <c r="U70" s="41"/>
      <c r="V70" s="56"/>
      <c r="W70" s="41"/>
      <c r="X70" s="56"/>
      <c r="Y70" s="41"/>
      <c r="Z70" s="56"/>
    </row>
    <row r="71" spans="2:26" s="40" customFormat="1" ht="16.899999999999999" customHeight="1" x14ac:dyDescent="0.25">
      <c r="B71" s="20"/>
      <c r="C71" s="20" t="s">
        <v>17</v>
      </c>
      <c r="D71" s="17" t="s">
        <v>38</v>
      </c>
      <c r="E71" s="43">
        <v>25</v>
      </c>
      <c r="F71" s="52">
        <v>72</v>
      </c>
      <c r="G71" s="43">
        <v>35</v>
      </c>
      <c r="H71" s="57">
        <v>69</v>
      </c>
      <c r="I71" s="43">
        <v>61</v>
      </c>
      <c r="J71" s="57">
        <v>38</v>
      </c>
      <c r="K71" s="43">
        <v>80</v>
      </c>
      <c r="L71" s="57">
        <v>21</v>
      </c>
      <c r="M71" s="43">
        <v>102</v>
      </c>
      <c r="N71" s="57"/>
      <c r="O71" s="48"/>
      <c r="P71" s="57"/>
      <c r="Q71" s="48"/>
      <c r="R71" s="52"/>
      <c r="S71" s="43"/>
      <c r="T71" s="57"/>
      <c r="U71" s="43"/>
      <c r="V71" s="57"/>
      <c r="W71" s="43"/>
      <c r="X71" s="57"/>
      <c r="Y71" s="43"/>
      <c r="Z71" s="57"/>
    </row>
    <row r="72" spans="2:26" s="40" customFormat="1" ht="16.899999999999999" customHeight="1" x14ac:dyDescent="0.25">
      <c r="B72" s="20"/>
      <c r="C72" s="20"/>
      <c r="D72" s="17" t="s">
        <v>25</v>
      </c>
      <c r="E72" s="43">
        <v>31</v>
      </c>
      <c r="F72" s="52">
        <v>71</v>
      </c>
      <c r="G72" s="43">
        <v>42</v>
      </c>
      <c r="H72" s="57">
        <v>69</v>
      </c>
      <c r="I72" s="43">
        <v>71</v>
      </c>
      <c r="J72" s="57">
        <v>32</v>
      </c>
      <c r="K72" s="43">
        <v>102</v>
      </c>
      <c r="L72" s="57"/>
      <c r="M72" s="43">
        <v>102</v>
      </c>
      <c r="N72" s="57"/>
      <c r="O72" s="48"/>
      <c r="P72" s="57"/>
      <c r="Q72" s="48"/>
      <c r="R72" s="52"/>
      <c r="S72" s="43"/>
      <c r="T72" s="57"/>
      <c r="U72" s="43"/>
      <c r="V72" s="57"/>
      <c r="W72" s="43"/>
      <c r="X72" s="57"/>
      <c r="Y72" s="43"/>
      <c r="Z72" s="57"/>
    </row>
    <row r="73" spans="2:26" s="40" customFormat="1" ht="16.899999999999999" customHeight="1" x14ac:dyDescent="0.25">
      <c r="B73" s="20"/>
      <c r="C73" s="20"/>
      <c r="D73" s="17" t="s">
        <v>26</v>
      </c>
      <c r="E73" s="43">
        <v>34</v>
      </c>
      <c r="F73" s="52">
        <v>64</v>
      </c>
      <c r="G73" s="43">
        <v>38</v>
      </c>
      <c r="H73" s="57">
        <v>65</v>
      </c>
      <c r="I73" s="43">
        <v>61</v>
      </c>
      <c r="J73" s="57">
        <v>37</v>
      </c>
      <c r="K73" s="43">
        <v>80</v>
      </c>
      <c r="L73" s="57">
        <v>19</v>
      </c>
      <c r="M73" s="43">
        <v>102</v>
      </c>
      <c r="N73" s="57"/>
      <c r="O73" s="48"/>
      <c r="P73" s="57"/>
      <c r="Q73" s="48"/>
      <c r="R73" s="52"/>
      <c r="S73" s="43"/>
      <c r="T73" s="57"/>
      <c r="U73" s="43"/>
      <c r="V73" s="57"/>
      <c r="W73" s="43"/>
      <c r="X73" s="57"/>
      <c r="Y73" s="43"/>
      <c r="Z73" s="57"/>
    </row>
    <row r="74" spans="2:26" s="40" customFormat="1" ht="16.899999999999999" customHeight="1" x14ac:dyDescent="0.25">
      <c r="B74" s="20"/>
      <c r="C74" s="20"/>
      <c r="D74" s="17" t="s">
        <v>27</v>
      </c>
      <c r="E74" s="43">
        <v>28</v>
      </c>
      <c r="F74" s="52">
        <v>71</v>
      </c>
      <c r="G74" s="43">
        <v>37</v>
      </c>
      <c r="H74" s="57">
        <v>62</v>
      </c>
      <c r="I74" s="43">
        <v>57</v>
      </c>
      <c r="J74" s="57">
        <v>44</v>
      </c>
      <c r="K74" s="43">
        <v>75</v>
      </c>
      <c r="L74" s="57">
        <v>27</v>
      </c>
      <c r="M74" s="43">
        <v>102</v>
      </c>
      <c r="N74" s="57"/>
      <c r="O74" s="48"/>
      <c r="P74" s="57"/>
      <c r="Q74" s="48"/>
      <c r="R74" s="52"/>
      <c r="S74" s="43"/>
      <c r="T74" s="57"/>
      <c r="U74" s="43"/>
      <c r="V74" s="57"/>
      <c r="W74" s="43"/>
      <c r="X74" s="57"/>
      <c r="Y74" s="43"/>
      <c r="Z74" s="57"/>
    </row>
    <row r="75" spans="2:26" s="40" customFormat="1" ht="16.899999999999999" customHeight="1" thickBot="1" x14ac:dyDescent="0.3">
      <c r="B75" s="22"/>
      <c r="C75" s="22"/>
      <c r="D75" s="59" t="s">
        <v>28</v>
      </c>
      <c r="E75" s="45">
        <v>31</v>
      </c>
      <c r="F75" s="53">
        <v>71</v>
      </c>
      <c r="G75" s="45">
        <v>37</v>
      </c>
      <c r="H75" s="58">
        <v>60</v>
      </c>
      <c r="I75" s="45">
        <v>63</v>
      </c>
      <c r="J75" s="58">
        <v>37</v>
      </c>
      <c r="K75" s="45">
        <v>78</v>
      </c>
      <c r="L75" s="58">
        <v>24</v>
      </c>
      <c r="M75" s="45">
        <v>102</v>
      </c>
      <c r="N75" s="58"/>
      <c r="O75" s="49"/>
      <c r="P75" s="58"/>
      <c r="Q75" s="49"/>
      <c r="R75" s="53"/>
      <c r="S75" s="45"/>
      <c r="T75" s="58"/>
      <c r="U75" s="45"/>
      <c r="V75" s="58"/>
      <c r="W75" s="45"/>
      <c r="X75" s="58"/>
      <c r="Y75" s="45"/>
      <c r="Z75" s="58"/>
    </row>
    <row r="78" spans="2:26" x14ac:dyDescent="0.2">
      <c r="C78" s="87" t="s">
        <v>63</v>
      </c>
      <c r="E78" s="88">
        <f>AVERAGE(E22:E27,E46:E51)/100</f>
        <v>0.28166666666666668</v>
      </c>
      <c r="F78" s="88">
        <f t="shared" ref="F78:J78" si="0">AVERAGE(F22:F27,F46:F51)/100</f>
        <v>0.71666666666666667</v>
      </c>
      <c r="G78" s="88">
        <f t="shared" si="0"/>
        <v>0.49166666666666664</v>
      </c>
      <c r="H78" s="88">
        <f t="shared" si="0"/>
        <v>0.52916666666666667</v>
      </c>
      <c r="I78" s="88">
        <f t="shared" si="0"/>
        <v>0.73833333333333329</v>
      </c>
      <c r="J78" s="88">
        <f t="shared" si="0"/>
        <v>0.26333333333333331</v>
      </c>
      <c r="K78" s="88">
        <f t="shared" ref="K78:N78" si="1">AVERAGE(K22:K27,K46:K51)/100</f>
        <v>0.97583333333333333</v>
      </c>
      <c r="L78" s="88">
        <f t="shared" si="1"/>
        <v>0.31</v>
      </c>
      <c r="M78" s="88">
        <f t="shared" si="1"/>
        <v>1.01</v>
      </c>
      <c r="N78" s="88">
        <f t="shared" si="1"/>
        <v>0.12</v>
      </c>
    </row>
    <row r="79" spans="2:26" x14ac:dyDescent="0.2">
      <c r="C79" s="87" t="s">
        <v>16</v>
      </c>
      <c r="E79" s="88">
        <f>AVERAGE(E16:E21,E64:E69)/100</f>
        <v>0.32916666666666666</v>
      </c>
      <c r="F79" s="88">
        <f t="shared" ref="F79:J79" si="2">AVERAGE(F16:F21,F64:F69)/100</f>
        <v>0.6825</v>
      </c>
      <c r="G79" s="88">
        <f t="shared" si="2"/>
        <v>0.4975</v>
      </c>
      <c r="H79" s="88">
        <f t="shared" si="2"/>
        <v>0.49</v>
      </c>
      <c r="I79" s="88">
        <f t="shared" si="2"/>
        <v>0.71250000000000002</v>
      </c>
      <c r="J79" s="88">
        <f t="shared" si="2"/>
        <v>0.28000000000000003</v>
      </c>
      <c r="K79" s="88">
        <f t="shared" ref="K79:N79" si="3">AVERAGE(K16:K21,K64:K69)/100</f>
        <v>0.84</v>
      </c>
      <c r="L79" s="88">
        <f t="shared" si="3"/>
        <v>0.25142857142857145</v>
      </c>
      <c r="M79" s="88">
        <f t="shared" si="3"/>
        <v>0.96750000000000003</v>
      </c>
      <c r="N79" s="88">
        <f t="shared" si="3"/>
        <v>0.1575</v>
      </c>
    </row>
    <row r="80" spans="2:26" x14ac:dyDescent="0.2">
      <c r="C80" s="87" t="s">
        <v>64</v>
      </c>
      <c r="E80" s="88">
        <f>AVERAGE(E10:E15,E40:E45)/100</f>
        <v>0.3066666666666667</v>
      </c>
      <c r="F80" s="88">
        <f t="shared" ref="F80:J80" si="4">AVERAGE(F10:F15,F40:F45)/100</f>
        <v>0.71166666666666667</v>
      </c>
      <c r="G80" s="88">
        <f t="shared" si="4"/>
        <v>0.40500000000000003</v>
      </c>
      <c r="H80" s="88">
        <f t="shared" si="4"/>
        <v>0.61083333333333334</v>
      </c>
      <c r="I80" s="88">
        <f t="shared" si="4"/>
        <v>0.59</v>
      </c>
      <c r="J80" s="88">
        <f t="shared" si="4"/>
        <v>0.43083333333333335</v>
      </c>
      <c r="K80" s="88">
        <f t="shared" ref="K80:N80" si="5">AVERAGE(K10:K15,K40:K45)/100</f>
        <v>0.6316666666666666</v>
      </c>
      <c r="L80" s="88">
        <f t="shared" si="5"/>
        <v>0.39</v>
      </c>
      <c r="M80" s="88">
        <f t="shared" si="5"/>
        <v>0.7</v>
      </c>
      <c r="N80" s="88">
        <f t="shared" si="5"/>
        <v>0.27333333333333332</v>
      </c>
    </row>
    <row r="81" spans="4:14" ht="15" x14ac:dyDescent="0.25">
      <c r="D81" s="10" t="s">
        <v>32</v>
      </c>
      <c r="E81" s="81">
        <v>41806</v>
      </c>
      <c r="F81" s="81"/>
      <c r="G81" s="96">
        <v>41820</v>
      </c>
      <c r="H81" s="90"/>
      <c r="I81" s="96">
        <v>41834</v>
      </c>
      <c r="J81" s="90"/>
      <c r="K81" s="96">
        <v>41848</v>
      </c>
      <c r="L81" s="97"/>
      <c r="M81" s="96">
        <v>41863</v>
      </c>
      <c r="N81" s="90"/>
    </row>
    <row r="82" spans="4:14" ht="15" x14ac:dyDescent="0.25">
      <c r="D82" s="10" t="s">
        <v>39</v>
      </c>
      <c r="E82" s="82">
        <v>167</v>
      </c>
      <c r="F82" s="82"/>
      <c r="G82" s="89">
        <v>181</v>
      </c>
      <c r="H82" s="90"/>
      <c r="I82" s="89">
        <v>195</v>
      </c>
      <c r="J82" s="90"/>
      <c r="K82" s="89">
        <v>209</v>
      </c>
      <c r="L82" s="97"/>
      <c r="M82" s="89">
        <v>224</v>
      </c>
      <c r="N82" s="90"/>
    </row>
  </sheetData>
  <mergeCells count="28">
    <mergeCell ref="Y8:Z8"/>
    <mergeCell ref="Q7:R7"/>
    <mergeCell ref="S7:T7"/>
    <mergeCell ref="U7:V7"/>
    <mergeCell ref="W7:X7"/>
    <mergeCell ref="Y7:Z7"/>
    <mergeCell ref="Q8:R8"/>
    <mergeCell ref="S8:T8"/>
    <mergeCell ref="U8:V8"/>
    <mergeCell ref="W8:X8"/>
    <mergeCell ref="O7:P7"/>
    <mergeCell ref="G8:H8"/>
    <mergeCell ref="I8:J8"/>
    <mergeCell ref="K8:L8"/>
    <mergeCell ref="M8:N8"/>
    <mergeCell ref="G7:H7"/>
    <mergeCell ref="I7:J7"/>
    <mergeCell ref="K7:L7"/>
    <mergeCell ref="M7:N7"/>
    <mergeCell ref="O8:P8"/>
    <mergeCell ref="G81:H81"/>
    <mergeCell ref="I81:J81"/>
    <mergeCell ref="K81:L81"/>
    <mergeCell ref="M81:N81"/>
    <mergeCell ref="G82:H82"/>
    <mergeCell ref="I82:J82"/>
    <mergeCell ref="K82:L82"/>
    <mergeCell ref="M82:N8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4"/>
  <sheetViews>
    <sheetView zoomScale="55" zoomScaleNormal="55" zoomScaleSheetLayoutView="70" workbookViewId="0">
      <selection activeCell="B5" sqref="B5"/>
    </sheetView>
  </sheetViews>
  <sheetFormatPr defaultColWidth="8.85546875" defaultRowHeight="15" x14ac:dyDescent="0.25"/>
  <cols>
    <col min="1" max="1" width="7.42578125" style="5" customWidth="1"/>
    <col min="2" max="2" width="8.140625" style="6" customWidth="1"/>
    <col min="3" max="4" width="9.7109375" style="6" customWidth="1"/>
    <col min="5" max="26" width="9.7109375" style="5" customWidth="1"/>
    <col min="27" max="28" width="8.7109375" style="5" customWidth="1"/>
    <col min="29" max="16384" width="8.85546875" style="5"/>
  </cols>
  <sheetData>
    <row r="1" spans="1:26" ht="18" x14ac:dyDescent="0.25">
      <c r="A1" s="2">
        <v>2014</v>
      </c>
      <c r="B1" s="3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6" ht="18" x14ac:dyDescent="0.25">
      <c r="A2" s="4"/>
      <c r="B2" s="3" t="s">
        <v>20</v>
      </c>
      <c r="D2" s="3" t="s">
        <v>21</v>
      </c>
      <c r="E2" s="4"/>
      <c r="F2" s="4"/>
      <c r="G2" s="4"/>
      <c r="H2" s="4"/>
      <c r="I2" s="4"/>
      <c r="J2" s="4"/>
      <c r="M2" s="4"/>
      <c r="N2" s="4"/>
      <c r="O2" s="4"/>
      <c r="P2" s="4"/>
    </row>
    <row r="3" spans="1:26" ht="18" x14ac:dyDescent="0.25">
      <c r="B3" s="3"/>
    </row>
    <row r="4" spans="1:26" ht="27" x14ac:dyDescent="0.25">
      <c r="B4" s="3" t="s">
        <v>37</v>
      </c>
      <c r="E4" s="7"/>
      <c r="F4" s="8" t="s">
        <v>32</v>
      </c>
      <c r="G4" s="9"/>
      <c r="H4" s="10" t="s">
        <v>33</v>
      </c>
      <c r="I4" s="9"/>
      <c r="L4" s="11"/>
      <c r="P4" s="1" t="s">
        <v>30</v>
      </c>
    </row>
    <row r="5" spans="1:26" ht="23.25" x14ac:dyDescent="0.25">
      <c r="B5" s="3"/>
      <c r="C5" s="3" t="s">
        <v>31</v>
      </c>
      <c r="E5" s="7"/>
      <c r="F5" s="7"/>
      <c r="H5" s="10" t="s">
        <v>34</v>
      </c>
      <c r="I5" s="12"/>
      <c r="K5" s="11"/>
      <c r="L5" s="11"/>
    </row>
    <row r="6" spans="1:26" ht="17.45" customHeight="1" x14ac:dyDescent="0.25">
      <c r="B6" s="3"/>
      <c r="C6" s="3"/>
      <c r="E6" s="7"/>
      <c r="F6" s="7"/>
      <c r="G6" s="66"/>
      <c r="H6" s="66"/>
      <c r="J6" s="10"/>
      <c r="M6" s="11"/>
      <c r="N6" s="11"/>
    </row>
    <row r="7" spans="1:26" ht="20.25" x14ac:dyDescent="0.3">
      <c r="C7" s="13" t="s">
        <v>50</v>
      </c>
      <c r="D7" s="68"/>
      <c r="E7" s="78"/>
      <c r="F7" s="79"/>
      <c r="G7" s="13" t="s">
        <v>55</v>
      </c>
      <c r="H7" s="68"/>
      <c r="I7" s="78"/>
      <c r="J7" s="79"/>
      <c r="K7" s="13" t="s">
        <v>54</v>
      </c>
      <c r="L7" s="68"/>
      <c r="M7" s="78"/>
      <c r="N7" s="79"/>
      <c r="O7" s="13" t="s">
        <v>53</v>
      </c>
      <c r="P7" s="68"/>
      <c r="Q7" s="78"/>
      <c r="R7" s="79"/>
      <c r="S7" s="13" t="s">
        <v>52</v>
      </c>
      <c r="T7" s="68"/>
      <c r="U7" s="78"/>
      <c r="V7" s="79"/>
      <c r="W7" s="13" t="s">
        <v>51</v>
      </c>
      <c r="X7" s="68"/>
      <c r="Y7" s="78"/>
      <c r="Z7" s="79"/>
    </row>
    <row r="8" spans="1:26" ht="40.15" customHeight="1" thickBot="1" x14ac:dyDescent="0.3">
      <c r="C8" s="14" t="s">
        <v>35</v>
      </c>
      <c r="D8" s="71" t="s">
        <v>36</v>
      </c>
      <c r="E8" s="67" t="s">
        <v>48</v>
      </c>
      <c r="F8" s="77" t="s">
        <v>49</v>
      </c>
      <c r="G8" s="14" t="s">
        <v>35</v>
      </c>
      <c r="H8" s="71" t="s">
        <v>36</v>
      </c>
      <c r="I8" s="67" t="s">
        <v>48</v>
      </c>
      <c r="J8" s="77" t="s">
        <v>49</v>
      </c>
      <c r="K8" s="14" t="s">
        <v>35</v>
      </c>
      <c r="L8" s="71" t="s">
        <v>36</v>
      </c>
      <c r="M8" s="67" t="s">
        <v>48</v>
      </c>
      <c r="N8" s="77" t="s">
        <v>49</v>
      </c>
      <c r="O8" s="14" t="s">
        <v>35</v>
      </c>
      <c r="P8" s="71" t="s">
        <v>36</v>
      </c>
      <c r="Q8" s="67" t="s">
        <v>48</v>
      </c>
      <c r="R8" s="77" t="s">
        <v>49</v>
      </c>
      <c r="S8" s="14" t="s">
        <v>35</v>
      </c>
      <c r="T8" s="71" t="s">
        <v>36</v>
      </c>
      <c r="U8" s="67" t="s">
        <v>48</v>
      </c>
      <c r="V8" s="77" t="s">
        <v>49</v>
      </c>
      <c r="W8" s="14" t="s">
        <v>35</v>
      </c>
      <c r="X8" s="71" t="s">
        <v>36</v>
      </c>
      <c r="Y8" s="67" t="s">
        <v>48</v>
      </c>
      <c r="Z8" s="77" t="s">
        <v>49</v>
      </c>
    </row>
    <row r="9" spans="1:26" ht="49.9" customHeight="1" x14ac:dyDescent="0.2">
      <c r="B9" s="15" t="s">
        <v>5</v>
      </c>
      <c r="C9" s="16"/>
      <c r="D9" s="72"/>
      <c r="E9" s="75"/>
      <c r="F9" s="76"/>
      <c r="G9" s="16"/>
      <c r="H9" s="72"/>
      <c r="I9" s="75"/>
      <c r="J9" s="76"/>
      <c r="K9" s="16"/>
      <c r="L9" s="72"/>
      <c r="M9" s="75"/>
      <c r="N9" s="76"/>
      <c r="O9" s="16"/>
      <c r="P9" s="72"/>
      <c r="Q9" s="75"/>
      <c r="R9" s="76"/>
      <c r="S9" s="16"/>
      <c r="T9" s="72"/>
      <c r="U9" s="75"/>
      <c r="V9" s="76"/>
      <c r="W9" s="16"/>
      <c r="X9" s="72"/>
      <c r="Y9" s="75"/>
      <c r="Z9" s="76"/>
    </row>
    <row r="10" spans="1:26" ht="49.9" customHeight="1" x14ac:dyDescent="0.2">
      <c r="B10" s="17" t="s">
        <v>6</v>
      </c>
      <c r="C10" s="18"/>
      <c r="D10" s="73"/>
      <c r="E10" s="44"/>
      <c r="F10" s="74"/>
      <c r="G10" s="18"/>
      <c r="H10" s="73"/>
      <c r="I10" s="44"/>
      <c r="J10" s="74"/>
      <c r="K10" s="18"/>
      <c r="L10" s="73"/>
      <c r="M10" s="44"/>
      <c r="N10" s="74"/>
      <c r="O10" s="18"/>
      <c r="P10" s="73"/>
      <c r="Q10" s="44"/>
      <c r="R10" s="74"/>
      <c r="S10" s="18"/>
      <c r="T10" s="73"/>
      <c r="U10" s="44"/>
      <c r="V10" s="74"/>
      <c r="W10" s="18"/>
      <c r="X10" s="73"/>
      <c r="Y10" s="44"/>
      <c r="Z10" s="74"/>
    </row>
    <row r="11" spans="1:26" ht="49.9" customHeight="1" x14ac:dyDescent="0.2">
      <c r="B11" s="17" t="s">
        <v>7</v>
      </c>
      <c r="C11" s="18"/>
      <c r="D11" s="73"/>
      <c r="E11" s="44"/>
      <c r="F11" s="74"/>
      <c r="G11" s="18"/>
      <c r="H11" s="73"/>
      <c r="I11" s="44"/>
      <c r="J11" s="74"/>
      <c r="K11" s="18"/>
      <c r="L11" s="73"/>
      <c r="M11" s="44"/>
      <c r="N11" s="74"/>
      <c r="O11" s="18"/>
      <c r="P11" s="73"/>
      <c r="Q11" s="44"/>
      <c r="R11" s="74"/>
      <c r="S11" s="18"/>
      <c r="T11" s="73"/>
      <c r="U11" s="44"/>
      <c r="V11" s="74"/>
      <c r="W11" s="18"/>
      <c r="X11" s="73"/>
      <c r="Y11" s="44"/>
      <c r="Z11" s="74"/>
    </row>
    <row r="12" spans="1:26" ht="49.9" customHeight="1" x14ac:dyDescent="0.2">
      <c r="B12" s="19" t="s">
        <v>8</v>
      </c>
      <c r="C12" s="18"/>
      <c r="D12" s="73"/>
      <c r="E12" s="44"/>
      <c r="F12" s="74"/>
      <c r="G12" s="18"/>
      <c r="H12" s="73"/>
      <c r="I12" s="44"/>
      <c r="J12" s="74"/>
      <c r="K12" s="18"/>
      <c r="L12" s="73"/>
      <c r="M12" s="44"/>
      <c r="N12" s="74"/>
      <c r="O12" s="18"/>
      <c r="P12" s="73"/>
      <c r="Q12" s="44"/>
      <c r="R12" s="74"/>
      <c r="S12" s="18"/>
      <c r="T12" s="73"/>
      <c r="U12" s="44"/>
      <c r="V12" s="74"/>
      <c r="W12" s="18"/>
      <c r="X12" s="73"/>
      <c r="Y12" s="44"/>
      <c r="Z12" s="74"/>
    </row>
    <row r="13" spans="1:26" ht="49.9" customHeight="1" x14ac:dyDescent="0.2">
      <c r="B13" s="19" t="s">
        <v>9</v>
      </c>
      <c r="C13" s="18"/>
      <c r="D13" s="73"/>
      <c r="E13" s="44"/>
      <c r="F13" s="74"/>
      <c r="G13" s="18"/>
      <c r="H13" s="73"/>
      <c r="I13" s="44"/>
      <c r="J13" s="74"/>
      <c r="K13" s="18"/>
      <c r="L13" s="73"/>
      <c r="M13" s="44"/>
      <c r="N13" s="74"/>
      <c r="O13" s="18"/>
      <c r="P13" s="73"/>
      <c r="Q13" s="44"/>
      <c r="R13" s="74"/>
      <c r="S13" s="18"/>
      <c r="T13" s="73"/>
      <c r="U13" s="44"/>
      <c r="V13" s="74"/>
      <c r="W13" s="18"/>
      <c r="X13" s="73"/>
      <c r="Y13" s="44"/>
      <c r="Z13" s="74"/>
    </row>
    <row r="14" spans="1:26" ht="49.9" customHeight="1" x14ac:dyDescent="0.2">
      <c r="B14" s="17" t="s">
        <v>10</v>
      </c>
      <c r="C14" s="18"/>
      <c r="D14" s="73"/>
      <c r="E14" s="44"/>
      <c r="F14" s="74"/>
      <c r="G14" s="18"/>
      <c r="H14" s="73"/>
      <c r="I14" s="44"/>
      <c r="J14" s="74"/>
      <c r="K14" s="18"/>
      <c r="L14" s="73"/>
      <c r="M14" s="44"/>
      <c r="N14" s="74"/>
      <c r="O14" s="18"/>
      <c r="P14" s="73"/>
      <c r="Q14" s="44"/>
      <c r="R14" s="74"/>
      <c r="S14" s="18"/>
      <c r="T14" s="73"/>
      <c r="U14" s="44"/>
      <c r="V14" s="74"/>
      <c r="W14" s="18"/>
      <c r="X14" s="73"/>
      <c r="Y14" s="44"/>
      <c r="Z14" s="74"/>
    </row>
    <row r="15" spans="1:26" ht="49.9" customHeight="1" x14ac:dyDescent="0.2">
      <c r="B15" s="17" t="s">
        <v>11</v>
      </c>
      <c r="C15" s="18"/>
      <c r="D15" s="73"/>
      <c r="E15" s="44"/>
      <c r="F15" s="74"/>
      <c r="G15" s="18"/>
      <c r="H15" s="73"/>
      <c r="I15" s="44"/>
      <c r="J15" s="74"/>
      <c r="K15" s="18"/>
      <c r="L15" s="73"/>
      <c r="M15" s="44"/>
      <c r="N15" s="74"/>
      <c r="O15" s="18"/>
      <c r="P15" s="73"/>
      <c r="Q15" s="44"/>
      <c r="R15" s="74"/>
      <c r="S15" s="18"/>
      <c r="T15" s="73"/>
      <c r="U15" s="44"/>
      <c r="V15" s="74"/>
      <c r="W15" s="18"/>
      <c r="X15" s="73"/>
      <c r="Y15" s="44"/>
      <c r="Z15" s="74"/>
    </row>
    <row r="16" spans="1:26" ht="49.9" customHeight="1" x14ac:dyDescent="0.2">
      <c r="B16" s="19" t="s">
        <v>12</v>
      </c>
      <c r="C16" s="18"/>
      <c r="D16" s="73"/>
      <c r="E16" s="44"/>
      <c r="F16" s="74"/>
      <c r="G16" s="18"/>
      <c r="H16" s="73"/>
      <c r="I16" s="44"/>
      <c r="J16" s="74"/>
      <c r="K16" s="18"/>
      <c r="L16" s="73"/>
      <c r="M16" s="44"/>
      <c r="N16" s="74"/>
      <c r="O16" s="18"/>
      <c r="P16" s="73"/>
      <c r="Q16" s="44"/>
      <c r="R16" s="74"/>
      <c r="S16" s="18"/>
      <c r="T16" s="73"/>
      <c r="U16" s="44"/>
      <c r="V16" s="74"/>
      <c r="W16" s="18"/>
      <c r="X16" s="73"/>
      <c r="Y16" s="44"/>
      <c r="Z16" s="74"/>
    </row>
    <row r="17" spans="2:26" ht="49.9" customHeight="1" x14ac:dyDescent="0.2">
      <c r="B17" s="19" t="s">
        <v>13</v>
      </c>
      <c r="C17" s="18"/>
      <c r="D17" s="73"/>
      <c r="E17" s="44"/>
      <c r="F17" s="74"/>
      <c r="G17" s="18"/>
      <c r="H17" s="73"/>
      <c r="I17" s="44"/>
      <c r="J17" s="74"/>
      <c r="K17" s="18"/>
      <c r="L17" s="73"/>
      <c r="M17" s="44"/>
      <c r="N17" s="74"/>
      <c r="O17" s="18"/>
      <c r="P17" s="73"/>
      <c r="Q17" s="44"/>
      <c r="R17" s="74"/>
      <c r="S17" s="18"/>
      <c r="T17" s="73"/>
      <c r="U17" s="44"/>
      <c r="V17" s="74"/>
      <c r="W17" s="18"/>
      <c r="X17" s="73"/>
      <c r="Y17" s="44"/>
      <c r="Z17" s="74"/>
    </row>
    <row r="18" spans="2:26" ht="49.9" customHeight="1" x14ac:dyDescent="0.2">
      <c r="B18" s="17" t="s">
        <v>14</v>
      </c>
      <c r="C18" s="18"/>
      <c r="D18" s="73"/>
      <c r="E18" s="44"/>
      <c r="F18" s="74"/>
      <c r="G18" s="18"/>
      <c r="H18" s="73"/>
      <c r="I18" s="44"/>
      <c r="J18" s="74"/>
      <c r="K18" s="18"/>
      <c r="L18" s="73"/>
      <c r="M18" s="44"/>
      <c r="N18" s="74"/>
      <c r="O18" s="18"/>
      <c r="P18" s="73"/>
      <c r="Q18" s="44"/>
      <c r="R18" s="74"/>
      <c r="S18" s="18"/>
      <c r="T18" s="73"/>
      <c r="U18" s="44"/>
      <c r="V18" s="74"/>
      <c r="W18" s="18"/>
      <c r="X18" s="73"/>
      <c r="Y18" s="44"/>
      <c r="Z18" s="74"/>
    </row>
    <row r="19" spans="2:26" ht="49.9" customHeight="1" x14ac:dyDescent="0.2">
      <c r="B19" s="17" t="s">
        <v>23</v>
      </c>
      <c r="C19" s="18"/>
      <c r="D19" s="73"/>
      <c r="E19" s="44"/>
      <c r="F19" s="74"/>
      <c r="G19" s="18"/>
      <c r="H19" s="73"/>
      <c r="I19" s="44"/>
      <c r="J19" s="74"/>
      <c r="K19" s="18"/>
      <c r="L19" s="73"/>
      <c r="M19" s="44"/>
      <c r="N19" s="74"/>
      <c r="O19" s="18"/>
      <c r="P19" s="73"/>
      <c r="Q19" s="44"/>
      <c r="R19" s="74"/>
      <c r="S19" s="18"/>
      <c r="T19" s="73"/>
      <c r="U19" s="44"/>
      <c r="V19" s="74"/>
      <c r="W19" s="18"/>
      <c r="X19" s="73"/>
      <c r="Y19" s="44"/>
      <c r="Z19" s="74"/>
    </row>
    <row r="20" spans="2:26" x14ac:dyDescent="0.25">
      <c r="G20" s="69"/>
      <c r="H20" s="69"/>
    </row>
    <row r="21" spans="2:26" x14ac:dyDescent="0.25">
      <c r="G21" s="70"/>
      <c r="H21" s="70"/>
    </row>
    <row r="22" spans="2:26" x14ac:dyDescent="0.25">
      <c r="G22" s="70"/>
      <c r="H22" s="70"/>
    </row>
    <row r="23" spans="2:26" x14ac:dyDescent="0.25">
      <c r="G23" s="70"/>
      <c r="H23" s="70"/>
    </row>
    <row r="24" spans="2:26" x14ac:dyDescent="0.25">
      <c r="G24" s="70"/>
      <c r="H24" s="70"/>
    </row>
    <row r="25" spans="2:26" x14ac:dyDescent="0.25">
      <c r="G25" s="70"/>
      <c r="H25" s="70"/>
    </row>
    <row r="26" spans="2:26" x14ac:dyDescent="0.25">
      <c r="G26" s="70"/>
      <c r="H26" s="70"/>
    </row>
    <row r="27" spans="2:26" x14ac:dyDescent="0.25">
      <c r="G27" s="70"/>
      <c r="H27" s="70"/>
    </row>
    <row r="28" spans="2:26" x14ac:dyDescent="0.25">
      <c r="G28" s="70"/>
      <c r="H28" s="70"/>
    </row>
    <row r="29" spans="2:26" x14ac:dyDescent="0.25">
      <c r="G29" s="70"/>
      <c r="H29" s="70"/>
    </row>
    <row r="30" spans="2:26" x14ac:dyDescent="0.25">
      <c r="G30" s="70"/>
      <c r="H30" s="70"/>
    </row>
    <row r="31" spans="2:26" x14ac:dyDescent="0.25">
      <c r="G31" s="70"/>
      <c r="H31" s="70"/>
    </row>
    <row r="32" spans="2:26" x14ac:dyDescent="0.25">
      <c r="G32" s="70"/>
      <c r="H32" s="70"/>
    </row>
    <row r="33" spans="7:8" x14ac:dyDescent="0.25">
      <c r="G33" s="70"/>
      <c r="H33" s="70"/>
    </row>
    <row r="34" spans="7:8" x14ac:dyDescent="0.25">
      <c r="G34" s="70"/>
      <c r="H34" s="70"/>
    </row>
    <row r="35" spans="7:8" x14ac:dyDescent="0.25">
      <c r="G35" s="70"/>
      <c r="H35" s="70"/>
    </row>
    <row r="36" spans="7:8" x14ac:dyDescent="0.25">
      <c r="G36" s="70"/>
      <c r="H36" s="70"/>
    </row>
    <row r="37" spans="7:8" x14ac:dyDescent="0.25">
      <c r="G37" s="70"/>
      <c r="H37" s="70"/>
    </row>
    <row r="38" spans="7:8" x14ac:dyDescent="0.25">
      <c r="G38" s="70"/>
      <c r="H38" s="70"/>
    </row>
    <row r="39" spans="7:8" x14ac:dyDescent="0.25">
      <c r="G39" s="70"/>
      <c r="H39" s="70"/>
    </row>
    <row r="40" spans="7:8" x14ac:dyDescent="0.25">
      <c r="G40" s="70"/>
      <c r="H40" s="70"/>
    </row>
    <row r="41" spans="7:8" x14ac:dyDescent="0.25">
      <c r="G41" s="70"/>
      <c r="H41" s="70"/>
    </row>
    <row r="42" spans="7:8" x14ac:dyDescent="0.25">
      <c r="G42" s="70"/>
      <c r="H42" s="70"/>
    </row>
    <row r="43" spans="7:8" x14ac:dyDescent="0.25">
      <c r="G43" s="70"/>
      <c r="H43" s="70"/>
    </row>
    <row r="44" spans="7:8" x14ac:dyDescent="0.25">
      <c r="G44" s="70"/>
      <c r="H44" s="70"/>
    </row>
    <row r="45" spans="7:8" x14ac:dyDescent="0.25">
      <c r="G45" s="70"/>
      <c r="H45" s="70"/>
    </row>
    <row r="46" spans="7:8" x14ac:dyDescent="0.25">
      <c r="G46" s="70"/>
      <c r="H46" s="70"/>
    </row>
    <row r="47" spans="7:8" x14ac:dyDescent="0.25">
      <c r="G47" s="70"/>
      <c r="H47" s="70"/>
    </row>
    <row r="48" spans="7:8" x14ac:dyDescent="0.25">
      <c r="G48" s="70"/>
      <c r="H48" s="70"/>
    </row>
    <row r="49" spans="7:8" x14ac:dyDescent="0.25">
      <c r="G49" s="70"/>
      <c r="H49" s="70"/>
    </row>
    <row r="50" spans="7:8" x14ac:dyDescent="0.25">
      <c r="G50" s="70"/>
      <c r="H50" s="70"/>
    </row>
    <row r="51" spans="7:8" x14ac:dyDescent="0.25">
      <c r="G51" s="70"/>
      <c r="H51" s="70"/>
    </row>
    <row r="52" spans="7:8" x14ac:dyDescent="0.25">
      <c r="G52" s="70"/>
      <c r="H52" s="70"/>
    </row>
    <row r="53" spans="7:8" x14ac:dyDescent="0.25">
      <c r="G53" s="70"/>
      <c r="H53" s="70"/>
    </row>
    <row r="54" spans="7:8" x14ac:dyDescent="0.25">
      <c r="G54" s="70"/>
      <c r="H54" s="70"/>
    </row>
    <row r="55" spans="7:8" x14ac:dyDescent="0.25">
      <c r="G55" s="70"/>
      <c r="H55" s="70"/>
    </row>
    <row r="56" spans="7:8" x14ac:dyDescent="0.25">
      <c r="G56" s="70"/>
      <c r="H56" s="70"/>
    </row>
    <row r="57" spans="7:8" x14ac:dyDescent="0.25">
      <c r="G57" s="70"/>
      <c r="H57" s="70"/>
    </row>
    <row r="58" spans="7:8" x14ac:dyDescent="0.25">
      <c r="G58" s="70"/>
      <c r="H58" s="70"/>
    </row>
    <row r="59" spans="7:8" x14ac:dyDescent="0.25">
      <c r="G59" s="70"/>
      <c r="H59" s="70"/>
    </row>
    <row r="60" spans="7:8" x14ac:dyDescent="0.25">
      <c r="G60" s="70"/>
      <c r="H60" s="70"/>
    </row>
    <row r="61" spans="7:8" x14ac:dyDescent="0.25">
      <c r="G61" s="70"/>
      <c r="H61" s="70"/>
    </row>
    <row r="62" spans="7:8" x14ac:dyDescent="0.25">
      <c r="G62" s="70"/>
      <c r="H62" s="70"/>
    </row>
    <row r="63" spans="7:8" x14ac:dyDescent="0.25">
      <c r="G63" s="70"/>
      <c r="H63" s="70"/>
    </row>
    <row r="64" spans="7:8" x14ac:dyDescent="0.25">
      <c r="G64" s="70"/>
      <c r="H64" s="70"/>
    </row>
    <row r="65" spans="7:8" x14ac:dyDescent="0.25">
      <c r="G65" s="70"/>
      <c r="H65" s="70"/>
    </row>
    <row r="66" spans="7:8" x14ac:dyDescent="0.25">
      <c r="G66" s="70"/>
      <c r="H66" s="70"/>
    </row>
    <row r="67" spans="7:8" x14ac:dyDescent="0.25">
      <c r="G67" s="70"/>
      <c r="H67" s="70"/>
    </row>
    <row r="68" spans="7:8" x14ac:dyDescent="0.25">
      <c r="G68" s="70"/>
      <c r="H68" s="70"/>
    </row>
    <row r="69" spans="7:8" x14ac:dyDescent="0.25">
      <c r="G69" s="70"/>
      <c r="H69" s="70"/>
    </row>
    <row r="70" spans="7:8" x14ac:dyDescent="0.25">
      <c r="G70" s="70"/>
      <c r="H70" s="70"/>
    </row>
    <row r="71" spans="7:8" x14ac:dyDescent="0.25">
      <c r="G71" s="70"/>
      <c r="H71" s="70"/>
    </row>
    <row r="72" spans="7:8" x14ac:dyDescent="0.25">
      <c r="G72" s="70"/>
      <c r="H72" s="70"/>
    </row>
    <row r="73" spans="7:8" x14ac:dyDescent="0.25">
      <c r="G73" s="70"/>
      <c r="H73" s="70"/>
    </row>
    <row r="74" spans="7:8" x14ac:dyDescent="0.25">
      <c r="G74" s="70"/>
      <c r="H74" s="70"/>
    </row>
  </sheetData>
  <pageMargins left="0.25" right="0.25" top="0.5" bottom="1" header="0.3" footer="0.53"/>
  <pageSetup scale="53" orientation="landscape" r:id="rId1"/>
  <headerFooter>
    <oddFooter>&amp;R&amp;Z&amp;F
&amp;P of &amp;N
smm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Height</vt:lpstr>
      <vt:lpstr>Width</vt:lpstr>
      <vt:lpstr>Summary-Plant Heights</vt:lpstr>
      <vt:lpstr>Summary-Bed Heights</vt:lpstr>
      <vt:lpstr>Summary-Cover</vt:lpstr>
      <vt:lpstr>Blank</vt:lpstr>
      <vt:lpstr>Blank!Print_Area</vt:lpstr>
      <vt:lpstr>Blank!Print_Titles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Suzette Maneely</dc:creator>
  <cp:lastModifiedBy>Reviewer</cp:lastModifiedBy>
  <cp:lastPrinted>2014-06-16T17:44:09Z</cp:lastPrinted>
  <dcterms:created xsi:type="dcterms:W3CDTF">2014-05-07T16:16:20Z</dcterms:created>
  <dcterms:modified xsi:type="dcterms:W3CDTF">2024-09-24T13:24:35Z</dcterms:modified>
</cp:coreProperties>
</file>