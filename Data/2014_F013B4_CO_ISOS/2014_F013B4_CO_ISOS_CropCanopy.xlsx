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E:\mnt\Data1\USDA-ALARC\GIS\PDI project\cottondata\Data\2014_F013B4_CO_ISOS\"/>
    </mc:Choice>
  </mc:AlternateContent>
  <xr:revisionPtr revIDLastSave="0" documentId="13_ncr:1_{873DA62E-B54B-4835-9482-BA1E5A09C6B0}" xr6:coauthVersionLast="47" xr6:coauthVersionMax="47" xr10:uidLastSave="{00000000-0000-0000-0000-000000000000}"/>
  <bookViews>
    <workbookView xWindow="-1815" yWindow="-24900" windowWidth="16335" windowHeight="23370" firstSheet="3" activeTab="3" xr2:uid="{00000000-000D-0000-FFFF-FFFF00000000}"/>
  </bookViews>
  <sheets>
    <sheet name="Height" sheetId="9" r:id="rId1"/>
    <sheet name="Width" sheetId="10" r:id="rId2"/>
    <sheet name="LAImeter" sheetId="15" r:id="rId3"/>
    <sheet name="Develop" sheetId="16" r:id="rId4"/>
    <sheet name="PlotDevelop" sheetId="28" r:id="rId5"/>
    <sheet name="Summary-Plant Heights" sheetId="6" r:id="rId6"/>
    <sheet name="Summary-Bed Heights" sheetId="7" r:id="rId7"/>
    <sheet name="Summary-Cover" sheetId="8" r:id="rId8"/>
    <sheet name="Blank" sheetId="4" r:id="rId9"/>
    <sheet name="Emergence" sheetId="11" r:id="rId10"/>
    <sheet name="1stLeaf" sheetId="12" r:id="rId11"/>
    <sheet name="Method" sheetId="13" r:id="rId12"/>
    <sheet name="Density counts" sheetId="14" r:id="rId13"/>
    <sheet name="Flowering" sheetId="22" r:id="rId14"/>
    <sheet name="Flowering2014d177" sheetId="23" r:id="rId15"/>
    <sheet name="Flowering2014d181" sheetId="24" r:id="rId16"/>
    <sheet name="Flowering2014d183" sheetId="25" r:id="rId17"/>
    <sheet name="Flowering2014d188" sheetId="26" r:id="rId18"/>
    <sheet name="Flowering2014d192" sheetId="27" r:id="rId19"/>
    <sheet name="NAWF2014d195" sheetId="17" r:id="rId20"/>
    <sheet name="NAWF2014d202" sheetId="18" r:id="rId21"/>
    <sheet name="NAWF2014d209" sheetId="19" r:id="rId22"/>
    <sheet name="NAWF2014d216" sheetId="20" r:id="rId23"/>
    <sheet name="NAWF2014d224" sheetId="21" r:id="rId24"/>
  </sheets>
  <definedNames>
    <definedName name="_xlnm.Print_Area" localSheetId="10">'1stLeaf'!$A$1:$G$36</definedName>
    <definedName name="_xlnm.Print_Area" localSheetId="8">Blank!$A$1:$AB$19</definedName>
    <definedName name="_xlnm.Print_Area" localSheetId="12">'Density counts'!$A$1:$K$198</definedName>
    <definedName name="_xlnm.Print_Area" localSheetId="9">Emergence!$A$1:$K$45</definedName>
    <definedName name="_xlnm.Print_Area" localSheetId="14">Flowering2014d177!$A$1:$O$17</definedName>
    <definedName name="_xlnm.Print_Area" localSheetId="15">Flowering2014d181!$A$1:$O$17</definedName>
    <definedName name="_xlnm.Print_Area" localSheetId="16">Flowering2014d183!$A$1:$O$17</definedName>
    <definedName name="_xlnm.Print_Area" localSheetId="17">Flowering2014d188!$A$1:$O$21</definedName>
    <definedName name="_xlnm.Print_Area" localSheetId="18">Flowering2014d192!$A$1:$O$21</definedName>
    <definedName name="_xlnm.Print_Area" localSheetId="19">NAWF2014d195!$A$1:$N$21</definedName>
    <definedName name="_xlnm.Print_Area" localSheetId="20">NAWF2014d202!$A$1:$N$21</definedName>
    <definedName name="_xlnm.Print_Area" localSheetId="21">NAWF2014d209!$A$1:$N$21</definedName>
    <definedName name="_xlnm.Print_Area" localSheetId="22">NAWF2014d216!$A$1:$N$21</definedName>
    <definedName name="_xlnm.Print_Area" localSheetId="23">NAWF2014d224!$A$1:$N$21</definedName>
    <definedName name="_xlnm.Print_Titles" localSheetId="8">Blank!$7:$8</definedName>
    <definedName name="_xlnm.Print_Titles" localSheetId="12">'Density counts'!$6:$7</definedName>
    <definedName name="_xlnm.Print_Titles" localSheetId="14">Flowering2014d177!$9:$9</definedName>
    <definedName name="_xlnm.Print_Titles" localSheetId="15">Flowering2014d181!$9:$9</definedName>
    <definedName name="_xlnm.Print_Titles" localSheetId="16">Flowering2014d183!$9:$9</definedName>
    <definedName name="_xlnm.Print_Titles" localSheetId="17">Flowering2014d188!$9:$9</definedName>
    <definedName name="_xlnm.Print_Titles" localSheetId="18">Flowering2014d192!$9:$9</definedName>
    <definedName name="_xlnm.Print_Titles" localSheetId="19">NAWF2014d195!$9:$9</definedName>
    <definedName name="_xlnm.Print_Titles" localSheetId="20">NAWF2014d202!$9:$9</definedName>
    <definedName name="_xlnm.Print_Titles" localSheetId="21">NAWF2014d209!$9:$9</definedName>
    <definedName name="_xlnm.Print_Titles" localSheetId="22">NAWF2014d216!$9:$9</definedName>
    <definedName name="_xlnm.Print_Titles" localSheetId="23">NAWF2014d224!$9:$9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0" i="27" l="1"/>
  <c r="Q21" i="27"/>
  <c r="D23" i="27"/>
  <c r="E23" i="27"/>
  <c r="F23" i="27"/>
  <c r="G23" i="27"/>
  <c r="H23" i="27"/>
  <c r="I23" i="27"/>
  <c r="J23" i="27"/>
  <c r="K23" i="27"/>
  <c r="L23" i="27"/>
  <c r="M23" i="27"/>
  <c r="N23" i="27"/>
  <c r="O23" i="27"/>
  <c r="D26" i="27"/>
  <c r="Q11" i="26"/>
  <c r="Q12" i="26"/>
  <c r="Q13" i="26"/>
  <c r="Q14" i="26"/>
  <c r="Q15" i="26"/>
  <c r="Q16" i="26"/>
  <c r="Q17" i="26"/>
  <c r="Q18" i="26"/>
  <c r="Q19" i="26"/>
  <c r="Q20" i="26"/>
  <c r="Q21" i="26"/>
  <c r="D23" i="26"/>
  <c r="E28" i="26" s="1"/>
  <c r="E23" i="26"/>
  <c r="F23" i="26"/>
  <c r="G23" i="26"/>
  <c r="H23" i="26"/>
  <c r="I23" i="26"/>
  <c r="J23" i="26"/>
  <c r="K23" i="26"/>
  <c r="L23" i="26"/>
  <c r="M23" i="26"/>
  <c r="N23" i="26"/>
  <c r="O23" i="26"/>
  <c r="Q23" i="26"/>
  <c r="Q24" i="26"/>
  <c r="E25" i="26"/>
  <c r="G25" i="26"/>
  <c r="I25" i="26"/>
  <c r="K25" i="26"/>
  <c r="M25" i="26"/>
  <c r="O25" i="26"/>
  <c r="Q25" i="26"/>
  <c r="Q11" i="25"/>
  <c r="Q12" i="25"/>
  <c r="Q13" i="25"/>
  <c r="Q14" i="25"/>
  <c r="Q15" i="25"/>
  <c r="Q16" i="25"/>
  <c r="Q17" i="25"/>
  <c r="D19" i="25"/>
  <c r="E19" i="25"/>
  <c r="F19" i="25"/>
  <c r="G19" i="25"/>
  <c r="H19" i="25"/>
  <c r="I19" i="25"/>
  <c r="J19" i="25"/>
  <c r="K19" i="25"/>
  <c r="K21" i="25" s="1"/>
  <c r="L19" i="25"/>
  <c r="M19" i="25"/>
  <c r="M21" i="25" s="1"/>
  <c r="N19" i="25"/>
  <c r="O21" i="25" s="1"/>
  <c r="O19" i="25"/>
  <c r="Q19" i="25"/>
  <c r="Q20" i="25"/>
  <c r="E21" i="25"/>
  <c r="G21" i="25"/>
  <c r="I21" i="25"/>
  <c r="Q21" i="25"/>
  <c r="E24" i="25"/>
  <c r="Q11" i="24"/>
  <c r="Q12" i="24"/>
  <c r="Q13" i="24"/>
  <c r="Q14" i="24"/>
  <c r="Q15" i="24"/>
  <c r="Q16" i="24"/>
  <c r="Q17" i="24"/>
  <c r="D19" i="24"/>
  <c r="E19" i="24"/>
  <c r="F19" i="24"/>
  <c r="G19" i="24"/>
  <c r="H19" i="24"/>
  <c r="I19" i="24"/>
  <c r="J19" i="24"/>
  <c r="K19" i="24"/>
  <c r="L19" i="24"/>
  <c r="M19" i="24"/>
  <c r="N19" i="24"/>
  <c r="O19" i="24"/>
  <c r="Q19" i="24"/>
  <c r="Q20" i="24"/>
  <c r="Q21" i="24"/>
  <c r="E22" i="24"/>
  <c r="Q11" i="23"/>
  <c r="Q12" i="23"/>
  <c r="Q13" i="23"/>
  <c r="Q14" i="23"/>
  <c r="Q15" i="23"/>
  <c r="Q16" i="23"/>
  <c r="Q17" i="23"/>
  <c r="D2" i="22"/>
  <c r="H2" i="22"/>
  <c r="P2" i="22"/>
  <c r="V2" i="22"/>
  <c r="D3" i="22"/>
  <c r="H3" i="22"/>
  <c r="P3" i="22"/>
  <c r="V3" i="22"/>
  <c r="D4" i="22"/>
  <c r="H4" i="22"/>
  <c r="L4" i="22"/>
  <c r="P4" i="22"/>
  <c r="V4" i="22"/>
  <c r="D5" i="22"/>
  <c r="H5" i="22"/>
  <c r="L5" i="22"/>
  <c r="P5" i="22"/>
  <c r="V5" i="22"/>
  <c r="D6" i="22"/>
  <c r="H6" i="22"/>
  <c r="L6" i="22"/>
  <c r="P6" i="22"/>
  <c r="V6" i="22"/>
  <c r="H7" i="22"/>
  <c r="L7" i="22"/>
  <c r="P7" i="22"/>
  <c r="V7" i="22"/>
  <c r="D8" i="22"/>
  <c r="H8" i="22"/>
  <c r="P8" i="22"/>
  <c r="V8" i="22"/>
  <c r="D9" i="22"/>
  <c r="H9" i="22"/>
  <c r="P9" i="22"/>
  <c r="V9" i="22"/>
  <c r="D10" i="22"/>
  <c r="H10" i="22"/>
  <c r="L10" i="22"/>
  <c r="P10" i="22"/>
  <c r="V10" i="22"/>
  <c r="D11" i="22"/>
  <c r="H11" i="22"/>
  <c r="L11" i="22"/>
  <c r="P11" i="22"/>
  <c r="V11" i="22"/>
  <c r="D12" i="22"/>
  <c r="H12" i="22"/>
  <c r="L12" i="22"/>
  <c r="P12" i="22"/>
  <c r="H13" i="22"/>
  <c r="L13" i="22"/>
  <c r="P13" i="22"/>
  <c r="V13" i="22"/>
  <c r="D14" i="22"/>
  <c r="H14" i="22"/>
  <c r="P14" i="22"/>
  <c r="V14" i="22"/>
  <c r="D15" i="22"/>
  <c r="H15" i="22"/>
  <c r="P15" i="22"/>
  <c r="V15" i="22"/>
  <c r="D16" i="22"/>
  <c r="H16" i="22"/>
  <c r="L16" i="22"/>
  <c r="V16" i="22" s="1"/>
  <c r="P16" i="22"/>
  <c r="D17" i="22"/>
  <c r="H17" i="22"/>
  <c r="L17" i="22"/>
  <c r="P17" i="22"/>
  <c r="D18" i="22"/>
  <c r="H18" i="22"/>
  <c r="L18" i="22"/>
  <c r="P18" i="22"/>
  <c r="V18" i="22"/>
  <c r="H19" i="22"/>
  <c r="L19" i="22"/>
  <c r="P19" i="22"/>
  <c r="V19" i="22"/>
  <c r="D20" i="22"/>
  <c r="H20" i="22"/>
  <c r="P20" i="22"/>
  <c r="V20" i="22"/>
  <c r="D21" i="22"/>
  <c r="H21" i="22"/>
  <c r="P21" i="22"/>
  <c r="V21" i="22"/>
  <c r="D22" i="22"/>
  <c r="H22" i="22"/>
  <c r="L22" i="22"/>
  <c r="P22" i="22"/>
  <c r="V22" i="22"/>
  <c r="D23" i="22"/>
  <c r="H23" i="22"/>
  <c r="L23" i="22"/>
  <c r="V23" i="22" s="1"/>
  <c r="P23" i="22"/>
  <c r="D24" i="22"/>
  <c r="H24" i="22"/>
  <c r="L24" i="22"/>
  <c r="P24" i="22"/>
  <c r="V24" i="22"/>
  <c r="H25" i="22"/>
  <c r="L25" i="22"/>
  <c r="P25" i="22"/>
  <c r="V25" i="22"/>
  <c r="D26" i="22"/>
  <c r="H26" i="22"/>
  <c r="P26" i="22"/>
  <c r="V26" i="22"/>
  <c r="D27" i="22"/>
  <c r="H27" i="22"/>
  <c r="P27" i="22"/>
  <c r="V27" i="22"/>
  <c r="D28" i="22"/>
  <c r="H28" i="22"/>
  <c r="L28" i="22"/>
  <c r="P28" i="22"/>
  <c r="V28" i="22"/>
  <c r="D29" i="22"/>
  <c r="H29" i="22"/>
  <c r="L29" i="22"/>
  <c r="P29" i="22"/>
  <c r="V29" i="22"/>
  <c r="D30" i="22"/>
  <c r="H30" i="22"/>
  <c r="L30" i="22"/>
  <c r="V30" i="22" s="1"/>
  <c r="P30" i="22"/>
  <c r="H31" i="22"/>
  <c r="L31" i="22"/>
  <c r="P31" i="22"/>
  <c r="V31" i="22"/>
  <c r="D32" i="22"/>
  <c r="H32" i="22"/>
  <c r="P32" i="22"/>
  <c r="T32" i="22"/>
  <c r="V32" i="22"/>
  <c r="D33" i="22"/>
  <c r="H33" i="22"/>
  <c r="L33" i="22"/>
  <c r="P33" i="22"/>
  <c r="T33" i="22"/>
  <c r="V33" i="22"/>
  <c r="D34" i="22"/>
  <c r="H34" i="22"/>
  <c r="L34" i="22"/>
  <c r="P34" i="22"/>
  <c r="T34" i="22"/>
  <c r="V34" i="22"/>
  <c r="D35" i="22"/>
  <c r="H35" i="22"/>
  <c r="L35" i="22"/>
  <c r="P35" i="22"/>
  <c r="T35" i="22"/>
  <c r="V35" i="22"/>
  <c r="D36" i="22"/>
  <c r="H36" i="22"/>
  <c r="L36" i="22"/>
  <c r="P36" i="22"/>
  <c r="V36" i="22" s="1"/>
  <c r="T36" i="22"/>
  <c r="H37" i="22"/>
  <c r="L37" i="22"/>
  <c r="P37" i="22"/>
  <c r="T37" i="22"/>
  <c r="V37" i="22"/>
  <c r="D38" i="22"/>
  <c r="H38" i="22"/>
  <c r="P38" i="22"/>
  <c r="T38" i="22"/>
  <c r="V38" i="22"/>
  <c r="D39" i="22"/>
  <c r="H39" i="22"/>
  <c r="L39" i="22"/>
  <c r="P39" i="22"/>
  <c r="T39" i="22"/>
  <c r="V39" i="22"/>
  <c r="D40" i="22"/>
  <c r="H40" i="22"/>
  <c r="L40" i="22"/>
  <c r="P40" i="22"/>
  <c r="T40" i="22"/>
  <c r="V40" i="22"/>
  <c r="D41" i="22"/>
  <c r="H41" i="22"/>
  <c r="L41" i="22"/>
  <c r="P41" i="22"/>
  <c r="T41" i="22"/>
  <c r="V41" i="22"/>
  <c r="D42" i="22"/>
  <c r="H42" i="22"/>
  <c r="L42" i="22"/>
  <c r="P42" i="22"/>
  <c r="T42" i="22"/>
  <c r="V42" i="22"/>
  <c r="H43" i="22"/>
  <c r="L43" i="22"/>
  <c r="P43" i="22"/>
  <c r="T43" i="22"/>
  <c r="V43" i="22"/>
  <c r="P11" i="21"/>
  <c r="Q11" i="21"/>
  <c r="R11" i="21"/>
  <c r="S11" i="21"/>
  <c r="T11" i="21"/>
  <c r="U11" i="21"/>
  <c r="P12" i="21"/>
  <c r="Q12" i="21"/>
  <c r="R12" i="21"/>
  <c r="S12" i="21"/>
  <c r="T12" i="21"/>
  <c r="U12" i="21"/>
  <c r="P13" i="21"/>
  <c r="Q13" i="21"/>
  <c r="R13" i="21"/>
  <c r="S13" i="21"/>
  <c r="T13" i="21"/>
  <c r="U13" i="21"/>
  <c r="P14" i="21"/>
  <c r="Q14" i="21"/>
  <c r="R14" i="21"/>
  <c r="S14" i="21"/>
  <c r="T14" i="21"/>
  <c r="U14" i="21"/>
  <c r="P15" i="21"/>
  <c r="Q15" i="21"/>
  <c r="R15" i="21"/>
  <c r="S15" i="21"/>
  <c r="T15" i="21"/>
  <c r="U15" i="21"/>
  <c r="P16" i="21"/>
  <c r="Q16" i="21"/>
  <c r="R16" i="21"/>
  <c r="S16" i="21"/>
  <c r="T16" i="21"/>
  <c r="U16" i="21"/>
  <c r="P17" i="21"/>
  <c r="Q17" i="21"/>
  <c r="R17" i="21"/>
  <c r="S17" i="21"/>
  <c r="T17" i="21"/>
  <c r="U17" i="21"/>
  <c r="P18" i="21"/>
  <c r="Q18" i="21"/>
  <c r="R18" i="21"/>
  <c r="S18" i="21"/>
  <c r="T18" i="21"/>
  <c r="U18" i="21"/>
  <c r="P19" i="21"/>
  <c r="Q19" i="21"/>
  <c r="R19" i="21"/>
  <c r="S19" i="21"/>
  <c r="T19" i="21"/>
  <c r="U19" i="21"/>
  <c r="P20" i="21"/>
  <c r="Q20" i="21"/>
  <c r="R20" i="21"/>
  <c r="S20" i="21"/>
  <c r="T20" i="21"/>
  <c r="U20" i="21"/>
  <c r="P21" i="21"/>
  <c r="Q21" i="21"/>
  <c r="R21" i="21"/>
  <c r="S21" i="21"/>
  <c r="T21" i="21"/>
  <c r="U21" i="21"/>
  <c r="P11" i="20"/>
  <c r="Q11" i="20"/>
  <c r="R11" i="20"/>
  <c r="S11" i="20"/>
  <c r="T11" i="20"/>
  <c r="U11" i="20"/>
  <c r="P12" i="20"/>
  <c r="Q12" i="20"/>
  <c r="R12" i="20"/>
  <c r="S12" i="20"/>
  <c r="T12" i="20"/>
  <c r="U12" i="20"/>
  <c r="P13" i="20"/>
  <c r="Q13" i="20"/>
  <c r="R13" i="20"/>
  <c r="S13" i="20"/>
  <c r="T13" i="20"/>
  <c r="U13" i="20"/>
  <c r="P14" i="20"/>
  <c r="Q14" i="20"/>
  <c r="R14" i="20"/>
  <c r="S14" i="20"/>
  <c r="T14" i="20"/>
  <c r="U14" i="20"/>
  <c r="P15" i="20"/>
  <c r="Q15" i="20"/>
  <c r="R15" i="20"/>
  <c r="S15" i="20"/>
  <c r="T15" i="20"/>
  <c r="U15" i="20"/>
  <c r="P16" i="20"/>
  <c r="Q16" i="20"/>
  <c r="R16" i="20"/>
  <c r="S16" i="20"/>
  <c r="T16" i="20"/>
  <c r="U16" i="20"/>
  <c r="P17" i="20"/>
  <c r="Q17" i="20"/>
  <c r="R17" i="20"/>
  <c r="S17" i="20"/>
  <c r="T17" i="20"/>
  <c r="U17" i="20"/>
  <c r="P18" i="20"/>
  <c r="Q18" i="20"/>
  <c r="R18" i="20"/>
  <c r="S18" i="20"/>
  <c r="T18" i="20"/>
  <c r="U18" i="20"/>
  <c r="P19" i="20"/>
  <c r="Q19" i="20"/>
  <c r="R19" i="20"/>
  <c r="S19" i="20"/>
  <c r="T19" i="20"/>
  <c r="U19" i="20"/>
  <c r="P20" i="20"/>
  <c r="Q20" i="20"/>
  <c r="R20" i="20"/>
  <c r="S20" i="20"/>
  <c r="T20" i="20"/>
  <c r="U20" i="20"/>
  <c r="P21" i="20"/>
  <c r="Q21" i="20"/>
  <c r="R21" i="20"/>
  <c r="S21" i="20"/>
  <c r="T21" i="20"/>
  <c r="U21" i="20"/>
  <c r="P11" i="19"/>
  <c r="Q11" i="19"/>
  <c r="R11" i="19"/>
  <c r="S11" i="19"/>
  <c r="T11" i="19"/>
  <c r="U11" i="19"/>
  <c r="P12" i="19"/>
  <c r="Q12" i="19"/>
  <c r="R12" i="19"/>
  <c r="S12" i="19"/>
  <c r="T12" i="19"/>
  <c r="U12" i="19"/>
  <c r="P13" i="19"/>
  <c r="Q13" i="19"/>
  <c r="R13" i="19"/>
  <c r="S13" i="19"/>
  <c r="T13" i="19"/>
  <c r="U13" i="19"/>
  <c r="P14" i="19"/>
  <c r="Q14" i="19"/>
  <c r="R14" i="19"/>
  <c r="S14" i="19"/>
  <c r="T14" i="19"/>
  <c r="U14" i="19"/>
  <c r="P15" i="19"/>
  <c r="Q15" i="19"/>
  <c r="R15" i="19"/>
  <c r="S15" i="19"/>
  <c r="T15" i="19"/>
  <c r="U15" i="19"/>
  <c r="P16" i="19"/>
  <c r="Q16" i="19"/>
  <c r="R16" i="19"/>
  <c r="S16" i="19"/>
  <c r="T16" i="19"/>
  <c r="U16" i="19"/>
  <c r="P17" i="19"/>
  <c r="Q17" i="19"/>
  <c r="R17" i="19"/>
  <c r="S17" i="19"/>
  <c r="T17" i="19"/>
  <c r="U17" i="19"/>
  <c r="P18" i="19"/>
  <c r="Q18" i="19"/>
  <c r="R18" i="19"/>
  <c r="S18" i="19"/>
  <c r="T18" i="19"/>
  <c r="U18" i="19"/>
  <c r="P19" i="19"/>
  <c r="Q19" i="19"/>
  <c r="R19" i="19"/>
  <c r="S19" i="19"/>
  <c r="T19" i="19"/>
  <c r="U19" i="19"/>
  <c r="P20" i="19"/>
  <c r="Q20" i="19"/>
  <c r="R20" i="19"/>
  <c r="S20" i="19"/>
  <c r="T20" i="19"/>
  <c r="U20" i="19"/>
  <c r="P21" i="19"/>
  <c r="Q21" i="19"/>
  <c r="R21" i="19"/>
  <c r="S21" i="19"/>
  <c r="T21" i="19"/>
  <c r="U21" i="19"/>
  <c r="P11" i="18"/>
  <c r="Q11" i="18"/>
  <c r="R11" i="18"/>
  <c r="S11" i="18"/>
  <c r="T11" i="18"/>
  <c r="U11" i="18"/>
  <c r="P12" i="18"/>
  <c r="Q12" i="18"/>
  <c r="R12" i="18"/>
  <c r="S12" i="18"/>
  <c r="T12" i="18"/>
  <c r="U12" i="18"/>
  <c r="P13" i="18"/>
  <c r="Q13" i="18"/>
  <c r="R13" i="18"/>
  <c r="S13" i="18"/>
  <c r="T13" i="18"/>
  <c r="U13" i="18"/>
  <c r="P14" i="18"/>
  <c r="Q14" i="18"/>
  <c r="R14" i="18"/>
  <c r="S14" i="18"/>
  <c r="T14" i="18"/>
  <c r="U14" i="18"/>
  <c r="P15" i="18"/>
  <c r="Q15" i="18"/>
  <c r="R15" i="18"/>
  <c r="S15" i="18"/>
  <c r="T15" i="18"/>
  <c r="U15" i="18"/>
  <c r="P16" i="18"/>
  <c r="Q16" i="18"/>
  <c r="R16" i="18"/>
  <c r="S16" i="18"/>
  <c r="T16" i="18"/>
  <c r="U16" i="18"/>
  <c r="P17" i="18"/>
  <c r="Q17" i="18"/>
  <c r="R17" i="18"/>
  <c r="S17" i="18"/>
  <c r="T17" i="18"/>
  <c r="U17" i="18"/>
  <c r="P18" i="18"/>
  <c r="Q18" i="18"/>
  <c r="R18" i="18"/>
  <c r="S18" i="18"/>
  <c r="T18" i="18"/>
  <c r="U18" i="18"/>
  <c r="P19" i="18"/>
  <c r="Q19" i="18"/>
  <c r="R19" i="18"/>
  <c r="S19" i="18"/>
  <c r="T19" i="18"/>
  <c r="U19" i="18"/>
  <c r="P20" i="18"/>
  <c r="Q20" i="18"/>
  <c r="R20" i="18"/>
  <c r="S20" i="18"/>
  <c r="T20" i="18"/>
  <c r="U20" i="18"/>
  <c r="P21" i="18"/>
  <c r="Q21" i="18"/>
  <c r="R21" i="18"/>
  <c r="S21" i="18"/>
  <c r="T21" i="18"/>
  <c r="U21" i="18"/>
  <c r="I11" i="17"/>
  <c r="I12" i="17"/>
  <c r="I13" i="17"/>
  <c r="I14" i="17"/>
  <c r="I15" i="17"/>
  <c r="I16" i="17"/>
  <c r="I17" i="17"/>
  <c r="I18" i="17"/>
  <c r="I19" i="17"/>
  <c r="I20" i="17"/>
  <c r="I21" i="17"/>
  <c r="M9" i="14" l="1"/>
  <c r="P9" i="14"/>
  <c r="P10" i="14"/>
  <c r="P11" i="14"/>
  <c r="P12" i="14"/>
  <c r="P13" i="14"/>
  <c r="P14" i="14"/>
  <c r="P15" i="14"/>
  <c r="P16" i="14"/>
  <c r="P17" i="14"/>
  <c r="P18" i="14"/>
  <c r="P19" i="14"/>
  <c r="P20" i="14"/>
  <c r="P21" i="14"/>
  <c r="P22" i="14"/>
  <c r="P23" i="14"/>
  <c r="P24" i="14"/>
  <c r="P25" i="14"/>
  <c r="P26" i="14"/>
  <c r="R26" i="14"/>
  <c r="P27" i="14"/>
  <c r="R55" i="14" s="1"/>
  <c r="M28" i="14"/>
  <c r="P28" i="14"/>
  <c r="P29" i="14"/>
  <c r="P30" i="14"/>
  <c r="P31" i="14"/>
  <c r="P32" i="14"/>
  <c r="P33" i="14"/>
  <c r="P34" i="14"/>
  <c r="P35" i="14"/>
  <c r="P36" i="14"/>
  <c r="P37" i="14"/>
  <c r="P38" i="14"/>
  <c r="P39" i="14"/>
  <c r="P40" i="14"/>
  <c r="P41" i="14"/>
  <c r="P42" i="14"/>
  <c r="P43" i="14"/>
  <c r="P44" i="14"/>
  <c r="P45" i="14"/>
  <c r="P46" i="14"/>
  <c r="P47" i="14"/>
  <c r="P48" i="14"/>
  <c r="P49" i="14"/>
  <c r="P50" i="14"/>
  <c r="P51" i="14"/>
  <c r="P52" i="14"/>
  <c r="P53" i="14"/>
  <c r="M57" i="14"/>
  <c r="P57" i="14"/>
  <c r="R83" i="14" s="1"/>
  <c r="P58" i="14"/>
  <c r="P59" i="14"/>
  <c r="P60" i="14"/>
  <c r="P61" i="14"/>
  <c r="P62" i="14"/>
  <c r="P63" i="14"/>
  <c r="P64" i="14"/>
  <c r="P65" i="14"/>
  <c r="P66" i="14"/>
  <c r="P67" i="14"/>
  <c r="P68" i="14"/>
  <c r="P69" i="14"/>
  <c r="P70" i="14"/>
  <c r="P71" i="14"/>
  <c r="P72" i="14"/>
  <c r="P73" i="14"/>
  <c r="P74" i="14"/>
  <c r="P75" i="14"/>
  <c r="P76" i="14"/>
  <c r="P77" i="14"/>
  <c r="P78" i="14"/>
  <c r="P79" i="14"/>
  <c r="P80" i="14"/>
  <c r="P81" i="14"/>
  <c r="P82" i="14"/>
  <c r="P83" i="14"/>
  <c r="P86" i="14"/>
  <c r="R112" i="14" s="1"/>
  <c r="M87" i="14"/>
  <c r="P87" i="14"/>
  <c r="P88" i="14"/>
  <c r="P89" i="14"/>
  <c r="P90" i="14"/>
  <c r="P91" i="14"/>
  <c r="P92" i="14"/>
  <c r="P93" i="14"/>
  <c r="P94" i="14"/>
  <c r="P95" i="14"/>
  <c r="P96" i="14"/>
  <c r="P97" i="14"/>
  <c r="P98" i="14"/>
  <c r="P99" i="14"/>
  <c r="P100" i="14"/>
  <c r="P101" i="14"/>
  <c r="P102" i="14"/>
  <c r="P103" i="14"/>
  <c r="P104" i="14"/>
  <c r="P105" i="14"/>
  <c r="P106" i="14"/>
  <c r="P107" i="14"/>
  <c r="P108" i="14"/>
  <c r="P109" i="14"/>
  <c r="P110" i="14"/>
  <c r="M114" i="14"/>
  <c r="P114" i="14"/>
  <c r="R140" i="14" s="1"/>
  <c r="P115" i="14"/>
  <c r="P116" i="14"/>
  <c r="P117" i="14"/>
  <c r="P118" i="14"/>
  <c r="P119" i="14"/>
  <c r="P120" i="14"/>
  <c r="P121" i="14"/>
  <c r="P122" i="14"/>
  <c r="P123" i="14"/>
  <c r="P124" i="14"/>
  <c r="P125" i="14"/>
  <c r="P126" i="14"/>
  <c r="P127" i="14"/>
  <c r="P128" i="14"/>
  <c r="P129" i="14"/>
  <c r="P130" i="14"/>
  <c r="P131" i="14"/>
  <c r="P132" i="14"/>
  <c r="P133" i="14"/>
  <c r="P134" i="14"/>
  <c r="P135" i="14"/>
  <c r="P136" i="14"/>
  <c r="P137" i="14"/>
  <c r="P138" i="14"/>
  <c r="P139" i="14"/>
  <c r="P140" i="14"/>
  <c r="P143" i="14"/>
  <c r="R170" i="14" s="1"/>
  <c r="M144" i="14"/>
  <c r="P144" i="14"/>
  <c r="P145" i="14"/>
  <c r="P146" i="14"/>
  <c r="P147" i="14"/>
  <c r="P148" i="14"/>
  <c r="P149" i="14"/>
  <c r="P150" i="14"/>
  <c r="P151" i="14"/>
  <c r="P152" i="14"/>
  <c r="P153" i="14"/>
  <c r="P154" i="14"/>
  <c r="P155" i="14"/>
  <c r="P156" i="14"/>
  <c r="P157" i="14"/>
  <c r="P158" i="14"/>
  <c r="P159" i="14"/>
  <c r="P160" i="14"/>
  <c r="P161" i="14"/>
  <c r="P162" i="14"/>
  <c r="P163" i="14"/>
  <c r="P164" i="14"/>
  <c r="P165" i="14"/>
  <c r="P166" i="14"/>
  <c r="P167" i="14"/>
  <c r="P168" i="14"/>
  <c r="P169" i="14"/>
  <c r="M172" i="14"/>
  <c r="P173" i="14"/>
  <c r="P174" i="14"/>
  <c r="P175" i="14"/>
  <c r="P176" i="14"/>
  <c r="P177" i="14"/>
  <c r="P178" i="14"/>
  <c r="P179" i="14"/>
  <c r="P180" i="14"/>
  <c r="P181" i="14"/>
  <c r="P182" i="14"/>
  <c r="P183" i="14"/>
  <c r="P184" i="14"/>
  <c r="P185" i="14"/>
  <c r="P186" i="14"/>
  <c r="P187" i="14"/>
  <c r="P188" i="14"/>
  <c r="P189" i="14"/>
  <c r="P190" i="14"/>
  <c r="P191" i="14"/>
  <c r="P192" i="14"/>
  <c r="P193" i="14"/>
  <c r="P194" i="14"/>
  <c r="P195" i="14"/>
  <c r="P196" i="14"/>
  <c r="R196" i="14"/>
  <c r="Q9" i="12" l="1"/>
  <c r="R9" i="12"/>
  <c r="Q10" i="12"/>
  <c r="R10" i="12"/>
  <c r="Q11" i="12"/>
  <c r="R11" i="12"/>
  <c r="Q12" i="12"/>
  <c r="R12" i="12"/>
  <c r="Q13" i="12"/>
  <c r="R13" i="12"/>
  <c r="Q14" i="12"/>
  <c r="R14" i="12"/>
  <c r="Q15" i="12"/>
  <c r="R15" i="12"/>
  <c r="Q16" i="12"/>
  <c r="R16" i="12"/>
  <c r="Q17" i="12"/>
  <c r="R17" i="12"/>
  <c r="Q18" i="12"/>
  <c r="R18" i="12"/>
  <c r="Q19" i="12"/>
  <c r="R19" i="12"/>
  <c r="Q20" i="12"/>
  <c r="R20" i="12"/>
  <c r="Q21" i="12"/>
  <c r="R21" i="12"/>
  <c r="Q22" i="12"/>
  <c r="R22" i="12"/>
  <c r="Q23" i="12"/>
  <c r="R23" i="12"/>
  <c r="Q24" i="12"/>
  <c r="R24" i="12"/>
  <c r="Q25" i="12"/>
  <c r="R25" i="12"/>
  <c r="Q26" i="12"/>
  <c r="R26" i="12"/>
  <c r="Q27" i="12"/>
  <c r="R27" i="12" s="1"/>
  <c r="Q28" i="12"/>
  <c r="R28" i="12"/>
  <c r="Q29" i="12"/>
  <c r="R29" i="12"/>
  <c r="Q30" i="12"/>
  <c r="R30" i="12"/>
  <c r="Q31" i="12"/>
  <c r="R31" i="12"/>
  <c r="Q32" i="12"/>
  <c r="R32" i="12"/>
  <c r="Q33" i="12"/>
  <c r="R33" i="12"/>
  <c r="Q34" i="12"/>
  <c r="R34" i="12"/>
  <c r="Q35" i="12"/>
  <c r="R35" i="12"/>
  <c r="Q36" i="12"/>
  <c r="R36" i="12"/>
  <c r="Q37" i="12"/>
  <c r="R37" i="12"/>
  <c r="Q38" i="12"/>
  <c r="R38" i="12"/>
  <c r="Q39" i="12"/>
  <c r="R39" i="12"/>
  <c r="Q40" i="12"/>
  <c r="R40" i="12"/>
  <c r="Q41" i="12"/>
  <c r="R41" i="12"/>
  <c r="J43" i="12"/>
  <c r="K45" i="12" s="1"/>
  <c r="K43" i="12"/>
  <c r="L43" i="12"/>
  <c r="M45" i="12" s="1"/>
  <c r="M48" i="12" s="1"/>
  <c r="M43" i="12"/>
  <c r="N43" i="12"/>
  <c r="O43" i="12"/>
  <c r="O45" i="12"/>
  <c r="R43" i="12" l="1"/>
  <c r="M9" i="11"/>
  <c r="M10" i="11"/>
  <c r="M11" i="11"/>
  <c r="F12" i="11"/>
  <c r="G12" i="11"/>
  <c r="H12" i="11"/>
  <c r="I12" i="11"/>
  <c r="J12" i="11"/>
  <c r="K12" i="11"/>
  <c r="L12" i="11"/>
  <c r="M13" i="11"/>
  <c r="N13" i="11"/>
  <c r="M14" i="11"/>
  <c r="M15" i="11"/>
  <c r="F16" i="11"/>
  <c r="G16" i="11"/>
  <c r="H16" i="11"/>
  <c r="I16" i="11"/>
  <c r="J16" i="11"/>
  <c r="L16" i="11"/>
  <c r="M17" i="11"/>
  <c r="M18" i="11"/>
  <c r="N18" i="11"/>
  <c r="M19" i="11"/>
  <c r="N19" i="11"/>
  <c r="F20" i="11"/>
  <c r="G20" i="11"/>
  <c r="H20" i="11"/>
  <c r="I20" i="11"/>
  <c r="J20" i="11"/>
  <c r="K20" i="11"/>
  <c r="L20" i="11"/>
  <c r="M21" i="11"/>
  <c r="N21" i="11"/>
  <c r="M22" i="11"/>
  <c r="M23" i="11"/>
  <c r="N23" i="11" s="1"/>
  <c r="F24" i="11"/>
  <c r="G24" i="11"/>
  <c r="H24" i="11"/>
  <c r="I24" i="11"/>
  <c r="J24" i="11"/>
  <c r="K24" i="11"/>
  <c r="L24" i="11"/>
  <c r="M25" i="11"/>
  <c r="N25" i="11"/>
  <c r="M26" i="11"/>
  <c r="N26" i="11"/>
  <c r="M27" i="11"/>
  <c r="N27" i="11"/>
  <c r="F28" i="11"/>
  <c r="G28" i="11"/>
  <c r="H28" i="11"/>
  <c r="I28" i="11"/>
  <c r="J28" i="11"/>
  <c r="K28" i="11"/>
  <c r="L28" i="11"/>
  <c r="M29" i="11"/>
  <c r="N29" i="11" s="1"/>
  <c r="M30" i="11"/>
  <c r="N30" i="11"/>
  <c r="M31" i="11"/>
  <c r="N31" i="11"/>
  <c r="F32" i="11"/>
  <c r="G32" i="11"/>
  <c r="H32" i="11"/>
  <c r="I32" i="11"/>
  <c r="J32" i="11"/>
  <c r="K32" i="11"/>
  <c r="L32" i="11"/>
  <c r="M33" i="11"/>
  <c r="N33" i="11" s="1"/>
  <c r="M34" i="11"/>
  <c r="N34" i="11"/>
  <c r="M35" i="11"/>
  <c r="N35" i="11"/>
  <c r="F36" i="11"/>
  <c r="G36" i="11"/>
  <c r="H36" i="11"/>
  <c r="I36" i="11"/>
  <c r="J36" i="11"/>
  <c r="K36" i="11"/>
  <c r="L36" i="11"/>
  <c r="M37" i="11"/>
  <c r="N37" i="11"/>
  <c r="M38" i="11"/>
  <c r="N38" i="11"/>
  <c r="M39" i="11"/>
  <c r="N39" i="11"/>
  <c r="F40" i="11"/>
  <c r="G40" i="11"/>
  <c r="H40" i="11"/>
  <c r="I40" i="11"/>
  <c r="J40" i="11"/>
  <c r="K40" i="11"/>
  <c r="L40" i="11"/>
  <c r="M41" i="11"/>
  <c r="N41" i="11"/>
  <c r="M42" i="11"/>
  <c r="N42" i="11"/>
  <c r="M43" i="11"/>
  <c r="N43" i="11"/>
  <c r="F44" i="11"/>
  <c r="G44" i="11"/>
  <c r="H44" i="11"/>
  <c r="I44" i="11"/>
  <c r="J44" i="11"/>
  <c r="K44" i="11"/>
  <c r="L44" i="11"/>
  <c r="M45" i="11"/>
  <c r="N45" i="11"/>
  <c r="M46" i="11"/>
  <c r="N46" i="11"/>
  <c r="M47" i="11"/>
  <c r="N47" i="11"/>
  <c r="F48" i="11"/>
  <c r="G48" i="11"/>
  <c r="H48" i="11"/>
  <c r="I48" i="11"/>
  <c r="J48" i="11"/>
  <c r="K48" i="11"/>
  <c r="L48" i="11"/>
  <c r="M49" i="11"/>
  <c r="M50" i="11"/>
  <c r="M51" i="11"/>
  <c r="J52" i="11"/>
  <c r="K52" i="11"/>
  <c r="L52" i="11"/>
  <c r="F60" i="11"/>
  <c r="G60" i="11"/>
  <c r="H60" i="11"/>
  <c r="I60" i="11"/>
  <c r="J60" i="11"/>
  <c r="K60" i="11"/>
  <c r="L60" i="11"/>
  <c r="I62" i="11" s="1"/>
  <c r="N54" i="11" l="1"/>
  <c r="K78" i="8" l="1"/>
  <c r="L78" i="8"/>
  <c r="M78" i="8"/>
  <c r="N78" i="8"/>
  <c r="K79" i="8"/>
  <c r="L79" i="8"/>
  <c r="M79" i="8"/>
  <c r="N79" i="8"/>
  <c r="K80" i="8"/>
  <c r="L80" i="8"/>
  <c r="M80" i="8"/>
  <c r="N80" i="8"/>
  <c r="E80" i="8"/>
  <c r="E79" i="8"/>
  <c r="E78" i="8"/>
  <c r="J80" i="8"/>
  <c r="I80" i="8"/>
  <c r="H80" i="8"/>
  <c r="G80" i="8"/>
  <c r="F80" i="8"/>
  <c r="J79" i="8"/>
  <c r="I79" i="8"/>
  <c r="H79" i="8"/>
  <c r="G79" i="8"/>
  <c r="F79" i="8"/>
  <c r="J78" i="8"/>
  <c r="I78" i="8"/>
  <c r="H78" i="8"/>
  <c r="G78" i="8"/>
  <c r="F78" i="8"/>
  <c r="J80" i="6"/>
  <c r="I80" i="6"/>
  <c r="H80" i="6"/>
  <c r="G80" i="6"/>
  <c r="F80" i="6"/>
  <c r="J79" i="6"/>
  <c r="I79" i="6"/>
  <c r="H79" i="6"/>
  <c r="G79" i="6"/>
  <c r="F79" i="6"/>
  <c r="J78" i="6"/>
  <c r="I78" i="6"/>
  <c r="H78" i="6"/>
  <c r="G78" i="6"/>
  <c r="F78" i="6"/>
  <c r="E80" i="6"/>
  <c r="E79" i="6"/>
  <c r="E78" i="6"/>
  <c r="N75" i="7" l="1"/>
  <c r="N74" i="7"/>
  <c r="N73" i="7"/>
  <c r="N72" i="7"/>
  <c r="N71" i="7"/>
  <c r="N70" i="7"/>
  <c r="N69" i="7"/>
  <c r="N68" i="7"/>
  <c r="N67" i="7"/>
  <c r="N66" i="7"/>
  <c r="N65" i="7"/>
  <c r="N64" i="7"/>
  <c r="N63" i="7"/>
  <c r="N62" i="7"/>
  <c r="N61" i="7"/>
  <c r="N60" i="7"/>
  <c r="N59" i="7"/>
  <c r="N58" i="7"/>
  <c r="N57" i="7"/>
  <c r="N56" i="7"/>
  <c r="N55" i="7"/>
  <c r="N54" i="7"/>
  <c r="N53" i="7"/>
  <c r="N52" i="7"/>
  <c r="N51" i="7"/>
  <c r="N50" i="7"/>
  <c r="N49" i="7"/>
  <c r="N48" i="7"/>
  <c r="N47" i="7"/>
  <c r="N46" i="7"/>
  <c r="N45" i="7"/>
  <c r="N44" i="7"/>
  <c r="N43" i="7"/>
  <c r="N42" i="7"/>
  <c r="N41" i="7"/>
  <c r="N40" i="7"/>
  <c r="N39" i="7"/>
  <c r="N38" i="7"/>
  <c r="N37" i="7"/>
  <c r="N36" i="7"/>
  <c r="N35" i="7"/>
  <c r="N34" i="7"/>
  <c r="N33" i="7"/>
  <c r="N32" i="7"/>
  <c r="N31" i="7"/>
  <c r="N30" i="7"/>
  <c r="N29" i="7"/>
  <c r="N28" i="7"/>
  <c r="N27" i="7"/>
  <c r="N26" i="7"/>
  <c r="N25" i="7"/>
  <c r="N24" i="7"/>
  <c r="N23" i="7"/>
  <c r="N22" i="7"/>
  <c r="N21" i="7"/>
  <c r="N20" i="7"/>
  <c r="N19" i="7"/>
  <c r="N18" i="7"/>
  <c r="N17" i="7"/>
  <c r="N16" i="7"/>
  <c r="N15" i="7"/>
  <c r="N14" i="7"/>
  <c r="N13" i="7"/>
  <c r="N12" i="7"/>
  <c r="N11" i="7"/>
  <c r="N10" i="7"/>
  <c r="J75" i="7" l="1"/>
  <c r="J74" i="7"/>
  <c r="J73" i="7"/>
  <c r="J72" i="7"/>
  <c r="J71" i="7"/>
  <c r="J70" i="7"/>
  <c r="J69" i="7"/>
  <c r="J68" i="7"/>
  <c r="J67" i="7"/>
  <c r="J66" i="7"/>
  <c r="J65" i="7"/>
  <c r="J64" i="7"/>
  <c r="J63" i="7"/>
  <c r="J62" i="7"/>
  <c r="J61" i="7"/>
  <c r="J60" i="7"/>
  <c r="J59" i="7"/>
  <c r="J58" i="7"/>
  <c r="J57" i="7"/>
  <c r="J56" i="7"/>
  <c r="J55" i="7"/>
  <c r="J54" i="7"/>
  <c r="J53" i="7"/>
  <c r="J52" i="7"/>
  <c r="J51" i="7"/>
  <c r="J50" i="7"/>
  <c r="J49" i="7"/>
  <c r="J48" i="7"/>
  <c r="J47" i="7"/>
  <c r="J46" i="7"/>
  <c r="J45" i="7"/>
  <c r="J44" i="7"/>
  <c r="J43" i="7"/>
  <c r="J42" i="7"/>
  <c r="J41" i="7"/>
  <c r="J40" i="7"/>
  <c r="J39" i="7"/>
  <c r="J38" i="7"/>
  <c r="J37" i="7"/>
  <c r="J36" i="7"/>
  <c r="J35" i="7"/>
  <c r="J34" i="7"/>
  <c r="J33" i="7"/>
  <c r="J32" i="7"/>
  <c r="J31" i="7"/>
  <c r="J30" i="7"/>
  <c r="J29" i="7"/>
  <c r="J28" i="7"/>
  <c r="J27" i="7"/>
  <c r="J26" i="7"/>
  <c r="J25" i="7"/>
  <c r="J24" i="7"/>
  <c r="J23" i="7"/>
  <c r="J22" i="7"/>
  <c r="J21" i="7"/>
  <c r="J20" i="7"/>
  <c r="J19" i="7"/>
  <c r="J18" i="7"/>
  <c r="J17" i="7"/>
  <c r="J16" i="7"/>
  <c r="J15" i="7"/>
  <c r="J14" i="7"/>
  <c r="J13" i="7"/>
  <c r="J12" i="7"/>
  <c r="J11" i="7"/>
  <c r="J10"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H75" i="7" l="1"/>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F75" i="7" l="1"/>
  <c r="F74" i="7"/>
  <c r="F73" i="7"/>
  <c r="F72" i="7"/>
  <c r="F71" i="7"/>
  <c r="F70" i="7"/>
  <c r="F69" i="7"/>
  <c r="F68" i="7"/>
  <c r="F67" i="7"/>
  <c r="F66" i="7"/>
  <c r="F65" i="7"/>
  <c r="F64" i="7"/>
  <c r="F63" i="7"/>
  <c r="F62" i="7"/>
  <c r="F61" i="7"/>
  <c r="F60" i="7"/>
  <c r="F59" i="7"/>
  <c r="F58" i="7"/>
  <c r="F57" i="7"/>
  <c r="F56" i="7"/>
  <c r="F55" i="7"/>
  <c r="F54" i="7"/>
  <c r="F53" i="7"/>
  <c r="F52" i="7"/>
  <c r="F51" i="7"/>
  <c r="F50" i="7"/>
  <c r="F49" i="7"/>
  <c r="F48" i="7"/>
  <c r="F47" i="7"/>
  <c r="F46" i="7"/>
  <c r="F45" i="7"/>
  <c r="F44" i="7"/>
  <c r="F43" i="7"/>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 r="F10" i="7"/>
</calcChain>
</file>

<file path=xl/sharedStrings.xml><?xml version="1.0" encoding="utf-8"?>
<sst xmlns="http://schemas.openxmlformats.org/spreadsheetml/2006/main" count="1642" uniqueCount="287">
  <si>
    <t>Span 1</t>
  </si>
  <si>
    <t>Span 2</t>
  </si>
  <si>
    <t>Span 3</t>
  </si>
  <si>
    <t>Span 4</t>
  </si>
  <si>
    <t>Span 5</t>
  </si>
  <si>
    <t>Trt 1</t>
  </si>
  <si>
    <t>Trt 2</t>
  </si>
  <si>
    <t>Trt 3</t>
  </si>
  <si>
    <t>Trt 4</t>
  </si>
  <si>
    <t>Trt 5</t>
  </si>
  <si>
    <t>Trt 6</t>
  </si>
  <si>
    <t>Trt 7</t>
  </si>
  <si>
    <t>Trt 8</t>
  </si>
  <si>
    <t>Trt 9</t>
  </si>
  <si>
    <t>Trt 10</t>
  </si>
  <si>
    <t>Stress</t>
  </si>
  <si>
    <t>FAO</t>
  </si>
  <si>
    <t>CropMod</t>
  </si>
  <si>
    <t>SEB</t>
  </si>
  <si>
    <t>NDVI</t>
  </si>
  <si>
    <t xml:space="preserve">Cotton </t>
  </si>
  <si>
    <t>Irrigation Scheduling experiment</t>
  </si>
  <si>
    <t>Span 7</t>
  </si>
  <si>
    <t>Trt 11</t>
  </si>
  <si>
    <t>NT 1</t>
  </si>
  <si>
    <t>NT 3</t>
  </si>
  <si>
    <t>NT 4</t>
  </si>
  <si>
    <t>NT 5</t>
  </si>
  <si>
    <t>NT 6</t>
  </si>
  <si>
    <t>F013 - lateral move irrigation</t>
  </si>
  <si>
    <t>← N</t>
  </si>
  <si>
    <t>Heights in cm</t>
  </si>
  <si>
    <t>Date:</t>
  </si>
  <si>
    <t>time:</t>
  </si>
  <si>
    <t>initials:</t>
  </si>
  <si>
    <r>
      <t xml:space="preserve">from top of </t>
    </r>
    <r>
      <rPr>
        <b/>
        <sz val="10"/>
        <color theme="1"/>
        <rFont val="Arial"/>
        <family val="2"/>
      </rPr>
      <t>bed</t>
    </r>
  </si>
  <si>
    <r>
      <t xml:space="preserve">from bottom of </t>
    </r>
    <r>
      <rPr>
        <b/>
        <sz val="10"/>
        <color theme="1"/>
        <rFont val="Arial"/>
        <family val="2"/>
      </rPr>
      <t>furrow</t>
    </r>
  </si>
  <si>
    <r>
      <rPr>
        <b/>
        <sz val="14"/>
        <color theme="1"/>
        <rFont val="Arial Rounded MT Bold"/>
        <family val="2"/>
      </rPr>
      <t>Canopy Heights</t>
    </r>
    <r>
      <rPr>
        <b/>
        <sz val="14"/>
        <color theme="1"/>
        <rFont val="Arial"/>
        <family val="2"/>
      </rPr>
      <t xml:space="preserve"> - all treatments</t>
    </r>
  </si>
  <si>
    <t>NT 2</t>
  </si>
  <si>
    <t>doy:</t>
  </si>
  <si>
    <r>
      <t xml:space="preserve">Summary of </t>
    </r>
    <r>
      <rPr>
        <b/>
        <sz val="12"/>
        <color theme="1"/>
        <rFont val="Arial Rounded MT Bold"/>
        <family val="2"/>
      </rPr>
      <t>Canopy Heights</t>
    </r>
    <r>
      <rPr>
        <b/>
        <sz val="12"/>
        <color theme="1"/>
        <rFont val="Arial"/>
        <family val="2"/>
      </rPr>
      <t xml:space="preserve"> - all treatments</t>
    </r>
  </si>
  <si>
    <t>3 &amp; 4 June</t>
  </si>
  <si>
    <t>154 &amp; 155</t>
  </si>
  <si>
    <t>from bottom of furrow</t>
  </si>
  <si>
    <r>
      <t xml:space="preserve">from top of </t>
    </r>
    <r>
      <rPr>
        <b/>
        <sz val="8"/>
        <color theme="1"/>
        <rFont val="Arial"/>
        <family val="2"/>
      </rPr>
      <t>bed</t>
    </r>
  </si>
  <si>
    <r>
      <t xml:space="preserve">from bottom of </t>
    </r>
    <r>
      <rPr>
        <b/>
        <sz val="8"/>
        <color theme="1"/>
        <rFont val="Arial"/>
        <family val="2"/>
      </rPr>
      <t>furrow</t>
    </r>
  </si>
  <si>
    <r>
      <t xml:space="preserve">Summary of </t>
    </r>
    <r>
      <rPr>
        <b/>
        <sz val="12"/>
        <color theme="1"/>
        <rFont val="Arial Rounded MT Bold"/>
        <family val="2"/>
      </rPr>
      <t>Canopy Heights</t>
    </r>
    <r>
      <rPr>
        <b/>
        <sz val="12"/>
        <color theme="1"/>
        <rFont val="Arial"/>
        <family val="2"/>
      </rPr>
      <t xml:space="preserve"> </t>
    </r>
    <r>
      <rPr>
        <b/>
        <i/>
        <sz val="12"/>
        <color theme="1"/>
        <rFont val="Arial"/>
        <family val="2"/>
      </rPr>
      <t xml:space="preserve">from bottom of furrow </t>
    </r>
    <r>
      <rPr>
        <b/>
        <sz val="12"/>
        <color theme="1"/>
        <rFont val="Arial"/>
        <family val="2"/>
      </rPr>
      <t>- all treatments</t>
    </r>
  </si>
  <si>
    <t>Bed elevation</t>
  </si>
  <si>
    <t>Width of canopy</t>
  </si>
  <si>
    <t>Between rows</t>
  </si>
  <si>
    <t>NT position 1</t>
  </si>
  <si>
    <t>NT position 6</t>
  </si>
  <si>
    <t>NT position 5</t>
  </si>
  <si>
    <t>NT position 4</t>
  </si>
  <si>
    <t>NT position 3</t>
  </si>
  <si>
    <t>NT position 2</t>
  </si>
  <si>
    <t>Canopy Cover</t>
  </si>
  <si>
    <t>Width between rows</t>
  </si>
  <si>
    <r>
      <t xml:space="preserve">Summary of </t>
    </r>
    <r>
      <rPr>
        <b/>
        <sz val="12"/>
        <color theme="1"/>
        <rFont val="Arial Rounded MT Bold"/>
        <family val="2"/>
      </rPr>
      <t>Canopy Cover</t>
    </r>
    <r>
      <rPr>
        <b/>
        <i/>
        <sz val="12"/>
        <color theme="1"/>
        <rFont val="Arial"/>
        <family val="2"/>
      </rPr>
      <t xml:space="preserve"> </t>
    </r>
    <r>
      <rPr>
        <b/>
        <sz val="12"/>
        <color theme="1"/>
        <rFont val="Arial"/>
        <family val="2"/>
      </rPr>
      <t>- all treatments</t>
    </r>
  </si>
  <si>
    <t>Widths in cm</t>
  </si>
  <si>
    <t>Did not measure widths the first time I measured heights (3 &amp; 4 June) - smm</t>
  </si>
  <si>
    <t>No more tractor runs. Did not take bed measurements</t>
  </si>
  <si>
    <t>Blank = closed canopy</t>
  </si>
  <si>
    <t>CROPMOD</t>
  </si>
  <si>
    <t>STRESS</t>
  </si>
  <si>
    <t>p11-6</t>
  </si>
  <si>
    <t>p11-5</t>
  </si>
  <si>
    <t>p11-4</t>
  </si>
  <si>
    <t>p11-3</t>
  </si>
  <si>
    <t>p11-2</t>
  </si>
  <si>
    <t>p11-1</t>
  </si>
  <si>
    <t>p10-6</t>
  </si>
  <si>
    <t>p10-5</t>
  </si>
  <si>
    <t>p10-4</t>
  </si>
  <si>
    <t>p10-3</t>
  </si>
  <si>
    <t>p10-2</t>
  </si>
  <si>
    <t>p10-1</t>
  </si>
  <si>
    <t>p09-6</t>
  </si>
  <si>
    <t>p09-5</t>
  </si>
  <si>
    <t>p09-4</t>
  </si>
  <si>
    <t>p09-3</t>
  </si>
  <si>
    <t>p09-2</t>
  </si>
  <si>
    <t>p09-1</t>
  </si>
  <si>
    <t>p08-6</t>
  </si>
  <si>
    <t>p08-5</t>
  </si>
  <si>
    <t>p08-4</t>
  </si>
  <si>
    <t>p08-3</t>
  </si>
  <si>
    <t>p08-2</t>
  </si>
  <si>
    <t>p08-1</t>
  </si>
  <si>
    <t>p07-6</t>
  </si>
  <si>
    <t>p07-5</t>
  </si>
  <si>
    <t>p07-4</t>
  </si>
  <si>
    <t>p07-3</t>
  </si>
  <si>
    <t>p07-2</t>
  </si>
  <si>
    <t>p07-1</t>
  </si>
  <si>
    <t>p06-6</t>
  </si>
  <si>
    <t>p06-5</t>
  </si>
  <si>
    <t>p06-4</t>
  </si>
  <si>
    <t>p06-3</t>
  </si>
  <si>
    <t>p06-2</t>
  </si>
  <si>
    <t>p06-1</t>
  </si>
  <si>
    <t>p05-6</t>
  </si>
  <si>
    <t>p05-5</t>
  </si>
  <si>
    <t>p05-4</t>
  </si>
  <si>
    <t>p05-3</t>
  </si>
  <si>
    <t>p05-2</t>
  </si>
  <si>
    <t>p05-1</t>
  </si>
  <si>
    <t>p04-6</t>
  </si>
  <si>
    <t>p04-5</t>
  </si>
  <si>
    <t>p04-4</t>
  </si>
  <si>
    <t>p04-3</t>
  </si>
  <si>
    <t>p04-2</t>
  </si>
  <si>
    <t>p04-1</t>
  </si>
  <si>
    <t>p03-6</t>
  </si>
  <si>
    <t>p03-5</t>
  </si>
  <si>
    <t>p03-4</t>
  </si>
  <si>
    <t>p03-3</t>
  </si>
  <si>
    <t>p03-2</t>
  </si>
  <si>
    <t>p03-1</t>
  </si>
  <si>
    <t>p02-6</t>
  </si>
  <si>
    <t>p02-5</t>
  </si>
  <si>
    <t>p02-4</t>
  </si>
  <si>
    <t>p02-3</t>
  </si>
  <si>
    <t>p02-2</t>
  </si>
  <si>
    <t>p02-1</t>
  </si>
  <si>
    <t>p01-6</t>
  </si>
  <si>
    <t>p01-5</t>
  </si>
  <si>
    <t>p01-4</t>
  </si>
  <si>
    <t>p01-3</t>
  </si>
  <si>
    <t>p01-2</t>
  </si>
  <si>
    <t>p01-1</t>
  </si>
  <si>
    <t>DOY224</t>
  </si>
  <si>
    <t>DOY209</t>
  </si>
  <si>
    <t>DOY195</t>
  </si>
  <si>
    <t>DOY181</t>
  </si>
  <si>
    <t>DOY167</t>
  </si>
  <si>
    <t>DOY154</t>
  </si>
  <si>
    <t>CCID</t>
  </si>
  <si>
    <t>DOY</t>
  </si>
  <si>
    <t>Unsure of these #s. May have counted wrong side of flag</t>
  </si>
  <si>
    <t>↑ trt 11 just added</t>
  </si>
  <si>
    <t>sum (3 m)</t>
  </si>
  <si>
    <t>South</t>
  </si>
  <si>
    <t>middle</t>
  </si>
  <si>
    <t>CroMod</t>
  </si>
  <si>
    <t>North</t>
  </si>
  <si>
    <t>2 May (replanted)</t>
  </si>
  <si>
    <t>10</t>
  </si>
  <si>
    <t>12</t>
  </si>
  <si>
    <t>DOY:</t>
  </si>
  <si>
    <t>Planting date of bed</t>
  </si>
  <si>
    <t># of  cotton seedlings per 1 meter - taken in the same marked locations</t>
  </si>
  <si>
    <t>Summary - Emergence Counts</t>
  </si>
  <si>
    <r>
      <t>F013</t>
    </r>
    <r>
      <rPr>
        <sz val="12"/>
        <color theme="1"/>
        <rFont val="Calibri"/>
        <family val="2"/>
        <scheme val="minor"/>
      </rPr>
      <t xml:space="preserve"> - lateral move irrigation</t>
    </r>
  </si>
  <si>
    <t>12/13</t>
  </si>
  <si>
    <t>0/12</t>
  </si>
  <si>
    <t>7/8</t>
  </si>
  <si>
    <t>1/9</t>
  </si>
  <si>
    <t>0/8</t>
  </si>
  <si>
    <t>10/12</t>
  </si>
  <si>
    <t>0/11</t>
  </si>
  <si>
    <t>1/10</t>
  </si>
  <si>
    <t>14/15</t>
  </si>
  <si>
    <t>0/15</t>
  </si>
  <si>
    <t>0/14</t>
  </si>
  <si>
    <t>13/17</t>
  </si>
  <si>
    <t>0/16</t>
  </si>
  <si>
    <t>6/13</t>
  </si>
  <si>
    <t>0/9</t>
  </si>
  <si>
    <t>15/16</t>
  </si>
  <si>
    <t>14/14</t>
  </si>
  <si>
    <t>1/14</t>
  </si>
  <si>
    <t>16/18</t>
  </si>
  <si>
    <t>0/18</t>
  </si>
  <si>
    <t>0/17</t>
  </si>
  <si>
    <t>4/5</t>
  </si>
  <si>
    <t>0/5</t>
  </si>
  <si>
    <t>0/2</t>
  </si>
  <si>
    <t>3/4</t>
  </si>
  <si>
    <t>0/4</t>
  </si>
  <si>
    <t>0/3</t>
  </si>
  <si>
    <t>6/6</t>
  </si>
  <si>
    <t>0/6</t>
  </si>
  <si>
    <t>6/8</t>
  </si>
  <si>
    <t>0/7</t>
  </si>
  <si>
    <t>5/5</t>
  </si>
  <si>
    <t>6/7</t>
  </si>
  <si>
    <t>4/6</t>
  </si>
  <si>
    <t>1/6</t>
  </si>
  <si>
    <t>7/7</t>
  </si>
  <si>
    <t>5/7</t>
  </si>
  <si>
    <t>5/8</t>
  </si>
  <si>
    <t>3/7</t>
  </si>
  <si>
    <t>2/7</t>
  </si>
  <si>
    <t>8/8</t>
  </si>
  <si>
    <t>4/7</t>
  </si>
  <si>
    <t>2/6</t>
  </si>
  <si>
    <t>1/7</t>
  </si>
  <si>
    <t>9/9</t>
  </si>
  <si>
    <t>4/9</t>
  </si>
  <si>
    <t>2/9</t>
  </si>
  <si>
    <t>3/8</t>
  </si>
  <si>
    <t>1/5</t>
  </si>
  <si>
    <t>4/10</t>
  </si>
  <si>
    <t>9/12</t>
  </si>
  <si>
    <t>6/9</t>
  </si>
  <si>
    <t>3/9</t>
  </si>
  <si>
    <t>"Official" first leaf counts. First tru leaf is fully expanded &amp; next leaf is beginning to unfurl.</t>
  </si>
  <si>
    <t>First leaves appearing, but tiny leaves, not "official" first leaf counts. Took these counts before an irrigation.</t>
  </si>
  <si>
    <t># of cotton seedlings with first leaf/ # cotton seedlings per 1 meter - taken in the same marked locations</t>
  </si>
  <si>
    <t>Summary - First Leaf Counts</t>
  </si>
  <si>
    <t>On the beds with the neutron tubes, I shifted the  measurement stick 0.5 meters North or South of the tube.</t>
  </si>
  <si>
    <t>I then counted the live plants along the 1.5 meter length.</t>
  </si>
  <si>
    <t>(I tried not to shift the stick one way or the other in relation to the plants).</t>
  </si>
  <si>
    <t>I lined up even with the neutron tube line, then set the 1.5 m stick down on the bed, with the middle of the stick (which is marked) between my feet</t>
  </si>
  <si>
    <t>The next 4 beds, even with NTs 2, 4 &amp; 6. For each set of 4 beds, I alternated between the 2 sets of neutron tubes.</t>
  </si>
  <si>
    <t>For each bed in the 11 treatment plots, I measure plants per 1.5 meters in 3 locations. In the first 4 beds, I measured even withneutron tubes 1, 3 &amp; 5.</t>
  </si>
  <si>
    <t>Row 1 starts on the East side of each span, directly to the West side of the tire track. Row numbering contines through beds between the harvest and sampling halves of the treatment plots and through the buffer rows between the treatments.</t>
  </si>
  <si>
    <r>
      <t>Plant Density Counts</t>
    </r>
    <r>
      <rPr>
        <sz val="14"/>
        <color theme="1"/>
        <rFont val="Calibri"/>
        <family val="2"/>
        <scheme val="minor"/>
      </rPr>
      <t xml:space="preserve"> - 1.5 meter - in line with neutron tubes</t>
    </r>
  </si>
  <si>
    <t>Bed formed. Outside (W) of drain pipe.</t>
  </si>
  <si>
    <t>no plants seen</t>
  </si>
  <si>
    <t>few plants along bed</t>
  </si>
  <si>
    <t>NT- counted 0.5 m N of tube →</t>
  </si>
  <si>
    <t>ave=</t>
  </si>
  <si>
    <t>Bed not formed</t>
  </si>
  <si>
    <t>--</t>
  </si>
  <si>
    <t>← NT- counted 0.5 m N of tube</t>
  </si>
  <si>
    <t>Bare</t>
  </si>
  <si>
    <t>very few plants along length of beds</t>
  </si>
  <si>
    <t>NT- counted 0.5 m S of tube →</t>
  </si>
  <si>
    <t>bed not formed</t>
  </si>
  <si>
    <t>no plants on bed</t>
  </si>
  <si>
    <t>very few plants on bed</t>
  </si>
  <si>
    <t>← NT- counted 0.5 m S of tube</t>
  </si>
  <si>
    <r>
      <t xml:space="preserve">Average # plants per </t>
    </r>
    <r>
      <rPr>
        <b/>
        <sz val="12"/>
        <color theme="1"/>
        <rFont val="Calibri"/>
        <family val="2"/>
      </rPr>
      <t>meter</t>
    </r>
    <r>
      <rPr>
        <b/>
        <sz val="12"/>
        <color theme="1"/>
        <rFont val="Calibri Light"/>
        <family val="2"/>
      </rPr>
      <t xml:space="preserve"> </t>
    </r>
    <r>
      <rPr>
        <b/>
        <sz val="11"/>
        <color theme="1"/>
        <rFont val="Calibri Light"/>
        <family val="2"/>
      </rPr>
      <t>(disregarding outer rows with very few plants)</t>
    </r>
  </si>
  <si>
    <t xml:space="preserve">NT 2 </t>
  </si>
  <si>
    <t>Bed</t>
  </si>
  <si>
    <t>Plants per 1.5 meters</t>
  </si>
  <si>
    <t>p/m2</t>
  </si>
  <si>
    <t>DOY196</t>
  </si>
  <si>
    <t>DOY211</t>
  </si>
  <si>
    <t>DOY217</t>
  </si>
  <si>
    <t>DOY230</t>
  </si>
  <si>
    <t>DOY245</t>
  </si>
  <si>
    <t>NAWF195</t>
  </si>
  <si>
    <t>NAWF202</t>
  </si>
  <si>
    <t>NAWF209</t>
  </si>
  <si>
    <t>NAWF216</t>
  </si>
  <si>
    <t>NAWF224</t>
  </si>
  <si>
    <t>ADAT</t>
  </si>
  <si>
    <t>ADOY</t>
  </si>
  <si>
    <t>ave</t>
  </si>
  <si>
    <t># NAWF</t>
  </si>
  <si>
    <t>smm</t>
  </si>
  <si>
    <t>0920-1145 (w/ canopy heights)</t>
  </si>
  <si>
    <t>Nodes Above White Flower</t>
  </si>
  <si>
    <t>0900-</t>
  </si>
  <si>
    <t>1000-</t>
  </si>
  <si>
    <t>0900-0945</t>
  </si>
  <si>
    <t>-- = couldn't find a plant with a white flower in the correct position</t>
  </si>
  <si>
    <t>SMM</t>
  </si>
  <si>
    <t>0900-1045 (with heights)</t>
  </si>
  <si>
    <t>50%DOY</t>
  </si>
  <si>
    <t>Percent</t>
  </si>
  <si>
    <t># plants</t>
  </si>
  <si>
    <t># plants w/ white flower</t>
  </si>
  <si>
    <t>Per 1 meter</t>
  </si>
  <si>
    <t>Irrigation running from N → S</t>
  </si>
  <si>
    <t>0830-0930</t>
  </si>
  <si>
    <t>White Flower Counts</t>
  </si>
  <si>
    <t>1030-1210</t>
  </si>
  <si>
    <t>0810-0900</t>
  </si>
  <si>
    <t>1000-1130</t>
  </si>
  <si>
    <t>Just checked plots 10 &amp; 11 (which hadn't yet reached 50% w/ white flower on Monday). Muddy.</t>
  </si>
  <si>
    <t>1000-1020</t>
  </si>
  <si>
    <t>Plot</t>
  </si>
  <si>
    <t>p01</t>
  </si>
  <si>
    <t>p02</t>
  </si>
  <si>
    <t>p03</t>
  </si>
  <si>
    <t>p06</t>
  </si>
  <si>
    <t>p07</t>
  </si>
  <si>
    <t>p10</t>
  </si>
  <si>
    <t>p11</t>
  </si>
  <si>
    <t>EDATE</t>
  </si>
  <si>
    <t>PLYRE</t>
  </si>
  <si>
    <t>PLDOE</t>
  </si>
  <si>
    <t>LF1D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</si>
</sst>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409]d\-mmm\-yy;@"/>
    <numFmt numFmtId="167" formatCode="mm/dd/yyyy"/>
  </numFmts>
  <fonts count="43" x14ac:knownFonts="1">
    <font>
      <sz val="11"/>
      <color theme="1"/>
      <name val="Calibri"/>
      <family val="2"/>
      <scheme val="minor"/>
    </font>
    <font>
      <sz val="11"/>
      <color theme="1"/>
      <name val="Arial"/>
      <family val="2"/>
    </font>
    <font>
      <sz val="11"/>
      <color theme="1"/>
      <name val="Arial"/>
      <family val="2"/>
    </font>
    <font>
      <sz val="11"/>
      <color theme="1"/>
      <name val="Arial"/>
      <family val="2"/>
    </font>
    <font>
      <b/>
      <sz val="18"/>
      <color theme="1"/>
      <name val="Arial Black"/>
      <family val="2"/>
    </font>
    <font>
      <b/>
      <sz val="14"/>
      <color theme="1"/>
      <name val="Arial Rounded MT Bold"/>
      <family val="2"/>
    </font>
    <font>
      <b/>
      <sz val="14"/>
      <color theme="1"/>
      <name val="Arial"/>
      <family val="2"/>
    </font>
    <font>
      <b/>
      <sz val="12"/>
      <color theme="1"/>
      <name val="Arial"/>
      <family val="2"/>
    </font>
    <font>
      <sz val="11"/>
      <color theme="1"/>
      <name val="Arial"/>
      <family val="2"/>
    </font>
    <font>
      <b/>
      <sz val="11"/>
      <color theme="1"/>
      <name val="Arial"/>
      <family val="2"/>
    </font>
    <font>
      <sz val="10"/>
      <color theme="1"/>
      <name val="Arial"/>
      <family val="2"/>
    </font>
    <font>
      <b/>
      <sz val="18"/>
      <color theme="1"/>
      <name val="Arial"/>
      <family val="2"/>
    </font>
    <font>
      <b/>
      <sz val="16"/>
      <color theme="1"/>
      <name val="Arial"/>
      <family val="2"/>
    </font>
    <font>
      <b/>
      <sz val="10"/>
      <color theme="1"/>
      <name val="Arial"/>
      <family val="2"/>
    </font>
    <font>
      <sz val="12"/>
      <color theme="1"/>
      <name val="Arial"/>
      <family val="2"/>
    </font>
    <font>
      <b/>
      <sz val="12"/>
      <color theme="1"/>
      <name val="Arial Rounded MT Bold"/>
      <family val="2"/>
    </font>
    <font>
      <sz val="8"/>
      <color theme="1"/>
      <name val="Arial"/>
      <family val="2"/>
    </font>
    <font>
      <b/>
      <sz val="8"/>
      <color theme="1"/>
      <name val="Arial"/>
      <family val="2"/>
    </font>
    <font>
      <sz val="9.5"/>
      <color theme="1"/>
      <name val="Arial"/>
      <family val="2"/>
    </font>
    <font>
      <b/>
      <i/>
      <sz val="12"/>
      <color theme="1"/>
      <name val="Arial"/>
      <family val="2"/>
    </font>
    <font>
      <i/>
      <sz val="8"/>
      <color theme="1"/>
      <name val="Arial Rounded MT Bold"/>
      <family val="2"/>
    </font>
    <font>
      <b/>
      <i/>
      <sz val="8"/>
      <color theme="1"/>
      <name val="Arial Rounded MT Bold"/>
      <family val="2"/>
    </font>
    <font>
      <sz val="8"/>
      <color theme="1"/>
      <name val="Calibri"/>
      <family val="2"/>
      <scheme val="minor"/>
    </font>
    <font>
      <sz val="11"/>
      <color rgb="FFFF0000"/>
      <name val="Calibri"/>
      <family val="2"/>
      <scheme val="minor"/>
    </font>
    <font>
      <b/>
      <sz val="11"/>
      <color theme="1"/>
      <name val="Calibri"/>
      <family val="2"/>
      <scheme val="minor"/>
    </font>
    <font>
      <i/>
      <sz val="11"/>
      <color theme="1"/>
      <name val="Calibri"/>
      <family val="2"/>
      <scheme val="minor"/>
    </font>
    <font>
      <b/>
      <sz val="11"/>
      <color theme="5" tint="-0.249977111117893"/>
      <name val="Calibri"/>
      <family val="2"/>
      <scheme val="minor"/>
    </font>
    <font>
      <sz val="11"/>
      <color theme="5" tint="-0.249977111117893"/>
      <name val="Calibri"/>
      <family val="2"/>
      <scheme val="minor"/>
    </font>
    <font>
      <sz val="11"/>
      <name val="Calibri"/>
      <family val="2"/>
      <scheme val="minor"/>
    </font>
    <font>
      <b/>
      <sz val="11"/>
      <color rgb="FFFF0000"/>
      <name val="Calibri"/>
      <family val="2"/>
      <scheme val="minor"/>
    </font>
    <font>
      <b/>
      <sz val="10"/>
      <color theme="1"/>
      <name val="Calibri"/>
      <family val="2"/>
      <scheme val="minor"/>
    </font>
    <font>
      <sz val="12"/>
      <color theme="1"/>
      <name val="Calibri"/>
      <family val="2"/>
      <scheme val="minor"/>
    </font>
    <font>
      <b/>
      <sz val="12"/>
      <color theme="1"/>
      <name val="Calibri"/>
      <family val="2"/>
      <scheme val="minor"/>
    </font>
    <font>
      <sz val="11"/>
      <color theme="8" tint="-0.249977111117893"/>
      <name val="Calibri"/>
      <family val="2"/>
      <scheme val="minor"/>
    </font>
    <font>
      <sz val="10"/>
      <color theme="1"/>
      <name val="Calibri"/>
      <family val="2"/>
      <scheme val="minor"/>
    </font>
    <font>
      <b/>
      <sz val="14"/>
      <color theme="1"/>
      <name val="Calibri"/>
      <family val="2"/>
      <scheme val="minor"/>
    </font>
    <font>
      <sz val="14"/>
      <color theme="1"/>
      <name val="Calibri"/>
      <family val="2"/>
      <scheme val="minor"/>
    </font>
    <font>
      <sz val="9"/>
      <color theme="1"/>
      <name val="Calibri"/>
      <family val="2"/>
      <scheme val="minor"/>
    </font>
    <font>
      <sz val="11"/>
      <color theme="1"/>
      <name val="Calibri Light"/>
      <family val="2"/>
    </font>
    <font>
      <b/>
      <sz val="11"/>
      <color theme="1"/>
      <name val="Calibri Light"/>
      <family val="2"/>
    </font>
    <font>
      <b/>
      <sz val="12"/>
      <color theme="1"/>
      <name val="Calibri"/>
      <family val="2"/>
    </font>
    <font>
      <b/>
      <sz val="12"/>
      <color theme="1"/>
      <name val="Calibri Light"/>
      <family val="2"/>
    </font>
    <font>
      <b/>
      <sz val="16"/>
      <color theme="1"/>
      <name val="Calibri"/>
      <family val="2"/>
      <scheme val="minor"/>
    </font>
  </fonts>
  <fills count="9">
    <fill>
      <patternFill patternType="none"/>
    </fill>
    <fill>
      <patternFill patternType="gray125"/>
    </fill>
    <fill>
      <patternFill patternType="solid">
        <fgColor theme="0" tint="-0.14993743705557422"/>
        <bgColor theme="1"/>
      </patternFill>
    </fill>
    <fill>
      <patternFill patternType="solid">
        <fgColor theme="0" tint="-4.9989318521683403E-2"/>
        <bgColor indexed="64"/>
      </patternFill>
    </fill>
    <fill>
      <patternFill patternType="solid">
        <fgColor rgb="FFFFE5E6"/>
        <bgColor theme="1"/>
      </patternFill>
    </fill>
    <fill>
      <patternFill patternType="solid">
        <fgColor rgb="FFFFE5E6"/>
        <bgColor indexed="64"/>
      </patternFill>
    </fill>
    <fill>
      <patternFill patternType="solid">
        <fgColor theme="9" tint="0.79998168889431442"/>
        <bgColor indexed="64"/>
      </patternFill>
    </fill>
    <fill>
      <patternFill patternType="solid">
        <fgColor theme="0" tint="-0.24994659260841701"/>
        <bgColor theme="1"/>
      </patternFill>
    </fill>
    <fill>
      <patternFill patternType="solid">
        <fgColor theme="7" tint="0.79998168889431442"/>
        <bgColor indexed="64"/>
      </patternFill>
    </fill>
  </fills>
  <borders count="76">
    <border>
      <left/>
      <right/>
      <top/>
      <bottom/>
      <diagonal/>
    </border>
    <border>
      <left/>
      <right/>
      <top style="medium">
        <color auto="1"/>
      </top>
      <bottom style="thin">
        <color auto="1"/>
      </bottom>
      <diagonal/>
    </border>
    <border>
      <left/>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style="thin">
        <color auto="1"/>
      </right>
      <top/>
      <bottom style="medium">
        <color auto="1"/>
      </bottom>
      <diagonal/>
    </border>
    <border>
      <left/>
      <right/>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right/>
      <top style="medium">
        <color auto="1"/>
      </top>
      <bottom/>
      <diagonal/>
    </border>
    <border>
      <left/>
      <right/>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medium">
        <color auto="1"/>
      </right>
      <top style="thin">
        <color auto="1"/>
      </top>
      <bottom style="medium">
        <color auto="1"/>
      </bottom>
      <diagonal/>
    </border>
    <border>
      <left/>
      <right/>
      <top style="thin">
        <color auto="1"/>
      </top>
      <bottom style="medium">
        <color auto="1"/>
      </bottom>
      <diagonal/>
    </border>
    <border>
      <left style="thin">
        <color auto="1"/>
      </left>
      <right/>
      <top/>
      <bottom style="medium">
        <color auto="1"/>
      </bottom>
      <diagonal/>
    </border>
    <border>
      <left style="thin">
        <color auto="1"/>
      </left>
      <right style="thin">
        <color auto="1"/>
      </right>
      <top/>
      <bottom style="medium">
        <color auto="1"/>
      </bottom>
      <diagonal/>
    </border>
    <border>
      <left/>
      <right/>
      <top style="thin">
        <color auto="1"/>
      </top>
      <bottom/>
      <diagonal/>
    </border>
    <border>
      <left style="thin">
        <color auto="1"/>
      </left>
      <right style="thin">
        <color auto="1"/>
      </right>
      <top/>
      <bottom style="thin">
        <color auto="1"/>
      </bottom>
      <diagonal/>
    </border>
    <border>
      <left/>
      <right style="medium">
        <color auto="1"/>
      </right>
      <top/>
      <bottom style="thin">
        <color auto="1"/>
      </bottom>
      <diagonal/>
    </border>
    <border>
      <left style="thin">
        <color auto="1"/>
      </left>
      <right style="medium">
        <color auto="1"/>
      </right>
      <top/>
      <bottom style="medium">
        <color auto="1"/>
      </bottom>
      <diagonal/>
    </border>
    <border>
      <left/>
      <right/>
      <top style="medium">
        <color theme="1" tint="0.34998626667073579"/>
      </top>
      <bottom/>
      <diagonal/>
    </border>
    <border>
      <left style="thin">
        <color auto="1"/>
      </left>
      <right style="medium">
        <color theme="2" tint="-0.749961851863155"/>
      </right>
      <top style="thin">
        <color theme="2" tint="-0.749961851863155"/>
      </top>
      <bottom style="medium">
        <color theme="1" tint="0.34998626667073579"/>
      </bottom>
      <diagonal/>
    </border>
    <border>
      <left style="thin">
        <color auto="1"/>
      </left>
      <right style="thin">
        <color auto="1"/>
      </right>
      <top style="thin">
        <color theme="2" tint="-0.749961851863155"/>
      </top>
      <bottom style="medium">
        <color theme="1" tint="0.34998626667073579"/>
      </bottom>
      <diagonal/>
    </border>
    <border>
      <left/>
      <right style="thin">
        <color auto="1"/>
      </right>
      <top style="thin">
        <color theme="2" tint="-0.749961851863155"/>
      </top>
      <bottom style="medium">
        <color theme="1" tint="0.34998626667073579"/>
      </bottom>
      <diagonal/>
    </border>
    <border>
      <left/>
      <right/>
      <top/>
      <bottom style="medium">
        <color theme="1" tint="0.34998626667073579"/>
      </bottom>
      <diagonal/>
    </border>
    <border>
      <left style="thin">
        <color auto="1"/>
      </left>
      <right style="medium">
        <color theme="1" tint="0.34998626667073579"/>
      </right>
      <top style="thin">
        <color auto="1"/>
      </top>
      <bottom style="medium">
        <color theme="1" tint="0.34998626667073579"/>
      </bottom>
      <diagonal/>
    </border>
    <border>
      <left style="thin">
        <color auto="1"/>
      </left>
      <right/>
      <top style="thin">
        <color auto="1"/>
      </top>
      <bottom style="medium">
        <color theme="1" tint="0.34998626667073579"/>
      </bottom>
      <diagonal/>
    </border>
    <border>
      <left style="thin">
        <color auto="1"/>
      </left>
      <right style="thin">
        <color auto="1"/>
      </right>
      <top style="thin">
        <color auto="1"/>
      </top>
      <bottom style="medium">
        <color theme="1" tint="0.34998626667073579"/>
      </bottom>
      <diagonal/>
    </border>
    <border>
      <left/>
      <right style="thin">
        <color auto="1"/>
      </right>
      <top style="thin">
        <color auto="1"/>
      </top>
      <bottom/>
      <diagonal/>
    </border>
    <border>
      <left style="thin">
        <color auto="1"/>
      </left>
      <right style="medium">
        <color theme="1" tint="0.34998626667073579"/>
      </right>
      <top style="thin">
        <color auto="1"/>
      </top>
      <bottom style="thin">
        <color auto="1"/>
      </bottom>
      <diagonal/>
    </border>
    <border>
      <left/>
      <right style="thin">
        <color auto="1"/>
      </right>
      <top/>
      <bottom/>
      <diagonal/>
    </border>
    <border>
      <left style="thin">
        <color auto="1"/>
      </left>
      <right style="medium">
        <color theme="1" tint="0.34998626667073579"/>
      </right>
      <top style="medium">
        <color theme="1" tint="0.34998626667073579"/>
      </top>
      <bottom style="thin">
        <color auto="1"/>
      </bottom>
      <diagonal/>
    </border>
    <border>
      <left style="thin">
        <color auto="1"/>
      </left>
      <right/>
      <top style="medium">
        <color theme="1" tint="0.34998626667073579"/>
      </top>
      <bottom style="thin">
        <color auto="1"/>
      </bottom>
      <diagonal/>
    </border>
    <border>
      <left style="thin">
        <color auto="1"/>
      </left>
      <right style="thin">
        <color auto="1"/>
      </right>
      <top style="medium">
        <color theme="1" tint="0.34998626667073579"/>
      </top>
      <bottom style="thin">
        <color auto="1"/>
      </bottom>
      <diagonal/>
    </border>
    <border>
      <left/>
      <right style="thin">
        <color auto="1"/>
      </right>
      <top style="medium">
        <color theme="1" tint="0.34998626667073579"/>
      </top>
      <bottom/>
      <diagonal/>
    </border>
    <border>
      <left/>
      <right/>
      <top style="medium">
        <color theme="2" tint="-0.499984740745262"/>
      </top>
      <bottom/>
      <diagonal/>
    </border>
    <border>
      <left style="thin">
        <color auto="1"/>
      </left>
      <right style="medium">
        <color theme="1" tint="0.34998626667073579"/>
      </right>
      <top style="thin">
        <color auto="1"/>
      </top>
      <bottom/>
      <diagonal/>
    </border>
    <border>
      <left style="thin">
        <color auto="1"/>
      </left>
      <right/>
      <top style="thin">
        <color auto="1"/>
      </top>
      <bottom/>
      <diagonal/>
    </border>
    <border>
      <left style="thin">
        <color auto="1"/>
      </left>
      <right style="thin">
        <color auto="1"/>
      </right>
      <top style="thin">
        <color auto="1"/>
      </top>
      <bottom/>
      <diagonal/>
    </border>
    <border>
      <left/>
      <right style="thin">
        <color auto="1"/>
      </right>
      <top/>
      <bottom style="medium">
        <color theme="1" tint="0.34998626667073579"/>
      </bottom>
      <diagonal/>
    </border>
    <border>
      <left/>
      <right/>
      <top style="mediumDashed">
        <color auto="1"/>
      </top>
      <bottom/>
      <diagonal/>
    </border>
    <border>
      <left style="thin">
        <color auto="1"/>
      </left>
      <right style="thin">
        <color auto="1"/>
      </right>
      <top style="mediumDashed">
        <color auto="1"/>
      </top>
      <bottom style="thin">
        <color auto="1"/>
      </bottom>
      <diagonal/>
    </border>
    <border>
      <left/>
      <right style="thin">
        <color auto="1"/>
      </right>
      <top style="mediumDashed">
        <color auto="1"/>
      </top>
      <bottom style="thin">
        <color auto="1"/>
      </bottom>
      <diagonal/>
    </border>
    <border>
      <left style="thin">
        <color auto="1"/>
      </left>
      <right style="thin">
        <color auto="1"/>
      </right>
      <top style="thin">
        <color auto="1"/>
      </top>
      <bottom style="mediumDashed">
        <color auto="1"/>
      </bottom>
      <diagonal/>
    </border>
    <border>
      <left/>
      <right style="thin">
        <color auto="1"/>
      </right>
      <top style="thin">
        <color auto="1"/>
      </top>
      <bottom style="mediumDashed">
        <color auto="1"/>
      </bottom>
      <diagonal/>
    </border>
    <border>
      <left/>
      <right/>
      <top/>
      <bottom style="mediumDashed">
        <color auto="1"/>
      </bottom>
      <diagonal/>
    </border>
    <border>
      <left/>
      <right style="thin">
        <color auto="1"/>
      </right>
      <top/>
      <bottom style="thin">
        <color auto="1"/>
      </bottom>
      <diagonal/>
    </border>
    <border>
      <left style="thin">
        <color auto="1"/>
      </left>
      <right/>
      <top style="medium">
        <color auto="1"/>
      </top>
      <bottom/>
      <diagonal/>
    </border>
    <border>
      <left style="thin">
        <color auto="1"/>
      </left>
      <right style="thin">
        <color auto="1"/>
      </right>
      <top style="mediumDashed">
        <color auto="1"/>
      </top>
      <bottom style="medium">
        <color auto="1"/>
      </bottom>
      <diagonal/>
    </border>
    <border>
      <left/>
      <right style="thin">
        <color auto="1"/>
      </right>
      <top style="mediumDashed">
        <color auto="1"/>
      </top>
      <bottom style="medium">
        <color auto="1"/>
      </bottom>
      <diagonal/>
    </border>
    <border>
      <left/>
      <right/>
      <top style="mediumDashed">
        <color auto="1"/>
      </top>
      <bottom style="medium">
        <color auto="1"/>
      </bottom>
      <diagonal/>
    </border>
    <border>
      <left style="thin">
        <color auto="1"/>
      </left>
      <right style="thin">
        <color auto="1"/>
      </right>
      <top style="medium">
        <color auto="1"/>
      </top>
      <bottom/>
      <diagonal/>
    </border>
    <border>
      <left/>
      <right style="thin">
        <color auto="1"/>
      </right>
      <top style="medium">
        <color auto="1"/>
      </top>
      <bottom/>
      <diagonal/>
    </border>
    <border>
      <left/>
      <right/>
      <top style="medium">
        <color theme="1" tint="0.24994659260841701"/>
      </top>
      <bottom/>
      <diagonal/>
    </border>
    <border>
      <left/>
      <right/>
      <top style="medium">
        <color auto="1"/>
      </top>
      <bottom style="mediumDashed">
        <color auto="1"/>
      </bottom>
      <diagonal/>
    </border>
    <border>
      <left style="medium">
        <color auto="1"/>
      </left>
      <right style="thin">
        <color auto="1"/>
      </right>
      <top/>
      <bottom/>
      <diagonal/>
    </border>
    <border>
      <left style="medium">
        <color auto="1"/>
      </left>
      <right style="medium">
        <color auto="1"/>
      </right>
      <top/>
      <bottom style="medium">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medium">
        <color auto="1"/>
      </top>
      <bottom style="thin">
        <color auto="1"/>
      </bottom>
      <diagonal/>
    </border>
    <border>
      <left style="thin">
        <color auto="1"/>
      </left>
      <right style="medium">
        <color auto="1"/>
      </right>
      <top/>
      <bottom/>
      <diagonal/>
    </border>
  </borders>
  <cellStyleXfs count="2">
    <xf numFmtId="0" fontId="0" fillId="0" borderId="0"/>
    <xf numFmtId="0" fontId="1" fillId="0" borderId="0"/>
  </cellStyleXfs>
  <cellXfs count="256">
    <xf numFmtId="0" fontId="0" fillId="0" borderId="0" xfId="0"/>
    <xf numFmtId="0" fontId="4" fillId="0" borderId="0" xfId="0" applyFont="1" applyAlignment="1">
      <alignment horizontal="center" vertical="center"/>
    </xf>
    <xf numFmtId="0" fontId="6" fillId="0" borderId="0" xfId="0" applyFont="1" applyAlignment="1">
      <alignment horizontal="center"/>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7" fillId="0" borderId="0" xfId="0" applyFont="1" applyAlignment="1">
      <alignment horizontal="right"/>
    </xf>
    <xf numFmtId="0" fontId="8" fillId="0" borderId="6" xfId="0" applyFont="1" applyBorder="1"/>
    <xf numFmtId="0" fontId="9" fillId="0" borderId="0" xfId="0" applyFont="1" applyAlignment="1">
      <alignment horizontal="right"/>
    </xf>
    <xf numFmtId="0" fontId="11" fillId="0" borderId="0" xfId="0" applyFont="1" applyAlignment="1">
      <alignment horizontal="center" vertical="center"/>
    </xf>
    <xf numFmtId="0" fontId="8" fillId="0" borderId="2" xfId="0" applyFont="1" applyBorder="1"/>
    <xf numFmtId="0" fontId="12" fillId="0" borderId="3" xfId="0" applyFont="1" applyBorder="1" applyAlignment="1">
      <alignment horizontal="centerContinuous"/>
    </xf>
    <xf numFmtId="0" fontId="10" fillId="0" borderId="5" xfId="0" applyFont="1" applyBorder="1" applyAlignment="1">
      <alignment horizontal="center" wrapText="1"/>
    </xf>
    <xf numFmtId="0" fontId="9" fillId="0" borderId="1" xfId="0" applyFont="1" applyBorder="1" applyAlignment="1">
      <alignment horizontal="center" vertical="center"/>
    </xf>
    <xf numFmtId="0" fontId="14" fillId="0" borderId="7" xfId="0" applyFont="1" applyBorder="1" applyAlignment="1">
      <alignment horizontal="center" vertical="center"/>
    </xf>
    <xf numFmtId="0" fontId="9" fillId="0" borderId="2" xfId="0" applyFont="1" applyBorder="1" applyAlignment="1">
      <alignment horizontal="center" vertical="center"/>
    </xf>
    <xf numFmtId="0" fontId="14" fillId="0" borderId="8" xfId="0" applyFont="1" applyBorder="1" applyAlignment="1">
      <alignment horizontal="center" vertical="center"/>
    </xf>
    <xf numFmtId="0" fontId="9" fillId="2" borderId="2" xfId="0" applyFont="1" applyFill="1" applyBorder="1"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2" xfId="0" applyFont="1" applyBorder="1" applyAlignment="1">
      <alignment horizontal="center" vertical="center"/>
    </xf>
    <xf numFmtId="0" fontId="9" fillId="0" borderId="17" xfId="0" applyFont="1" applyBorder="1" applyAlignment="1">
      <alignment horizontal="center" vertical="center"/>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4" borderId="11"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0" xfId="0" applyFont="1" applyFill="1" applyAlignment="1">
      <alignment horizontal="center" vertical="center"/>
    </xf>
    <xf numFmtId="0" fontId="9" fillId="4" borderId="18" xfId="0" applyFont="1" applyFill="1" applyBorder="1" applyAlignment="1">
      <alignment horizontal="center" vertical="center"/>
    </xf>
    <xf numFmtId="0" fontId="9" fillId="4" borderId="12" xfId="0" applyFont="1" applyFill="1" applyBorder="1" applyAlignment="1">
      <alignment horizontal="center" vertical="center"/>
    </xf>
    <xf numFmtId="0" fontId="9" fillId="4" borderId="19" xfId="0" applyFont="1" applyFill="1" applyBorder="1" applyAlignment="1">
      <alignment horizontal="center" vertical="center"/>
    </xf>
    <xf numFmtId="0" fontId="9" fillId="5" borderId="17" xfId="0" applyFont="1" applyFill="1" applyBorder="1" applyAlignment="1">
      <alignment horizontal="center" vertical="center"/>
    </xf>
    <xf numFmtId="0" fontId="9" fillId="5" borderId="18" xfId="0" applyFont="1" applyFill="1" applyBorder="1" applyAlignment="1">
      <alignment horizontal="center" vertical="center"/>
    </xf>
    <xf numFmtId="0" fontId="9" fillId="5" borderId="19" xfId="0" applyFont="1" applyFill="1" applyBorder="1" applyAlignment="1">
      <alignment horizontal="center" vertical="center"/>
    </xf>
    <xf numFmtId="0" fontId="3" fillId="0" borderId="0" xfId="0" applyFont="1"/>
    <xf numFmtId="0" fontId="16" fillId="0" borderId="12" xfId="0" applyFont="1" applyBorder="1" applyAlignment="1">
      <alignment horizontal="center" vertical="center" wrapText="1"/>
    </xf>
    <xf numFmtId="0" fontId="3" fillId="0" borderId="0" xfId="0" applyFont="1" applyAlignment="1">
      <alignment horizontal="center"/>
    </xf>
    <xf numFmtId="0" fontId="10" fillId="0" borderId="0" xfId="0" applyFont="1" applyAlignment="1">
      <alignment horizontal="center"/>
    </xf>
    <xf numFmtId="0" fontId="18" fillId="0" borderId="0" xfId="0" applyFont="1" applyAlignment="1">
      <alignment horizontal="center"/>
    </xf>
    <xf numFmtId="0" fontId="3" fillId="0" borderId="0" xfId="0" applyFont="1" applyAlignment="1">
      <alignment vertical="center"/>
    </xf>
    <xf numFmtId="0" fontId="3" fillId="0" borderId="7" xfId="0" applyFont="1" applyBorder="1" applyAlignment="1">
      <alignment horizontal="center" vertical="center"/>
    </xf>
    <xf numFmtId="0" fontId="3" fillId="0" borderId="13" xfId="0" applyFont="1" applyBorder="1" applyAlignment="1">
      <alignment horizontal="center" vertical="center"/>
    </xf>
    <xf numFmtId="0" fontId="3" fillId="0" borderId="8"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20" fillId="3" borderId="12" xfId="0" applyFont="1" applyFill="1" applyBorder="1" applyAlignment="1">
      <alignment horizontal="center" vertical="center" wrapText="1"/>
    </xf>
    <xf numFmtId="0" fontId="3" fillId="3" borderId="23" xfId="0" applyFont="1" applyFill="1" applyBorder="1" applyAlignment="1">
      <alignment horizontal="center" vertical="center"/>
    </xf>
    <xf numFmtId="0" fontId="3" fillId="3" borderId="24" xfId="0" applyFont="1" applyFill="1" applyBorder="1" applyAlignment="1">
      <alignment horizontal="center" vertical="center"/>
    </xf>
    <xf numFmtId="0" fontId="3" fillId="3" borderId="25" xfId="0" applyFont="1" applyFill="1" applyBorder="1" applyAlignment="1">
      <alignment horizontal="center" vertical="center"/>
    </xf>
    <xf numFmtId="0" fontId="16" fillId="0" borderId="26" xfId="0" applyFont="1" applyBorder="1" applyAlignment="1">
      <alignment horizontal="center" vertical="center" wrapText="1"/>
    </xf>
    <xf numFmtId="0" fontId="20" fillId="3" borderId="27" xfId="0" applyFont="1" applyFill="1" applyBorder="1" applyAlignment="1">
      <alignment horizontal="center" vertical="center" wrapText="1"/>
    </xf>
    <xf numFmtId="0" fontId="3" fillId="3" borderId="9"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28" xfId="0" applyFont="1" applyFill="1" applyBorder="1" applyAlignment="1">
      <alignment horizontal="center" vertical="center"/>
    </xf>
    <xf numFmtId="0" fontId="9" fillId="0" borderId="29" xfId="0" applyFont="1" applyBorder="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29" xfId="0" applyFont="1" applyFill="1" applyBorder="1" applyAlignment="1">
      <alignment horizontal="center" vertical="center"/>
    </xf>
    <xf numFmtId="0" fontId="9" fillId="5" borderId="1" xfId="0" applyFont="1" applyFill="1" applyBorder="1" applyAlignment="1">
      <alignment horizontal="center" vertical="center"/>
    </xf>
    <xf numFmtId="0" fontId="9" fillId="5" borderId="2" xfId="0" applyFont="1" applyFill="1" applyBorder="1" applyAlignment="1">
      <alignment horizontal="center" vertical="center"/>
    </xf>
    <xf numFmtId="0" fontId="9" fillId="5" borderId="29" xfId="0" applyFont="1" applyFill="1" applyBorder="1" applyAlignment="1">
      <alignment horizontal="center" vertical="center"/>
    </xf>
    <xf numFmtId="0" fontId="0" fillId="0" borderId="0" xfId="0" applyAlignment="1">
      <alignment horizontal="center"/>
    </xf>
    <xf numFmtId="0" fontId="0" fillId="0" borderId="31" xfId="0" applyBorder="1" applyAlignment="1">
      <alignment horizontal="center" vertical="center" wrapText="1"/>
    </xf>
    <xf numFmtId="0" fontId="12" fillId="0" borderId="0" xfId="0" applyFont="1" applyAlignment="1">
      <alignment horizontal="centerContinuous"/>
    </xf>
    <xf numFmtId="0" fontId="3" fillId="0" borderId="32" xfId="0" applyFont="1" applyBorder="1" applyAlignment="1">
      <alignment horizontal="center" vertical="center"/>
    </xf>
    <xf numFmtId="0" fontId="3" fillId="0" borderId="0" xfId="0" applyFont="1" applyAlignment="1">
      <alignment horizontal="center" vertical="center"/>
    </xf>
    <xf numFmtId="0" fontId="10" fillId="3" borderId="30" xfId="0" applyFont="1" applyFill="1" applyBorder="1" applyAlignment="1">
      <alignment horizontal="center" wrapText="1"/>
    </xf>
    <xf numFmtId="0" fontId="14" fillId="3" borderId="23" xfId="0" applyFont="1" applyFill="1" applyBorder="1" applyAlignment="1">
      <alignment horizontal="center" vertical="center"/>
    </xf>
    <xf numFmtId="0" fontId="14" fillId="3" borderId="24" xfId="0" applyFont="1" applyFill="1" applyBorder="1" applyAlignment="1">
      <alignment horizontal="center" vertical="center"/>
    </xf>
    <xf numFmtId="0" fontId="3" fillId="3" borderId="18" xfId="0" applyFont="1" applyFill="1" applyBorder="1" applyAlignment="1">
      <alignment horizontal="center" vertical="center"/>
    </xf>
    <xf numFmtId="0" fontId="3" fillId="0" borderId="33" xfId="0" applyFont="1" applyBorder="1" applyAlignment="1">
      <alignment horizontal="center" vertical="center"/>
    </xf>
    <xf numFmtId="0" fontId="3" fillId="3" borderId="34" xfId="0" applyFont="1" applyFill="1" applyBorder="1" applyAlignment="1">
      <alignment horizontal="center" vertical="center"/>
    </xf>
    <xf numFmtId="0" fontId="0" fillId="3" borderId="27" xfId="0" applyFill="1" applyBorder="1" applyAlignment="1">
      <alignment horizontal="center" vertical="center" wrapText="1"/>
    </xf>
    <xf numFmtId="0" fontId="0" fillId="0" borderId="0" xfId="0" applyAlignment="1">
      <alignment horizontal="centerContinuous"/>
    </xf>
    <xf numFmtId="0" fontId="0" fillId="0" borderId="4" xfId="0" applyBorder="1" applyAlignment="1">
      <alignment horizontal="centerContinuous"/>
    </xf>
    <xf numFmtId="16" fontId="10" fillId="0" borderId="0" xfId="0" applyNumberFormat="1" applyFont="1" applyAlignment="1">
      <alignment horizontal="center"/>
    </xf>
    <xf numFmtId="16" fontId="10" fillId="0" borderId="0" xfId="0" applyNumberFormat="1" applyFont="1" applyAlignment="1">
      <alignment horizontal="centerContinuous"/>
    </xf>
    <xf numFmtId="0" fontId="10" fillId="0" borderId="0" xfId="0" applyFont="1" applyAlignment="1">
      <alignment horizontal="centerContinuous"/>
    </xf>
    <xf numFmtId="0" fontId="2" fillId="0" borderId="0" xfId="0" applyFont="1"/>
    <xf numFmtId="0" fontId="17" fillId="0" borderId="5" xfId="0" applyFont="1" applyBorder="1" applyAlignment="1">
      <alignment horizontal="center" wrapText="1"/>
    </xf>
    <xf numFmtId="0" fontId="21" fillId="3" borderId="35" xfId="0" applyFont="1" applyFill="1" applyBorder="1" applyAlignment="1">
      <alignment horizontal="center" wrapText="1"/>
    </xf>
    <xf numFmtId="0" fontId="1" fillId="0" borderId="0" xfId="0" applyFont="1" applyAlignment="1">
      <alignment horizontal="left" vertical="center"/>
    </xf>
    <xf numFmtId="0" fontId="1" fillId="0" borderId="0" xfId="0" applyFont="1"/>
    <xf numFmtId="164" fontId="3" fillId="0" borderId="0" xfId="0" applyNumberFormat="1" applyFont="1" applyAlignment="1">
      <alignment horizontal="center"/>
    </xf>
    <xf numFmtId="0" fontId="0" fillId="0" borderId="0" xfId="0" applyAlignment="1">
      <alignment wrapText="1"/>
    </xf>
    <xf numFmtId="0" fontId="0" fillId="0" borderId="0" xfId="0" applyAlignment="1">
      <alignment horizontal="center" vertical="center"/>
    </xf>
    <xf numFmtId="0" fontId="25" fillId="6" borderId="37" xfId="0" applyFont="1" applyFill="1" applyBorder="1" applyAlignment="1">
      <alignment horizontal="center" vertical="center"/>
    </xf>
    <xf numFmtId="0" fontId="25" fillId="6" borderId="38" xfId="0" applyFont="1" applyFill="1" applyBorder="1" applyAlignment="1">
      <alignment horizontal="center" vertical="center"/>
    </xf>
    <xf numFmtId="0" fontId="25" fillId="0" borderId="38" xfId="0" applyFont="1" applyBorder="1" applyAlignment="1">
      <alignment horizontal="center" vertical="center"/>
    </xf>
    <xf numFmtId="0" fontId="25" fillId="0" borderId="39" xfId="0" applyFont="1" applyBorder="1" applyAlignment="1">
      <alignment horizontal="right" vertical="center"/>
    </xf>
    <xf numFmtId="0" fontId="24" fillId="0" borderId="40" xfId="0" applyFont="1" applyBorder="1" applyAlignment="1">
      <alignment horizontal="center" vertical="center"/>
    </xf>
    <xf numFmtId="0" fontId="0" fillId="0" borderId="40" xfId="0" applyBorder="1" applyAlignment="1">
      <alignment horizontal="center" vertical="center"/>
    </xf>
    <xf numFmtId="0" fontId="26" fillId="0" borderId="0" xfId="0" applyFont="1" applyAlignment="1">
      <alignment horizontal="center" vertical="center"/>
    </xf>
    <xf numFmtId="0" fontId="0" fillId="0" borderId="41" xfId="0" applyBorder="1" applyAlignment="1">
      <alignment horizontal="center" vertical="center"/>
    </xf>
    <xf numFmtId="0" fontId="0" fillId="0" borderId="42" xfId="0" applyBorder="1" applyAlignment="1">
      <alignment horizontal="center" vertical="center"/>
    </xf>
    <xf numFmtId="0" fontId="0" fillId="0" borderId="43" xfId="0" applyBorder="1" applyAlignment="1">
      <alignment horizontal="center" vertical="center"/>
    </xf>
    <xf numFmtId="0" fontId="24" fillId="0" borderId="44" xfId="0" applyFont="1" applyBorder="1" applyAlignment="1">
      <alignment horizontal="center" vertical="center"/>
    </xf>
    <xf numFmtId="0" fontId="27" fillId="0" borderId="0" xfId="0" applyFont="1"/>
    <xf numFmtId="0" fontId="0" fillId="0" borderId="45" xfId="0" applyBorder="1" applyAlignment="1">
      <alignment horizontal="center" vertical="center"/>
    </xf>
    <xf numFmtId="0" fontId="0" fillId="0" borderId="24" xfId="0" applyBorder="1" applyAlignment="1">
      <alignment horizontal="center" vertical="center"/>
    </xf>
    <xf numFmtId="0" fontId="0" fillId="0" borderId="14" xfId="0" applyBorder="1" applyAlignment="1">
      <alignment horizontal="center" vertical="center"/>
    </xf>
    <xf numFmtId="0" fontId="0" fillId="0" borderId="46"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49" xfId="0" applyBorder="1" applyAlignment="1">
      <alignment horizontal="center" vertical="center"/>
    </xf>
    <xf numFmtId="0" fontId="24" fillId="0" borderId="49" xfId="0" applyFont="1" applyBorder="1" applyAlignment="1">
      <alignment horizontal="center" vertical="center"/>
    </xf>
    <xf numFmtId="0" fontId="0" fillId="0" borderId="50" xfId="0" applyBorder="1" applyAlignment="1">
      <alignment horizontal="center" vertical="center"/>
    </xf>
    <xf numFmtId="16" fontId="26" fillId="0" borderId="51" xfId="0" applyNumberFormat="1" applyFont="1" applyBorder="1" applyAlignment="1">
      <alignment horizontal="center" vertical="center"/>
    </xf>
    <xf numFmtId="0" fontId="25" fillId="6" borderId="39" xfId="0" applyFont="1" applyFill="1" applyBorder="1" applyAlignment="1">
      <alignment horizontal="right" vertical="center"/>
    </xf>
    <xf numFmtId="0" fontId="28" fillId="0" borderId="45" xfId="0" applyFont="1" applyBorder="1" applyAlignment="1">
      <alignment horizontal="center" vertical="center"/>
    </xf>
    <xf numFmtId="0" fontId="29" fillId="0" borderId="45" xfId="0" quotePrefix="1" applyFont="1" applyBorder="1" applyAlignment="1">
      <alignment horizontal="center" vertical="center"/>
    </xf>
    <xf numFmtId="0" fontId="28" fillId="0" borderId="47" xfId="0" applyFont="1" applyBorder="1" applyAlignment="1">
      <alignment horizontal="center" vertical="center"/>
    </xf>
    <xf numFmtId="0" fontId="29" fillId="0" borderId="47" xfId="0" quotePrefix="1" applyFont="1" applyBorder="1" applyAlignment="1">
      <alignment horizontal="center" vertical="center"/>
    </xf>
    <xf numFmtId="0" fontId="0" fillId="0" borderId="52" xfId="0" applyBorder="1" applyAlignment="1">
      <alignment horizontal="center" vertical="center"/>
    </xf>
    <xf numFmtId="0" fontId="0" fillId="0" borderId="53" xfId="0" applyBorder="1" applyAlignment="1">
      <alignment horizontal="center" vertical="center"/>
    </xf>
    <xf numFmtId="0" fontId="0" fillId="0" borderId="54" xfId="0" applyBorder="1" applyAlignment="1">
      <alignment horizontal="center" vertical="center"/>
    </xf>
    <xf numFmtId="16" fontId="26" fillId="0" borderId="0" xfId="0" applyNumberFormat="1" applyFont="1" applyAlignment="1">
      <alignment horizontal="center" vertical="center"/>
    </xf>
    <xf numFmtId="9" fontId="0" fillId="0" borderId="0" xfId="0" applyNumberFormat="1" applyAlignment="1">
      <alignment horizontal="center" vertical="center"/>
    </xf>
    <xf numFmtId="16" fontId="0" fillId="0" borderId="0" xfId="0" applyNumberFormat="1" applyAlignment="1">
      <alignment horizontal="center" vertical="center"/>
    </xf>
    <xf numFmtId="15" fontId="0" fillId="0" borderId="0" xfId="0" applyNumberFormat="1" applyAlignment="1">
      <alignment horizontal="center" vertical="center"/>
    </xf>
    <xf numFmtId="0" fontId="31" fillId="0" borderId="0" xfId="0" applyFont="1"/>
    <xf numFmtId="0" fontId="24" fillId="0" borderId="0" xfId="0" applyFont="1"/>
    <xf numFmtId="0" fontId="32" fillId="0" borderId="0" xfId="0" applyFont="1"/>
    <xf numFmtId="0" fontId="32" fillId="0" borderId="0" xfId="0" applyFont="1" applyAlignment="1">
      <alignment horizontal="center"/>
    </xf>
    <xf numFmtId="49" fontId="0" fillId="0" borderId="0" xfId="0" applyNumberFormat="1"/>
    <xf numFmtId="49" fontId="0" fillId="0" borderId="0" xfId="0" applyNumberFormat="1" applyAlignment="1">
      <alignment horizontal="center" vertical="center"/>
    </xf>
    <xf numFmtId="49" fontId="33" fillId="0" borderId="0" xfId="0" applyNumberFormat="1" applyFont="1" applyAlignment="1">
      <alignment horizontal="center" vertical="center"/>
    </xf>
    <xf numFmtId="49" fontId="0" fillId="0" borderId="41" xfId="0" applyNumberFormat="1" applyBorder="1" applyAlignment="1">
      <alignment horizontal="center" vertical="center"/>
    </xf>
    <xf numFmtId="49" fontId="33" fillId="0" borderId="42" xfId="0" applyNumberFormat="1" applyFont="1" applyBorder="1" applyAlignment="1">
      <alignment horizontal="center" vertical="center"/>
    </xf>
    <xf numFmtId="0" fontId="24" fillId="0" borderId="43" xfId="0" applyFont="1" applyBorder="1" applyAlignment="1">
      <alignment horizontal="center" vertical="center"/>
    </xf>
    <xf numFmtId="0" fontId="0" fillId="0" borderId="55" xfId="0" applyBorder="1" applyAlignment="1">
      <alignment horizontal="center" vertical="center"/>
    </xf>
    <xf numFmtId="49" fontId="0" fillId="0" borderId="45" xfId="0" applyNumberFormat="1" applyBorder="1" applyAlignment="1">
      <alignment horizontal="center" vertical="center"/>
    </xf>
    <xf numFmtId="49" fontId="33" fillId="0" borderId="24" xfId="0" applyNumberFormat="1" applyFont="1" applyBorder="1" applyAlignment="1">
      <alignment horizontal="center" vertical="center"/>
    </xf>
    <xf numFmtId="49" fontId="0" fillId="0" borderId="47" xfId="0" applyNumberFormat="1" applyBorder="1" applyAlignment="1">
      <alignment horizontal="center" vertical="center"/>
    </xf>
    <xf numFmtId="49" fontId="33" fillId="0" borderId="48" xfId="0" applyNumberFormat="1" applyFont="1" applyBorder="1" applyAlignment="1">
      <alignment horizontal="center" vertical="center"/>
    </xf>
    <xf numFmtId="49" fontId="28" fillId="0" borderId="0" xfId="0" applyNumberFormat="1" applyFont="1" applyAlignment="1">
      <alignment horizontal="center" vertical="center"/>
    </xf>
    <xf numFmtId="49" fontId="29" fillId="0" borderId="0" xfId="0" quotePrefix="1" applyNumberFormat="1" applyFont="1" applyAlignment="1">
      <alignment horizontal="center" vertical="center"/>
    </xf>
    <xf numFmtId="49" fontId="28" fillId="0" borderId="45" xfId="0" applyNumberFormat="1" applyFont="1" applyBorder="1" applyAlignment="1">
      <alignment horizontal="center" vertical="center"/>
    </xf>
    <xf numFmtId="49" fontId="29" fillId="0" borderId="45" xfId="0" quotePrefix="1" applyNumberFormat="1" applyFont="1" applyBorder="1" applyAlignment="1">
      <alignment horizontal="center" vertical="center"/>
    </xf>
    <xf numFmtId="49" fontId="28" fillId="0" borderId="47" xfId="0" applyNumberFormat="1" applyFont="1" applyBorder="1" applyAlignment="1">
      <alignment horizontal="center" vertical="center"/>
    </xf>
    <xf numFmtId="49" fontId="29" fillId="0" borderId="47" xfId="0" quotePrefix="1" applyNumberFormat="1" applyFont="1" applyBorder="1" applyAlignment="1">
      <alignment horizontal="center" vertical="center"/>
    </xf>
    <xf numFmtId="9" fontId="0" fillId="0" borderId="0" xfId="0" applyNumberFormat="1"/>
    <xf numFmtId="0" fontId="33" fillId="0" borderId="0" xfId="0" applyFont="1" applyAlignment="1">
      <alignment horizontal="center" vertical="center"/>
    </xf>
    <xf numFmtId="16" fontId="33" fillId="0" borderId="0" xfId="0" applyNumberFormat="1" applyFont="1" applyAlignment="1">
      <alignment horizontal="center" vertical="center"/>
    </xf>
    <xf numFmtId="0" fontId="33" fillId="0" borderId="0" xfId="0" applyFont="1" applyAlignment="1">
      <alignment wrapText="1"/>
    </xf>
    <xf numFmtId="0" fontId="34" fillId="0" borderId="0" xfId="0" applyFont="1"/>
    <xf numFmtId="0" fontId="34" fillId="0" borderId="0" xfId="0" applyFont="1" applyAlignment="1">
      <alignment horizontal="centerContinuous"/>
    </xf>
    <xf numFmtId="0" fontId="34" fillId="0" borderId="0" xfId="0" applyFont="1" applyAlignment="1">
      <alignment horizontal="centerContinuous" wrapText="1"/>
    </xf>
    <xf numFmtId="0" fontId="35" fillId="0" borderId="0" xfId="0" applyFont="1"/>
    <xf numFmtId="0" fontId="35" fillId="0" borderId="0" xfId="0" applyFont="1" applyAlignment="1">
      <alignment horizontal="center"/>
    </xf>
    <xf numFmtId="165" fontId="0" fillId="0" borderId="0" xfId="0" applyNumberFormat="1"/>
    <xf numFmtId="0" fontId="37" fillId="7" borderId="14" xfId="0" applyFont="1" applyFill="1" applyBorder="1" applyAlignment="1">
      <alignment horizontal="center" vertical="center" wrapText="1"/>
    </xf>
    <xf numFmtId="0" fontId="31" fillId="0" borderId="14" xfId="0" applyFont="1" applyBorder="1" applyAlignment="1">
      <alignment horizontal="center" vertical="center"/>
    </xf>
    <xf numFmtId="0" fontId="31" fillId="0" borderId="21" xfId="0" applyFont="1" applyBorder="1" applyAlignment="1">
      <alignment horizontal="center" vertical="center"/>
    </xf>
    <xf numFmtId="0" fontId="31" fillId="7" borderId="14" xfId="0" applyFont="1" applyFill="1" applyBorder="1" applyAlignment="1">
      <alignment horizontal="center" vertical="center"/>
    </xf>
    <xf numFmtId="0" fontId="31" fillId="7" borderId="14" xfId="0" applyFont="1" applyFill="1" applyBorder="1" applyAlignment="1">
      <alignment horizontal="center" vertical="center" wrapText="1"/>
    </xf>
    <xf numFmtId="0" fontId="24" fillId="0" borderId="0" xfId="0" applyFont="1" applyAlignment="1">
      <alignment horizontal="center" vertical="center"/>
    </xf>
    <xf numFmtId="0" fontId="0" fillId="8" borderId="0" xfId="0" applyFill="1"/>
    <xf numFmtId="2" fontId="36" fillId="8" borderId="0" xfId="0" applyNumberFormat="1" applyFont="1" applyFill="1" applyAlignment="1">
      <alignment horizontal="center" vertical="center"/>
    </xf>
    <xf numFmtId="0" fontId="35" fillId="8" borderId="0" xfId="0" applyFont="1" applyFill="1" applyAlignment="1">
      <alignment horizontal="right" vertical="center"/>
    </xf>
    <xf numFmtId="0" fontId="24" fillId="0" borderId="0" xfId="0" applyFont="1" applyAlignment="1">
      <alignment horizontal="centerContinuous" vertical="center"/>
    </xf>
    <xf numFmtId="15" fontId="24" fillId="0" borderId="0" xfId="0" applyNumberFormat="1" applyFont="1" applyAlignment="1">
      <alignment horizontal="centerContinuous" vertical="center"/>
    </xf>
    <xf numFmtId="0" fontId="24" fillId="8" borderId="56" xfId="0" applyFont="1" applyFill="1" applyBorder="1" applyAlignment="1">
      <alignment horizontal="center" vertical="center"/>
    </xf>
    <xf numFmtId="0" fontId="31" fillId="7" borderId="57" xfId="0" applyFont="1" applyFill="1" applyBorder="1" applyAlignment="1">
      <alignment horizontal="center" vertical="center"/>
    </xf>
    <xf numFmtId="0" fontId="31" fillId="0" borderId="57" xfId="0" quotePrefix="1" applyFont="1" applyBorder="1" applyAlignment="1">
      <alignment horizontal="center" vertical="center"/>
    </xf>
    <xf numFmtId="0" fontId="31" fillId="0" borderId="58" xfId="0" applyFont="1" applyBorder="1" applyAlignment="1">
      <alignment horizontal="center" vertical="center"/>
    </xf>
    <xf numFmtId="0" fontId="24" fillId="0" borderId="56" xfId="0" applyFont="1" applyBorder="1" applyAlignment="1">
      <alignment horizontal="center" vertical="center"/>
    </xf>
    <xf numFmtId="0" fontId="31" fillId="7" borderId="59" xfId="0" applyFont="1" applyFill="1" applyBorder="1" applyAlignment="1">
      <alignment horizontal="center" vertical="center"/>
    </xf>
    <xf numFmtId="0" fontId="31" fillId="0" borderId="59" xfId="0" applyFont="1" applyBorder="1" applyAlignment="1">
      <alignment horizontal="center" vertical="center"/>
    </xf>
    <xf numFmtId="0" fontId="31" fillId="0" borderId="60" xfId="0" applyFont="1" applyBorder="1" applyAlignment="1">
      <alignment horizontal="center" vertical="center"/>
    </xf>
    <xf numFmtId="0" fontId="24" fillId="0" borderId="61" xfId="0" applyFont="1" applyBorder="1" applyAlignment="1">
      <alignment horizontal="center" vertical="center"/>
    </xf>
    <xf numFmtId="0" fontId="31" fillId="0" borderId="44" xfId="0" applyFont="1" applyBorder="1" applyAlignment="1">
      <alignment horizontal="center" vertical="center"/>
    </xf>
    <xf numFmtId="0" fontId="31" fillId="0" borderId="62" xfId="0" applyFont="1" applyBorder="1" applyAlignment="1">
      <alignment horizontal="center" vertical="center"/>
    </xf>
    <xf numFmtId="0" fontId="24" fillId="8" borderId="11" xfId="0" applyFont="1" applyFill="1" applyBorder="1" applyAlignment="1">
      <alignment horizontal="center" vertical="center"/>
    </xf>
    <xf numFmtId="0" fontId="24" fillId="8" borderId="63" xfId="0" applyFont="1" applyFill="1" applyBorder="1" applyAlignment="1">
      <alignment horizontal="center" vertical="center"/>
    </xf>
    <xf numFmtId="0" fontId="31" fillId="2" borderId="64" xfId="0" applyFont="1" applyFill="1" applyBorder="1" applyAlignment="1">
      <alignment horizontal="center" vertical="center"/>
    </xf>
    <xf numFmtId="0" fontId="32" fillId="2" borderId="64" xfId="0" applyFont="1" applyFill="1" applyBorder="1" applyAlignment="1">
      <alignment horizontal="center" vertical="center"/>
    </xf>
    <xf numFmtId="0" fontId="31" fillId="2" borderId="65" xfId="0" applyFont="1" applyFill="1" applyBorder="1" applyAlignment="1">
      <alignment horizontal="center" vertical="center"/>
    </xf>
    <xf numFmtId="0" fontId="0" fillId="2" borderId="66" xfId="0" applyFill="1" applyBorder="1" applyAlignment="1">
      <alignment horizontal="center" vertical="center"/>
    </xf>
    <xf numFmtId="0" fontId="31" fillId="2" borderId="67" xfId="0" applyFont="1" applyFill="1" applyBorder="1" applyAlignment="1">
      <alignment horizontal="center" vertical="center"/>
    </xf>
    <xf numFmtId="0" fontId="32" fillId="2" borderId="67" xfId="0" applyFont="1" applyFill="1" applyBorder="1" applyAlignment="1">
      <alignment horizontal="center" vertical="center"/>
    </xf>
    <xf numFmtId="0" fontId="31" fillId="2" borderId="68" xfId="0" applyFont="1" applyFill="1" applyBorder="1" applyAlignment="1">
      <alignment horizontal="center" vertical="center"/>
    </xf>
    <xf numFmtId="0" fontId="0" fillId="2" borderId="11" xfId="0" applyFill="1" applyBorder="1" applyAlignment="1">
      <alignment horizontal="center" vertical="center"/>
    </xf>
    <xf numFmtId="166" fontId="24" fillId="0" borderId="0" xfId="0" applyNumberFormat="1" applyFont="1" applyAlignment="1">
      <alignment horizontal="centerContinuous" vertical="center"/>
    </xf>
    <xf numFmtId="0" fontId="31" fillId="0" borderId="57" xfId="0" applyFont="1" applyBorder="1" applyAlignment="1">
      <alignment horizontal="center" vertical="center"/>
    </xf>
    <xf numFmtId="0" fontId="24" fillId="8" borderId="69" xfId="0" applyFont="1" applyFill="1" applyBorder="1" applyAlignment="1">
      <alignment horizontal="center" vertical="center"/>
    </xf>
    <xf numFmtId="0" fontId="31" fillId="7" borderId="13" xfId="0" applyFont="1" applyFill="1" applyBorder="1" applyAlignment="1">
      <alignment horizontal="center" vertical="center"/>
    </xf>
    <xf numFmtId="0" fontId="0" fillId="2" borderId="70" xfId="0" applyFill="1" applyBorder="1" applyAlignment="1">
      <alignment horizontal="center" vertical="center"/>
    </xf>
    <xf numFmtId="0" fontId="31" fillId="0" borderId="13" xfId="0" applyFont="1" applyBorder="1" applyAlignment="1">
      <alignment horizontal="center" vertical="center"/>
    </xf>
    <xf numFmtId="0" fontId="31" fillId="0" borderId="20" xfId="0" applyFont="1" applyBorder="1" applyAlignment="1">
      <alignment horizontal="center" vertical="center"/>
    </xf>
    <xf numFmtId="0" fontId="24" fillId="0" borderId="11" xfId="0" applyFont="1" applyBorder="1" applyAlignment="1">
      <alignment horizontal="center" vertical="center"/>
    </xf>
    <xf numFmtId="0" fontId="31" fillId="7" borderId="54" xfId="0" applyFont="1" applyFill="1" applyBorder="1" applyAlignment="1">
      <alignment horizontal="center" vertical="center"/>
    </xf>
    <xf numFmtId="0" fontId="31" fillId="0" borderId="54" xfId="0" applyFont="1" applyBorder="1" applyAlignment="1">
      <alignment horizontal="center" vertical="center"/>
    </xf>
    <xf numFmtId="0" fontId="38" fillId="8" borderId="0" xfId="0" applyFont="1" applyFill="1" applyAlignment="1">
      <alignment horizontal="centerContinuous" wrapText="1"/>
    </xf>
    <xf numFmtId="0" fontId="39" fillId="8" borderId="0" xfId="0" applyFont="1" applyFill="1" applyAlignment="1">
      <alignment horizontal="centerContinuous" wrapText="1"/>
    </xf>
    <xf numFmtId="0" fontId="24" fillId="0" borderId="0" xfId="0" applyFont="1" applyAlignment="1">
      <alignment horizontal="center"/>
    </xf>
    <xf numFmtId="0" fontId="42" fillId="0" borderId="0" xfId="0" applyFont="1" applyAlignment="1">
      <alignment horizontal="centerContinuous"/>
    </xf>
    <xf numFmtId="0" fontId="35" fillId="0" borderId="0" xfId="0" applyFont="1" applyAlignment="1">
      <alignment horizontal="centerContinuous"/>
    </xf>
    <xf numFmtId="0" fontId="0" fillId="0" borderId="0" xfId="0" applyAlignment="1">
      <alignment horizontal="centerContinuous" wrapText="1"/>
    </xf>
    <xf numFmtId="0" fontId="4" fillId="0" borderId="0" xfId="0" applyFont="1" applyAlignment="1">
      <alignment horizontal="centerContinuous" vertical="center" wrapText="1"/>
    </xf>
    <xf numFmtId="0" fontId="24" fillId="0" borderId="0" xfId="0" applyFont="1" applyAlignment="1">
      <alignment horizontal="centerContinuous" wrapText="1"/>
    </xf>
    <xf numFmtId="2" fontId="0" fillId="0" borderId="0" xfId="0" applyNumberFormat="1"/>
    <xf numFmtId="0" fontId="1" fillId="0" borderId="0" xfId="0" applyFont="1" applyAlignment="1">
      <alignment horizontal="center" vertical="center"/>
    </xf>
    <xf numFmtId="165" fontId="7" fillId="3" borderId="8" xfId="0" applyNumberFormat="1" applyFont="1" applyFill="1" applyBorder="1" applyAlignment="1">
      <alignment horizontal="center" vertical="center"/>
    </xf>
    <xf numFmtId="165" fontId="7" fillId="3" borderId="7" xfId="0" applyNumberFormat="1" applyFont="1" applyFill="1" applyBorder="1" applyAlignment="1">
      <alignment horizontal="center" vertical="center"/>
    </xf>
    <xf numFmtId="0" fontId="7" fillId="3" borderId="71" xfId="0" applyFont="1" applyFill="1" applyBorder="1" applyAlignment="1">
      <alignment horizontal="center" wrapText="1"/>
    </xf>
    <xf numFmtId="0" fontId="7" fillId="0" borderId="71" xfId="0" applyFont="1" applyBorder="1" applyAlignment="1">
      <alignment horizontal="center" wrapText="1"/>
    </xf>
    <xf numFmtId="0" fontId="7" fillId="0" borderId="3" xfId="0" applyFont="1" applyBorder="1" applyAlignment="1">
      <alignment horizontal="centerContinuous" wrapText="1"/>
    </xf>
    <xf numFmtId="0" fontId="7" fillId="0" borderId="3" xfId="0" applyFont="1" applyBorder="1" applyAlignment="1">
      <alignment horizontal="center" wrapText="1"/>
    </xf>
    <xf numFmtId="0" fontId="1" fillId="0" borderId="2" xfId="0" applyFont="1" applyBorder="1"/>
    <xf numFmtId="0" fontId="1" fillId="0" borderId="6" xfId="0" applyFont="1" applyBorder="1"/>
    <xf numFmtId="166" fontId="1" fillId="0" borderId="6" xfId="0" applyNumberFormat="1" applyFont="1" applyBorder="1"/>
    <xf numFmtId="0" fontId="5" fillId="0" borderId="0" xfId="0" applyFont="1"/>
    <xf numFmtId="0" fontId="1" fillId="0" borderId="32" xfId="0" applyFont="1" applyBorder="1" applyAlignment="1">
      <alignment horizontal="center" vertical="center"/>
    </xf>
    <xf numFmtId="0" fontId="14" fillId="3" borderId="10" xfId="0" applyFont="1" applyFill="1" applyBorder="1" applyAlignment="1">
      <alignment horizontal="center" vertical="center"/>
    </xf>
    <xf numFmtId="0" fontId="14" fillId="3" borderId="9" xfId="0" applyFont="1" applyFill="1" applyBorder="1" applyAlignment="1">
      <alignment horizontal="center" vertical="center"/>
    </xf>
    <xf numFmtId="0" fontId="7" fillId="0" borderId="72" xfId="0" applyFont="1" applyBorder="1" applyAlignment="1">
      <alignment horizontal="center" wrapText="1"/>
    </xf>
    <xf numFmtId="0" fontId="7" fillId="0" borderId="4" xfId="0" applyFont="1" applyBorder="1" applyAlignment="1">
      <alignment horizontal="centerContinuous" wrapText="1"/>
    </xf>
    <xf numFmtId="0" fontId="14" fillId="0" borderId="7" xfId="0" quotePrefix="1" applyFont="1" applyBorder="1" applyAlignment="1">
      <alignment horizontal="center" vertical="center"/>
    </xf>
    <xf numFmtId="0" fontId="14" fillId="0" borderId="0" xfId="0" quotePrefix="1" applyFont="1"/>
    <xf numFmtId="1" fontId="0" fillId="0" borderId="0" xfId="0" applyNumberFormat="1"/>
    <xf numFmtId="165" fontId="1" fillId="0" borderId="0" xfId="0" applyNumberFormat="1" applyFont="1"/>
    <xf numFmtId="0" fontId="14" fillId="3" borderId="73" xfId="0" quotePrefix="1" applyFont="1" applyFill="1" applyBorder="1" applyAlignment="1">
      <alignment horizontal="center" vertical="center"/>
    </xf>
    <xf numFmtId="0" fontId="14" fillId="0" borderId="8" xfId="0" quotePrefix="1" applyFont="1" applyBorder="1" applyAlignment="1">
      <alignment horizontal="center" vertical="center"/>
    </xf>
    <xf numFmtId="0" fontId="14" fillId="3" borderId="74" xfId="0" quotePrefix="1" applyFont="1" applyFill="1" applyBorder="1" applyAlignment="1">
      <alignment horizontal="center" vertical="center"/>
    </xf>
    <xf numFmtId="0" fontId="7" fillId="3" borderId="75" xfId="0" applyFont="1" applyFill="1" applyBorder="1" applyAlignment="1">
      <alignment horizontal="center" wrapText="1"/>
    </xf>
    <xf numFmtId="0" fontId="14" fillId="0" borderId="0" xfId="0" applyFont="1"/>
    <xf numFmtId="0" fontId="14" fillId="0" borderId="2" xfId="0" applyFont="1" applyBorder="1"/>
    <xf numFmtId="0" fontId="14" fillId="0" borderId="6" xfId="0" applyFont="1" applyBorder="1"/>
    <xf numFmtId="166" fontId="14" fillId="0" borderId="6" xfId="0" applyNumberFormat="1" applyFont="1" applyBorder="1"/>
    <xf numFmtId="167" fontId="0" fillId="0" borderId="0" xfId="0" applyNumberFormat="1"/>
    <xf numFmtId="0" fontId="16" fillId="0" borderId="0" xfId="0" applyFont="1" applyAlignment="1">
      <alignment horizontal="center" vertical="center" wrapText="1"/>
    </xf>
    <xf numFmtId="0" fontId="22" fillId="0" borderId="0" xfId="0" applyFont="1" applyAlignment="1">
      <alignment horizontal="center" vertical="center" wrapText="1"/>
    </xf>
    <xf numFmtId="0" fontId="18" fillId="0" borderId="3" xfId="0" applyFont="1" applyBorder="1" applyAlignment="1">
      <alignment horizontal="center"/>
    </xf>
    <xf numFmtId="0" fontId="0" fillId="0" borderId="0" xfId="0" applyAlignment="1">
      <alignment horizontal="center"/>
    </xf>
    <xf numFmtId="16" fontId="10" fillId="0" borderId="3" xfId="0" applyNumberFormat="1" applyFont="1" applyBorder="1" applyAlignment="1">
      <alignment horizontal="center"/>
    </xf>
    <xf numFmtId="0" fontId="0" fillId="0" borderId="4" xfId="0" applyBorder="1" applyAlignment="1">
      <alignment horizontal="center"/>
    </xf>
    <xf numFmtId="0" fontId="10" fillId="0" borderId="3" xfId="0" applyFont="1" applyBorder="1" applyAlignment="1">
      <alignment horizontal="center"/>
    </xf>
    <xf numFmtId="0" fontId="10" fillId="0" borderId="4" xfId="0" applyFont="1" applyBorder="1" applyAlignment="1">
      <alignment horizontal="center"/>
    </xf>
    <xf numFmtId="0" fontId="10" fillId="0" borderId="0" xfId="0" applyFont="1" applyAlignment="1">
      <alignment horizontal="center"/>
    </xf>
    <xf numFmtId="0" fontId="0" fillId="0" borderId="36" xfId="0" applyBorder="1" applyAlignment="1">
      <alignment wrapText="1"/>
    </xf>
    <xf numFmtId="0" fontId="0" fillId="0" borderId="0" xfId="0" applyAlignment="1">
      <alignment wrapText="1"/>
    </xf>
    <xf numFmtId="0" fontId="30" fillId="0" borderId="0" xfId="0" applyFont="1" applyAlignment="1">
      <alignment horizontal="center" wrapText="1"/>
    </xf>
    <xf numFmtId="0" fontId="30" fillId="0" borderId="12" xfId="0" applyFont="1" applyBorder="1" applyAlignment="1">
      <alignment horizontal="center" wrapText="1"/>
    </xf>
    <xf numFmtId="0" fontId="23" fillId="0" borderId="36" xfId="0" applyFont="1" applyBorder="1" applyAlignment="1">
      <alignment vertical="top" wrapText="1"/>
    </xf>
    <xf numFmtId="0" fontId="0" fillId="0" borderId="0" xfId="0" applyAlignment="1">
      <alignment vertical="top" wrapText="1"/>
    </xf>
    <xf numFmtId="0" fontId="26" fillId="0" borderId="51" xfId="0" applyFont="1" applyBorder="1" applyAlignment="1">
      <alignment horizontal="center" vertical="center" wrapText="1"/>
    </xf>
    <xf numFmtId="0" fontId="0" fillId="0" borderId="0" xfId="0" applyAlignment="1">
      <alignment horizontal="center" vertical="center" wrapText="1"/>
    </xf>
    <xf numFmtId="0" fontId="26" fillId="0" borderId="0" xfId="0" applyFont="1" applyAlignment="1">
      <alignment horizontal="center" vertical="center" wrapText="1"/>
    </xf>
    <xf numFmtId="0" fontId="31" fillId="7" borderId="67" xfId="0" applyFont="1" applyFill="1" applyBorder="1" applyAlignment="1">
      <alignment horizontal="center" vertical="center" wrapText="1"/>
    </xf>
    <xf numFmtId="0" fontId="31" fillId="0" borderId="33" xfId="0" applyFont="1" applyBorder="1" applyAlignment="1">
      <alignment horizontal="center" vertical="center" wrapText="1"/>
    </xf>
  </cellXfs>
  <cellStyles count="2">
    <cellStyle name="Normal" xfId="0" builtinId="0"/>
    <cellStyle name="Normal 2" xfId="1" xr:uid="{2C8844DB-2BA3-4BCB-95F6-D6B3C45C8919}"/>
  </cellStyles>
  <dxfs count="0"/>
  <tableStyles count="0" defaultTableStyle="TableStyleMedium2" defaultPivotStyle="PivotStyleLight16"/>
  <colors>
    <mruColors>
      <color rgb="FFFFE5E6"/>
      <color rgb="FFFF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Emergence!$D$9</c:f>
              <c:strCache>
                <c:ptCount val="1"/>
                <c:pt idx="0">
                  <c:v>Trt 1</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Emergence!$F$8:$L$8</c:f>
              <c:numCache>
                <c:formatCode>General</c:formatCode>
                <c:ptCount val="7"/>
                <c:pt idx="0">
                  <c:v>127</c:v>
                </c:pt>
                <c:pt idx="1">
                  <c:v>128</c:v>
                </c:pt>
                <c:pt idx="2">
                  <c:v>129</c:v>
                </c:pt>
                <c:pt idx="3">
                  <c:v>132</c:v>
                </c:pt>
                <c:pt idx="4">
                  <c:v>133</c:v>
                </c:pt>
                <c:pt idx="5">
                  <c:v>136</c:v>
                </c:pt>
                <c:pt idx="6">
                  <c:v>141</c:v>
                </c:pt>
              </c:numCache>
            </c:numRef>
          </c:cat>
          <c:val>
            <c:numRef>
              <c:f>Emergence!$F$12:$L$12</c:f>
              <c:numCache>
                <c:formatCode>General</c:formatCode>
                <c:ptCount val="7"/>
                <c:pt idx="0">
                  <c:v>19</c:v>
                </c:pt>
                <c:pt idx="1">
                  <c:v>18</c:v>
                </c:pt>
                <c:pt idx="2">
                  <c:v>19</c:v>
                </c:pt>
                <c:pt idx="3">
                  <c:v>20</c:v>
                </c:pt>
                <c:pt idx="4">
                  <c:v>20</c:v>
                </c:pt>
                <c:pt idx="5">
                  <c:v>20</c:v>
                </c:pt>
                <c:pt idx="6">
                  <c:v>19</c:v>
                </c:pt>
              </c:numCache>
            </c:numRef>
          </c:val>
          <c:smooth val="0"/>
          <c:extLst>
            <c:ext xmlns:c16="http://schemas.microsoft.com/office/drawing/2014/chart" uri="{C3380CC4-5D6E-409C-BE32-E72D297353CC}">
              <c16:uniqueId val="{00000000-F937-4B28-B0A0-F590B609D69C}"/>
            </c:ext>
          </c:extLst>
        </c:ser>
        <c:ser>
          <c:idx val="1"/>
          <c:order val="1"/>
          <c:tx>
            <c:strRef>
              <c:f>Emergence!$D$13</c:f>
              <c:strCache>
                <c:ptCount val="1"/>
                <c:pt idx="0">
                  <c:v>Trt 2</c:v>
                </c:pt>
              </c:strCache>
            </c:strRef>
          </c:tx>
          <c:spPr>
            <a:ln w="31750" cap="rnd">
              <a:solidFill>
                <a:schemeClr val="accent2"/>
              </a:solidFill>
              <a:round/>
            </a:ln>
            <a:effectLst/>
          </c:spPr>
          <c:marker>
            <c:symbol val="circle"/>
            <c:size val="17"/>
            <c:spPr>
              <a:solidFill>
                <a:schemeClr val="accent2"/>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Emergence!$F$16:$L$16</c:f>
              <c:numCache>
                <c:formatCode>General</c:formatCode>
                <c:ptCount val="7"/>
                <c:pt idx="0">
                  <c:v>13</c:v>
                </c:pt>
                <c:pt idx="1">
                  <c:v>17</c:v>
                </c:pt>
                <c:pt idx="2">
                  <c:v>17</c:v>
                </c:pt>
                <c:pt idx="3">
                  <c:v>19</c:v>
                </c:pt>
                <c:pt idx="4">
                  <c:v>18</c:v>
                </c:pt>
                <c:pt idx="6">
                  <c:v>19</c:v>
                </c:pt>
              </c:numCache>
            </c:numRef>
          </c:val>
          <c:smooth val="0"/>
          <c:extLst>
            <c:ext xmlns:c16="http://schemas.microsoft.com/office/drawing/2014/chart" uri="{C3380CC4-5D6E-409C-BE32-E72D297353CC}">
              <c16:uniqueId val="{00000001-F937-4B28-B0A0-F590B609D69C}"/>
            </c:ext>
          </c:extLst>
        </c:ser>
        <c:ser>
          <c:idx val="2"/>
          <c:order val="2"/>
          <c:tx>
            <c:strRef>
              <c:f>Emergence!$D$17</c:f>
              <c:strCache>
                <c:ptCount val="1"/>
                <c:pt idx="0">
                  <c:v>Trt 3</c:v>
                </c:pt>
              </c:strCache>
            </c:strRef>
          </c:tx>
          <c:spPr>
            <a:ln w="31750" cap="rnd">
              <a:solidFill>
                <a:schemeClr val="accent3"/>
              </a:solidFill>
              <a:round/>
            </a:ln>
            <a:effectLst/>
          </c:spPr>
          <c:marker>
            <c:symbol val="circle"/>
            <c:size val="17"/>
            <c:spPr>
              <a:solidFill>
                <a:schemeClr val="accent3"/>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Emergence!$F$20:$L$20</c:f>
              <c:numCache>
                <c:formatCode>General</c:formatCode>
                <c:ptCount val="7"/>
                <c:pt idx="0">
                  <c:v>13</c:v>
                </c:pt>
                <c:pt idx="1">
                  <c:v>18</c:v>
                </c:pt>
                <c:pt idx="2">
                  <c:v>20</c:v>
                </c:pt>
                <c:pt idx="3">
                  <c:v>24</c:v>
                </c:pt>
                <c:pt idx="4">
                  <c:v>23</c:v>
                </c:pt>
                <c:pt idx="5">
                  <c:v>23</c:v>
                </c:pt>
                <c:pt idx="6">
                  <c:v>24</c:v>
                </c:pt>
              </c:numCache>
            </c:numRef>
          </c:val>
          <c:smooth val="0"/>
          <c:extLst>
            <c:ext xmlns:c16="http://schemas.microsoft.com/office/drawing/2014/chart" uri="{C3380CC4-5D6E-409C-BE32-E72D297353CC}">
              <c16:uniqueId val="{00000002-F937-4B28-B0A0-F590B609D69C}"/>
            </c:ext>
          </c:extLst>
        </c:ser>
        <c:ser>
          <c:idx val="3"/>
          <c:order val="3"/>
          <c:tx>
            <c:strRef>
              <c:f>Emergence!$D$21</c:f>
              <c:strCache>
                <c:ptCount val="1"/>
                <c:pt idx="0">
                  <c:v>Trt 4</c:v>
                </c:pt>
              </c:strCache>
            </c:strRef>
          </c:tx>
          <c:spPr>
            <a:ln w="31750" cap="rnd">
              <a:solidFill>
                <a:schemeClr val="accent4"/>
              </a:solidFill>
              <a:round/>
            </a:ln>
            <a:effectLst/>
          </c:spPr>
          <c:marker>
            <c:symbol val="circle"/>
            <c:size val="17"/>
            <c:spPr>
              <a:solidFill>
                <a:schemeClr val="accent4"/>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Emergence!$F$24:$L$24</c:f>
              <c:numCache>
                <c:formatCode>General</c:formatCode>
                <c:ptCount val="7"/>
                <c:pt idx="0">
                  <c:v>9</c:v>
                </c:pt>
                <c:pt idx="1">
                  <c:v>12</c:v>
                </c:pt>
                <c:pt idx="2">
                  <c:v>15</c:v>
                </c:pt>
                <c:pt idx="3">
                  <c:v>19</c:v>
                </c:pt>
                <c:pt idx="4">
                  <c:v>19</c:v>
                </c:pt>
                <c:pt idx="5">
                  <c:v>20</c:v>
                </c:pt>
                <c:pt idx="6">
                  <c:v>21</c:v>
                </c:pt>
              </c:numCache>
            </c:numRef>
          </c:val>
          <c:smooth val="0"/>
          <c:extLst>
            <c:ext xmlns:c16="http://schemas.microsoft.com/office/drawing/2014/chart" uri="{C3380CC4-5D6E-409C-BE32-E72D297353CC}">
              <c16:uniqueId val="{00000003-F937-4B28-B0A0-F590B609D69C}"/>
            </c:ext>
          </c:extLst>
        </c:ser>
        <c:ser>
          <c:idx val="4"/>
          <c:order val="4"/>
          <c:tx>
            <c:strRef>
              <c:f>Emergence!$D$25</c:f>
              <c:strCache>
                <c:ptCount val="1"/>
                <c:pt idx="0">
                  <c:v>Trt 5</c:v>
                </c:pt>
              </c:strCache>
            </c:strRef>
          </c:tx>
          <c:spPr>
            <a:ln w="31750" cap="rnd">
              <a:solidFill>
                <a:schemeClr val="accent5"/>
              </a:solidFill>
              <a:round/>
            </a:ln>
            <a:effectLst/>
          </c:spPr>
          <c:marker>
            <c:symbol val="circle"/>
            <c:size val="17"/>
            <c:spPr>
              <a:solidFill>
                <a:schemeClr val="accent5"/>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Emergence!$F$28:$L$28</c:f>
              <c:numCache>
                <c:formatCode>General</c:formatCode>
                <c:ptCount val="7"/>
                <c:pt idx="0">
                  <c:v>4</c:v>
                </c:pt>
                <c:pt idx="1">
                  <c:v>8</c:v>
                </c:pt>
                <c:pt idx="2">
                  <c:v>12</c:v>
                </c:pt>
                <c:pt idx="3">
                  <c:v>20</c:v>
                </c:pt>
                <c:pt idx="4">
                  <c:v>20</c:v>
                </c:pt>
                <c:pt idx="5">
                  <c:v>21</c:v>
                </c:pt>
                <c:pt idx="6">
                  <c:v>23</c:v>
                </c:pt>
              </c:numCache>
            </c:numRef>
          </c:val>
          <c:smooth val="0"/>
          <c:extLst>
            <c:ext xmlns:c16="http://schemas.microsoft.com/office/drawing/2014/chart" uri="{C3380CC4-5D6E-409C-BE32-E72D297353CC}">
              <c16:uniqueId val="{00000004-F937-4B28-B0A0-F590B609D69C}"/>
            </c:ext>
          </c:extLst>
        </c:ser>
        <c:ser>
          <c:idx val="5"/>
          <c:order val="5"/>
          <c:tx>
            <c:strRef>
              <c:f>Emergence!$D$29</c:f>
              <c:strCache>
                <c:ptCount val="1"/>
                <c:pt idx="0">
                  <c:v>Trt 6</c:v>
                </c:pt>
              </c:strCache>
            </c:strRef>
          </c:tx>
          <c:spPr>
            <a:ln w="31750" cap="rnd">
              <a:solidFill>
                <a:schemeClr val="accent6"/>
              </a:solidFill>
              <a:round/>
            </a:ln>
            <a:effectLst/>
          </c:spPr>
          <c:marker>
            <c:symbol val="circle"/>
            <c:size val="17"/>
            <c:spPr>
              <a:solidFill>
                <a:schemeClr val="accent6"/>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Emergence!$F$32:$L$32</c:f>
              <c:numCache>
                <c:formatCode>General</c:formatCode>
                <c:ptCount val="7"/>
                <c:pt idx="0">
                  <c:v>1</c:v>
                </c:pt>
                <c:pt idx="1">
                  <c:v>3</c:v>
                </c:pt>
                <c:pt idx="2">
                  <c:v>7</c:v>
                </c:pt>
                <c:pt idx="3">
                  <c:v>18</c:v>
                </c:pt>
                <c:pt idx="4">
                  <c:v>19</c:v>
                </c:pt>
                <c:pt idx="5">
                  <c:v>19</c:v>
                </c:pt>
                <c:pt idx="6">
                  <c:v>20</c:v>
                </c:pt>
              </c:numCache>
            </c:numRef>
          </c:val>
          <c:smooth val="0"/>
          <c:extLst>
            <c:ext xmlns:c16="http://schemas.microsoft.com/office/drawing/2014/chart" uri="{C3380CC4-5D6E-409C-BE32-E72D297353CC}">
              <c16:uniqueId val="{00000005-F937-4B28-B0A0-F590B609D69C}"/>
            </c:ext>
          </c:extLst>
        </c:ser>
        <c:ser>
          <c:idx val="6"/>
          <c:order val="6"/>
          <c:tx>
            <c:strRef>
              <c:f>Emergence!$D$33</c:f>
              <c:strCache>
                <c:ptCount val="1"/>
                <c:pt idx="0">
                  <c:v>Trt 7</c:v>
                </c:pt>
              </c:strCache>
            </c:strRef>
          </c:tx>
          <c:spPr>
            <a:ln w="31750" cap="rnd">
              <a:solidFill>
                <a:schemeClr val="accent1">
                  <a:lumMod val="60000"/>
                </a:schemeClr>
              </a:solidFill>
              <a:round/>
            </a:ln>
            <a:effectLst/>
          </c:spPr>
          <c:marker>
            <c:symbol val="circle"/>
            <c:size val="17"/>
            <c:spPr>
              <a:solidFill>
                <a:schemeClr val="accent1">
                  <a:lumMod val="60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Emergence!$F$36:$L$36</c:f>
              <c:numCache>
                <c:formatCode>General</c:formatCode>
                <c:ptCount val="7"/>
                <c:pt idx="0">
                  <c:v>3</c:v>
                </c:pt>
                <c:pt idx="1">
                  <c:v>10</c:v>
                </c:pt>
                <c:pt idx="2">
                  <c:v>13</c:v>
                </c:pt>
                <c:pt idx="3">
                  <c:v>19</c:v>
                </c:pt>
                <c:pt idx="4">
                  <c:v>19</c:v>
                </c:pt>
                <c:pt idx="5">
                  <c:v>20</c:v>
                </c:pt>
                <c:pt idx="6">
                  <c:v>20</c:v>
                </c:pt>
              </c:numCache>
            </c:numRef>
          </c:val>
          <c:smooth val="0"/>
          <c:extLst>
            <c:ext xmlns:c16="http://schemas.microsoft.com/office/drawing/2014/chart" uri="{C3380CC4-5D6E-409C-BE32-E72D297353CC}">
              <c16:uniqueId val="{00000006-F937-4B28-B0A0-F590B609D69C}"/>
            </c:ext>
          </c:extLst>
        </c:ser>
        <c:ser>
          <c:idx val="7"/>
          <c:order val="7"/>
          <c:tx>
            <c:strRef>
              <c:f>Emergence!$D$37</c:f>
              <c:strCache>
                <c:ptCount val="1"/>
                <c:pt idx="0">
                  <c:v>Trt 8</c:v>
                </c:pt>
              </c:strCache>
            </c:strRef>
          </c:tx>
          <c:spPr>
            <a:ln w="31750" cap="rnd">
              <a:solidFill>
                <a:schemeClr val="accent2">
                  <a:lumMod val="60000"/>
                </a:schemeClr>
              </a:solidFill>
              <a:round/>
            </a:ln>
            <a:effectLst/>
          </c:spPr>
          <c:marker>
            <c:symbol val="circle"/>
            <c:size val="17"/>
            <c:spPr>
              <a:solidFill>
                <a:schemeClr val="accent2">
                  <a:lumMod val="60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Emergence!$F$40:$L$40</c:f>
              <c:numCache>
                <c:formatCode>General</c:formatCode>
                <c:ptCount val="7"/>
                <c:pt idx="0">
                  <c:v>0</c:v>
                </c:pt>
                <c:pt idx="1">
                  <c:v>3</c:v>
                </c:pt>
                <c:pt idx="2">
                  <c:v>5</c:v>
                </c:pt>
                <c:pt idx="3">
                  <c:v>11</c:v>
                </c:pt>
                <c:pt idx="4">
                  <c:v>11</c:v>
                </c:pt>
                <c:pt idx="5">
                  <c:v>15</c:v>
                </c:pt>
                <c:pt idx="6">
                  <c:v>14</c:v>
                </c:pt>
              </c:numCache>
            </c:numRef>
          </c:val>
          <c:smooth val="0"/>
          <c:extLst>
            <c:ext xmlns:c16="http://schemas.microsoft.com/office/drawing/2014/chart" uri="{C3380CC4-5D6E-409C-BE32-E72D297353CC}">
              <c16:uniqueId val="{00000007-F937-4B28-B0A0-F590B609D69C}"/>
            </c:ext>
          </c:extLst>
        </c:ser>
        <c:ser>
          <c:idx val="8"/>
          <c:order val="8"/>
          <c:tx>
            <c:strRef>
              <c:f>Emergence!$D$41</c:f>
              <c:strCache>
                <c:ptCount val="1"/>
                <c:pt idx="0">
                  <c:v>Trt 9</c:v>
                </c:pt>
              </c:strCache>
            </c:strRef>
          </c:tx>
          <c:spPr>
            <a:ln w="31750" cap="rnd">
              <a:solidFill>
                <a:schemeClr val="accent3">
                  <a:lumMod val="60000"/>
                </a:schemeClr>
              </a:solidFill>
              <a:round/>
            </a:ln>
            <a:effectLst/>
          </c:spPr>
          <c:marker>
            <c:symbol val="circle"/>
            <c:size val="17"/>
            <c:spPr>
              <a:solidFill>
                <a:schemeClr val="accent3">
                  <a:lumMod val="60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Emergence!$F$44:$L$44</c:f>
              <c:numCache>
                <c:formatCode>General</c:formatCode>
                <c:ptCount val="7"/>
                <c:pt idx="0">
                  <c:v>5</c:v>
                </c:pt>
                <c:pt idx="1">
                  <c:v>19</c:v>
                </c:pt>
                <c:pt idx="2">
                  <c:v>30</c:v>
                </c:pt>
                <c:pt idx="3">
                  <c:v>45</c:v>
                </c:pt>
                <c:pt idx="4">
                  <c:v>46</c:v>
                </c:pt>
                <c:pt idx="5">
                  <c:v>48</c:v>
                </c:pt>
                <c:pt idx="6">
                  <c:v>45</c:v>
                </c:pt>
              </c:numCache>
            </c:numRef>
          </c:val>
          <c:smooth val="0"/>
          <c:extLst>
            <c:ext xmlns:c16="http://schemas.microsoft.com/office/drawing/2014/chart" uri="{C3380CC4-5D6E-409C-BE32-E72D297353CC}">
              <c16:uniqueId val="{00000008-F937-4B28-B0A0-F590B609D69C}"/>
            </c:ext>
          </c:extLst>
        </c:ser>
        <c:ser>
          <c:idx val="9"/>
          <c:order val="9"/>
          <c:tx>
            <c:strRef>
              <c:f>Emergence!$D$45</c:f>
              <c:strCache>
                <c:ptCount val="1"/>
                <c:pt idx="0">
                  <c:v>Trt 10</c:v>
                </c:pt>
              </c:strCache>
            </c:strRef>
          </c:tx>
          <c:spPr>
            <a:ln w="31750" cap="rnd">
              <a:solidFill>
                <a:schemeClr val="accent4">
                  <a:lumMod val="60000"/>
                </a:schemeClr>
              </a:solidFill>
              <a:round/>
            </a:ln>
            <a:effectLst/>
          </c:spPr>
          <c:marker>
            <c:symbol val="circle"/>
            <c:size val="17"/>
            <c:spPr>
              <a:solidFill>
                <a:schemeClr val="accent4">
                  <a:lumMod val="60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Emergence!$F$48:$L$48</c:f>
              <c:numCache>
                <c:formatCode>General</c:formatCode>
                <c:ptCount val="7"/>
                <c:pt idx="0">
                  <c:v>0</c:v>
                </c:pt>
                <c:pt idx="1">
                  <c:v>2</c:v>
                </c:pt>
                <c:pt idx="2">
                  <c:v>7</c:v>
                </c:pt>
                <c:pt idx="3">
                  <c:v>32</c:v>
                </c:pt>
                <c:pt idx="4">
                  <c:v>35</c:v>
                </c:pt>
                <c:pt idx="5">
                  <c:v>43</c:v>
                </c:pt>
                <c:pt idx="6">
                  <c:v>41</c:v>
                </c:pt>
              </c:numCache>
            </c:numRef>
          </c:val>
          <c:smooth val="0"/>
          <c:extLst>
            <c:ext xmlns:c16="http://schemas.microsoft.com/office/drawing/2014/chart" uri="{C3380CC4-5D6E-409C-BE32-E72D297353CC}">
              <c16:uniqueId val="{00000009-F937-4B28-B0A0-F590B609D69C}"/>
            </c:ext>
          </c:extLst>
        </c:ser>
        <c:ser>
          <c:idx val="10"/>
          <c:order val="10"/>
          <c:tx>
            <c:strRef>
              <c:f>Emergence!$D$49</c:f>
              <c:strCache>
                <c:ptCount val="1"/>
                <c:pt idx="0">
                  <c:v>Trt 11</c:v>
                </c:pt>
              </c:strCache>
            </c:strRef>
          </c:tx>
          <c:spPr>
            <a:ln w="31750" cap="rnd">
              <a:solidFill>
                <a:schemeClr val="accent5">
                  <a:lumMod val="60000"/>
                </a:schemeClr>
              </a:solidFill>
              <a:round/>
            </a:ln>
            <a:effectLst/>
          </c:spPr>
          <c:marker>
            <c:symbol val="circle"/>
            <c:size val="17"/>
            <c:spPr>
              <a:solidFill>
                <a:schemeClr val="accent5">
                  <a:lumMod val="60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Emergence!$F$52:$L$52</c:f>
              <c:numCache>
                <c:formatCode>General</c:formatCode>
                <c:ptCount val="7"/>
                <c:pt idx="4">
                  <c:v>30</c:v>
                </c:pt>
                <c:pt idx="5">
                  <c:v>32</c:v>
                </c:pt>
                <c:pt idx="6">
                  <c:v>33</c:v>
                </c:pt>
              </c:numCache>
            </c:numRef>
          </c:val>
          <c:smooth val="0"/>
          <c:extLst>
            <c:ext xmlns:c16="http://schemas.microsoft.com/office/drawing/2014/chart" uri="{C3380CC4-5D6E-409C-BE32-E72D297353CC}">
              <c16:uniqueId val="{0000000A-F937-4B28-B0A0-F590B609D69C}"/>
            </c:ext>
          </c:extLst>
        </c:ser>
        <c:dLbls>
          <c:dLblPos val="ctr"/>
          <c:showLegendKey val="0"/>
          <c:showVal val="1"/>
          <c:showCatName val="0"/>
          <c:showSerName val="0"/>
          <c:showPercent val="0"/>
          <c:showBubbleSize val="0"/>
        </c:dLbls>
        <c:marker val="1"/>
        <c:smooth val="0"/>
        <c:axId val="523345616"/>
        <c:axId val="523358160"/>
      </c:lineChart>
      <c:catAx>
        <c:axId val="52334561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23358160"/>
        <c:crosses val="autoZero"/>
        <c:auto val="1"/>
        <c:lblAlgn val="ctr"/>
        <c:lblOffset val="100"/>
        <c:noMultiLvlLbl val="0"/>
      </c:catAx>
      <c:valAx>
        <c:axId val="52335816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523345616"/>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span"/>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148590</xdr:colOff>
      <xdr:row>7</xdr:row>
      <xdr:rowOff>11430</xdr:rowOff>
    </xdr:from>
    <xdr:to>
      <xdr:col>23</xdr:col>
      <xdr:colOff>0</xdr:colOff>
      <xdr:row>39</xdr:row>
      <xdr:rowOff>179294</xdr:rowOff>
    </xdr:to>
    <xdr:graphicFrame macro="">
      <xdr:nvGraphicFramePr>
        <xdr:cNvPr id="2" name="Chart 1">
          <a:extLst>
            <a:ext uri="{FF2B5EF4-FFF2-40B4-BE49-F238E27FC236}">
              <a16:creationId xmlns:a16="http://schemas.microsoft.com/office/drawing/2014/main" id="{4892D5F7-BBC9-4B37-9F13-CAB672344D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36718-7D1C-4180-982B-0BF0E3AF3BDD}">
  <dimension ref="A1:G67"/>
  <sheetViews>
    <sheetView workbookViewId="0"/>
  </sheetViews>
  <sheetFormatPr defaultRowHeight="15" x14ac:dyDescent="0.25"/>
  <sheetData>
    <row r="1" spans="1:7" x14ac:dyDescent="0.25">
      <c r="A1" t="s">
        <v>137</v>
      </c>
      <c r="B1" t="s">
        <v>136</v>
      </c>
      <c r="C1" t="s">
        <v>135</v>
      </c>
      <c r="D1" t="s">
        <v>134</v>
      </c>
      <c r="E1" t="s">
        <v>133</v>
      </c>
      <c r="F1" t="s">
        <v>132</v>
      </c>
      <c r="G1" t="s">
        <v>131</v>
      </c>
    </row>
    <row r="2" spans="1:7" x14ac:dyDescent="0.25">
      <c r="A2" t="s">
        <v>130</v>
      </c>
      <c r="B2">
        <v>18</v>
      </c>
      <c r="C2">
        <v>39</v>
      </c>
      <c r="D2">
        <v>48</v>
      </c>
      <c r="E2">
        <v>68</v>
      </c>
      <c r="F2">
        <v>74</v>
      </c>
      <c r="G2">
        <v>72</v>
      </c>
    </row>
    <row r="3" spans="1:7" x14ac:dyDescent="0.25">
      <c r="A3" t="s">
        <v>129</v>
      </c>
      <c r="B3">
        <v>18</v>
      </c>
      <c r="C3">
        <v>39</v>
      </c>
      <c r="D3">
        <v>48</v>
      </c>
      <c r="E3">
        <v>69</v>
      </c>
      <c r="F3">
        <v>62</v>
      </c>
      <c r="G3">
        <v>70</v>
      </c>
    </row>
    <row r="4" spans="1:7" x14ac:dyDescent="0.25">
      <c r="A4" t="s">
        <v>128</v>
      </c>
      <c r="B4">
        <v>19</v>
      </c>
      <c r="C4">
        <v>33</v>
      </c>
      <c r="D4">
        <v>57</v>
      </c>
      <c r="E4">
        <v>74</v>
      </c>
      <c r="F4">
        <v>74</v>
      </c>
      <c r="G4">
        <v>84</v>
      </c>
    </row>
    <row r="5" spans="1:7" x14ac:dyDescent="0.25">
      <c r="A5" t="s">
        <v>127</v>
      </c>
      <c r="B5">
        <v>19</v>
      </c>
      <c r="C5">
        <v>38</v>
      </c>
      <c r="D5">
        <v>51</v>
      </c>
      <c r="E5">
        <v>68</v>
      </c>
      <c r="F5">
        <v>64</v>
      </c>
      <c r="G5">
        <v>66</v>
      </c>
    </row>
    <row r="6" spans="1:7" x14ac:dyDescent="0.25">
      <c r="A6" t="s">
        <v>126</v>
      </c>
      <c r="B6">
        <v>17</v>
      </c>
      <c r="C6">
        <v>38</v>
      </c>
      <c r="D6">
        <v>54</v>
      </c>
      <c r="E6">
        <v>69</v>
      </c>
      <c r="F6">
        <v>69</v>
      </c>
      <c r="G6">
        <v>74</v>
      </c>
    </row>
    <row r="7" spans="1:7" x14ac:dyDescent="0.25">
      <c r="A7" t="s">
        <v>125</v>
      </c>
      <c r="B7">
        <v>19</v>
      </c>
      <c r="C7">
        <v>38</v>
      </c>
      <c r="D7">
        <v>46</v>
      </c>
      <c r="E7">
        <v>56</v>
      </c>
      <c r="F7">
        <v>57</v>
      </c>
      <c r="G7">
        <v>62</v>
      </c>
    </row>
    <row r="8" spans="1:7" x14ac:dyDescent="0.25">
      <c r="A8" t="s">
        <v>124</v>
      </c>
      <c r="B8">
        <v>19</v>
      </c>
      <c r="C8">
        <v>31</v>
      </c>
      <c r="D8">
        <v>60</v>
      </c>
      <c r="E8">
        <v>88</v>
      </c>
      <c r="F8">
        <v>98</v>
      </c>
      <c r="G8">
        <v>102</v>
      </c>
    </row>
    <row r="9" spans="1:7" x14ac:dyDescent="0.25">
      <c r="A9" t="s">
        <v>123</v>
      </c>
      <c r="B9">
        <v>17</v>
      </c>
      <c r="C9">
        <v>39</v>
      </c>
      <c r="D9">
        <v>70</v>
      </c>
      <c r="E9">
        <v>97</v>
      </c>
      <c r="F9">
        <v>110</v>
      </c>
      <c r="G9">
        <v>118</v>
      </c>
    </row>
    <row r="10" spans="1:7" x14ac:dyDescent="0.25">
      <c r="A10" t="s">
        <v>122</v>
      </c>
      <c r="B10">
        <v>19</v>
      </c>
      <c r="C10">
        <v>35</v>
      </c>
      <c r="D10">
        <v>68</v>
      </c>
      <c r="E10">
        <v>100</v>
      </c>
      <c r="F10">
        <v>104</v>
      </c>
      <c r="G10">
        <v>102</v>
      </c>
    </row>
    <row r="11" spans="1:7" x14ac:dyDescent="0.25">
      <c r="A11" t="s">
        <v>121</v>
      </c>
      <c r="B11">
        <v>16</v>
      </c>
      <c r="C11">
        <v>36</v>
      </c>
      <c r="D11">
        <v>65</v>
      </c>
      <c r="E11">
        <v>92</v>
      </c>
      <c r="F11">
        <v>103</v>
      </c>
      <c r="G11">
        <v>97</v>
      </c>
    </row>
    <row r="12" spans="1:7" x14ac:dyDescent="0.25">
      <c r="A12" t="s">
        <v>120</v>
      </c>
      <c r="B12">
        <v>15</v>
      </c>
      <c r="C12">
        <v>33</v>
      </c>
      <c r="D12">
        <v>65</v>
      </c>
      <c r="E12">
        <v>92</v>
      </c>
      <c r="F12">
        <v>98</v>
      </c>
      <c r="G12">
        <v>97</v>
      </c>
    </row>
    <row r="13" spans="1:7" x14ac:dyDescent="0.25">
      <c r="A13" t="s">
        <v>119</v>
      </c>
      <c r="B13">
        <v>16</v>
      </c>
      <c r="C13">
        <v>33</v>
      </c>
      <c r="D13">
        <v>55</v>
      </c>
      <c r="E13">
        <v>71</v>
      </c>
      <c r="F13">
        <v>76</v>
      </c>
      <c r="G13">
        <v>77</v>
      </c>
    </row>
    <row r="14" spans="1:7" x14ac:dyDescent="0.25">
      <c r="A14" t="s">
        <v>118</v>
      </c>
      <c r="B14">
        <v>19</v>
      </c>
      <c r="C14">
        <v>35</v>
      </c>
      <c r="D14">
        <v>59</v>
      </c>
      <c r="E14">
        <v>96</v>
      </c>
      <c r="F14">
        <v>111</v>
      </c>
      <c r="G14">
        <v>126</v>
      </c>
    </row>
    <row r="15" spans="1:7" x14ac:dyDescent="0.25">
      <c r="A15" t="s">
        <v>117</v>
      </c>
      <c r="B15">
        <v>17</v>
      </c>
      <c r="C15">
        <v>33</v>
      </c>
      <c r="D15">
        <v>61</v>
      </c>
      <c r="E15">
        <v>99</v>
      </c>
      <c r="F15">
        <v>112</v>
      </c>
      <c r="G15">
        <v>107</v>
      </c>
    </row>
    <row r="16" spans="1:7" x14ac:dyDescent="0.25">
      <c r="A16" t="s">
        <v>116</v>
      </c>
      <c r="B16">
        <v>22</v>
      </c>
      <c r="C16">
        <v>39</v>
      </c>
      <c r="D16">
        <v>70</v>
      </c>
      <c r="E16">
        <v>103</v>
      </c>
      <c r="F16">
        <v>116</v>
      </c>
      <c r="G16">
        <v>113</v>
      </c>
    </row>
    <row r="17" spans="1:7" x14ac:dyDescent="0.25">
      <c r="A17" t="s">
        <v>115</v>
      </c>
      <c r="B17">
        <v>20</v>
      </c>
      <c r="C17">
        <v>34</v>
      </c>
      <c r="D17">
        <v>54</v>
      </c>
      <c r="E17">
        <v>79</v>
      </c>
      <c r="F17">
        <v>102</v>
      </c>
      <c r="G17">
        <v>101</v>
      </c>
    </row>
    <row r="18" spans="1:7" x14ac:dyDescent="0.25">
      <c r="A18" t="s">
        <v>114</v>
      </c>
      <c r="B18">
        <v>21</v>
      </c>
      <c r="C18">
        <v>34</v>
      </c>
      <c r="D18">
        <v>60</v>
      </c>
      <c r="E18">
        <v>86</v>
      </c>
      <c r="F18">
        <v>95</v>
      </c>
      <c r="G18">
        <v>94</v>
      </c>
    </row>
    <row r="19" spans="1:7" x14ac:dyDescent="0.25">
      <c r="A19" t="s">
        <v>113</v>
      </c>
      <c r="B19">
        <v>18</v>
      </c>
      <c r="C19">
        <v>33</v>
      </c>
      <c r="D19">
        <v>55</v>
      </c>
      <c r="E19">
        <v>83</v>
      </c>
      <c r="F19">
        <v>88</v>
      </c>
      <c r="G19">
        <v>89</v>
      </c>
    </row>
    <row r="20" spans="1:7" x14ac:dyDescent="0.25">
      <c r="A20" t="s">
        <v>112</v>
      </c>
      <c r="B20">
        <v>21</v>
      </c>
      <c r="C20">
        <v>42</v>
      </c>
      <c r="D20">
        <v>73</v>
      </c>
      <c r="E20">
        <v>97</v>
      </c>
      <c r="F20">
        <v>114</v>
      </c>
      <c r="G20">
        <v>116</v>
      </c>
    </row>
    <row r="21" spans="1:7" x14ac:dyDescent="0.25">
      <c r="A21" t="s">
        <v>111</v>
      </c>
      <c r="B21">
        <v>20</v>
      </c>
      <c r="C21">
        <v>41</v>
      </c>
      <c r="D21">
        <v>76</v>
      </c>
      <c r="E21">
        <v>99</v>
      </c>
      <c r="F21">
        <v>109</v>
      </c>
      <c r="G21">
        <v>113</v>
      </c>
    </row>
    <row r="22" spans="1:7" x14ac:dyDescent="0.25">
      <c r="A22" t="s">
        <v>110</v>
      </c>
      <c r="B22">
        <v>21</v>
      </c>
      <c r="C22">
        <v>41</v>
      </c>
      <c r="D22">
        <v>78</v>
      </c>
      <c r="E22">
        <v>105</v>
      </c>
      <c r="F22">
        <v>109</v>
      </c>
      <c r="G22">
        <v>111</v>
      </c>
    </row>
    <row r="23" spans="1:7" x14ac:dyDescent="0.25">
      <c r="A23" t="s">
        <v>109</v>
      </c>
      <c r="B23">
        <v>21</v>
      </c>
      <c r="C23">
        <v>42</v>
      </c>
      <c r="D23">
        <v>67</v>
      </c>
      <c r="E23">
        <v>86</v>
      </c>
      <c r="F23">
        <v>95</v>
      </c>
      <c r="G23">
        <v>97</v>
      </c>
    </row>
    <row r="24" spans="1:7" x14ac:dyDescent="0.25">
      <c r="A24" t="s">
        <v>108</v>
      </c>
      <c r="B24">
        <v>19</v>
      </c>
      <c r="C24">
        <v>29</v>
      </c>
      <c r="D24">
        <v>58</v>
      </c>
      <c r="E24">
        <v>82</v>
      </c>
      <c r="F24">
        <v>90</v>
      </c>
      <c r="G24">
        <v>96</v>
      </c>
    </row>
    <row r="25" spans="1:7" x14ac:dyDescent="0.25">
      <c r="A25" t="s">
        <v>107</v>
      </c>
      <c r="B25">
        <v>19</v>
      </c>
      <c r="C25">
        <v>32</v>
      </c>
      <c r="D25">
        <v>51</v>
      </c>
      <c r="E25">
        <v>74</v>
      </c>
      <c r="F25">
        <v>72</v>
      </c>
      <c r="G25">
        <v>77</v>
      </c>
    </row>
    <row r="26" spans="1:7" x14ac:dyDescent="0.25">
      <c r="A26" t="s">
        <v>106</v>
      </c>
      <c r="B26">
        <v>21</v>
      </c>
      <c r="C26">
        <v>36</v>
      </c>
      <c r="D26">
        <v>62</v>
      </c>
      <c r="E26">
        <v>97</v>
      </c>
      <c r="F26">
        <v>90</v>
      </c>
      <c r="G26">
        <v>110</v>
      </c>
    </row>
    <row r="27" spans="1:7" x14ac:dyDescent="0.25">
      <c r="A27" t="s">
        <v>105</v>
      </c>
      <c r="B27">
        <v>21</v>
      </c>
      <c r="C27">
        <v>40</v>
      </c>
      <c r="D27">
        <v>72</v>
      </c>
      <c r="E27">
        <v>103</v>
      </c>
      <c r="F27">
        <v>110</v>
      </c>
      <c r="G27">
        <v>121</v>
      </c>
    </row>
    <row r="28" spans="1:7" x14ac:dyDescent="0.25">
      <c r="A28" t="s">
        <v>104</v>
      </c>
      <c r="B28">
        <v>24</v>
      </c>
      <c r="C28">
        <v>40</v>
      </c>
      <c r="D28">
        <v>75</v>
      </c>
      <c r="E28">
        <v>108</v>
      </c>
      <c r="F28">
        <v>121</v>
      </c>
      <c r="G28">
        <v>124</v>
      </c>
    </row>
    <row r="29" spans="1:7" x14ac:dyDescent="0.25">
      <c r="A29" t="s">
        <v>103</v>
      </c>
      <c r="B29">
        <v>22</v>
      </c>
      <c r="C29">
        <v>39</v>
      </c>
      <c r="D29">
        <v>70</v>
      </c>
      <c r="E29">
        <v>100</v>
      </c>
      <c r="F29">
        <v>109</v>
      </c>
      <c r="G29">
        <v>100</v>
      </c>
    </row>
    <row r="30" spans="1:7" x14ac:dyDescent="0.25">
      <c r="A30" t="s">
        <v>102</v>
      </c>
      <c r="B30">
        <v>22</v>
      </c>
      <c r="C30">
        <v>40</v>
      </c>
      <c r="D30">
        <v>70</v>
      </c>
      <c r="E30">
        <v>97</v>
      </c>
      <c r="F30">
        <v>107</v>
      </c>
      <c r="G30">
        <v>102</v>
      </c>
    </row>
    <row r="31" spans="1:7" x14ac:dyDescent="0.25">
      <c r="A31" t="s">
        <v>101</v>
      </c>
      <c r="B31">
        <v>20</v>
      </c>
      <c r="C31">
        <v>34</v>
      </c>
      <c r="D31">
        <v>61</v>
      </c>
      <c r="E31">
        <v>78</v>
      </c>
      <c r="F31">
        <v>76</v>
      </c>
      <c r="G31">
        <v>91</v>
      </c>
    </row>
    <row r="32" spans="1:7" x14ac:dyDescent="0.25">
      <c r="A32" t="s">
        <v>100</v>
      </c>
      <c r="B32">
        <v>16</v>
      </c>
      <c r="C32">
        <v>30</v>
      </c>
      <c r="D32">
        <v>46</v>
      </c>
      <c r="E32">
        <v>68</v>
      </c>
      <c r="F32">
        <v>64</v>
      </c>
      <c r="G32">
        <v>69</v>
      </c>
    </row>
    <row r="33" spans="1:7" x14ac:dyDescent="0.25">
      <c r="A33" t="s">
        <v>99</v>
      </c>
      <c r="B33">
        <v>21</v>
      </c>
      <c r="C33">
        <v>33</v>
      </c>
      <c r="D33">
        <v>55</v>
      </c>
      <c r="E33">
        <v>76</v>
      </c>
      <c r="F33">
        <v>82</v>
      </c>
      <c r="G33">
        <v>83</v>
      </c>
    </row>
    <row r="34" spans="1:7" x14ac:dyDescent="0.25">
      <c r="A34" t="s">
        <v>98</v>
      </c>
      <c r="B34">
        <v>22</v>
      </c>
      <c r="C34">
        <v>35</v>
      </c>
      <c r="D34">
        <v>53</v>
      </c>
      <c r="E34">
        <v>68</v>
      </c>
      <c r="F34">
        <v>78</v>
      </c>
      <c r="G34">
        <v>80</v>
      </c>
    </row>
    <row r="35" spans="1:7" x14ac:dyDescent="0.25">
      <c r="A35" t="s">
        <v>97</v>
      </c>
      <c r="B35">
        <v>22</v>
      </c>
      <c r="C35">
        <v>35</v>
      </c>
      <c r="D35">
        <v>52</v>
      </c>
      <c r="E35">
        <v>67</v>
      </c>
      <c r="F35">
        <v>70</v>
      </c>
      <c r="G35">
        <v>77</v>
      </c>
    </row>
    <row r="36" spans="1:7" x14ac:dyDescent="0.25">
      <c r="A36" t="s">
        <v>96</v>
      </c>
      <c r="B36">
        <v>16</v>
      </c>
      <c r="C36">
        <v>39</v>
      </c>
      <c r="D36">
        <v>52</v>
      </c>
      <c r="E36">
        <v>66</v>
      </c>
      <c r="F36">
        <v>61</v>
      </c>
      <c r="G36">
        <v>72</v>
      </c>
    </row>
    <row r="37" spans="1:7" x14ac:dyDescent="0.25">
      <c r="A37" t="s">
        <v>95</v>
      </c>
      <c r="B37">
        <v>21</v>
      </c>
      <c r="C37">
        <v>30</v>
      </c>
      <c r="D37">
        <v>51</v>
      </c>
      <c r="E37">
        <v>65</v>
      </c>
      <c r="F37">
        <v>68</v>
      </c>
      <c r="G37">
        <v>74</v>
      </c>
    </row>
    <row r="38" spans="1:7" x14ac:dyDescent="0.25">
      <c r="A38" t="s">
        <v>94</v>
      </c>
      <c r="B38">
        <v>20</v>
      </c>
      <c r="C38">
        <v>30</v>
      </c>
      <c r="D38">
        <v>54</v>
      </c>
      <c r="E38">
        <v>90</v>
      </c>
      <c r="F38">
        <v>112</v>
      </c>
      <c r="G38">
        <v>116</v>
      </c>
    </row>
    <row r="39" spans="1:7" x14ac:dyDescent="0.25">
      <c r="A39" t="s">
        <v>93</v>
      </c>
      <c r="B39">
        <v>20</v>
      </c>
      <c r="C39">
        <v>32</v>
      </c>
      <c r="D39">
        <v>65</v>
      </c>
      <c r="E39">
        <v>90</v>
      </c>
      <c r="F39">
        <v>110</v>
      </c>
      <c r="G39">
        <v>130</v>
      </c>
    </row>
    <row r="40" spans="1:7" x14ac:dyDescent="0.25">
      <c r="A40" t="s">
        <v>92</v>
      </c>
      <c r="B40">
        <v>18</v>
      </c>
      <c r="C40">
        <v>30</v>
      </c>
      <c r="D40">
        <v>55</v>
      </c>
      <c r="E40">
        <v>85</v>
      </c>
      <c r="F40">
        <v>100</v>
      </c>
      <c r="G40">
        <v>111</v>
      </c>
    </row>
    <row r="41" spans="1:7" x14ac:dyDescent="0.25">
      <c r="A41" t="s">
        <v>91</v>
      </c>
      <c r="B41">
        <v>21</v>
      </c>
      <c r="C41">
        <v>36</v>
      </c>
      <c r="D41">
        <v>65</v>
      </c>
      <c r="E41">
        <v>93</v>
      </c>
      <c r="F41">
        <v>108</v>
      </c>
      <c r="G41">
        <v>113</v>
      </c>
    </row>
    <row r="42" spans="1:7" x14ac:dyDescent="0.25">
      <c r="A42" t="s">
        <v>90</v>
      </c>
      <c r="B42">
        <v>22</v>
      </c>
      <c r="C42">
        <v>33</v>
      </c>
      <c r="D42">
        <v>55</v>
      </c>
      <c r="E42">
        <v>83</v>
      </c>
      <c r="F42">
        <v>101</v>
      </c>
      <c r="G42">
        <v>97</v>
      </c>
    </row>
    <row r="43" spans="1:7" x14ac:dyDescent="0.25">
      <c r="A43" t="s">
        <v>89</v>
      </c>
      <c r="B43">
        <v>23</v>
      </c>
      <c r="C43">
        <v>29</v>
      </c>
      <c r="D43">
        <v>55</v>
      </c>
      <c r="E43">
        <v>74</v>
      </c>
      <c r="F43">
        <v>82</v>
      </c>
      <c r="G43">
        <v>84</v>
      </c>
    </row>
    <row r="44" spans="1:7" x14ac:dyDescent="0.25">
      <c r="A44" t="s">
        <v>88</v>
      </c>
      <c r="B44">
        <v>20</v>
      </c>
      <c r="C44">
        <v>33</v>
      </c>
      <c r="D44">
        <v>65</v>
      </c>
      <c r="E44">
        <v>90</v>
      </c>
      <c r="F44">
        <v>91</v>
      </c>
      <c r="G44">
        <v>96</v>
      </c>
    </row>
    <row r="45" spans="1:7" x14ac:dyDescent="0.25">
      <c r="A45" t="s">
        <v>87</v>
      </c>
      <c r="B45">
        <v>21</v>
      </c>
      <c r="C45">
        <v>39</v>
      </c>
      <c r="D45">
        <v>73</v>
      </c>
      <c r="E45">
        <v>103</v>
      </c>
      <c r="F45">
        <v>111</v>
      </c>
      <c r="G45">
        <v>113</v>
      </c>
    </row>
    <row r="46" spans="1:7" x14ac:dyDescent="0.25">
      <c r="A46" t="s">
        <v>86</v>
      </c>
      <c r="B46">
        <v>15</v>
      </c>
      <c r="C46">
        <v>44</v>
      </c>
      <c r="D46">
        <v>58</v>
      </c>
      <c r="E46">
        <v>86</v>
      </c>
      <c r="F46">
        <v>90</v>
      </c>
      <c r="G46">
        <v>92</v>
      </c>
    </row>
    <row r="47" spans="1:7" x14ac:dyDescent="0.25">
      <c r="A47" t="s">
        <v>85</v>
      </c>
      <c r="B47">
        <v>20</v>
      </c>
      <c r="C47">
        <v>33</v>
      </c>
      <c r="D47">
        <v>62</v>
      </c>
      <c r="E47">
        <v>100</v>
      </c>
      <c r="F47">
        <v>111</v>
      </c>
      <c r="G47">
        <v>116</v>
      </c>
    </row>
    <row r="48" spans="1:7" x14ac:dyDescent="0.25">
      <c r="A48" t="s">
        <v>84</v>
      </c>
      <c r="B48">
        <v>23</v>
      </c>
      <c r="C48">
        <v>40</v>
      </c>
      <c r="D48">
        <v>58</v>
      </c>
      <c r="E48">
        <v>78</v>
      </c>
      <c r="F48">
        <v>76</v>
      </c>
      <c r="G48">
        <v>81</v>
      </c>
    </row>
    <row r="49" spans="1:7" x14ac:dyDescent="0.25">
      <c r="A49" t="s">
        <v>83</v>
      </c>
      <c r="B49">
        <v>20</v>
      </c>
      <c r="C49">
        <v>30</v>
      </c>
      <c r="D49">
        <v>50</v>
      </c>
      <c r="E49">
        <v>69</v>
      </c>
      <c r="F49">
        <v>73</v>
      </c>
      <c r="G49">
        <v>77</v>
      </c>
    </row>
    <row r="50" spans="1:7" x14ac:dyDescent="0.25">
      <c r="A50" t="s">
        <v>82</v>
      </c>
      <c r="B50">
        <v>20</v>
      </c>
      <c r="C50">
        <v>35</v>
      </c>
      <c r="D50">
        <v>54</v>
      </c>
      <c r="E50">
        <v>68</v>
      </c>
      <c r="F50">
        <v>80</v>
      </c>
      <c r="G50">
        <v>95</v>
      </c>
    </row>
    <row r="51" spans="1:7" x14ac:dyDescent="0.25">
      <c r="A51" t="s">
        <v>81</v>
      </c>
      <c r="B51">
        <v>17</v>
      </c>
      <c r="C51">
        <v>38</v>
      </c>
      <c r="D51">
        <v>66</v>
      </c>
      <c r="E51">
        <v>102</v>
      </c>
      <c r="F51">
        <v>119</v>
      </c>
      <c r="G51">
        <v>122</v>
      </c>
    </row>
    <row r="52" spans="1:7" x14ac:dyDescent="0.25">
      <c r="A52" t="s">
        <v>80</v>
      </c>
      <c r="B52">
        <v>21</v>
      </c>
      <c r="C52">
        <v>37</v>
      </c>
      <c r="D52">
        <v>63</v>
      </c>
      <c r="E52">
        <v>96</v>
      </c>
      <c r="F52">
        <v>111</v>
      </c>
      <c r="G52">
        <v>110</v>
      </c>
    </row>
    <row r="53" spans="1:7" x14ac:dyDescent="0.25">
      <c r="A53" t="s">
        <v>79</v>
      </c>
      <c r="B53">
        <v>24</v>
      </c>
      <c r="C53">
        <v>40</v>
      </c>
      <c r="D53">
        <v>60</v>
      </c>
      <c r="E53">
        <v>92</v>
      </c>
      <c r="F53">
        <v>108</v>
      </c>
      <c r="G53">
        <v>111</v>
      </c>
    </row>
    <row r="54" spans="1:7" x14ac:dyDescent="0.25">
      <c r="A54" t="s">
        <v>78</v>
      </c>
      <c r="B54">
        <v>22</v>
      </c>
      <c r="C54">
        <v>31</v>
      </c>
      <c r="D54">
        <v>52</v>
      </c>
      <c r="E54">
        <v>76</v>
      </c>
      <c r="F54">
        <v>81</v>
      </c>
      <c r="G54">
        <v>93</v>
      </c>
    </row>
    <row r="55" spans="1:7" x14ac:dyDescent="0.25">
      <c r="A55" t="s">
        <v>77</v>
      </c>
      <c r="B55">
        <v>20</v>
      </c>
      <c r="C55">
        <v>31</v>
      </c>
      <c r="D55">
        <v>54</v>
      </c>
      <c r="E55">
        <v>83</v>
      </c>
      <c r="F55">
        <v>88</v>
      </c>
      <c r="G55">
        <v>99</v>
      </c>
    </row>
    <row r="56" spans="1:7" x14ac:dyDescent="0.25">
      <c r="A56" t="s">
        <v>76</v>
      </c>
      <c r="B56">
        <v>21</v>
      </c>
      <c r="C56">
        <v>32</v>
      </c>
      <c r="D56">
        <v>55</v>
      </c>
      <c r="E56">
        <v>71</v>
      </c>
      <c r="F56">
        <v>78</v>
      </c>
      <c r="G56">
        <v>101</v>
      </c>
    </row>
    <row r="57" spans="1:7" x14ac:dyDescent="0.25">
      <c r="A57" t="s">
        <v>75</v>
      </c>
      <c r="B57">
        <v>23</v>
      </c>
      <c r="C57">
        <v>38</v>
      </c>
      <c r="D57">
        <v>64</v>
      </c>
      <c r="E57">
        <v>84</v>
      </c>
      <c r="F57">
        <v>89</v>
      </c>
      <c r="G57">
        <v>87</v>
      </c>
    </row>
    <row r="58" spans="1:7" x14ac:dyDescent="0.25">
      <c r="A58" t="s">
        <v>74</v>
      </c>
      <c r="B58">
        <v>23</v>
      </c>
      <c r="C58">
        <v>40</v>
      </c>
      <c r="D58">
        <v>66</v>
      </c>
      <c r="E58">
        <v>92</v>
      </c>
      <c r="F58">
        <v>98</v>
      </c>
      <c r="G58">
        <v>109</v>
      </c>
    </row>
    <row r="59" spans="1:7" x14ac:dyDescent="0.25">
      <c r="A59" t="s">
        <v>73</v>
      </c>
      <c r="B59">
        <v>24</v>
      </c>
      <c r="C59">
        <v>42</v>
      </c>
      <c r="D59">
        <v>76</v>
      </c>
      <c r="E59">
        <v>87</v>
      </c>
      <c r="F59">
        <v>90</v>
      </c>
      <c r="G59">
        <v>92</v>
      </c>
    </row>
    <row r="60" spans="1:7" x14ac:dyDescent="0.25">
      <c r="A60" t="s">
        <v>72</v>
      </c>
      <c r="B60">
        <v>22</v>
      </c>
      <c r="C60">
        <v>38</v>
      </c>
      <c r="D60">
        <v>56</v>
      </c>
      <c r="E60">
        <v>75</v>
      </c>
      <c r="F60">
        <v>76</v>
      </c>
      <c r="G60">
        <v>84</v>
      </c>
    </row>
    <row r="61" spans="1:7" x14ac:dyDescent="0.25">
      <c r="A61" t="s">
        <v>71</v>
      </c>
      <c r="B61">
        <v>20</v>
      </c>
      <c r="C61">
        <v>34</v>
      </c>
      <c r="D61">
        <v>53</v>
      </c>
      <c r="E61">
        <v>68</v>
      </c>
      <c r="F61">
        <v>74</v>
      </c>
      <c r="G61">
        <v>77</v>
      </c>
    </row>
    <row r="62" spans="1:7" x14ac:dyDescent="0.25">
      <c r="A62" t="s">
        <v>70</v>
      </c>
      <c r="B62">
        <v>19</v>
      </c>
      <c r="C62">
        <v>34</v>
      </c>
      <c r="D62">
        <v>50</v>
      </c>
      <c r="E62">
        <v>71</v>
      </c>
      <c r="F62">
        <v>80</v>
      </c>
      <c r="G62">
        <v>88</v>
      </c>
    </row>
    <row r="63" spans="1:7" x14ac:dyDescent="0.25">
      <c r="A63" t="s">
        <v>69</v>
      </c>
      <c r="B63">
        <v>19</v>
      </c>
      <c r="C63">
        <v>34</v>
      </c>
      <c r="D63">
        <v>54</v>
      </c>
      <c r="E63">
        <v>84</v>
      </c>
      <c r="F63">
        <v>97</v>
      </c>
      <c r="G63">
        <v>105</v>
      </c>
    </row>
    <row r="64" spans="1:7" x14ac:dyDescent="0.25">
      <c r="A64" t="s">
        <v>68</v>
      </c>
      <c r="B64">
        <v>21</v>
      </c>
      <c r="C64">
        <v>37</v>
      </c>
      <c r="D64">
        <v>58</v>
      </c>
      <c r="E64">
        <v>81</v>
      </c>
      <c r="F64">
        <v>97</v>
      </c>
      <c r="G64">
        <v>102</v>
      </c>
    </row>
    <row r="65" spans="1:7" x14ac:dyDescent="0.25">
      <c r="A65" t="s">
        <v>67</v>
      </c>
      <c r="B65">
        <v>18</v>
      </c>
      <c r="C65">
        <v>35</v>
      </c>
      <c r="D65">
        <v>54</v>
      </c>
      <c r="E65">
        <v>71</v>
      </c>
      <c r="F65">
        <v>90</v>
      </c>
      <c r="G65">
        <v>92</v>
      </c>
    </row>
    <row r="66" spans="1:7" x14ac:dyDescent="0.25">
      <c r="A66" t="s">
        <v>66</v>
      </c>
      <c r="B66">
        <v>19</v>
      </c>
      <c r="C66">
        <v>38</v>
      </c>
      <c r="D66">
        <v>52</v>
      </c>
      <c r="E66">
        <v>70</v>
      </c>
      <c r="F66">
        <v>81</v>
      </c>
      <c r="G66">
        <v>84</v>
      </c>
    </row>
    <row r="67" spans="1:7" x14ac:dyDescent="0.25">
      <c r="A67" t="s">
        <v>65</v>
      </c>
      <c r="B67">
        <v>21</v>
      </c>
      <c r="C67">
        <v>32</v>
      </c>
      <c r="D67">
        <v>50</v>
      </c>
      <c r="E67">
        <v>80</v>
      </c>
      <c r="F67">
        <v>91</v>
      </c>
      <c r="G67">
        <v>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37EAF-4D5B-4581-B3AA-7D94B84FE386}">
  <dimension ref="A1:F67"/>
  <sheetViews>
    <sheetView workbookViewId="0"/>
  </sheetViews>
  <sheetFormatPr defaultRowHeight="15" x14ac:dyDescent="0.25"/>
  <sheetData>
    <row r="1" spans="1:6" x14ac:dyDescent="0.25">
      <c r="A1" t="s">
        <v>137</v>
      </c>
      <c r="B1" t="s">
        <v>135</v>
      </c>
      <c r="C1" t="s">
        <v>134</v>
      </c>
      <c r="D1" t="s">
        <v>133</v>
      </c>
      <c r="E1" t="s">
        <v>132</v>
      </c>
      <c r="F1" t="s">
        <v>131</v>
      </c>
    </row>
    <row r="2" spans="1:6" x14ac:dyDescent="0.25">
      <c r="A2" t="s">
        <v>130</v>
      </c>
      <c r="B2">
        <v>31</v>
      </c>
      <c r="C2">
        <v>41</v>
      </c>
      <c r="D2">
        <v>58</v>
      </c>
      <c r="E2">
        <v>75</v>
      </c>
      <c r="F2">
        <v>8</v>
      </c>
    </row>
    <row r="3" spans="1:6" x14ac:dyDescent="0.25">
      <c r="A3" t="s">
        <v>129</v>
      </c>
      <c r="B3">
        <v>37</v>
      </c>
      <c r="C3">
        <v>39</v>
      </c>
      <c r="D3">
        <v>63</v>
      </c>
      <c r="E3">
        <v>70</v>
      </c>
      <c r="F3">
        <v>81</v>
      </c>
    </row>
    <row r="4" spans="1:6" x14ac:dyDescent="0.25">
      <c r="A4" t="s">
        <v>128</v>
      </c>
      <c r="B4">
        <v>34</v>
      </c>
      <c r="C4">
        <v>45</v>
      </c>
      <c r="D4">
        <v>69</v>
      </c>
      <c r="E4">
        <v>73</v>
      </c>
      <c r="F4">
        <v>91</v>
      </c>
    </row>
    <row r="5" spans="1:6" x14ac:dyDescent="0.25">
      <c r="A5" t="s">
        <v>127</v>
      </c>
      <c r="B5">
        <v>31</v>
      </c>
      <c r="C5">
        <v>38</v>
      </c>
      <c r="D5">
        <v>51</v>
      </c>
      <c r="E5">
        <v>55</v>
      </c>
      <c r="F5">
        <v>65</v>
      </c>
    </row>
    <row r="6" spans="1:6" x14ac:dyDescent="0.25">
      <c r="A6" t="s">
        <v>126</v>
      </c>
      <c r="B6">
        <v>33</v>
      </c>
      <c r="C6">
        <v>44</v>
      </c>
      <c r="D6">
        <v>60</v>
      </c>
      <c r="E6">
        <v>61</v>
      </c>
      <c r="F6">
        <v>76</v>
      </c>
    </row>
    <row r="7" spans="1:6" x14ac:dyDescent="0.25">
      <c r="A7" t="s">
        <v>125</v>
      </c>
      <c r="B7">
        <v>29</v>
      </c>
      <c r="C7">
        <v>37</v>
      </c>
      <c r="D7">
        <v>50</v>
      </c>
      <c r="E7">
        <v>64</v>
      </c>
      <c r="F7">
        <v>66</v>
      </c>
    </row>
    <row r="8" spans="1:6" x14ac:dyDescent="0.25">
      <c r="A8" t="s">
        <v>124</v>
      </c>
      <c r="B8">
        <v>30</v>
      </c>
      <c r="C8">
        <v>52</v>
      </c>
      <c r="D8">
        <v>71</v>
      </c>
      <c r="E8">
        <v>102</v>
      </c>
      <c r="F8">
        <v>102</v>
      </c>
    </row>
    <row r="9" spans="1:6" x14ac:dyDescent="0.25">
      <c r="A9" t="s">
        <v>123</v>
      </c>
      <c r="B9">
        <v>32</v>
      </c>
      <c r="C9">
        <v>58</v>
      </c>
      <c r="D9">
        <v>85</v>
      </c>
      <c r="E9">
        <v>102</v>
      </c>
      <c r="F9">
        <v>102</v>
      </c>
    </row>
    <row r="10" spans="1:6" x14ac:dyDescent="0.25">
      <c r="A10" t="s">
        <v>122</v>
      </c>
      <c r="B10">
        <v>34</v>
      </c>
      <c r="C10">
        <v>62</v>
      </c>
      <c r="D10">
        <v>82</v>
      </c>
      <c r="E10">
        <v>102</v>
      </c>
      <c r="F10">
        <v>102</v>
      </c>
    </row>
    <row r="11" spans="1:6" x14ac:dyDescent="0.25">
      <c r="A11" t="s">
        <v>121</v>
      </c>
      <c r="B11">
        <v>36</v>
      </c>
      <c r="C11">
        <v>54</v>
      </c>
      <c r="D11">
        <v>85</v>
      </c>
      <c r="E11">
        <v>102</v>
      </c>
      <c r="F11">
        <v>102</v>
      </c>
    </row>
    <row r="12" spans="1:6" x14ac:dyDescent="0.25">
      <c r="A12" t="s">
        <v>120</v>
      </c>
      <c r="B12">
        <v>34</v>
      </c>
      <c r="C12">
        <v>52</v>
      </c>
      <c r="D12">
        <v>68</v>
      </c>
      <c r="E12">
        <v>89</v>
      </c>
      <c r="F12">
        <v>102</v>
      </c>
    </row>
    <row r="13" spans="1:6" x14ac:dyDescent="0.25">
      <c r="A13" t="s">
        <v>119</v>
      </c>
      <c r="B13">
        <v>34</v>
      </c>
      <c r="C13">
        <v>44</v>
      </c>
      <c r="D13">
        <v>62</v>
      </c>
      <c r="E13">
        <v>74</v>
      </c>
      <c r="F13">
        <v>80</v>
      </c>
    </row>
    <row r="14" spans="1:6" x14ac:dyDescent="0.25">
      <c r="A14" t="s">
        <v>118</v>
      </c>
      <c r="B14">
        <v>29</v>
      </c>
      <c r="C14">
        <v>51</v>
      </c>
      <c r="D14">
        <v>81</v>
      </c>
      <c r="E14">
        <v>102</v>
      </c>
      <c r="F14">
        <v>102</v>
      </c>
    </row>
    <row r="15" spans="1:6" x14ac:dyDescent="0.25">
      <c r="A15" t="s">
        <v>117</v>
      </c>
      <c r="B15">
        <v>28</v>
      </c>
      <c r="C15">
        <v>56</v>
      </c>
      <c r="D15">
        <v>73</v>
      </c>
      <c r="E15">
        <v>102</v>
      </c>
      <c r="F15">
        <v>102</v>
      </c>
    </row>
    <row r="16" spans="1:6" x14ac:dyDescent="0.25">
      <c r="A16" t="s">
        <v>116</v>
      </c>
      <c r="B16">
        <v>36</v>
      </c>
      <c r="C16">
        <v>58</v>
      </c>
      <c r="D16">
        <v>89</v>
      </c>
      <c r="E16">
        <v>102</v>
      </c>
      <c r="F16">
        <v>102</v>
      </c>
    </row>
    <row r="17" spans="1:6" x14ac:dyDescent="0.25">
      <c r="A17" t="s">
        <v>115</v>
      </c>
      <c r="B17">
        <v>29</v>
      </c>
      <c r="C17">
        <v>51</v>
      </c>
      <c r="D17">
        <v>74</v>
      </c>
      <c r="E17">
        <v>102</v>
      </c>
      <c r="F17">
        <v>102</v>
      </c>
    </row>
    <row r="18" spans="1:6" x14ac:dyDescent="0.25">
      <c r="A18" t="s">
        <v>114</v>
      </c>
      <c r="B18">
        <v>31</v>
      </c>
      <c r="C18">
        <v>50</v>
      </c>
      <c r="D18">
        <v>68</v>
      </c>
      <c r="E18">
        <v>102</v>
      </c>
      <c r="F18">
        <v>102</v>
      </c>
    </row>
    <row r="19" spans="1:6" x14ac:dyDescent="0.25">
      <c r="A19" t="s">
        <v>113</v>
      </c>
      <c r="B19">
        <v>27</v>
      </c>
      <c r="C19">
        <v>48</v>
      </c>
      <c r="D19">
        <v>63</v>
      </c>
      <c r="E19">
        <v>69</v>
      </c>
      <c r="F19">
        <v>102</v>
      </c>
    </row>
    <row r="20" spans="1:6" x14ac:dyDescent="0.25">
      <c r="A20" t="s">
        <v>112</v>
      </c>
      <c r="B20">
        <v>36</v>
      </c>
      <c r="C20">
        <v>63</v>
      </c>
      <c r="D20">
        <v>93</v>
      </c>
      <c r="E20">
        <v>102</v>
      </c>
      <c r="F20">
        <v>102</v>
      </c>
    </row>
    <row r="21" spans="1:6" x14ac:dyDescent="0.25">
      <c r="A21" t="s">
        <v>111</v>
      </c>
      <c r="B21">
        <v>36</v>
      </c>
      <c r="C21">
        <v>61</v>
      </c>
      <c r="D21">
        <v>93</v>
      </c>
      <c r="E21">
        <v>102</v>
      </c>
      <c r="F21">
        <v>102</v>
      </c>
    </row>
    <row r="22" spans="1:6" x14ac:dyDescent="0.25">
      <c r="A22" t="s">
        <v>110</v>
      </c>
      <c r="B22">
        <v>38</v>
      </c>
      <c r="C22">
        <v>63</v>
      </c>
      <c r="D22">
        <v>85</v>
      </c>
      <c r="E22">
        <v>102</v>
      </c>
      <c r="F22">
        <v>102</v>
      </c>
    </row>
    <row r="23" spans="1:6" x14ac:dyDescent="0.25">
      <c r="A23" t="s">
        <v>109</v>
      </c>
      <c r="B23">
        <v>39</v>
      </c>
      <c r="C23">
        <v>62</v>
      </c>
      <c r="D23">
        <v>77</v>
      </c>
      <c r="E23">
        <v>102</v>
      </c>
      <c r="F23">
        <v>102</v>
      </c>
    </row>
    <row r="24" spans="1:6" x14ac:dyDescent="0.25">
      <c r="A24" t="s">
        <v>108</v>
      </c>
      <c r="B24">
        <v>24</v>
      </c>
      <c r="C24">
        <v>51</v>
      </c>
      <c r="D24">
        <v>75</v>
      </c>
      <c r="E24">
        <v>102</v>
      </c>
      <c r="F24">
        <v>102</v>
      </c>
    </row>
    <row r="25" spans="1:6" x14ac:dyDescent="0.25">
      <c r="A25" t="s">
        <v>107</v>
      </c>
      <c r="B25">
        <v>27</v>
      </c>
      <c r="C25">
        <v>44</v>
      </c>
      <c r="D25">
        <v>64</v>
      </c>
      <c r="E25">
        <v>79</v>
      </c>
      <c r="F25">
        <v>83</v>
      </c>
    </row>
    <row r="26" spans="1:6" x14ac:dyDescent="0.25">
      <c r="A26" t="s">
        <v>106</v>
      </c>
      <c r="B26">
        <v>36</v>
      </c>
      <c r="C26">
        <v>52</v>
      </c>
      <c r="D26">
        <v>78</v>
      </c>
      <c r="E26">
        <v>78</v>
      </c>
      <c r="F26">
        <v>102</v>
      </c>
    </row>
    <row r="27" spans="1:6" x14ac:dyDescent="0.25">
      <c r="A27" t="s">
        <v>105</v>
      </c>
      <c r="B27">
        <v>30</v>
      </c>
      <c r="C27">
        <v>60</v>
      </c>
      <c r="D27">
        <v>91</v>
      </c>
      <c r="E27">
        <v>102</v>
      </c>
      <c r="F27">
        <v>102</v>
      </c>
    </row>
    <row r="28" spans="1:6" x14ac:dyDescent="0.25">
      <c r="A28" t="s">
        <v>104</v>
      </c>
      <c r="B28">
        <v>34</v>
      </c>
      <c r="C28">
        <v>58</v>
      </c>
      <c r="D28">
        <v>91</v>
      </c>
      <c r="E28">
        <v>102</v>
      </c>
      <c r="F28">
        <v>102</v>
      </c>
    </row>
    <row r="29" spans="1:6" x14ac:dyDescent="0.25">
      <c r="A29" t="s">
        <v>103</v>
      </c>
      <c r="B29">
        <v>32</v>
      </c>
      <c r="C29">
        <v>63</v>
      </c>
      <c r="D29">
        <v>84</v>
      </c>
      <c r="E29">
        <v>102</v>
      </c>
      <c r="F29">
        <v>102</v>
      </c>
    </row>
    <row r="30" spans="1:6" x14ac:dyDescent="0.25">
      <c r="A30" t="s">
        <v>102</v>
      </c>
      <c r="B30">
        <v>36</v>
      </c>
      <c r="C30">
        <v>58</v>
      </c>
      <c r="D30">
        <v>85</v>
      </c>
      <c r="E30">
        <v>102</v>
      </c>
      <c r="F30">
        <v>102</v>
      </c>
    </row>
    <row r="31" spans="1:6" x14ac:dyDescent="0.25">
      <c r="A31" t="s">
        <v>101</v>
      </c>
      <c r="B31">
        <v>31</v>
      </c>
      <c r="C31">
        <v>45</v>
      </c>
      <c r="D31">
        <v>65</v>
      </c>
      <c r="E31">
        <v>72</v>
      </c>
      <c r="F31">
        <v>88</v>
      </c>
    </row>
    <row r="32" spans="1:6" x14ac:dyDescent="0.25">
      <c r="A32" t="s">
        <v>100</v>
      </c>
      <c r="B32">
        <v>28</v>
      </c>
      <c r="C32">
        <v>38</v>
      </c>
      <c r="D32">
        <v>56</v>
      </c>
      <c r="E32">
        <v>50</v>
      </c>
      <c r="F32">
        <v>70</v>
      </c>
    </row>
    <row r="33" spans="1:6" x14ac:dyDescent="0.25">
      <c r="A33" t="s">
        <v>99</v>
      </c>
      <c r="B33">
        <v>28</v>
      </c>
      <c r="C33">
        <v>39</v>
      </c>
      <c r="D33">
        <v>58</v>
      </c>
      <c r="E33">
        <v>63</v>
      </c>
      <c r="F33">
        <v>75</v>
      </c>
    </row>
    <row r="34" spans="1:6" x14ac:dyDescent="0.25">
      <c r="A34" t="s">
        <v>98</v>
      </c>
      <c r="B34">
        <v>31</v>
      </c>
      <c r="C34">
        <v>41</v>
      </c>
      <c r="D34">
        <v>63</v>
      </c>
      <c r="E34">
        <v>63</v>
      </c>
      <c r="F34">
        <v>81</v>
      </c>
    </row>
    <row r="35" spans="1:6" x14ac:dyDescent="0.25">
      <c r="A35" t="s">
        <v>97</v>
      </c>
      <c r="B35">
        <v>29</v>
      </c>
      <c r="C35">
        <v>38</v>
      </c>
      <c r="D35">
        <v>61</v>
      </c>
      <c r="E35">
        <v>63</v>
      </c>
      <c r="F35">
        <v>77</v>
      </c>
    </row>
    <row r="36" spans="1:6" x14ac:dyDescent="0.25">
      <c r="A36" t="s">
        <v>96</v>
      </c>
      <c r="B36">
        <v>32</v>
      </c>
      <c r="C36">
        <v>45</v>
      </c>
      <c r="D36">
        <v>60</v>
      </c>
      <c r="E36">
        <v>61</v>
      </c>
      <c r="F36">
        <v>74</v>
      </c>
    </row>
    <row r="37" spans="1:6" x14ac:dyDescent="0.25">
      <c r="A37" t="s">
        <v>95</v>
      </c>
      <c r="B37">
        <v>25</v>
      </c>
      <c r="C37">
        <v>41</v>
      </c>
      <c r="D37">
        <v>59</v>
      </c>
      <c r="E37">
        <v>60</v>
      </c>
      <c r="F37">
        <v>76</v>
      </c>
    </row>
    <row r="38" spans="1:6" x14ac:dyDescent="0.25">
      <c r="A38" t="s">
        <v>94</v>
      </c>
      <c r="B38">
        <v>23</v>
      </c>
      <c r="C38">
        <v>44</v>
      </c>
      <c r="D38">
        <v>72</v>
      </c>
      <c r="E38">
        <v>102</v>
      </c>
      <c r="F38">
        <v>102</v>
      </c>
    </row>
    <row r="39" spans="1:6" x14ac:dyDescent="0.25">
      <c r="A39" t="s">
        <v>93</v>
      </c>
      <c r="B39">
        <v>30</v>
      </c>
      <c r="C39">
        <v>49</v>
      </c>
      <c r="D39">
        <v>74</v>
      </c>
      <c r="E39">
        <v>102</v>
      </c>
      <c r="F39">
        <v>102</v>
      </c>
    </row>
    <row r="40" spans="1:6" x14ac:dyDescent="0.25">
      <c r="A40" t="s">
        <v>92</v>
      </c>
      <c r="B40">
        <v>26</v>
      </c>
      <c r="C40">
        <v>44</v>
      </c>
      <c r="D40">
        <v>69</v>
      </c>
      <c r="E40">
        <v>102</v>
      </c>
      <c r="F40">
        <v>102</v>
      </c>
    </row>
    <row r="41" spans="1:6" x14ac:dyDescent="0.25">
      <c r="A41" t="s">
        <v>91</v>
      </c>
      <c r="B41">
        <v>26</v>
      </c>
      <c r="C41">
        <v>51</v>
      </c>
      <c r="D41">
        <v>77</v>
      </c>
      <c r="E41">
        <v>102</v>
      </c>
      <c r="F41">
        <v>102</v>
      </c>
    </row>
    <row r="42" spans="1:6" x14ac:dyDescent="0.25">
      <c r="A42" t="s">
        <v>90</v>
      </c>
      <c r="B42">
        <v>30</v>
      </c>
      <c r="C42">
        <v>45</v>
      </c>
      <c r="D42">
        <v>72</v>
      </c>
      <c r="E42">
        <v>102</v>
      </c>
      <c r="F42">
        <v>102</v>
      </c>
    </row>
    <row r="43" spans="1:6" x14ac:dyDescent="0.25">
      <c r="A43" t="s">
        <v>89</v>
      </c>
      <c r="B43">
        <v>23</v>
      </c>
      <c r="C43">
        <v>43</v>
      </c>
      <c r="D43">
        <v>74</v>
      </c>
      <c r="E43">
        <v>82</v>
      </c>
      <c r="F43">
        <v>90</v>
      </c>
    </row>
    <row r="44" spans="1:6" x14ac:dyDescent="0.25">
      <c r="A44" t="s">
        <v>88</v>
      </c>
      <c r="B44">
        <v>26</v>
      </c>
      <c r="C44">
        <v>54</v>
      </c>
      <c r="D44">
        <v>72</v>
      </c>
      <c r="E44">
        <v>102</v>
      </c>
      <c r="F44">
        <v>102</v>
      </c>
    </row>
    <row r="45" spans="1:6" x14ac:dyDescent="0.25">
      <c r="A45" t="s">
        <v>87</v>
      </c>
      <c r="B45">
        <v>32</v>
      </c>
      <c r="C45">
        <v>51</v>
      </c>
      <c r="D45">
        <v>80</v>
      </c>
      <c r="E45">
        <v>102</v>
      </c>
      <c r="F45">
        <v>102</v>
      </c>
    </row>
    <row r="46" spans="1:6" x14ac:dyDescent="0.25">
      <c r="A46" t="s">
        <v>86</v>
      </c>
      <c r="B46">
        <v>35</v>
      </c>
      <c r="C46">
        <v>52</v>
      </c>
      <c r="D46">
        <v>70</v>
      </c>
      <c r="E46">
        <v>102</v>
      </c>
      <c r="F46">
        <v>102</v>
      </c>
    </row>
    <row r="47" spans="1:6" x14ac:dyDescent="0.25">
      <c r="A47" t="s">
        <v>85</v>
      </c>
      <c r="B47">
        <v>30</v>
      </c>
      <c r="C47">
        <v>50</v>
      </c>
      <c r="D47">
        <v>79</v>
      </c>
      <c r="E47">
        <v>102</v>
      </c>
      <c r="F47">
        <v>102</v>
      </c>
    </row>
    <row r="48" spans="1:6" x14ac:dyDescent="0.25">
      <c r="A48" t="s">
        <v>84</v>
      </c>
      <c r="B48">
        <v>32</v>
      </c>
      <c r="C48">
        <v>46</v>
      </c>
      <c r="D48">
        <v>59</v>
      </c>
      <c r="E48">
        <v>74</v>
      </c>
      <c r="F48">
        <v>23</v>
      </c>
    </row>
    <row r="49" spans="1:6" x14ac:dyDescent="0.25">
      <c r="A49" t="s">
        <v>83</v>
      </c>
      <c r="B49">
        <v>25</v>
      </c>
      <c r="C49">
        <v>48</v>
      </c>
      <c r="D49">
        <v>55</v>
      </c>
      <c r="E49">
        <v>70</v>
      </c>
      <c r="F49">
        <v>21</v>
      </c>
    </row>
    <row r="50" spans="1:6" x14ac:dyDescent="0.25">
      <c r="A50" t="s">
        <v>82</v>
      </c>
      <c r="B50">
        <v>29</v>
      </c>
      <c r="C50">
        <v>42</v>
      </c>
      <c r="D50">
        <v>59</v>
      </c>
      <c r="E50">
        <v>70</v>
      </c>
      <c r="F50">
        <v>102</v>
      </c>
    </row>
    <row r="51" spans="1:6" x14ac:dyDescent="0.25">
      <c r="A51" t="s">
        <v>81</v>
      </c>
      <c r="B51">
        <v>34</v>
      </c>
      <c r="C51">
        <v>53</v>
      </c>
      <c r="D51">
        <v>84</v>
      </c>
      <c r="E51">
        <v>102</v>
      </c>
      <c r="F51">
        <v>102</v>
      </c>
    </row>
    <row r="52" spans="1:6" x14ac:dyDescent="0.25">
      <c r="A52" t="s">
        <v>80</v>
      </c>
      <c r="B52">
        <v>35</v>
      </c>
      <c r="C52">
        <v>55</v>
      </c>
      <c r="D52">
        <v>76</v>
      </c>
      <c r="E52">
        <v>102</v>
      </c>
      <c r="F52">
        <v>102</v>
      </c>
    </row>
    <row r="53" spans="1:6" x14ac:dyDescent="0.25">
      <c r="A53" t="s">
        <v>79</v>
      </c>
      <c r="B53">
        <v>38</v>
      </c>
      <c r="C53">
        <v>54</v>
      </c>
      <c r="D53">
        <v>78</v>
      </c>
      <c r="E53">
        <v>102</v>
      </c>
      <c r="F53">
        <v>102</v>
      </c>
    </row>
    <row r="54" spans="1:6" x14ac:dyDescent="0.25">
      <c r="A54" t="s">
        <v>78</v>
      </c>
      <c r="B54">
        <v>30</v>
      </c>
      <c r="C54">
        <v>49</v>
      </c>
      <c r="D54">
        <v>70</v>
      </c>
      <c r="E54">
        <v>84</v>
      </c>
      <c r="F54">
        <v>102</v>
      </c>
    </row>
    <row r="55" spans="1:6" x14ac:dyDescent="0.25">
      <c r="A55" t="s">
        <v>77</v>
      </c>
      <c r="B55">
        <v>25</v>
      </c>
      <c r="C55">
        <v>46</v>
      </c>
      <c r="D55">
        <v>66</v>
      </c>
      <c r="E55">
        <v>79</v>
      </c>
      <c r="F55">
        <v>102</v>
      </c>
    </row>
    <row r="56" spans="1:6" x14ac:dyDescent="0.25">
      <c r="A56" t="s">
        <v>76</v>
      </c>
      <c r="B56">
        <v>32</v>
      </c>
      <c r="C56">
        <v>43</v>
      </c>
      <c r="D56">
        <v>59</v>
      </c>
      <c r="E56">
        <v>31</v>
      </c>
      <c r="F56">
        <v>102</v>
      </c>
    </row>
    <row r="57" spans="1:6" x14ac:dyDescent="0.25">
      <c r="A57" t="s">
        <v>75</v>
      </c>
      <c r="B57">
        <v>32</v>
      </c>
      <c r="C57">
        <v>46</v>
      </c>
      <c r="D57">
        <v>69</v>
      </c>
      <c r="E57">
        <v>76</v>
      </c>
      <c r="F57">
        <v>91</v>
      </c>
    </row>
    <row r="58" spans="1:6" x14ac:dyDescent="0.25">
      <c r="A58" t="s">
        <v>74</v>
      </c>
      <c r="B58">
        <v>34</v>
      </c>
      <c r="C58">
        <v>54</v>
      </c>
      <c r="D58">
        <v>79</v>
      </c>
      <c r="E58">
        <v>102</v>
      </c>
      <c r="F58">
        <v>102</v>
      </c>
    </row>
    <row r="59" spans="1:6" x14ac:dyDescent="0.25">
      <c r="A59" t="s">
        <v>73</v>
      </c>
      <c r="B59">
        <v>38</v>
      </c>
      <c r="C59">
        <v>48</v>
      </c>
      <c r="D59">
        <v>69</v>
      </c>
      <c r="E59">
        <v>85</v>
      </c>
      <c r="F59">
        <v>102</v>
      </c>
    </row>
    <row r="60" spans="1:6" x14ac:dyDescent="0.25">
      <c r="A60" t="s">
        <v>72</v>
      </c>
      <c r="B60">
        <v>33</v>
      </c>
      <c r="C60">
        <v>47</v>
      </c>
      <c r="D60">
        <v>67</v>
      </c>
      <c r="E60">
        <v>77</v>
      </c>
      <c r="F60">
        <v>92</v>
      </c>
    </row>
    <row r="61" spans="1:6" x14ac:dyDescent="0.25">
      <c r="A61" t="s">
        <v>71</v>
      </c>
      <c r="B61">
        <v>26</v>
      </c>
      <c r="C61">
        <v>37</v>
      </c>
      <c r="D61">
        <v>59</v>
      </c>
      <c r="E61">
        <v>66</v>
      </c>
      <c r="F61">
        <v>82</v>
      </c>
    </row>
    <row r="62" spans="1:6" x14ac:dyDescent="0.25">
      <c r="A62" t="s">
        <v>70</v>
      </c>
      <c r="B62">
        <v>29</v>
      </c>
      <c r="C62">
        <v>33</v>
      </c>
      <c r="D62">
        <v>56</v>
      </c>
      <c r="E62">
        <v>78</v>
      </c>
      <c r="F62">
        <v>102</v>
      </c>
    </row>
    <row r="63" spans="1:6" x14ac:dyDescent="0.25">
      <c r="A63" t="s">
        <v>69</v>
      </c>
      <c r="B63">
        <v>25</v>
      </c>
      <c r="C63">
        <v>35</v>
      </c>
      <c r="D63">
        <v>61</v>
      </c>
      <c r="E63">
        <v>80</v>
      </c>
      <c r="F63">
        <v>102</v>
      </c>
    </row>
    <row r="64" spans="1:6" x14ac:dyDescent="0.25">
      <c r="A64" t="s">
        <v>68</v>
      </c>
      <c r="B64">
        <v>31</v>
      </c>
      <c r="C64">
        <v>42</v>
      </c>
      <c r="D64">
        <v>71</v>
      </c>
      <c r="E64">
        <v>102</v>
      </c>
      <c r="F64">
        <v>102</v>
      </c>
    </row>
    <row r="65" spans="1:6" x14ac:dyDescent="0.25">
      <c r="A65" t="s">
        <v>67</v>
      </c>
      <c r="B65">
        <v>34</v>
      </c>
      <c r="C65">
        <v>38</v>
      </c>
      <c r="D65">
        <v>61</v>
      </c>
      <c r="E65">
        <v>80</v>
      </c>
      <c r="F65">
        <v>102</v>
      </c>
    </row>
    <row r="66" spans="1:6" x14ac:dyDescent="0.25">
      <c r="A66" t="s">
        <v>66</v>
      </c>
      <c r="B66">
        <v>28</v>
      </c>
      <c r="C66">
        <v>37</v>
      </c>
      <c r="D66">
        <v>57</v>
      </c>
      <c r="E66">
        <v>75</v>
      </c>
      <c r="F66">
        <v>102</v>
      </c>
    </row>
    <row r="67" spans="1:6" x14ac:dyDescent="0.25">
      <c r="A67" t="s">
        <v>65</v>
      </c>
      <c r="B67">
        <v>31</v>
      </c>
      <c r="C67">
        <v>37</v>
      </c>
      <c r="D67">
        <v>63</v>
      </c>
      <c r="E67">
        <v>78</v>
      </c>
      <c r="F67">
        <v>102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B70673-9223-4851-865D-17213CFA170F}">
  <dimension ref="A1:H43"/>
  <sheetViews>
    <sheetView workbookViewId="0">
      <selection sqref="A1:A1048576"/>
    </sheetView>
  </sheetViews>
  <sheetFormatPr defaultRowHeight="15" x14ac:dyDescent="0.25"/>
  <sheetData>
    <row r="1" spans="1:8" x14ac:dyDescent="0.25">
      <c r="A1" t="s">
        <v>137</v>
      </c>
      <c r="B1" t="s">
        <v>135</v>
      </c>
      <c r="C1" t="s">
        <v>134</v>
      </c>
      <c r="D1" t="s">
        <v>239</v>
      </c>
      <c r="E1" t="s">
        <v>240</v>
      </c>
      <c r="F1" t="s">
        <v>241</v>
      </c>
      <c r="G1" t="s">
        <v>242</v>
      </c>
      <c r="H1" t="s">
        <v>243</v>
      </c>
    </row>
    <row r="2" spans="1:8" x14ac:dyDescent="0.25">
      <c r="A2" t="s">
        <v>130</v>
      </c>
      <c r="B2" s="206">
        <v>0.41</v>
      </c>
      <c r="C2" s="206">
        <v>0.52</v>
      </c>
      <c r="D2" s="206">
        <v>1.53</v>
      </c>
      <c r="E2" s="206">
        <v>2.2599999999999998</v>
      </c>
      <c r="F2" s="206">
        <v>1.66</v>
      </c>
      <c r="G2" s="206">
        <v>1.85</v>
      </c>
      <c r="H2" s="206">
        <v>2.0299999999999998</v>
      </c>
    </row>
    <row r="3" spans="1:8" x14ac:dyDescent="0.25">
      <c r="A3" t="s">
        <v>129</v>
      </c>
      <c r="B3" s="206">
        <v>0.46</v>
      </c>
      <c r="C3" s="206">
        <v>1.08</v>
      </c>
      <c r="D3" s="206">
        <v>1.79</v>
      </c>
      <c r="E3" s="206">
        <v>2.02</v>
      </c>
      <c r="F3" s="206">
        <v>1.95</v>
      </c>
      <c r="G3" s="206">
        <v>1.92</v>
      </c>
      <c r="H3" s="206">
        <v>3.22</v>
      </c>
    </row>
    <row r="4" spans="1:8" x14ac:dyDescent="0.25">
      <c r="A4" t="s">
        <v>128</v>
      </c>
      <c r="B4" s="206">
        <v>1.1100000000000001</v>
      </c>
      <c r="C4" s="206">
        <v>1.03</v>
      </c>
      <c r="D4" s="206">
        <v>2</v>
      </c>
      <c r="E4" s="206">
        <v>2.85</v>
      </c>
      <c r="F4" s="206">
        <v>2.21</v>
      </c>
      <c r="G4" s="206">
        <v>2.2599999999999998</v>
      </c>
      <c r="H4" s="206">
        <v>2.2799999999999998</v>
      </c>
    </row>
    <row r="5" spans="1:8" x14ac:dyDescent="0.25">
      <c r="A5" t="s">
        <v>127</v>
      </c>
      <c r="B5" s="206">
        <v>0.39</v>
      </c>
      <c r="C5" s="206">
        <v>0.44</v>
      </c>
      <c r="D5" s="206">
        <v>1.17</v>
      </c>
      <c r="E5" s="206">
        <v>1.24</v>
      </c>
      <c r="F5" s="206">
        <v>1.22</v>
      </c>
      <c r="G5" s="206">
        <v>1.3</v>
      </c>
      <c r="H5" s="206">
        <v>1.68</v>
      </c>
    </row>
    <row r="6" spans="1:8" x14ac:dyDescent="0.25">
      <c r="A6" t="s">
        <v>126</v>
      </c>
      <c r="B6" s="206">
        <v>0.75</v>
      </c>
      <c r="C6" s="206">
        <v>0.81</v>
      </c>
      <c r="D6" s="206">
        <v>1.62</v>
      </c>
      <c r="E6" s="206">
        <v>1.93</v>
      </c>
      <c r="F6" s="206">
        <v>1.89</v>
      </c>
      <c r="G6" s="206">
        <v>1.98</v>
      </c>
      <c r="H6" s="206">
        <v>2.14</v>
      </c>
    </row>
    <row r="7" spans="1:8" x14ac:dyDescent="0.25">
      <c r="A7" t="s">
        <v>125</v>
      </c>
      <c r="B7" s="206">
        <v>0.38</v>
      </c>
      <c r="C7" s="206">
        <v>0.45</v>
      </c>
      <c r="D7" s="206">
        <v>1.52</v>
      </c>
      <c r="E7" s="206">
        <v>1.19</v>
      </c>
      <c r="F7" s="206">
        <v>1.55</v>
      </c>
      <c r="G7" s="206">
        <v>2.39</v>
      </c>
      <c r="H7" s="206">
        <v>2.2000000000000002</v>
      </c>
    </row>
    <row r="8" spans="1:8" x14ac:dyDescent="0.25">
      <c r="A8" t="s">
        <v>124</v>
      </c>
      <c r="B8" s="206">
        <v>1.02</v>
      </c>
      <c r="C8" s="206">
        <v>0.91</v>
      </c>
      <c r="D8" s="206">
        <v>3.04</v>
      </c>
      <c r="E8" s="206">
        <v>3.91</v>
      </c>
      <c r="F8" s="206">
        <v>3.76</v>
      </c>
      <c r="G8" s="206">
        <v>5.32</v>
      </c>
      <c r="H8" s="206">
        <v>4.5199999999999996</v>
      </c>
    </row>
    <row r="9" spans="1:8" x14ac:dyDescent="0.25">
      <c r="A9" t="s">
        <v>123</v>
      </c>
      <c r="B9" s="206">
        <v>0.41</v>
      </c>
      <c r="C9" s="206">
        <v>1.49</v>
      </c>
      <c r="D9" s="206">
        <v>3.28</v>
      </c>
      <c r="E9" s="206">
        <v>5.3</v>
      </c>
      <c r="F9" s="206">
        <v>4.6399999999999997</v>
      </c>
      <c r="G9" s="206">
        <v>5.61</v>
      </c>
      <c r="H9" s="206">
        <v>3.69</v>
      </c>
    </row>
    <row r="10" spans="1:8" x14ac:dyDescent="0.25">
      <c r="A10" t="s">
        <v>122</v>
      </c>
      <c r="B10" s="206">
        <v>0.27</v>
      </c>
      <c r="C10" s="206">
        <v>1.5</v>
      </c>
      <c r="D10" s="206">
        <v>3.25</v>
      </c>
      <c r="E10" s="206">
        <v>5.14</v>
      </c>
      <c r="F10" s="206">
        <v>3.22</v>
      </c>
      <c r="G10" s="206">
        <v>4.3600000000000003</v>
      </c>
      <c r="H10" s="206">
        <v>4.22</v>
      </c>
    </row>
    <row r="11" spans="1:8" x14ac:dyDescent="0.25">
      <c r="A11" t="s">
        <v>121</v>
      </c>
      <c r="B11" s="206">
        <v>1.62</v>
      </c>
      <c r="C11" s="206">
        <v>1.17</v>
      </c>
      <c r="D11" s="206">
        <v>2.73</v>
      </c>
      <c r="E11" s="206">
        <v>4.3600000000000003</v>
      </c>
      <c r="F11" s="206">
        <v>4.3</v>
      </c>
      <c r="G11" s="206">
        <v>4.04</v>
      </c>
      <c r="H11" s="206">
        <v>3.97</v>
      </c>
    </row>
    <row r="12" spans="1:8" x14ac:dyDescent="0.25">
      <c r="A12" t="s">
        <v>120</v>
      </c>
      <c r="B12" s="206">
        <v>0.51</v>
      </c>
      <c r="C12" s="206">
        <v>0.82</v>
      </c>
      <c r="D12" s="206">
        <v>2.96</v>
      </c>
      <c r="E12" s="206">
        <v>3.64</v>
      </c>
      <c r="F12" s="206">
        <v>5.2</v>
      </c>
      <c r="G12" s="206">
        <v>4.78</v>
      </c>
      <c r="H12" s="206">
        <v>4.74</v>
      </c>
    </row>
    <row r="13" spans="1:8" x14ac:dyDescent="0.25">
      <c r="A13" t="s">
        <v>119</v>
      </c>
      <c r="B13" s="206">
        <v>0.62</v>
      </c>
      <c r="C13" s="206">
        <v>0.7</v>
      </c>
      <c r="D13" s="206">
        <v>1.68</v>
      </c>
      <c r="E13" s="206">
        <v>1.96</v>
      </c>
      <c r="F13" s="206">
        <v>1.82</v>
      </c>
      <c r="G13" s="206">
        <v>2.4</v>
      </c>
      <c r="H13" s="206">
        <v>2.76</v>
      </c>
    </row>
    <row r="14" spans="1:8" x14ac:dyDescent="0.25">
      <c r="A14" t="s">
        <v>118</v>
      </c>
      <c r="B14" s="206">
        <v>0.45</v>
      </c>
      <c r="C14" s="206">
        <v>0.73</v>
      </c>
      <c r="D14" s="206">
        <v>3.61</v>
      </c>
      <c r="E14" s="206">
        <v>5.38</v>
      </c>
      <c r="F14" s="206">
        <v>2.9</v>
      </c>
      <c r="G14" s="206">
        <v>5.6</v>
      </c>
      <c r="H14" s="206">
        <v>5.22</v>
      </c>
    </row>
    <row r="15" spans="1:8" x14ac:dyDescent="0.25">
      <c r="A15" t="s">
        <v>117</v>
      </c>
      <c r="B15" s="206">
        <v>1.49</v>
      </c>
      <c r="C15" s="206">
        <v>1.18</v>
      </c>
      <c r="D15" s="206">
        <v>3.67</v>
      </c>
      <c r="E15" s="206">
        <v>5.43</v>
      </c>
      <c r="F15" s="206">
        <v>3.97</v>
      </c>
      <c r="G15" s="206">
        <v>5.84</v>
      </c>
      <c r="H15" s="206">
        <v>4.1900000000000004</v>
      </c>
    </row>
    <row r="16" spans="1:8" x14ac:dyDescent="0.25">
      <c r="A16" t="s">
        <v>116</v>
      </c>
      <c r="B16" s="206">
        <v>1.1000000000000001</v>
      </c>
      <c r="C16" s="206">
        <v>1.42</v>
      </c>
      <c r="D16" s="206">
        <v>4.3099999999999996</v>
      </c>
      <c r="E16" s="206">
        <v>5.97</v>
      </c>
      <c r="F16" s="206"/>
      <c r="G16" s="206">
        <v>6.39</v>
      </c>
      <c r="H16" s="206">
        <v>5.94</v>
      </c>
    </row>
    <row r="17" spans="1:8" x14ac:dyDescent="0.25">
      <c r="A17" t="s">
        <v>115</v>
      </c>
      <c r="B17" s="206">
        <v>0.55000000000000004</v>
      </c>
      <c r="C17" s="206">
        <v>0.72</v>
      </c>
      <c r="D17" s="206">
        <v>2.85</v>
      </c>
      <c r="E17" s="206">
        <v>4</v>
      </c>
      <c r="F17" s="206">
        <v>5.59</v>
      </c>
      <c r="G17" s="206">
        <v>4.5199999999999996</v>
      </c>
      <c r="H17" s="206">
        <v>5.47</v>
      </c>
    </row>
    <row r="18" spans="1:8" x14ac:dyDescent="0.25">
      <c r="A18" t="s">
        <v>114</v>
      </c>
      <c r="B18" s="206">
        <v>1.06</v>
      </c>
      <c r="C18" s="206">
        <v>0.94</v>
      </c>
      <c r="D18" s="206">
        <v>2.75</v>
      </c>
      <c r="E18" s="206">
        <v>3.95</v>
      </c>
      <c r="F18" s="206">
        <v>3.34</v>
      </c>
      <c r="G18" s="206">
        <v>4.54</v>
      </c>
      <c r="H18" s="206">
        <v>2.73</v>
      </c>
    </row>
    <row r="19" spans="1:8" x14ac:dyDescent="0.25">
      <c r="A19" t="s">
        <v>113</v>
      </c>
      <c r="B19" s="206">
        <v>0.93</v>
      </c>
      <c r="C19" s="206">
        <v>0.87</v>
      </c>
      <c r="D19" s="206">
        <v>2.5499999999999998</v>
      </c>
      <c r="E19" s="206">
        <v>3.84</v>
      </c>
      <c r="F19" s="206">
        <v>8.77</v>
      </c>
      <c r="G19" s="206">
        <v>3.79</v>
      </c>
      <c r="H19" s="206">
        <v>4.43</v>
      </c>
    </row>
    <row r="20" spans="1:8" x14ac:dyDescent="0.25">
      <c r="A20" t="s">
        <v>100</v>
      </c>
      <c r="B20" s="206">
        <v>0.55000000000000004</v>
      </c>
      <c r="C20" s="206">
        <v>0.57999999999999996</v>
      </c>
      <c r="D20" s="206">
        <v>1.91</v>
      </c>
      <c r="E20" s="206">
        <v>1.5</v>
      </c>
      <c r="F20" s="206">
        <v>1.6</v>
      </c>
      <c r="G20" s="206">
        <v>1.67</v>
      </c>
      <c r="H20" s="206">
        <v>1.85</v>
      </c>
    </row>
    <row r="21" spans="1:8" x14ac:dyDescent="0.25">
      <c r="A21" t="s">
        <v>99</v>
      </c>
      <c r="B21" s="206">
        <v>0.62</v>
      </c>
      <c r="C21" s="206">
        <v>0.64</v>
      </c>
      <c r="D21" s="206">
        <v>2.06</v>
      </c>
      <c r="E21" s="206">
        <v>2.12</v>
      </c>
      <c r="F21" s="206">
        <v>2.36</v>
      </c>
      <c r="G21" s="206">
        <v>2.27</v>
      </c>
      <c r="H21" s="206">
        <v>2.27</v>
      </c>
    </row>
    <row r="22" spans="1:8" x14ac:dyDescent="0.25">
      <c r="A22" t="s">
        <v>98</v>
      </c>
      <c r="B22" s="206">
        <v>0.78</v>
      </c>
      <c r="C22" s="206">
        <v>0.74</v>
      </c>
      <c r="D22" s="206">
        <v>1.97</v>
      </c>
      <c r="E22" s="206">
        <v>2.36</v>
      </c>
      <c r="F22" s="206">
        <v>2.04</v>
      </c>
      <c r="G22" s="206">
        <v>2.25</v>
      </c>
      <c r="H22" s="206">
        <v>2.5</v>
      </c>
    </row>
    <row r="23" spans="1:8" x14ac:dyDescent="0.25">
      <c r="A23" t="s">
        <v>97</v>
      </c>
      <c r="B23" s="206">
        <v>0.94</v>
      </c>
      <c r="C23" s="206">
        <v>0.7</v>
      </c>
      <c r="D23" s="206">
        <v>1.59</v>
      </c>
      <c r="E23" s="206">
        <v>1.9</v>
      </c>
      <c r="F23" s="206">
        <v>1.8</v>
      </c>
      <c r="G23" s="206">
        <v>1.84</v>
      </c>
      <c r="H23" s="206">
        <v>1.99</v>
      </c>
    </row>
    <row r="24" spans="1:8" x14ac:dyDescent="0.25">
      <c r="A24" t="s">
        <v>96</v>
      </c>
      <c r="B24" s="206">
        <v>1.1599999999999999</v>
      </c>
      <c r="C24" s="206">
        <v>0.74</v>
      </c>
      <c r="D24" s="206">
        <v>1.82</v>
      </c>
      <c r="E24" s="206">
        <v>1.92</v>
      </c>
      <c r="F24" s="206">
        <v>1.73</v>
      </c>
      <c r="G24" s="206">
        <v>2.02</v>
      </c>
      <c r="H24" s="206">
        <v>2.4</v>
      </c>
    </row>
    <row r="25" spans="1:8" x14ac:dyDescent="0.25">
      <c r="A25" t="s">
        <v>95</v>
      </c>
      <c r="B25" s="206">
        <v>1.54</v>
      </c>
      <c r="C25" s="206">
        <v>0.61</v>
      </c>
      <c r="D25" s="206">
        <v>1.55</v>
      </c>
      <c r="E25" s="206">
        <v>1.41</v>
      </c>
      <c r="F25" s="206">
        <v>1.43</v>
      </c>
      <c r="G25" s="206">
        <v>2.19</v>
      </c>
      <c r="H25" s="206">
        <v>2.83</v>
      </c>
    </row>
    <row r="26" spans="1:8" x14ac:dyDescent="0.25">
      <c r="A26" t="s">
        <v>94</v>
      </c>
      <c r="B26" s="206">
        <v>0.75</v>
      </c>
      <c r="C26" s="206">
        <v>0.79</v>
      </c>
      <c r="D26" s="206">
        <v>2.34</v>
      </c>
      <c r="E26" s="206"/>
      <c r="F26" s="206">
        <v>5.07</v>
      </c>
      <c r="G26" s="206">
        <v>3.73</v>
      </c>
      <c r="H26" s="206">
        <v>3.81</v>
      </c>
    </row>
    <row r="27" spans="1:8" x14ac:dyDescent="0.25">
      <c r="A27" t="s">
        <v>93</v>
      </c>
      <c r="B27" s="206">
        <v>0.06</v>
      </c>
      <c r="C27" s="206">
        <v>1.2</v>
      </c>
      <c r="D27" s="206">
        <v>3.28</v>
      </c>
      <c r="E27" s="206"/>
      <c r="F27" s="206">
        <v>6.7</v>
      </c>
      <c r="G27" s="206">
        <v>5.0999999999999996</v>
      </c>
      <c r="H27" s="206">
        <v>4.3899999999999997</v>
      </c>
    </row>
    <row r="28" spans="1:8" x14ac:dyDescent="0.25">
      <c r="A28" t="s">
        <v>92</v>
      </c>
      <c r="B28" s="206">
        <v>0.54</v>
      </c>
      <c r="C28" s="206">
        <v>0.73</v>
      </c>
      <c r="D28" s="206">
        <v>3.46</v>
      </c>
      <c r="E28" s="206"/>
      <c r="F28" s="206">
        <v>3.96</v>
      </c>
      <c r="G28" s="206">
        <v>4.72</v>
      </c>
      <c r="H28" s="206">
        <v>4.45</v>
      </c>
    </row>
    <row r="29" spans="1:8" x14ac:dyDescent="0.25">
      <c r="A29" t="s">
        <v>91</v>
      </c>
      <c r="B29" s="206">
        <v>0.47</v>
      </c>
      <c r="C29" s="206">
        <v>1.07</v>
      </c>
      <c r="D29" s="206">
        <v>2.98</v>
      </c>
      <c r="E29" s="206"/>
      <c r="F29" s="206">
        <v>4.17</v>
      </c>
      <c r="G29" s="206">
        <v>4.5599999999999996</v>
      </c>
      <c r="H29" s="206">
        <v>4.3899999999999997</v>
      </c>
    </row>
    <row r="30" spans="1:8" x14ac:dyDescent="0.25">
      <c r="A30" t="s">
        <v>90</v>
      </c>
      <c r="B30" s="206">
        <v>0.65</v>
      </c>
      <c r="C30" s="206">
        <v>0.78</v>
      </c>
      <c r="D30" s="206">
        <v>2.2599999999999998</v>
      </c>
      <c r="E30" s="206"/>
      <c r="F30" s="206">
        <v>3.19</v>
      </c>
      <c r="G30" s="206">
        <v>4.16</v>
      </c>
      <c r="H30" s="206">
        <v>3.77</v>
      </c>
    </row>
    <row r="31" spans="1:8" x14ac:dyDescent="0.25">
      <c r="A31" t="s">
        <v>89</v>
      </c>
      <c r="B31" s="206">
        <v>0.92</v>
      </c>
      <c r="C31" s="206">
        <v>0.6</v>
      </c>
      <c r="D31" s="206">
        <v>1.63</v>
      </c>
      <c r="E31" s="206"/>
      <c r="F31" s="206"/>
      <c r="G31" s="206">
        <v>2.44</v>
      </c>
      <c r="H31" s="206">
        <v>2.62</v>
      </c>
    </row>
    <row r="32" spans="1:8" x14ac:dyDescent="0.25">
      <c r="A32" t="s">
        <v>76</v>
      </c>
      <c r="B32" s="206">
        <v>0.74</v>
      </c>
      <c r="C32" s="206">
        <v>0.82</v>
      </c>
      <c r="D32" s="206">
        <v>1.79</v>
      </c>
      <c r="E32" s="206"/>
      <c r="F32" s="206">
        <v>2.09</v>
      </c>
      <c r="G32" s="206">
        <v>2.29</v>
      </c>
      <c r="H32" s="206">
        <v>2.4</v>
      </c>
    </row>
    <row r="33" spans="1:8" x14ac:dyDescent="0.25">
      <c r="A33" t="s">
        <v>75</v>
      </c>
      <c r="B33" s="206">
        <v>0.43</v>
      </c>
      <c r="C33" s="206">
        <v>0.9</v>
      </c>
      <c r="D33" s="206">
        <v>2.89</v>
      </c>
      <c r="E33" s="206"/>
      <c r="F33" s="206">
        <v>2.63</v>
      </c>
      <c r="G33" s="206">
        <v>4.4800000000000004</v>
      </c>
      <c r="H33" s="206">
        <v>4.78</v>
      </c>
    </row>
    <row r="34" spans="1:8" x14ac:dyDescent="0.25">
      <c r="A34" t="s">
        <v>74</v>
      </c>
      <c r="B34" s="206">
        <v>1.55</v>
      </c>
      <c r="C34" s="206">
        <v>1.63</v>
      </c>
      <c r="D34" s="206">
        <v>3.37</v>
      </c>
      <c r="E34" s="206"/>
      <c r="F34" s="206">
        <v>3.33</v>
      </c>
      <c r="G34" s="206">
        <v>5.62</v>
      </c>
      <c r="H34" s="206">
        <v>6.31</v>
      </c>
    </row>
    <row r="35" spans="1:8" x14ac:dyDescent="0.25">
      <c r="A35" t="s">
        <v>73</v>
      </c>
      <c r="B35" s="206">
        <v>1.61</v>
      </c>
      <c r="C35" s="206">
        <v>1.69</v>
      </c>
      <c r="D35" s="206">
        <v>3.27</v>
      </c>
      <c r="E35" s="206"/>
      <c r="F35" s="206">
        <v>5.81</v>
      </c>
      <c r="G35" s="206">
        <v>5.36</v>
      </c>
      <c r="H35" s="206">
        <v>4.6500000000000004</v>
      </c>
    </row>
    <row r="36" spans="1:8" x14ac:dyDescent="0.25">
      <c r="A36" t="s">
        <v>72</v>
      </c>
      <c r="B36" s="206">
        <v>1.25</v>
      </c>
      <c r="C36" s="206">
        <v>1.1599999999999999</v>
      </c>
      <c r="D36" s="206">
        <v>2.78</v>
      </c>
      <c r="E36" s="206"/>
      <c r="F36" s="206">
        <v>2.97</v>
      </c>
      <c r="G36" s="206">
        <v>4.41</v>
      </c>
      <c r="H36" s="206">
        <v>4.05</v>
      </c>
    </row>
    <row r="37" spans="1:8" x14ac:dyDescent="0.25">
      <c r="A37" t="s">
        <v>71</v>
      </c>
      <c r="B37" s="206">
        <v>0.51</v>
      </c>
      <c r="C37" s="206">
        <v>0.76</v>
      </c>
      <c r="D37" s="206">
        <v>1.5</v>
      </c>
      <c r="E37" s="206"/>
      <c r="F37" s="206">
        <v>1.78</v>
      </c>
      <c r="G37" s="206">
        <v>2.39</v>
      </c>
      <c r="H37" s="206">
        <v>3.97</v>
      </c>
    </row>
    <row r="38" spans="1:8" x14ac:dyDescent="0.25">
      <c r="A38" t="s">
        <v>70</v>
      </c>
      <c r="B38" s="206">
        <v>0.83</v>
      </c>
      <c r="C38" s="206">
        <v>0.7</v>
      </c>
      <c r="D38" s="206">
        <v>2.14</v>
      </c>
      <c r="E38" s="206"/>
      <c r="F38" s="206">
        <v>3.52</v>
      </c>
      <c r="G38" s="206">
        <v>4.09</v>
      </c>
      <c r="H38" s="206">
        <v>3.05</v>
      </c>
    </row>
    <row r="39" spans="1:8" x14ac:dyDescent="0.25">
      <c r="A39" t="s">
        <v>69</v>
      </c>
      <c r="B39" s="206">
        <v>1.38</v>
      </c>
      <c r="C39" s="206">
        <v>0.99</v>
      </c>
      <c r="D39" s="206">
        <v>3.17</v>
      </c>
      <c r="E39" s="206"/>
      <c r="F39" s="206">
        <v>3.9</v>
      </c>
      <c r="G39" s="206">
        <v>5.14</v>
      </c>
      <c r="H39" s="206">
        <v>3.95</v>
      </c>
    </row>
    <row r="40" spans="1:8" x14ac:dyDescent="0.25">
      <c r="A40" t="s">
        <v>68</v>
      </c>
      <c r="B40" s="206">
        <v>0.85</v>
      </c>
      <c r="C40" s="206">
        <v>1.17</v>
      </c>
      <c r="D40" s="206">
        <v>2.96</v>
      </c>
      <c r="E40" s="206"/>
      <c r="F40" s="206">
        <v>3.25</v>
      </c>
      <c r="G40" s="206">
        <v>5.75</v>
      </c>
      <c r="H40" s="206">
        <v>3.11</v>
      </c>
    </row>
    <row r="41" spans="1:8" x14ac:dyDescent="0.25">
      <c r="A41" t="s">
        <v>67</v>
      </c>
      <c r="B41" s="206">
        <v>0.86</v>
      </c>
      <c r="C41" s="206">
        <v>0.85</v>
      </c>
      <c r="D41" s="206">
        <v>2.0299999999999998</v>
      </c>
      <c r="E41" s="206"/>
      <c r="F41" s="206">
        <v>3.78</v>
      </c>
      <c r="G41" s="206">
        <v>5.86</v>
      </c>
      <c r="H41" s="206">
        <v>3.74</v>
      </c>
    </row>
    <row r="42" spans="1:8" x14ac:dyDescent="0.25">
      <c r="A42" t="s">
        <v>66</v>
      </c>
      <c r="B42" s="206">
        <v>0.51</v>
      </c>
      <c r="C42" s="206">
        <v>0.8</v>
      </c>
      <c r="D42" s="206">
        <v>1.96</v>
      </c>
      <c r="E42" s="206"/>
      <c r="F42" s="206">
        <v>2.17</v>
      </c>
      <c r="G42" s="206">
        <v>3.33</v>
      </c>
      <c r="H42" s="206">
        <v>2.75</v>
      </c>
    </row>
    <row r="43" spans="1:8" x14ac:dyDescent="0.25">
      <c r="A43" t="s">
        <v>65</v>
      </c>
      <c r="B43" s="206">
        <v>1.26</v>
      </c>
      <c r="C43" s="206">
        <v>1.28</v>
      </c>
      <c r="D43" s="206">
        <v>2.73</v>
      </c>
      <c r="E43" s="206"/>
      <c r="F43" s="206">
        <v>3.08</v>
      </c>
      <c r="G43" s="206">
        <v>4.3099999999999996</v>
      </c>
      <c r="H43" s="206">
        <v>4.33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83B7A-1CC5-43B7-8A0C-359C0B8BA813}">
  <dimension ref="A1:H43"/>
  <sheetViews>
    <sheetView tabSelected="1" workbookViewId="0"/>
  </sheetViews>
  <sheetFormatPr defaultRowHeight="15" x14ac:dyDescent="0.25"/>
  <cols>
    <col min="2" max="2" width="10.7109375" bestFit="1" customWidth="1"/>
    <col min="4" max="8" width="9.5703125" bestFit="1" customWidth="1"/>
  </cols>
  <sheetData>
    <row r="1" spans="1:8" x14ac:dyDescent="0.25">
      <c r="A1" t="s">
        <v>137</v>
      </c>
      <c r="B1" t="s">
        <v>249</v>
      </c>
      <c r="C1" t="s">
        <v>250</v>
      </c>
      <c r="D1" t="s">
        <v>244</v>
      </c>
      <c r="E1" t="s">
        <v>245</v>
      </c>
      <c r="F1" t="s">
        <v>246</v>
      </c>
      <c r="G1" t="s">
        <v>247</v>
      </c>
      <c r="H1" t="s">
        <v>248</v>
      </c>
    </row>
    <row r="2" spans="1:8" x14ac:dyDescent="0.25">
      <c r="A2" t="s">
        <v>130</v>
      </c>
      <c r="B2" s="235">
        <v>41826</v>
      </c>
      <c r="C2" s="225">
        <v>186.83333333333334</v>
      </c>
      <c r="D2" s="155">
        <v>7</v>
      </c>
      <c r="E2" s="155">
        <v>4</v>
      </c>
      <c r="F2" s="155">
        <v>2</v>
      </c>
      <c r="G2" s="155">
        <v>1.5</v>
      </c>
      <c r="H2" s="155"/>
    </row>
    <row r="3" spans="1:8" x14ac:dyDescent="0.25">
      <c r="A3" t="s">
        <v>129</v>
      </c>
      <c r="B3" s="235">
        <v>41827</v>
      </c>
      <c r="C3" s="225">
        <v>188</v>
      </c>
      <c r="D3" s="155">
        <v>6</v>
      </c>
      <c r="E3" s="155">
        <v>4.5</v>
      </c>
      <c r="F3" s="155">
        <v>2</v>
      </c>
      <c r="G3" s="155">
        <v>1.5</v>
      </c>
      <c r="H3" s="155"/>
    </row>
    <row r="4" spans="1:8" x14ac:dyDescent="0.25">
      <c r="A4" t="s">
        <v>128</v>
      </c>
      <c r="B4" s="235">
        <v>41825</v>
      </c>
      <c r="C4" s="225">
        <v>185.91666666666666</v>
      </c>
      <c r="D4" s="155">
        <v>7</v>
      </c>
      <c r="E4" s="155">
        <v>4</v>
      </c>
      <c r="F4" s="155">
        <v>2</v>
      </c>
      <c r="G4" s="155">
        <v>1</v>
      </c>
      <c r="H4" s="155"/>
    </row>
    <row r="5" spans="1:8" x14ac:dyDescent="0.25">
      <c r="A5" t="s">
        <v>127</v>
      </c>
      <c r="B5" s="235">
        <v>41826</v>
      </c>
      <c r="C5" s="225">
        <v>186.57142857142858</v>
      </c>
      <c r="D5" s="155">
        <v>6</v>
      </c>
      <c r="E5" s="155">
        <v>4.5</v>
      </c>
      <c r="F5" s="155">
        <v>2</v>
      </c>
      <c r="G5" s="155">
        <v>1.5</v>
      </c>
      <c r="H5" s="155"/>
    </row>
    <row r="6" spans="1:8" x14ac:dyDescent="0.25">
      <c r="A6" t="s">
        <v>126</v>
      </c>
      <c r="B6" s="235">
        <v>41825</v>
      </c>
      <c r="C6" s="225">
        <v>186.33333333333334</v>
      </c>
      <c r="D6" s="155">
        <v>6</v>
      </c>
      <c r="E6" s="155">
        <v>4</v>
      </c>
      <c r="F6" s="155">
        <v>2</v>
      </c>
      <c r="G6" s="155">
        <v>1.5</v>
      </c>
      <c r="H6" s="155"/>
    </row>
    <row r="7" spans="1:8" x14ac:dyDescent="0.25">
      <c r="A7" t="s">
        <v>125</v>
      </c>
      <c r="B7" s="235">
        <v>41823</v>
      </c>
      <c r="C7" s="225">
        <v>184.25</v>
      </c>
      <c r="D7" s="155">
        <v>6</v>
      </c>
      <c r="E7" s="155">
        <v>6</v>
      </c>
      <c r="F7" s="155">
        <v>2</v>
      </c>
      <c r="G7" s="155">
        <v>1</v>
      </c>
      <c r="H7" s="155"/>
    </row>
    <row r="8" spans="1:8" x14ac:dyDescent="0.25">
      <c r="A8" t="s">
        <v>124</v>
      </c>
      <c r="B8" s="235">
        <v>41827</v>
      </c>
      <c r="C8" s="225">
        <v>188</v>
      </c>
      <c r="D8" s="155">
        <v>7</v>
      </c>
      <c r="E8" s="155">
        <v>5.5</v>
      </c>
      <c r="F8" s="155">
        <v>3</v>
      </c>
      <c r="G8" s="155">
        <v>2.5</v>
      </c>
      <c r="H8" s="155"/>
    </row>
    <row r="9" spans="1:8" x14ac:dyDescent="0.25">
      <c r="A9" t="s">
        <v>123</v>
      </c>
      <c r="B9" s="235">
        <v>41827</v>
      </c>
      <c r="C9" s="225">
        <v>188</v>
      </c>
      <c r="D9" s="155">
        <v>7</v>
      </c>
      <c r="E9" s="155">
        <v>6.5</v>
      </c>
      <c r="F9" s="155">
        <v>4</v>
      </c>
      <c r="G9" s="155">
        <v>2.5</v>
      </c>
      <c r="H9" s="155">
        <v>1</v>
      </c>
    </row>
    <row r="10" spans="1:8" x14ac:dyDescent="0.25">
      <c r="A10" t="s">
        <v>122</v>
      </c>
      <c r="B10" s="235">
        <v>41822</v>
      </c>
      <c r="C10" s="225">
        <v>183</v>
      </c>
      <c r="D10" s="155">
        <v>8</v>
      </c>
      <c r="E10" s="155">
        <v>5.5</v>
      </c>
      <c r="F10" s="155">
        <v>4.5</v>
      </c>
      <c r="G10" s="155">
        <v>2.5</v>
      </c>
      <c r="H10" s="155"/>
    </row>
    <row r="11" spans="1:8" x14ac:dyDescent="0.25">
      <c r="A11" t="s">
        <v>121</v>
      </c>
      <c r="B11" s="235">
        <v>41822</v>
      </c>
      <c r="C11" s="225">
        <v>183</v>
      </c>
      <c r="D11" s="155">
        <v>7</v>
      </c>
      <c r="E11" s="155">
        <v>5.5</v>
      </c>
      <c r="F11" s="155">
        <v>3.5</v>
      </c>
      <c r="G11" s="155">
        <v>2</v>
      </c>
      <c r="H11" s="155"/>
    </row>
    <row r="12" spans="1:8" x14ac:dyDescent="0.25">
      <c r="A12" t="s">
        <v>120</v>
      </c>
      <c r="B12" s="235">
        <v>41823</v>
      </c>
      <c r="C12" s="225">
        <v>184</v>
      </c>
      <c r="D12" s="155">
        <v>8</v>
      </c>
      <c r="E12" s="155">
        <v>6</v>
      </c>
      <c r="F12" s="155">
        <v>3</v>
      </c>
      <c r="G12" s="155">
        <v>1.5</v>
      </c>
      <c r="H12" s="155"/>
    </row>
    <row r="13" spans="1:8" x14ac:dyDescent="0.25">
      <c r="A13" t="s">
        <v>119</v>
      </c>
      <c r="B13" s="235">
        <v>41831</v>
      </c>
      <c r="C13" s="225">
        <v>192.375</v>
      </c>
      <c r="D13" s="155">
        <v>6</v>
      </c>
      <c r="E13" s="155">
        <v>5</v>
      </c>
      <c r="F13" s="155">
        <v>3</v>
      </c>
      <c r="G13" s="155">
        <v>2</v>
      </c>
      <c r="H13" s="155">
        <v>2</v>
      </c>
    </row>
    <row r="14" spans="1:8" x14ac:dyDescent="0.25">
      <c r="A14" t="s">
        <v>118</v>
      </c>
      <c r="B14" s="235">
        <v>41825</v>
      </c>
      <c r="C14" s="225">
        <v>186</v>
      </c>
      <c r="D14" s="155">
        <v>9</v>
      </c>
      <c r="E14" s="155">
        <v>7.5</v>
      </c>
      <c r="F14" s="155">
        <v>6</v>
      </c>
      <c r="G14" s="155">
        <v>4</v>
      </c>
      <c r="H14" s="155">
        <v>3.5</v>
      </c>
    </row>
    <row r="15" spans="1:8" x14ac:dyDescent="0.25">
      <c r="A15" t="s">
        <v>117</v>
      </c>
      <c r="B15" s="235">
        <v>41832</v>
      </c>
      <c r="C15" s="225">
        <v>193.25</v>
      </c>
      <c r="D15" s="155">
        <v>10</v>
      </c>
      <c r="E15" s="155">
        <v>7.5</v>
      </c>
      <c r="F15" s="155">
        <v>5.5</v>
      </c>
      <c r="G15" s="155">
        <v>3.5</v>
      </c>
      <c r="H15" s="155">
        <v>2.5</v>
      </c>
    </row>
    <row r="16" spans="1:8" x14ac:dyDescent="0.25">
      <c r="A16" t="s">
        <v>116</v>
      </c>
      <c r="B16" s="235">
        <v>41823</v>
      </c>
      <c r="C16" s="225">
        <v>183.96153846153845</v>
      </c>
      <c r="D16" s="155">
        <v>8</v>
      </c>
      <c r="E16" s="155">
        <v>7.5</v>
      </c>
      <c r="F16" s="155">
        <v>6</v>
      </c>
      <c r="G16" s="155">
        <v>4</v>
      </c>
      <c r="H16" s="155">
        <v>2.5</v>
      </c>
    </row>
    <row r="17" spans="1:8" x14ac:dyDescent="0.25">
      <c r="A17" t="s">
        <v>115</v>
      </c>
      <c r="B17" s="235">
        <v>41822</v>
      </c>
      <c r="C17" s="225">
        <v>183</v>
      </c>
      <c r="D17" s="155">
        <v>7</v>
      </c>
      <c r="E17" s="155">
        <v>7</v>
      </c>
      <c r="F17" s="155">
        <v>5</v>
      </c>
      <c r="G17" s="155">
        <v>3</v>
      </c>
      <c r="H17" s="155">
        <v>3.5</v>
      </c>
    </row>
    <row r="18" spans="1:8" x14ac:dyDescent="0.25">
      <c r="A18" t="s">
        <v>114</v>
      </c>
      <c r="B18" s="235">
        <v>41825</v>
      </c>
      <c r="C18" s="225">
        <v>185.5</v>
      </c>
      <c r="D18" s="155">
        <v>6</v>
      </c>
      <c r="E18" s="155">
        <v>7.5</v>
      </c>
      <c r="F18" s="155">
        <v>3.5</v>
      </c>
      <c r="G18" s="155">
        <v>3</v>
      </c>
      <c r="H18" s="155">
        <v>2</v>
      </c>
    </row>
    <row r="19" spans="1:8" x14ac:dyDescent="0.25">
      <c r="A19" t="s">
        <v>113</v>
      </c>
      <c r="B19" s="235">
        <v>41823</v>
      </c>
      <c r="C19" s="225">
        <v>184.11111111111111</v>
      </c>
      <c r="D19" s="155">
        <v>7</v>
      </c>
      <c r="E19" s="155">
        <v>5.5</v>
      </c>
      <c r="F19" s="155">
        <v>3.5</v>
      </c>
      <c r="G19" s="155">
        <v>2</v>
      </c>
      <c r="H19" s="155">
        <v>1</v>
      </c>
    </row>
    <row r="20" spans="1:8" x14ac:dyDescent="0.25">
      <c r="A20" t="s">
        <v>100</v>
      </c>
      <c r="B20" s="235">
        <v>41827</v>
      </c>
      <c r="C20" s="225">
        <v>188</v>
      </c>
      <c r="D20" s="155">
        <v>7</v>
      </c>
      <c r="E20" s="155">
        <v>5</v>
      </c>
      <c r="F20" s="155">
        <v>2</v>
      </c>
      <c r="G20" s="155">
        <v>1.5</v>
      </c>
      <c r="H20" s="155"/>
    </row>
    <row r="21" spans="1:8" x14ac:dyDescent="0.25">
      <c r="A21" t="s">
        <v>99</v>
      </c>
      <c r="B21" s="235">
        <v>41827</v>
      </c>
      <c r="C21" s="225">
        <v>188</v>
      </c>
      <c r="D21" s="155">
        <v>7</v>
      </c>
      <c r="E21" s="155">
        <v>4</v>
      </c>
      <c r="F21" s="155">
        <v>2</v>
      </c>
      <c r="G21" s="155">
        <v>1.5</v>
      </c>
      <c r="H21" s="155"/>
    </row>
    <row r="22" spans="1:8" x14ac:dyDescent="0.25">
      <c r="A22" t="s">
        <v>98</v>
      </c>
      <c r="B22" s="235">
        <v>41824</v>
      </c>
      <c r="C22" s="225">
        <v>184.78571428571428</v>
      </c>
      <c r="D22" s="155">
        <v>6</v>
      </c>
      <c r="E22" s="155">
        <v>4.5</v>
      </c>
      <c r="F22" s="155">
        <v>2</v>
      </c>
      <c r="G22" s="155">
        <v>2</v>
      </c>
      <c r="H22" s="155">
        <v>2</v>
      </c>
    </row>
    <row r="23" spans="1:8" x14ac:dyDescent="0.25">
      <c r="A23" t="s">
        <v>97</v>
      </c>
      <c r="B23" s="235">
        <v>41833</v>
      </c>
      <c r="C23" s="225">
        <v>194.25</v>
      </c>
      <c r="D23" s="155">
        <v>7</v>
      </c>
      <c r="E23" s="155">
        <v>4</v>
      </c>
      <c r="F23" s="155">
        <v>2.5</v>
      </c>
      <c r="G23" s="155">
        <v>2</v>
      </c>
      <c r="H23" s="155"/>
    </row>
    <row r="24" spans="1:8" x14ac:dyDescent="0.25">
      <c r="A24" t="s">
        <v>96</v>
      </c>
      <c r="B24" s="235">
        <v>41822</v>
      </c>
      <c r="C24" s="225">
        <v>183</v>
      </c>
      <c r="D24" s="155">
        <v>6</v>
      </c>
      <c r="E24" s="155">
        <v>4.5</v>
      </c>
      <c r="F24" s="155">
        <v>2.5</v>
      </c>
      <c r="G24" s="155">
        <v>2</v>
      </c>
      <c r="H24" s="155"/>
    </row>
    <row r="25" spans="1:8" x14ac:dyDescent="0.25">
      <c r="A25" t="s">
        <v>95</v>
      </c>
      <c r="B25" s="235">
        <v>41827</v>
      </c>
      <c r="C25" s="225">
        <v>188</v>
      </c>
      <c r="D25" s="155">
        <v>6</v>
      </c>
      <c r="E25" s="155">
        <v>4</v>
      </c>
      <c r="F25" s="155">
        <v>2</v>
      </c>
      <c r="G25" s="155">
        <v>2</v>
      </c>
      <c r="H25" s="155"/>
    </row>
    <row r="26" spans="1:8" x14ac:dyDescent="0.25">
      <c r="A26" t="s">
        <v>94</v>
      </c>
      <c r="B26" s="235">
        <v>41824</v>
      </c>
      <c r="C26" s="225">
        <v>184.5</v>
      </c>
      <c r="D26" s="155">
        <v>9</v>
      </c>
      <c r="E26" s="155">
        <v>6.5</v>
      </c>
      <c r="F26" s="155">
        <v>5</v>
      </c>
      <c r="G26" s="155">
        <v>2.5</v>
      </c>
      <c r="H26" s="155">
        <v>1.5</v>
      </c>
    </row>
    <row r="27" spans="1:8" x14ac:dyDescent="0.25">
      <c r="A27" t="s">
        <v>93</v>
      </c>
      <c r="B27" s="235">
        <v>41834</v>
      </c>
      <c r="C27" s="225">
        <v>195</v>
      </c>
      <c r="D27" s="155">
        <v>8</v>
      </c>
      <c r="E27" s="155">
        <v>6.5</v>
      </c>
      <c r="F27" s="155">
        <v>6</v>
      </c>
      <c r="G27" s="155">
        <v>3.5</v>
      </c>
      <c r="H27" s="155">
        <v>3.5</v>
      </c>
    </row>
    <row r="28" spans="1:8" x14ac:dyDescent="0.25">
      <c r="A28" t="s">
        <v>92</v>
      </c>
      <c r="B28" s="235">
        <v>41823</v>
      </c>
      <c r="C28" s="225">
        <v>184.47058823529412</v>
      </c>
      <c r="D28" s="155">
        <v>8</v>
      </c>
      <c r="E28" s="155">
        <v>7</v>
      </c>
      <c r="F28" s="155">
        <v>5.5</v>
      </c>
      <c r="G28" s="155">
        <v>4.5</v>
      </c>
      <c r="H28" s="155">
        <v>3</v>
      </c>
    </row>
    <row r="29" spans="1:8" x14ac:dyDescent="0.25">
      <c r="A29" t="s">
        <v>91</v>
      </c>
      <c r="B29" s="235">
        <v>41824</v>
      </c>
      <c r="C29" s="225">
        <v>185.08333333333334</v>
      </c>
      <c r="D29" s="155">
        <v>7</v>
      </c>
      <c r="E29" s="155">
        <v>6.5</v>
      </c>
      <c r="F29" s="155">
        <v>5</v>
      </c>
      <c r="G29" s="155">
        <v>4</v>
      </c>
      <c r="H29" s="155">
        <v>3</v>
      </c>
    </row>
    <row r="30" spans="1:8" x14ac:dyDescent="0.25">
      <c r="A30" t="s">
        <v>90</v>
      </c>
      <c r="B30" s="235">
        <v>41825</v>
      </c>
      <c r="C30" s="225">
        <v>186</v>
      </c>
      <c r="D30" s="155">
        <v>7</v>
      </c>
      <c r="E30" s="155">
        <v>7</v>
      </c>
      <c r="F30" s="155">
        <v>4</v>
      </c>
      <c r="G30" s="155">
        <v>3</v>
      </c>
      <c r="H30" s="155">
        <v>3</v>
      </c>
    </row>
    <row r="31" spans="1:8" x14ac:dyDescent="0.25">
      <c r="A31" t="s">
        <v>89</v>
      </c>
      <c r="B31" s="235">
        <v>41822</v>
      </c>
      <c r="C31" s="225">
        <v>183</v>
      </c>
      <c r="D31" s="155">
        <v>7</v>
      </c>
      <c r="E31" s="155">
        <v>5.5</v>
      </c>
      <c r="F31" s="155">
        <v>3</v>
      </c>
      <c r="G31" s="155">
        <v>2.5</v>
      </c>
      <c r="H31" s="155"/>
    </row>
    <row r="32" spans="1:8" x14ac:dyDescent="0.25">
      <c r="A32" t="s">
        <v>76</v>
      </c>
      <c r="B32" s="235">
        <v>41826</v>
      </c>
      <c r="C32" s="225">
        <v>186.6</v>
      </c>
      <c r="D32" s="155">
        <v>6</v>
      </c>
      <c r="E32" s="155">
        <v>4</v>
      </c>
      <c r="F32" s="155">
        <v>2.5</v>
      </c>
      <c r="G32" s="155">
        <v>2.5</v>
      </c>
      <c r="H32" s="155">
        <v>2</v>
      </c>
    </row>
    <row r="33" spans="1:8" x14ac:dyDescent="0.25">
      <c r="A33" t="s">
        <v>75</v>
      </c>
      <c r="B33" s="235">
        <v>41831</v>
      </c>
      <c r="C33" s="225">
        <v>192</v>
      </c>
      <c r="D33" s="155">
        <v>6</v>
      </c>
      <c r="E33" s="155">
        <v>4</v>
      </c>
      <c r="F33" s="155">
        <v>3</v>
      </c>
      <c r="G33" s="155">
        <v>2</v>
      </c>
      <c r="H33" s="155">
        <v>1</v>
      </c>
    </row>
    <row r="34" spans="1:8" x14ac:dyDescent="0.25">
      <c r="A34" t="s">
        <v>74</v>
      </c>
      <c r="B34" s="235">
        <v>41828</v>
      </c>
      <c r="C34" s="225">
        <v>188.66666666666666</v>
      </c>
      <c r="D34" s="155">
        <v>6</v>
      </c>
      <c r="E34" s="155">
        <v>4.5</v>
      </c>
      <c r="F34" s="155">
        <v>3.5</v>
      </c>
      <c r="G34" s="155">
        <v>2.5</v>
      </c>
      <c r="H34" s="155">
        <v>2.5</v>
      </c>
    </row>
    <row r="35" spans="1:8" x14ac:dyDescent="0.25">
      <c r="A35" t="s">
        <v>73</v>
      </c>
      <c r="B35" s="235">
        <v>41831</v>
      </c>
      <c r="C35" s="225">
        <v>192</v>
      </c>
      <c r="D35" s="155">
        <v>6</v>
      </c>
      <c r="E35" s="155">
        <v>4.5</v>
      </c>
      <c r="F35" s="155">
        <v>3.5</v>
      </c>
      <c r="G35" s="155">
        <v>2.5</v>
      </c>
      <c r="H35" s="155">
        <v>2</v>
      </c>
    </row>
    <row r="36" spans="1:8" x14ac:dyDescent="0.25">
      <c r="A36" t="s">
        <v>72</v>
      </c>
      <c r="B36" s="235">
        <v>41829</v>
      </c>
      <c r="C36" s="225">
        <v>190</v>
      </c>
      <c r="D36" s="155">
        <v>6</v>
      </c>
      <c r="E36" s="155">
        <v>4</v>
      </c>
      <c r="F36" s="155">
        <v>2.5</v>
      </c>
      <c r="G36" s="155">
        <v>2.5</v>
      </c>
      <c r="H36" s="155">
        <v>2</v>
      </c>
    </row>
    <row r="37" spans="1:8" x14ac:dyDescent="0.25">
      <c r="A37" t="s">
        <v>71</v>
      </c>
      <c r="B37" s="235">
        <v>41826</v>
      </c>
      <c r="C37" s="225">
        <v>187</v>
      </c>
      <c r="D37" s="155">
        <v>6</v>
      </c>
      <c r="E37" s="155">
        <v>4</v>
      </c>
      <c r="F37" s="155">
        <v>2.5</v>
      </c>
      <c r="G37" s="155">
        <v>1.5</v>
      </c>
      <c r="H37" s="155">
        <v>2</v>
      </c>
    </row>
    <row r="38" spans="1:8" x14ac:dyDescent="0.25">
      <c r="A38" t="s">
        <v>70</v>
      </c>
      <c r="B38" s="235">
        <v>41830</v>
      </c>
      <c r="C38" s="225">
        <v>190.5</v>
      </c>
      <c r="D38" s="155">
        <v>7</v>
      </c>
      <c r="E38" s="155">
        <v>6.5</v>
      </c>
      <c r="F38" s="155">
        <v>4.5</v>
      </c>
      <c r="G38" s="155">
        <v>3</v>
      </c>
      <c r="H38" s="155">
        <v>2.5</v>
      </c>
    </row>
    <row r="39" spans="1:8" x14ac:dyDescent="0.25">
      <c r="A39" t="s">
        <v>69</v>
      </c>
      <c r="B39" s="235">
        <v>41830</v>
      </c>
      <c r="C39" s="225">
        <v>190.58823529411765</v>
      </c>
      <c r="D39" s="155">
        <v>7</v>
      </c>
      <c r="E39" s="155">
        <v>7</v>
      </c>
      <c r="F39" s="155">
        <v>5</v>
      </c>
      <c r="G39" s="155">
        <v>4.5</v>
      </c>
      <c r="H39" s="155">
        <v>3</v>
      </c>
    </row>
    <row r="40" spans="1:8" x14ac:dyDescent="0.25">
      <c r="A40" t="s">
        <v>68</v>
      </c>
      <c r="B40" s="235">
        <v>41829</v>
      </c>
      <c r="C40" s="225">
        <v>190</v>
      </c>
      <c r="D40" s="155">
        <v>7</v>
      </c>
      <c r="E40" s="155">
        <v>6</v>
      </c>
      <c r="F40" s="155">
        <v>5.5</v>
      </c>
      <c r="G40" s="155">
        <v>5</v>
      </c>
      <c r="H40" s="155">
        <v>2.5</v>
      </c>
    </row>
    <row r="41" spans="1:8" x14ac:dyDescent="0.25">
      <c r="A41" t="s">
        <v>67</v>
      </c>
      <c r="B41" s="235">
        <v>41830</v>
      </c>
      <c r="C41" s="225">
        <v>191.25925925925927</v>
      </c>
      <c r="D41" s="155">
        <v>7</v>
      </c>
      <c r="E41" s="155">
        <v>6.5</v>
      </c>
      <c r="F41" s="155">
        <v>4.5</v>
      </c>
      <c r="G41" s="155">
        <v>4.5</v>
      </c>
      <c r="H41" s="155">
        <v>2</v>
      </c>
    </row>
    <row r="42" spans="1:8" x14ac:dyDescent="0.25">
      <c r="A42" t="s">
        <v>66</v>
      </c>
      <c r="B42" s="235">
        <v>41829</v>
      </c>
      <c r="C42" s="225">
        <v>190.0952380952381</v>
      </c>
      <c r="D42" s="155">
        <v>6</v>
      </c>
      <c r="E42" s="155">
        <v>6.5</v>
      </c>
      <c r="F42" s="155">
        <v>4</v>
      </c>
      <c r="G42" s="155">
        <v>4</v>
      </c>
      <c r="H42" s="155">
        <v>2</v>
      </c>
    </row>
    <row r="43" spans="1:8" x14ac:dyDescent="0.25">
      <c r="A43" t="s">
        <v>65</v>
      </c>
      <c r="B43" s="235">
        <v>41830</v>
      </c>
      <c r="C43" s="225">
        <v>190.97142857142856</v>
      </c>
      <c r="D43" s="155">
        <v>8</v>
      </c>
      <c r="E43" s="155">
        <v>6</v>
      </c>
      <c r="F43" s="155">
        <v>3.5</v>
      </c>
      <c r="G43" s="155">
        <v>3</v>
      </c>
      <c r="H43" s="155">
        <v>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A3ECD-16B5-4621-B13C-6508F5341035}">
  <dimension ref="A1:L8"/>
  <sheetViews>
    <sheetView workbookViewId="0"/>
  </sheetViews>
  <sheetFormatPr defaultRowHeight="15" x14ac:dyDescent="0.25"/>
  <cols>
    <col min="2" max="2" width="10.7109375" bestFit="1" customWidth="1"/>
    <col min="5" max="6" width="10.7109375" bestFit="1" customWidth="1"/>
  </cols>
  <sheetData>
    <row r="1" spans="1:12" x14ac:dyDescent="0.25">
      <c r="A1" t="s">
        <v>275</v>
      </c>
      <c r="B1" t="s">
        <v>283</v>
      </c>
      <c r="C1" t="s">
        <v>284</v>
      </c>
      <c r="D1" t="s">
        <v>285</v>
      </c>
      <c r="E1" t="s">
        <v>286</v>
      </c>
      <c r="F1" t="s">
        <v>249</v>
      </c>
      <c r="G1" t="s">
        <v>250</v>
      </c>
      <c r="H1" t="s">
        <v>244</v>
      </c>
      <c r="I1" t="s">
        <v>245</v>
      </c>
      <c r="J1" t="s">
        <v>246</v>
      </c>
      <c r="K1" t="s">
        <v>247</v>
      </c>
      <c r="L1" t="s">
        <v>248</v>
      </c>
    </row>
    <row r="2" spans="1:12" x14ac:dyDescent="0.25">
      <c r="A2" t="s">
        <v>276</v>
      </c>
      <c r="B2" s="235">
        <v>41767</v>
      </c>
      <c r="C2">
        <v>2014</v>
      </c>
      <c r="D2">
        <v>128</v>
      </c>
      <c r="E2" s="235">
        <v>41777</v>
      </c>
      <c r="F2" s="235">
        <v>41825</v>
      </c>
      <c r="G2" s="225">
        <v>186.31746031746033</v>
      </c>
      <c r="H2" s="155">
        <v>6.333333333333333</v>
      </c>
      <c r="I2" s="155">
        <v>4.5</v>
      </c>
      <c r="J2" s="155">
        <v>2</v>
      </c>
      <c r="K2" s="155">
        <v>1.3333333333333333</v>
      </c>
      <c r="L2" s="155"/>
    </row>
    <row r="3" spans="1:12" x14ac:dyDescent="0.25">
      <c r="A3" t="s">
        <v>277</v>
      </c>
      <c r="B3" s="235">
        <v>41767</v>
      </c>
      <c r="C3">
        <v>2014</v>
      </c>
      <c r="D3">
        <v>128</v>
      </c>
      <c r="E3" s="235">
        <v>41777</v>
      </c>
      <c r="F3" s="235">
        <v>41825</v>
      </c>
      <c r="G3" s="225">
        <v>186.39583333333334</v>
      </c>
      <c r="H3" s="155">
        <v>7.166666666666667</v>
      </c>
      <c r="I3" s="155">
        <v>5.666666666666667</v>
      </c>
      <c r="J3" s="155">
        <v>3.5</v>
      </c>
      <c r="K3" s="155">
        <v>2.1666666666666665</v>
      </c>
      <c r="L3" s="155">
        <v>1.5</v>
      </c>
    </row>
    <row r="4" spans="1:12" x14ac:dyDescent="0.25">
      <c r="A4" t="s">
        <v>278</v>
      </c>
      <c r="B4" s="235">
        <v>41767</v>
      </c>
      <c r="C4">
        <v>2014</v>
      </c>
      <c r="D4">
        <v>128</v>
      </c>
      <c r="E4" s="235">
        <v>41777</v>
      </c>
      <c r="F4" s="235">
        <v>41825</v>
      </c>
      <c r="G4" s="225">
        <v>185.9704415954416</v>
      </c>
      <c r="H4" s="155">
        <v>7.833333333333333</v>
      </c>
      <c r="I4" s="155">
        <v>7.083333333333333</v>
      </c>
      <c r="J4" s="155">
        <v>4.916666666666667</v>
      </c>
      <c r="K4" s="155">
        <v>3.25</v>
      </c>
      <c r="L4" s="155">
        <v>2.5</v>
      </c>
    </row>
    <row r="5" spans="1:12" x14ac:dyDescent="0.25">
      <c r="A5" t="s">
        <v>279</v>
      </c>
      <c r="B5" s="235">
        <v>41767</v>
      </c>
      <c r="C5">
        <v>2014</v>
      </c>
      <c r="D5">
        <v>128</v>
      </c>
      <c r="E5" s="235">
        <v>41777</v>
      </c>
      <c r="F5" s="235">
        <v>41827</v>
      </c>
      <c r="G5" s="225">
        <v>187.67261904761904</v>
      </c>
      <c r="H5" s="155">
        <v>6.5</v>
      </c>
      <c r="I5" s="155">
        <v>4.333333333333333</v>
      </c>
      <c r="J5" s="155">
        <v>2.1666666666666665</v>
      </c>
      <c r="K5" s="155">
        <v>1.8333333333333333</v>
      </c>
      <c r="L5" s="155">
        <v>2</v>
      </c>
    </row>
    <row r="6" spans="1:12" x14ac:dyDescent="0.25">
      <c r="A6" t="s">
        <v>280</v>
      </c>
      <c r="B6" s="235">
        <v>41767</v>
      </c>
      <c r="C6">
        <v>2014</v>
      </c>
      <c r="D6">
        <v>128</v>
      </c>
      <c r="E6" s="235">
        <v>41777</v>
      </c>
      <c r="F6" s="235">
        <v>41825</v>
      </c>
      <c r="G6" s="225">
        <v>186.34232026143795</v>
      </c>
      <c r="H6" s="155">
        <v>7.666666666666667</v>
      </c>
      <c r="I6" s="155">
        <v>6.5</v>
      </c>
      <c r="J6" s="155">
        <v>4.75</v>
      </c>
      <c r="K6" s="155">
        <v>3.3333333333333335</v>
      </c>
      <c r="L6" s="155">
        <v>2.8</v>
      </c>
    </row>
    <row r="7" spans="1:12" x14ac:dyDescent="0.25">
      <c r="A7" t="s">
        <v>281</v>
      </c>
      <c r="B7" s="235">
        <v>41767</v>
      </c>
      <c r="C7">
        <v>2014</v>
      </c>
      <c r="D7">
        <v>128</v>
      </c>
      <c r="E7" s="235">
        <v>41777</v>
      </c>
      <c r="F7" s="235">
        <v>41828</v>
      </c>
      <c r="G7" s="225">
        <v>189.37777777777777</v>
      </c>
      <c r="H7" s="155">
        <v>6</v>
      </c>
      <c r="I7" s="155">
        <v>4.166666666666667</v>
      </c>
      <c r="J7" s="155">
        <v>2.9166666666666665</v>
      </c>
      <c r="K7" s="155">
        <v>2.25</v>
      </c>
      <c r="L7" s="155">
        <v>1.9166666666666667</v>
      </c>
    </row>
    <row r="8" spans="1:12" x14ac:dyDescent="0.25">
      <c r="A8" t="s">
        <v>282</v>
      </c>
      <c r="B8" s="235">
        <v>41767</v>
      </c>
      <c r="C8">
        <v>2014</v>
      </c>
      <c r="D8">
        <v>128</v>
      </c>
      <c r="E8" s="235">
        <v>41777</v>
      </c>
      <c r="F8" s="235">
        <v>41830</v>
      </c>
      <c r="G8" s="225">
        <v>190.56902687000726</v>
      </c>
      <c r="H8" s="155">
        <v>7</v>
      </c>
      <c r="I8" s="155">
        <v>6.416666666666667</v>
      </c>
      <c r="J8" s="155">
        <v>4.5</v>
      </c>
      <c r="K8" s="155">
        <v>4</v>
      </c>
      <c r="L8" s="155">
        <v>2.3333333333333335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3"/>
  <sheetViews>
    <sheetView zoomScale="85" zoomScaleNormal="85" workbookViewId="0"/>
  </sheetViews>
  <sheetFormatPr defaultColWidth="8.85546875" defaultRowHeight="14.25" x14ac:dyDescent="0.2"/>
  <cols>
    <col min="1" max="4" width="8.85546875" style="35"/>
    <col min="5" max="15" width="8.85546875" style="37"/>
    <col min="16" max="16384" width="8.85546875" style="35"/>
  </cols>
  <sheetData>
    <row r="1" spans="1:15" ht="18" x14ac:dyDescent="0.25">
      <c r="A1" s="2">
        <v>2014</v>
      </c>
      <c r="B1" s="3" t="s">
        <v>29</v>
      </c>
      <c r="C1" s="4"/>
      <c r="D1" s="4"/>
    </row>
    <row r="2" spans="1:15" ht="18" x14ac:dyDescent="0.25">
      <c r="A2" s="4"/>
      <c r="B2" s="3" t="s">
        <v>20</v>
      </c>
      <c r="C2" s="6"/>
      <c r="D2" s="3" t="s">
        <v>21</v>
      </c>
    </row>
    <row r="4" spans="1:15" ht="15.75" x14ac:dyDescent="0.25">
      <c r="B4" s="4" t="s">
        <v>40</v>
      </c>
      <c r="C4" s="4"/>
    </row>
    <row r="5" spans="1:15" ht="15.75" x14ac:dyDescent="0.25">
      <c r="B5" s="4"/>
      <c r="C5" s="4" t="s">
        <v>31</v>
      </c>
    </row>
    <row r="7" spans="1:15" ht="15" x14ac:dyDescent="0.25">
      <c r="D7" s="10" t="s">
        <v>32</v>
      </c>
      <c r="E7" s="39" t="s">
        <v>41</v>
      </c>
      <c r="F7" s="80">
        <v>41806</v>
      </c>
      <c r="G7" s="80">
        <v>41820</v>
      </c>
      <c r="H7" s="80">
        <v>41834</v>
      </c>
      <c r="I7" s="80">
        <v>41848</v>
      </c>
      <c r="J7" s="80">
        <v>41863</v>
      </c>
      <c r="K7" s="38"/>
      <c r="L7" s="38"/>
      <c r="M7" s="38"/>
      <c r="N7" s="38"/>
      <c r="O7" s="38"/>
    </row>
    <row r="8" spans="1:15" ht="15" x14ac:dyDescent="0.25">
      <c r="D8" s="10" t="s">
        <v>39</v>
      </c>
      <c r="E8" s="39" t="s">
        <v>42</v>
      </c>
      <c r="F8" s="38">
        <v>167</v>
      </c>
      <c r="G8" s="38">
        <v>181</v>
      </c>
      <c r="H8" s="38">
        <v>195</v>
      </c>
      <c r="I8" s="38">
        <v>209</v>
      </c>
      <c r="J8" s="38">
        <v>224</v>
      </c>
      <c r="K8" s="38"/>
      <c r="L8" s="38"/>
      <c r="M8" s="38"/>
      <c r="N8" s="38"/>
      <c r="O8" s="38"/>
    </row>
    <row r="9" spans="1:15" ht="23.25" thickBot="1" x14ac:dyDescent="0.3">
      <c r="D9" s="10"/>
      <c r="E9" s="36" t="s">
        <v>44</v>
      </c>
      <c r="F9" s="36" t="s">
        <v>44</v>
      </c>
      <c r="G9" s="36" t="s">
        <v>44</v>
      </c>
      <c r="H9" s="36" t="s">
        <v>44</v>
      </c>
      <c r="I9" s="36" t="s">
        <v>44</v>
      </c>
      <c r="J9" s="36" t="s">
        <v>44</v>
      </c>
      <c r="K9" s="36" t="s">
        <v>44</v>
      </c>
      <c r="L9" s="36" t="s">
        <v>44</v>
      </c>
      <c r="M9" s="36" t="s">
        <v>44</v>
      </c>
      <c r="N9" s="36" t="s">
        <v>44</v>
      </c>
      <c r="O9" s="36" t="s">
        <v>44</v>
      </c>
    </row>
    <row r="10" spans="1:15" s="40" customFormat="1" ht="16.899999999999999" customHeight="1" x14ac:dyDescent="0.25">
      <c r="B10" s="21" t="s">
        <v>0</v>
      </c>
      <c r="C10" s="21" t="s">
        <v>5</v>
      </c>
      <c r="D10" s="23" t="s">
        <v>24</v>
      </c>
      <c r="E10" s="41">
        <v>18</v>
      </c>
      <c r="F10" s="42">
        <v>39</v>
      </c>
      <c r="G10" s="42">
        <v>48</v>
      </c>
      <c r="H10" s="42">
        <v>68</v>
      </c>
      <c r="I10" s="42">
        <v>74</v>
      </c>
      <c r="J10" s="42">
        <v>72</v>
      </c>
      <c r="K10" s="42"/>
      <c r="L10" s="42"/>
      <c r="M10" s="42"/>
      <c r="N10" s="42"/>
      <c r="O10" s="42"/>
    </row>
    <row r="11" spans="1:15" s="40" customFormat="1" ht="16.899999999999999" customHeight="1" x14ac:dyDescent="0.25">
      <c r="B11" s="20"/>
      <c r="C11" s="20" t="s">
        <v>15</v>
      </c>
      <c r="D11" s="24" t="s">
        <v>38</v>
      </c>
      <c r="E11" s="43">
        <v>18</v>
      </c>
      <c r="F11" s="44">
        <v>39</v>
      </c>
      <c r="G11" s="44">
        <v>48</v>
      </c>
      <c r="H11" s="44">
        <v>69</v>
      </c>
      <c r="I11" s="44">
        <v>62</v>
      </c>
      <c r="J11" s="44">
        <v>70</v>
      </c>
      <c r="K11" s="44"/>
      <c r="L11" s="44"/>
      <c r="M11" s="44"/>
      <c r="N11" s="44"/>
      <c r="O11" s="44"/>
    </row>
    <row r="12" spans="1:15" s="40" customFormat="1" ht="16.899999999999999" customHeight="1" x14ac:dyDescent="0.25">
      <c r="B12" s="20"/>
      <c r="C12" s="20"/>
      <c r="D12" s="24" t="s">
        <v>25</v>
      </c>
      <c r="E12" s="43">
        <v>19</v>
      </c>
      <c r="F12" s="44">
        <v>33</v>
      </c>
      <c r="G12" s="44">
        <v>57</v>
      </c>
      <c r="H12" s="44">
        <v>74</v>
      </c>
      <c r="I12" s="44">
        <v>74</v>
      </c>
      <c r="J12" s="44">
        <v>84</v>
      </c>
      <c r="K12" s="44"/>
      <c r="L12" s="44"/>
      <c r="M12" s="44"/>
      <c r="N12" s="44"/>
      <c r="O12" s="44"/>
    </row>
    <row r="13" spans="1:15" s="40" customFormat="1" ht="16.899999999999999" customHeight="1" x14ac:dyDescent="0.25">
      <c r="B13" s="20"/>
      <c r="C13" s="20"/>
      <c r="D13" s="24" t="s">
        <v>26</v>
      </c>
      <c r="E13" s="43">
        <v>19</v>
      </c>
      <c r="F13" s="44">
        <v>38</v>
      </c>
      <c r="G13" s="44">
        <v>51</v>
      </c>
      <c r="H13" s="44">
        <v>68</v>
      </c>
      <c r="I13" s="44">
        <v>64</v>
      </c>
      <c r="J13" s="44">
        <v>66</v>
      </c>
      <c r="K13" s="44"/>
      <c r="L13" s="44"/>
      <c r="M13" s="44"/>
      <c r="N13" s="44"/>
      <c r="O13" s="44"/>
    </row>
    <row r="14" spans="1:15" s="40" customFormat="1" ht="16.899999999999999" customHeight="1" x14ac:dyDescent="0.25">
      <c r="B14" s="20"/>
      <c r="C14" s="20"/>
      <c r="D14" s="24" t="s">
        <v>27</v>
      </c>
      <c r="E14" s="43">
        <v>17</v>
      </c>
      <c r="F14" s="44">
        <v>38</v>
      </c>
      <c r="G14" s="44">
        <v>54</v>
      </c>
      <c r="H14" s="44">
        <v>69</v>
      </c>
      <c r="I14" s="44">
        <v>69</v>
      </c>
      <c r="J14" s="44">
        <v>74</v>
      </c>
      <c r="K14" s="44"/>
      <c r="L14" s="44"/>
      <c r="M14" s="44"/>
      <c r="N14" s="44"/>
      <c r="O14" s="44"/>
    </row>
    <row r="15" spans="1:15" s="40" customFormat="1" ht="16.899999999999999" customHeight="1" thickBot="1" x14ac:dyDescent="0.3">
      <c r="B15" s="22"/>
      <c r="C15" s="22"/>
      <c r="D15" s="25" t="s">
        <v>28</v>
      </c>
      <c r="E15" s="45">
        <v>19</v>
      </c>
      <c r="F15" s="46">
        <v>38</v>
      </c>
      <c r="G15" s="46">
        <v>46</v>
      </c>
      <c r="H15" s="46">
        <v>56</v>
      </c>
      <c r="I15" s="46">
        <v>57</v>
      </c>
      <c r="J15" s="46">
        <v>62</v>
      </c>
      <c r="K15" s="46"/>
      <c r="L15" s="46"/>
      <c r="M15" s="46"/>
      <c r="N15" s="46"/>
      <c r="O15" s="46"/>
    </row>
    <row r="16" spans="1:15" s="40" customFormat="1" ht="16.899999999999999" customHeight="1" x14ac:dyDescent="0.25">
      <c r="B16" s="21" t="s">
        <v>0</v>
      </c>
      <c r="C16" s="21" t="s">
        <v>6</v>
      </c>
      <c r="D16" s="23" t="s">
        <v>24</v>
      </c>
      <c r="E16" s="41">
        <v>19</v>
      </c>
      <c r="F16" s="42">
        <v>31</v>
      </c>
      <c r="G16" s="42">
        <v>60</v>
      </c>
      <c r="H16" s="42">
        <v>88</v>
      </c>
      <c r="I16" s="42">
        <v>98</v>
      </c>
      <c r="J16" s="42">
        <v>102</v>
      </c>
      <c r="K16" s="42"/>
      <c r="L16" s="42"/>
      <c r="M16" s="42"/>
      <c r="N16" s="42"/>
      <c r="O16" s="42"/>
    </row>
    <row r="17" spans="2:15" s="40" customFormat="1" ht="16.899999999999999" customHeight="1" x14ac:dyDescent="0.25">
      <c r="B17" s="20"/>
      <c r="C17" s="20" t="s">
        <v>16</v>
      </c>
      <c r="D17" s="24" t="s">
        <v>38</v>
      </c>
      <c r="E17" s="43">
        <v>17</v>
      </c>
      <c r="F17" s="44">
        <v>39</v>
      </c>
      <c r="G17" s="44">
        <v>70</v>
      </c>
      <c r="H17" s="44">
        <v>97</v>
      </c>
      <c r="I17" s="44">
        <v>110</v>
      </c>
      <c r="J17" s="44">
        <v>118</v>
      </c>
      <c r="K17" s="44"/>
      <c r="L17" s="44"/>
      <c r="M17" s="44"/>
      <c r="N17" s="44"/>
      <c r="O17" s="44"/>
    </row>
    <row r="18" spans="2:15" s="40" customFormat="1" ht="16.899999999999999" customHeight="1" x14ac:dyDescent="0.25">
      <c r="B18" s="20"/>
      <c r="C18" s="20"/>
      <c r="D18" s="24" t="s">
        <v>25</v>
      </c>
      <c r="E18" s="43">
        <v>19</v>
      </c>
      <c r="F18" s="44">
        <v>35</v>
      </c>
      <c r="G18" s="44">
        <v>68</v>
      </c>
      <c r="H18" s="44">
        <v>100</v>
      </c>
      <c r="I18" s="44">
        <v>104</v>
      </c>
      <c r="J18" s="44">
        <v>102</v>
      </c>
      <c r="K18" s="44"/>
      <c r="L18" s="44"/>
      <c r="M18" s="44"/>
      <c r="N18" s="44"/>
      <c r="O18" s="44"/>
    </row>
    <row r="19" spans="2:15" s="40" customFormat="1" ht="16.899999999999999" customHeight="1" x14ac:dyDescent="0.25">
      <c r="B19" s="20"/>
      <c r="C19" s="20"/>
      <c r="D19" s="24" t="s">
        <v>26</v>
      </c>
      <c r="E19" s="43">
        <v>16</v>
      </c>
      <c r="F19" s="44">
        <v>36</v>
      </c>
      <c r="G19" s="44">
        <v>65</v>
      </c>
      <c r="H19" s="44">
        <v>92</v>
      </c>
      <c r="I19" s="44">
        <v>103</v>
      </c>
      <c r="J19" s="44">
        <v>97</v>
      </c>
      <c r="K19" s="44"/>
      <c r="L19" s="44"/>
      <c r="M19" s="44"/>
      <c r="N19" s="44"/>
      <c r="O19" s="44"/>
    </row>
    <row r="20" spans="2:15" s="40" customFormat="1" ht="16.899999999999999" customHeight="1" x14ac:dyDescent="0.25">
      <c r="B20" s="20"/>
      <c r="C20" s="20"/>
      <c r="D20" s="24" t="s">
        <v>27</v>
      </c>
      <c r="E20" s="43">
        <v>15</v>
      </c>
      <c r="F20" s="44">
        <v>33</v>
      </c>
      <c r="G20" s="44">
        <v>65</v>
      </c>
      <c r="H20" s="44">
        <v>92</v>
      </c>
      <c r="I20" s="44">
        <v>98</v>
      </c>
      <c r="J20" s="44">
        <v>97</v>
      </c>
      <c r="K20" s="44"/>
      <c r="L20" s="44"/>
      <c r="M20" s="44"/>
      <c r="N20" s="44"/>
      <c r="O20" s="44"/>
    </row>
    <row r="21" spans="2:15" s="40" customFormat="1" ht="16.899999999999999" customHeight="1" thickBot="1" x14ac:dyDescent="0.3">
      <c r="B21" s="22"/>
      <c r="C21" s="22"/>
      <c r="D21" s="25" t="s">
        <v>28</v>
      </c>
      <c r="E21" s="45">
        <v>16</v>
      </c>
      <c r="F21" s="46">
        <v>33</v>
      </c>
      <c r="G21" s="46">
        <v>55</v>
      </c>
      <c r="H21" s="46">
        <v>71</v>
      </c>
      <c r="I21" s="46">
        <v>76</v>
      </c>
      <c r="J21" s="46">
        <v>77</v>
      </c>
      <c r="K21" s="46"/>
      <c r="L21" s="46"/>
      <c r="M21" s="46"/>
      <c r="N21" s="46"/>
      <c r="O21" s="46"/>
    </row>
    <row r="22" spans="2:15" s="40" customFormat="1" ht="16.899999999999999" customHeight="1" x14ac:dyDescent="0.25">
      <c r="B22" s="21" t="s">
        <v>1</v>
      </c>
      <c r="C22" s="21" t="s">
        <v>7</v>
      </c>
      <c r="D22" s="23" t="s">
        <v>24</v>
      </c>
      <c r="E22" s="41">
        <v>19</v>
      </c>
      <c r="F22" s="42">
        <v>35</v>
      </c>
      <c r="G22" s="42">
        <v>59</v>
      </c>
      <c r="H22" s="42">
        <v>96</v>
      </c>
      <c r="I22" s="42">
        <v>111</v>
      </c>
      <c r="J22" s="42">
        <v>126</v>
      </c>
      <c r="K22" s="42"/>
      <c r="L22" s="42"/>
      <c r="M22" s="42"/>
      <c r="N22" s="42"/>
      <c r="O22" s="42"/>
    </row>
    <row r="23" spans="2:15" s="40" customFormat="1" ht="16.899999999999999" customHeight="1" x14ac:dyDescent="0.25">
      <c r="B23" s="20"/>
      <c r="C23" s="20" t="s">
        <v>17</v>
      </c>
      <c r="D23" s="24" t="s">
        <v>38</v>
      </c>
      <c r="E23" s="43">
        <v>17</v>
      </c>
      <c r="F23" s="44">
        <v>33</v>
      </c>
      <c r="G23" s="44">
        <v>61</v>
      </c>
      <c r="H23" s="44">
        <v>99</v>
      </c>
      <c r="I23" s="44">
        <v>112</v>
      </c>
      <c r="J23" s="44">
        <v>107</v>
      </c>
      <c r="K23" s="44"/>
      <c r="L23" s="44"/>
      <c r="M23" s="44"/>
      <c r="N23" s="44"/>
      <c r="O23" s="44"/>
    </row>
    <row r="24" spans="2:15" s="40" customFormat="1" ht="16.899999999999999" customHeight="1" x14ac:dyDescent="0.25">
      <c r="B24" s="20"/>
      <c r="C24" s="20"/>
      <c r="D24" s="24" t="s">
        <v>25</v>
      </c>
      <c r="E24" s="43">
        <v>22</v>
      </c>
      <c r="F24" s="44">
        <v>39</v>
      </c>
      <c r="G24" s="44">
        <v>70</v>
      </c>
      <c r="H24" s="44">
        <v>103</v>
      </c>
      <c r="I24" s="44">
        <v>116</v>
      </c>
      <c r="J24" s="44">
        <v>113</v>
      </c>
      <c r="K24" s="44"/>
      <c r="L24" s="44"/>
      <c r="M24" s="44"/>
      <c r="N24" s="44"/>
      <c r="O24" s="44"/>
    </row>
    <row r="25" spans="2:15" s="40" customFormat="1" ht="16.899999999999999" customHeight="1" x14ac:dyDescent="0.25">
      <c r="B25" s="20"/>
      <c r="C25" s="20"/>
      <c r="D25" s="24" t="s">
        <v>26</v>
      </c>
      <c r="E25" s="43">
        <v>20</v>
      </c>
      <c r="F25" s="44">
        <v>34</v>
      </c>
      <c r="G25" s="44">
        <v>54</v>
      </c>
      <c r="H25" s="44">
        <v>79</v>
      </c>
      <c r="I25" s="44">
        <v>102</v>
      </c>
      <c r="J25" s="44">
        <v>101</v>
      </c>
      <c r="K25" s="44"/>
      <c r="L25" s="44"/>
      <c r="M25" s="44"/>
      <c r="N25" s="44"/>
      <c r="O25" s="44"/>
    </row>
    <row r="26" spans="2:15" s="40" customFormat="1" ht="16.899999999999999" customHeight="1" x14ac:dyDescent="0.25">
      <c r="B26" s="20"/>
      <c r="C26" s="20"/>
      <c r="D26" s="24" t="s">
        <v>27</v>
      </c>
      <c r="E26" s="43">
        <v>21</v>
      </c>
      <c r="F26" s="44">
        <v>34</v>
      </c>
      <c r="G26" s="44">
        <v>60</v>
      </c>
      <c r="H26" s="44">
        <v>86</v>
      </c>
      <c r="I26" s="44">
        <v>95</v>
      </c>
      <c r="J26" s="44">
        <v>94</v>
      </c>
      <c r="K26" s="44"/>
      <c r="L26" s="44"/>
      <c r="M26" s="44"/>
      <c r="N26" s="44"/>
      <c r="O26" s="44"/>
    </row>
    <row r="27" spans="2:15" s="40" customFormat="1" ht="16.899999999999999" customHeight="1" thickBot="1" x14ac:dyDescent="0.3">
      <c r="B27" s="22"/>
      <c r="C27" s="22"/>
      <c r="D27" s="25" t="s">
        <v>28</v>
      </c>
      <c r="E27" s="45">
        <v>18</v>
      </c>
      <c r="F27" s="46">
        <v>33</v>
      </c>
      <c r="G27" s="46">
        <v>55</v>
      </c>
      <c r="H27" s="46">
        <v>83</v>
      </c>
      <c r="I27" s="46">
        <v>88</v>
      </c>
      <c r="J27" s="46">
        <v>89</v>
      </c>
      <c r="K27" s="46"/>
      <c r="L27" s="46"/>
      <c r="M27" s="46"/>
      <c r="N27" s="46"/>
      <c r="O27" s="46"/>
    </row>
    <row r="28" spans="2:15" s="40" customFormat="1" ht="16.899999999999999" customHeight="1" x14ac:dyDescent="0.25">
      <c r="B28" s="26" t="s">
        <v>1</v>
      </c>
      <c r="C28" s="26" t="s">
        <v>8</v>
      </c>
      <c r="D28" s="27" t="s">
        <v>24</v>
      </c>
      <c r="E28" s="41">
        <v>21</v>
      </c>
      <c r="F28" s="42">
        <v>42</v>
      </c>
      <c r="G28" s="42">
        <v>73</v>
      </c>
      <c r="H28" s="42">
        <v>97</v>
      </c>
      <c r="I28" s="42">
        <v>114</v>
      </c>
      <c r="J28" s="42">
        <v>116</v>
      </c>
      <c r="K28" s="42"/>
      <c r="L28" s="42"/>
      <c r="M28" s="42"/>
      <c r="N28" s="42"/>
      <c r="O28" s="42"/>
    </row>
    <row r="29" spans="2:15" s="40" customFormat="1" ht="16.899999999999999" customHeight="1" x14ac:dyDescent="0.25">
      <c r="B29" s="28"/>
      <c r="C29" s="28" t="s">
        <v>18</v>
      </c>
      <c r="D29" s="29" t="s">
        <v>38</v>
      </c>
      <c r="E29" s="43">
        <v>20</v>
      </c>
      <c r="F29" s="44">
        <v>41</v>
      </c>
      <c r="G29" s="44">
        <v>76</v>
      </c>
      <c r="H29" s="44">
        <v>99</v>
      </c>
      <c r="I29" s="44">
        <v>109</v>
      </c>
      <c r="J29" s="44">
        <v>113</v>
      </c>
      <c r="K29" s="44"/>
      <c r="L29" s="44"/>
      <c r="M29" s="44"/>
      <c r="N29" s="44"/>
      <c r="O29" s="44"/>
    </row>
    <row r="30" spans="2:15" s="40" customFormat="1" ht="16.899999999999999" customHeight="1" x14ac:dyDescent="0.25">
      <c r="B30" s="28"/>
      <c r="C30" s="28"/>
      <c r="D30" s="29" t="s">
        <v>25</v>
      </c>
      <c r="E30" s="43">
        <v>21</v>
      </c>
      <c r="F30" s="44">
        <v>41</v>
      </c>
      <c r="G30" s="44">
        <v>78</v>
      </c>
      <c r="H30" s="44">
        <v>105</v>
      </c>
      <c r="I30" s="44">
        <v>109</v>
      </c>
      <c r="J30" s="44">
        <v>111</v>
      </c>
      <c r="K30" s="44"/>
      <c r="L30" s="44"/>
      <c r="M30" s="44"/>
      <c r="N30" s="44"/>
      <c r="O30" s="44"/>
    </row>
    <row r="31" spans="2:15" s="40" customFormat="1" ht="16.899999999999999" customHeight="1" x14ac:dyDescent="0.25">
      <c r="B31" s="28"/>
      <c r="C31" s="28"/>
      <c r="D31" s="29" t="s">
        <v>26</v>
      </c>
      <c r="E31" s="43">
        <v>21</v>
      </c>
      <c r="F31" s="44">
        <v>42</v>
      </c>
      <c r="G31" s="44">
        <v>67</v>
      </c>
      <c r="H31" s="44">
        <v>86</v>
      </c>
      <c r="I31" s="44">
        <v>95</v>
      </c>
      <c r="J31" s="44">
        <v>97</v>
      </c>
      <c r="K31" s="44"/>
      <c r="L31" s="44"/>
      <c r="M31" s="44"/>
      <c r="N31" s="44"/>
      <c r="O31" s="44"/>
    </row>
    <row r="32" spans="2:15" s="40" customFormat="1" ht="16.899999999999999" customHeight="1" x14ac:dyDescent="0.25">
      <c r="B32" s="28"/>
      <c r="C32" s="28"/>
      <c r="D32" s="29" t="s">
        <v>27</v>
      </c>
      <c r="E32" s="43">
        <v>19</v>
      </c>
      <c r="F32" s="44">
        <v>29</v>
      </c>
      <c r="G32" s="44">
        <v>58</v>
      </c>
      <c r="H32" s="44">
        <v>82</v>
      </c>
      <c r="I32" s="44">
        <v>90</v>
      </c>
      <c r="J32" s="44">
        <v>96</v>
      </c>
      <c r="K32" s="44"/>
      <c r="L32" s="44"/>
      <c r="M32" s="44"/>
      <c r="N32" s="44"/>
      <c r="O32" s="44"/>
    </row>
    <row r="33" spans="2:15" s="40" customFormat="1" ht="16.899999999999999" customHeight="1" thickBot="1" x14ac:dyDescent="0.3">
      <c r="B33" s="30"/>
      <c r="C33" s="30"/>
      <c r="D33" s="31" t="s">
        <v>28</v>
      </c>
      <c r="E33" s="45">
        <v>19</v>
      </c>
      <c r="F33" s="46">
        <v>32</v>
      </c>
      <c r="G33" s="46">
        <v>51</v>
      </c>
      <c r="H33" s="46">
        <v>74</v>
      </c>
      <c r="I33" s="46">
        <v>72</v>
      </c>
      <c r="J33" s="46">
        <v>77</v>
      </c>
      <c r="K33" s="46"/>
      <c r="L33" s="46"/>
      <c r="M33" s="46"/>
      <c r="N33" s="46"/>
      <c r="O33" s="46"/>
    </row>
    <row r="34" spans="2:15" s="40" customFormat="1" ht="16.899999999999999" customHeight="1" x14ac:dyDescent="0.25">
      <c r="B34" s="26" t="s">
        <v>2</v>
      </c>
      <c r="C34" s="26" t="s">
        <v>9</v>
      </c>
      <c r="D34" s="27" t="s">
        <v>24</v>
      </c>
      <c r="E34" s="41">
        <v>21</v>
      </c>
      <c r="F34" s="42">
        <v>36</v>
      </c>
      <c r="G34" s="42">
        <v>62</v>
      </c>
      <c r="H34" s="42">
        <v>97</v>
      </c>
      <c r="I34" s="42">
        <v>90</v>
      </c>
      <c r="J34" s="42">
        <v>110</v>
      </c>
      <c r="K34" s="42"/>
      <c r="L34" s="42"/>
      <c r="M34" s="42"/>
      <c r="N34" s="42"/>
      <c r="O34" s="42"/>
    </row>
    <row r="35" spans="2:15" s="40" customFormat="1" ht="16.899999999999999" customHeight="1" x14ac:dyDescent="0.25">
      <c r="B35" s="28"/>
      <c r="C35" s="28" t="s">
        <v>19</v>
      </c>
      <c r="D35" s="29" t="s">
        <v>38</v>
      </c>
      <c r="E35" s="43">
        <v>21</v>
      </c>
      <c r="F35" s="44">
        <v>40</v>
      </c>
      <c r="G35" s="44">
        <v>72</v>
      </c>
      <c r="H35" s="44">
        <v>103</v>
      </c>
      <c r="I35" s="44">
        <v>110</v>
      </c>
      <c r="J35" s="44">
        <v>121</v>
      </c>
      <c r="K35" s="44"/>
      <c r="L35" s="44"/>
      <c r="M35" s="44"/>
      <c r="N35" s="44"/>
      <c r="O35" s="44"/>
    </row>
    <row r="36" spans="2:15" s="40" customFormat="1" ht="16.899999999999999" customHeight="1" x14ac:dyDescent="0.25">
      <c r="B36" s="28"/>
      <c r="C36" s="28"/>
      <c r="D36" s="29" t="s">
        <v>25</v>
      </c>
      <c r="E36" s="43">
        <v>24</v>
      </c>
      <c r="F36" s="44">
        <v>40</v>
      </c>
      <c r="G36" s="44">
        <v>75</v>
      </c>
      <c r="H36" s="44">
        <v>108</v>
      </c>
      <c r="I36" s="44">
        <v>121</v>
      </c>
      <c r="J36" s="44">
        <v>124</v>
      </c>
      <c r="K36" s="44"/>
      <c r="L36" s="44"/>
      <c r="M36" s="44"/>
      <c r="N36" s="44"/>
      <c r="O36" s="44"/>
    </row>
    <row r="37" spans="2:15" s="40" customFormat="1" ht="16.899999999999999" customHeight="1" x14ac:dyDescent="0.25">
      <c r="B37" s="28"/>
      <c r="C37" s="28"/>
      <c r="D37" s="29" t="s">
        <v>26</v>
      </c>
      <c r="E37" s="43">
        <v>22</v>
      </c>
      <c r="F37" s="44">
        <v>39</v>
      </c>
      <c r="G37" s="44">
        <v>70</v>
      </c>
      <c r="H37" s="44">
        <v>100</v>
      </c>
      <c r="I37" s="44">
        <v>109</v>
      </c>
      <c r="J37" s="44">
        <v>100</v>
      </c>
      <c r="K37" s="44"/>
      <c r="L37" s="44"/>
      <c r="M37" s="44"/>
      <c r="N37" s="44"/>
      <c r="O37" s="44"/>
    </row>
    <row r="38" spans="2:15" s="40" customFormat="1" ht="16.899999999999999" customHeight="1" x14ac:dyDescent="0.25">
      <c r="B38" s="28"/>
      <c r="C38" s="28"/>
      <c r="D38" s="29" t="s">
        <v>27</v>
      </c>
      <c r="E38" s="43">
        <v>22</v>
      </c>
      <c r="F38" s="44">
        <v>40</v>
      </c>
      <c r="G38" s="44">
        <v>70</v>
      </c>
      <c r="H38" s="44">
        <v>97</v>
      </c>
      <c r="I38" s="44">
        <v>107</v>
      </c>
      <c r="J38" s="44">
        <v>102</v>
      </c>
      <c r="K38" s="44"/>
      <c r="L38" s="44"/>
      <c r="M38" s="44"/>
      <c r="N38" s="44"/>
      <c r="O38" s="44"/>
    </row>
    <row r="39" spans="2:15" s="40" customFormat="1" ht="16.899999999999999" customHeight="1" thickBot="1" x14ac:dyDescent="0.3">
      <c r="B39" s="30"/>
      <c r="C39" s="30"/>
      <c r="D39" s="31" t="s">
        <v>28</v>
      </c>
      <c r="E39" s="45">
        <v>20</v>
      </c>
      <c r="F39" s="46">
        <v>34</v>
      </c>
      <c r="G39" s="46">
        <v>61</v>
      </c>
      <c r="H39" s="46">
        <v>78</v>
      </c>
      <c r="I39" s="46">
        <v>76</v>
      </c>
      <c r="J39" s="46">
        <v>91</v>
      </c>
      <c r="K39" s="46"/>
      <c r="L39" s="46"/>
      <c r="M39" s="46"/>
      <c r="N39" s="46"/>
      <c r="O39" s="46"/>
    </row>
    <row r="40" spans="2:15" s="40" customFormat="1" ht="16.899999999999999" customHeight="1" x14ac:dyDescent="0.25">
      <c r="B40" s="21" t="s">
        <v>2</v>
      </c>
      <c r="C40" s="21" t="s">
        <v>10</v>
      </c>
      <c r="D40" s="23" t="s">
        <v>24</v>
      </c>
      <c r="E40" s="41">
        <v>16</v>
      </c>
      <c r="F40" s="42">
        <v>30</v>
      </c>
      <c r="G40" s="42">
        <v>46</v>
      </c>
      <c r="H40" s="42">
        <v>68</v>
      </c>
      <c r="I40" s="42">
        <v>64</v>
      </c>
      <c r="J40" s="42">
        <v>69</v>
      </c>
      <c r="K40" s="42"/>
      <c r="L40" s="42"/>
      <c r="M40" s="42"/>
      <c r="N40" s="42"/>
      <c r="O40" s="42"/>
    </row>
    <row r="41" spans="2:15" s="40" customFormat="1" ht="16.899999999999999" customHeight="1" x14ac:dyDescent="0.25">
      <c r="B41" s="20"/>
      <c r="C41" s="20" t="s">
        <v>15</v>
      </c>
      <c r="D41" s="24" t="s">
        <v>38</v>
      </c>
      <c r="E41" s="43">
        <v>21</v>
      </c>
      <c r="F41" s="44">
        <v>33</v>
      </c>
      <c r="G41" s="44">
        <v>55</v>
      </c>
      <c r="H41" s="44">
        <v>76</v>
      </c>
      <c r="I41" s="44">
        <v>82</v>
      </c>
      <c r="J41" s="44">
        <v>83</v>
      </c>
      <c r="K41" s="44"/>
      <c r="L41" s="44"/>
      <c r="M41" s="44"/>
      <c r="N41" s="44"/>
      <c r="O41" s="44"/>
    </row>
    <row r="42" spans="2:15" s="40" customFormat="1" ht="16.899999999999999" customHeight="1" x14ac:dyDescent="0.25">
      <c r="B42" s="20"/>
      <c r="C42" s="20"/>
      <c r="D42" s="24" t="s">
        <v>25</v>
      </c>
      <c r="E42" s="43">
        <v>22</v>
      </c>
      <c r="F42" s="44">
        <v>35</v>
      </c>
      <c r="G42" s="44">
        <v>53</v>
      </c>
      <c r="H42" s="44">
        <v>68</v>
      </c>
      <c r="I42" s="44">
        <v>78</v>
      </c>
      <c r="J42" s="44">
        <v>80</v>
      </c>
      <c r="K42" s="44"/>
      <c r="L42" s="44"/>
      <c r="M42" s="44"/>
      <c r="N42" s="44"/>
      <c r="O42" s="44"/>
    </row>
    <row r="43" spans="2:15" s="40" customFormat="1" ht="16.899999999999999" customHeight="1" x14ac:dyDescent="0.25">
      <c r="B43" s="20"/>
      <c r="C43" s="20"/>
      <c r="D43" s="24" t="s">
        <v>26</v>
      </c>
      <c r="E43" s="43">
        <v>22</v>
      </c>
      <c r="F43" s="44">
        <v>35</v>
      </c>
      <c r="G43" s="44">
        <v>52</v>
      </c>
      <c r="H43" s="44">
        <v>67</v>
      </c>
      <c r="I43" s="44">
        <v>70</v>
      </c>
      <c r="J43" s="44">
        <v>77</v>
      </c>
      <c r="K43" s="44"/>
      <c r="L43" s="44"/>
      <c r="M43" s="44"/>
      <c r="N43" s="44"/>
      <c r="O43" s="44"/>
    </row>
    <row r="44" spans="2:15" s="40" customFormat="1" ht="16.899999999999999" customHeight="1" x14ac:dyDescent="0.25">
      <c r="B44" s="20"/>
      <c r="C44" s="20"/>
      <c r="D44" s="24" t="s">
        <v>27</v>
      </c>
      <c r="E44" s="43">
        <v>16</v>
      </c>
      <c r="F44" s="44">
        <v>39</v>
      </c>
      <c r="G44" s="44">
        <v>52</v>
      </c>
      <c r="H44" s="44">
        <v>66</v>
      </c>
      <c r="I44" s="44">
        <v>61</v>
      </c>
      <c r="J44" s="44">
        <v>72</v>
      </c>
      <c r="K44" s="44"/>
      <c r="L44" s="44"/>
      <c r="M44" s="44"/>
      <c r="N44" s="44"/>
      <c r="O44" s="44"/>
    </row>
    <row r="45" spans="2:15" s="40" customFormat="1" ht="16.899999999999999" customHeight="1" thickBot="1" x14ac:dyDescent="0.3">
      <c r="B45" s="22"/>
      <c r="C45" s="22"/>
      <c r="D45" s="25" t="s">
        <v>28</v>
      </c>
      <c r="E45" s="45">
        <v>21</v>
      </c>
      <c r="F45" s="46">
        <v>30</v>
      </c>
      <c r="G45" s="46">
        <v>51</v>
      </c>
      <c r="H45" s="46">
        <v>65</v>
      </c>
      <c r="I45" s="46">
        <v>68</v>
      </c>
      <c r="J45" s="46">
        <v>74</v>
      </c>
      <c r="K45" s="46"/>
      <c r="L45" s="46"/>
      <c r="M45" s="46"/>
      <c r="N45" s="46"/>
      <c r="O45" s="46"/>
    </row>
    <row r="46" spans="2:15" s="40" customFormat="1" ht="16.899999999999999" customHeight="1" x14ac:dyDescent="0.25">
      <c r="B46" s="21" t="s">
        <v>3</v>
      </c>
      <c r="C46" s="21" t="s">
        <v>11</v>
      </c>
      <c r="D46" s="23" t="s">
        <v>24</v>
      </c>
      <c r="E46" s="41">
        <v>20</v>
      </c>
      <c r="F46" s="42">
        <v>30</v>
      </c>
      <c r="G46" s="42">
        <v>54</v>
      </c>
      <c r="H46" s="42">
        <v>90</v>
      </c>
      <c r="I46" s="42">
        <v>112</v>
      </c>
      <c r="J46" s="42">
        <v>116</v>
      </c>
      <c r="K46" s="42"/>
      <c r="L46" s="42"/>
      <c r="M46" s="42"/>
      <c r="N46" s="42"/>
      <c r="O46" s="42"/>
    </row>
    <row r="47" spans="2:15" s="40" customFormat="1" ht="16.899999999999999" customHeight="1" x14ac:dyDescent="0.25">
      <c r="B47" s="20"/>
      <c r="C47" s="20" t="s">
        <v>17</v>
      </c>
      <c r="D47" s="24" t="s">
        <v>38</v>
      </c>
      <c r="E47" s="43">
        <v>20</v>
      </c>
      <c r="F47" s="44">
        <v>32</v>
      </c>
      <c r="G47" s="44">
        <v>65</v>
      </c>
      <c r="H47" s="44">
        <v>90</v>
      </c>
      <c r="I47" s="44">
        <v>110</v>
      </c>
      <c r="J47" s="44">
        <v>130</v>
      </c>
      <c r="K47" s="44"/>
      <c r="L47" s="44"/>
      <c r="M47" s="44"/>
      <c r="N47" s="44"/>
      <c r="O47" s="44"/>
    </row>
    <row r="48" spans="2:15" s="40" customFormat="1" ht="16.899999999999999" customHeight="1" x14ac:dyDescent="0.25">
      <c r="B48" s="20"/>
      <c r="C48" s="20"/>
      <c r="D48" s="24" t="s">
        <v>25</v>
      </c>
      <c r="E48" s="43">
        <v>18</v>
      </c>
      <c r="F48" s="44">
        <v>30</v>
      </c>
      <c r="G48" s="44">
        <v>55</v>
      </c>
      <c r="H48" s="44">
        <v>85</v>
      </c>
      <c r="I48" s="44">
        <v>100</v>
      </c>
      <c r="J48" s="44">
        <v>111</v>
      </c>
      <c r="K48" s="44"/>
      <c r="L48" s="44"/>
      <c r="M48" s="44"/>
      <c r="N48" s="44"/>
      <c r="O48" s="44"/>
    </row>
    <row r="49" spans="2:15" s="40" customFormat="1" ht="16.899999999999999" customHeight="1" x14ac:dyDescent="0.25">
      <c r="B49" s="20"/>
      <c r="C49" s="20"/>
      <c r="D49" s="24" t="s">
        <v>26</v>
      </c>
      <c r="E49" s="43">
        <v>21</v>
      </c>
      <c r="F49" s="44">
        <v>36</v>
      </c>
      <c r="G49" s="44">
        <v>65</v>
      </c>
      <c r="H49" s="44">
        <v>93</v>
      </c>
      <c r="I49" s="44">
        <v>108</v>
      </c>
      <c r="J49" s="44">
        <v>113</v>
      </c>
      <c r="K49" s="44"/>
      <c r="L49" s="44"/>
      <c r="M49" s="44"/>
      <c r="N49" s="44"/>
      <c r="O49" s="44"/>
    </row>
    <row r="50" spans="2:15" s="40" customFormat="1" ht="16.899999999999999" customHeight="1" x14ac:dyDescent="0.25">
      <c r="B50" s="20"/>
      <c r="C50" s="20"/>
      <c r="D50" s="24" t="s">
        <v>27</v>
      </c>
      <c r="E50" s="43">
        <v>22</v>
      </c>
      <c r="F50" s="44">
        <v>33</v>
      </c>
      <c r="G50" s="44">
        <v>55</v>
      </c>
      <c r="H50" s="44">
        <v>83</v>
      </c>
      <c r="I50" s="44">
        <v>101</v>
      </c>
      <c r="J50" s="44">
        <v>97</v>
      </c>
      <c r="K50" s="44"/>
      <c r="L50" s="44"/>
      <c r="M50" s="44"/>
      <c r="N50" s="44"/>
      <c r="O50" s="44"/>
    </row>
    <row r="51" spans="2:15" s="40" customFormat="1" ht="16.899999999999999" customHeight="1" thickBot="1" x14ac:dyDescent="0.3">
      <c r="B51" s="22"/>
      <c r="C51" s="22"/>
      <c r="D51" s="25" t="s">
        <v>28</v>
      </c>
      <c r="E51" s="45">
        <v>23</v>
      </c>
      <c r="F51" s="46">
        <v>29</v>
      </c>
      <c r="G51" s="46">
        <v>55</v>
      </c>
      <c r="H51" s="46">
        <v>74</v>
      </c>
      <c r="I51" s="46">
        <v>82</v>
      </c>
      <c r="J51" s="46">
        <v>84</v>
      </c>
      <c r="K51" s="46"/>
      <c r="L51" s="46"/>
      <c r="M51" s="46"/>
      <c r="N51" s="46"/>
      <c r="O51" s="46"/>
    </row>
    <row r="52" spans="2:15" s="40" customFormat="1" ht="16.899999999999999" customHeight="1" x14ac:dyDescent="0.25">
      <c r="B52" s="26" t="s">
        <v>3</v>
      </c>
      <c r="C52" s="26" t="s">
        <v>12</v>
      </c>
      <c r="D52" s="32" t="s">
        <v>24</v>
      </c>
      <c r="E52" s="41">
        <v>20</v>
      </c>
      <c r="F52" s="42">
        <v>33</v>
      </c>
      <c r="G52" s="42">
        <v>65</v>
      </c>
      <c r="H52" s="42">
        <v>90</v>
      </c>
      <c r="I52" s="42">
        <v>91</v>
      </c>
      <c r="J52" s="42">
        <v>96</v>
      </c>
      <c r="K52" s="42"/>
      <c r="L52" s="42"/>
      <c r="M52" s="42"/>
      <c r="N52" s="42"/>
      <c r="O52" s="42"/>
    </row>
    <row r="53" spans="2:15" s="40" customFormat="1" ht="16.899999999999999" customHeight="1" x14ac:dyDescent="0.25">
      <c r="B53" s="28"/>
      <c r="C53" s="28" t="s">
        <v>18</v>
      </c>
      <c r="D53" s="33" t="s">
        <v>38</v>
      </c>
      <c r="E53" s="43">
        <v>21</v>
      </c>
      <c r="F53" s="44">
        <v>39</v>
      </c>
      <c r="G53" s="44">
        <v>73</v>
      </c>
      <c r="H53" s="44">
        <v>103</v>
      </c>
      <c r="I53" s="44">
        <v>111</v>
      </c>
      <c r="J53" s="44">
        <v>113</v>
      </c>
      <c r="K53" s="44"/>
      <c r="L53" s="44"/>
      <c r="M53" s="44"/>
      <c r="N53" s="44"/>
      <c r="O53" s="44"/>
    </row>
    <row r="54" spans="2:15" s="40" customFormat="1" ht="16.899999999999999" customHeight="1" x14ac:dyDescent="0.25">
      <c r="B54" s="28"/>
      <c r="C54" s="28"/>
      <c r="D54" s="33" t="s">
        <v>25</v>
      </c>
      <c r="E54" s="43">
        <v>15</v>
      </c>
      <c r="F54" s="44">
        <v>44</v>
      </c>
      <c r="G54" s="44">
        <v>58</v>
      </c>
      <c r="H54" s="44">
        <v>86</v>
      </c>
      <c r="I54" s="44">
        <v>90</v>
      </c>
      <c r="J54" s="44">
        <v>92</v>
      </c>
      <c r="K54" s="44"/>
      <c r="L54" s="44"/>
      <c r="M54" s="44"/>
      <c r="N54" s="44"/>
      <c r="O54" s="44"/>
    </row>
    <row r="55" spans="2:15" s="40" customFormat="1" ht="16.899999999999999" customHeight="1" x14ac:dyDescent="0.25">
      <c r="B55" s="28"/>
      <c r="C55" s="28"/>
      <c r="D55" s="33" t="s">
        <v>26</v>
      </c>
      <c r="E55" s="43">
        <v>20</v>
      </c>
      <c r="F55" s="44">
        <v>33</v>
      </c>
      <c r="G55" s="44">
        <v>62</v>
      </c>
      <c r="H55" s="44">
        <v>100</v>
      </c>
      <c r="I55" s="44">
        <v>111</v>
      </c>
      <c r="J55" s="44">
        <v>116</v>
      </c>
      <c r="K55" s="44"/>
      <c r="L55" s="44"/>
      <c r="M55" s="44"/>
      <c r="N55" s="44"/>
      <c r="O55" s="44"/>
    </row>
    <row r="56" spans="2:15" s="40" customFormat="1" ht="16.899999999999999" customHeight="1" x14ac:dyDescent="0.25">
      <c r="B56" s="28"/>
      <c r="C56" s="28"/>
      <c r="D56" s="33" t="s">
        <v>27</v>
      </c>
      <c r="E56" s="43">
        <v>23</v>
      </c>
      <c r="F56" s="44">
        <v>40</v>
      </c>
      <c r="G56" s="44">
        <v>58</v>
      </c>
      <c r="H56" s="44">
        <v>78</v>
      </c>
      <c r="I56" s="44">
        <v>76</v>
      </c>
      <c r="J56" s="44">
        <v>81</v>
      </c>
      <c r="K56" s="44"/>
      <c r="L56" s="44"/>
      <c r="M56" s="44"/>
      <c r="N56" s="44"/>
      <c r="O56" s="44"/>
    </row>
    <row r="57" spans="2:15" s="40" customFormat="1" ht="16.899999999999999" customHeight="1" thickBot="1" x14ac:dyDescent="0.3">
      <c r="B57" s="30"/>
      <c r="C57" s="30"/>
      <c r="D57" s="34" t="s">
        <v>28</v>
      </c>
      <c r="E57" s="45">
        <v>20</v>
      </c>
      <c r="F57" s="46">
        <v>30</v>
      </c>
      <c r="G57" s="46">
        <v>50</v>
      </c>
      <c r="H57" s="46">
        <v>69</v>
      </c>
      <c r="I57" s="46">
        <v>73</v>
      </c>
      <c r="J57" s="46">
        <v>77</v>
      </c>
      <c r="K57" s="46"/>
      <c r="L57" s="46"/>
      <c r="M57" s="46"/>
      <c r="N57" s="46"/>
      <c r="O57" s="46"/>
    </row>
    <row r="58" spans="2:15" s="40" customFormat="1" ht="16.899999999999999" customHeight="1" x14ac:dyDescent="0.25">
      <c r="B58" s="26" t="s">
        <v>4</v>
      </c>
      <c r="C58" s="26" t="s">
        <v>13</v>
      </c>
      <c r="D58" s="32" t="s">
        <v>24</v>
      </c>
      <c r="E58" s="41">
        <v>20</v>
      </c>
      <c r="F58" s="42">
        <v>35</v>
      </c>
      <c r="G58" s="42">
        <v>54</v>
      </c>
      <c r="H58" s="42">
        <v>68</v>
      </c>
      <c r="I58" s="42">
        <v>80</v>
      </c>
      <c r="J58" s="42">
        <v>95</v>
      </c>
      <c r="K58" s="42"/>
      <c r="L58" s="42"/>
      <c r="M58" s="42"/>
      <c r="N58" s="42"/>
      <c r="O58" s="42"/>
    </row>
    <row r="59" spans="2:15" s="40" customFormat="1" ht="16.899999999999999" customHeight="1" x14ac:dyDescent="0.25">
      <c r="B59" s="28"/>
      <c r="C59" s="28" t="s">
        <v>19</v>
      </c>
      <c r="D59" s="33" t="s">
        <v>38</v>
      </c>
      <c r="E59" s="43">
        <v>17</v>
      </c>
      <c r="F59" s="44">
        <v>38</v>
      </c>
      <c r="G59" s="44">
        <v>66</v>
      </c>
      <c r="H59" s="44">
        <v>102</v>
      </c>
      <c r="I59" s="44">
        <v>119</v>
      </c>
      <c r="J59" s="44">
        <v>122</v>
      </c>
      <c r="K59" s="44"/>
      <c r="L59" s="44"/>
      <c r="M59" s="44"/>
      <c r="N59" s="44"/>
      <c r="O59" s="44"/>
    </row>
    <row r="60" spans="2:15" s="40" customFormat="1" ht="16.899999999999999" customHeight="1" x14ac:dyDescent="0.25">
      <c r="B60" s="28"/>
      <c r="C60" s="28"/>
      <c r="D60" s="33" t="s">
        <v>25</v>
      </c>
      <c r="E60" s="43">
        <v>21</v>
      </c>
      <c r="F60" s="44">
        <v>37</v>
      </c>
      <c r="G60" s="44">
        <v>63</v>
      </c>
      <c r="H60" s="44">
        <v>96</v>
      </c>
      <c r="I60" s="44">
        <v>111</v>
      </c>
      <c r="J60" s="44">
        <v>110</v>
      </c>
      <c r="K60" s="44"/>
      <c r="L60" s="44"/>
      <c r="M60" s="44"/>
      <c r="N60" s="44"/>
      <c r="O60" s="44"/>
    </row>
    <row r="61" spans="2:15" s="40" customFormat="1" ht="16.899999999999999" customHeight="1" x14ac:dyDescent="0.25">
      <c r="B61" s="28"/>
      <c r="C61" s="28"/>
      <c r="D61" s="33" t="s">
        <v>26</v>
      </c>
      <c r="E61" s="43">
        <v>24</v>
      </c>
      <c r="F61" s="44">
        <v>40</v>
      </c>
      <c r="G61" s="44">
        <v>60</v>
      </c>
      <c r="H61" s="44">
        <v>92</v>
      </c>
      <c r="I61" s="44">
        <v>108</v>
      </c>
      <c r="J61" s="44">
        <v>111</v>
      </c>
      <c r="K61" s="44"/>
      <c r="L61" s="44"/>
      <c r="M61" s="44"/>
      <c r="N61" s="44"/>
      <c r="O61" s="44"/>
    </row>
    <row r="62" spans="2:15" s="40" customFormat="1" ht="16.899999999999999" customHeight="1" x14ac:dyDescent="0.25">
      <c r="B62" s="28"/>
      <c r="C62" s="28"/>
      <c r="D62" s="33" t="s">
        <v>27</v>
      </c>
      <c r="E62" s="43">
        <v>22</v>
      </c>
      <c r="F62" s="44">
        <v>31</v>
      </c>
      <c r="G62" s="44">
        <v>52</v>
      </c>
      <c r="H62" s="44">
        <v>76</v>
      </c>
      <c r="I62" s="44">
        <v>81</v>
      </c>
      <c r="J62" s="44">
        <v>93</v>
      </c>
      <c r="K62" s="44"/>
      <c r="L62" s="44"/>
      <c r="M62" s="44"/>
      <c r="N62" s="44"/>
      <c r="O62" s="44"/>
    </row>
    <row r="63" spans="2:15" s="40" customFormat="1" ht="16.899999999999999" customHeight="1" thickBot="1" x14ac:dyDescent="0.3">
      <c r="B63" s="30"/>
      <c r="C63" s="30"/>
      <c r="D63" s="34" t="s">
        <v>28</v>
      </c>
      <c r="E63" s="45">
        <v>20</v>
      </c>
      <c r="F63" s="46">
        <v>31</v>
      </c>
      <c r="G63" s="46">
        <v>54</v>
      </c>
      <c r="H63" s="46">
        <v>83</v>
      </c>
      <c r="I63" s="46">
        <v>88</v>
      </c>
      <c r="J63" s="46">
        <v>99</v>
      </c>
      <c r="K63" s="46"/>
      <c r="L63" s="46"/>
      <c r="M63" s="46"/>
      <c r="N63" s="46"/>
      <c r="O63" s="46"/>
    </row>
    <row r="64" spans="2:15" s="40" customFormat="1" ht="16.899999999999999" customHeight="1" x14ac:dyDescent="0.25">
      <c r="B64" s="21" t="s">
        <v>4</v>
      </c>
      <c r="C64" s="21" t="s">
        <v>14</v>
      </c>
      <c r="D64" s="23" t="s">
        <v>24</v>
      </c>
      <c r="E64" s="41">
        <v>21</v>
      </c>
      <c r="F64" s="42">
        <v>32</v>
      </c>
      <c r="G64" s="42">
        <v>55</v>
      </c>
      <c r="H64" s="42">
        <v>71</v>
      </c>
      <c r="I64" s="42">
        <v>78</v>
      </c>
      <c r="J64" s="42">
        <v>101</v>
      </c>
      <c r="K64" s="42"/>
      <c r="L64" s="42"/>
      <c r="M64" s="42"/>
      <c r="N64" s="42"/>
      <c r="O64" s="42"/>
    </row>
    <row r="65" spans="2:15" s="40" customFormat="1" ht="16.899999999999999" customHeight="1" x14ac:dyDescent="0.25">
      <c r="B65" s="20"/>
      <c r="C65" s="20" t="s">
        <v>16</v>
      </c>
      <c r="D65" s="24" t="s">
        <v>38</v>
      </c>
      <c r="E65" s="43">
        <v>23</v>
      </c>
      <c r="F65" s="44">
        <v>38</v>
      </c>
      <c r="G65" s="44">
        <v>64</v>
      </c>
      <c r="H65" s="44">
        <v>84</v>
      </c>
      <c r="I65" s="44">
        <v>89</v>
      </c>
      <c r="J65" s="44">
        <v>87</v>
      </c>
      <c r="K65" s="44"/>
      <c r="L65" s="44"/>
      <c r="M65" s="44"/>
      <c r="N65" s="44"/>
      <c r="O65" s="44"/>
    </row>
    <row r="66" spans="2:15" s="40" customFormat="1" ht="16.899999999999999" customHeight="1" x14ac:dyDescent="0.25">
      <c r="B66" s="20"/>
      <c r="C66" s="20"/>
      <c r="D66" s="24" t="s">
        <v>25</v>
      </c>
      <c r="E66" s="43">
        <v>23</v>
      </c>
      <c r="F66" s="44">
        <v>40</v>
      </c>
      <c r="G66" s="44">
        <v>66</v>
      </c>
      <c r="H66" s="44">
        <v>92</v>
      </c>
      <c r="I66" s="44">
        <v>98</v>
      </c>
      <c r="J66" s="44">
        <v>109</v>
      </c>
      <c r="K66" s="44"/>
      <c r="L66" s="44"/>
      <c r="M66" s="44"/>
      <c r="N66" s="44"/>
      <c r="O66" s="44"/>
    </row>
    <row r="67" spans="2:15" s="40" customFormat="1" ht="16.899999999999999" customHeight="1" x14ac:dyDescent="0.25">
      <c r="B67" s="20"/>
      <c r="C67" s="20"/>
      <c r="D67" s="24" t="s">
        <v>26</v>
      </c>
      <c r="E67" s="43">
        <v>24</v>
      </c>
      <c r="F67" s="44">
        <v>42</v>
      </c>
      <c r="G67" s="44">
        <v>76</v>
      </c>
      <c r="H67" s="44">
        <v>87</v>
      </c>
      <c r="I67" s="44">
        <v>90</v>
      </c>
      <c r="J67" s="44">
        <v>92</v>
      </c>
      <c r="K67" s="44"/>
      <c r="L67" s="44"/>
      <c r="M67" s="44"/>
      <c r="N67" s="44"/>
      <c r="O67" s="44"/>
    </row>
    <row r="68" spans="2:15" s="40" customFormat="1" ht="16.899999999999999" customHeight="1" x14ac:dyDescent="0.25">
      <c r="B68" s="20"/>
      <c r="C68" s="20"/>
      <c r="D68" s="24" t="s">
        <v>27</v>
      </c>
      <c r="E68" s="43">
        <v>22</v>
      </c>
      <c r="F68" s="44">
        <v>38</v>
      </c>
      <c r="G68" s="44">
        <v>56</v>
      </c>
      <c r="H68" s="44">
        <v>75</v>
      </c>
      <c r="I68" s="44">
        <v>76</v>
      </c>
      <c r="J68" s="44">
        <v>84</v>
      </c>
      <c r="K68" s="44"/>
      <c r="L68" s="44"/>
      <c r="M68" s="44"/>
      <c r="N68" s="44"/>
      <c r="O68" s="44"/>
    </row>
    <row r="69" spans="2:15" s="40" customFormat="1" ht="16.899999999999999" customHeight="1" thickBot="1" x14ac:dyDescent="0.3">
      <c r="B69" s="22"/>
      <c r="C69" s="22"/>
      <c r="D69" s="25" t="s">
        <v>28</v>
      </c>
      <c r="E69" s="45">
        <v>20</v>
      </c>
      <c r="F69" s="46">
        <v>34</v>
      </c>
      <c r="G69" s="46">
        <v>53</v>
      </c>
      <c r="H69" s="46">
        <v>68</v>
      </c>
      <c r="I69" s="46">
        <v>74</v>
      </c>
      <c r="J69" s="46">
        <v>77</v>
      </c>
      <c r="K69" s="46"/>
      <c r="L69" s="46"/>
      <c r="M69" s="46"/>
      <c r="N69" s="46"/>
      <c r="O69" s="46"/>
    </row>
    <row r="70" spans="2:15" s="40" customFormat="1" ht="16.899999999999999" customHeight="1" x14ac:dyDescent="0.25">
      <c r="B70" s="21" t="s">
        <v>22</v>
      </c>
      <c r="C70" s="21" t="s">
        <v>23</v>
      </c>
      <c r="D70" s="23" t="s">
        <v>24</v>
      </c>
      <c r="E70" s="41">
        <v>19</v>
      </c>
      <c r="F70" s="42">
        <v>34</v>
      </c>
      <c r="G70" s="42">
        <v>50</v>
      </c>
      <c r="H70" s="42">
        <v>71</v>
      </c>
      <c r="I70" s="42">
        <v>80</v>
      </c>
      <c r="J70" s="42">
        <v>88</v>
      </c>
      <c r="K70" s="42"/>
      <c r="L70" s="42"/>
      <c r="M70" s="42"/>
      <c r="N70" s="42"/>
      <c r="O70" s="42"/>
    </row>
    <row r="71" spans="2:15" s="40" customFormat="1" ht="16.899999999999999" customHeight="1" x14ac:dyDescent="0.25">
      <c r="B71" s="20"/>
      <c r="C71" s="20" t="s">
        <v>17</v>
      </c>
      <c r="D71" s="24" t="s">
        <v>38</v>
      </c>
      <c r="E71" s="43">
        <v>19</v>
      </c>
      <c r="F71" s="44">
        <v>34</v>
      </c>
      <c r="G71" s="44">
        <v>54</v>
      </c>
      <c r="H71" s="44">
        <v>84</v>
      </c>
      <c r="I71" s="44">
        <v>97</v>
      </c>
      <c r="J71" s="44">
        <v>105</v>
      </c>
      <c r="K71" s="44"/>
      <c r="L71" s="44"/>
      <c r="M71" s="44"/>
      <c r="N71" s="44"/>
      <c r="O71" s="44"/>
    </row>
    <row r="72" spans="2:15" s="40" customFormat="1" ht="16.899999999999999" customHeight="1" x14ac:dyDescent="0.25">
      <c r="B72" s="20"/>
      <c r="C72" s="20"/>
      <c r="D72" s="24" t="s">
        <v>25</v>
      </c>
      <c r="E72" s="43">
        <v>21</v>
      </c>
      <c r="F72" s="44">
        <v>37</v>
      </c>
      <c r="G72" s="44">
        <v>58</v>
      </c>
      <c r="H72" s="44">
        <v>81</v>
      </c>
      <c r="I72" s="44">
        <v>97</v>
      </c>
      <c r="J72" s="44">
        <v>102</v>
      </c>
      <c r="K72" s="44"/>
      <c r="L72" s="44"/>
      <c r="M72" s="44"/>
      <c r="N72" s="44"/>
      <c r="O72" s="44"/>
    </row>
    <row r="73" spans="2:15" s="40" customFormat="1" ht="16.899999999999999" customHeight="1" x14ac:dyDescent="0.25">
      <c r="B73" s="20"/>
      <c r="C73" s="20"/>
      <c r="D73" s="24" t="s">
        <v>26</v>
      </c>
      <c r="E73" s="43">
        <v>18</v>
      </c>
      <c r="F73" s="44">
        <v>35</v>
      </c>
      <c r="G73" s="44">
        <v>54</v>
      </c>
      <c r="H73" s="44">
        <v>71</v>
      </c>
      <c r="I73" s="44">
        <v>90</v>
      </c>
      <c r="J73" s="44">
        <v>92</v>
      </c>
      <c r="K73" s="44"/>
      <c r="L73" s="44"/>
      <c r="M73" s="44"/>
      <c r="N73" s="44"/>
      <c r="O73" s="44"/>
    </row>
    <row r="74" spans="2:15" s="40" customFormat="1" ht="16.899999999999999" customHeight="1" x14ac:dyDescent="0.25">
      <c r="B74" s="20"/>
      <c r="C74" s="20"/>
      <c r="D74" s="24" t="s">
        <v>27</v>
      </c>
      <c r="E74" s="43">
        <v>19</v>
      </c>
      <c r="F74" s="44">
        <v>38</v>
      </c>
      <c r="G74" s="44">
        <v>52</v>
      </c>
      <c r="H74" s="44">
        <v>70</v>
      </c>
      <c r="I74" s="44">
        <v>81</v>
      </c>
      <c r="J74" s="44">
        <v>84</v>
      </c>
      <c r="K74" s="44"/>
      <c r="L74" s="44"/>
      <c r="M74" s="44"/>
      <c r="N74" s="44"/>
      <c r="O74" s="44"/>
    </row>
    <row r="75" spans="2:15" s="40" customFormat="1" ht="16.899999999999999" customHeight="1" thickBot="1" x14ac:dyDescent="0.3">
      <c r="B75" s="22"/>
      <c r="C75" s="22"/>
      <c r="D75" s="25" t="s">
        <v>28</v>
      </c>
      <c r="E75" s="45">
        <v>21</v>
      </c>
      <c r="F75" s="46">
        <v>32</v>
      </c>
      <c r="G75" s="46">
        <v>50</v>
      </c>
      <c r="H75" s="46">
        <v>80</v>
      </c>
      <c r="I75" s="46">
        <v>91</v>
      </c>
      <c r="J75" s="46">
        <v>93</v>
      </c>
      <c r="K75" s="46"/>
      <c r="L75" s="46"/>
      <c r="M75" s="46"/>
      <c r="N75" s="46"/>
      <c r="O75" s="46"/>
    </row>
    <row r="78" spans="2:15" x14ac:dyDescent="0.2">
      <c r="C78" s="87" t="s">
        <v>63</v>
      </c>
      <c r="E78" s="88">
        <f>AVERAGE(E22:E27,E46:E51)/100</f>
        <v>0.20083333333333331</v>
      </c>
      <c r="F78" s="88">
        <f t="shared" ref="F78:J78" si="0">AVERAGE(F22:F27,F46:F51)/100</f>
        <v>0.33166666666666667</v>
      </c>
      <c r="G78" s="88">
        <f t="shared" si="0"/>
        <v>0.59</v>
      </c>
      <c r="H78" s="88">
        <f t="shared" si="0"/>
        <v>0.88416666666666677</v>
      </c>
      <c r="I78" s="88">
        <f t="shared" si="0"/>
        <v>1.0308333333333333</v>
      </c>
      <c r="J78" s="88">
        <f t="shared" si="0"/>
        <v>1.0674999999999999</v>
      </c>
    </row>
    <row r="79" spans="2:15" x14ac:dyDescent="0.2">
      <c r="C79" s="87" t="s">
        <v>16</v>
      </c>
      <c r="E79" s="88">
        <f>AVERAGE(E16:E21,E64:E69)/100</f>
        <v>0.19583333333333333</v>
      </c>
      <c r="F79" s="88">
        <f t="shared" ref="F79:J79" si="1">AVERAGE(F16:F21,F64:F69)/100</f>
        <v>0.35916666666666663</v>
      </c>
      <c r="G79" s="88">
        <f t="shared" si="1"/>
        <v>0.62749999999999995</v>
      </c>
      <c r="H79" s="88">
        <f t="shared" si="1"/>
        <v>0.84750000000000003</v>
      </c>
      <c r="I79" s="88">
        <f t="shared" si="1"/>
        <v>0.91166666666666674</v>
      </c>
      <c r="J79" s="88">
        <f t="shared" si="1"/>
        <v>0.95250000000000001</v>
      </c>
    </row>
    <row r="80" spans="2:15" x14ac:dyDescent="0.2">
      <c r="C80" s="87" t="s">
        <v>64</v>
      </c>
      <c r="E80" s="88">
        <f>AVERAGE(E10:E15,E40:E45)/100</f>
        <v>0.19</v>
      </c>
      <c r="F80" s="88">
        <f t="shared" ref="F80:J80" si="2">AVERAGE(F10:F15,F40:F45)/100</f>
        <v>0.35583333333333333</v>
      </c>
      <c r="G80" s="88">
        <f t="shared" si="2"/>
        <v>0.51083333333333336</v>
      </c>
      <c r="H80" s="88">
        <f t="shared" si="2"/>
        <v>0.67833333333333323</v>
      </c>
      <c r="I80" s="88">
        <f t="shared" si="2"/>
        <v>0.68583333333333329</v>
      </c>
      <c r="J80" s="88">
        <f t="shared" si="2"/>
        <v>0.73583333333333334</v>
      </c>
    </row>
    <row r="82" spans="4:10" ht="15" x14ac:dyDescent="0.25">
      <c r="D82" s="10" t="s">
        <v>32</v>
      </c>
      <c r="E82" s="39" t="s">
        <v>41</v>
      </c>
      <c r="F82" s="80">
        <v>41806</v>
      </c>
      <c r="G82" s="80">
        <v>41820</v>
      </c>
      <c r="H82" s="80">
        <v>41834</v>
      </c>
      <c r="I82" s="80">
        <v>41848</v>
      </c>
      <c r="J82" s="80">
        <v>41863</v>
      </c>
    </row>
    <row r="83" spans="4:10" ht="15" x14ac:dyDescent="0.25">
      <c r="D83" s="10" t="s">
        <v>39</v>
      </c>
      <c r="E83" s="39" t="s">
        <v>42</v>
      </c>
      <c r="F83" s="38">
        <v>167</v>
      </c>
      <c r="G83" s="38">
        <v>181</v>
      </c>
      <c r="H83" s="38">
        <v>195</v>
      </c>
      <c r="I83" s="38">
        <v>209</v>
      </c>
      <c r="J83" s="38">
        <v>224</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75"/>
  <sheetViews>
    <sheetView zoomScale="85" zoomScaleNormal="85" workbookViewId="0"/>
  </sheetViews>
  <sheetFormatPr defaultColWidth="8.85546875" defaultRowHeight="14.25" x14ac:dyDescent="0.2"/>
  <cols>
    <col min="1" max="4" width="8.85546875" style="35"/>
    <col min="5" max="28" width="8.85546875" style="37"/>
    <col min="29" max="16384" width="8.85546875" style="35"/>
  </cols>
  <sheetData>
    <row r="1" spans="1:28" ht="18" x14ac:dyDescent="0.25">
      <c r="A1" s="2">
        <v>2014</v>
      </c>
      <c r="B1" s="3" t="s">
        <v>29</v>
      </c>
      <c r="C1" s="4"/>
      <c r="D1" s="4"/>
    </row>
    <row r="2" spans="1:28" ht="18" x14ac:dyDescent="0.25">
      <c r="A2" s="4"/>
      <c r="B2" s="3" t="s">
        <v>20</v>
      </c>
      <c r="C2" s="6"/>
      <c r="D2" s="3" t="s">
        <v>21</v>
      </c>
    </row>
    <row r="4" spans="1:28" ht="15.75" x14ac:dyDescent="0.25">
      <c r="B4" s="4" t="s">
        <v>46</v>
      </c>
      <c r="C4" s="4"/>
    </row>
    <row r="5" spans="1:28" ht="15.75" x14ac:dyDescent="0.25">
      <c r="B5" s="4"/>
      <c r="C5" s="4" t="s">
        <v>31</v>
      </c>
      <c r="O5" s="236" t="s">
        <v>61</v>
      </c>
      <c r="P5" s="237"/>
    </row>
    <row r="6" spans="1:28" x14ac:dyDescent="0.2">
      <c r="O6" s="237"/>
      <c r="P6" s="237"/>
    </row>
    <row r="7" spans="1:28" ht="15" x14ac:dyDescent="0.25">
      <c r="D7" s="10" t="s">
        <v>32</v>
      </c>
      <c r="E7" s="238" t="s">
        <v>41</v>
      </c>
      <c r="F7" s="239"/>
      <c r="G7" s="81">
        <v>41806</v>
      </c>
      <c r="H7" s="81"/>
      <c r="I7" s="240">
        <v>41820</v>
      </c>
      <c r="J7" s="241"/>
      <c r="K7" s="240">
        <v>41834</v>
      </c>
      <c r="L7" s="241"/>
      <c r="M7" s="240">
        <v>41848</v>
      </c>
      <c r="N7" s="243"/>
      <c r="O7" s="240">
        <v>41863</v>
      </c>
      <c r="P7" s="241"/>
      <c r="Q7" s="242"/>
      <c r="R7" s="241"/>
      <c r="S7" s="242"/>
      <c r="T7" s="241"/>
      <c r="U7" s="242"/>
      <c r="V7" s="241"/>
      <c r="W7" s="242"/>
      <c r="X7" s="241"/>
      <c r="Y7" s="242"/>
      <c r="Z7" s="241"/>
      <c r="AA7" s="35"/>
      <c r="AB7" s="35"/>
    </row>
    <row r="8" spans="1:28" ht="15" x14ac:dyDescent="0.25">
      <c r="D8" s="10" t="s">
        <v>39</v>
      </c>
      <c r="E8" s="238" t="s">
        <v>42</v>
      </c>
      <c r="F8" s="239"/>
      <c r="G8" s="82">
        <v>167</v>
      </c>
      <c r="H8" s="82"/>
      <c r="I8" s="242">
        <v>181</v>
      </c>
      <c r="J8" s="241"/>
      <c r="K8" s="242">
        <v>195</v>
      </c>
      <c r="L8" s="241"/>
      <c r="M8" s="242">
        <v>209</v>
      </c>
      <c r="N8" s="243"/>
      <c r="O8" s="244"/>
      <c r="P8" s="241"/>
      <c r="Q8" s="244"/>
      <c r="R8" s="239"/>
      <c r="S8" s="242"/>
      <c r="T8" s="241"/>
      <c r="U8" s="242"/>
      <c r="V8" s="241"/>
      <c r="W8" s="242"/>
      <c r="X8" s="241"/>
      <c r="Y8" s="242"/>
      <c r="Z8" s="241"/>
      <c r="AA8" s="35"/>
      <c r="AB8" s="35"/>
    </row>
    <row r="9" spans="1:28" ht="34.5" thickBot="1" x14ac:dyDescent="0.3">
      <c r="D9" s="10"/>
      <c r="E9" s="54" t="s">
        <v>45</v>
      </c>
      <c r="F9" s="50" t="s">
        <v>47</v>
      </c>
      <c r="G9" s="54" t="s">
        <v>45</v>
      </c>
      <c r="H9" s="55" t="s">
        <v>47</v>
      </c>
      <c r="I9" s="54" t="s">
        <v>45</v>
      </c>
      <c r="J9" s="55" t="s">
        <v>47</v>
      </c>
      <c r="K9" s="54" t="s">
        <v>45</v>
      </c>
      <c r="L9" s="55" t="s">
        <v>47</v>
      </c>
      <c r="M9" s="54" t="s">
        <v>45</v>
      </c>
      <c r="N9" s="55" t="s">
        <v>47</v>
      </c>
      <c r="O9" s="36" t="s">
        <v>45</v>
      </c>
      <c r="P9" s="55" t="s">
        <v>47</v>
      </c>
      <c r="Q9" s="36" t="s">
        <v>45</v>
      </c>
      <c r="R9" s="50" t="s">
        <v>47</v>
      </c>
      <c r="S9" s="54" t="s">
        <v>45</v>
      </c>
      <c r="T9" s="55" t="s">
        <v>47</v>
      </c>
      <c r="U9" s="54" t="s">
        <v>45</v>
      </c>
      <c r="V9" s="55" t="s">
        <v>47</v>
      </c>
      <c r="W9" s="54" t="s">
        <v>45</v>
      </c>
      <c r="X9" s="55" t="s">
        <v>47</v>
      </c>
      <c r="Y9" s="54" t="s">
        <v>43</v>
      </c>
      <c r="Z9" s="55" t="s">
        <v>47</v>
      </c>
      <c r="AA9" s="35"/>
      <c r="AB9" s="35"/>
    </row>
    <row r="10" spans="1:28" s="40" customFormat="1" ht="16.899999999999999" customHeight="1" x14ac:dyDescent="0.25">
      <c r="B10" s="21" t="s">
        <v>0</v>
      </c>
      <c r="C10" s="21" t="s">
        <v>5</v>
      </c>
      <c r="D10" s="15" t="s">
        <v>24</v>
      </c>
      <c r="E10" s="41">
        <v>26</v>
      </c>
      <c r="F10" s="51">
        <f>E10-'Summary-Plant Heights'!E10</f>
        <v>8</v>
      </c>
      <c r="G10" s="41">
        <v>47</v>
      </c>
      <c r="H10" s="51">
        <f>G10-'Summary-Plant Heights'!F10</f>
        <v>8</v>
      </c>
      <c r="I10" s="41">
        <v>58</v>
      </c>
      <c r="J10" s="56">
        <f>I10-'Summary-Plant Heights'!G10</f>
        <v>10</v>
      </c>
      <c r="K10" s="41">
        <v>73</v>
      </c>
      <c r="L10" s="56">
        <f>K10-'Summary-Plant Heights'!H10</f>
        <v>5</v>
      </c>
      <c r="M10" s="41">
        <v>79</v>
      </c>
      <c r="N10" s="56">
        <f>M10-'Summary-Plant Heights'!I10</f>
        <v>5</v>
      </c>
      <c r="O10" s="47"/>
      <c r="P10" s="56"/>
      <c r="Q10" s="47"/>
      <c r="R10" s="51"/>
      <c r="S10" s="41"/>
      <c r="T10" s="56"/>
      <c r="U10" s="41"/>
      <c r="V10" s="56"/>
      <c r="W10" s="41"/>
      <c r="X10" s="56"/>
      <c r="Y10" s="41"/>
      <c r="Z10" s="56"/>
    </row>
    <row r="11" spans="1:28" s="40" customFormat="1" ht="16.899999999999999" customHeight="1" x14ac:dyDescent="0.25">
      <c r="B11" s="20"/>
      <c r="C11" s="20" t="s">
        <v>15</v>
      </c>
      <c r="D11" s="17" t="s">
        <v>38</v>
      </c>
      <c r="E11" s="43">
        <v>25</v>
      </c>
      <c r="F11" s="52">
        <f>E11-'Summary-Plant Heights'!E11</f>
        <v>7</v>
      </c>
      <c r="G11" s="43">
        <v>47</v>
      </c>
      <c r="H11" s="57">
        <f>G11-'Summary-Plant Heights'!F11</f>
        <v>8</v>
      </c>
      <c r="I11" s="43">
        <v>55</v>
      </c>
      <c r="J11" s="57">
        <f>I11-'Summary-Plant Heights'!G11</f>
        <v>7</v>
      </c>
      <c r="K11" s="43">
        <v>74</v>
      </c>
      <c r="L11" s="57">
        <f>K11-'Summary-Plant Heights'!H11</f>
        <v>5</v>
      </c>
      <c r="M11" s="43">
        <v>69</v>
      </c>
      <c r="N11" s="57">
        <f>M11-'Summary-Plant Heights'!I11</f>
        <v>7</v>
      </c>
      <c r="O11" s="48"/>
      <c r="P11" s="57"/>
      <c r="Q11" s="48"/>
      <c r="R11" s="52"/>
      <c r="S11" s="43"/>
      <c r="T11" s="57"/>
      <c r="U11" s="43"/>
      <c r="V11" s="57"/>
      <c r="W11" s="43"/>
      <c r="X11" s="57"/>
      <c r="Y11" s="43"/>
      <c r="Z11" s="57"/>
    </row>
    <row r="12" spans="1:28" s="40" customFormat="1" ht="16.899999999999999" customHeight="1" x14ac:dyDescent="0.25">
      <c r="B12" s="20"/>
      <c r="C12" s="20"/>
      <c r="D12" s="17" t="s">
        <v>25</v>
      </c>
      <c r="E12" s="43">
        <v>26</v>
      </c>
      <c r="F12" s="52">
        <f>E12-'Summary-Plant Heights'!E12</f>
        <v>7</v>
      </c>
      <c r="G12" s="43">
        <v>45</v>
      </c>
      <c r="H12" s="57">
        <f>G12-'Summary-Plant Heights'!F12</f>
        <v>12</v>
      </c>
      <c r="I12" s="43">
        <v>65</v>
      </c>
      <c r="J12" s="57">
        <f>I12-'Summary-Plant Heights'!G12</f>
        <v>8</v>
      </c>
      <c r="K12" s="43">
        <v>80</v>
      </c>
      <c r="L12" s="57">
        <f>K12-'Summary-Plant Heights'!H12</f>
        <v>6</v>
      </c>
      <c r="M12" s="43">
        <v>83</v>
      </c>
      <c r="N12" s="57">
        <f>M12-'Summary-Plant Heights'!I12</f>
        <v>9</v>
      </c>
      <c r="O12" s="48"/>
      <c r="P12" s="57"/>
      <c r="Q12" s="48"/>
      <c r="R12" s="52"/>
      <c r="S12" s="43"/>
      <c r="T12" s="57"/>
      <c r="U12" s="43"/>
      <c r="V12" s="57"/>
      <c r="W12" s="43"/>
      <c r="X12" s="57"/>
      <c r="Y12" s="43"/>
      <c r="Z12" s="57"/>
    </row>
    <row r="13" spans="1:28" s="40" customFormat="1" ht="16.899999999999999" customHeight="1" x14ac:dyDescent="0.25">
      <c r="B13" s="20"/>
      <c r="C13" s="20"/>
      <c r="D13" s="17" t="s">
        <v>26</v>
      </c>
      <c r="E13" s="43">
        <v>25</v>
      </c>
      <c r="F13" s="52">
        <f>E13-'Summary-Plant Heights'!E13</f>
        <v>6</v>
      </c>
      <c r="G13" s="43">
        <v>46</v>
      </c>
      <c r="H13" s="57">
        <f>G13-'Summary-Plant Heights'!F13</f>
        <v>8</v>
      </c>
      <c r="I13" s="43">
        <v>59</v>
      </c>
      <c r="J13" s="57">
        <f>I13-'Summary-Plant Heights'!G13</f>
        <v>8</v>
      </c>
      <c r="K13" s="43">
        <v>71</v>
      </c>
      <c r="L13" s="57">
        <f>K13-'Summary-Plant Heights'!H13</f>
        <v>3</v>
      </c>
      <c r="M13" s="43">
        <v>72</v>
      </c>
      <c r="N13" s="57">
        <f>M13-'Summary-Plant Heights'!I13</f>
        <v>8</v>
      </c>
      <c r="O13" s="48"/>
      <c r="P13" s="57"/>
      <c r="Q13" s="48"/>
      <c r="R13" s="52"/>
      <c r="S13" s="43"/>
      <c r="T13" s="57"/>
      <c r="U13" s="43"/>
      <c r="V13" s="57"/>
      <c r="W13" s="43"/>
      <c r="X13" s="57"/>
      <c r="Y13" s="43"/>
      <c r="Z13" s="57"/>
    </row>
    <row r="14" spans="1:28" s="40" customFormat="1" ht="16.899999999999999" customHeight="1" x14ac:dyDescent="0.25">
      <c r="B14" s="20"/>
      <c r="C14" s="20"/>
      <c r="D14" s="17" t="s">
        <v>27</v>
      </c>
      <c r="E14" s="43">
        <v>25</v>
      </c>
      <c r="F14" s="52">
        <f>E14-'Summary-Plant Heights'!E14</f>
        <v>8</v>
      </c>
      <c r="G14" s="43">
        <v>47</v>
      </c>
      <c r="H14" s="57">
        <f>G14-'Summary-Plant Heights'!F14</f>
        <v>9</v>
      </c>
      <c r="I14" s="43">
        <v>61</v>
      </c>
      <c r="J14" s="57">
        <f>I14-'Summary-Plant Heights'!G14</f>
        <v>7</v>
      </c>
      <c r="K14" s="43">
        <v>74</v>
      </c>
      <c r="L14" s="57">
        <f>K14-'Summary-Plant Heights'!H14</f>
        <v>5</v>
      </c>
      <c r="M14" s="43">
        <v>78</v>
      </c>
      <c r="N14" s="57">
        <f>M14-'Summary-Plant Heights'!I14</f>
        <v>9</v>
      </c>
      <c r="O14" s="48"/>
      <c r="P14" s="57"/>
      <c r="Q14" s="48"/>
      <c r="R14" s="52"/>
      <c r="S14" s="43"/>
      <c r="T14" s="57"/>
      <c r="U14" s="43"/>
      <c r="V14" s="57"/>
      <c r="W14" s="43"/>
      <c r="X14" s="57"/>
      <c r="Y14" s="43"/>
      <c r="Z14" s="57"/>
    </row>
    <row r="15" spans="1:28" s="40" customFormat="1" ht="16.899999999999999" customHeight="1" thickBot="1" x14ac:dyDescent="0.3">
      <c r="B15" s="22"/>
      <c r="C15" s="22"/>
      <c r="D15" s="59" t="s">
        <v>28</v>
      </c>
      <c r="E15" s="45">
        <v>26</v>
      </c>
      <c r="F15" s="53">
        <f>E15-'Summary-Plant Heights'!E15</f>
        <v>7</v>
      </c>
      <c r="G15" s="45">
        <v>49</v>
      </c>
      <c r="H15" s="58">
        <f>G15-'Summary-Plant Heights'!F15</f>
        <v>11</v>
      </c>
      <c r="I15" s="45">
        <v>58</v>
      </c>
      <c r="J15" s="58">
        <f>I15-'Summary-Plant Heights'!G15</f>
        <v>12</v>
      </c>
      <c r="K15" s="45">
        <v>63</v>
      </c>
      <c r="L15" s="58">
        <f>K15-'Summary-Plant Heights'!H15</f>
        <v>7</v>
      </c>
      <c r="M15" s="45">
        <v>68</v>
      </c>
      <c r="N15" s="58">
        <f>M15-'Summary-Plant Heights'!I15</f>
        <v>11</v>
      </c>
      <c r="O15" s="49"/>
      <c r="P15" s="58"/>
      <c r="Q15" s="49"/>
      <c r="R15" s="53"/>
      <c r="S15" s="45"/>
      <c r="T15" s="58"/>
      <c r="U15" s="45"/>
      <c r="V15" s="58"/>
      <c r="W15" s="45"/>
      <c r="X15" s="58"/>
      <c r="Y15" s="45"/>
      <c r="Z15" s="58"/>
    </row>
    <row r="16" spans="1:28" s="40" customFormat="1" ht="16.899999999999999" customHeight="1" x14ac:dyDescent="0.25">
      <c r="B16" s="21" t="s">
        <v>0</v>
      </c>
      <c r="C16" s="21" t="s">
        <v>6</v>
      </c>
      <c r="D16" s="15" t="s">
        <v>24</v>
      </c>
      <c r="E16" s="41">
        <v>23</v>
      </c>
      <c r="F16" s="51">
        <f>E16-'Summary-Plant Heights'!E16</f>
        <v>4</v>
      </c>
      <c r="G16" s="41">
        <v>42</v>
      </c>
      <c r="H16" s="56">
        <f>G16-'Summary-Plant Heights'!F16</f>
        <v>11</v>
      </c>
      <c r="I16" s="41">
        <v>69</v>
      </c>
      <c r="J16" s="56">
        <f>I16-'Summary-Plant Heights'!G16</f>
        <v>9</v>
      </c>
      <c r="K16" s="41">
        <v>92</v>
      </c>
      <c r="L16" s="56">
        <f>K16-'Summary-Plant Heights'!H16</f>
        <v>4</v>
      </c>
      <c r="M16" s="41">
        <v>103</v>
      </c>
      <c r="N16" s="56">
        <f>M16-'Summary-Plant Heights'!I16</f>
        <v>5</v>
      </c>
      <c r="O16" s="47"/>
      <c r="P16" s="56"/>
      <c r="Q16" s="47"/>
      <c r="R16" s="51"/>
      <c r="S16" s="41"/>
      <c r="T16" s="56"/>
      <c r="U16" s="41"/>
      <c r="V16" s="56"/>
      <c r="W16" s="41"/>
      <c r="X16" s="56"/>
      <c r="Y16" s="41"/>
      <c r="Z16" s="56"/>
    </row>
    <row r="17" spans="2:26" s="40" customFormat="1" ht="16.899999999999999" customHeight="1" x14ac:dyDescent="0.25">
      <c r="B17" s="20"/>
      <c r="C17" s="20" t="s">
        <v>16</v>
      </c>
      <c r="D17" s="17" t="s">
        <v>38</v>
      </c>
      <c r="E17" s="43">
        <v>25</v>
      </c>
      <c r="F17" s="52">
        <f>E17-'Summary-Plant Heights'!E17</f>
        <v>8</v>
      </c>
      <c r="G17" s="43">
        <v>47</v>
      </c>
      <c r="H17" s="57">
        <f>G17-'Summary-Plant Heights'!F17</f>
        <v>8</v>
      </c>
      <c r="I17" s="43">
        <v>77</v>
      </c>
      <c r="J17" s="57">
        <f>I17-'Summary-Plant Heights'!G17</f>
        <v>7</v>
      </c>
      <c r="K17" s="43">
        <v>103</v>
      </c>
      <c r="L17" s="57">
        <f>K17-'Summary-Plant Heights'!H17</f>
        <v>6</v>
      </c>
      <c r="M17" s="43">
        <v>117</v>
      </c>
      <c r="N17" s="57">
        <f>M17-'Summary-Plant Heights'!I17</f>
        <v>7</v>
      </c>
      <c r="O17" s="48"/>
      <c r="P17" s="57"/>
      <c r="Q17" s="48"/>
      <c r="R17" s="52"/>
      <c r="S17" s="43"/>
      <c r="T17" s="57"/>
      <c r="U17" s="43"/>
      <c r="V17" s="57"/>
      <c r="W17" s="43"/>
      <c r="X17" s="57"/>
      <c r="Y17" s="43"/>
      <c r="Z17" s="57"/>
    </row>
    <row r="18" spans="2:26" s="40" customFormat="1" ht="16.899999999999999" customHeight="1" x14ac:dyDescent="0.25">
      <c r="B18" s="20"/>
      <c r="C18" s="20"/>
      <c r="D18" s="17" t="s">
        <v>25</v>
      </c>
      <c r="E18" s="43">
        <v>23</v>
      </c>
      <c r="F18" s="52">
        <f>E18-'Summary-Plant Heights'!E18</f>
        <v>4</v>
      </c>
      <c r="G18" s="43">
        <v>43</v>
      </c>
      <c r="H18" s="57">
        <f>G18-'Summary-Plant Heights'!F18</f>
        <v>8</v>
      </c>
      <c r="I18" s="43">
        <v>73</v>
      </c>
      <c r="J18" s="57">
        <f>I18-'Summary-Plant Heights'!G18</f>
        <v>5</v>
      </c>
      <c r="K18" s="43">
        <v>107</v>
      </c>
      <c r="L18" s="57">
        <f>K18-'Summary-Plant Heights'!H18</f>
        <v>7</v>
      </c>
      <c r="M18" s="43">
        <v>114</v>
      </c>
      <c r="N18" s="57">
        <f>M18-'Summary-Plant Heights'!I18</f>
        <v>10</v>
      </c>
      <c r="O18" s="48"/>
      <c r="P18" s="57"/>
      <c r="Q18" s="48"/>
      <c r="R18" s="52"/>
      <c r="S18" s="43"/>
      <c r="T18" s="57"/>
      <c r="U18" s="43"/>
      <c r="V18" s="57"/>
      <c r="W18" s="43"/>
      <c r="X18" s="57"/>
      <c r="Y18" s="43"/>
      <c r="Z18" s="57"/>
    </row>
    <row r="19" spans="2:26" s="40" customFormat="1" ht="16.899999999999999" customHeight="1" x14ac:dyDescent="0.25">
      <c r="B19" s="20"/>
      <c r="C19" s="20"/>
      <c r="D19" s="17" t="s">
        <v>26</v>
      </c>
      <c r="E19" s="43">
        <v>25</v>
      </c>
      <c r="F19" s="52">
        <f>E19-'Summary-Plant Heights'!E19</f>
        <v>9</v>
      </c>
      <c r="G19" s="43">
        <v>48</v>
      </c>
      <c r="H19" s="57">
        <f>G19-'Summary-Plant Heights'!F19</f>
        <v>12</v>
      </c>
      <c r="I19" s="43">
        <v>70</v>
      </c>
      <c r="J19" s="57">
        <f>I19-'Summary-Plant Heights'!G19</f>
        <v>5</v>
      </c>
      <c r="K19" s="43">
        <v>99</v>
      </c>
      <c r="L19" s="57">
        <f>K19-'Summary-Plant Heights'!H19</f>
        <v>7</v>
      </c>
      <c r="M19" s="43">
        <v>112</v>
      </c>
      <c r="N19" s="57">
        <f>M19-'Summary-Plant Heights'!I19</f>
        <v>9</v>
      </c>
      <c r="O19" s="48"/>
      <c r="P19" s="57"/>
      <c r="Q19" s="48"/>
      <c r="R19" s="52"/>
      <c r="S19" s="43"/>
      <c r="T19" s="57"/>
      <c r="U19" s="43"/>
      <c r="V19" s="57"/>
      <c r="W19" s="43"/>
      <c r="X19" s="57"/>
      <c r="Y19" s="43"/>
      <c r="Z19" s="57"/>
    </row>
    <row r="20" spans="2:26" s="40" customFormat="1" ht="16.899999999999999" customHeight="1" x14ac:dyDescent="0.25">
      <c r="B20" s="20"/>
      <c r="C20" s="20"/>
      <c r="D20" s="17" t="s">
        <v>27</v>
      </c>
      <c r="E20" s="43">
        <v>22</v>
      </c>
      <c r="F20" s="52">
        <f>E20-'Summary-Plant Heights'!E20</f>
        <v>7</v>
      </c>
      <c r="G20" s="43">
        <v>43</v>
      </c>
      <c r="H20" s="57">
        <f>G20-'Summary-Plant Heights'!F20</f>
        <v>10</v>
      </c>
      <c r="I20" s="43">
        <v>70</v>
      </c>
      <c r="J20" s="57">
        <f>I20-'Summary-Plant Heights'!G20</f>
        <v>5</v>
      </c>
      <c r="K20" s="43">
        <v>97</v>
      </c>
      <c r="L20" s="57">
        <f>K20-'Summary-Plant Heights'!H20</f>
        <v>5</v>
      </c>
      <c r="M20" s="43">
        <v>107</v>
      </c>
      <c r="N20" s="57">
        <f>M20-'Summary-Plant Heights'!I20</f>
        <v>9</v>
      </c>
      <c r="O20" s="48"/>
      <c r="P20" s="57"/>
      <c r="Q20" s="48"/>
      <c r="R20" s="52"/>
      <c r="S20" s="43"/>
      <c r="T20" s="57"/>
      <c r="U20" s="43"/>
      <c r="V20" s="57"/>
      <c r="W20" s="43"/>
      <c r="X20" s="57"/>
      <c r="Y20" s="43"/>
      <c r="Z20" s="57"/>
    </row>
    <row r="21" spans="2:26" s="40" customFormat="1" ht="16.899999999999999" customHeight="1" thickBot="1" x14ac:dyDescent="0.3">
      <c r="B21" s="22"/>
      <c r="C21" s="22"/>
      <c r="D21" s="59" t="s">
        <v>28</v>
      </c>
      <c r="E21" s="45">
        <v>24</v>
      </c>
      <c r="F21" s="53">
        <f>E21-'Summary-Plant Heights'!E21</f>
        <v>8</v>
      </c>
      <c r="G21" s="45">
        <v>46</v>
      </c>
      <c r="H21" s="58">
        <f>G21-'Summary-Plant Heights'!F21</f>
        <v>13</v>
      </c>
      <c r="I21" s="45">
        <v>63</v>
      </c>
      <c r="J21" s="58">
        <f>I21-'Summary-Plant Heights'!G21</f>
        <v>8</v>
      </c>
      <c r="K21" s="45">
        <v>78</v>
      </c>
      <c r="L21" s="58">
        <f>K21-'Summary-Plant Heights'!H21</f>
        <v>7</v>
      </c>
      <c r="M21" s="45">
        <v>80</v>
      </c>
      <c r="N21" s="58">
        <f>M21-'Summary-Plant Heights'!I21</f>
        <v>4</v>
      </c>
      <c r="O21" s="49"/>
      <c r="P21" s="58"/>
      <c r="Q21" s="49"/>
      <c r="R21" s="53"/>
      <c r="S21" s="45"/>
      <c r="T21" s="58"/>
      <c r="U21" s="45"/>
      <c r="V21" s="58"/>
      <c r="W21" s="45"/>
      <c r="X21" s="58"/>
      <c r="Y21" s="45"/>
      <c r="Z21" s="58"/>
    </row>
    <row r="22" spans="2:26" s="40" customFormat="1" ht="16.899999999999999" customHeight="1" x14ac:dyDescent="0.25">
      <c r="B22" s="21" t="s">
        <v>1</v>
      </c>
      <c r="C22" s="21" t="s">
        <v>7</v>
      </c>
      <c r="D22" s="15" t="s">
        <v>24</v>
      </c>
      <c r="E22" s="41">
        <v>25</v>
      </c>
      <c r="F22" s="51">
        <f>E22-'Summary-Plant Heights'!E22</f>
        <v>6</v>
      </c>
      <c r="G22" s="41">
        <v>43</v>
      </c>
      <c r="H22" s="56">
        <f>G22-'Summary-Plant Heights'!F22</f>
        <v>8</v>
      </c>
      <c r="I22" s="41">
        <v>69</v>
      </c>
      <c r="J22" s="56">
        <f>I22-'Summary-Plant Heights'!G22</f>
        <v>10</v>
      </c>
      <c r="K22" s="41">
        <v>103</v>
      </c>
      <c r="L22" s="56">
        <f>K22-'Summary-Plant Heights'!H22</f>
        <v>7</v>
      </c>
      <c r="M22" s="41">
        <v>121</v>
      </c>
      <c r="N22" s="56">
        <f>M22-'Summary-Plant Heights'!I22</f>
        <v>10</v>
      </c>
      <c r="O22" s="47"/>
      <c r="P22" s="56"/>
      <c r="Q22" s="47"/>
      <c r="R22" s="51"/>
      <c r="S22" s="41"/>
      <c r="T22" s="56"/>
      <c r="U22" s="41"/>
      <c r="V22" s="56"/>
      <c r="W22" s="41"/>
      <c r="X22" s="56"/>
      <c r="Y22" s="41"/>
      <c r="Z22" s="56"/>
    </row>
    <row r="23" spans="2:26" s="40" customFormat="1" ht="16.899999999999999" customHeight="1" x14ac:dyDescent="0.25">
      <c r="B23" s="20"/>
      <c r="C23" s="20" t="s">
        <v>17</v>
      </c>
      <c r="D23" s="17" t="s">
        <v>38</v>
      </c>
      <c r="E23" s="43">
        <v>24</v>
      </c>
      <c r="F23" s="52">
        <f>E23-'Summary-Plant Heights'!E23</f>
        <v>7</v>
      </c>
      <c r="G23" s="43">
        <v>41</v>
      </c>
      <c r="H23" s="57">
        <f>G23-'Summary-Plant Heights'!F23</f>
        <v>8</v>
      </c>
      <c r="I23" s="43">
        <v>69</v>
      </c>
      <c r="J23" s="57">
        <f>I23-'Summary-Plant Heights'!G23</f>
        <v>8</v>
      </c>
      <c r="K23" s="43">
        <v>105</v>
      </c>
      <c r="L23" s="57">
        <f>K23-'Summary-Plant Heights'!H23</f>
        <v>6</v>
      </c>
      <c r="M23" s="43">
        <v>121</v>
      </c>
      <c r="N23" s="57">
        <f>M23-'Summary-Plant Heights'!I23</f>
        <v>9</v>
      </c>
      <c r="O23" s="48"/>
      <c r="P23" s="57"/>
      <c r="Q23" s="48"/>
      <c r="R23" s="52"/>
      <c r="S23" s="43"/>
      <c r="T23" s="57"/>
      <c r="U23" s="43"/>
      <c r="V23" s="57"/>
      <c r="W23" s="43"/>
      <c r="X23" s="57"/>
      <c r="Y23" s="43"/>
      <c r="Z23" s="57"/>
    </row>
    <row r="24" spans="2:26" s="40" customFormat="1" ht="16.899999999999999" customHeight="1" x14ac:dyDescent="0.25">
      <c r="B24" s="20"/>
      <c r="C24" s="20"/>
      <c r="D24" s="17" t="s">
        <v>25</v>
      </c>
      <c r="E24" s="43">
        <v>27</v>
      </c>
      <c r="F24" s="52">
        <f>E24-'Summary-Plant Heights'!E24</f>
        <v>5</v>
      </c>
      <c r="G24" s="43">
        <v>54</v>
      </c>
      <c r="H24" s="57">
        <f>G24-'Summary-Plant Heights'!F24</f>
        <v>15</v>
      </c>
      <c r="I24" s="43">
        <v>77</v>
      </c>
      <c r="J24" s="57">
        <f>I24-'Summary-Plant Heights'!G24</f>
        <v>7</v>
      </c>
      <c r="K24" s="43">
        <v>110</v>
      </c>
      <c r="L24" s="57">
        <f>K24-'Summary-Plant Heights'!H24</f>
        <v>7</v>
      </c>
      <c r="M24" s="43">
        <v>124</v>
      </c>
      <c r="N24" s="57">
        <f>M24-'Summary-Plant Heights'!I24</f>
        <v>8</v>
      </c>
      <c r="O24" s="48"/>
      <c r="P24" s="57"/>
      <c r="Q24" s="48"/>
      <c r="R24" s="52"/>
      <c r="S24" s="43"/>
      <c r="T24" s="57"/>
      <c r="U24" s="43"/>
      <c r="V24" s="57"/>
      <c r="W24" s="43"/>
      <c r="X24" s="57"/>
      <c r="Y24" s="43"/>
      <c r="Z24" s="57"/>
    </row>
    <row r="25" spans="2:26" s="40" customFormat="1" ht="16.899999999999999" customHeight="1" x14ac:dyDescent="0.25">
      <c r="B25" s="20"/>
      <c r="C25" s="20"/>
      <c r="D25" s="17" t="s">
        <v>26</v>
      </c>
      <c r="E25" s="43">
        <v>26</v>
      </c>
      <c r="F25" s="52">
        <f>E25-'Summary-Plant Heights'!E25</f>
        <v>6</v>
      </c>
      <c r="G25" s="43">
        <v>45</v>
      </c>
      <c r="H25" s="57">
        <f>G25-'Summary-Plant Heights'!F25</f>
        <v>11</v>
      </c>
      <c r="I25" s="43">
        <v>61</v>
      </c>
      <c r="J25" s="57">
        <f>I25-'Summary-Plant Heights'!G25</f>
        <v>7</v>
      </c>
      <c r="K25" s="43">
        <v>84</v>
      </c>
      <c r="L25" s="57">
        <f>K25-'Summary-Plant Heights'!H25</f>
        <v>5</v>
      </c>
      <c r="M25" s="43">
        <v>110</v>
      </c>
      <c r="N25" s="57">
        <f>M25-'Summary-Plant Heights'!I25</f>
        <v>8</v>
      </c>
      <c r="O25" s="48"/>
      <c r="P25" s="57"/>
      <c r="Q25" s="48"/>
      <c r="R25" s="52"/>
      <c r="S25" s="43"/>
      <c r="T25" s="57"/>
      <c r="U25" s="43"/>
      <c r="V25" s="57"/>
      <c r="W25" s="43"/>
      <c r="X25" s="57"/>
      <c r="Y25" s="43"/>
      <c r="Z25" s="57"/>
    </row>
    <row r="26" spans="2:26" s="40" customFormat="1" ht="16.899999999999999" customHeight="1" x14ac:dyDescent="0.25">
      <c r="B26" s="20"/>
      <c r="C26" s="20"/>
      <c r="D26" s="17" t="s">
        <v>27</v>
      </c>
      <c r="E26" s="43">
        <v>28</v>
      </c>
      <c r="F26" s="52">
        <f>E26-'Summary-Plant Heights'!E26</f>
        <v>7</v>
      </c>
      <c r="G26" s="43">
        <v>43</v>
      </c>
      <c r="H26" s="57">
        <f>G26-'Summary-Plant Heights'!F26</f>
        <v>9</v>
      </c>
      <c r="I26" s="43">
        <v>70</v>
      </c>
      <c r="J26" s="57">
        <f>I26-'Summary-Plant Heights'!G26</f>
        <v>10</v>
      </c>
      <c r="K26" s="43">
        <v>92</v>
      </c>
      <c r="L26" s="57">
        <f>K26-'Summary-Plant Heights'!H26</f>
        <v>6</v>
      </c>
      <c r="M26" s="43">
        <v>101</v>
      </c>
      <c r="N26" s="57">
        <f>M26-'Summary-Plant Heights'!I26</f>
        <v>6</v>
      </c>
      <c r="O26" s="48"/>
      <c r="P26" s="57"/>
      <c r="Q26" s="48"/>
      <c r="R26" s="52"/>
      <c r="S26" s="43"/>
      <c r="T26" s="57"/>
      <c r="U26" s="43"/>
      <c r="V26" s="57"/>
      <c r="W26" s="43"/>
      <c r="X26" s="57"/>
      <c r="Y26" s="43"/>
      <c r="Z26" s="57"/>
    </row>
    <row r="27" spans="2:26" s="40" customFormat="1" ht="16.899999999999999" customHeight="1" thickBot="1" x14ac:dyDescent="0.3">
      <c r="B27" s="22"/>
      <c r="C27" s="22"/>
      <c r="D27" s="59" t="s">
        <v>28</v>
      </c>
      <c r="E27" s="45">
        <v>24</v>
      </c>
      <c r="F27" s="53">
        <f>E27-'Summary-Plant Heights'!E27</f>
        <v>6</v>
      </c>
      <c r="G27" s="45">
        <v>44</v>
      </c>
      <c r="H27" s="58">
        <f>G27-'Summary-Plant Heights'!F27</f>
        <v>11</v>
      </c>
      <c r="I27" s="45">
        <v>66</v>
      </c>
      <c r="J27" s="58">
        <f>I27-'Summary-Plant Heights'!G27</f>
        <v>11</v>
      </c>
      <c r="K27" s="45">
        <v>90</v>
      </c>
      <c r="L27" s="58">
        <f>K27-'Summary-Plant Heights'!H27</f>
        <v>7</v>
      </c>
      <c r="M27" s="45">
        <v>96</v>
      </c>
      <c r="N27" s="58">
        <f>M27-'Summary-Plant Heights'!I27</f>
        <v>8</v>
      </c>
      <c r="O27" s="49"/>
      <c r="P27" s="58"/>
      <c r="Q27" s="49"/>
      <c r="R27" s="53"/>
      <c r="S27" s="45"/>
      <c r="T27" s="58"/>
      <c r="U27" s="45"/>
      <c r="V27" s="58"/>
      <c r="W27" s="45"/>
      <c r="X27" s="58"/>
      <c r="Y27" s="45"/>
      <c r="Z27" s="58"/>
    </row>
    <row r="28" spans="2:26" s="40" customFormat="1" ht="16.899999999999999" customHeight="1" x14ac:dyDescent="0.25">
      <c r="B28" s="26" t="s">
        <v>1</v>
      </c>
      <c r="C28" s="26" t="s">
        <v>8</v>
      </c>
      <c r="D28" s="60" t="s">
        <v>24</v>
      </c>
      <c r="E28" s="41">
        <v>28</v>
      </c>
      <c r="F28" s="51">
        <f>E28-'Summary-Plant Heights'!E28</f>
        <v>7</v>
      </c>
      <c r="G28" s="41">
        <v>55</v>
      </c>
      <c r="H28" s="56">
        <f>G28-'Summary-Plant Heights'!F28</f>
        <v>13</v>
      </c>
      <c r="I28" s="41">
        <v>81</v>
      </c>
      <c r="J28" s="56">
        <f>I28-'Summary-Plant Heights'!G28</f>
        <v>8</v>
      </c>
      <c r="K28" s="41">
        <v>104</v>
      </c>
      <c r="L28" s="56">
        <f>K28-'Summary-Plant Heights'!H28</f>
        <v>7</v>
      </c>
      <c r="M28" s="41">
        <v>121</v>
      </c>
      <c r="N28" s="56">
        <f>M28-'Summary-Plant Heights'!I28</f>
        <v>7</v>
      </c>
      <c r="O28" s="47"/>
      <c r="P28" s="56"/>
      <c r="Q28" s="47"/>
      <c r="R28" s="51"/>
      <c r="S28" s="41"/>
      <c r="T28" s="56"/>
      <c r="U28" s="41"/>
      <c r="V28" s="56"/>
      <c r="W28" s="41"/>
      <c r="X28" s="56"/>
      <c r="Y28" s="41"/>
      <c r="Z28" s="56"/>
    </row>
    <row r="29" spans="2:26" s="40" customFormat="1" ht="16.899999999999999" customHeight="1" x14ac:dyDescent="0.25">
      <c r="B29" s="28"/>
      <c r="C29" s="28" t="s">
        <v>18</v>
      </c>
      <c r="D29" s="61" t="s">
        <v>38</v>
      </c>
      <c r="E29" s="43">
        <v>25</v>
      </c>
      <c r="F29" s="52">
        <f>E29-'Summary-Plant Heights'!E29</f>
        <v>5</v>
      </c>
      <c r="G29" s="43">
        <v>50</v>
      </c>
      <c r="H29" s="57">
        <f>G29-'Summary-Plant Heights'!F29</f>
        <v>9</v>
      </c>
      <c r="I29" s="43">
        <v>81</v>
      </c>
      <c r="J29" s="57">
        <f>I29-'Summary-Plant Heights'!G29</f>
        <v>5</v>
      </c>
      <c r="K29" s="43">
        <v>103</v>
      </c>
      <c r="L29" s="57">
        <f>K29-'Summary-Plant Heights'!H29</f>
        <v>4</v>
      </c>
      <c r="M29" s="43">
        <v>118</v>
      </c>
      <c r="N29" s="57">
        <f>M29-'Summary-Plant Heights'!I29</f>
        <v>9</v>
      </c>
      <c r="O29" s="48"/>
      <c r="P29" s="57"/>
      <c r="Q29" s="48"/>
      <c r="R29" s="52"/>
      <c r="S29" s="43"/>
      <c r="T29" s="57"/>
      <c r="U29" s="43"/>
      <c r="V29" s="57"/>
      <c r="W29" s="43"/>
      <c r="X29" s="57"/>
      <c r="Y29" s="43"/>
      <c r="Z29" s="57"/>
    </row>
    <row r="30" spans="2:26" s="40" customFormat="1" ht="16.899999999999999" customHeight="1" x14ac:dyDescent="0.25">
      <c r="B30" s="28"/>
      <c r="C30" s="28"/>
      <c r="D30" s="61" t="s">
        <v>25</v>
      </c>
      <c r="E30" s="43">
        <v>27</v>
      </c>
      <c r="F30" s="52">
        <f>E30-'Summary-Plant Heights'!E30</f>
        <v>6</v>
      </c>
      <c r="G30" s="43">
        <v>53</v>
      </c>
      <c r="H30" s="57">
        <f>G30-'Summary-Plant Heights'!F30</f>
        <v>12</v>
      </c>
      <c r="I30" s="43">
        <v>82</v>
      </c>
      <c r="J30" s="57">
        <f>I30-'Summary-Plant Heights'!G30</f>
        <v>4</v>
      </c>
      <c r="K30" s="43">
        <v>110</v>
      </c>
      <c r="L30" s="57">
        <f>K30-'Summary-Plant Heights'!H30</f>
        <v>5</v>
      </c>
      <c r="M30" s="43">
        <v>117</v>
      </c>
      <c r="N30" s="57">
        <f>M30-'Summary-Plant Heights'!I30</f>
        <v>8</v>
      </c>
      <c r="O30" s="48"/>
      <c r="P30" s="57"/>
      <c r="Q30" s="48"/>
      <c r="R30" s="52"/>
      <c r="S30" s="43"/>
      <c r="T30" s="57"/>
      <c r="U30" s="43"/>
      <c r="V30" s="57"/>
      <c r="W30" s="43"/>
      <c r="X30" s="57"/>
      <c r="Y30" s="43"/>
      <c r="Z30" s="57"/>
    </row>
    <row r="31" spans="2:26" s="40" customFormat="1" ht="16.899999999999999" customHeight="1" x14ac:dyDescent="0.25">
      <c r="B31" s="28"/>
      <c r="C31" s="28"/>
      <c r="D31" s="61" t="s">
        <v>26</v>
      </c>
      <c r="E31" s="43">
        <v>27</v>
      </c>
      <c r="F31" s="52">
        <f>E31-'Summary-Plant Heights'!E31</f>
        <v>6</v>
      </c>
      <c r="G31" s="43">
        <v>52</v>
      </c>
      <c r="H31" s="57">
        <f>G31-'Summary-Plant Heights'!F31</f>
        <v>10</v>
      </c>
      <c r="I31" s="43">
        <v>74</v>
      </c>
      <c r="J31" s="57">
        <f>I31-'Summary-Plant Heights'!G31</f>
        <v>7</v>
      </c>
      <c r="K31" s="43">
        <v>92</v>
      </c>
      <c r="L31" s="57">
        <f>K31-'Summary-Plant Heights'!H31</f>
        <v>6</v>
      </c>
      <c r="M31" s="43">
        <v>106</v>
      </c>
      <c r="N31" s="57">
        <f>M31-'Summary-Plant Heights'!I31</f>
        <v>11</v>
      </c>
      <c r="O31" s="48"/>
      <c r="P31" s="57"/>
      <c r="Q31" s="48"/>
      <c r="R31" s="52"/>
      <c r="S31" s="43"/>
      <c r="T31" s="57"/>
      <c r="U31" s="43"/>
      <c r="V31" s="57"/>
      <c r="W31" s="43"/>
      <c r="X31" s="57"/>
      <c r="Y31" s="43"/>
      <c r="Z31" s="57"/>
    </row>
    <row r="32" spans="2:26" s="40" customFormat="1" ht="16.899999999999999" customHeight="1" x14ac:dyDescent="0.25">
      <c r="B32" s="28"/>
      <c r="C32" s="28"/>
      <c r="D32" s="61" t="s">
        <v>27</v>
      </c>
      <c r="E32" s="43">
        <v>23</v>
      </c>
      <c r="F32" s="52">
        <f>E32-'Summary-Plant Heights'!E32</f>
        <v>4</v>
      </c>
      <c r="G32" s="43">
        <v>38</v>
      </c>
      <c r="H32" s="57">
        <f>G32-'Summary-Plant Heights'!F32</f>
        <v>9</v>
      </c>
      <c r="I32" s="43">
        <v>64</v>
      </c>
      <c r="J32" s="57">
        <f>I32-'Summary-Plant Heights'!G32</f>
        <v>6</v>
      </c>
      <c r="K32" s="43">
        <v>88</v>
      </c>
      <c r="L32" s="57">
        <f>K32-'Summary-Plant Heights'!H32</f>
        <v>6</v>
      </c>
      <c r="M32" s="43">
        <v>97</v>
      </c>
      <c r="N32" s="57">
        <f>M32-'Summary-Plant Heights'!I32</f>
        <v>7</v>
      </c>
      <c r="O32" s="48"/>
      <c r="P32" s="57"/>
      <c r="Q32" s="48"/>
      <c r="R32" s="52"/>
      <c r="S32" s="43"/>
      <c r="T32" s="57"/>
      <c r="U32" s="43"/>
      <c r="V32" s="57"/>
      <c r="W32" s="43"/>
      <c r="X32" s="57"/>
      <c r="Y32" s="43"/>
      <c r="Z32" s="57"/>
    </row>
    <row r="33" spans="2:26" s="40" customFormat="1" ht="16.899999999999999" customHeight="1" thickBot="1" x14ac:dyDescent="0.3">
      <c r="B33" s="30"/>
      <c r="C33" s="30"/>
      <c r="D33" s="62" t="s">
        <v>28</v>
      </c>
      <c r="E33" s="45">
        <v>22</v>
      </c>
      <c r="F33" s="53">
        <f>E33-'Summary-Plant Heights'!E33</f>
        <v>3</v>
      </c>
      <c r="G33" s="45">
        <v>40</v>
      </c>
      <c r="H33" s="58">
        <f>G33-'Summary-Plant Heights'!F33</f>
        <v>8</v>
      </c>
      <c r="I33" s="45">
        <v>60</v>
      </c>
      <c r="J33" s="58">
        <f>I33-'Summary-Plant Heights'!G33</f>
        <v>9</v>
      </c>
      <c r="K33" s="45">
        <v>82</v>
      </c>
      <c r="L33" s="58">
        <f>K33-'Summary-Plant Heights'!H33</f>
        <v>8</v>
      </c>
      <c r="M33" s="45">
        <v>82</v>
      </c>
      <c r="N33" s="58">
        <f>M33-'Summary-Plant Heights'!I33</f>
        <v>10</v>
      </c>
      <c r="O33" s="49"/>
      <c r="P33" s="58"/>
      <c r="Q33" s="49"/>
      <c r="R33" s="53"/>
      <c r="S33" s="45"/>
      <c r="T33" s="58"/>
      <c r="U33" s="45"/>
      <c r="V33" s="58"/>
      <c r="W33" s="45"/>
      <c r="X33" s="58"/>
      <c r="Y33" s="45"/>
      <c r="Z33" s="58"/>
    </row>
    <row r="34" spans="2:26" s="40" customFormat="1" ht="16.899999999999999" customHeight="1" x14ac:dyDescent="0.25">
      <c r="B34" s="26" t="s">
        <v>2</v>
      </c>
      <c r="C34" s="26" t="s">
        <v>9</v>
      </c>
      <c r="D34" s="60" t="s">
        <v>24</v>
      </c>
      <c r="E34" s="41">
        <v>28</v>
      </c>
      <c r="F34" s="51">
        <f>E34-'Summary-Plant Heights'!E34</f>
        <v>7</v>
      </c>
      <c r="G34" s="41">
        <v>44</v>
      </c>
      <c r="H34" s="56">
        <f>G34-'Summary-Plant Heights'!F34</f>
        <v>8</v>
      </c>
      <c r="I34" s="41">
        <v>68</v>
      </c>
      <c r="J34" s="56">
        <f>I34-'Summary-Plant Heights'!G34</f>
        <v>6</v>
      </c>
      <c r="K34" s="41">
        <v>102</v>
      </c>
      <c r="L34" s="56">
        <f>K34-'Summary-Plant Heights'!H34</f>
        <v>5</v>
      </c>
      <c r="M34" s="41">
        <v>97</v>
      </c>
      <c r="N34" s="56">
        <f>M34-'Summary-Plant Heights'!I34</f>
        <v>7</v>
      </c>
      <c r="O34" s="47"/>
      <c r="P34" s="56"/>
      <c r="Q34" s="47"/>
      <c r="R34" s="51"/>
      <c r="S34" s="41"/>
      <c r="T34" s="56"/>
      <c r="U34" s="41"/>
      <c r="V34" s="56"/>
      <c r="W34" s="41"/>
      <c r="X34" s="56"/>
      <c r="Y34" s="41"/>
      <c r="Z34" s="56"/>
    </row>
    <row r="35" spans="2:26" s="40" customFormat="1" ht="16.899999999999999" customHeight="1" x14ac:dyDescent="0.25">
      <c r="B35" s="28"/>
      <c r="C35" s="28" t="s">
        <v>19</v>
      </c>
      <c r="D35" s="61" t="s">
        <v>38</v>
      </c>
      <c r="E35" s="43">
        <v>29</v>
      </c>
      <c r="F35" s="52">
        <f>E35-'Summary-Plant Heights'!E35</f>
        <v>8</v>
      </c>
      <c r="G35" s="43">
        <v>49</v>
      </c>
      <c r="H35" s="57">
        <f>G35-'Summary-Plant Heights'!F35</f>
        <v>9</v>
      </c>
      <c r="I35" s="43">
        <v>79</v>
      </c>
      <c r="J35" s="57">
        <f>I35-'Summary-Plant Heights'!G35</f>
        <v>7</v>
      </c>
      <c r="K35" s="43">
        <v>110</v>
      </c>
      <c r="L35" s="57">
        <f>K35-'Summary-Plant Heights'!H35</f>
        <v>7</v>
      </c>
      <c r="M35" s="43">
        <v>118</v>
      </c>
      <c r="N35" s="57">
        <f>M35-'Summary-Plant Heights'!I35</f>
        <v>8</v>
      </c>
      <c r="O35" s="48"/>
      <c r="P35" s="57"/>
      <c r="Q35" s="48"/>
      <c r="R35" s="52"/>
      <c r="S35" s="43"/>
      <c r="T35" s="57"/>
      <c r="U35" s="43"/>
      <c r="V35" s="57"/>
      <c r="W35" s="43"/>
      <c r="X35" s="57"/>
      <c r="Y35" s="43"/>
      <c r="Z35" s="57"/>
    </row>
    <row r="36" spans="2:26" s="40" customFormat="1" ht="16.899999999999999" customHeight="1" x14ac:dyDescent="0.25">
      <c r="B36" s="28"/>
      <c r="C36" s="28"/>
      <c r="D36" s="61" t="s">
        <v>25</v>
      </c>
      <c r="E36" s="43">
        <v>29</v>
      </c>
      <c r="F36" s="52">
        <f>E36-'Summary-Plant Heights'!E36</f>
        <v>5</v>
      </c>
      <c r="G36" s="43">
        <v>48</v>
      </c>
      <c r="H36" s="57">
        <f>G36-'Summary-Plant Heights'!F36</f>
        <v>8</v>
      </c>
      <c r="I36" s="43">
        <v>80</v>
      </c>
      <c r="J36" s="57">
        <f>I36-'Summary-Plant Heights'!G36</f>
        <v>5</v>
      </c>
      <c r="K36" s="43">
        <v>112</v>
      </c>
      <c r="L36" s="57">
        <f>K36-'Summary-Plant Heights'!H36</f>
        <v>4</v>
      </c>
      <c r="M36" s="43">
        <v>129</v>
      </c>
      <c r="N36" s="57">
        <f>M36-'Summary-Plant Heights'!I36</f>
        <v>8</v>
      </c>
      <c r="O36" s="48"/>
      <c r="P36" s="57"/>
      <c r="Q36" s="48"/>
      <c r="R36" s="52"/>
      <c r="S36" s="43"/>
      <c r="T36" s="57"/>
      <c r="U36" s="43"/>
      <c r="V36" s="57"/>
      <c r="W36" s="43"/>
      <c r="X36" s="57"/>
      <c r="Y36" s="43"/>
      <c r="Z36" s="57"/>
    </row>
    <row r="37" spans="2:26" s="40" customFormat="1" ht="16.899999999999999" customHeight="1" x14ac:dyDescent="0.25">
      <c r="B37" s="28"/>
      <c r="C37" s="28"/>
      <c r="D37" s="61" t="s">
        <v>26</v>
      </c>
      <c r="E37" s="43">
        <v>28</v>
      </c>
      <c r="F37" s="52">
        <f>E37-'Summary-Plant Heights'!E37</f>
        <v>6</v>
      </c>
      <c r="G37" s="43">
        <v>43</v>
      </c>
      <c r="H37" s="57">
        <f>G37-'Summary-Plant Heights'!F37</f>
        <v>4</v>
      </c>
      <c r="I37" s="43">
        <v>77</v>
      </c>
      <c r="J37" s="57">
        <f>I37-'Summary-Plant Heights'!G37</f>
        <v>7</v>
      </c>
      <c r="K37" s="43">
        <v>107</v>
      </c>
      <c r="L37" s="57">
        <f>K37-'Summary-Plant Heights'!H37</f>
        <v>7</v>
      </c>
      <c r="M37" s="43">
        <v>117</v>
      </c>
      <c r="N37" s="57">
        <f>M37-'Summary-Plant Heights'!I37</f>
        <v>8</v>
      </c>
      <c r="O37" s="48"/>
      <c r="P37" s="57"/>
      <c r="Q37" s="48"/>
      <c r="R37" s="52"/>
      <c r="S37" s="43"/>
      <c r="T37" s="57"/>
      <c r="U37" s="43"/>
      <c r="V37" s="57"/>
      <c r="W37" s="43"/>
      <c r="X37" s="57"/>
      <c r="Y37" s="43"/>
      <c r="Z37" s="57"/>
    </row>
    <row r="38" spans="2:26" s="40" customFormat="1" ht="16.899999999999999" customHeight="1" x14ac:dyDescent="0.25">
      <c r="B38" s="28"/>
      <c r="C38" s="28"/>
      <c r="D38" s="61" t="s">
        <v>27</v>
      </c>
      <c r="E38" s="43">
        <v>28</v>
      </c>
      <c r="F38" s="52">
        <f>E38-'Summary-Plant Heights'!E38</f>
        <v>6</v>
      </c>
      <c r="G38" s="43">
        <v>45</v>
      </c>
      <c r="H38" s="57">
        <f>G38-'Summary-Plant Heights'!F38</f>
        <v>5</v>
      </c>
      <c r="I38" s="43">
        <v>74</v>
      </c>
      <c r="J38" s="57">
        <f>I38-'Summary-Plant Heights'!G38</f>
        <v>4</v>
      </c>
      <c r="K38" s="43">
        <v>101</v>
      </c>
      <c r="L38" s="57">
        <f>K38-'Summary-Plant Heights'!H38</f>
        <v>4</v>
      </c>
      <c r="M38" s="43">
        <v>116</v>
      </c>
      <c r="N38" s="57">
        <f>M38-'Summary-Plant Heights'!I38</f>
        <v>9</v>
      </c>
      <c r="O38" s="48"/>
      <c r="P38" s="57"/>
      <c r="Q38" s="48"/>
      <c r="R38" s="52"/>
      <c r="S38" s="43"/>
      <c r="T38" s="57"/>
      <c r="U38" s="43"/>
      <c r="V38" s="57"/>
      <c r="W38" s="43"/>
      <c r="X38" s="57"/>
      <c r="Y38" s="43"/>
      <c r="Z38" s="57"/>
    </row>
    <row r="39" spans="2:26" s="40" customFormat="1" ht="16.899999999999999" customHeight="1" thickBot="1" x14ac:dyDescent="0.3">
      <c r="B39" s="30"/>
      <c r="C39" s="30"/>
      <c r="D39" s="62" t="s">
        <v>28</v>
      </c>
      <c r="E39" s="45">
        <v>26</v>
      </c>
      <c r="F39" s="53">
        <f>E39-'Summary-Plant Heights'!E39</f>
        <v>6</v>
      </c>
      <c r="G39" s="45">
        <v>39</v>
      </c>
      <c r="H39" s="58">
        <f>G39-'Summary-Plant Heights'!F39</f>
        <v>5</v>
      </c>
      <c r="I39" s="45">
        <v>66</v>
      </c>
      <c r="J39" s="58">
        <f>I39-'Summary-Plant Heights'!G39</f>
        <v>5</v>
      </c>
      <c r="K39" s="45">
        <v>83</v>
      </c>
      <c r="L39" s="58">
        <f>K39-'Summary-Plant Heights'!H39</f>
        <v>5</v>
      </c>
      <c r="M39" s="45">
        <v>84</v>
      </c>
      <c r="N39" s="58">
        <f>M39-'Summary-Plant Heights'!I39</f>
        <v>8</v>
      </c>
      <c r="O39" s="49"/>
      <c r="P39" s="58"/>
      <c r="Q39" s="49"/>
      <c r="R39" s="53"/>
      <c r="S39" s="45"/>
      <c r="T39" s="58"/>
      <c r="U39" s="45"/>
      <c r="V39" s="58"/>
      <c r="W39" s="45"/>
      <c r="X39" s="58"/>
      <c r="Y39" s="45"/>
      <c r="Z39" s="58"/>
    </row>
    <row r="40" spans="2:26" s="40" customFormat="1" ht="16.899999999999999" customHeight="1" x14ac:dyDescent="0.25">
      <c r="B40" s="21" t="s">
        <v>2</v>
      </c>
      <c r="C40" s="21" t="s">
        <v>10</v>
      </c>
      <c r="D40" s="15" t="s">
        <v>24</v>
      </c>
      <c r="E40" s="41">
        <v>24</v>
      </c>
      <c r="F40" s="51">
        <f>E40-'Summary-Plant Heights'!E40</f>
        <v>8</v>
      </c>
      <c r="G40" s="41">
        <v>42</v>
      </c>
      <c r="H40" s="56">
        <f>G40-'Summary-Plant Heights'!F40</f>
        <v>12</v>
      </c>
      <c r="I40" s="41">
        <v>56</v>
      </c>
      <c r="J40" s="56">
        <f>I40-'Summary-Plant Heights'!G40</f>
        <v>10</v>
      </c>
      <c r="K40" s="41">
        <v>76</v>
      </c>
      <c r="L40" s="56">
        <f>K40-'Summary-Plant Heights'!H40</f>
        <v>8</v>
      </c>
      <c r="M40" s="41">
        <v>71</v>
      </c>
      <c r="N40" s="56">
        <f>M40-'Summary-Plant Heights'!I40</f>
        <v>7</v>
      </c>
      <c r="O40" s="47"/>
      <c r="P40" s="56"/>
      <c r="Q40" s="47"/>
      <c r="R40" s="51"/>
      <c r="S40" s="41"/>
      <c r="T40" s="56"/>
      <c r="U40" s="41"/>
      <c r="V40" s="56"/>
      <c r="W40" s="41"/>
      <c r="X40" s="56"/>
      <c r="Y40" s="41"/>
      <c r="Z40" s="56"/>
    </row>
    <row r="41" spans="2:26" s="40" customFormat="1" ht="16.899999999999999" customHeight="1" x14ac:dyDescent="0.25">
      <c r="B41" s="20"/>
      <c r="C41" s="20" t="s">
        <v>15</v>
      </c>
      <c r="D41" s="17" t="s">
        <v>38</v>
      </c>
      <c r="E41" s="43">
        <v>28</v>
      </c>
      <c r="F41" s="52">
        <f>E41-'Summary-Plant Heights'!E41</f>
        <v>7</v>
      </c>
      <c r="G41" s="43">
        <v>41</v>
      </c>
      <c r="H41" s="57">
        <f>G41-'Summary-Plant Heights'!F41</f>
        <v>8</v>
      </c>
      <c r="I41" s="43">
        <v>63</v>
      </c>
      <c r="J41" s="57">
        <f>I41-'Summary-Plant Heights'!G41</f>
        <v>8</v>
      </c>
      <c r="K41" s="43">
        <v>83</v>
      </c>
      <c r="L41" s="57">
        <f>K41-'Summary-Plant Heights'!H41</f>
        <v>7</v>
      </c>
      <c r="M41" s="43">
        <v>91</v>
      </c>
      <c r="N41" s="57">
        <f>M41-'Summary-Plant Heights'!I41</f>
        <v>9</v>
      </c>
      <c r="O41" s="48"/>
      <c r="P41" s="57"/>
      <c r="Q41" s="48"/>
      <c r="R41" s="52"/>
      <c r="S41" s="43"/>
      <c r="T41" s="57"/>
      <c r="U41" s="43"/>
      <c r="V41" s="57"/>
      <c r="W41" s="43"/>
      <c r="X41" s="57"/>
      <c r="Y41" s="43"/>
      <c r="Z41" s="57"/>
    </row>
    <row r="42" spans="2:26" s="40" customFormat="1" ht="16.899999999999999" customHeight="1" x14ac:dyDescent="0.25">
      <c r="B42" s="20"/>
      <c r="C42" s="20"/>
      <c r="D42" s="17" t="s">
        <v>25</v>
      </c>
      <c r="E42" s="43">
        <v>28</v>
      </c>
      <c r="F42" s="52">
        <f>E42-'Summary-Plant Heights'!E42</f>
        <v>6</v>
      </c>
      <c r="G42" s="43">
        <v>47</v>
      </c>
      <c r="H42" s="57">
        <f>G42-'Summary-Plant Heights'!F42</f>
        <v>12</v>
      </c>
      <c r="I42" s="43">
        <v>64</v>
      </c>
      <c r="J42" s="57">
        <f>I42-'Summary-Plant Heights'!G42</f>
        <v>11</v>
      </c>
      <c r="K42" s="43">
        <v>74</v>
      </c>
      <c r="L42" s="57">
        <f>K42-'Summary-Plant Heights'!H42</f>
        <v>6</v>
      </c>
      <c r="M42" s="43">
        <v>86</v>
      </c>
      <c r="N42" s="57">
        <f>M42-'Summary-Plant Heights'!I42</f>
        <v>8</v>
      </c>
      <c r="O42" s="48"/>
      <c r="P42" s="57"/>
      <c r="Q42" s="48"/>
      <c r="R42" s="52"/>
      <c r="S42" s="43"/>
      <c r="T42" s="57"/>
      <c r="U42" s="43"/>
      <c r="V42" s="57"/>
      <c r="W42" s="43"/>
      <c r="X42" s="57"/>
      <c r="Y42" s="43"/>
      <c r="Z42" s="57"/>
    </row>
    <row r="43" spans="2:26" s="40" customFormat="1" ht="16.899999999999999" customHeight="1" x14ac:dyDescent="0.25">
      <c r="B43" s="20"/>
      <c r="C43" s="20"/>
      <c r="D43" s="17" t="s">
        <v>26</v>
      </c>
      <c r="E43" s="43">
        <v>29</v>
      </c>
      <c r="F43" s="52">
        <f>E43-'Summary-Plant Heights'!E43</f>
        <v>7</v>
      </c>
      <c r="G43" s="43">
        <v>46</v>
      </c>
      <c r="H43" s="57">
        <f>G43-'Summary-Plant Heights'!F43</f>
        <v>11</v>
      </c>
      <c r="I43" s="43">
        <v>62</v>
      </c>
      <c r="J43" s="57">
        <f>I43-'Summary-Plant Heights'!G43</f>
        <v>10</v>
      </c>
      <c r="K43" s="43">
        <v>72</v>
      </c>
      <c r="L43" s="57">
        <f>K43-'Summary-Plant Heights'!H43</f>
        <v>5</v>
      </c>
      <c r="M43" s="43">
        <v>77</v>
      </c>
      <c r="N43" s="57">
        <f>M43-'Summary-Plant Heights'!I43</f>
        <v>7</v>
      </c>
      <c r="O43" s="48"/>
      <c r="P43" s="57"/>
      <c r="Q43" s="48"/>
      <c r="R43" s="52"/>
      <c r="S43" s="43"/>
      <c r="T43" s="57"/>
      <c r="U43" s="43"/>
      <c r="V43" s="57"/>
      <c r="W43" s="43"/>
      <c r="X43" s="57"/>
      <c r="Y43" s="43"/>
      <c r="Z43" s="57"/>
    </row>
    <row r="44" spans="2:26" s="40" customFormat="1" ht="16.899999999999999" customHeight="1" x14ac:dyDescent="0.25">
      <c r="B44" s="20"/>
      <c r="C44" s="20"/>
      <c r="D44" s="17" t="s">
        <v>27</v>
      </c>
      <c r="E44" s="43">
        <v>26</v>
      </c>
      <c r="F44" s="52">
        <f>E44-'Summary-Plant Heights'!E44</f>
        <v>10</v>
      </c>
      <c r="G44" s="43">
        <v>48</v>
      </c>
      <c r="H44" s="57">
        <f>G44-'Summary-Plant Heights'!F44</f>
        <v>9</v>
      </c>
      <c r="I44" s="43">
        <v>61</v>
      </c>
      <c r="J44" s="57">
        <f>I44-'Summary-Plant Heights'!G44</f>
        <v>9</v>
      </c>
      <c r="K44" s="43">
        <v>71</v>
      </c>
      <c r="L44" s="57">
        <f>K44-'Summary-Plant Heights'!H44</f>
        <v>5</v>
      </c>
      <c r="M44" s="43">
        <v>70</v>
      </c>
      <c r="N44" s="57">
        <f>M44-'Summary-Plant Heights'!I44</f>
        <v>9</v>
      </c>
      <c r="O44" s="48"/>
      <c r="P44" s="57"/>
      <c r="Q44" s="48"/>
      <c r="R44" s="52"/>
      <c r="S44" s="43"/>
      <c r="T44" s="57"/>
      <c r="U44" s="43"/>
      <c r="V44" s="57"/>
      <c r="W44" s="43"/>
      <c r="X44" s="57"/>
      <c r="Y44" s="43"/>
      <c r="Z44" s="57"/>
    </row>
    <row r="45" spans="2:26" s="40" customFormat="1" ht="16.899999999999999" customHeight="1" thickBot="1" x14ac:dyDescent="0.3">
      <c r="B45" s="22"/>
      <c r="C45" s="22"/>
      <c r="D45" s="59" t="s">
        <v>28</v>
      </c>
      <c r="E45" s="45">
        <v>26</v>
      </c>
      <c r="F45" s="53">
        <f>E45-'Summary-Plant Heights'!E45</f>
        <v>5</v>
      </c>
      <c r="G45" s="45">
        <v>38</v>
      </c>
      <c r="H45" s="58">
        <f>G45-'Summary-Plant Heights'!F45</f>
        <v>8</v>
      </c>
      <c r="I45" s="45">
        <v>59</v>
      </c>
      <c r="J45" s="58">
        <f>I45-'Summary-Plant Heights'!G45</f>
        <v>8</v>
      </c>
      <c r="K45" s="45">
        <v>69</v>
      </c>
      <c r="L45" s="58">
        <f>K45-'Summary-Plant Heights'!H45</f>
        <v>4</v>
      </c>
      <c r="M45" s="45">
        <v>76</v>
      </c>
      <c r="N45" s="58">
        <f>M45-'Summary-Plant Heights'!I45</f>
        <v>8</v>
      </c>
      <c r="O45" s="49"/>
      <c r="P45" s="58"/>
      <c r="Q45" s="49"/>
      <c r="R45" s="53"/>
      <c r="S45" s="45"/>
      <c r="T45" s="58"/>
      <c r="U45" s="45"/>
      <c r="V45" s="58"/>
      <c r="W45" s="45"/>
      <c r="X45" s="58"/>
      <c r="Y45" s="45"/>
      <c r="Z45" s="58"/>
    </row>
    <row r="46" spans="2:26" s="40" customFormat="1" ht="16.899999999999999" customHeight="1" x14ac:dyDescent="0.25">
      <c r="B46" s="21" t="s">
        <v>3</v>
      </c>
      <c r="C46" s="21" t="s">
        <v>11</v>
      </c>
      <c r="D46" s="15" t="s">
        <v>24</v>
      </c>
      <c r="E46" s="41">
        <v>27</v>
      </c>
      <c r="F46" s="51">
        <f>E46-'Summary-Plant Heights'!E46</f>
        <v>7</v>
      </c>
      <c r="G46" s="41">
        <v>42</v>
      </c>
      <c r="H46" s="56">
        <f>G46-'Summary-Plant Heights'!F46</f>
        <v>12</v>
      </c>
      <c r="I46" s="41">
        <v>64</v>
      </c>
      <c r="J46" s="56">
        <f>I46-'Summary-Plant Heights'!G46</f>
        <v>10</v>
      </c>
      <c r="K46" s="41">
        <v>96</v>
      </c>
      <c r="L46" s="56">
        <f>K46-'Summary-Plant Heights'!H46</f>
        <v>6</v>
      </c>
      <c r="M46" s="41">
        <v>121</v>
      </c>
      <c r="N46" s="56">
        <f>M46-'Summary-Plant Heights'!I46</f>
        <v>9</v>
      </c>
      <c r="O46" s="47"/>
      <c r="P46" s="56"/>
      <c r="Q46" s="47"/>
      <c r="R46" s="51"/>
      <c r="S46" s="41"/>
      <c r="T46" s="56"/>
      <c r="U46" s="41"/>
      <c r="V46" s="56"/>
      <c r="W46" s="41"/>
      <c r="X46" s="56"/>
      <c r="Y46" s="41"/>
      <c r="Z46" s="56"/>
    </row>
    <row r="47" spans="2:26" s="40" customFormat="1" ht="16.899999999999999" customHeight="1" x14ac:dyDescent="0.25">
      <c r="B47" s="20"/>
      <c r="C47" s="20" t="s">
        <v>17</v>
      </c>
      <c r="D47" s="17" t="s">
        <v>38</v>
      </c>
      <c r="E47" s="43">
        <v>26</v>
      </c>
      <c r="F47" s="52">
        <f>E47-'Summary-Plant Heights'!E47</f>
        <v>6</v>
      </c>
      <c r="G47" s="43">
        <v>39</v>
      </c>
      <c r="H47" s="57">
        <f>G47-'Summary-Plant Heights'!F47</f>
        <v>7</v>
      </c>
      <c r="I47" s="43">
        <v>70</v>
      </c>
      <c r="J47" s="57">
        <f>I47-'Summary-Plant Heights'!G47</f>
        <v>5</v>
      </c>
      <c r="K47" s="43">
        <v>95</v>
      </c>
      <c r="L47" s="57">
        <f>K47-'Summary-Plant Heights'!H47</f>
        <v>5</v>
      </c>
      <c r="M47" s="43">
        <v>117</v>
      </c>
      <c r="N47" s="57">
        <f>M47-'Summary-Plant Heights'!I47</f>
        <v>7</v>
      </c>
      <c r="O47" s="48"/>
      <c r="P47" s="57"/>
      <c r="Q47" s="48"/>
      <c r="R47" s="52"/>
      <c r="S47" s="43"/>
      <c r="T47" s="57"/>
      <c r="U47" s="43"/>
      <c r="V47" s="57"/>
      <c r="W47" s="43"/>
      <c r="X47" s="57"/>
      <c r="Y47" s="43"/>
      <c r="Z47" s="57"/>
    </row>
    <row r="48" spans="2:26" s="40" customFormat="1" ht="16.899999999999999" customHeight="1" x14ac:dyDescent="0.25">
      <c r="B48" s="20"/>
      <c r="C48" s="20"/>
      <c r="D48" s="17" t="s">
        <v>25</v>
      </c>
      <c r="E48" s="43">
        <v>27</v>
      </c>
      <c r="F48" s="52">
        <f>E48-'Summary-Plant Heights'!E48</f>
        <v>9</v>
      </c>
      <c r="G48" s="43">
        <v>38</v>
      </c>
      <c r="H48" s="57">
        <f>G48-'Summary-Plant Heights'!F48</f>
        <v>8</v>
      </c>
      <c r="I48" s="43">
        <v>63</v>
      </c>
      <c r="J48" s="57">
        <f>I48-'Summary-Plant Heights'!G48</f>
        <v>8</v>
      </c>
      <c r="K48" s="43">
        <v>94</v>
      </c>
      <c r="L48" s="57">
        <f>K48-'Summary-Plant Heights'!H48</f>
        <v>9</v>
      </c>
      <c r="M48" s="43">
        <v>107</v>
      </c>
      <c r="N48" s="57">
        <f>M48-'Summary-Plant Heights'!I48</f>
        <v>7</v>
      </c>
      <c r="O48" s="48"/>
      <c r="P48" s="57"/>
      <c r="Q48" s="48"/>
      <c r="R48" s="52"/>
      <c r="S48" s="43"/>
      <c r="T48" s="57"/>
      <c r="U48" s="43"/>
      <c r="V48" s="57"/>
      <c r="W48" s="43"/>
      <c r="X48" s="57"/>
      <c r="Y48" s="43"/>
      <c r="Z48" s="57"/>
    </row>
    <row r="49" spans="2:26" s="40" customFormat="1" ht="16.899999999999999" customHeight="1" x14ac:dyDescent="0.25">
      <c r="B49" s="20"/>
      <c r="C49" s="20"/>
      <c r="D49" s="17" t="s">
        <v>26</v>
      </c>
      <c r="E49" s="43">
        <v>28</v>
      </c>
      <c r="F49" s="52">
        <f>E49-'Summary-Plant Heights'!E49</f>
        <v>7</v>
      </c>
      <c r="G49" s="43">
        <v>45</v>
      </c>
      <c r="H49" s="57">
        <f>G49-'Summary-Plant Heights'!F49</f>
        <v>9</v>
      </c>
      <c r="I49" s="43">
        <v>70</v>
      </c>
      <c r="J49" s="57">
        <f>I49-'Summary-Plant Heights'!G49</f>
        <v>5</v>
      </c>
      <c r="K49" s="43">
        <v>97</v>
      </c>
      <c r="L49" s="57">
        <f>K49-'Summary-Plant Heights'!H49</f>
        <v>4</v>
      </c>
      <c r="M49" s="43">
        <v>116</v>
      </c>
      <c r="N49" s="57">
        <f>M49-'Summary-Plant Heights'!I49</f>
        <v>8</v>
      </c>
      <c r="O49" s="48"/>
      <c r="P49" s="57"/>
      <c r="Q49" s="48"/>
      <c r="R49" s="52"/>
      <c r="S49" s="43"/>
      <c r="T49" s="57"/>
      <c r="U49" s="43"/>
      <c r="V49" s="57"/>
      <c r="W49" s="43"/>
      <c r="X49" s="57"/>
      <c r="Y49" s="43"/>
      <c r="Z49" s="57"/>
    </row>
    <row r="50" spans="2:26" s="40" customFormat="1" ht="16.899999999999999" customHeight="1" x14ac:dyDescent="0.25">
      <c r="B50" s="20"/>
      <c r="C50" s="20"/>
      <c r="D50" s="17" t="s">
        <v>27</v>
      </c>
      <c r="E50" s="43">
        <v>28</v>
      </c>
      <c r="F50" s="52">
        <f>E50-'Summary-Plant Heights'!E50</f>
        <v>6</v>
      </c>
      <c r="G50" s="43">
        <v>46</v>
      </c>
      <c r="H50" s="57">
        <f>G50-'Summary-Plant Heights'!F50</f>
        <v>13</v>
      </c>
      <c r="I50" s="43">
        <v>64</v>
      </c>
      <c r="J50" s="57">
        <f>I50-'Summary-Plant Heights'!G50</f>
        <v>9</v>
      </c>
      <c r="K50" s="43">
        <v>89</v>
      </c>
      <c r="L50" s="57">
        <f>K50-'Summary-Plant Heights'!H50</f>
        <v>6</v>
      </c>
      <c r="M50" s="43">
        <v>107</v>
      </c>
      <c r="N50" s="57">
        <f>M50-'Summary-Plant Heights'!I50</f>
        <v>6</v>
      </c>
      <c r="O50" s="48"/>
      <c r="P50" s="57"/>
      <c r="Q50" s="48"/>
      <c r="R50" s="52"/>
      <c r="S50" s="43"/>
      <c r="T50" s="57"/>
      <c r="U50" s="43"/>
      <c r="V50" s="57"/>
      <c r="W50" s="43"/>
      <c r="X50" s="57"/>
      <c r="Y50" s="43"/>
      <c r="Z50" s="57"/>
    </row>
    <row r="51" spans="2:26" s="40" customFormat="1" ht="16.899999999999999" customHeight="1" thickBot="1" x14ac:dyDescent="0.3">
      <c r="B51" s="22"/>
      <c r="C51" s="22"/>
      <c r="D51" s="59" t="s">
        <v>28</v>
      </c>
      <c r="E51" s="45">
        <v>30</v>
      </c>
      <c r="F51" s="53">
        <f>E51-'Summary-Plant Heights'!E51</f>
        <v>7</v>
      </c>
      <c r="G51" s="45">
        <v>39</v>
      </c>
      <c r="H51" s="58">
        <f>G51-'Summary-Plant Heights'!F51</f>
        <v>10</v>
      </c>
      <c r="I51" s="45">
        <v>63</v>
      </c>
      <c r="J51" s="58">
        <f>I51-'Summary-Plant Heights'!G51</f>
        <v>8</v>
      </c>
      <c r="K51" s="45">
        <v>81</v>
      </c>
      <c r="L51" s="58">
        <f>K51-'Summary-Plant Heights'!H51</f>
        <v>7</v>
      </c>
      <c r="M51" s="45">
        <v>90</v>
      </c>
      <c r="N51" s="58">
        <f>M51-'Summary-Plant Heights'!I51</f>
        <v>8</v>
      </c>
      <c r="O51" s="49"/>
      <c r="P51" s="58"/>
      <c r="Q51" s="49"/>
      <c r="R51" s="53"/>
      <c r="S51" s="45"/>
      <c r="T51" s="58"/>
      <c r="U51" s="45"/>
      <c r="V51" s="58"/>
      <c r="W51" s="45"/>
      <c r="X51" s="58"/>
      <c r="Y51" s="45"/>
      <c r="Z51" s="58"/>
    </row>
    <row r="52" spans="2:26" s="40" customFormat="1" ht="16.899999999999999" customHeight="1" x14ac:dyDescent="0.25">
      <c r="B52" s="26" t="s">
        <v>3</v>
      </c>
      <c r="C52" s="26" t="s">
        <v>12</v>
      </c>
      <c r="D52" s="63" t="s">
        <v>24</v>
      </c>
      <c r="E52" s="41">
        <v>30</v>
      </c>
      <c r="F52" s="51">
        <f>E52-'Summary-Plant Heights'!E52</f>
        <v>10</v>
      </c>
      <c r="G52" s="41">
        <v>45</v>
      </c>
      <c r="H52" s="56">
        <f>G52-'Summary-Plant Heights'!F52</f>
        <v>12</v>
      </c>
      <c r="I52" s="41">
        <v>72</v>
      </c>
      <c r="J52" s="56">
        <f>I52-'Summary-Plant Heights'!G52</f>
        <v>7</v>
      </c>
      <c r="K52" s="41">
        <v>95</v>
      </c>
      <c r="L52" s="56">
        <f>K52-'Summary-Plant Heights'!H52</f>
        <v>5</v>
      </c>
      <c r="M52" s="41">
        <v>100</v>
      </c>
      <c r="N52" s="56">
        <f>M52-'Summary-Plant Heights'!I52</f>
        <v>9</v>
      </c>
      <c r="O52" s="47"/>
      <c r="P52" s="56"/>
      <c r="Q52" s="47"/>
      <c r="R52" s="51"/>
      <c r="S52" s="41"/>
      <c r="T52" s="56"/>
      <c r="U52" s="41"/>
      <c r="V52" s="56"/>
      <c r="W52" s="41"/>
      <c r="X52" s="56"/>
      <c r="Y52" s="41"/>
      <c r="Z52" s="56"/>
    </row>
    <row r="53" spans="2:26" s="40" customFormat="1" ht="16.899999999999999" customHeight="1" x14ac:dyDescent="0.25">
      <c r="B53" s="28"/>
      <c r="C53" s="28" t="s">
        <v>18</v>
      </c>
      <c r="D53" s="64" t="s">
        <v>38</v>
      </c>
      <c r="E53" s="43">
        <v>30</v>
      </c>
      <c r="F53" s="52">
        <f>E53-'Summary-Plant Heights'!E53</f>
        <v>9</v>
      </c>
      <c r="G53" s="43">
        <v>47</v>
      </c>
      <c r="H53" s="57">
        <f>G53-'Summary-Plant Heights'!F53</f>
        <v>8</v>
      </c>
      <c r="I53" s="43">
        <v>77</v>
      </c>
      <c r="J53" s="57">
        <f>I53-'Summary-Plant Heights'!G53</f>
        <v>4</v>
      </c>
      <c r="K53" s="43">
        <v>109</v>
      </c>
      <c r="L53" s="57">
        <f>K53-'Summary-Plant Heights'!H53</f>
        <v>6</v>
      </c>
      <c r="M53" s="43">
        <v>121</v>
      </c>
      <c r="N53" s="57">
        <f>M53-'Summary-Plant Heights'!I53</f>
        <v>10</v>
      </c>
      <c r="O53" s="48"/>
      <c r="P53" s="57"/>
      <c r="Q53" s="48"/>
      <c r="R53" s="52"/>
      <c r="S53" s="43"/>
      <c r="T53" s="57"/>
      <c r="U53" s="43"/>
      <c r="V53" s="57"/>
      <c r="W53" s="43"/>
      <c r="X53" s="57"/>
      <c r="Y53" s="43"/>
      <c r="Z53" s="57"/>
    </row>
    <row r="54" spans="2:26" s="40" customFormat="1" ht="16.899999999999999" customHeight="1" x14ac:dyDescent="0.25">
      <c r="B54" s="28"/>
      <c r="C54" s="28"/>
      <c r="D54" s="64" t="s">
        <v>25</v>
      </c>
      <c r="E54" s="43">
        <v>27</v>
      </c>
      <c r="F54" s="52">
        <f>E54-'Summary-Plant Heights'!E54</f>
        <v>12</v>
      </c>
      <c r="G54" s="43">
        <v>54</v>
      </c>
      <c r="H54" s="57">
        <f>G54-'Summary-Plant Heights'!F54</f>
        <v>10</v>
      </c>
      <c r="I54" s="43">
        <v>64</v>
      </c>
      <c r="J54" s="57">
        <f>I54-'Summary-Plant Heights'!G54</f>
        <v>6</v>
      </c>
      <c r="K54" s="43">
        <v>91</v>
      </c>
      <c r="L54" s="57">
        <f>K54-'Summary-Plant Heights'!H54</f>
        <v>5</v>
      </c>
      <c r="M54" s="43">
        <v>99</v>
      </c>
      <c r="N54" s="57">
        <f>M54-'Summary-Plant Heights'!I54</f>
        <v>9</v>
      </c>
      <c r="O54" s="48"/>
      <c r="P54" s="57"/>
      <c r="Q54" s="48"/>
      <c r="R54" s="52"/>
      <c r="S54" s="43"/>
      <c r="T54" s="57"/>
      <c r="U54" s="43"/>
      <c r="V54" s="57"/>
      <c r="W54" s="43"/>
      <c r="X54" s="57"/>
      <c r="Y54" s="43"/>
      <c r="Z54" s="57"/>
    </row>
    <row r="55" spans="2:26" s="40" customFormat="1" ht="16.899999999999999" customHeight="1" x14ac:dyDescent="0.25">
      <c r="B55" s="28"/>
      <c r="C55" s="28"/>
      <c r="D55" s="64" t="s">
        <v>26</v>
      </c>
      <c r="E55" s="43">
        <v>28</v>
      </c>
      <c r="F55" s="52">
        <f>E55-'Summary-Plant Heights'!E55</f>
        <v>8</v>
      </c>
      <c r="G55" s="43">
        <v>44</v>
      </c>
      <c r="H55" s="57">
        <f>G55-'Summary-Plant Heights'!F55</f>
        <v>11</v>
      </c>
      <c r="I55" s="43">
        <v>73</v>
      </c>
      <c r="J55" s="57">
        <f>I55-'Summary-Plant Heights'!G55</f>
        <v>11</v>
      </c>
      <c r="K55" s="43">
        <v>104</v>
      </c>
      <c r="L55" s="57">
        <f>K55-'Summary-Plant Heights'!H55</f>
        <v>4</v>
      </c>
      <c r="M55" s="43">
        <v>120</v>
      </c>
      <c r="N55" s="57">
        <f>M55-'Summary-Plant Heights'!I55</f>
        <v>9</v>
      </c>
      <c r="O55" s="48"/>
      <c r="P55" s="57"/>
      <c r="Q55" s="48"/>
      <c r="R55" s="52"/>
      <c r="S55" s="43"/>
      <c r="T55" s="57"/>
      <c r="U55" s="43"/>
      <c r="V55" s="57"/>
      <c r="W55" s="43"/>
      <c r="X55" s="57"/>
      <c r="Y55" s="43"/>
      <c r="Z55" s="57"/>
    </row>
    <row r="56" spans="2:26" s="40" customFormat="1" ht="16.899999999999999" customHeight="1" x14ac:dyDescent="0.25">
      <c r="B56" s="28"/>
      <c r="C56" s="28"/>
      <c r="D56" s="64" t="s">
        <v>27</v>
      </c>
      <c r="E56" s="43">
        <v>32</v>
      </c>
      <c r="F56" s="52">
        <f>E56-'Summary-Plant Heights'!E56</f>
        <v>9</v>
      </c>
      <c r="G56" s="43">
        <v>49</v>
      </c>
      <c r="H56" s="57">
        <f>G56-'Summary-Plant Heights'!F56</f>
        <v>9</v>
      </c>
      <c r="I56" s="43">
        <v>64</v>
      </c>
      <c r="J56" s="57">
        <f>I56-'Summary-Plant Heights'!G56</f>
        <v>6</v>
      </c>
      <c r="K56" s="43">
        <v>82</v>
      </c>
      <c r="L56" s="57">
        <f>K56-'Summary-Plant Heights'!H56</f>
        <v>4</v>
      </c>
      <c r="M56" s="43">
        <v>86</v>
      </c>
      <c r="N56" s="57">
        <f>M56-'Summary-Plant Heights'!I56</f>
        <v>10</v>
      </c>
      <c r="O56" s="48"/>
      <c r="P56" s="57"/>
      <c r="Q56" s="48"/>
      <c r="R56" s="52"/>
      <c r="S56" s="43"/>
      <c r="T56" s="57"/>
      <c r="U56" s="43"/>
      <c r="V56" s="57"/>
      <c r="W56" s="43"/>
      <c r="X56" s="57"/>
      <c r="Y56" s="43"/>
      <c r="Z56" s="57"/>
    </row>
    <row r="57" spans="2:26" s="40" customFormat="1" ht="16.899999999999999" customHeight="1" thickBot="1" x14ac:dyDescent="0.3">
      <c r="B57" s="30"/>
      <c r="C57" s="30"/>
      <c r="D57" s="65" t="s">
        <v>28</v>
      </c>
      <c r="E57" s="45">
        <v>30</v>
      </c>
      <c r="F57" s="53">
        <f>E57-'Summary-Plant Heights'!E57</f>
        <v>10</v>
      </c>
      <c r="G57" s="45">
        <v>40</v>
      </c>
      <c r="H57" s="58">
        <f>G57-'Summary-Plant Heights'!F57</f>
        <v>10</v>
      </c>
      <c r="I57" s="45">
        <v>59</v>
      </c>
      <c r="J57" s="58">
        <f>I57-'Summary-Plant Heights'!G57</f>
        <v>9</v>
      </c>
      <c r="K57" s="45">
        <v>76</v>
      </c>
      <c r="L57" s="58">
        <f>K57-'Summary-Plant Heights'!H57</f>
        <v>7</v>
      </c>
      <c r="M57" s="45">
        <v>84</v>
      </c>
      <c r="N57" s="58">
        <f>M57-'Summary-Plant Heights'!I57</f>
        <v>11</v>
      </c>
      <c r="O57" s="49"/>
      <c r="P57" s="58"/>
      <c r="Q57" s="49"/>
      <c r="R57" s="53"/>
      <c r="S57" s="45"/>
      <c r="T57" s="58"/>
      <c r="U57" s="45"/>
      <c r="V57" s="58"/>
      <c r="W57" s="45"/>
      <c r="X57" s="58"/>
      <c r="Y57" s="45"/>
      <c r="Z57" s="58"/>
    </row>
    <row r="58" spans="2:26" s="40" customFormat="1" ht="16.899999999999999" customHeight="1" x14ac:dyDescent="0.25">
      <c r="B58" s="26" t="s">
        <v>4</v>
      </c>
      <c r="C58" s="26" t="s">
        <v>13</v>
      </c>
      <c r="D58" s="63" t="s">
        <v>24</v>
      </c>
      <c r="E58" s="41">
        <v>28</v>
      </c>
      <c r="F58" s="51">
        <f>E58-'Summary-Plant Heights'!E58</f>
        <v>8</v>
      </c>
      <c r="G58" s="41">
        <v>49</v>
      </c>
      <c r="H58" s="56">
        <f>G58-'Summary-Plant Heights'!F58</f>
        <v>14</v>
      </c>
      <c r="I58" s="41">
        <v>61</v>
      </c>
      <c r="J58" s="56">
        <f>I58-'Summary-Plant Heights'!G58</f>
        <v>7</v>
      </c>
      <c r="K58" s="41">
        <v>74</v>
      </c>
      <c r="L58" s="56">
        <f>K58-'Summary-Plant Heights'!H58</f>
        <v>6</v>
      </c>
      <c r="M58" s="41">
        <v>87</v>
      </c>
      <c r="N58" s="56">
        <f>M58-'Summary-Plant Heights'!I58</f>
        <v>7</v>
      </c>
      <c r="O58" s="47"/>
      <c r="P58" s="56"/>
      <c r="Q58" s="47"/>
      <c r="R58" s="51"/>
      <c r="S58" s="41"/>
      <c r="T58" s="56"/>
      <c r="U58" s="41"/>
      <c r="V58" s="56"/>
      <c r="W58" s="41"/>
      <c r="X58" s="56"/>
      <c r="Y58" s="41"/>
      <c r="Z58" s="56"/>
    </row>
    <row r="59" spans="2:26" s="40" customFormat="1" ht="16.899999999999999" customHeight="1" x14ac:dyDescent="0.25">
      <c r="B59" s="28"/>
      <c r="C59" s="28" t="s">
        <v>19</v>
      </c>
      <c r="D59" s="64" t="s">
        <v>38</v>
      </c>
      <c r="E59" s="43">
        <v>25</v>
      </c>
      <c r="F59" s="52">
        <f>E59-'Summary-Plant Heights'!E59</f>
        <v>8</v>
      </c>
      <c r="G59" s="43">
        <v>50</v>
      </c>
      <c r="H59" s="57">
        <f>G59-'Summary-Plant Heights'!F59</f>
        <v>12</v>
      </c>
      <c r="I59" s="43">
        <v>76</v>
      </c>
      <c r="J59" s="57">
        <f>I59-'Summary-Plant Heights'!G59</f>
        <v>10</v>
      </c>
      <c r="K59" s="43">
        <v>110</v>
      </c>
      <c r="L59" s="57">
        <f>K59-'Summary-Plant Heights'!H59</f>
        <v>8</v>
      </c>
      <c r="M59" s="43">
        <v>126</v>
      </c>
      <c r="N59" s="57">
        <f>M59-'Summary-Plant Heights'!I59</f>
        <v>7</v>
      </c>
      <c r="O59" s="48"/>
      <c r="P59" s="57"/>
      <c r="Q59" s="48"/>
      <c r="R59" s="52"/>
      <c r="S59" s="43"/>
      <c r="T59" s="57"/>
      <c r="U59" s="43"/>
      <c r="V59" s="57"/>
      <c r="W59" s="43"/>
      <c r="X59" s="57"/>
      <c r="Y59" s="43"/>
      <c r="Z59" s="57"/>
    </row>
    <row r="60" spans="2:26" s="40" customFormat="1" ht="16.899999999999999" customHeight="1" x14ac:dyDescent="0.25">
      <c r="B60" s="28"/>
      <c r="C60" s="28"/>
      <c r="D60" s="64" t="s">
        <v>25</v>
      </c>
      <c r="E60" s="43">
        <v>30</v>
      </c>
      <c r="F60" s="52">
        <f>E60-'Summary-Plant Heights'!E60</f>
        <v>9</v>
      </c>
      <c r="G60" s="43">
        <v>50</v>
      </c>
      <c r="H60" s="57">
        <f>G60-'Summary-Plant Heights'!F60</f>
        <v>13</v>
      </c>
      <c r="I60" s="43">
        <v>71</v>
      </c>
      <c r="J60" s="57">
        <f>I60-'Summary-Plant Heights'!G60</f>
        <v>8</v>
      </c>
      <c r="K60" s="43">
        <v>102</v>
      </c>
      <c r="L60" s="57">
        <f>K60-'Summary-Plant Heights'!H60</f>
        <v>6</v>
      </c>
      <c r="M60" s="43">
        <v>111</v>
      </c>
      <c r="N60" s="57">
        <f>M60-'Summary-Plant Heights'!I60</f>
        <v>0</v>
      </c>
      <c r="O60" s="48"/>
      <c r="P60" s="57"/>
      <c r="Q60" s="48"/>
      <c r="R60" s="52"/>
      <c r="S60" s="43"/>
      <c r="T60" s="57"/>
      <c r="U60" s="43"/>
      <c r="V60" s="57"/>
      <c r="W60" s="43"/>
      <c r="X60" s="57"/>
      <c r="Y60" s="43"/>
      <c r="Z60" s="57"/>
    </row>
    <row r="61" spans="2:26" s="40" customFormat="1" ht="16.899999999999999" customHeight="1" x14ac:dyDescent="0.25">
      <c r="B61" s="28"/>
      <c r="C61" s="28"/>
      <c r="D61" s="64" t="s">
        <v>26</v>
      </c>
      <c r="E61" s="43">
        <v>32</v>
      </c>
      <c r="F61" s="52">
        <f>E61-'Summary-Plant Heights'!E61</f>
        <v>8</v>
      </c>
      <c r="G61" s="43">
        <v>50</v>
      </c>
      <c r="H61" s="57">
        <f>G61-'Summary-Plant Heights'!F61</f>
        <v>10</v>
      </c>
      <c r="I61" s="43">
        <v>68</v>
      </c>
      <c r="J61" s="57">
        <f>I61-'Summary-Plant Heights'!G61</f>
        <v>8</v>
      </c>
      <c r="K61" s="43">
        <v>100</v>
      </c>
      <c r="L61" s="57">
        <f>K61-'Summary-Plant Heights'!H61</f>
        <v>8</v>
      </c>
      <c r="M61" s="43">
        <v>117</v>
      </c>
      <c r="N61" s="57">
        <f>M61-'Summary-Plant Heights'!I61</f>
        <v>9</v>
      </c>
      <c r="O61" s="48"/>
      <c r="P61" s="57"/>
      <c r="Q61" s="48"/>
      <c r="R61" s="52"/>
      <c r="S61" s="43"/>
      <c r="T61" s="57"/>
      <c r="U61" s="43"/>
      <c r="V61" s="57"/>
      <c r="W61" s="43"/>
      <c r="X61" s="57"/>
      <c r="Y61" s="43"/>
      <c r="Z61" s="57"/>
    </row>
    <row r="62" spans="2:26" s="40" customFormat="1" ht="16.899999999999999" customHeight="1" x14ac:dyDescent="0.25">
      <c r="B62" s="28"/>
      <c r="C62" s="28"/>
      <c r="D62" s="64" t="s">
        <v>27</v>
      </c>
      <c r="E62" s="43">
        <v>29</v>
      </c>
      <c r="F62" s="52">
        <f>E62-'Summary-Plant Heights'!E62</f>
        <v>7</v>
      </c>
      <c r="G62" s="43">
        <v>45</v>
      </c>
      <c r="H62" s="57">
        <f>G62-'Summary-Plant Heights'!F62</f>
        <v>14</v>
      </c>
      <c r="I62" s="43">
        <v>60</v>
      </c>
      <c r="J62" s="57">
        <f>I62-'Summary-Plant Heights'!G62</f>
        <v>8</v>
      </c>
      <c r="K62" s="43">
        <v>83</v>
      </c>
      <c r="L62" s="57">
        <f>K62-'Summary-Plant Heights'!H62</f>
        <v>7</v>
      </c>
      <c r="M62" s="43">
        <v>91</v>
      </c>
      <c r="N62" s="57">
        <f>M62-'Summary-Plant Heights'!I62</f>
        <v>10</v>
      </c>
      <c r="O62" s="48"/>
      <c r="P62" s="57"/>
      <c r="Q62" s="48"/>
      <c r="R62" s="52"/>
      <c r="S62" s="43"/>
      <c r="T62" s="57"/>
      <c r="U62" s="43"/>
      <c r="V62" s="57"/>
      <c r="W62" s="43"/>
      <c r="X62" s="57"/>
      <c r="Y62" s="43"/>
      <c r="Z62" s="57"/>
    </row>
    <row r="63" spans="2:26" s="40" customFormat="1" ht="16.899999999999999" customHeight="1" thickBot="1" x14ac:dyDescent="0.3">
      <c r="B63" s="30"/>
      <c r="C63" s="30"/>
      <c r="D63" s="65" t="s">
        <v>28</v>
      </c>
      <c r="E63" s="45">
        <v>26</v>
      </c>
      <c r="F63" s="53">
        <f>E63-'Summary-Plant Heights'!E63</f>
        <v>6</v>
      </c>
      <c r="G63" s="45">
        <v>42</v>
      </c>
      <c r="H63" s="58">
        <f>G63-'Summary-Plant Heights'!F63</f>
        <v>11</v>
      </c>
      <c r="I63" s="45">
        <v>63</v>
      </c>
      <c r="J63" s="58">
        <f>I63-'Summary-Plant Heights'!G63</f>
        <v>9</v>
      </c>
      <c r="K63" s="45">
        <v>88</v>
      </c>
      <c r="L63" s="58">
        <f>K63-'Summary-Plant Heights'!H63</f>
        <v>5</v>
      </c>
      <c r="M63" s="45">
        <v>97</v>
      </c>
      <c r="N63" s="58">
        <f>M63-'Summary-Plant Heights'!I63</f>
        <v>9</v>
      </c>
      <c r="O63" s="49"/>
      <c r="P63" s="58"/>
      <c r="Q63" s="49"/>
      <c r="R63" s="53"/>
      <c r="S63" s="45"/>
      <c r="T63" s="58"/>
      <c r="U63" s="45"/>
      <c r="V63" s="58"/>
      <c r="W63" s="45"/>
      <c r="X63" s="58"/>
      <c r="Y63" s="45"/>
      <c r="Z63" s="58"/>
    </row>
    <row r="64" spans="2:26" s="40" customFormat="1" ht="16.899999999999999" customHeight="1" x14ac:dyDescent="0.25">
      <c r="B64" s="21" t="s">
        <v>4</v>
      </c>
      <c r="C64" s="21" t="s">
        <v>14</v>
      </c>
      <c r="D64" s="15" t="s">
        <v>24</v>
      </c>
      <c r="E64" s="41">
        <v>29</v>
      </c>
      <c r="F64" s="51">
        <f>E64-'Summary-Plant Heights'!E64</f>
        <v>8</v>
      </c>
      <c r="G64" s="41">
        <v>42</v>
      </c>
      <c r="H64" s="56">
        <f>G64-'Summary-Plant Heights'!F64</f>
        <v>10</v>
      </c>
      <c r="I64" s="41">
        <v>63</v>
      </c>
      <c r="J64" s="56">
        <f>I64-'Summary-Plant Heights'!G64</f>
        <v>8</v>
      </c>
      <c r="K64" s="41">
        <v>80</v>
      </c>
      <c r="L64" s="56">
        <f>K64-'Summary-Plant Heights'!H64</f>
        <v>9</v>
      </c>
      <c r="M64" s="41">
        <v>84</v>
      </c>
      <c r="N64" s="56">
        <f>M64-'Summary-Plant Heights'!I64</f>
        <v>6</v>
      </c>
      <c r="O64" s="47"/>
      <c r="P64" s="56"/>
      <c r="Q64" s="47"/>
      <c r="R64" s="51"/>
      <c r="S64" s="41"/>
      <c r="T64" s="56"/>
      <c r="U64" s="41"/>
      <c r="V64" s="56"/>
      <c r="W64" s="41"/>
      <c r="X64" s="56"/>
      <c r="Y64" s="41"/>
      <c r="Z64" s="56"/>
    </row>
    <row r="65" spans="2:26" s="40" customFormat="1" ht="16.899999999999999" customHeight="1" x14ac:dyDescent="0.25">
      <c r="B65" s="20"/>
      <c r="C65" s="20" t="s">
        <v>16</v>
      </c>
      <c r="D65" s="17" t="s">
        <v>38</v>
      </c>
      <c r="E65" s="43">
        <v>30</v>
      </c>
      <c r="F65" s="52">
        <f>E65-'Summary-Plant Heights'!E65</f>
        <v>7</v>
      </c>
      <c r="G65" s="43">
        <v>48</v>
      </c>
      <c r="H65" s="57">
        <f>G65-'Summary-Plant Heights'!F65</f>
        <v>10</v>
      </c>
      <c r="I65" s="43">
        <v>70</v>
      </c>
      <c r="J65" s="57">
        <f>I65-'Summary-Plant Heights'!G65</f>
        <v>6</v>
      </c>
      <c r="K65" s="43">
        <v>89</v>
      </c>
      <c r="L65" s="57">
        <f>K65-'Summary-Plant Heights'!H65</f>
        <v>5</v>
      </c>
      <c r="M65" s="43">
        <v>95</v>
      </c>
      <c r="N65" s="57">
        <f>M65-'Summary-Plant Heights'!I65</f>
        <v>6</v>
      </c>
      <c r="O65" s="48"/>
      <c r="P65" s="57"/>
      <c r="Q65" s="48"/>
      <c r="R65" s="52"/>
      <c r="S65" s="43"/>
      <c r="T65" s="57"/>
      <c r="U65" s="43"/>
      <c r="V65" s="57"/>
      <c r="W65" s="43"/>
      <c r="X65" s="57"/>
      <c r="Y65" s="43"/>
      <c r="Z65" s="57"/>
    </row>
    <row r="66" spans="2:26" s="40" customFormat="1" ht="16.899999999999999" customHeight="1" x14ac:dyDescent="0.25">
      <c r="B66" s="20"/>
      <c r="C66" s="20"/>
      <c r="D66" s="17" t="s">
        <v>25</v>
      </c>
      <c r="E66" s="43">
        <v>31</v>
      </c>
      <c r="F66" s="52">
        <f>E66-'Summary-Plant Heights'!E66</f>
        <v>8</v>
      </c>
      <c r="G66" s="43">
        <v>53</v>
      </c>
      <c r="H66" s="57">
        <f>G66-'Summary-Plant Heights'!F66</f>
        <v>13</v>
      </c>
      <c r="I66" s="43">
        <v>77</v>
      </c>
      <c r="J66" s="57">
        <f>I66-'Summary-Plant Heights'!G66</f>
        <v>11</v>
      </c>
      <c r="K66" s="43">
        <v>98</v>
      </c>
      <c r="L66" s="57">
        <f>K66-'Summary-Plant Heights'!H66</f>
        <v>6</v>
      </c>
      <c r="M66" s="43">
        <v>106</v>
      </c>
      <c r="N66" s="57">
        <f>M66-'Summary-Plant Heights'!I66</f>
        <v>8</v>
      </c>
      <c r="O66" s="48"/>
      <c r="P66" s="57"/>
      <c r="Q66" s="48"/>
      <c r="R66" s="52"/>
      <c r="S66" s="43"/>
      <c r="T66" s="57"/>
      <c r="U66" s="43"/>
      <c r="V66" s="57"/>
      <c r="W66" s="43"/>
      <c r="X66" s="57"/>
      <c r="Y66" s="43"/>
      <c r="Z66" s="57"/>
    </row>
    <row r="67" spans="2:26" s="40" customFormat="1" ht="16.899999999999999" customHeight="1" x14ac:dyDescent="0.25">
      <c r="B67" s="20"/>
      <c r="C67" s="20"/>
      <c r="D67" s="17" t="s">
        <v>26</v>
      </c>
      <c r="E67" s="43">
        <v>33</v>
      </c>
      <c r="F67" s="52">
        <f>E67-'Summary-Plant Heights'!E67</f>
        <v>9</v>
      </c>
      <c r="G67" s="43">
        <v>55</v>
      </c>
      <c r="H67" s="57">
        <f>G67-'Summary-Plant Heights'!F67</f>
        <v>13</v>
      </c>
      <c r="I67" s="43">
        <v>76</v>
      </c>
      <c r="J67" s="57">
        <f>I67-'Summary-Plant Heights'!G67</f>
        <v>0</v>
      </c>
      <c r="K67" s="43">
        <v>95</v>
      </c>
      <c r="L67" s="57">
        <f>K67-'Summary-Plant Heights'!H67</f>
        <v>8</v>
      </c>
      <c r="M67" s="43">
        <v>98</v>
      </c>
      <c r="N67" s="57">
        <f>M67-'Summary-Plant Heights'!I67</f>
        <v>8</v>
      </c>
      <c r="O67" s="48"/>
      <c r="P67" s="57"/>
      <c r="Q67" s="48"/>
      <c r="R67" s="52"/>
      <c r="S67" s="43"/>
      <c r="T67" s="57"/>
      <c r="U67" s="43"/>
      <c r="V67" s="57"/>
      <c r="W67" s="43"/>
      <c r="X67" s="57"/>
      <c r="Y67" s="43"/>
      <c r="Z67" s="57"/>
    </row>
    <row r="68" spans="2:26" s="40" customFormat="1" ht="16.899999999999999" customHeight="1" x14ac:dyDescent="0.25">
      <c r="B68" s="20"/>
      <c r="C68" s="20"/>
      <c r="D68" s="17" t="s">
        <v>27</v>
      </c>
      <c r="E68" s="43">
        <v>31</v>
      </c>
      <c r="F68" s="52">
        <f>E68-'Summary-Plant Heights'!E68</f>
        <v>9</v>
      </c>
      <c r="G68" s="43">
        <v>49</v>
      </c>
      <c r="H68" s="57">
        <f>G68-'Summary-Plant Heights'!F68</f>
        <v>11</v>
      </c>
      <c r="I68" s="43">
        <v>66</v>
      </c>
      <c r="J68" s="57">
        <f>I68-'Summary-Plant Heights'!G68</f>
        <v>10</v>
      </c>
      <c r="K68" s="43">
        <v>81</v>
      </c>
      <c r="L68" s="57">
        <f>K68-'Summary-Plant Heights'!H68</f>
        <v>6</v>
      </c>
      <c r="M68" s="43">
        <v>83</v>
      </c>
      <c r="N68" s="57">
        <f>M68-'Summary-Plant Heights'!I68</f>
        <v>7</v>
      </c>
      <c r="O68" s="48"/>
      <c r="P68" s="57"/>
      <c r="Q68" s="48"/>
      <c r="R68" s="52"/>
      <c r="S68" s="43"/>
      <c r="T68" s="57"/>
      <c r="U68" s="43"/>
      <c r="V68" s="57"/>
      <c r="W68" s="43"/>
      <c r="X68" s="57"/>
      <c r="Y68" s="43"/>
      <c r="Z68" s="57"/>
    </row>
    <row r="69" spans="2:26" s="40" customFormat="1" ht="16.899999999999999" customHeight="1" thickBot="1" x14ac:dyDescent="0.3">
      <c r="B69" s="22"/>
      <c r="C69" s="22"/>
      <c r="D69" s="59" t="s">
        <v>28</v>
      </c>
      <c r="E69" s="45">
        <v>31</v>
      </c>
      <c r="F69" s="53">
        <f>E69-'Summary-Plant Heights'!E69</f>
        <v>11</v>
      </c>
      <c r="G69" s="45">
        <v>47</v>
      </c>
      <c r="H69" s="58">
        <f>G69-'Summary-Plant Heights'!F69</f>
        <v>13</v>
      </c>
      <c r="I69" s="45">
        <v>61</v>
      </c>
      <c r="J69" s="58">
        <f>I69-'Summary-Plant Heights'!G69</f>
        <v>8</v>
      </c>
      <c r="K69" s="45">
        <v>74</v>
      </c>
      <c r="L69" s="58">
        <f>K69-'Summary-Plant Heights'!H69</f>
        <v>6</v>
      </c>
      <c r="M69" s="45">
        <v>78</v>
      </c>
      <c r="N69" s="58">
        <f>M69-'Summary-Plant Heights'!I69</f>
        <v>4</v>
      </c>
      <c r="O69" s="49"/>
      <c r="P69" s="58"/>
      <c r="Q69" s="49"/>
      <c r="R69" s="53"/>
      <c r="S69" s="45"/>
      <c r="T69" s="58"/>
      <c r="U69" s="45"/>
      <c r="V69" s="58"/>
      <c r="W69" s="45"/>
      <c r="X69" s="58"/>
      <c r="Y69" s="45"/>
      <c r="Z69" s="58"/>
    </row>
    <row r="70" spans="2:26" s="40" customFormat="1" ht="16.899999999999999" customHeight="1" x14ac:dyDescent="0.25">
      <c r="B70" s="21" t="s">
        <v>22</v>
      </c>
      <c r="C70" s="21" t="s">
        <v>23</v>
      </c>
      <c r="D70" s="15" t="s">
        <v>24</v>
      </c>
      <c r="E70" s="41">
        <v>28</v>
      </c>
      <c r="F70" s="51">
        <f>E70-'Summary-Plant Heights'!E70</f>
        <v>9</v>
      </c>
      <c r="G70" s="41">
        <v>44</v>
      </c>
      <c r="H70" s="56">
        <f>G70-'Summary-Plant Heights'!F70</f>
        <v>10</v>
      </c>
      <c r="I70" s="41">
        <v>58</v>
      </c>
      <c r="J70" s="56">
        <f>I70-'Summary-Plant Heights'!G70</f>
        <v>8</v>
      </c>
      <c r="K70" s="41">
        <v>79</v>
      </c>
      <c r="L70" s="56">
        <f>K70-'Summary-Plant Heights'!H70</f>
        <v>8</v>
      </c>
      <c r="M70" s="41">
        <v>89</v>
      </c>
      <c r="N70" s="56">
        <f>M70-'Summary-Plant Heights'!I70</f>
        <v>9</v>
      </c>
      <c r="O70" s="47"/>
      <c r="P70" s="56"/>
      <c r="Q70" s="47"/>
      <c r="R70" s="51"/>
      <c r="S70" s="41"/>
      <c r="T70" s="56"/>
      <c r="U70" s="41"/>
      <c r="V70" s="56"/>
      <c r="W70" s="41"/>
      <c r="X70" s="56"/>
      <c r="Y70" s="41"/>
      <c r="Z70" s="56"/>
    </row>
    <row r="71" spans="2:26" s="40" customFormat="1" ht="16.899999999999999" customHeight="1" x14ac:dyDescent="0.25">
      <c r="B71" s="20"/>
      <c r="C71" s="20" t="s">
        <v>17</v>
      </c>
      <c r="D71" s="17" t="s">
        <v>38</v>
      </c>
      <c r="E71" s="43">
        <v>27</v>
      </c>
      <c r="F71" s="52">
        <f>E71-'Summary-Plant Heights'!E71</f>
        <v>8</v>
      </c>
      <c r="G71" s="43">
        <v>45</v>
      </c>
      <c r="H71" s="57">
        <f>G71-'Summary-Plant Heights'!F71</f>
        <v>11</v>
      </c>
      <c r="I71" s="43">
        <v>63</v>
      </c>
      <c r="J71" s="57">
        <f>I71-'Summary-Plant Heights'!G71</f>
        <v>9</v>
      </c>
      <c r="K71" s="43">
        <v>90</v>
      </c>
      <c r="L71" s="57">
        <f>K71-'Summary-Plant Heights'!H71</f>
        <v>6</v>
      </c>
      <c r="M71" s="43">
        <v>105</v>
      </c>
      <c r="N71" s="57">
        <f>M71-'Summary-Plant Heights'!I71</f>
        <v>8</v>
      </c>
      <c r="O71" s="48"/>
      <c r="P71" s="57"/>
      <c r="Q71" s="48"/>
      <c r="R71" s="52"/>
      <c r="S71" s="43"/>
      <c r="T71" s="57"/>
      <c r="U71" s="43"/>
      <c r="V71" s="57"/>
      <c r="W71" s="43"/>
      <c r="X71" s="57"/>
      <c r="Y71" s="43"/>
      <c r="Z71" s="57"/>
    </row>
    <row r="72" spans="2:26" s="40" customFormat="1" ht="16.899999999999999" customHeight="1" x14ac:dyDescent="0.25">
      <c r="B72" s="20"/>
      <c r="C72" s="20"/>
      <c r="D72" s="17" t="s">
        <v>25</v>
      </c>
      <c r="E72" s="43">
        <v>29</v>
      </c>
      <c r="F72" s="52">
        <f>E72-'Summary-Plant Heights'!E72</f>
        <v>8</v>
      </c>
      <c r="G72" s="43">
        <v>49</v>
      </c>
      <c r="H72" s="57">
        <f>G72-'Summary-Plant Heights'!F72</f>
        <v>12</v>
      </c>
      <c r="I72" s="43">
        <v>67</v>
      </c>
      <c r="J72" s="57">
        <f>I72-'Summary-Plant Heights'!G72</f>
        <v>9</v>
      </c>
      <c r="K72" s="43">
        <v>88</v>
      </c>
      <c r="L72" s="57">
        <f>K72-'Summary-Plant Heights'!H72</f>
        <v>7</v>
      </c>
      <c r="M72" s="43">
        <v>104</v>
      </c>
      <c r="N72" s="57">
        <f>M72-'Summary-Plant Heights'!I72</f>
        <v>7</v>
      </c>
      <c r="O72" s="48"/>
      <c r="P72" s="57"/>
      <c r="Q72" s="48"/>
      <c r="R72" s="52"/>
      <c r="S72" s="43"/>
      <c r="T72" s="57"/>
      <c r="U72" s="43"/>
      <c r="V72" s="57"/>
      <c r="W72" s="43"/>
      <c r="X72" s="57"/>
      <c r="Y72" s="43"/>
      <c r="Z72" s="57"/>
    </row>
    <row r="73" spans="2:26" s="40" customFormat="1" ht="16.899999999999999" customHeight="1" x14ac:dyDescent="0.25">
      <c r="B73" s="20"/>
      <c r="C73" s="20"/>
      <c r="D73" s="17" t="s">
        <v>26</v>
      </c>
      <c r="E73" s="43">
        <v>23</v>
      </c>
      <c r="F73" s="52">
        <f>E73-'Summary-Plant Heights'!E73</f>
        <v>5</v>
      </c>
      <c r="G73" s="43">
        <v>46</v>
      </c>
      <c r="H73" s="57">
        <f>G73-'Summary-Plant Heights'!F73</f>
        <v>11</v>
      </c>
      <c r="I73" s="43">
        <v>62</v>
      </c>
      <c r="J73" s="57">
        <f>I73-'Summary-Plant Heights'!G73</f>
        <v>8</v>
      </c>
      <c r="K73" s="43">
        <v>83</v>
      </c>
      <c r="L73" s="57">
        <f>K73-'Summary-Plant Heights'!H73</f>
        <v>12</v>
      </c>
      <c r="M73" s="43">
        <v>97</v>
      </c>
      <c r="N73" s="57">
        <f>M73-'Summary-Plant Heights'!I73</f>
        <v>7</v>
      </c>
      <c r="O73" s="48"/>
      <c r="P73" s="57"/>
      <c r="Q73" s="48"/>
      <c r="R73" s="52"/>
      <c r="S73" s="43"/>
      <c r="T73" s="57"/>
      <c r="U73" s="43"/>
      <c r="V73" s="57"/>
      <c r="W73" s="43"/>
      <c r="X73" s="57"/>
      <c r="Y73" s="43"/>
      <c r="Z73" s="57"/>
    </row>
    <row r="74" spans="2:26" s="40" customFormat="1" ht="16.899999999999999" customHeight="1" x14ac:dyDescent="0.25">
      <c r="B74" s="20"/>
      <c r="C74" s="20"/>
      <c r="D74" s="17" t="s">
        <v>27</v>
      </c>
      <c r="E74" s="43">
        <v>24</v>
      </c>
      <c r="F74" s="52">
        <f>E74-'Summary-Plant Heights'!E74</f>
        <v>5</v>
      </c>
      <c r="G74" s="43">
        <v>49</v>
      </c>
      <c r="H74" s="57">
        <f>G74-'Summary-Plant Heights'!F74</f>
        <v>11</v>
      </c>
      <c r="I74" s="43">
        <v>62</v>
      </c>
      <c r="J74" s="57">
        <f>I74-'Summary-Plant Heights'!G74</f>
        <v>10</v>
      </c>
      <c r="K74" s="43">
        <v>78</v>
      </c>
      <c r="L74" s="57">
        <f>K74-'Summary-Plant Heights'!H74</f>
        <v>8</v>
      </c>
      <c r="M74" s="43">
        <v>90</v>
      </c>
      <c r="N74" s="57">
        <f>M74-'Summary-Plant Heights'!I74</f>
        <v>9</v>
      </c>
      <c r="O74" s="48"/>
      <c r="P74" s="57"/>
      <c r="Q74" s="48"/>
      <c r="R74" s="52"/>
      <c r="S74" s="43"/>
      <c r="T74" s="57"/>
      <c r="U74" s="43"/>
      <c r="V74" s="57"/>
      <c r="W74" s="43"/>
      <c r="X74" s="57"/>
      <c r="Y74" s="43"/>
      <c r="Z74" s="57"/>
    </row>
    <row r="75" spans="2:26" s="40" customFormat="1" ht="16.899999999999999" customHeight="1" thickBot="1" x14ac:dyDescent="0.3">
      <c r="B75" s="22"/>
      <c r="C75" s="22"/>
      <c r="D75" s="59" t="s">
        <v>28</v>
      </c>
      <c r="E75" s="45">
        <v>28</v>
      </c>
      <c r="F75" s="53">
        <f>E75-'Summary-Plant Heights'!E75</f>
        <v>7</v>
      </c>
      <c r="G75" s="45">
        <v>44</v>
      </c>
      <c r="H75" s="58">
        <f>G75-'Summary-Plant Heights'!F75</f>
        <v>12</v>
      </c>
      <c r="I75" s="45">
        <v>60</v>
      </c>
      <c r="J75" s="58">
        <f>I75-'Summary-Plant Heights'!G75</f>
        <v>10</v>
      </c>
      <c r="K75" s="45">
        <v>87</v>
      </c>
      <c r="L75" s="58">
        <f>K75-'Summary-Plant Heights'!H75</f>
        <v>7</v>
      </c>
      <c r="M75" s="45">
        <v>99</v>
      </c>
      <c r="N75" s="58">
        <f>M75-'Summary-Plant Heights'!I75</f>
        <v>8</v>
      </c>
      <c r="O75" s="49"/>
      <c r="P75" s="58"/>
      <c r="Q75" s="49"/>
      <c r="R75" s="53"/>
      <c r="S75" s="45"/>
      <c r="T75" s="58"/>
      <c r="U75" s="45"/>
      <c r="V75" s="58"/>
      <c r="W75" s="45"/>
      <c r="X75" s="58"/>
      <c r="Y75" s="45"/>
      <c r="Z75" s="58"/>
    </row>
  </sheetData>
  <mergeCells count="21">
    <mergeCell ref="W7:X7"/>
    <mergeCell ref="W8:X8"/>
    <mergeCell ref="Y7:Z7"/>
    <mergeCell ref="Y8:Z8"/>
    <mergeCell ref="Q7:R7"/>
    <mergeCell ref="Q8:R8"/>
    <mergeCell ref="S7:T7"/>
    <mergeCell ref="S8:T8"/>
    <mergeCell ref="U7:V7"/>
    <mergeCell ref="U8:V8"/>
    <mergeCell ref="O5:P6"/>
    <mergeCell ref="E7:F7"/>
    <mergeCell ref="E8:F8"/>
    <mergeCell ref="I7:J7"/>
    <mergeCell ref="I8:J8"/>
    <mergeCell ref="K7:L7"/>
    <mergeCell ref="K8:L8"/>
    <mergeCell ref="M7:N7"/>
    <mergeCell ref="M8:N8"/>
    <mergeCell ref="O7:P7"/>
    <mergeCell ref="O8:P8"/>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2"/>
  <sheetViews>
    <sheetView zoomScale="85" zoomScaleNormal="85" workbookViewId="0"/>
  </sheetViews>
  <sheetFormatPr defaultColWidth="8.85546875" defaultRowHeight="14.25" x14ac:dyDescent="0.2"/>
  <cols>
    <col min="1" max="2" width="8.85546875" style="35"/>
    <col min="3" max="3" width="11" style="35" customWidth="1"/>
    <col min="4" max="4" width="8.85546875" style="35"/>
    <col min="5" max="28" width="8.85546875" style="37"/>
    <col min="29" max="16384" width="8.85546875" style="35"/>
  </cols>
  <sheetData>
    <row r="1" spans="1:28" ht="18" x14ac:dyDescent="0.25">
      <c r="A1" s="2">
        <v>2014</v>
      </c>
      <c r="B1" s="3" t="s">
        <v>29</v>
      </c>
      <c r="C1" s="4"/>
      <c r="D1" s="4"/>
    </row>
    <row r="2" spans="1:28" ht="18" x14ac:dyDescent="0.25">
      <c r="A2" s="4"/>
      <c r="B2" s="3" t="s">
        <v>20</v>
      </c>
      <c r="C2" s="6"/>
      <c r="D2" s="3" t="s">
        <v>21</v>
      </c>
    </row>
    <row r="4" spans="1:28" ht="15.75" x14ac:dyDescent="0.25">
      <c r="B4" s="4" t="s">
        <v>58</v>
      </c>
      <c r="C4" s="4"/>
    </row>
    <row r="5" spans="1:28" ht="15.75" x14ac:dyDescent="0.25">
      <c r="B5" s="4"/>
      <c r="C5" s="4" t="s">
        <v>59</v>
      </c>
    </row>
    <row r="6" spans="1:28" x14ac:dyDescent="0.2">
      <c r="C6" s="83" t="s">
        <v>60</v>
      </c>
      <c r="K6" s="86" t="s">
        <v>62</v>
      </c>
    </row>
    <row r="7" spans="1:28" ht="15" x14ac:dyDescent="0.25">
      <c r="D7" s="10" t="s">
        <v>32</v>
      </c>
      <c r="E7" s="81">
        <v>41806</v>
      </c>
      <c r="F7" s="81"/>
      <c r="G7" s="240">
        <v>41820</v>
      </c>
      <c r="H7" s="241"/>
      <c r="I7" s="240">
        <v>41834</v>
      </c>
      <c r="J7" s="241"/>
      <c r="K7" s="240">
        <v>41848</v>
      </c>
      <c r="L7" s="243"/>
      <c r="M7" s="240">
        <v>41863</v>
      </c>
      <c r="N7" s="241"/>
      <c r="O7" s="242"/>
      <c r="P7" s="241"/>
      <c r="Q7" s="242"/>
      <c r="R7" s="241"/>
      <c r="S7" s="242"/>
      <c r="T7" s="241"/>
      <c r="U7" s="242"/>
      <c r="V7" s="241"/>
      <c r="W7" s="242"/>
      <c r="X7" s="241"/>
      <c r="Y7" s="242"/>
      <c r="Z7" s="241"/>
      <c r="AA7" s="35"/>
      <c r="AB7" s="35"/>
    </row>
    <row r="8" spans="1:28" ht="15" x14ac:dyDescent="0.25">
      <c r="D8" s="10" t="s">
        <v>39</v>
      </c>
      <c r="E8" s="82">
        <v>167</v>
      </c>
      <c r="F8" s="82"/>
      <c r="G8" s="242">
        <v>181</v>
      </c>
      <c r="H8" s="241"/>
      <c r="I8" s="242">
        <v>195</v>
      </c>
      <c r="J8" s="241"/>
      <c r="K8" s="242">
        <v>209</v>
      </c>
      <c r="L8" s="243"/>
      <c r="M8" s="242">
        <v>224</v>
      </c>
      <c r="N8" s="241"/>
      <c r="O8" s="244"/>
      <c r="P8" s="241"/>
      <c r="Q8" s="244"/>
      <c r="R8" s="239"/>
      <c r="S8" s="242"/>
      <c r="T8" s="241"/>
      <c r="U8" s="242"/>
      <c r="V8" s="241"/>
      <c r="W8" s="242"/>
      <c r="X8" s="241"/>
      <c r="Y8" s="242"/>
      <c r="Z8" s="241"/>
      <c r="AA8" s="35"/>
      <c r="AB8" s="35"/>
    </row>
    <row r="9" spans="1:28" ht="42.6" customHeight="1" thickBot="1" x14ac:dyDescent="0.3">
      <c r="D9" s="10"/>
      <c r="E9" s="84" t="s">
        <v>56</v>
      </c>
      <c r="F9" s="85" t="s">
        <v>57</v>
      </c>
      <c r="G9" s="84" t="s">
        <v>56</v>
      </c>
      <c r="H9" s="85" t="s">
        <v>57</v>
      </c>
      <c r="I9" s="84" t="s">
        <v>56</v>
      </c>
      <c r="J9" s="85" t="s">
        <v>57</v>
      </c>
      <c r="K9" s="84" t="s">
        <v>56</v>
      </c>
      <c r="L9" s="85" t="s">
        <v>57</v>
      </c>
      <c r="M9" s="84" t="s">
        <v>56</v>
      </c>
      <c r="N9" s="85" t="s">
        <v>57</v>
      </c>
      <c r="O9" s="84" t="s">
        <v>56</v>
      </c>
      <c r="P9" s="85" t="s">
        <v>57</v>
      </c>
      <c r="Q9" s="84" t="s">
        <v>56</v>
      </c>
      <c r="R9" s="85" t="s">
        <v>57</v>
      </c>
      <c r="S9" s="84" t="s">
        <v>56</v>
      </c>
      <c r="T9" s="85" t="s">
        <v>57</v>
      </c>
      <c r="U9" s="84" t="s">
        <v>56</v>
      </c>
      <c r="V9" s="85" t="s">
        <v>57</v>
      </c>
      <c r="W9" s="84" t="s">
        <v>56</v>
      </c>
      <c r="X9" s="85" t="s">
        <v>57</v>
      </c>
      <c r="Y9" s="84" t="s">
        <v>56</v>
      </c>
      <c r="Z9" s="85" t="s">
        <v>57</v>
      </c>
      <c r="AA9" s="35"/>
      <c r="AB9" s="35"/>
    </row>
    <row r="10" spans="1:28" s="40" customFormat="1" ht="16.899999999999999" customHeight="1" x14ac:dyDescent="0.25">
      <c r="B10" s="21" t="s">
        <v>0</v>
      </c>
      <c r="C10" s="21" t="s">
        <v>5</v>
      </c>
      <c r="D10" s="15" t="s">
        <v>24</v>
      </c>
      <c r="E10" s="41">
        <v>31</v>
      </c>
      <c r="F10" s="51">
        <v>71</v>
      </c>
      <c r="G10" s="41">
        <v>41</v>
      </c>
      <c r="H10" s="56">
        <v>63</v>
      </c>
      <c r="I10" s="41">
        <v>58</v>
      </c>
      <c r="J10" s="56">
        <v>45</v>
      </c>
      <c r="K10" s="41">
        <v>75</v>
      </c>
      <c r="L10" s="56">
        <v>30</v>
      </c>
      <c r="M10" s="41">
        <v>8</v>
      </c>
      <c r="N10" s="56">
        <v>18</v>
      </c>
      <c r="O10" s="47"/>
      <c r="P10" s="56"/>
      <c r="Q10" s="47"/>
      <c r="R10" s="51"/>
      <c r="S10" s="41"/>
      <c r="T10" s="56"/>
      <c r="U10" s="41"/>
      <c r="V10" s="56"/>
      <c r="W10" s="41"/>
      <c r="X10" s="56"/>
      <c r="Y10" s="41"/>
      <c r="Z10" s="56"/>
    </row>
    <row r="11" spans="1:28" s="40" customFormat="1" ht="16.899999999999999" customHeight="1" x14ac:dyDescent="0.25">
      <c r="B11" s="20"/>
      <c r="C11" s="20" t="s">
        <v>15</v>
      </c>
      <c r="D11" s="17" t="s">
        <v>38</v>
      </c>
      <c r="E11" s="43">
        <v>37</v>
      </c>
      <c r="F11" s="52">
        <v>68</v>
      </c>
      <c r="G11" s="43">
        <v>39</v>
      </c>
      <c r="H11" s="57">
        <v>59</v>
      </c>
      <c r="I11" s="43">
        <v>63</v>
      </c>
      <c r="J11" s="57">
        <v>43</v>
      </c>
      <c r="K11" s="43">
        <v>70</v>
      </c>
      <c r="L11" s="57">
        <v>34</v>
      </c>
      <c r="M11" s="43">
        <v>81</v>
      </c>
      <c r="N11" s="57">
        <v>21</v>
      </c>
      <c r="O11" s="48"/>
      <c r="P11" s="57"/>
      <c r="Q11" s="48"/>
      <c r="R11" s="52"/>
      <c r="S11" s="43"/>
      <c r="T11" s="57"/>
      <c r="U11" s="43"/>
      <c r="V11" s="57"/>
      <c r="W11" s="43"/>
      <c r="X11" s="57"/>
      <c r="Y11" s="43"/>
      <c r="Z11" s="57"/>
    </row>
    <row r="12" spans="1:28" s="40" customFormat="1" ht="16.899999999999999" customHeight="1" x14ac:dyDescent="0.25">
      <c r="B12" s="20"/>
      <c r="C12" s="20"/>
      <c r="D12" s="17" t="s">
        <v>25</v>
      </c>
      <c r="E12" s="43">
        <v>34</v>
      </c>
      <c r="F12" s="52">
        <v>63</v>
      </c>
      <c r="G12" s="43">
        <v>45</v>
      </c>
      <c r="H12" s="57">
        <v>57</v>
      </c>
      <c r="I12" s="43">
        <v>69</v>
      </c>
      <c r="J12" s="57">
        <v>28</v>
      </c>
      <c r="K12" s="43">
        <v>73</v>
      </c>
      <c r="L12" s="57">
        <v>32</v>
      </c>
      <c r="M12" s="43">
        <v>91</v>
      </c>
      <c r="N12" s="57">
        <v>16</v>
      </c>
      <c r="O12" s="48"/>
      <c r="P12" s="57"/>
      <c r="Q12" s="48"/>
      <c r="R12" s="52"/>
      <c r="S12" s="43"/>
      <c r="T12" s="57"/>
      <c r="U12" s="43"/>
      <c r="V12" s="57"/>
      <c r="W12" s="43"/>
      <c r="X12" s="57"/>
      <c r="Y12" s="43"/>
      <c r="Z12" s="57"/>
    </row>
    <row r="13" spans="1:28" s="40" customFormat="1" ht="16.899999999999999" customHeight="1" x14ac:dyDescent="0.25">
      <c r="B13" s="20"/>
      <c r="C13" s="20"/>
      <c r="D13" s="17" t="s">
        <v>26</v>
      </c>
      <c r="E13" s="43">
        <v>31</v>
      </c>
      <c r="F13" s="52">
        <v>67</v>
      </c>
      <c r="G13" s="43">
        <v>38</v>
      </c>
      <c r="H13" s="57">
        <v>63</v>
      </c>
      <c r="I13" s="43">
        <v>51</v>
      </c>
      <c r="J13" s="57">
        <v>50</v>
      </c>
      <c r="K13" s="43">
        <v>55</v>
      </c>
      <c r="L13" s="57">
        <v>46</v>
      </c>
      <c r="M13" s="43">
        <v>65</v>
      </c>
      <c r="N13" s="57">
        <v>40</v>
      </c>
      <c r="O13" s="48"/>
      <c r="P13" s="57"/>
      <c r="Q13" s="48"/>
      <c r="R13" s="52"/>
      <c r="S13" s="43"/>
      <c r="T13" s="57"/>
      <c r="U13" s="43"/>
      <c r="V13" s="57"/>
      <c r="W13" s="43"/>
      <c r="X13" s="57"/>
      <c r="Y13" s="43"/>
      <c r="Z13" s="57"/>
    </row>
    <row r="14" spans="1:28" s="40" customFormat="1" ht="16.899999999999999" customHeight="1" x14ac:dyDescent="0.25">
      <c r="B14" s="20"/>
      <c r="C14" s="20"/>
      <c r="D14" s="17" t="s">
        <v>27</v>
      </c>
      <c r="E14" s="43">
        <v>33</v>
      </c>
      <c r="F14" s="52">
        <v>64</v>
      </c>
      <c r="G14" s="43">
        <v>44</v>
      </c>
      <c r="H14" s="57">
        <v>58</v>
      </c>
      <c r="I14" s="43">
        <v>60</v>
      </c>
      <c r="J14" s="57">
        <v>43</v>
      </c>
      <c r="K14" s="43">
        <v>61</v>
      </c>
      <c r="L14" s="57">
        <v>34</v>
      </c>
      <c r="M14" s="43">
        <v>76</v>
      </c>
      <c r="N14" s="57">
        <v>31</v>
      </c>
      <c r="O14" s="48"/>
      <c r="P14" s="57"/>
      <c r="Q14" s="48"/>
      <c r="R14" s="52"/>
      <c r="S14" s="43"/>
      <c r="T14" s="57"/>
      <c r="U14" s="43"/>
      <c r="V14" s="57"/>
      <c r="W14" s="43"/>
      <c r="X14" s="57"/>
      <c r="Y14" s="43"/>
      <c r="Z14" s="57"/>
    </row>
    <row r="15" spans="1:28" s="40" customFormat="1" ht="16.899999999999999" customHeight="1" thickBot="1" x14ac:dyDescent="0.3">
      <c r="B15" s="22"/>
      <c r="C15" s="22"/>
      <c r="D15" s="59" t="s">
        <v>28</v>
      </c>
      <c r="E15" s="45">
        <v>29</v>
      </c>
      <c r="F15" s="53">
        <v>72</v>
      </c>
      <c r="G15" s="45">
        <v>37</v>
      </c>
      <c r="H15" s="58">
        <v>66</v>
      </c>
      <c r="I15" s="45">
        <v>50</v>
      </c>
      <c r="J15" s="58">
        <v>51</v>
      </c>
      <c r="K15" s="45">
        <v>64</v>
      </c>
      <c r="L15" s="58">
        <v>40</v>
      </c>
      <c r="M15" s="45">
        <v>66</v>
      </c>
      <c r="N15" s="58">
        <v>47</v>
      </c>
      <c r="O15" s="49"/>
      <c r="P15" s="58"/>
      <c r="Q15" s="49"/>
      <c r="R15" s="53"/>
      <c r="S15" s="45"/>
      <c r="T15" s="58"/>
      <c r="U15" s="45"/>
      <c r="V15" s="58"/>
      <c r="W15" s="45"/>
      <c r="X15" s="58"/>
      <c r="Y15" s="45"/>
      <c r="Z15" s="58"/>
    </row>
    <row r="16" spans="1:28" s="40" customFormat="1" ht="16.899999999999999" customHeight="1" x14ac:dyDescent="0.25">
      <c r="B16" s="21" t="s">
        <v>0</v>
      </c>
      <c r="C16" s="21" t="s">
        <v>6</v>
      </c>
      <c r="D16" s="15" t="s">
        <v>24</v>
      </c>
      <c r="E16" s="41">
        <v>30</v>
      </c>
      <c r="F16" s="51">
        <v>69</v>
      </c>
      <c r="G16" s="41">
        <v>52</v>
      </c>
      <c r="H16" s="56">
        <v>48</v>
      </c>
      <c r="I16" s="41">
        <v>71</v>
      </c>
      <c r="J16" s="56">
        <v>28</v>
      </c>
      <c r="K16" s="41">
        <v>102</v>
      </c>
      <c r="L16" s="56"/>
      <c r="M16" s="41">
        <v>102</v>
      </c>
      <c r="N16" s="56"/>
      <c r="O16" s="47"/>
      <c r="P16" s="56"/>
      <c r="Q16" s="47"/>
      <c r="R16" s="51"/>
      <c r="S16" s="41"/>
      <c r="T16" s="56"/>
      <c r="U16" s="41"/>
      <c r="V16" s="56"/>
      <c r="W16" s="41"/>
      <c r="X16" s="56"/>
      <c r="Y16" s="41"/>
      <c r="Z16" s="56"/>
    </row>
    <row r="17" spans="2:26" s="40" customFormat="1" ht="16.899999999999999" customHeight="1" x14ac:dyDescent="0.25">
      <c r="B17" s="20"/>
      <c r="C17" s="20" t="s">
        <v>16</v>
      </c>
      <c r="D17" s="17" t="s">
        <v>38</v>
      </c>
      <c r="E17" s="43">
        <v>32</v>
      </c>
      <c r="F17" s="52">
        <v>69</v>
      </c>
      <c r="G17" s="43">
        <v>58</v>
      </c>
      <c r="H17" s="57">
        <v>46</v>
      </c>
      <c r="I17" s="43">
        <v>85</v>
      </c>
      <c r="J17" s="57">
        <v>16</v>
      </c>
      <c r="K17" s="43">
        <v>102</v>
      </c>
      <c r="L17" s="57"/>
      <c r="M17" s="43">
        <v>102</v>
      </c>
      <c r="N17" s="57"/>
      <c r="O17" s="48"/>
      <c r="P17" s="57"/>
      <c r="Q17" s="48"/>
      <c r="R17" s="52"/>
      <c r="S17" s="43"/>
      <c r="T17" s="57"/>
      <c r="U17" s="43"/>
      <c r="V17" s="57"/>
      <c r="W17" s="43"/>
      <c r="X17" s="57"/>
      <c r="Y17" s="43"/>
      <c r="Z17" s="57"/>
    </row>
    <row r="18" spans="2:26" s="40" customFormat="1" ht="16.899999999999999" customHeight="1" x14ac:dyDescent="0.25">
      <c r="B18" s="20"/>
      <c r="C18" s="20"/>
      <c r="D18" s="17" t="s">
        <v>25</v>
      </c>
      <c r="E18" s="43">
        <v>34</v>
      </c>
      <c r="F18" s="52">
        <v>63</v>
      </c>
      <c r="G18" s="43">
        <v>62</v>
      </c>
      <c r="H18" s="57">
        <v>35</v>
      </c>
      <c r="I18" s="43">
        <v>82</v>
      </c>
      <c r="J18" s="57">
        <v>16</v>
      </c>
      <c r="K18" s="43">
        <v>102</v>
      </c>
      <c r="L18" s="57"/>
      <c r="M18" s="43">
        <v>102</v>
      </c>
      <c r="N18" s="57"/>
      <c r="O18" s="48"/>
      <c r="P18" s="57"/>
      <c r="Q18" s="48"/>
      <c r="R18" s="52"/>
      <c r="S18" s="43"/>
      <c r="T18" s="57"/>
      <c r="U18" s="43"/>
      <c r="V18" s="57"/>
      <c r="W18" s="43"/>
      <c r="X18" s="57"/>
      <c r="Y18" s="43"/>
      <c r="Z18" s="57"/>
    </row>
    <row r="19" spans="2:26" s="40" customFormat="1" ht="16.899999999999999" customHeight="1" x14ac:dyDescent="0.25">
      <c r="B19" s="20"/>
      <c r="C19" s="20"/>
      <c r="D19" s="17" t="s">
        <v>26</v>
      </c>
      <c r="E19" s="43">
        <v>36</v>
      </c>
      <c r="F19" s="52">
        <v>66</v>
      </c>
      <c r="G19" s="43">
        <v>54</v>
      </c>
      <c r="H19" s="57">
        <v>44</v>
      </c>
      <c r="I19" s="43">
        <v>85</v>
      </c>
      <c r="J19" s="57">
        <v>18</v>
      </c>
      <c r="K19" s="43">
        <v>102</v>
      </c>
      <c r="L19" s="57"/>
      <c r="M19" s="43">
        <v>102</v>
      </c>
      <c r="N19" s="57"/>
      <c r="O19" s="48"/>
      <c r="P19" s="57"/>
      <c r="Q19" s="48"/>
      <c r="R19" s="52"/>
      <c r="S19" s="43"/>
      <c r="T19" s="57"/>
      <c r="U19" s="43"/>
      <c r="V19" s="57"/>
      <c r="W19" s="43"/>
      <c r="X19" s="57"/>
      <c r="Y19" s="43"/>
      <c r="Z19" s="57"/>
    </row>
    <row r="20" spans="2:26" s="40" customFormat="1" ht="16.899999999999999" customHeight="1" x14ac:dyDescent="0.25">
      <c r="B20" s="20"/>
      <c r="C20" s="20"/>
      <c r="D20" s="17" t="s">
        <v>27</v>
      </c>
      <c r="E20" s="43">
        <v>34</v>
      </c>
      <c r="F20" s="52">
        <v>62</v>
      </c>
      <c r="G20" s="43">
        <v>52</v>
      </c>
      <c r="H20" s="57">
        <v>37</v>
      </c>
      <c r="I20" s="43">
        <v>68</v>
      </c>
      <c r="J20" s="57">
        <v>26</v>
      </c>
      <c r="K20" s="43">
        <v>89</v>
      </c>
      <c r="L20" s="57">
        <v>12</v>
      </c>
      <c r="M20" s="43">
        <v>102</v>
      </c>
      <c r="N20" s="57"/>
      <c r="O20" s="48"/>
      <c r="P20" s="57"/>
      <c r="Q20" s="48"/>
      <c r="R20" s="52"/>
      <c r="S20" s="43"/>
      <c r="T20" s="57"/>
      <c r="U20" s="43"/>
      <c r="V20" s="57"/>
      <c r="W20" s="43"/>
      <c r="X20" s="57"/>
      <c r="Y20" s="43"/>
      <c r="Z20" s="57"/>
    </row>
    <row r="21" spans="2:26" s="40" customFormat="1" ht="16.899999999999999" customHeight="1" thickBot="1" x14ac:dyDescent="0.3">
      <c r="B21" s="22"/>
      <c r="C21" s="22"/>
      <c r="D21" s="59" t="s">
        <v>28</v>
      </c>
      <c r="E21" s="45">
        <v>34</v>
      </c>
      <c r="F21" s="53">
        <v>63</v>
      </c>
      <c r="G21" s="45">
        <v>44</v>
      </c>
      <c r="H21" s="58">
        <v>57</v>
      </c>
      <c r="I21" s="45">
        <v>62</v>
      </c>
      <c r="J21" s="58">
        <v>40</v>
      </c>
      <c r="K21" s="45">
        <v>74</v>
      </c>
      <c r="L21" s="58">
        <v>30</v>
      </c>
      <c r="M21" s="45">
        <v>80</v>
      </c>
      <c r="N21" s="58">
        <v>23</v>
      </c>
      <c r="O21" s="49"/>
      <c r="P21" s="58"/>
      <c r="Q21" s="49"/>
      <c r="R21" s="53"/>
      <c r="S21" s="45"/>
      <c r="T21" s="58"/>
      <c r="U21" s="45"/>
      <c r="V21" s="58"/>
      <c r="W21" s="45"/>
      <c r="X21" s="58"/>
      <c r="Y21" s="45"/>
      <c r="Z21" s="58"/>
    </row>
    <row r="22" spans="2:26" s="40" customFormat="1" ht="16.899999999999999" customHeight="1" thickBot="1" x14ac:dyDescent="0.3">
      <c r="B22" s="21" t="s">
        <v>1</v>
      </c>
      <c r="C22" s="21" t="s">
        <v>7</v>
      </c>
      <c r="D22" s="15" t="s">
        <v>24</v>
      </c>
      <c r="E22" s="41">
        <v>29</v>
      </c>
      <c r="F22" s="51">
        <v>64</v>
      </c>
      <c r="G22" s="41">
        <v>51</v>
      </c>
      <c r="H22" s="56">
        <v>47</v>
      </c>
      <c r="I22" s="41">
        <v>81</v>
      </c>
      <c r="J22" s="56">
        <v>24</v>
      </c>
      <c r="K22" s="41">
        <v>102</v>
      </c>
      <c r="L22" s="56"/>
      <c r="M22" s="41">
        <v>102</v>
      </c>
      <c r="N22" s="56"/>
      <c r="O22" s="47"/>
      <c r="P22" s="56"/>
      <c r="Q22" s="47"/>
      <c r="R22" s="51"/>
      <c r="S22" s="41"/>
      <c r="T22" s="56"/>
      <c r="U22" s="41"/>
      <c r="V22" s="56"/>
      <c r="W22" s="41"/>
      <c r="X22" s="56"/>
      <c r="Y22" s="41"/>
      <c r="Z22" s="56"/>
    </row>
    <row r="23" spans="2:26" s="40" customFormat="1" ht="16.899999999999999" customHeight="1" thickBot="1" x14ac:dyDescent="0.3">
      <c r="B23" s="20"/>
      <c r="C23" s="20" t="s">
        <v>17</v>
      </c>
      <c r="D23" s="17" t="s">
        <v>38</v>
      </c>
      <c r="E23" s="43">
        <v>28</v>
      </c>
      <c r="F23" s="52">
        <v>70</v>
      </c>
      <c r="G23" s="43">
        <v>56</v>
      </c>
      <c r="H23" s="57">
        <v>45</v>
      </c>
      <c r="I23" s="43">
        <v>73</v>
      </c>
      <c r="J23" s="57">
        <v>16</v>
      </c>
      <c r="K23" s="43">
        <v>102</v>
      </c>
      <c r="L23" s="57"/>
      <c r="M23" s="41">
        <v>102</v>
      </c>
      <c r="N23" s="57"/>
      <c r="O23" s="48"/>
      <c r="P23" s="57"/>
      <c r="Q23" s="48"/>
      <c r="R23" s="52"/>
      <c r="S23" s="43"/>
      <c r="T23" s="57"/>
      <c r="U23" s="43"/>
      <c r="V23" s="57"/>
      <c r="W23" s="43"/>
      <c r="X23" s="57"/>
      <c r="Y23" s="43"/>
      <c r="Z23" s="57"/>
    </row>
    <row r="24" spans="2:26" s="40" customFormat="1" ht="16.899999999999999" customHeight="1" thickBot="1" x14ac:dyDescent="0.3">
      <c r="B24" s="20"/>
      <c r="C24" s="20"/>
      <c r="D24" s="17" t="s">
        <v>25</v>
      </c>
      <c r="E24" s="43">
        <v>36</v>
      </c>
      <c r="F24" s="52">
        <v>67</v>
      </c>
      <c r="G24" s="43">
        <v>58</v>
      </c>
      <c r="H24" s="57">
        <v>44</v>
      </c>
      <c r="I24" s="43">
        <v>89</v>
      </c>
      <c r="J24" s="57">
        <v>13</v>
      </c>
      <c r="K24" s="43">
        <v>102</v>
      </c>
      <c r="L24" s="57"/>
      <c r="M24" s="41">
        <v>102</v>
      </c>
      <c r="N24" s="57"/>
      <c r="O24" s="48"/>
      <c r="P24" s="57"/>
      <c r="Q24" s="48"/>
      <c r="R24" s="52"/>
      <c r="S24" s="43"/>
      <c r="T24" s="57"/>
      <c r="U24" s="43"/>
      <c r="V24" s="57"/>
      <c r="W24" s="43"/>
      <c r="X24" s="57"/>
      <c r="Y24" s="43"/>
      <c r="Z24" s="57"/>
    </row>
    <row r="25" spans="2:26" s="40" customFormat="1" ht="16.899999999999999" customHeight="1" thickBot="1" x14ac:dyDescent="0.3">
      <c r="B25" s="20"/>
      <c r="C25" s="20"/>
      <c r="D25" s="17" t="s">
        <v>26</v>
      </c>
      <c r="E25" s="43">
        <v>29</v>
      </c>
      <c r="F25" s="52">
        <v>70</v>
      </c>
      <c r="G25" s="43">
        <v>51</v>
      </c>
      <c r="H25" s="57">
        <v>52</v>
      </c>
      <c r="I25" s="43">
        <v>74</v>
      </c>
      <c r="J25" s="57">
        <v>24</v>
      </c>
      <c r="K25" s="43">
        <v>102</v>
      </c>
      <c r="L25" s="57"/>
      <c r="M25" s="41">
        <v>102</v>
      </c>
      <c r="N25" s="57"/>
      <c r="O25" s="48"/>
      <c r="P25" s="57"/>
      <c r="Q25" s="48"/>
      <c r="R25" s="52"/>
      <c r="S25" s="43"/>
      <c r="T25" s="57"/>
      <c r="U25" s="43"/>
      <c r="V25" s="57"/>
      <c r="W25" s="43"/>
      <c r="X25" s="57"/>
      <c r="Y25" s="43"/>
      <c r="Z25" s="57"/>
    </row>
    <row r="26" spans="2:26" s="40" customFormat="1" ht="16.899999999999999" customHeight="1" thickBot="1" x14ac:dyDescent="0.3">
      <c r="B26" s="20"/>
      <c r="C26" s="20"/>
      <c r="D26" s="17" t="s">
        <v>27</v>
      </c>
      <c r="E26" s="43">
        <v>31</v>
      </c>
      <c r="F26" s="52">
        <v>69</v>
      </c>
      <c r="G26" s="43">
        <v>50</v>
      </c>
      <c r="H26" s="57">
        <v>53</v>
      </c>
      <c r="I26" s="43">
        <v>68</v>
      </c>
      <c r="J26" s="57">
        <v>27</v>
      </c>
      <c r="K26" s="43">
        <v>102</v>
      </c>
      <c r="L26" s="57"/>
      <c r="M26" s="41">
        <v>102</v>
      </c>
      <c r="N26" s="57"/>
      <c r="O26" s="48"/>
      <c r="P26" s="57"/>
      <c r="Q26" s="48"/>
      <c r="R26" s="52"/>
      <c r="S26" s="43"/>
      <c r="T26" s="57"/>
      <c r="U26" s="43"/>
      <c r="V26" s="57"/>
      <c r="W26" s="43"/>
      <c r="X26" s="57"/>
      <c r="Y26" s="43"/>
      <c r="Z26" s="57"/>
    </row>
    <row r="27" spans="2:26" s="40" customFormat="1" ht="16.899999999999999" customHeight="1" thickBot="1" x14ac:dyDescent="0.3">
      <c r="B27" s="22"/>
      <c r="C27" s="22"/>
      <c r="D27" s="59" t="s">
        <v>28</v>
      </c>
      <c r="E27" s="45">
        <v>27</v>
      </c>
      <c r="F27" s="53">
        <v>72</v>
      </c>
      <c r="G27" s="45">
        <v>48</v>
      </c>
      <c r="H27" s="58">
        <v>57</v>
      </c>
      <c r="I27" s="45">
        <v>63</v>
      </c>
      <c r="J27" s="58">
        <v>37</v>
      </c>
      <c r="K27" s="45">
        <v>69</v>
      </c>
      <c r="L27" s="58">
        <v>32</v>
      </c>
      <c r="M27" s="41">
        <v>102</v>
      </c>
      <c r="N27" s="58"/>
      <c r="O27" s="49"/>
      <c r="P27" s="58"/>
      <c r="Q27" s="49"/>
      <c r="R27" s="53"/>
      <c r="S27" s="45"/>
      <c r="T27" s="58"/>
      <c r="U27" s="45"/>
      <c r="V27" s="58"/>
      <c r="W27" s="45"/>
      <c r="X27" s="58"/>
      <c r="Y27" s="45"/>
      <c r="Z27" s="58"/>
    </row>
    <row r="28" spans="2:26" s="40" customFormat="1" ht="16.899999999999999" customHeight="1" thickBot="1" x14ac:dyDescent="0.3">
      <c r="B28" s="26" t="s">
        <v>1</v>
      </c>
      <c r="C28" s="26" t="s">
        <v>8</v>
      </c>
      <c r="D28" s="60" t="s">
        <v>24</v>
      </c>
      <c r="E28" s="41">
        <v>36</v>
      </c>
      <c r="F28" s="51">
        <v>65</v>
      </c>
      <c r="G28" s="41">
        <v>63</v>
      </c>
      <c r="H28" s="56">
        <v>33</v>
      </c>
      <c r="I28" s="41">
        <v>93</v>
      </c>
      <c r="J28" s="56">
        <v>18</v>
      </c>
      <c r="K28" s="41">
        <v>102</v>
      </c>
      <c r="L28" s="56"/>
      <c r="M28" s="41">
        <v>102</v>
      </c>
      <c r="N28" s="56"/>
      <c r="O28" s="47"/>
      <c r="P28" s="56"/>
      <c r="Q28" s="47"/>
      <c r="R28" s="51"/>
      <c r="S28" s="41"/>
      <c r="T28" s="56"/>
      <c r="U28" s="41"/>
      <c r="V28" s="56"/>
      <c r="W28" s="41"/>
      <c r="X28" s="56"/>
      <c r="Y28" s="41"/>
      <c r="Z28" s="56"/>
    </row>
    <row r="29" spans="2:26" s="40" customFormat="1" ht="16.899999999999999" customHeight="1" thickBot="1" x14ac:dyDescent="0.3">
      <c r="B29" s="28"/>
      <c r="C29" s="28" t="s">
        <v>18</v>
      </c>
      <c r="D29" s="61" t="s">
        <v>38</v>
      </c>
      <c r="E29" s="43">
        <v>36</v>
      </c>
      <c r="F29" s="52">
        <v>63</v>
      </c>
      <c r="G29" s="43">
        <v>61</v>
      </c>
      <c r="H29" s="57">
        <v>43</v>
      </c>
      <c r="I29" s="43">
        <v>93</v>
      </c>
      <c r="J29" s="57">
        <v>19</v>
      </c>
      <c r="K29" s="43">
        <v>102</v>
      </c>
      <c r="L29" s="57"/>
      <c r="M29" s="41">
        <v>102</v>
      </c>
      <c r="N29" s="57"/>
      <c r="O29" s="48"/>
      <c r="P29" s="57"/>
      <c r="Q29" s="48"/>
      <c r="R29" s="52"/>
      <c r="S29" s="43"/>
      <c r="T29" s="57"/>
      <c r="U29" s="43"/>
      <c r="V29" s="57"/>
      <c r="W29" s="43"/>
      <c r="X29" s="57"/>
      <c r="Y29" s="43"/>
      <c r="Z29" s="57"/>
    </row>
    <row r="30" spans="2:26" s="40" customFormat="1" ht="16.899999999999999" customHeight="1" thickBot="1" x14ac:dyDescent="0.3">
      <c r="B30" s="28"/>
      <c r="C30" s="28"/>
      <c r="D30" s="61" t="s">
        <v>25</v>
      </c>
      <c r="E30" s="43">
        <v>38</v>
      </c>
      <c r="F30" s="52">
        <v>58</v>
      </c>
      <c r="G30" s="43">
        <v>63</v>
      </c>
      <c r="H30" s="57">
        <v>43</v>
      </c>
      <c r="I30" s="43">
        <v>85</v>
      </c>
      <c r="J30" s="57">
        <v>14</v>
      </c>
      <c r="K30" s="43">
        <v>102</v>
      </c>
      <c r="L30" s="57"/>
      <c r="M30" s="41">
        <v>102</v>
      </c>
      <c r="N30" s="57"/>
      <c r="O30" s="48"/>
      <c r="P30" s="57"/>
      <c r="Q30" s="48"/>
      <c r="R30" s="52"/>
      <c r="S30" s="43"/>
      <c r="T30" s="57"/>
      <c r="U30" s="43"/>
      <c r="V30" s="57"/>
      <c r="W30" s="43"/>
      <c r="X30" s="57"/>
      <c r="Y30" s="43"/>
      <c r="Z30" s="57"/>
    </row>
    <row r="31" spans="2:26" s="40" customFormat="1" ht="16.899999999999999" customHeight="1" thickBot="1" x14ac:dyDescent="0.3">
      <c r="B31" s="28"/>
      <c r="C31" s="28"/>
      <c r="D31" s="61" t="s">
        <v>26</v>
      </c>
      <c r="E31" s="43">
        <v>39</v>
      </c>
      <c r="F31" s="52">
        <v>65</v>
      </c>
      <c r="G31" s="43">
        <v>62</v>
      </c>
      <c r="H31" s="57">
        <v>43</v>
      </c>
      <c r="I31" s="43">
        <v>77</v>
      </c>
      <c r="J31" s="57">
        <v>22</v>
      </c>
      <c r="K31" s="43">
        <v>102</v>
      </c>
      <c r="L31" s="57"/>
      <c r="M31" s="41">
        <v>102</v>
      </c>
      <c r="N31" s="57"/>
      <c r="O31" s="48"/>
      <c r="P31" s="57"/>
      <c r="Q31" s="48"/>
      <c r="R31" s="52"/>
      <c r="S31" s="43"/>
      <c r="T31" s="57"/>
      <c r="U31" s="43"/>
      <c r="V31" s="57"/>
      <c r="W31" s="43"/>
      <c r="X31" s="57"/>
      <c r="Y31" s="43"/>
      <c r="Z31" s="57"/>
    </row>
    <row r="32" spans="2:26" s="40" customFormat="1" ht="16.899999999999999" customHeight="1" x14ac:dyDescent="0.25">
      <c r="B32" s="28"/>
      <c r="C32" s="28"/>
      <c r="D32" s="61" t="s">
        <v>27</v>
      </c>
      <c r="E32" s="43">
        <v>24</v>
      </c>
      <c r="F32" s="52">
        <v>75</v>
      </c>
      <c r="G32" s="43">
        <v>51</v>
      </c>
      <c r="H32" s="57">
        <v>48</v>
      </c>
      <c r="I32" s="43">
        <v>75</v>
      </c>
      <c r="J32" s="57">
        <v>24</v>
      </c>
      <c r="K32" s="43">
        <v>102</v>
      </c>
      <c r="L32" s="57"/>
      <c r="M32" s="41">
        <v>102</v>
      </c>
      <c r="N32" s="57"/>
      <c r="O32" s="48"/>
      <c r="P32" s="57"/>
      <c r="Q32" s="48"/>
      <c r="R32" s="52"/>
      <c r="S32" s="43"/>
      <c r="T32" s="57"/>
      <c r="U32" s="43"/>
      <c r="V32" s="57"/>
      <c r="W32" s="43"/>
      <c r="X32" s="57"/>
      <c r="Y32" s="43"/>
      <c r="Z32" s="57"/>
    </row>
    <row r="33" spans="2:26" s="40" customFormat="1" ht="16.899999999999999" customHeight="1" thickBot="1" x14ac:dyDescent="0.3">
      <c r="B33" s="30"/>
      <c r="C33" s="30"/>
      <c r="D33" s="62" t="s">
        <v>28</v>
      </c>
      <c r="E33" s="45">
        <v>27</v>
      </c>
      <c r="F33" s="53">
        <v>65</v>
      </c>
      <c r="G33" s="45">
        <v>44</v>
      </c>
      <c r="H33" s="58">
        <v>54</v>
      </c>
      <c r="I33" s="45">
        <v>64</v>
      </c>
      <c r="J33" s="58">
        <v>28</v>
      </c>
      <c r="K33" s="45">
        <v>79</v>
      </c>
      <c r="L33" s="58">
        <v>22</v>
      </c>
      <c r="M33" s="45">
        <v>83</v>
      </c>
      <c r="N33" s="58">
        <v>21</v>
      </c>
      <c r="O33" s="49"/>
      <c r="P33" s="58"/>
      <c r="Q33" s="49"/>
      <c r="R33" s="53"/>
      <c r="S33" s="45"/>
      <c r="T33" s="58"/>
      <c r="U33" s="45"/>
      <c r="V33" s="58"/>
      <c r="W33" s="45"/>
      <c r="X33" s="58"/>
      <c r="Y33" s="45"/>
      <c r="Z33" s="58"/>
    </row>
    <row r="34" spans="2:26" s="40" customFormat="1" ht="16.899999999999999" customHeight="1" x14ac:dyDescent="0.25">
      <c r="B34" s="26" t="s">
        <v>2</v>
      </c>
      <c r="C34" s="26" t="s">
        <v>9</v>
      </c>
      <c r="D34" s="60" t="s">
        <v>24</v>
      </c>
      <c r="E34" s="41">
        <v>36</v>
      </c>
      <c r="F34" s="51">
        <v>44</v>
      </c>
      <c r="G34" s="41">
        <v>52</v>
      </c>
      <c r="H34" s="56">
        <v>47</v>
      </c>
      <c r="I34" s="41">
        <v>78</v>
      </c>
      <c r="J34" s="56">
        <v>15</v>
      </c>
      <c r="K34" s="41">
        <v>78</v>
      </c>
      <c r="L34" s="56">
        <v>23</v>
      </c>
      <c r="M34" s="41">
        <v>102</v>
      </c>
      <c r="N34" s="56"/>
      <c r="O34" s="47"/>
      <c r="P34" s="56"/>
      <c r="Q34" s="47"/>
      <c r="R34" s="51"/>
      <c r="S34" s="41"/>
      <c r="T34" s="56"/>
      <c r="U34" s="41"/>
      <c r="V34" s="56"/>
      <c r="W34" s="41"/>
      <c r="X34" s="56"/>
      <c r="Y34" s="41"/>
      <c r="Z34" s="56"/>
    </row>
    <row r="35" spans="2:26" s="40" customFormat="1" ht="16.899999999999999" customHeight="1" x14ac:dyDescent="0.25">
      <c r="B35" s="28"/>
      <c r="C35" s="28" t="s">
        <v>19</v>
      </c>
      <c r="D35" s="61" t="s">
        <v>38</v>
      </c>
      <c r="E35" s="43">
        <v>30</v>
      </c>
      <c r="F35" s="52">
        <v>72</v>
      </c>
      <c r="G35" s="43">
        <v>60</v>
      </c>
      <c r="H35" s="57">
        <v>42</v>
      </c>
      <c r="I35" s="43">
        <v>91</v>
      </c>
      <c r="J35" s="57">
        <v>11</v>
      </c>
      <c r="K35" s="43">
        <v>102</v>
      </c>
      <c r="L35" s="57"/>
      <c r="M35" s="43">
        <v>102</v>
      </c>
      <c r="N35" s="57"/>
      <c r="O35" s="48"/>
      <c r="P35" s="57"/>
      <c r="Q35" s="48"/>
      <c r="R35" s="52"/>
      <c r="S35" s="43"/>
      <c r="T35" s="57"/>
      <c r="U35" s="43"/>
      <c r="V35" s="57"/>
      <c r="W35" s="43"/>
      <c r="X35" s="57"/>
      <c r="Y35" s="43"/>
      <c r="Z35" s="57"/>
    </row>
    <row r="36" spans="2:26" s="40" customFormat="1" ht="16.899999999999999" customHeight="1" x14ac:dyDescent="0.25">
      <c r="B36" s="28"/>
      <c r="C36" s="28"/>
      <c r="D36" s="61" t="s">
        <v>25</v>
      </c>
      <c r="E36" s="43">
        <v>34</v>
      </c>
      <c r="F36" s="52">
        <v>68</v>
      </c>
      <c r="G36" s="43">
        <v>58</v>
      </c>
      <c r="H36" s="57">
        <v>41</v>
      </c>
      <c r="I36" s="43">
        <v>91</v>
      </c>
      <c r="J36" s="57">
        <v>10</v>
      </c>
      <c r="K36" s="43">
        <v>102</v>
      </c>
      <c r="L36" s="57"/>
      <c r="M36" s="43">
        <v>102</v>
      </c>
      <c r="N36" s="57"/>
      <c r="O36" s="48"/>
      <c r="P36" s="57"/>
      <c r="Q36" s="48"/>
      <c r="R36" s="52"/>
      <c r="S36" s="43"/>
      <c r="T36" s="57"/>
      <c r="U36" s="43"/>
      <c r="V36" s="57"/>
      <c r="W36" s="43"/>
      <c r="X36" s="57"/>
      <c r="Y36" s="43"/>
      <c r="Z36" s="57"/>
    </row>
    <row r="37" spans="2:26" s="40" customFormat="1" ht="16.899999999999999" customHeight="1" x14ac:dyDescent="0.25">
      <c r="B37" s="28"/>
      <c r="C37" s="28"/>
      <c r="D37" s="61" t="s">
        <v>26</v>
      </c>
      <c r="E37" s="43">
        <v>32</v>
      </c>
      <c r="F37" s="52">
        <v>67</v>
      </c>
      <c r="G37" s="43">
        <v>63</v>
      </c>
      <c r="H37" s="57">
        <v>41</v>
      </c>
      <c r="I37" s="43">
        <v>84</v>
      </c>
      <c r="J37" s="57">
        <v>16</v>
      </c>
      <c r="K37" s="43">
        <v>102</v>
      </c>
      <c r="L37" s="57"/>
      <c r="M37" s="43">
        <v>102</v>
      </c>
      <c r="N37" s="57"/>
      <c r="O37" s="48"/>
      <c r="P37" s="57"/>
      <c r="Q37" s="48"/>
      <c r="R37" s="52"/>
      <c r="S37" s="43"/>
      <c r="T37" s="57"/>
      <c r="U37" s="43"/>
      <c r="V37" s="57"/>
      <c r="W37" s="43"/>
      <c r="X37" s="57"/>
      <c r="Y37" s="43"/>
      <c r="Z37" s="57"/>
    </row>
    <row r="38" spans="2:26" s="40" customFormat="1" ht="16.899999999999999" customHeight="1" x14ac:dyDescent="0.25">
      <c r="B38" s="28"/>
      <c r="C38" s="28"/>
      <c r="D38" s="61" t="s">
        <v>27</v>
      </c>
      <c r="E38" s="43">
        <v>36</v>
      </c>
      <c r="F38" s="52">
        <v>66</v>
      </c>
      <c r="G38" s="43">
        <v>58</v>
      </c>
      <c r="H38" s="57">
        <v>41</v>
      </c>
      <c r="I38" s="43">
        <v>85</v>
      </c>
      <c r="J38" s="57">
        <v>16</v>
      </c>
      <c r="K38" s="43">
        <v>102</v>
      </c>
      <c r="L38" s="57"/>
      <c r="M38" s="43">
        <v>102</v>
      </c>
      <c r="N38" s="57"/>
      <c r="O38" s="48"/>
      <c r="P38" s="57"/>
      <c r="Q38" s="48"/>
      <c r="R38" s="52"/>
      <c r="S38" s="43"/>
      <c r="T38" s="57"/>
      <c r="U38" s="43"/>
      <c r="V38" s="57"/>
      <c r="W38" s="43"/>
      <c r="X38" s="57"/>
      <c r="Y38" s="43"/>
      <c r="Z38" s="57"/>
    </row>
    <row r="39" spans="2:26" s="40" customFormat="1" ht="16.899999999999999" customHeight="1" thickBot="1" x14ac:dyDescent="0.3">
      <c r="B39" s="30"/>
      <c r="C39" s="30"/>
      <c r="D39" s="62" t="s">
        <v>28</v>
      </c>
      <c r="E39" s="45">
        <v>31</v>
      </c>
      <c r="F39" s="53">
        <v>72</v>
      </c>
      <c r="G39" s="45">
        <v>45</v>
      </c>
      <c r="H39" s="58">
        <v>57</v>
      </c>
      <c r="I39" s="45">
        <v>65</v>
      </c>
      <c r="J39" s="58">
        <v>26</v>
      </c>
      <c r="K39" s="45">
        <v>72</v>
      </c>
      <c r="L39" s="58">
        <v>32</v>
      </c>
      <c r="M39" s="45">
        <v>88</v>
      </c>
      <c r="N39" s="58">
        <v>14</v>
      </c>
      <c r="O39" s="49"/>
      <c r="P39" s="58"/>
      <c r="Q39" s="49"/>
      <c r="R39" s="53"/>
      <c r="S39" s="45"/>
      <c r="T39" s="58"/>
      <c r="U39" s="45"/>
      <c r="V39" s="58"/>
      <c r="W39" s="45"/>
      <c r="X39" s="58"/>
      <c r="Y39" s="45"/>
      <c r="Z39" s="58"/>
    </row>
    <row r="40" spans="2:26" s="40" customFormat="1" ht="16.899999999999999" customHeight="1" x14ac:dyDescent="0.25">
      <c r="B40" s="21" t="s">
        <v>2</v>
      </c>
      <c r="C40" s="21" t="s">
        <v>10</v>
      </c>
      <c r="D40" s="15" t="s">
        <v>24</v>
      </c>
      <c r="E40" s="41">
        <v>28</v>
      </c>
      <c r="F40" s="51">
        <v>76</v>
      </c>
      <c r="G40" s="41">
        <v>38</v>
      </c>
      <c r="H40" s="56">
        <v>61</v>
      </c>
      <c r="I40" s="41">
        <v>56</v>
      </c>
      <c r="J40" s="56">
        <v>39</v>
      </c>
      <c r="K40" s="41">
        <v>50</v>
      </c>
      <c r="L40" s="56">
        <v>52</v>
      </c>
      <c r="M40" s="41">
        <v>70</v>
      </c>
      <c r="N40" s="56">
        <v>31</v>
      </c>
      <c r="O40" s="47"/>
      <c r="P40" s="56"/>
      <c r="Q40" s="47"/>
      <c r="R40" s="51"/>
      <c r="S40" s="41"/>
      <c r="T40" s="56"/>
      <c r="U40" s="41"/>
      <c r="V40" s="56"/>
      <c r="W40" s="41"/>
      <c r="X40" s="56"/>
      <c r="Y40" s="41"/>
      <c r="Z40" s="56"/>
    </row>
    <row r="41" spans="2:26" s="40" customFormat="1" ht="16.899999999999999" customHeight="1" x14ac:dyDescent="0.25">
      <c r="B41" s="20"/>
      <c r="C41" s="20" t="s">
        <v>15</v>
      </c>
      <c r="D41" s="17" t="s">
        <v>38</v>
      </c>
      <c r="E41" s="43">
        <v>28</v>
      </c>
      <c r="F41" s="52">
        <v>76</v>
      </c>
      <c r="G41" s="43">
        <v>39</v>
      </c>
      <c r="H41" s="57">
        <v>62</v>
      </c>
      <c r="I41" s="43">
        <v>58</v>
      </c>
      <c r="J41" s="57">
        <v>56</v>
      </c>
      <c r="K41" s="43">
        <v>63</v>
      </c>
      <c r="L41" s="57">
        <v>40</v>
      </c>
      <c r="M41" s="43">
        <v>75</v>
      </c>
      <c r="N41" s="57">
        <v>26</v>
      </c>
      <c r="O41" s="48"/>
      <c r="P41" s="57"/>
      <c r="Q41" s="48"/>
      <c r="R41" s="52"/>
      <c r="S41" s="43"/>
      <c r="T41" s="57"/>
      <c r="U41" s="43"/>
      <c r="V41" s="57"/>
      <c r="W41" s="43"/>
      <c r="X41" s="57"/>
      <c r="Y41" s="43"/>
      <c r="Z41" s="57"/>
    </row>
    <row r="42" spans="2:26" s="40" customFormat="1" ht="16.899999999999999" customHeight="1" x14ac:dyDescent="0.25">
      <c r="B42" s="20"/>
      <c r="C42" s="20"/>
      <c r="D42" s="17" t="s">
        <v>25</v>
      </c>
      <c r="E42" s="43">
        <v>31</v>
      </c>
      <c r="F42" s="52">
        <v>75</v>
      </c>
      <c r="G42" s="43">
        <v>41</v>
      </c>
      <c r="H42" s="57">
        <v>64</v>
      </c>
      <c r="I42" s="43">
        <v>63</v>
      </c>
      <c r="J42" s="57">
        <v>36</v>
      </c>
      <c r="K42" s="43">
        <v>63</v>
      </c>
      <c r="L42" s="57">
        <v>40</v>
      </c>
      <c r="M42" s="43">
        <v>81</v>
      </c>
      <c r="N42" s="57">
        <v>21</v>
      </c>
      <c r="O42" s="48"/>
      <c r="P42" s="57"/>
      <c r="Q42" s="48"/>
      <c r="R42" s="52"/>
      <c r="S42" s="43"/>
      <c r="T42" s="57"/>
      <c r="U42" s="43"/>
      <c r="V42" s="57"/>
      <c r="W42" s="43"/>
      <c r="X42" s="57"/>
      <c r="Y42" s="43"/>
      <c r="Z42" s="57"/>
    </row>
    <row r="43" spans="2:26" s="40" customFormat="1" ht="16.899999999999999" customHeight="1" x14ac:dyDescent="0.25">
      <c r="B43" s="20"/>
      <c r="C43" s="20"/>
      <c r="D43" s="17" t="s">
        <v>26</v>
      </c>
      <c r="E43" s="43">
        <v>29</v>
      </c>
      <c r="F43" s="52">
        <v>74</v>
      </c>
      <c r="G43" s="43">
        <v>38</v>
      </c>
      <c r="H43" s="57">
        <v>64</v>
      </c>
      <c r="I43" s="43">
        <v>61</v>
      </c>
      <c r="J43" s="57">
        <v>40</v>
      </c>
      <c r="K43" s="43">
        <v>63</v>
      </c>
      <c r="L43" s="57">
        <v>41</v>
      </c>
      <c r="M43" s="43">
        <v>77</v>
      </c>
      <c r="N43" s="57">
        <v>26</v>
      </c>
      <c r="O43" s="48"/>
      <c r="P43" s="57"/>
      <c r="Q43" s="48"/>
      <c r="R43" s="52"/>
      <c r="S43" s="43"/>
      <c r="T43" s="57"/>
      <c r="U43" s="43"/>
      <c r="V43" s="57"/>
      <c r="W43" s="43"/>
      <c r="X43" s="57"/>
      <c r="Y43" s="43"/>
      <c r="Z43" s="57"/>
    </row>
    <row r="44" spans="2:26" s="40" customFormat="1" ht="16.899999999999999" customHeight="1" x14ac:dyDescent="0.25">
      <c r="B44" s="20"/>
      <c r="C44" s="20"/>
      <c r="D44" s="17" t="s">
        <v>27</v>
      </c>
      <c r="E44" s="43">
        <v>32</v>
      </c>
      <c r="F44" s="52">
        <v>70</v>
      </c>
      <c r="G44" s="43">
        <v>45</v>
      </c>
      <c r="H44" s="57">
        <v>59</v>
      </c>
      <c r="I44" s="43">
        <v>60</v>
      </c>
      <c r="J44" s="57">
        <v>41</v>
      </c>
      <c r="K44" s="43">
        <v>61</v>
      </c>
      <c r="L44" s="57">
        <v>38</v>
      </c>
      <c r="M44" s="43">
        <v>74</v>
      </c>
      <c r="N44" s="57">
        <v>26</v>
      </c>
      <c r="O44" s="48"/>
      <c r="P44" s="57"/>
      <c r="Q44" s="48"/>
      <c r="R44" s="52"/>
      <c r="S44" s="43"/>
      <c r="T44" s="57"/>
      <c r="U44" s="43"/>
      <c r="V44" s="57"/>
      <c r="W44" s="43"/>
      <c r="X44" s="57"/>
      <c r="Y44" s="43"/>
      <c r="Z44" s="57"/>
    </row>
    <row r="45" spans="2:26" s="40" customFormat="1" ht="16.899999999999999" customHeight="1" thickBot="1" x14ac:dyDescent="0.3">
      <c r="B45" s="22"/>
      <c r="C45" s="22"/>
      <c r="D45" s="59" t="s">
        <v>28</v>
      </c>
      <c r="E45" s="45">
        <v>25</v>
      </c>
      <c r="F45" s="53">
        <v>78</v>
      </c>
      <c r="G45" s="45">
        <v>41</v>
      </c>
      <c r="H45" s="58">
        <v>57</v>
      </c>
      <c r="I45" s="45">
        <v>59</v>
      </c>
      <c r="J45" s="58">
        <v>45</v>
      </c>
      <c r="K45" s="45">
        <v>60</v>
      </c>
      <c r="L45" s="58">
        <v>41</v>
      </c>
      <c r="M45" s="45">
        <v>76</v>
      </c>
      <c r="N45" s="58">
        <v>25</v>
      </c>
      <c r="O45" s="49"/>
      <c r="P45" s="58"/>
      <c r="Q45" s="49"/>
      <c r="R45" s="53"/>
      <c r="S45" s="45"/>
      <c r="T45" s="58"/>
      <c r="U45" s="45"/>
      <c r="V45" s="58"/>
      <c r="W45" s="45"/>
      <c r="X45" s="58"/>
      <c r="Y45" s="45"/>
      <c r="Z45" s="58"/>
    </row>
    <row r="46" spans="2:26" s="40" customFormat="1" ht="16.899999999999999" customHeight="1" x14ac:dyDescent="0.25">
      <c r="B46" s="21" t="s">
        <v>3</v>
      </c>
      <c r="C46" s="21" t="s">
        <v>11</v>
      </c>
      <c r="D46" s="15" t="s">
        <v>24</v>
      </c>
      <c r="E46" s="41">
        <v>23</v>
      </c>
      <c r="F46" s="51">
        <v>75</v>
      </c>
      <c r="G46" s="41">
        <v>44</v>
      </c>
      <c r="H46" s="56">
        <v>60</v>
      </c>
      <c r="I46" s="41">
        <v>72</v>
      </c>
      <c r="J46" s="56">
        <v>29</v>
      </c>
      <c r="K46" s="41">
        <v>102</v>
      </c>
      <c r="L46" s="56"/>
      <c r="M46" s="41">
        <v>102</v>
      </c>
      <c r="N46" s="56"/>
      <c r="O46" s="47"/>
      <c r="P46" s="56"/>
      <c r="Q46" s="47"/>
      <c r="R46" s="51"/>
      <c r="S46" s="41"/>
      <c r="T46" s="56"/>
      <c r="U46" s="41"/>
      <c r="V46" s="56"/>
      <c r="W46" s="41"/>
      <c r="X46" s="56"/>
      <c r="Y46" s="41"/>
      <c r="Z46" s="56"/>
    </row>
    <row r="47" spans="2:26" s="40" customFormat="1" ht="16.899999999999999" customHeight="1" x14ac:dyDescent="0.25">
      <c r="B47" s="20"/>
      <c r="C47" s="20" t="s">
        <v>17</v>
      </c>
      <c r="D47" s="17" t="s">
        <v>38</v>
      </c>
      <c r="E47" s="43">
        <v>30</v>
      </c>
      <c r="F47" s="52">
        <v>73</v>
      </c>
      <c r="G47" s="43">
        <v>49</v>
      </c>
      <c r="H47" s="57">
        <v>45</v>
      </c>
      <c r="I47" s="43">
        <v>74</v>
      </c>
      <c r="J47" s="57">
        <v>25</v>
      </c>
      <c r="K47" s="43">
        <v>102</v>
      </c>
      <c r="L47" s="57"/>
      <c r="M47" s="43">
        <v>102</v>
      </c>
      <c r="N47" s="57"/>
      <c r="O47" s="48"/>
      <c r="P47" s="57"/>
      <c r="Q47" s="48"/>
      <c r="R47" s="52"/>
      <c r="S47" s="43"/>
      <c r="T47" s="57"/>
      <c r="U47" s="43"/>
      <c r="V47" s="57"/>
      <c r="W47" s="43"/>
      <c r="X47" s="57"/>
      <c r="Y47" s="43"/>
      <c r="Z47" s="57"/>
    </row>
    <row r="48" spans="2:26" s="40" customFormat="1" ht="16.899999999999999" customHeight="1" x14ac:dyDescent="0.25">
      <c r="B48" s="20"/>
      <c r="C48" s="20"/>
      <c r="D48" s="17" t="s">
        <v>25</v>
      </c>
      <c r="E48" s="43">
        <v>26</v>
      </c>
      <c r="F48" s="52">
        <v>72</v>
      </c>
      <c r="G48" s="43">
        <v>44</v>
      </c>
      <c r="H48" s="57">
        <v>55</v>
      </c>
      <c r="I48" s="43">
        <v>69</v>
      </c>
      <c r="J48" s="57">
        <v>32</v>
      </c>
      <c r="K48" s="43">
        <v>102</v>
      </c>
      <c r="L48" s="57"/>
      <c r="M48" s="43">
        <v>102</v>
      </c>
      <c r="N48" s="57"/>
      <c r="O48" s="48"/>
      <c r="P48" s="57"/>
      <c r="Q48" s="48"/>
      <c r="R48" s="52"/>
      <c r="S48" s="43"/>
      <c r="T48" s="57"/>
      <c r="U48" s="43"/>
      <c r="V48" s="57"/>
      <c r="W48" s="43"/>
      <c r="X48" s="57"/>
      <c r="Y48" s="43"/>
      <c r="Z48" s="57"/>
    </row>
    <row r="49" spans="2:26" s="40" customFormat="1" ht="16.899999999999999" customHeight="1" x14ac:dyDescent="0.25">
      <c r="B49" s="20"/>
      <c r="C49" s="20"/>
      <c r="D49" s="17" t="s">
        <v>26</v>
      </c>
      <c r="E49" s="43">
        <v>26</v>
      </c>
      <c r="F49" s="52">
        <v>73</v>
      </c>
      <c r="G49" s="43">
        <v>51</v>
      </c>
      <c r="H49" s="57">
        <v>51</v>
      </c>
      <c r="I49" s="43">
        <v>77</v>
      </c>
      <c r="J49" s="57">
        <v>24</v>
      </c>
      <c r="K49" s="43">
        <v>102</v>
      </c>
      <c r="L49" s="57"/>
      <c r="M49" s="43">
        <v>102</v>
      </c>
      <c r="N49" s="57"/>
      <c r="O49" s="48"/>
      <c r="P49" s="57"/>
      <c r="Q49" s="48"/>
      <c r="R49" s="52"/>
      <c r="S49" s="43"/>
      <c r="T49" s="57"/>
      <c r="U49" s="43"/>
      <c r="V49" s="57"/>
      <c r="W49" s="43"/>
      <c r="X49" s="57"/>
      <c r="Y49" s="43"/>
      <c r="Z49" s="57"/>
    </row>
    <row r="50" spans="2:26" s="40" customFormat="1" ht="16.899999999999999" customHeight="1" x14ac:dyDescent="0.25">
      <c r="B50" s="20"/>
      <c r="C50" s="20"/>
      <c r="D50" s="17" t="s">
        <v>27</v>
      </c>
      <c r="E50" s="43">
        <v>30</v>
      </c>
      <c r="F50" s="52">
        <v>75</v>
      </c>
      <c r="G50" s="43">
        <v>45</v>
      </c>
      <c r="H50" s="57">
        <v>61</v>
      </c>
      <c r="I50" s="43">
        <v>72</v>
      </c>
      <c r="J50" s="57">
        <v>30</v>
      </c>
      <c r="K50" s="43">
        <v>102</v>
      </c>
      <c r="L50" s="57"/>
      <c r="M50" s="43">
        <v>102</v>
      </c>
      <c r="N50" s="57"/>
      <c r="O50" s="48"/>
      <c r="P50" s="57"/>
      <c r="Q50" s="48"/>
      <c r="R50" s="52"/>
      <c r="S50" s="43"/>
      <c r="T50" s="57"/>
      <c r="U50" s="43"/>
      <c r="V50" s="57"/>
      <c r="W50" s="43"/>
      <c r="X50" s="57"/>
      <c r="Y50" s="43"/>
      <c r="Z50" s="57"/>
    </row>
    <row r="51" spans="2:26" s="40" customFormat="1" ht="16.899999999999999" customHeight="1" thickBot="1" x14ac:dyDescent="0.3">
      <c r="B51" s="22"/>
      <c r="C51" s="22"/>
      <c r="D51" s="59" t="s">
        <v>28</v>
      </c>
      <c r="E51" s="45">
        <v>23</v>
      </c>
      <c r="F51" s="53">
        <v>80</v>
      </c>
      <c r="G51" s="45">
        <v>43</v>
      </c>
      <c r="H51" s="58">
        <v>65</v>
      </c>
      <c r="I51" s="45">
        <v>74</v>
      </c>
      <c r="J51" s="58">
        <v>35</v>
      </c>
      <c r="K51" s="45">
        <v>82</v>
      </c>
      <c r="L51" s="58">
        <v>30</v>
      </c>
      <c r="M51" s="45">
        <v>90</v>
      </c>
      <c r="N51" s="58">
        <v>12</v>
      </c>
      <c r="O51" s="49"/>
      <c r="P51" s="58"/>
      <c r="Q51" s="49"/>
      <c r="R51" s="53"/>
      <c r="S51" s="45"/>
      <c r="T51" s="58"/>
      <c r="U51" s="45"/>
      <c r="V51" s="58"/>
      <c r="W51" s="45"/>
      <c r="X51" s="58"/>
      <c r="Y51" s="45"/>
      <c r="Z51" s="58"/>
    </row>
    <row r="52" spans="2:26" s="40" customFormat="1" ht="16.899999999999999" customHeight="1" x14ac:dyDescent="0.25">
      <c r="B52" s="26" t="s">
        <v>3</v>
      </c>
      <c r="C52" s="26" t="s">
        <v>12</v>
      </c>
      <c r="D52" s="63" t="s">
        <v>24</v>
      </c>
      <c r="E52" s="41">
        <v>26</v>
      </c>
      <c r="F52" s="51">
        <v>75</v>
      </c>
      <c r="G52" s="41">
        <v>54</v>
      </c>
      <c r="H52" s="56">
        <v>51</v>
      </c>
      <c r="I52" s="41">
        <v>72</v>
      </c>
      <c r="J52" s="56">
        <v>25</v>
      </c>
      <c r="K52" s="41">
        <v>102</v>
      </c>
      <c r="L52" s="56"/>
      <c r="M52" s="41">
        <v>102</v>
      </c>
      <c r="N52" s="56"/>
      <c r="O52" s="47"/>
      <c r="P52" s="56"/>
      <c r="Q52" s="47"/>
      <c r="R52" s="51"/>
      <c r="S52" s="41"/>
      <c r="T52" s="56"/>
      <c r="U52" s="41"/>
      <c r="V52" s="56"/>
      <c r="W52" s="41"/>
      <c r="X52" s="56"/>
      <c r="Y52" s="41"/>
      <c r="Z52" s="56"/>
    </row>
    <row r="53" spans="2:26" s="40" customFormat="1" ht="16.899999999999999" customHeight="1" x14ac:dyDescent="0.25">
      <c r="B53" s="28"/>
      <c r="C53" s="28" t="s">
        <v>18</v>
      </c>
      <c r="D53" s="64" t="s">
        <v>38</v>
      </c>
      <c r="E53" s="43">
        <v>32</v>
      </c>
      <c r="F53" s="52">
        <v>73</v>
      </c>
      <c r="G53" s="43">
        <v>51</v>
      </c>
      <c r="H53" s="57">
        <v>52</v>
      </c>
      <c r="I53" s="43">
        <v>80</v>
      </c>
      <c r="J53" s="57">
        <v>23</v>
      </c>
      <c r="K53" s="43">
        <v>102</v>
      </c>
      <c r="L53" s="57"/>
      <c r="M53" s="43">
        <v>102</v>
      </c>
      <c r="N53" s="57"/>
      <c r="O53" s="48"/>
      <c r="P53" s="57"/>
      <c r="Q53" s="48"/>
      <c r="R53" s="52"/>
      <c r="S53" s="43"/>
      <c r="T53" s="57"/>
      <c r="U53" s="43"/>
      <c r="V53" s="57"/>
      <c r="W53" s="43"/>
      <c r="X53" s="57"/>
      <c r="Y53" s="43"/>
      <c r="Z53" s="57"/>
    </row>
    <row r="54" spans="2:26" s="40" customFormat="1" ht="16.899999999999999" customHeight="1" x14ac:dyDescent="0.25">
      <c r="B54" s="28"/>
      <c r="C54" s="28"/>
      <c r="D54" s="64" t="s">
        <v>25</v>
      </c>
      <c r="E54" s="43">
        <v>35</v>
      </c>
      <c r="F54" s="52">
        <v>63</v>
      </c>
      <c r="G54" s="43">
        <v>52</v>
      </c>
      <c r="H54" s="57">
        <v>51</v>
      </c>
      <c r="I54" s="43">
        <v>70</v>
      </c>
      <c r="J54" s="57">
        <v>31</v>
      </c>
      <c r="K54" s="43">
        <v>102</v>
      </c>
      <c r="L54" s="57"/>
      <c r="M54" s="43">
        <v>102</v>
      </c>
      <c r="N54" s="57"/>
      <c r="O54" s="48"/>
      <c r="P54" s="57"/>
      <c r="Q54" s="48"/>
      <c r="R54" s="52"/>
      <c r="S54" s="43"/>
      <c r="T54" s="57"/>
      <c r="U54" s="43"/>
      <c r="V54" s="57"/>
      <c r="W54" s="43"/>
      <c r="X54" s="57"/>
      <c r="Y54" s="43"/>
      <c r="Z54" s="57"/>
    </row>
    <row r="55" spans="2:26" s="40" customFormat="1" ht="16.899999999999999" customHeight="1" x14ac:dyDescent="0.25">
      <c r="B55" s="28"/>
      <c r="C55" s="28"/>
      <c r="D55" s="64" t="s">
        <v>26</v>
      </c>
      <c r="E55" s="43">
        <v>30</v>
      </c>
      <c r="F55" s="52">
        <v>69</v>
      </c>
      <c r="G55" s="43">
        <v>50</v>
      </c>
      <c r="H55" s="57">
        <v>47</v>
      </c>
      <c r="I55" s="43">
        <v>79</v>
      </c>
      <c r="J55" s="57">
        <v>20</v>
      </c>
      <c r="K55" s="43">
        <v>102</v>
      </c>
      <c r="L55" s="57"/>
      <c r="M55" s="43">
        <v>102</v>
      </c>
      <c r="N55" s="57"/>
      <c r="O55" s="48"/>
      <c r="P55" s="57"/>
      <c r="Q55" s="48"/>
      <c r="R55" s="52"/>
      <c r="S55" s="43"/>
      <c r="T55" s="57"/>
      <c r="U55" s="43"/>
      <c r="V55" s="57"/>
      <c r="W55" s="43"/>
      <c r="X55" s="57"/>
      <c r="Y55" s="43"/>
      <c r="Z55" s="57"/>
    </row>
    <row r="56" spans="2:26" s="40" customFormat="1" ht="16.899999999999999" customHeight="1" x14ac:dyDescent="0.25">
      <c r="B56" s="28"/>
      <c r="C56" s="28"/>
      <c r="D56" s="64" t="s">
        <v>27</v>
      </c>
      <c r="E56" s="43">
        <v>32</v>
      </c>
      <c r="F56" s="52">
        <v>68</v>
      </c>
      <c r="G56" s="43">
        <v>46</v>
      </c>
      <c r="H56" s="57">
        <v>53</v>
      </c>
      <c r="I56" s="43">
        <v>59</v>
      </c>
      <c r="J56" s="57">
        <v>39</v>
      </c>
      <c r="K56" s="43">
        <v>74</v>
      </c>
      <c r="L56" s="57">
        <v>29</v>
      </c>
      <c r="M56" s="43">
        <v>23</v>
      </c>
      <c r="N56" s="57">
        <v>23</v>
      </c>
      <c r="O56" s="48"/>
      <c r="P56" s="57"/>
      <c r="Q56" s="48"/>
      <c r="R56" s="52"/>
      <c r="S56" s="43"/>
      <c r="T56" s="57"/>
      <c r="U56" s="43"/>
      <c r="V56" s="57"/>
      <c r="W56" s="43"/>
      <c r="X56" s="57"/>
      <c r="Y56" s="43"/>
      <c r="Z56" s="57"/>
    </row>
    <row r="57" spans="2:26" s="40" customFormat="1" ht="16.899999999999999" customHeight="1" thickBot="1" x14ac:dyDescent="0.3">
      <c r="B57" s="30"/>
      <c r="C57" s="30"/>
      <c r="D57" s="65" t="s">
        <v>28</v>
      </c>
      <c r="E57" s="45">
        <v>25</v>
      </c>
      <c r="F57" s="53">
        <v>72</v>
      </c>
      <c r="G57" s="45">
        <v>48</v>
      </c>
      <c r="H57" s="58">
        <v>55</v>
      </c>
      <c r="I57" s="45">
        <v>55</v>
      </c>
      <c r="J57" s="58">
        <v>47</v>
      </c>
      <c r="K57" s="45">
        <v>70</v>
      </c>
      <c r="L57" s="58">
        <v>33</v>
      </c>
      <c r="M57" s="45">
        <v>21</v>
      </c>
      <c r="N57" s="58">
        <v>21</v>
      </c>
      <c r="O57" s="49"/>
      <c r="P57" s="58"/>
      <c r="Q57" s="49"/>
      <c r="R57" s="53"/>
      <c r="S57" s="45"/>
      <c r="T57" s="58"/>
      <c r="U57" s="45"/>
      <c r="V57" s="58"/>
      <c r="W57" s="45"/>
      <c r="X57" s="58"/>
      <c r="Y57" s="45"/>
      <c r="Z57" s="58"/>
    </row>
    <row r="58" spans="2:26" s="40" customFormat="1" ht="16.899999999999999" customHeight="1" x14ac:dyDescent="0.25">
      <c r="B58" s="26" t="s">
        <v>4</v>
      </c>
      <c r="C58" s="26" t="s">
        <v>13</v>
      </c>
      <c r="D58" s="63" t="s">
        <v>24</v>
      </c>
      <c r="E58" s="41">
        <v>29</v>
      </c>
      <c r="F58" s="51">
        <v>73</v>
      </c>
      <c r="G58" s="41">
        <v>42</v>
      </c>
      <c r="H58" s="56">
        <v>59</v>
      </c>
      <c r="I58" s="41">
        <v>59</v>
      </c>
      <c r="J58" s="56">
        <v>40</v>
      </c>
      <c r="K58" s="41">
        <v>70</v>
      </c>
      <c r="L58" s="56">
        <v>33</v>
      </c>
      <c r="M58" s="41">
        <v>102</v>
      </c>
      <c r="N58" s="56"/>
      <c r="O58" s="47"/>
      <c r="P58" s="56"/>
      <c r="Q58" s="47"/>
      <c r="R58" s="51"/>
      <c r="S58" s="41"/>
      <c r="T58" s="56"/>
      <c r="U58" s="41"/>
      <c r="V58" s="56"/>
      <c r="W58" s="41"/>
      <c r="X58" s="56"/>
      <c r="Y58" s="41"/>
      <c r="Z58" s="56"/>
    </row>
    <row r="59" spans="2:26" s="40" customFormat="1" ht="16.899999999999999" customHeight="1" x14ac:dyDescent="0.25">
      <c r="B59" s="28"/>
      <c r="C59" s="28" t="s">
        <v>19</v>
      </c>
      <c r="D59" s="64" t="s">
        <v>38</v>
      </c>
      <c r="E59" s="43">
        <v>34</v>
      </c>
      <c r="F59" s="52">
        <v>68</v>
      </c>
      <c r="G59" s="43">
        <v>53</v>
      </c>
      <c r="H59" s="57">
        <v>48</v>
      </c>
      <c r="I59" s="43">
        <v>84</v>
      </c>
      <c r="J59" s="57">
        <v>17</v>
      </c>
      <c r="K59" s="43">
        <v>102</v>
      </c>
      <c r="L59" s="57"/>
      <c r="M59" s="43">
        <v>102</v>
      </c>
      <c r="N59" s="57"/>
      <c r="O59" s="48"/>
      <c r="P59" s="57"/>
      <c r="Q59" s="48"/>
      <c r="R59" s="52"/>
      <c r="S59" s="43"/>
      <c r="T59" s="57"/>
      <c r="U59" s="43"/>
      <c r="V59" s="57"/>
      <c r="W59" s="43"/>
      <c r="X59" s="57"/>
      <c r="Y59" s="43"/>
      <c r="Z59" s="57"/>
    </row>
    <row r="60" spans="2:26" s="40" customFormat="1" ht="16.899999999999999" customHeight="1" x14ac:dyDescent="0.25">
      <c r="B60" s="28"/>
      <c r="C60" s="28"/>
      <c r="D60" s="64" t="s">
        <v>25</v>
      </c>
      <c r="E60" s="43">
        <v>35</v>
      </c>
      <c r="F60" s="52">
        <v>66</v>
      </c>
      <c r="G60" s="43">
        <v>55</v>
      </c>
      <c r="H60" s="57">
        <v>48</v>
      </c>
      <c r="I60" s="43">
        <v>76</v>
      </c>
      <c r="J60" s="57">
        <v>25</v>
      </c>
      <c r="K60" s="43">
        <v>102</v>
      </c>
      <c r="L60" s="57"/>
      <c r="M60" s="43">
        <v>102</v>
      </c>
      <c r="N60" s="57"/>
      <c r="O60" s="48"/>
      <c r="P60" s="57"/>
      <c r="Q60" s="48"/>
      <c r="R60" s="52"/>
      <c r="S60" s="43"/>
      <c r="T60" s="57"/>
      <c r="U60" s="43"/>
      <c r="V60" s="57"/>
      <c r="W60" s="43"/>
      <c r="X60" s="57"/>
      <c r="Y60" s="43"/>
      <c r="Z60" s="57"/>
    </row>
    <row r="61" spans="2:26" s="40" customFormat="1" ht="16.899999999999999" customHeight="1" x14ac:dyDescent="0.25">
      <c r="B61" s="28"/>
      <c r="C61" s="28"/>
      <c r="D61" s="64" t="s">
        <v>26</v>
      </c>
      <c r="E61" s="43">
        <v>38</v>
      </c>
      <c r="F61" s="52">
        <v>65</v>
      </c>
      <c r="G61" s="43">
        <v>54</v>
      </c>
      <c r="H61" s="57">
        <v>48</v>
      </c>
      <c r="I61" s="43">
        <v>78</v>
      </c>
      <c r="J61" s="57">
        <v>20</v>
      </c>
      <c r="K61" s="43">
        <v>102</v>
      </c>
      <c r="L61" s="57"/>
      <c r="M61" s="43">
        <v>102</v>
      </c>
      <c r="N61" s="57"/>
      <c r="O61" s="48"/>
      <c r="P61" s="57"/>
      <c r="Q61" s="48"/>
      <c r="R61" s="52"/>
      <c r="S61" s="43"/>
      <c r="T61" s="57"/>
      <c r="U61" s="43"/>
      <c r="V61" s="57"/>
      <c r="W61" s="43"/>
      <c r="X61" s="57"/>
      <c r="Y61" s="43"/>
      <c r="Z61" s="57"/>
    </row>
    <row r="62" spans="2:26" s="40" customFormat="1" ht="16.899999999999999" customHeight="1" x14ac:dyDescent="0.25">
      <c r="B62" s="28"/>
      <c r="C62" s="28"/>
      <c r="D62" s="64" t="s">
        <v>27</v>
      </c>
      <c r="E62" s="43">
        <v>30</v>
      </c>
      <c r="F62" s="52">
        <v>75</v>
      </c>
      <c r="G62" s="43">
        <v>49</v>
      </c>
      <c r="H62" s="57">
        <v>56</v>
      </c>
      <c r="I62" s="43">
        <v>70</v>
      </c>
      <c r="J62" s="57">
        <v>32</v>
      </c>
      <c r="K62" s="43">
        <v>84</v>
      </c>
      <c r="L62" s="57">
        <v>19</v>
      </c>
      <c r="M62" s="43">
        <v>102</v>
      </c>
      <c r="N62" s="57"/>
      <c r="O62" s="48"/>
      <c r="P62" s="57"/>
      <c r="Q62" s="48"/>
      <c r="R62" s="52"/>
      <c r="S62" s="43"/>
      <c r="T62" s="57"/>
      <c r="U62" s="43"/>
      <c r="V62" s="57"/>
      <c r="W62" s="43"/>
      <c r="X62" s="57"/>
      <c r="Y62" s="43"/>
      <c r="Z62" s="57"/>
    </row>
    <row r="63" spans="2:26" s="40" customFormat="1" ht="16.899999999999999" customHeight="1" thickBot="1" x14ac:dyDescent="0.3">
      <c r="B63" s="30"/>
      <c r="C63" s="30"/>
      <c r="D63" s="65" t="s">
        <v>28</v>
      </c>
      <c r="E63" s="45">
        <v>25</v>
      </c>
      <c r="F63" s="53">
        <v>79</v>
      </c>
      <c r="G63" s="45">
        <v>46</v>
      </c>
      <c r="H63" s="58">
        <v>59</v>
      </c>
      <c r="I63" s="45">
        <v>66</v>
      </c>
      <c r="J63" s="58">
        <v>25</v>
      </c>
      <c r="K63" s="45">
        <v>79</v>
      </c>
      <c r="L63" s="58">
        <v>20</v>
      </c>
      <c r="M63" s="45">
        <v>102</v>
      </c>
      <c r="N63" s="58"/>
      <c r="O63" s="49"/>
      <c r="P63" s="58"/>
      <c r="Q63" s="49"/>
      <c r="R63" s="53"/>
      <c r="S63" s="45"/>
      <c r="T63" s="58"/>
      <c r="U63" s="45"/>
      <c r="V63" s="58"/>
      <c r="W63" s="45"/>
      <c r="X63" s="58"/>
      <c r="Y63" s="45"/>
      <c r="Z63" s="58"/>
    </row>
    <row r="64" spans="2:26" s="40" customFormat="1" ht="16.899999999999999" customHeight="1" x14ac:dyDescent="0.25">
      <c r="B64" s="21" t="s">
        <v>4</v>
      </c>
      <c r="C64" s="21" t="s">
        <v>14</v>
      </c>
      <c r="D64" s="15" t="s">
        <v>24</v>
      </c>
      <c r="E64" s="41">
        <v>32</v>
      </c>
      <c r="F64" s="51">
        <v>72</v>
      </c>
      <c r="G64" s="41">
        <v>43</v>
      </c>
      <c r="H64" s="56">
        <v>58</v>
      </c>
      <c r="I64" s="41">
        <v>59</v>
      </c>
      <c r="J64" s="56">
        <v>42</v>
      </c>
      <c r="K64" s="41">
        <v>31</v>
      </c>
      <c r="L64" s="56">
        <v>31</v>
      </c>
      <c r="M64" s="41">
        <v>102</v>
      </c>
      <c r="N64" s="56"/>
      <c r="O64" s="47"/>
      <c r="P64" s="56"/>
      <c r="Q64" s="47"/>
      <c r="R64" s="51"/>
      <c r="S64" s="41"/>
      <c r="T64" s="56"/>
      <c r="U64" s="41"/>
      <c r="V64" s="56"/>
      <c r="W64" s="41"/>
      <c r="X64" s="56"/>
      <c r="Y64" s="41"/>
      <c r="Z64" s="56"/>
    </row>
    <row r="65" spans="2:26" s="40" customFormat="1" ht="16.899999999999999" customHeight="1" x14ac:dyDescent="0.25">
      <c r="B65" s="20"/>
      <c r="C65" s="20" t="s">
        <v>16</v>
      </c>
      <c r="D65" s="17" t="s">
        <v>38</v>
      </c>
      <c r="E65" s="43">
        <v>32</v>
      </c>
      <c r="F65" s="52">
        <v>69</v>
      </c>
      <c r="G65" s="43">
        <v>46</v>
      </c>
      <c r="H65" s="57">
        <v>55</v>
      </c>
      <c r="I65" s="43">
        <v>69</v>
      </c>
      <c r="J65" s="57">
        <v>30</v>
      </c>
      <c r="K65" s="43">
        <v>76</v>
      </c>
      <c r="L65" s="57">
        <v>25</v>
      </c>
      <c r="M65" s="43">
        <v>91</v>
      </c>
      <c r="N65" s="57">
        <v>12</v>
      </c>
      <c r="O65" s="48"/>
      <c r="P65" s="57"/>
      <c r="Q65" s="48"/>
      <c r="R65" s="52"/>
      <c r="S65" s="43"/>
      <c r="T65" s="57"/>
      <c r="U65" s="43"/>
      <c r="V65" s="57"/>
      <c r="W65" s="43"/>
      <c r="X65" s="57"/>
      <c r="Y65" s="43"/>
      <c r="Z65" s="57"/>
    </row>
    <row r="66" spans="2:26" s="40" customFormat="1" ht="16.899999999999999" customHeight="1" x14ac:dyDescent="0.25">
      <c r="B66" s="20"/>
      <c r="C66" s="20"/>
      <c r="D66" s="17" t="s">
        <v>25</v>
      </c>
      <c r="E66" s="43">
        <v>34</v>
      </c>
      <c r="F66" s="52">
        <v>73</v>
      </c>
      <c r="G66" s="43">
        <v>54</v>
      </c>
      <c r="H66" s="57">
        <v>47</v>
      </c>
      <c r="I66" s="43">
        <v>79</v>
      </c>
      <c r="J66" s="57">
        <v>22</v>
      </c>
      <c r="K66" s="43">
        <v>102</v>
      </c>
      <c r="L66" s="57"/>
      <c r="M66" s="43">
        <v>102</v>
      </c>
      <c r="N66" s="57"/>
      <c r="O66" s="48"/>
      <c r="P66" s="57"/>
      <c r="Q66" s="48"/>
      <c r="R66" s="52"/>
      <c r="S66" s="43"/>
      <c r="T66" s="57"/>
      <c r="U66" s="43"/>
      <c r="V66" s="57"/>
      <c r="W66" s="43"/>
      <c r="X66" s="57"/>
      <c r="Y66" s="43"/>
      <c r="Z66" s="57"/>
    </row>
    <row r="67" spans="2:26" s="40" customFormat="1" ht="16.899999999999999" customHeight="1" x14ac:dyDescent="0.25">
      <c r="B67" s="20"/>
      <c r="C67" s="20"/>
      <c r="D67" s="17" t="s">
        <v>26</v>
      </c>
      <c r="E67" s="43">
        <v>38</v>
      </c>
      <c r="F67" s="52">
        <v>63</v>
      </c>
      <c r="G67" s="43">
        <v>48</v>
      </c>
      <c r="H67" s="57">
        <v>50</v>
      </c>
      <c r="I67" s="43">
        <v>69</v>
      </c>
      <c r="J67" s="57">
        <v>30</v>
      </c>
      <c r="K67" s="43">
        <v>85</v>
      </c>
      <c r="L67" s="57">
        <v>16</v>
      </c>
      <c r="M67" s="43">
        <v>102</v>
      </c>
      <c r="N67" s="57"/>
      <c r="O67" s="48"/>
      <c r="P67" s="57"/>
      <c r="Q67" s="48"/>
      <c r="R67" s="52"/>
      <c r="S67" s="43"/>
      <c r="T67" s="57"/>
      <c r="U67" s="43"/>
      <c r="V67" s="57"/>
      <c r="W67" s="43"/>
      <c r="X67" s="57"/>
      <c r="Y67" s="43"/>
      <c r="Z67" s="57"/>
    </row>
    <row r="68" spans="2:26" s="40" customFormat="1" ht="16.899999999999999" customHeight="1" x14ac:dyDescent="0.25">
      <c r="B68" s="20"/>
      <c r="C68" s="20"/>
      <c r="D68" s="17" t="s">
        <v>27</v>
      </c>
      <c r="E68" s="43">
        <v>33</v>
      </c>
      <c r="F68" s="52">
        <v>70</v>
      </c>
      <c r="G68" s="43">
        <v>47</v>
      </c>
      <c r="H68" s="57">
        <v>51</v>
      </c>
      <c r="I68" s="43">
        <v>67</v>
      </c>
      <c r="J68" s="57">
        <v>29</v>
      </c>
      <c r="K68" s="43">
        <v>77</v>
      </c>
      <c r="L68" s="57">
        <v>24</v>
      </c>
      <c r="M68" s="43">
        <v>92</v>
      </c>
      <c r="N68" s="57">
        <v>12</v>
      </c>
      <c r="O68" s="48"/>
      <c r="P68" s="57"/>
      <c r="Q68" s="48"/>
      <c r="R68" s="52"/>
      <c r="S68" s="43"/>
      <c r="T68" s="57"/>
      <c r="U68" s="43"/>
      <c r="V68" s="57"/>
      <c r="W68" s="43"/>
      <c r="X68" s="57"/>
      <c r="Y68" s="43"/>
      <c r="Z68" s="57"/>
    </row>
    <row r="69" spans="2:26" s="40" customFormat="1" ht="16.899999999999999" customHeight="1" thickBot="1" x14ac:dyDescent="0.3">
      <c r="B69" s="22"/>
      <c r="C69" s="22"/>
      <c r="D69" s="59" t="s">
        <v>28</v>
      </c>
      <c r="E69" s="45">
        <v>26</v>
      </c>
      <c r="F69" s="53">
        <v>80</v>
      </c>
      <c r="G69" s="45">
        <v>37</v>
      </c>
      <c r="H69" s="58">
        <v>60</v>
      </c>
      <c r="I69" s="45">
        <v>59</v>
      </c>
      <c r="J69" s="58">
        <v>39</v>
      </c>
      <c r="K69" s="45">
        <v>66</v>
      </c>
      <c r="L69" s="58">
        <v>38</v>
      </c>
      <c r="M69" s="45">
        <v>82</v>
      </c>
      <c r="N69" s="58">
        <v>16</v>
      </c>
      <c r="O69" s="49"/>
      <c r="P69" s="58"/>
      <c r="Q69" s="49"/>
      <c r="R69" s="53"/>
      <c r="S69" s="45"/>
      <c r="T69" s="58"/>
      <c r="U69" s="45"/>
      <c r="V69" s="58"/>
      <c r="W69" s="45"/>
      <c r="X69" s="58"/>
      <c r="Y69" s="45"/>
      <c r="Z69" s="58"/>
    </row>
    <row r="70" spans="2:26" s="40" customFormat="1" ht="16.899999999999999" customHeight="1" x14ac:dyDescent="0.25">
      <c r="B70" s="21" t="s">
        <v>22</v>
      </c>
      <c r="C70" s="21" t="s">
        <v>23</v>
      </c>
      <c r="D70" s="15" t="s">
        <v>24</v>
      </c>
      <c r="E70" s="41">
        <v>29</v>
      </c>
      <c r="F70" s="51">
        <v>71</v>
      </c>
      <c r="G70" s="41">
        <v>33</v>
      </c>
      <c r="H70" s="56">
        <v>64</v>
      </c>
      <c r="I70" s="41">
        <v>56</v>
      </c>
      <c r="J70" s="56">
        <v>32</v>
      </c>
      <c r="K70" s="41">
        <v>78</v>
      </c>
      <c r="L70" s="56">
        <v>21</v>
      </c>
      <c r="M70" s="41">
        <v>102</v>
      </c>
      <c r="N70" s="56"/>
      <c r="O70" s="47"/>
      <c r="P70" s="56"/>
      <c r="Q70" s="47"/>
      <c r="R70" s="51"/>
      <c r="S70" s="41"/>
      <c r="T70" s="56"/>
      <c r="U70" s="41"/>
      <c r="V70" s="56"/>
      <c r="W70" s="41"/>
      <c r="X70" s="56"/>
      <c r="Y70" s="41"/>
      <c r="Z70" s="56"/>
    </row>
    <row r="71" spans="2:26" s="40" customFormat="1" ht="16.899999999999999" customHeight="1" x14ac:dyDescent="0.25">
      <c r="B71" s="20"/>
      <c r="C71" s="20" t="s">
        <v>17</v>
      </c>
      <c r="D71" s="17" t="s">
        <v>38</v>
      </c>
      <c r="E71" s="43">
        <v>25</v>
      </c>
      <c r="F71" s="52">
        <v>72</v>
      </c>
      <c r="G71" s="43">
        <v>35</v>
      </c>
      <c r="H71" s="57">
        <v>69</v>
      </c>
      <c r="I71" s="43">
        <v>61</v>
      </c>
      <c r="J71" s="57">
        <v>38</v>
      </c>
      <c r="K71" s="43">
        <v>80</v>
      </c>
      <c r="L71" s="57">
        <v>21</v>
      </c>
      <c r="M71" s="43">
        <v>102</v>
      </c>
      <c r="N71" s="57"/>
      <c r="O71" s="48"/>
      <c r="P71" s="57"/>
      <c r="Q71" s="48"/>
      <c r="R71" s="52"/>
      <c r="S71" s="43"/>
      <c r="T71" s="57"/>
      <c r="U71" s="43"/>
      <c r="V71" s="57"/>
      <c r="W71" s="43"/>
      <c r="X71" s="57"/>
      <c r="Y71" s="43"/>
      <c r="Z71" s="57"/>
    </row>
    <row r="72" spans="2:26" s="40" customFormat="1" ht="16.899999999999999" customHeight="1" x14ac:dyDescent="0.25">
      <c r="B72" s="20"/>
      <c r="C72" s="20"/>
      <c r="D72" s="17" t="s">
        <v>25</v>
      </c>
      <c r="E72" s="43">
        <v>31</v>
      </c>
      <c r="F72" s="52">
        <v>71</v>
      </c>
      <c r="G72" s="43">
        <v>42</v>
      </c>
      <c r="H72" s="57">
        <v>69</v>
      </c>
      <c r="I72" s="43">
        <v>71</v>
      </c>
      <c r="J72" s="57">
        <v>32</v>
      </c>
      <c r="K72" s="43">
        <v>102</v>
      </c>
      <c r="L72" s="57"/>
      <c r="M72" s="43">
        <v>102</v>
      </c>
      <c r="N72" s="57"/>
      <c r="O72" s="48"/>
      <c r="P72" s="57"/>
      <c r="Q72" s="48"/>
      <c r="R72" s="52"/>
      <c r="S72" s="43"/>
      <c r="T72" s="57"/>
      <c r="U72" s="43"/>
      <c r="V72" s="57"/>
      <c r="W72" s="43"/>
      <c r="X72" s="57"/>
      <c r="Y72" s="43"/>
      <c r="Z72" s="57"/>
    </row>
    <row r="73" spans="2:26" s="40" customFormat="1" ht="16.899999999999999" customHeight="1" x14ac:dyDescent="0.25">
      <c r="B73" s="20"/>
      <c r="C73" s="20"/>
      <c r="D73" s="17" t="s">
        <v>26</v>
      </c>
      <c r="E73" s="43">
        <v>34</v>
      </c>
      <c r="F73" s="52">
        <v>64</v>
      </c>
      <c r="G73" s="43">
        <v>38</v>
      </c>
      <c r="H73" s="57">
        <v>65</v>
      </c>
      <c r="I73" s="43">
        <v>61</v>
      </c>
      <c r="J73" s="57">
        <v>37</v>
      </c>
      <c r="K73" s="43">
        <v>80</v>
      </c>
      <c r="L73" s="57">
        <v>19</v>
      </c>
      <c r="M73" s="43">
        <v>102</v>
      </c>
      <c r="N73" s="57"/>
      <c r="O73" s="48"/>
      <c r="P73" s="57"/>
      <c r="Q73" s="48"/>
      <c r="R73" s="52"/>
      <c r="S73" s="43"/>
      <c r="T73" s="57"/>
      <c r="U73" s="43"/>
      <c r="V73" s="57"/>
      <c r="W73" s="43"/>
      <c r="X73" s="57"/>
      <c r="Y73" s="43"/>
      <c r="Z73" s="57"/>
    </row>
    <row r="74" spans="2:26" s="40" customFormat="1" ht="16.899999999999999" customHeight="1" x14ac:dyDescent="0.25">
      <c r="B74" s="20"/>
      <c r="C74" s="20"/>
      <c r="D74" s="17" t="s">
        <v>27</v>
      </c>
      <c r="E74" s="43">
        <v>28</v>
      </c>
      <c r="F74" s="52">
        <v>71</v>
      </c>
      <c r="G74" s="43">
        <v>37</v>
      </c>
      <c r="H74" s="57">
        <v>62</v>
      </c>
      <c r="I74" s="43">
        <v>57</v>
      </c>
      <c r="J74" s="57">
        <v>44</v>
      </c>
      <c r="K74" s="43">
        <v>75</v>
      </c>
      <c r="L74" s="57">
        <v>27</v>
      </c>
      <c r="M74" s="43">
        <v>102</v>
      </c>
      <c r="N74" s="57"/>
      <c r="O74" s="48"/>
      <c r="P74" s="57"/>
      <c r="Q74" s="48"/>
      <c r="R74" s="52"/>
      <c r="S74" s="43"/>
      <c r="T74" s="57"/>
      <c r="U74" s="43"/>
      <c r="V74" s="57"/>
      <c r="W74" s="43"/>
      <c r="X74" s="57"/>
      <c r="Y74" s="43"/>
      <c r="Z74" s="57"/>
    </row>
    <row r="75" spans="2:26" s="40" customFormat="1" ht="16.899999999999999" customHeight="1" thickBot="1" x14ac:dyDescent="0.3">
      <c r="B75" s="22"/>
      <c r="C75" s="22"/>
      <c r="D75" s="59" t="s">
        <v>28</v>
      </c>
      <c r="E75" s="45">
        <v>31</v>
      </c>
      <c r="F75" s="53">
        <v>71</v>
      </c>
      <c r="G75" s="45">
        <v>37</v>
      </c>
      <c r="H75" s="58">
        <v>60</v>
      </c>
      <c r="I75" s="45">
        <v>63</v>
      </c>
      <c r="J75" s="58">
        <v>37</v>
      </c>
      <c r="K75" s="45">
        <v>78</v>
      </c>
      <c r="L75" s="58">
        <v>24</v>
      </c>
      <c r="M75" s="45">
        <v>102</v>
      </c>
      <c r="N75" s="58"/>
      <c r="O75" s="49"/>
      <c r="P75" s="58"/>
      <c r="Q75" s="49"/>
      <c r="R75" s="53"/>
      <c r="S75" s="45"/>
      <c r="T75" s="58"/>
      <c r="U75" s="45"/>
      <c r="V75" s="58"/>
      <c r="W75" s="45"/>
      <c r="X75" s="58"/>
      <c r="Y75" s="45"/>
      <c r="Z75" s="58"/>
    </row>
    <row r="78" spans="2:26" x14ac:dyDescent="0.2">
      <c r="C78" s="87" t="s">
        <v>63</v>
      </c>
      <c r="E78" s="88">
        <f>AVERAGE(E22:E27,E46:E51)/100</f>
        <v>0.28166666666666668</v>
      </c>
      <c r="F78" s="88">
        <f t="shared" ref="F78:J78" si="0">AVERAGE(F22:F27,F46:F51)/100</f>
        <v>0.71666666666666667</v>
      </c>
      <c r="G78" s="88">
        <f t="shared" si="0"/>
        <v>0.49166666666666664</v>
      </c>
      <c r="H78" s="88">
        <f t="shared" si="0"/>
        <v>0.52916666666666667</v>
      </c>
      <c r="I78" s="88">
        <f t="shared" si="0"/>
        <v>0.73833333333333329</v>
      </c>
      <c r="J78" s="88">
        <f t="shared" si="0"/>
        <v>0.26333333333333331</v>
      </c>
      <c r="K78" s="88">
        <f t="shared" ref="K78:N78" si="1">AVERAGE(K22:K27,K46:K51)/100</f>
        <v>0.97583333333333333</v>
      </c>
      <c r="L78" s="88">
        <f t="shared" si="1"/>
        <v>0.31</v>
      </c>
      <c r="M78" s="88">
        <f t="shared" si="1"/>
        <v>1.01</v>
      </c>
      <c r="N78" s="88">
        <f t="shared" si="1"/>
        <v>0.12</v>
      </c>
    </row>
    <row r="79" spans="2:26" x14ac:dyDescent="0.2">
      <c r="C79" s="87" t="s">
        <v>16</v>
      </c>
      <c r="E79" s="88">
        <f>AVERAGE(E16:E21,E64:E69)/100</f>
        <v>0.32916666666666666</v>
      </c>
      <c r="F79" s="88">
        <f t="shared" ref="F79:J79" si="2">AVERAGE(F16:F21,F64:F69)/100</f>
        <v>0.6825</v>
      </c>
      <c r="G79" s="88">
        <f t="shared" si="2"/>
        <v>0.4975</v>
      </c>
      <c r="H79" s="88">
        <f t="shared" si="2"/>
        <v>0.49</v>
      </c>
      <c r="I79" s="88">
        <f t="shared" si="2"/>
        <v>0.71250000000000002</v>
      </c>
      <c r="J79" s="88">
        <f t="shared" si="2"/>
        <v>0.28000000000000003</v>
      </c>
      <c r="K79" s="88">
        <f t="shared" ref="K79:N79" si="3">AVERAGE(K16:K21,K64:K69)/100</f>
        <v>0.84</v>
      </c>
      <c r="L79" s="88">
        <f t="shared" si="3"/>
        <v>0.25142857142857145</v>
      </c>
      <c r="M79" s="88">
        <f t="shared" si="3"/>
        <v>0.96750000000000003</v>
      </c>
      <c r="N79" s="88">
        <f t="shared" si="3"/>
        <v>0.1575</v>
      </c>
    </row>
    <row r="80" spans="2:26" x14ac:dyDescent="0.2">
      <c r="C80" s="87" t="s">
        <v>64</v>
      </c>
      <c r="E80" s="88">
        <f>AVERAGE(E10:E15,E40:E45)/100</f>
        <v>0.3066666666666667</v>
      </c>
      <c r="F80" s="88">
        <f t="shared" ref="F80:J80" si="4">AVERAGE(F10:F15,F40:F45)/100</f>
        <v>0.71166666666666667</v>
      </c>
      <c r="G80" s="88">
        <f t="shared" si="4"/>
        <v>0.40500000000000003</v>
      </c>
      <c r="H80" s="88">
        <f t="shared" si="4"/>
        <v>0.61083333333333334</v>
      </c>
      <c r="I80" s="88">
        <f t="shared" si="4"/>
        <v>0.59</v>
      </c>
      <c r="J80" s="88">
        <f t="shared" si="4"/>
        <v>0.43083333333333335</v>
      </c>
      <c r="K80" s="88">
        <f t="shared" ref="K80:N80" si="5">AVERAGE(K10:K15,K40:K45)/100</f>
        <v>0.6316666666666666</v>
      </c>
      <c r="L80" s="88">
        <f t="shared" si="5"/>
        <v>0.39</v>
      </c>
      <c r="M80" s="88">
        <f t="shared" si="5"/>
        <v>0.7</v>
      </c>
      <c r="N80" s="88">
        <f t="shared" si="5"/>
        <v>0.27333333333333332</v>
      </c>
    </row>
    <row r="81" spans="4:14" ht="15" x14ac:dyDescent="0.25">
      <c r="D81" s="10" t="s">
        <v>32</v>
      </c>
      <c r="E81" s="81">
        <v>41806</v>
      </c>
      <c r="F81" s="81"/>
      <c r="G81" s="240">
        <v>41820</v>
      </c>
      <c r="H81" s="241"/>
      <c r="I81" s="240">
        <v>41834</v>
      </c>
      <c r="J81" s="241"/>
      <c r="K81" s="240">
        <v>41848</v>
      </c>
      <c r="L81" s="243"/>
      <c r="M81" s="240">
        <v>41863</v>
      </c>
      <c r="N81" s="241"/>
    </row>
    <row r="82" spans="4:14" ht="15" x14ac:dyDescent="0.25">
      <c r="D82" s="10" t="s">
        <v>39</v>
      </c>
      <c r="E82" s="82">
        <v>167</v>
      </c>
      <c r="F82" s="82"/>
      <c r="G82" s="242">
        <v>181</v>
      </c>
      <c r="H82" s="241"/>
      <c r="I82" s="242">
        <v>195</v>
      </c>
      <c r="J82" s="241"/>
      <c r="K82" s="242">
        <v>209</v>
      </c>
      <c r="L82" s="243"/>
      <c r="M82" s="242">
        <v>224</v>
      </c>
      <c r="N82" s="241"/>
    </row>
  </sheetData>
  <mergeCells count="28">
    <mergeCell ref="G81:H81"/>
    <mergeCell ref="I81:J81"/>
    <mergeCell ref="K81:L81"/>
    <mergeCell ref="M81:N81"/>
    <mergeCell ref="G82:H82"/>
    <mergeCell ref="I82:J82"/>
    <mergeCell ref="K82:L82"/>
    <mergeCell ref="M82:N82"/>
    <mergeCell ref="O7:P7"/>
    <mergeCell ref="G8:H8"/>
    <mergeCell ref="I8:J8"/>
    <mergeCell ref="K8:L8"/>
    <mergeCell ref="M8:N8"/>
    <mergeCell ref="G7:H7"/>
    <mergeCell ref="I7:J7"/>
    <mergeCell ref="K7:L7"/>
    <mergeCell ref="M7:N7"/>
    <mergeCell ref="O8:P8"/>
    <mergeCell ref="Y8:Z8"/>
    <mergeCell ref="Q7:R7"/>
    <mergeCell ref="S7:T7"/>
    <mergeCell ref="U7:V7"/>
    <mergeCell ref="W7:X7"/>
    <mergeCell ref="Y7:Z7"/>
    <mergeCell ref="Q8:R8"/>
    <mergeCell ref="S8:T8"/>
    <mergeCell ref="U8:V8"/>
    <mergeCell ref="W8:X8"/>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4"/>
  <sheetViews>
    <sheetView zoomScale="55" zoomScaleNormal="55" zoomScaleSheetLayoutView="70" workbookViewId="0">
      <selection activeCell="B5" sqref="B5"/>
    </sheetView>
  </sheetViews>
  <sheetFormatPr defaultColWidth="8.85546875" defaultRowHeight="15" x14ac:dyDescent="0.25"/>
  <cols>
    <col min="1" max="1" width="7.42578125" style="5" customWidth="1"/>
    <col min="2" max="2" width="8.140625" style="6" customWidth="1"/>
    <col min="3" max="4" width="9.7109375" style="6" customWidth="1"/>
    <col min="5" max="26" width="9.7109375" style="5" customWidth="1"/>
    <col min="27" max="28" width="8.7109375" style="5" customWidth="1"/>
    <col min="29" max="16384" width="8.85546875" style="5"/>
  </cols>
  <sheetData>
    <row r="1" spans="1:26" ht="18" x14ac:dyDescent="0.25">
      <c r="A1" s="2">
        <v>2014</v>
      </c>
      <c r="B1" s="3" t="s">
        <v>29</v>
      </c>
      <c r="C1" s="4"/>
      <c r="D1" s="4"/>
      <c r="E1" s="4"/>
      <c r="F1" s="4"/>
      <c r="G1" s="4"/>
      <c r="H1" s="4"/>
      <c r="I1" s="4"/>
      <c r="J1" s="4"/>
      <c r="K1" s="4"/>
      <c r="L1" s="4"/>
      <c r="M1" s="4"/>
      <c r="N1" s="4"/>
      <c r="O1" s="4"/>
      <c r="P1" s="4"/>
    </row>
    <row r="2" spans="1:26" ht="18" x14ac:dyDescent="0.25">
      <c r="A2" s="4"/>
      <c r="B2" s="3" t="s">
        <v>20</v>
      </c>
      <c r="D2" s="3" t="s">
        <v>21</v>
      </c>
      <c r="E2" s="4"/>
      <c r="F2" s="4"/>
      <c r="G2" s="4"/>
      <c r="H2" s="4"/>
      <c r="I2" s="4"/>
      <c r="J2" s="4"/>
      <c r="M2" s="4"/>
      <c r="N2" s="4"/>
      <c r="O2" s="4"/>
      <c r="P2" s="4"/>
    </row>
    <row r="3" spans="1:26" ht="18" x14ac:dyDescent="0.25">
      <c r="B3" s="3"/>
    </row>
    <row r="4" spans="1:26" ht="27" x14ac:dyDescent="0.25">
      <c r="B4" s="3" t="s">
        <v>37</v>
      </c>
      <c r="E4" s="7"/>
      <c r="F4" s="8" t="s">
        <v>32</v>
      </c>
      <c r="G4" s="9"/>
      <c r="H4" s="10" t="s">
        <v>33</v>
      </c>
      <c r="I4" s="9"/>
      <c r="L4" s="11"/>
      <c r="P4" s="1" t="s">
        <v>30</v>
      </c>
    </row>
    <row r="5" spans="1:26" ht="23.25" x14ac:dyDescent="0.25">
      <c r="B5" s="3"/>
      <c r="C5" s="3" t="s">
        <v>31</v>
      </c>
      <c r="E5" s="7"/>
      <c r="F5" s="7"/>
      <c r="H5" s="10" t="s">
        <v>34</v>
      </c>
      <c r="I5" s="12"/>
      <c r="K5" s="11"/>
      <c r="L5" s="11"/>
    </row>
    <row r="6" spans="1:26" ht="17.45" customHeight="1" x14ac:dyDescent="0.25">
      <c r="B6" s="3"/>
      <c r="C6" s="3"/>
      <c r="E6" s="7"/>
      <c r="F6" s="7"/>
      <c r="G6" s="66"/>
      <c r="H6" s="66"/>
      <c r="J6" s="10"/>
      <c r="M6" s="11"/>
      <c r="N6" s="11"/>
    </row>
    <row r="7" spans="1:26" ht="20.25" x14ac:dyDescent="0.3">
      <c r="C7" s="13" t="s">
        <v>50</v>
      </c>
      <c r="D7" s="68"/>
      <c r="E7" s="78"/>
      <c r="F7" s="79"/>
      <c r="G7" s="13" t="s">
        <v>55</v>
      </c>
      <c r="H7" s="68"/>
      <c r="I7" s="78"/>
      <c r="J7" s="79"/>
      <c r="K7" s="13" t="s">
        <v>54</v>
      </c>
      <c r="L7" s="68"/>
      <c r="M7" s="78"/>
      <c r="N7" s="79"/>
      <c r="O7" s="13" t="s">
        <v>53</v>
      </c>
      <c r="P7" s="68"/>
      <c r="Q7" s="78"/>
      <c r="R7" s="79"/>
      <c r="S7" s="13" t="s">
        <v>52</v>
      </c>
      <c r="T7" s="68"/>
      <c r="U7" s="78"/>
      <c r="V7" s="79"/>
      <c r="W7" s="13" t="s">
        <v>51</v>
      </c>
      <c r="X7" s="68"/>
      <c r="Y7" s="78"/>
      <c r="Z7" s="79"/>
    </row>
    <row r="8" spans="1:26" ht="40.15" customHeight="1" thickBot="1" x14ac:dyDescent="0.3">
      <c r="C8" s="14" t="s">
        <v>35</v>
      </c>
      <c r="D8" s="71" t="s">
        <v>36</v>
      </c>
      <c r="E8" s="67" t="s">
        <v>48</v>
      </c>
      <c r="F8" s="77" t="s">
        <v>49</v>
      </c>
      <c r="G8" s="14" t="s">
        <v>35</v>
      </c>
      <c r="H8" s="71" t="s">
        <v>36</v>
      </c>
      <c r="I8" s="67" t="s">
        <v>48</v>
      </c>
      <c r="J8" s="77" t="s">
        <v>49</v>
      </c>
      <c r="K8" s="14" t="s">
        <v>35</v>
      </c>
      <c r="L8" s="71" t="s">
        <v>36</v>
      </c>
      <c r="M8" s="67" t="s">
        <v>48</v>
      </c>
      <c r="N8" s="77" t="s">
        <v>49</v>
      </c>
      <c r="O8" s="14" t="s">
        <v>35</v>
      </c>
      <c r="P8" s="71" t="s">
        <v>36</v>
      </c>
      <c r="Q8" s="67" t="s">
        <v>48</v>
      </c>
      <c r="R8" s="77" t="s">
        <v>49</v>
      </c>
      <c r="S8" s="14" t="s">
        <v>35</v>
      </c>
      <c r="T8" s="71" t="s">
        <v>36</v>
      </c>
      <c r="U8" s="67" t="s">
        <v>48</v>
      </c>
      <c r="V8" s="77" t="s">
        <v>49</v>
      </c>
      <c r="W8" s="14" t="s">
        <v>35</v>
      </c>
      <c r="X8" s="71" t="s">
        <v>36</v>
      </c>
      <c r="Y8" s="67" t="s">
        <v>48</v>
      </c>
      <c r="Z8" s="77" t="s">
        <v>49</v>
      </c>
    </row>
    <row r="9" spans="1:26" ht="49.9" customHeight="1" x14ac:dyDescent="0.2">
      <c r="B9" s="15" t="s">
        <v>5</v>
      </c>
      <c r="C9" s="16"/>
      <c r="D9" s="72"/>
      <c r="E9" s="75"/>
      <c r="F9" s="76"/>
      <c r="G9" s="16"/>
      <c r="H9" s="72"/>
      <c r="I9" s="75"/>
      <c r="J9" s="76"/>
      <c r="K9" s="16"/>
      <c r="L9" s="72"/>
      <c r="M9" s="75"/>
      <c r="N9" s="76"/>
      <c r="O9" s="16"/>
      <c r="P9" s="72"/>
      <c r="Q9" s="75"/>
      <c r="R9" s="76"/>
      <c r="S9" s="16"/>
      <c r="T9" s="72"/>
      <c r="U9" s="75"/>
      <c r="V9" s="76"/>
      <c r="W9" s="16"/>
      <c r="X9" s="72"/>
      <c r="Y9" s="75"/>
      <c r="Z9" s="76"/>
    </row>
    <row r="10" spans="1:26" ht="49.9" customHeight="1" x14ac:dyDescent="0.2">
      <c r="B10" s="17" t="s">
        <v>6</v>
      </c>
      <c r="C10" s="18"/>
      <c r="D10" s="73"/>
      <c r="E10" s="44"/>
      <c r="F10" s="74"/>
      <c r="G10" s="18"/>
      <c r="H10" s="73"/>
      <c r="I10" s="44"/>
      <c r="J10" s="74"/>
      <c r="K10" s="18"/>
      <c r="L10" s="73"/>
      <c r="M10" s="44"/>
      <c r="N10" s="74"/>
      <c r="O10" s="18"/>
      <c r="P10" s="73"/>
      <c r="Q10" s="44"/>
      <c r="R10" s="74"/>
      <c r="S10" s="18"/>
      <c r="T10" s="73"/>
      <c r="U10" s="44"/>
      <c r="V10" s="74"/>
      <c r="W10" s="18"/>
      <c r="X10" s="73"/>
      <c r="Y10" s="44"/>
      <c r="Z10" s="74"/>
    </row>
    <row r="11" spans="1:26" ht="49.9" customHeight="1" x14ac:dyDescent="0.2">
      <c r="B11" s="17" t="s">
        <v>7</v>
      </c>
      <c r="C11" s="18"/>
      <c r="D11" s="73"/>
      <c r="E11" s="44"/>
      <c r="F11" s="74"/>
      <c r="G11" s="18"/>
      <c r="H11" s="73"/>
      <c r="I11" s="44"/>
      <c r="J11" s="74"/>
      <c r="K11" s="18"/>
      <c r="L11" s="73"/>
      <c r="M11" s="44"/>
      <c r="N11" s="74"/>
      <c r="O11" s="18"/>
      <c r="P11" s="73"/>
      <c r="Q11" s="44"/>
      <c r="R11" s="74"/>
      <c r="S11" s="18"/>
      <c r="T11" s="73"/>
      <c r="U11" s="44"/>
      <c r="V11" s="74"/>
      <c r="W11" s="18"/>
      <c r="X11" s="73"/>
      <c r="Y11" s="44"/>
      <c r="Z11" s="74"/>
    </row>
    <row r="12" spans="1:26" ht="49.9" customHeight="1" x14ac:dyDescent="0.2">
      <c r="B12" s="19" t="s">
        <v>8</v>
      </c>
      <c r="C12" s="18"/>
      <c r="D12" s="73"/>
      <c r="E12" s="44"/>
      <c r="F12" s="74"/>
      <c r="G12" s="18"/>
      <c r="H12" s="73"/>
      <c r="I12" s="44"/>
      <c r="J12" s="74"/>
      <c r="K12" s="18"/>
      <c r="L12" s="73"/>
      <c r="M12" s="44"/>
      <c r="N12" s="74"/>
      <c r="O12" s="18"/>
      <c r="P12" s="73"/>
      <c r="Q12" s="44"/>
      <c r="R12" s="74"/>
      <c r="S12" s="18"/>
      <c r="T12" s="73"/>
      <c r="U12" s="44"/>
      <c r="V12" s="74"/>
      <c r="W12" s="18"/>
      <c r="X12" s="73"/>
      <c r="Y12" s="44"/>
      <c r="Z12" s="74"/>
    </row>
    <row r="13" spans="1:26" ht="49.9" customHeight="1" x14ac:dyDescent="0.2">
      <c r="B13" s="19" t="s">
        <v>9</v>
      </c>
      <c r="C13" s="18"/>
      <c r="D13" s="73"/>
      <c r="E13" s="44"/>
      <c r="F13" s="74"/>
      <c r="G13" s="18"/>
      <c r="H13" s="73"/>
      <c r="I13" s="44"/>
      <c r="J13" s="74"/>
      <c r="K13" s="18"/>
      <c r="L13" s="73"/>
      <c r="M13" s="44"/>
      <c r="N13" s="74"/>
      <c r="O13" s="18"/>
      <c r="P13" s="73"/>
      <c r="Q13" s="44"/>
      <c r="R13" s="74"/>
      <c r="S13" s="18"/>
      <c r="T13" s="73"/>
      <c r="U13" s="44"/>
      <c r="V13" s="74"/>
      <c r="W13" s="18"/>
      <c r="X13" s="73"/>
      <c r="Y13" s="44"/>
      <c r="Z13" s="74"/>
    </row>
    <row r="14" spans="1:26" ht="49.9" customHeight="1" x14ac:dyDescent="0.2">
      <c r="B14" s="17" t="s">
        <v>10</v>
      </c>
      <c r="C14" s="18"/>
      <c r="D14" s="73"/>
      <c r="E14" s="44"/>
      <c r="F14" s="74"/>
      <c r="G14" s="18"/>
      <c r="H14" s="73"/>
      <c r="I14" s="44"/>
      <c r="J14" s="74"/>
      <c r="K14" s="18"/>
      <c r="L14" s="73"/>
      <c r="M14" s="44"/>
      <c r="N14" s="74"/>
      <c r="O14" s="18"/>
      <c r="P14" s="73"/>
      <c r="Q14" s="44"/>
      <c r="R14" s="74"/>
      <c r="S14" s="18"/>
      <c r="T14" s="73"/>
      <c r="U14" s="44"/>
      <c r="V14" s="74"/>
      <c r="W14" s="18"/>
      <c r="X14" s="73"/>
      <c r="Y14" s="44"/>
      <c r="Z14" s="74"/>
    </row>
    <row r="15" spans="1:26" ht="49.9" customHeight="1" x14ac:dyDescent="0.2">
      <c r="B15" s="17" t="s">
        <v>11</v>
      </c>
      <c r="C15" s="18"/>
      <c r="D15" s="73"/>
      <c r="E15" s="44"/>
      <c r="F15" s="74"/>
      <c r="G15" s="18"/>
      <c r="H15" s="73"/>
      <c r="I15" s="44"/>
      <c r="J15" s="74"/>
      <c r="K15" s="18"/>
      <c r="L15" s="73"/>
      <c r="M15" s="44"/>
      <c r="N15" s="74"/>
      <c r="O15" s="18"/>
      <c r="P15" s="73"/>
      <c r="Q15" s="44"/>
      <c r="R15" s="74"/>
      <c r="S15" s="18"/>
      <c r="T15" s="73"/>
      <c r="U15" s="44"/>
      <c r="V15" s="74"/>
      <c r="W15" s="18"/>
      <c r="X15" s="73"/>
      <c r="Y15" s="44"/>
      <c r="Z15" s="74"/>
    </row>
    <row r="16" spans="1:26" ht="49.9" customHeight="1" x14ac:dyDescent="0.2">
      <c r="B16" s="19" t="s">
        <v>12</v>
      </c>
      <c r="C16" s="18"/>
      <c r="D16" s="73"/>
      <c r="E16" s="44"/>
      <c r="F16" s="74"/>
      <c r="G16" s="18"/>
      <c r="H16" s="73"/>
      <c r="I16" s="44"/>
      <c r="J16" s="74"/>
      <c r="K16" s="18"/>
      <c r="L16" s="73"/>
      <c r="M16" s="44"/>
      <c r="N16" s="74"/>
      <c r="O16" s="18"/>
      <c r="P16" s="73"/>
      <c r="Q16" s="44"/>
      <c r="R16" s="74"/>
      <c r="S16" s="18"/>
      <c r="T16" s="73"/>
      <c r="U16" s="44"/>
      <c r="V16" s="74"/>
      <c r="W16" s="18"/>
      <c r="X16" s="73"/>
      <c r="Y16" s="44"/>
      <c r="Z16" s="74"/>
    </row>
    <row r="17" spans="2:26" ht="49.9" customHeight="1" x14ac:dyDescent="0.2">
      <c r="B17" s="19" t="s">
        <v>13</v>
      </c>
      <c r="C17" s="18"/>
      <c r="D17" s="73"/>
      <c r="E17" s="44"/>
      <c r="F17" s="74"/>
      <c r="G17" s="18"/>
      <c r="H17" s="73"/>
      <c r="I17" s="44"/>
      <c r="J17" s="74"/>
      <c r="K17" s="18"/>
      <c r="L17" s="73"/>
      <c r="M17" s="44"/>
      <c r="N17" s="74"/>
      <c r="O17" s="18"/>
      <c r="P17" s="73"/>
      <c r="Q17" s="44"/>
      <c r="R17" s="74"/>
      <c r="S17" s="18"/>
      <c r="T17" s="73"/>
      <c r="U17" s="44"/>
      <c r="V17" s="74"/>
      <c r="W17" s="18"/>
      <c r="X17" s="73"/>
      <c r="Y17" s="44"/>
      <c r="Z17" s="74"/>
    </row>
    <row r="18" spans="2:26" ht="49.9" customHeight="1" x14ac:dyDescent="0.2">
      <c r="B18" s="17" t="s">
        <v>14</v>
      </c>
      <c r="C18" s="18"/>
      <c r="D18" s="73"/>
      <c r="E18" s="44"/>
      <c r="F18" s="74"/>
      <c r="G18" s="18"/>
      <c r="H18" s="73"/>
      <c r="I18" s="44"/>
      <c r="J18" s="74"/>
      <c r="K18" s="18"/>
      <c r="L18" s="73"/>
      <c r="M18" s="44"/>
      <c r="N18" s="74"/>
      <c r="O18" s="18"/>
      <c r="P18" s="73"/>
      <c r="Q18" s="44"/>
      <c r="R18" s="74"/>
      <c r="S18" s="18"/>
      <c r="T18" s="73"/>
      <c r="U18" s="44"/>
      <c r="V18" s="74"/>
      <c r="W18" s="18"/>
      <c r="X18" s="73"/>
      <c r="Y18" s="44"/>
      <c r="Z18" s="74"/>
    </row>
    <row r="19" spans="2:26" ht="49.9" customHeight="1" x14ac:dyDescent="0.2">
      <c r="B19" s="17" t="s">
        <v>23</v>
      </c>
      <c r="C19" s="18"/>
      <c r="D19" s="73"/>
      <c r="E19" s="44"/>
      <c r="F19" s="74"/>
      <c r="G19" s="18"/>
      <c r="H19" s="73"/>
      <c r="I19" s="44"/>
      <c r="J19" s="74"/>
      <c r="K19" s="18"/>
      <c r="L19" s="73"/>
      <c r="M19" s="44"/>
      <c r="N19" s="74"/>
      <c r="O19" s="18"/>
      <c r="P19" s="73"/>
      <c r="Q19" s="44"/>
      <c r="R19" s="74"/>
      <c r="S19" s="18"/>
      <c r="T19" s="73"/>
      <c r="U19" s="44"/>
      <c r="V19" s="74"/>
      <c r="W19" s="18"/>
      <c r="X19" s="73"/>
      <c r="Y19" s="44"/>
      <c r="Z19" s="74"/>
    </row>
    <row r="20" spans="2:26" x14ac:dyDescent="0.25">
      <c r="G20" s="69"/>
      <c r="H20" s="69"/>
    </row>
    <row r="21" spans="2:26" x14ac:dyDescent="0.25">
      <c r="G21" s="70"/>
      <c r="H21" s="70"/>
    </row>
    <row r="22" spans="2:26" x14ac:dyDescent="0.25">
      <c r="G22" s="70"/>
      <c r="H22" s="70"/>
    </row>
    <row r="23" spans="2:26" x14ac:dyDescent="0.25">
      <c r="G23" s="70"/>
      <c r="H23" s="70"/>
    </row>
    <row r="24" spans="2:26" x14ac:dyDescent="0.25">
      <c r="G24" s="70"/>
      <c r="H24" s="70"/>
    </row>
    <row r="25" spans="2:26" x14ac:dyDescent="0.25">
      <c r="G25" s="70"/>
      <c r="H25" s="70"/>
    </row>
    <row r="26" spans="2:26" x14ac:dyDescent="0.25">
      <c r="G26" s="70"/>
      <c r="H26" s="70"/>
    </row>
    <row r="27" spans="2:26" x14ac:dyDescent="0.25">
      <c r="G27" s="70"/>
      <c r="H27" s="70"/>
    </row>
    <row r="28" spans="2:26" x14ac:dyDescent="0.25">
      <c r="G28" s="70"/>
      <c r="H28" s="70"/>
    </row>
    <row r="29" spans="2:26" x14ac:dyDescent="0.25">
      <c r="G29" s="70"/>
      <c r="H29" s="70"/>
    </row>
    <row r="30" spans="2:26" x14ac:dyDescent="0.25">
      <c r="G30" s="70"/>
      <c r="H30" s="70"/>
    </row>
    <row r="31" spans="2:26" x14ac:dyDescent="0.25">
      <c r="G31" s="70"/>
      <c r="H31" s="70"/>
    </row>
    <row r="32" spans="2:26" x14ac:dyDescent="0.25">
      <c r="G32" s="70"/>
      <c r="H32" s="70"/>
    </row>
    <row r="33" spans="7:8" x14ac:dyDescent="0.25">
      <c r="G33" s="70"/>
      <c r="H33" s="70"/>
    </row>
    <row r="34" spans="7:8" x14ac:dyDescent="0.25">
      <c r="G34" s="70"/>
      <c r="H34" s="70"/>
    </row>
    <row r="35" spans="7:8" x14ac:dyDescent="0.25">
      <c r="G35" s="70"/>
      <c r="H35" s="70"/>
    </row>
    <row r="36" spans="7:8" x14ac:dyDescent="0.25">
      <c r="G36" s="70"/>
      <c r="H36" s="70"/>
    </row>
    <row r="37" spans="7:8" x14ac:dyDescent="0.25">
      <c r="G37" s="70"/>
      <c r="H37" s="70"/>
    </row>
    <row r="38" spans="7:8" x14ac:dyDescent="0.25">
      <c r="G38" s="70"/>
      <c r="H38" s="70"/>
    </row>
    <row r="39" spans="7:8" x14ac:dyDescent="0.25">
      <c r="G39" s="70"/>
      <c r="H39" s="70"/>
    </row>
    <row r="40" spans="7:8" x14ac:dyDescent="0.25">
      <c r="G40" s="70"/>
      <c r="H40" s="70"/>
    </row>
    <row r="41" spans="7:8" x14ac:dyDescent="0.25">
      <c r="G41" s="70"/>
      <c r="H41" s="70"/>
    </row>
    <row r="42" spans="7:8" x14ac:dyDescent="0.25">
      <c r="G42" s="70"/>
      <c r="H42" s="70"/>
    </row>
    <row r="43" spans="7:8" x14ac:dyDescent="0.25">
      <c r="G43" s="70"/>
      <c r="H43" s="70"/>
    </row>
    <row r="44" spans="7:8" x14ac:dyDescent="0.25">
      <c r="G44" s="70"/>
      <c r="H44" s="70"/>
    </row>
    <row r="45" spans="7:8" x14ac:dyDescent="0.25">
      <c r="G45" s="70"/>
      <c r="H45" s="70"/>
    </row>
    <row r="46" spans="7:8" x14ac:dyDescent="0.25">
      <c r="G46" s="70"/>
      <c r="H46" s="70"/>
    </row>
    <row r="47" spans="7:8" x14ac:dyDescent="0.25">
      <c r="G47" s="70"/>
      <c r="H47" s="70"/>
    </row>
    <row r="48" spans="7:8" x14ac:dyDescent="0.25">
      <c r="G48" s="70"/>
      <c r="H48" s="70"/>
    </row>
    <row r="49" spans="7:8" x14ac:dyDescent="0.25">
      <c r="G49" s="70"/>
      <c r="H49" s="70"/>
    </row>
    <row r="50" spans="7:8" x14ac:dyDescent="0.25">
      <c r="G50" s="70"/>
      <c r="H50" s="70"/>
    </row>
    <row r="51" spans="7:8" x14ac:dyDescent="0.25">
      <c r="G51" s="70"/>
      <c r="H51" s="70"/>
    </row>
    <row r="52" spans="7:8" x14ac:dyDescent="0.25">
      <c r="G52" s="70"/>
      <c r="H52" s="70"/>
    </row>
    <row r="53" spans="7:8" x14ac:dyDescent="0.25">
      <c r="G53" s="70"/>
      <c r="H53" s="70"/>
    </row>
    <row r="54" spans="7:8" x14ac:dyDescent="0.25">
      <c r="G54" s="70"/>
      <c r="H54" s="70"/>
    </row>
    <row r="55" spans="7:8" x14ac:dyDescent="0.25">
      <c r="G55" s="70"/>
      <c r="H55" s="70"/>
    </row>
    <row r="56" spans="7:8" x14ac:dyDescent="0.25">
      <c r="G56" s="70"/>
      <c r="H56" s="70"/>
    </row>
    <row r="57" spans="7:8" x14ac:dyDescent="0.25">
      <c r="G57" s="70"/>
      <c r="H57" s="70"/>
    </row>
    <row r="58" spans="7:8" x14ac:dyDescent="0.25">
      <c r="G58" s="70"/>
      <c r="H58" s="70"/>
    </row>
    <row r="59" spans="7:8" x14ac:dyDescent="0.25">
      <c r="G59" s="70"/>
      <c r="H59" s="70"/>
    </row>
    <row r="60" spans="7:8" x14ac:dyDescent="0.25">
      <c r="G60" s="70"/>
      <c r="H60" s="70"/>
    </row>
    <row r="61" spans="7:8" x14ac:dyDescent="0.25">
      <c r="G61" s="70"/>
      <c r="H61" s="70"/>
    </row>
    <row r="62" spans="7:8" x14ac:dyDescent="0.25">
      <c r="G62" s="70"/>
      <c r="H62" s="70"/>
    </row>
    <row r="63" spans="7:8" x14ac:dyDescent="0.25">
      <c r="G63" s="70"/>
      <c r="H63" s="70"/>
    </row>
    <row r="64" spans="7:8" x14ac:dyDescent="0.25">
      <c r="G64" s="70"/>
      <c r="H64" s="70"/>
    </row>
    <row r="65" spans="7:8" x14ac:dyDescent="0.25">
      <c r="G65" s="70"/>
      <c r="H65" s="70"/>
    </row>
    <row r="66" spans="7:8" x14ac:dyDescent="0.25">
      <c r="G66" s="70"/>
      <c r="H66" s="70"/>
    </row>
    <row r="67" spans="7:8" x14ac:dyDescent="0.25">
      <c r="G67" s="70"/>
      <c r="H67" s="70"/>
    </row>
    <row r="68" spans="7:8" x14ac:dyDescent="0.25">
      <c r="G68" s="70"/>
      <c r="H68" s="70"/>
    </row>
    <row r="69" spans="7:8" x14ac:dyDescent="0.25">
      <c r="G69" s="70"/>
      <c r="H69" s="70"/>
    </row>
    <row r="70" spans="7:8" x14ac:dyDescent="0.25">
      <c r="G70" s="70"/>
      <c r="H70" s="70"/>
    </row>
    <row r="71" spans="7:8" x14ac:dyDescent="0.25">
      <c r="G71" s="70"/>
      <c r="H71" s="70"/>
    </row>
    <row r="72" spans="7:8" x14ac:dyDescent="0.25">
      <c r="G72" s="70"/>
      <c r="H72" s="70"/>
    </row>
    <row r="73" spans="7:8" x14ac:dyDescent="0.25">
      <c r="G73" s="70"/>
      <c r="H73" s="70"/>
    </row>
    <row r="74" spans="7:8" x14ac:dyDescent="0.25">
      <c r="G74" s="70"/>
      <c r="H74" s="70"/>
    </row>
  </sheetData>
  <pageMargins left="0.25" right="0.25" top="0.5" bottom="1" header="0.3" footer="0.53"/>
  <pageSetup scale="53" orientation="landscape" r:id="rId1"/>
  <headerFooter>
    <oddFooter>&amp;R&amp;Z&amp;F
&amp;P of &amp;N
smm</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4B8C-938B-470F-9DBB-21E709C9AB5C}">
  <dimension ref="A1:N62"/>
  <sheetViews>
    <sheetView zoomScaleNormal="100" workbookViewId="0">
      <selection activeCell="N19" sqref="N19"/>
    </sheetView>
  </sheetViews>
  <sheetFormatPr defaultRowHeight="15" x14ac:dyDescent="0.25"/>
  <cols>
    <col min="1" max="2" width="7.42578125" customWidth="1"/>
    <col min="6" max="17" width="10.7109375" customWidth="1"/>
  </cols>
  <sheetData>
    <row r="1" spans="1:14" ht="15.75" x14ac:dyDescent="0.25">
      <c r="A1" s="128">
        <v>2014</v>
      </c>
      <c r="B1" s="127" t="s">
        <v>153</v>
      </c>
      <c r="C1" s="127"/>
      <c r="D1" s="127"/>
      <c r="F1" s="127"/>
      <c r="G1" s="127"/>
      <c r="H1" s="127"/>
      <c r="I1" s="127"/>
      <c r="J1" s="127"/>
      <c r="K1" s="127"/>
    </row>
    <row r="2" spans="1:14" ht="15.75" x14ac:dyDescent="0.25">
      <c r="A2" s="127"/>
      <c r="B2" s="127" t="s">
        <v>20</v>
      </c>
      <c r="D2" s="127" t="s">
        <v>21</v>
      </c>
      <c r="F2" s="127"/>
      <c r="G2" s="127"/>
      <c r="H2" s="127"/>
      <c r="I2" s="127"/>
      <c r="J2" s="127"/>
      <c r="K2" s="127"/>
    </row>
    <row r="4" spans="1:14" x14ac:dyDescent="0.25">
      <c r="B4" s="126" t="s">
        <v>152</v>
      </c>
    </row>
    <row r="5" spans="1:14" x14ac:dyDescent="0.25">
      <c r="B5" s="126"/>
      <c r="C5" t="s">
        <v>151</v>
      </c>
    </row>
    <row r="6" spans="1:14" x14ac:dyDescent="0.25">
      <c r="C6" s="126"/>
    </row>
    <row r="7" spans="1:14" ht="27" customHeight="1" x14ac:dyDescent="0.25">
      <c r="B7" s="247" t="s">
        <v>150</v>
      </c>
      <c r="C7" s="125"/>
      <c r="E7" s="66" t="s">
        <v>32</v>
      </c>
      <c r="F7" s="124">
        <v>41766</v>
      </c>
      <c r="G7" s="123">
        <v>41767</v>
      </c>
      <c r="H7" s="123">
        <v>41768</v>
      </c>
      <c r="I7" s="123">
        <v>41771</v>
      </c>
      <c r="J7" s="123">
        <v>41772</v>
      </c>
      <c r="K7" s="123">
        <v>41775</v>
      </c>
      <c r="L7" s="123">
        <v>41780</v>
      </c>
      <c r="M7" s="123"/>
      <c r="N7" s="123"/>
    </row>
    <row r="8" spans="1:14" ht="15.75" thickBot="1" x14ac:dyDescent="0.3">
      <c r="B8" s="248"/>
      <c r="E8" s="66" t="s">
        <v>149</v>
      </c>
      <c r="F8" s="90">
        <v>127</v>
      </c>
      <c r="G8" s="90">
        <v>128</v>
      </c>
      <c r="H8" s="90">
        <v>129</v>
      </c>
      <c r="I8" s="90">
        <v>132</v>
      </c>
      <c r="J8" s="90">
        <v>133</v>
      </c>
      <c r="K8" s="90">
        <v>136</v>
      </c>
      <c r="L8" s="90">
        <v>141</v>
      </c>
      <c r="M8" s="122">
        <v>0.5</v>
      </c>
      <c r="N8" s="122"/>
    </row>
    <row r="9" spans="1:14" ht="22.15" customHeight="1" x14ac:dyDescent="0.25">
      <c r="B9" s="121">
        <v>41759</v>
      </c>
      <c r="C9" s="111" t="s">
        <v>0</v>
      </c>
      <c r="D9" s="110" t="s">
        <v>5</v>
      </c>
      <c r="E9" s="109" t="s">
        <v>145</v>
      </c>
      <c r="F9" s="109">
        <v>5</v>
      </c>
      <c r="G9" s="109">
        <v>5</v>
      </c>
      <c r="H9" s="108">
        <v>5</v>
      </c>
      <c r="I9" s="108">
        <v>5</v>
      </c>
      <c r="J9" s="108">
        <v>5</v>
      </c>
      <c r="K9" s="107">
        <v>5</v>
      </c>
      <c r="L9" s="107">
        <v>5</v>
      </c>
      <c r="M9" s="90">
        <f>L9/2</f>
        <v>2.5</v>
      </c>
      <c r="N9" s="90">
        <v>126</v>
      </c>
    </row>
    <row r="10" spans="1:14" ht="22.15" customHeight="1" x14ac:dyDescent="0.25">
      <c r="B10" s="97"/>
      <c r="C10" s="106"/>
      <c r="D10" s="105" t="s">
        <v>15</v>
      </c>
      <c r="E10" s="105" t="s">
        <v>143</v>
      </c>
      <c r="F10" s="105">
        <v>6</v>
      </c>
      <c r="G10" s="105">
        <v>5</v>
      </c>
      <c r="H10" s="104">
        <v>5</v>
      </c>
      <c r="I10" s="104">
        <v>6</v>
      </c>
      <c r="J10" s="104">
        <v>6</v>
      </c>
      <c r="K10" s="103">
        <v>6</v>
      </c>
      <c r="L10" s="103">
        <v>5</v>
      </c>
      <c r="M10" s="90">
        <f>L10/2</f>
        <v>2.5</v>
      </c>
      <c r="N10" s="90">
        <v>126</v>
      </c>
    </row>
    <row r="11" spans="1:14" ht="22.15" customHeight="1" x14ac:dyDescent="0.25">
      <c r="B11" s="97"/>
      <c r="C11" s="90"/>
      <c r="D11" s="101"/>
      <c r="E11" s="120" t="s">
        <v>142</v>
      </c>
      <c r="F11" s="120">
        <v>8</v>
      </c>
      <c r="G11" s="120">
        <v>8</v>
      </c>
      <c r="H11" s="119">
        <v>9</v>
      </c>
      <c r="I11" s="119">
        <v>9</v>
      </c>
      <c r="J11" s="119">
        <v>9</v>
      </c>
      <c r="K11" s="118">
        <v>9</v>
      </c>
      <c r="L11" s="118">
        <v>9</v>
      </c>
      <c r="M11" s="90">
        <f>L11/2</f>
        <v>4.5</v>
      </c>
      <c r="N11" s="90">
        <v>126</v>
      </c>
    </row>
    <row r="12" spans="1:14" ht="22.15" customHeight="1" thickBot="1" x14ac:dyDescent="0.3">
      <c r="B12" s="97"/>
      <c r="C12" s="96"/>
      <c r="D12" s="95"/>
      <c r="E12" s="113" t="s">
        <v>141</v>
      </c>
      <c r="F12" s="92">
        <f t="shared" ref="F12:L12" si="0">SUM(F9:F11)</f>
        <v>19</v>
      </c>
      <c r="G12" s="92">
        <f t="shared" si="0"/>
        <v>18</v>
      </c>
      <c r="H12" s="92">
        <f t="shared" si="0"/>
        <v>19</v>
      </c>
      <c r="I12" s="92">
        <f t="shared" si="0"/>
        <v>20</v>
      </c>
      <c r="J12" s="92">
        <f t="shared" si="0"/>
        <v>20</v>
      </c>
      <c r="K12" s="92">
        <f t="shared" si="0"/>
        <v>20</v>
      </c>
      <c r="L12" s="91">
        <f t="shared" si="0"/>
        <v>19</v>
      </c>
      <c r="M12" s="90"/>
      <c r="N12" s="90"/>
    </row>
    <row r="13" spans="1:14" ht="22.15" customHeight="1" x14ac:dyDescent="0.25">
      <c r="B13" s="112">
        <v>41759</v>
      </c>
      <c r="C13" s="111" t="s">
        <v>0</v>
      </c>
      <c r="D13" s="110" t="s">
        <v>6</v>
      </c>
      <c r="E13" s="109" t="s">
        <v>145</v>
      </c>
      <c r="F13" s="109">
        <v>4</v>
      </c>
      <c r="G13" s="109">
        <v>6</v>
      </c>
      <c r="H13" s="108">
        <v>6</v>
      </c>
      <c r="I13" s="108">
        <v>8</v>
      </c>
      <c r="J13" s="108">
        <v>7</v>
      </c>
      <c r="K13" s="117" t="s">
        <v>148</v>
      </c>
      <c r="L13" s="116">
        <v>8</v>
      </c>
      <c r="M13" s="90">
        <f>L13/2</f>
        <v>4</v>
      </c>
      <c r="N13" s="90">
        <f>F$8+(M13-F13)/(G13-F13)*(G$8-F$8)</f>
        <v>127</v>
      </c>
    </row>
    <row r="14" spans="1:14" ht="22.15" customHeight="1" x14ac:dyDescent="0.25">
      <c r="B14" s="97"/>
      <c r="C14" s="106"/>
      <c r="D14" s="105" t="s">
        <v>16</v>
      </c>
      <c r="E14" s="105" t="s">
        <v>143</v>
      </c>
      <c r="F14" s="105">
        <v>5</v>
      </c>
      <c r="G14" s="105">
        <v>6</v>
      </c>
      <c r="H14" s="104">
        <v>6</v>
      </c>
      <c r="I14" s="104">
        <v>6</v>
      </c>
      <c r="J14" s="104">
        <v>6</v>
      </c>
      <c r="K14" s="115" t="s">
        <v>147</v>
      </c>
      <c r="L14" s="114">
        <v>6</v>
      </c>
      <c r="M14" s="90">
        <f>L14/2</f>
        <v>3</v>
      </c>
      <c r="N14" s="90">
        <v>126</v>
      </c>
    </row>
    <row r="15" spans="1:14" ht="22.15" customHeight="1" thickBot="1" x14ac:dyDescent="0.3">
      <c r="B15" s="97"/>
      <c r="C15" s="90"/>
      <c r="D15" s="101"/>
      <c r="E15" s="100" t="s">
        <v>142</v>
      </c>
      <c r="F15" s="100">
        <v>4</v>
      </c>
      <c r="G15" s="100">
        <v>5</v>
      </c>
      <c r="H15" s="99">
        <v>5</v>
      </c>
      <c r="I15" s="99">
        <v>5</v>
      </c>
      <c r="J15" s="99">
        <v>5</v>
      </c>
      <c r="K15" s="98">
        <v>5</v>
      </c>
      <c r="L15" s="98">
        <v>5</v>
      </c>
      <c r="M15" s="90">
        <f>L15/2</f>
        <v>2.5</v>
      </c>
      <c r="N15" s="90">
        <v>126</v>
      </c>
    </row>
    <row r="16" spans="1:14" ht="22.15" customHeight="1" thickBot="1" x14ac:dyDescent="0.3">
      <c r="B16" s="97"/>
      <c r="C16" s="96"/>
      <c r="D16" s="95"/>
      <c r="E16" s="113" t="s">
        <v>141</v>
      </c>
      <c r="F16" s="92">
        <f>SUM(F13:F15)</f>
        <v>13</v>
      </c>
      <c r="G16" s="92">
        <f>SUM(G13:G15)</f>
        <v>17</v>
      </c>
      <c r="H16" s="92">
        <f>SUM(H13:H15)</f>
        <v>17</v>
      </c>
      <c r="I16" s="92">
        <f>SUM(I13:I15)</f>
        <v>19</v>
      </c>
      <c r="J16" s="92">
        <f>SUM(J13:J15)</f>
        <v>18</v>
      </c>
      <c r="K16" s="92"/>
      <c r="L16" s="91">
        <f>SUM(L13:L15)</f>
        <v>19</v>
      </c>
      <c r="M16" s="90"/>
      <c r="N16" s="90"/>
    </row>
    <row r="17" spans="2:14" ht="22.15" customHeight="1" x14ac:dyDescent="0.25">
      <c r="B17" s="251" t="s">
        <v>146</v>
      </c>
      <c r="C17" s="111" t="s">
        <v>1</v>
      </c>
      <c r="D17" s="110" t="s">
        <v>7</v>
      </c>
      <c r="E17" s="109" t="s">
        <v>145</v>
      </c>
      <c r="F17" s="109">
        <v>6</v>
      </c>
      <c r="G17" s="109">
        <v>7</v>
      </c>
      <c r="H17" s="108">
        <v>7</v>
      </c>
      <c r="I17" s="108">
        <v>8</v>
      </c>
      <c r="J17" s="108">
        <v>8</v>
      </c>
      <c r="K17" s="107">
        <v>8</v>
      </c>
      <c r="L17" s="107">
        <v>9</v>
      </c>
      <c r="M17" s="90">
        <f>L17/2</f>
        <v>4.5</v>
      </c>
      <c r="N17" s="90">
        <v>126</v>
      </c>
    </row>
    <row r="18" spans="2:14" ht="22.15" customHeight="1" x14ac:dyDescent="0.25">
      <c r="B18" s="252"/>
      <c r="C18" s="106"/>
      <c r="D18" s="105" t="s">
        <v>17</v>
      </c>
      <c r="E18" s="105" t="s">
        <v>143</v>
      </c>
      <c r="F18" s="105">
        <v>4</v>
      </c>
      <c r="G18" s="105">
        <v>7</v>
      </c>
      <c r="H18" s="104">
        <v>8</v>
      </c>
      <c r="I18" s="104">
        <v>10</v>
      </c>
      <c r="J18" s="104">
        <v>9</v>
      </c>
      <c r="K18" s="103">
        <v>9</v>
      </c>
      <c r="L18" s="103">
        <v>9</v>
      </c>
      <c r="M18" s="90">
        <f>L18/2</f>
        <v>4.5</v>
      </c>
      <c r="N18" s="90">
        <f>F$8+(M18-F18)/(G18-F18)*(G$8-F$8)</f>
        <v>127.16666666666667</v>
      </c>
    </row>
    <row r="19" spans="2:14" ht="22.15" customHeight="1" thickBot="1" x14ac:dyDescent="0.3">
      <c r="C19" s="90"/>
      <c r="D19" s="101"/>
      <c r="E19" s="100" t="s">
        <v>142</v>
      </c>
      <c r="F19" s="100">
        <v>3</v>
      </c>
      <c r="G19" s="100">
        <v>4</v>
      </c>
      <c r="H19" s="99">
        <v>5</v>
      </c>
      <c r="I19" s="99">
        <v>6</v>
      </c>
      <c r="J19" s="99">
        <v>6</v>
      </c>
      <c r="K19" s="98">
        <v>6</v>
      </c>
      <c r="L19" s="98">
        <v>6</v>
      </c>
      <c r="M19" s="90">
        <f>L19/2</f>
        <v>3</v>
      </c>
      <c r="N19" s="90">
        <f>F$8+(M19-F19)/(G19-F19)*(G$8-F$8)</f>
        <v>127</v>
      </c>
    </row>
    <row r="20" spans="2:14" ht="22.15" customHeight="1" thickBot="1" x14ac:dyDescent="0.3">
      <c r="B20" s="97"/>
      <c r="C20" s="96"/>
      <c r="D20" s="95"/>
      <c r="E20" s="113" t="s">
        <v>141</v>
      </c>
      <c r="F20" s="92">
        <f t="shared" ref="F20:L20" si="1">SUM(F17:F19)</f>
        <v>13</v>
      </c>
      <c r="G20" s="92">
        <f t="shared" si="1"/>
        <v>18</v>
      </c>
      <c r="H20" s="92">
        <f t="shared" si="1"/>
        <v>20</v>
      </c>
      <c r="I20" s="92">
        <f t="shared" si="1"/>
        <v>24</v>
      </c>
      <c r="J20" s="92">
        <f t="shared" si="1"/>
        <v>23</v>
      </c>
      <c r="K20" s="92">
        <f t="shared" si="1"/>
        <v>23</v>
      </c>
      <c r="L20" s="91">
        <f t="shared" si="1"/>
        <v>24</v>
      </c>
      <c r="M20" s="90"/>
      <c r="N20" s="90"/>
    </row>
    <row r="21" spans="2:14" ht="22.15" customHeight="1" x14ac:dyDescent="0.25">
      <c r="B21" s="112">
        <v>41759</v>
      </c>
      <c r="C21" s="111" t="s">
        <v>1</v>
      </c>
      <c r="D21" s="110" t="s">
        <v>8</v>
      </c>
      <c r="E21" s="109" t="s">
        <v>145</v>
      </c>
      <c r="F21" s="109">
        <v>1</v>
      </c>
      <c r="G21" s="109">
        <v>2</v>
      </c>
      <c r="H21" s="108">
        <v>4</v>
      </c>
      <c r="I21" s="108">
        <v>6</v>
      </c>
      <c r="J21" s="108">
        <v>6</v>
      </c>
      <c r="K21" s="107">
        <v>7</v>
      </c>
      <c r="L21" s="107">
        <v>6</v>
      </c>
      <c r="M21" s="90">
        <f>L21/2</f>
        <v>3</v>
      </c>
      <c r="N21" s="90">
        <f>G$8+(M21-G21)/(H21-G21)*(H$8-G$8)</f>
        <v>128.5</v>
      </c>
    </row>
    <row r="22" spans="2:14" ht="22.15" customHeight="1" x14ac:dyDescent="0.25">
      <c r="B22" s="97"/>
      <c r="C22" s="106"/>
      <c r="D22" s="105" t="s">
        <v>18</v>
      </c>
      <c r="E22" s="105" t="s">
        <v>143</v>
      </c>
      <c r="F22" s="105">
        <v>5</v>
      </c>
      <c r="G22" s="105">
        <v>6</v>
      </c>
      <c r="H22" s="104">
        <v>7</v>
      </c>
      <c r="I22" s="104">
        <v>7</v>
      </c>
      <c r="J22" s="104">
        <v>7</v>
      </c>
      <c r="K22" s="103">
        <v>7</v>
      </c>
      <c r="L22" s="103">
        <v>8</v>
      </c>
      <c r="M22" s="90">
        <f>L22/2</f>
        <v>4</v>
      </c>
      <c r="N22" s="90">
        <v>126</v>
      </c>
    </row>
    <row r="23" spans="2:14" ht="22.15" customHeight="1" thickBot="1" x14ac:dyDescent="0.3">
      <c r="B23" s="97"/>
      <c r="C23" s="90"/>
      <c r="D23" s="101"/>
      <c r="E23" s="100" t="s">
        <v>142</v>
      </c>
      <c r="F23" s="100">
        <v>3</v>
      </c>
      <c r="G23" s="100">
        <v>4</v>
      </c>
      <c r="H23" s="99">
        <v>4</v>
      </c>
      <c r="I23" s="99">
        <v>6</v>
      </c>
      <c r="J23" s="99">
        <v>6</v>
      </c>
      <c r="K23" s="98">
        <v>6</v>
      </c>
      <c r="L23" s="98">
        <v>7</v>
      </c>
      <c r="M23" s="90">
        <f>L23/2</f>
        <v>3.5</v>
      </c>
      <c r="N23" s="90">
        <f>F$8+(M23-F23)/(G23-F23)*(G$8-F$8)</f>
        <v>127.5</v>
      </c>
    </row>
    <row r="24" spans="2:14" ht="22.15" customHeight="1" thickBot="1" x14ac:dyDescent="0.3">
      <c r="B24" s="97"/>
      <c r="C24" s="96"/>
      <c r="D24" s="95"/>
      <c r="E24" s="113" t="s">
        <v>141</v>
      </c>
      <c r="F24" s="92">
        <f t="shared" ref="F24:L24" si="2">SUM(F21:F23)</f>
        <v>9</v>
      </c>
      <c r="G24" s="92">
        <f t="shared" si="2"/>
        <v>12</v>
      </c>
      <c r="H24" s="92">
        <f t="shared" si="2"/>
        <v>15</v>
      </c>
      <c r="I24" s="92">
        <f t="shared" si="2"/>
        <v>19</v>
      </c>
      <c r="J24" s="92">
        <f t="shared" si="2"/>
        <v>19</v>
      </c>
      <c r="K24" s="92">
        <f t="shared" si="2"/>
        <v>20</v>
      </c>
      <c r="L24" s="91">
        <f t="shared" si="2"/>
        <v>21</v>
      </c>
      <c r="M24" s="90"/>
      <c r="N24" s="90"/>
    </row>
    <row r="25" spans="2:14" ht="22.15" customHeight="1" x14ac:dyDescent="0.25">
      <c r="B25" s="112">
        <v>41760</v>
      </c>
      <c r="C25" s="111" t="s">
        <v>2</v>
      </c>
      <c r="D25" s="110" t="s">
        <v>9</v>
      </c>
      <c r="E25" s="109" t="s">
        <v>145</v>
      </c>
      <c r="F25" s="109">
        <v>0</v>
      </c>
      <c r="G25" s="109">
        <v>1</v>
      </c>
      <c r="H25" s="108">
        <v>2</v>
      </c>
      <c r="I25" s="108">
        <v>6</v>
      </c>
      <c r="J25" s="108">
        <v>6</v>
      </c>
      <c r="K25" s="107">
        <v>7</v>
      </c>
      <c r="L25" s="107">
        <v>7</v>
      </c>
      <c r="M25" s="90">
        <f>L25/2</f>
        <v>3.5</v>
      </c>
      <c r="N25" s="90">
        <f>H$8+(M25-H25)/(I25-H25)*(I$8-H$8)</f>
        <v>130.125</v>
      </c>
    </row>
    <row r="26" spans="2:14" ht="22.15" customHeight="1" x14ac:dyDescent="0.25">
      <c r="B26" s="97"/>
      <c r="C26" s="106"/>
      <c r="D26" s="105" t="s">
        <v>19</v>
      </c>
      <c r="E26" s="105" t="s">
        <v>143</v>
      </c>
      <c r="F26" s="105">
        <v>2</v>
      </c>
      <c r="G26" s="105">
        <v>5</v>
      </c>
      <c r="H26" s="104">
        <v>6</v>
      </c>
      <c r="I26" s="104">
        <v>7</v>
      </c>
      <c r="J26" s="104">
        <v>7</v>
      </c>
      <c r="K26" s="103">
        <v>7</v>
      </c>
      <c r="L26" s="103">
        <v>8</v>
      </c>
      <c r="M26" s="90">
        <f>L26/2</f>
        <v>4</v>
      </c>
      <c r="N26" s="90">
        <f>F$8+(M26-F26)/(G26-F26)*(G$8-F$8)</f>
        <v>127.66666666666667</v>
      </c>
    </row>
    <row r="27" spans="2:14" ht="22.15" customHeight="1" thickBot="1" x14ac:dyDescent="0.3">
      <c r="B27" s="97"/>
      <c r="C27" s="90"/>
      <c r="D27" s="101"/>
      <c r="E27" s="100" t="s">
        <v>142</v>
      </c>
      <c r="F27" s="100">
        <v>2</v>
      </c>
      <c r="G27" s="100">
        <v>2</v>
      </c>
      <c r="H27" s="99">
        <v>4</v>
      </c>
      <c r="I27" s="99">
        <v>7</v>
      </c>
      <c r="J27" s="99">
        <v>7</v>
      </c>
      <c r="K27" s="98">
        <v>7</v>
      </c>
      <c r="L27" s="98">
        <v>8</v>
      </c>
      <c r="M27" s="90">
        <f>L27/2</f>
        <v>4</v>
      </c>
      <c r="N27" s="90">
        <f>H$8+(M27-H27)/(I27-H27)*(I$8-H$8)</f>
        <v>129</v>
      </c>
    </row>
    <row r="28" spans="2:14" ht="22.15" customHeight="1" thickBot="1" x14ac:dyDescent="0.3">
      <c r="B28" s="97"/>
      <c r="C28" s="96"/>
      <c r="D28" s="95"/>
      <c r="E28" s="113" t="s">
        <v>141</v>
      </c>
      <c r="F28" s="92">
        <f t="shared" ref="F28:L28" si="3">SUM(F25:F27)</f>
        <v>4</v>
      </c>
      <c r="G28" s="92">
        <f t="shared" si="3"/>
        <v>8</v>
      </c>
      <c r="H28" s="92">
        <f t="shared" si="3"/>
        <v>12</v>
      </c>
      <c r="I28" s="92">
        <f t="shared" si="3"/>
        <v>20</v>
      </c>
      <c r="J28" s="92">
        <f t="shared" si="3"/>
        <v>20</v>
      </c>
      <c r="K28" s="92">
        <f t="shared" si="3"/>
        <v>21</v>
      </c>
      <c r="L28" s="91">
        <f t="shared" si="3"/>
        <v>23</v>
      </c>
      <c r="M28" s="90"/>
      <c r="N28" s="90"/>
    </row>
    <row r="29" spans="2:14" ht="22.15" customHeight="1" x14ac:dyDescent="0.25">
      <c r="B29" s="112">
        <v>41760</v>
      </c>
      <c r="C29" s="111" t="s">
        <v>2</v>
      </c>
      <c r="D29" s="110" t="s">
        <v>10</v>
      </c>
      <c r="E29" s="109" t="s">
        <v>145</v>
      </c>
      <c r="F29" s="109">
        <v>0</v>
      </c>
      <c r="G29" s="109">
        <v>1</v>
      </c>
      <c r="H29" s="108">
        <v>2</v>
      </c>
      <c r="I29" s="108">
        <v>5</v>
      </c>
      <c r="J29" s="108">
        <v>6</v>
      </c>
      <c r="K29" s="107">
        <v>6</v>
      </c>
      <c r="L29" s="107">
        <v>7</v>
      </c>
      <c r="M29" s="90">
        <f>L29/2</f>
        <v>3.5</v>
      </c>
      <c r="N29" s="90">
        <f>H$8+(M29-H29)/(I29-H29)*(I$8-H$8)</f>
        <v>130.5</v>
      </c>
    </row>
    <row r="30" spans="2:14" ht="22.15" customHeight="1" x14ac:dyDescent="0.25">
      <c r="B30" s="97"/>
      <c r="C30" s="106"/>
      <c r="D30" s="105" t="s">
        <v>15</v>
      </c>
      <c r="E30" s="105" t="s">
        <v>143</v>
      </c>
      <c r="F30" s="105">
        <v>0</v>
      </c>
      <c r="G30" s="105">
        <v>0</v>
      </c>
      <c r="H30" s="104">
        <v>2</v>
      </c>
      <c r="I30" s="104">
        <v>7</v>
      </c>
      <c r="J30" s="104">
        <v>7</v>
      </c>
      <c r="K30" s="103">
        <v>7</v>
      </c>
      <c r="L30" s="103">
        <v>7</v>
      </c>
      <c r="M30" s="90">
        <f>L30/2</f>
        <v>3.5</v>
      </c>
      <c r="N30" s="90">
        <f>H$8+(M30-H30)/(I30-H30)*(I$8-H$8)</f>
        <v>129.9</v>
      </c>
    </row>
    <row r="31" spans="2:14" ht="22.15" customHeight="1" thickBot="1" x14ac:dyDescent="0.3">
      <c r="B31" s="97"/>
      <c r="C31" s="90"/>
      <c r="D31" s="101"/>
      <c r="E31" s="100" t="s">
        <v>142</v>
      </c>
      <c r="F31" s="100">
        <v>1</v>
      </c>
      <c r="G31" s="100">
        <v>2</v>
      </c>
      <c r="H31" s="99">
        <v>3</v>
      </c>
      <c r="I31" s="99">
        <v>6</v>
      </c>
      <c r="J31" s="99">
        <v>6</v>
      </c>
      <c r="K31" s="98">
        <v>6</v>
      </c>
      <c r="L31" s="98">
        <v>6</v>
      </c>
      <c r="M31" s="90">
        <f>L31/2</f>
        <v>3</v>
      </c>
      <c r="N31" s="90">
        <f>H$8+(M31-H31)/(I31-H31)*(I$8-H$8)</f>
        <v>129</v>
      </c>
    </row>
    <row r="32" spans="2:14" ht="22.15" customHeight="1" thickBot="1" x14ac:dyDescent="0.3">
      <c r="B32" s="97"/>
      <c r="C32" s="96"/>
      <c r="D32" s="95"/>
      <c r="E32" s="113" t="s">
        <v>141</v>
      </c>
      <c r="F32" s="92">
        <f t="shared" ref="F32:L32" si="4">SUM(F29:F31)</f>
        <v>1</v>
      </c>
      <c r="G32" s="92">
        <f t="shared" si="4"/>
        <v>3</v>
      </c>
      <c r="H32" s="92">
        <f t="shared" si="4"/>
        <v>7</v>
      </c>
      <c r="I32" s="92">
        <f t="shared" si="4"/>
        <v>18</v>
      </c>
      <c r="J32" s="92">
        <f t="shared" si="4"/>
        <v>19</v>
      </c>
      <c r="K32" s="92">
        <f t="shared" si="4"/>
        <v>19</v>
      </c>
      <c r="L32" s="91">
        <f t="shared" si="4"/>
        <v>20</v>
      </c>
      <c r="M32" s="90"/>
      <c r="N32" s="90"/>
    </row>
    <row r="33" spans="2:14" ht="22.15" customHeight="1" x14ac:dyDescent="0.25">
      <c r="B33" s="112">
        <v>41760</v>
      </c>
      <c r="C33" s="111" t="s">
        <v>3</v>
      </c>
      <c r="D33" s="110" t="s">
        <v>11</v>
      </c>
      <c r="E33" s="109" t="s">
        <v>145</v>
      </c>
      <c r="F33" s="109">
        <v>0</v>
      </c>
      <c r="G33" s="109">
        <v>4</v>
      </c>
      <c r="H33" s="108">
        <v>4</v>
      </c>
      <c r="I33" s="108">
        <v>7</v>
      </c>
      <c r="J33" s="108">
        <v>7</v>
      </c>
      <c r="K33" s="107">
        <v>7</v>
      </c>
      <c r="L33" s="107">
        <v>7</v>
      </c>
      <c r="M33" s="90">
        <f>L33/2</f>
        <v>3.5</v>
      </c>
      <c r="N33" s="90">
        <f>F$8+(M33-F33)/(G33-F33)*(G$8-F$8)</f>
        <v>127.875</v>
      </c>
    </row>
    <row r="34" spans="2:14" ht="22.15" customHeight="1" x14ac:dyDescent="0.25">
      <c r="B34" s="97"/>
      <c r="C34" s="106"/>
      <c r="D34" s="105" t="s">
        <v>17</v>
      </c>
      <c r="E34" s="105" t="s">
        <v>143</v>
      </c>
      <c r="F34" s="105">
        <v>2</v>
      </c>
      <c r="G34" s="105">
        <v>4</v>
      </c>
      <c r="H34" s="104">
        <v>4</v>
      </c>
      <c r="I34" s="104">
        <v>5</v>
      </c>
      <c r="J34" s="104">
        <v>5</v>
      </c>
      <c r="K34" s="103">
        <v>5</v>
      </c>
      <c r="L34" s="103">
        <v>5</v>
      </c>
      <c r="M34" s="90">
        <f>L34/2</f>
        <v>2.5</v>
      </c>
      <c r="N34" s="90">
        <f>F$8+(M34-F34)/(G34-F34)*(G$8-F$8)</f>
        <v>127.25</v>
      </c>
    </row>
    <row r="35" spans="2:14" ht="22.15" customHeight="1" thickBot="1" x14ac:dyDescent="0.3">
      <c r="B35" s="97"/>
      <c r="C35" s="90"/>
      <c r="D35" s="101"/>
      <c r="E35" s="100" t="s">
        <v>142</v>
      </c>
      <c r="F35" s="100">
        <v>1</v>
      </c>
      <c r="G35" s="100">
        <v>2</v>
      </c>
      <c r="H35" s="99">
        <v>5</v>
      </c>
      <c r="I35" s="99">
        <v>7</v>
      </c>
      <c r="J35" s="99">
        <v>7</v>
      </c>
      <c r="K35" s="98">
        <v>8</v>
      </c>
      <c r="L35" s="98">
        <v>8</v>
      </c>
      <c r="M35" s="90">
        <f>L35/2</f>
        <v>4</v>
      </c>
      <c r="N35" s="90">
        <f>G$8+(M35-G35)/(H35-G35)*(H$8-G$8)</f>
        <v>128.66666666666666</v>
      </c>
    </row>
    <row r="36" spans="2:14" ht="22.15" customHeight="1" thickBot="1" x14ac:dyDescent="0.3">
      <c r="B36" s="97"/>
      <c r="C36" s="96"/>
      <c r="D36" s="95"/>
      <c r="E36" s="113" t="s">
        <v>141</v>
      </c>
      <c r="F36" s="92">
        <f t="shared" ref="F36:L36" si="5">SUM(F33:F35)</f>
        <v>3</v>
      </c>
      <c r="G36" s="92">
        <f t="shared" si="5"/>
        <v>10</v>
      </c>
      <c r="H36" s="92">
        <f t="shared" si="5"/>
        <v>13</v>
      </c>
      <c r="I36" s="92">
        <f t="shared" si="5"/>
        <v>19</v>
      </c>
      <c r="J36" s="92">
        <f t="shared" si="5"/>
        <v>19</v>
      </c>
      <c r="K36" s="92">
        <f t="shared" si="5"/>
        <v>20</v>
      </c>
      <c r="L36" s="91">
        <f t="shared" si="5"/>
        <v>20</v>
      </c>
      <c r="M36" s="90"/>
      <c r="N36" s="90"/>
    </row>
    <row r="37" spans="2:14" ht="22.15" customHeight="1" x14ac:dyDescent="0.25">
      <c r="B37" s="112">
        <v>41760</v>
      </c>
      <c r="C37" s="111" t="s">
        <v>3</v>
      </c>
      <c r="D37" s="110" t="s">
        <v>12</v>
      </c>
      <c r="E37" s="109" t="s">
        <v>145</v>
      </c>
      <c r="F37" s="109">
        <v>0</v>
      </c>
      <c r="G37" s="109">
        <v>1</v>
      </c>
      <c r="H37" s="108">
        <v>3</v>
      </c>
      <c r="I37" s="108">
        <v>6</v>
      </c>
      <c r="J37" s="108">
        <v>6</v>
      </c>
      <c r="K37" s="107">
        <v>6</v>
      </c>
      <c r="L37" s="107">
        <v>6</v>
      </c>
      <c r="M37" s="90">
        <f>L37/2</f>
        <v>3</v>
      </c>
      <c r="N37" s="90">
        <f>H$8+(M37-H37)/(I37-H37)*(I$8-H$8)</f>
        <v>129</v>
      </c>
    </row>
    <row r="38" spans="2:14" ht="22.15" customHeight="1" x14ac:dyDescent="0.25">
      <c r="B38" s="97"/>
      <c r="C38" s="106"/>
      <c r="D38" s="105" t="s">
        <v>18</v>
      </c>
      <c r="E38" s="105" t="s">
        <v>143</v>
      </c>
      <c r="F38" s="105">
        <v>0</v>
      </c>
      <c r="G38" s="105">
        <v>2</v>
      </c>
      <c r="H38" s="104">
        <v>2</v>
      </c>
      <c r="I38" s="104">
        <v>3</v>
      </c>
      <c r="J38" s="104">
        <v>3</v>
      </c>
      <c r="K38" s="103">
        <v>4</v>
      </c>
      <c r="L38" s="103">
        <v>3</v>
      </c>
      <c r="M38" s="90">
        <f>L38/2</f>
        <v>1.5</v>
      </c>
      <c r="N38" s="90">
        <f>F$8+(M38-F38)/(G38-F38)*(G$8-F$8)</f>
        <v>127.75</v>
      </c>
    </row>
    <row r="39" spans="2:14" ht="22.15" customHeight="1" thickBot="1" x14ac:dyDescent="0.3">
      <c r="B39" s="97"/>
      <c r="C39" s="90"/>
      <c r="D39" s="101"/>
      <c r="E39" s="100" t="s">
        <v>142</v>
      </c>
      <c r="F39" s="100">
        <v>0</v>
      </c>
      <c r="G39" s="100">
        <v>0</v>
      </c>
      <c r="H39" s="99">
        <v>0</v>
      </c>
      <c r="I39" s="99">
        <v>2</v>
      </c>
      <c r="J39" s="99">
        <v>2</v>
      </c>
      <c r="K39" s="98">
        <v>5</v>
      </c>
      <c r="L39" s="98">
        <v>5</v>
      </c>
      <c r="M39" s="90">
        <f>L39/2</f>
        <v>2.5</v>
      </c>
      <c r="N39" s="90">
        <f>J$8+(M39-J39)/(K39-J39)*(K$8-J$8)</f>
        <v>133.5</v>
      </c>
    </row>
    <row r="40" spans="2:14" ht="22.15" customHeight="1" thickBot="1" x14ac:dyDescent="0.3">
      <c r="B40" s="97"/>
      <c r="C40" s="96"/>
      <c r="D40" s="95"/>
      <c r="E40" s="113" t="s">
        <v>141</v>
      </c>
      <c r="F40" s="92">
        <f t="shared" ref="F40:L40" si="6">SUM(F37:F39)</f>
        <v>0</v>
      </c>
      <c r="G40" s="92">
        <f t="shared" si="6"/>
        <v>3</v>
      </c>
      <c r="H40" s="92">
        <f t="shared" si="6"/>
        <v>5</v>
      </c>
      <c r="I40" s="92">
        <f t="shared" si="6"/>
        <v>11</v>
      </c>
      <c r="J40" s="92">
        <f t="shared" si="6"/>
        <v>11</v>
      </c>
      <c r="K40" s="92">
        <f t="shared" si="6"/>
        <v>15</v>
      </c>
      <c r="L40" s="91">
        <f t="shared" si="6"/>
        <v>14</v>
      </c>
      <c r="M40" s="90"/>
      <c r="N40" s="90"/>
    </row>
    <row r="41" spans="2:14" ht="22.15" customHeight="1" x14ac:dyDescent="0.25">
      <c r="B41" s="112">
        <v>41760</v>
      </c>
      <c r="C41" s="111" t="s">
        <v>4</v>
      </c>
      <c r="D41" s="110" t="s">
        <v>13</v>
      </c>
      <c r="E41" s="109" t="s">
        <v>145</v>
      </c>
      <c r="F41" s="109">
        <v>4</v>
      </c>
      <c r="G41" s="109">
        <v>9</v>
      </c>
      <c r="H41" s="108">
        <v>12</v>
      </c>
      <c r="I41" s="108">
        <v>17</v>
      </c>
      <c r="J41" s="108">
        <v>17</v>
      </c>
      <c r="K41" s="107">
        <v>18</v>
      </c>
      <c r="L41" s="107">
        <v>16</v>
      </c>
      <c r="M41" s="90">
        <f>L41/2</f>
        <v>8</v>
      </c>
      <c r="N41" s="90">
        <f>G$8+(M41-G41)/(H41-G41)*(H$8-G$8)</f>
        <v>127.66666666666667</v>
      </c>
    </row>
    <row r="42" spans="2:14" ht="21.6" customHeight="1" x14ac:dyDescent="0.25">
      <c r="B42" s="97"/>
      <c r="C42" s="106"/>
      <c r="D42" s="105" t="s">
        <v>19</v>
      </c>
      <c r="E42" s="105" t="s">
        <v>143</v>
      </c>
      <c r="F42" s="105">
        <v>0</v>
      </c>
      <c r="G42" s="105">
        <v>6</v>
      </c>
      <c r="H42" s="104">
        <v>9</v>
      </c>
      <c r="I42" s="104">
        <v>13</v>
      </c>
      <c r="J42" s="104">
        <v>14</v>
      </c>
      <c r="K42" s="103">
        <v>14</v>
      </c>
      <c r="L42" s="103">
        <v>14</v>
      </c>
      <c r="M42" s="90">
        <f>L42/2</f>
        <v>7</v>
      </c>
      <c r="N42" s="90">
        <f>G$8+(M42-G42)/(H42-G42)*(H$8-G$8)</f>
        <v>128.33333333333334</v>
      </c>
    </row>
    <row r="43" spans="2:14" ht="21.6" customHeight="1" thickBot="1" x14ac:dyDescent="0.3">
      <c r="B43" s="97"/>
      <c r="C43" s="90"/>
      <c r="D43" s="101"/>
      <c r="E43" s="100" t="s">
        <v>142</v>
      </c>
      <c r="F43" s="100">
        <v>1</v>
      </c>
      <c r="G43" s="100">
        <v>4</v>
      </c>
      <c r="H43" s="99">
        <v>9</v>
      </c>
      <c r="I43" s="99">
        <v>15</v>
      </c>
      <c r="J43" s="99">
        <v>15</v>
      </c>
      <c r="K43" s="98">
        <v>16</v>
      </c>
      <c r="L43" s="98">
        <v>15</v>
      </c>
      <c r="M43" s="90">
        <f>L43/2</f>
        <v>7.5</v>
      </c>
      <c r="N43" s="90">
        <f>G$8+(M43-G43)/(H43-G43)*(H$8-G$8)</f>
        <v>128.69999999999999</v>
      </c>
    </row>
    <row r="44" spans="2:14" ht="21.6" customHeight="1" thickBot="1" x14ac:dyDescent="0.3">
      <c r="B44" s="97"/>
      <c r="C44" s="96"/>
      <c r="D44" s="95"/>
      <c r="E44" s="113" t="s">
        <v>141</v>
      </c>
      <c r="F44" s="92">
        <f t="shared" ref="F44:L44" si="7">SUM(F41:F43)</f>
        <v>5</v>
      </c>
      <c r="G44" s="92">
        <f t="shared" si="7"/>
        <v>19</v>
      </c>
      <c r="H44" s="92">
        <f t="shared" si="7"/>
        <v>30</v>
      </c>
      <c r="I44" s="92">
        <f t="shared" si="7"/>
        <v>45</v>
      </c>
      <c r="J44" s="92">
        <f t="shared" si="7"/>
        <v>46</v>
      </c>
      <c r="K44" s="92">
        <f t="shared" si="7"/>
        <v>48</v>
      </c>
      <c r="L44" s="91">
        <f t="shared" si="7"/>
        <v>45</v>
      </c>
      <c r="M44" s="90"/>
      <c r="N44" s="90"/>
    </row>
    <row r="45" spans="2:14" ht="21.6" customHeight="1" x14ac:dyDescent="0.25">
      <c r="B45" s="112">
        <v>41760</v>
      </c>
      <c r="C45" s="111" t="s">
        <v>4</v>
      </c>
      <c r="D45" s="110" t="s">
        <v>14</v>
      </c>
      <c r="E45" s="109" t="s">
        <v>145</v>
      </c>
      <c r="F45" s="109">
        <v>0</v>
      </c>
      <c r="G45" s="109">
        <v>1</v>
      </c>
      <c r="H45" s="108">
        <v>2</v>
      </c>
      <c r="I45" s="108">
        <v>8</v>
      </c>
      <c r="J45" s="108">
        <v>9</v>
      </c>
      <c r="K45" s="107">
        <v>12</v>
      </c>
      <c r="L45" s="107">
        <v>13</v>
      </c>
      <c r="M45" s="90">
        <f>L45/2</f>
        <v>6.5</v>
      </c>
      <c r="N45" s="90">
        <f>H$8+(M45-H45)/(I45-H45)*(I$8-H$8)</f>
        <v>131.25</v>
      </c>
    </row>
    <row r="46" spans="2:14" ht="21.6" customHeight="1" x14ac:dyDescent="0.25">
      <c r="B46" s="97"/>
      <c r="C46" s="106"/>
      <c r="D46" s="105" t="s">
        <v>16</v>
      </c>
      <c r="E46" s="105" t="s">
        <v>143</v>
      </c>
      <c r="F46" s="105">
        <v>0</v>
      </c>
      <c r="G46" s="105">
        <v>0</v>
      </c>
      <c r="H46" s="104">
        <v>1</v>
      </c>
      <c r="I46" s="104">
        <v>11</v>
      </c>
      <c r="J46" s="104">
        <v>12</v>
      </c>
      <c r="K46" s="103">
        <v>16</v>
      </c>
      <c r="L46" s="103">
        <v>13</v>
      </c>
      <c r="M46" s="90">
        <f>L46/2</f>
        <v>6.5</v>
      </c>
      <c r="N46" s="90">
        <f>H$8+(M46-H46)/(I46-H46)*(I$8-H$8)</f>
        <v>130.65</v>
      </c>
    </row>
    <row r="47" spans="2:14" ht="21.6" customHeight="1" thickBot="1" x14ac:dyDescent="0.3">
      <c r="B47" s="97"/>
      <c r="C47" s="90"/>
      <c r="D47" s="101"/>
      <c r="E47" s="100" t="s">
        <v>142</v>
      </c>
      <c r="F47" s="100">
        <v>0</v>
      </c>
      <c r="G47" s="100">
        <v>1</v>
      </c>
      <c r="H47" s="99">
        <v>4</v>
      </c>
      <c r="I47" s="99">
        <v>13</v>
      </c>
      <c r="J47" s="99">
        <v>14</v>
      </c>
      <c r="K47" s="98">
        <v>15</v>
      </c>
      <c r="L47" s="98">
        <v>15</v>
      </c>
      <c r="M47" s="90">
        <f>L47/2</f>
        <v>7.5</v>
      </c>
      <c r="N47" s="90">
        <f>H$8+(M47-H47)/(I47-H47)*(I$8-H$8)</f>
        <v>130.16666666666666</v>
      </c>
    </row>
    <row r="48" spans="2:14" ht="21.6" customHeight="1" thickBot="1" x14ac:dyDescent="0.3">
      <c r="B48" s="97"/>
      <c r="C48" s="96"/>
      <c r="D48" s="95"/>
      <c r="E48" s="113" t="s">
        <v>141</v>
      </c>
      <c r="F48" s="92">
        <f t="shared" ref="F48:L48" si="8">SUM(F45:F47)</f>
        <v>0</v>
      </c>
      <c r="G48" s="92">
        <f t="shared" si="8"/>
        <v>2</v>
      </c>
      <c r="H48" s="92">
        <f t="shared" si="8"/>
        <v>7</v>
      </c>
      <c r="I48" s="92">
        <f t="shared" si="8"/>
        <v>32</v>
      </c>
      <c r="J48" s="92">
        <f t="shared" si="8"/>
        <v>35</v>
      </c>
      <c r="K48" s="92">
        <f t="shared" si="8"/>
        <v>43</v>
      </c>
      <c r="L48" s="91">
        <f t="shared" si="8"/>
        <v>41</v>
      </c>
      <c r="M48" s="90"/>
      <c r="N48" s="90"/>
    </row>
    <row r="49" spans="2:14" ht="21.6" customHeight="1" x14ac:dyDescent="0.25">
      <c r="B49" s="112">
        <v>41760</v>
      </c>
      <c r="C49" s="111" t="s">
        <v>22</v>
      </c>
      <c r="D49" s="110" t="s">
        <v>23</v>
      </c>
      <c r="E49" s="109" t="s">
        <v>145</v>
      </c>
      <c r="F49" s="109"/>
      <c r="G49" s="109"/>
      <c r="H49" s="108"/>
      <c r="I49" s="108"/>
      <c r="J49" s="108">
        <v>10</v>
      </c>
      <c r="K49" s="107">
        <v>11</v>
      </c>
      <c r="L49" s="107">
        <v>12</v>
      </c>
      <c r="M49" s="90">
        <f>L49/2</f>
        <v>6</v>
      </c>
      <c r="N49" s="90"/>
    </row>
    <row r="50" spans="2:14" ht="21.6" customHeight="1" x14ac:dyDescent="0.25">
      <c r="B50" s="102"/>
      <c r="C50" s="106"/>
      <c r="D50" s="105" t="s">
        <v>144</v>
      </c>
      <c r="E50" s="105" t="s">
        <v>143</v>
      </c>
      <c r="F50" s="105"/>
      <c r="G50" s="105"/>
      <c r="H50" s="104"/>
      <c r="I50" s="104"/>
      <c r="J50" s="104">
        <v>8</v>
      </c>
      <c r="K50" s="103">
        <v>9</v>
      </c>
      <c r="L50" s="103">
        <v>8</v>
      </c>
      <c r="M50" s="90">
        <f>L50/2</f>
        <v>4</v>
      </c>
      <c r="N50" s="90"/>
    </row>
    <row r="51" spans="2:14" ht="21.6" customHeight="1" thickBot="1" x14ac:dyDescent="0.3">
      <c r="B51" s="102"/>
      <c r="C51" s="90"/>
      <c r="D51" s="101"/>
      <c r="E51" s="100" t="s">
        <v>142</v>
      </c>
      <c r="F51" s="100"/>
      <c r="G51" s="100"/>
      <c r="H51" s="99"/>
      <c r="I51" s="99"/>
      <c r="J51" s="99">
        <v>12</v>
      </c>
      <c r="K51" s="98">
        <v>12</v>
      </c>
      <c r="L51" s="98">
        <v>13</v>
      </c>
      <c r="M51" s="90">
        <f>L51/2</f>
        <v>6.5</v>
      </c>
      <c r="N51" s="90"/>
    </row>
    <row r="52" spans="2:14" ht="21.6" customHeight="1" thickBot="1" x14ac:dyDescent="0.3">
      <c r="B52" s="97"/>
      <c r="C52" s="96"/>
      <c r="D52" s="95"/>
      <c r="E52" s="94" t="s">
        <v>141</v>
      </c>
      <c r="F52" s="93"/>
      <c r="G52" s="93"/>
      <c r="H52" s="93"/>
      <c r="I52" s="93"/>
      <c r="J52" s="92">
        <f>SUM(J49:J51)</f>
        <v>30</v>
      </c>
      <c r="K52" s="92">
        <f>SUM(K49:K51)</f>
        <v>32</v>
      </c>
      <c r="L52" s="91">
        <f>SUM(L49:L51)</f>
        <v>33</v>
      </c>
      <c r="M52" s="90"/>
      <c r="N52" s="90"/>
    </row>
    <row r="53" spans="2:14" ht="21.6" customHeight="1" x14ac:dyDescent="0.25">
      <c r="J53" s="245" t="s">
        <v>140</v>
      </c>
      <c r="K53" s="249" t="s">
        <v>139</v>
      </c>
    </row>
    <row r="54" spans="2:14" ht="21.6" customHeight="1" x14ac:dyDescent="0.25">
      <c r="J54" s="246"/>
      <c r="K54" s="250"/>
      <c r="N54">
        <f>AVERAGE(N9:N51)</f>
        <v>128.20555555555555</v>
      </c>
    </row>
    <row r="55" spans="2:14" ht="21.6" customHeight="1" x14ac:dyDescent="0.25">
      <c r="K55" s="250"/>
    </row>
    <row r="56" spans="2:14" ht="21.6" customHeight="1" x14ac:dyDescent="0.25">
      <c r="K56" s="250"/>
    </row>
    <row r="57" spans="2:14" ht="21.6" customHeight="1" x14ac:dyDescent="0.25">
      <c r="K57" s="250"/>
    </row>
    <row r="58" spans="2:14" ht="21.6" customHeight="1" x14ac:dyDescent="0.25">
      <c r="K58" s="250"/>
    </row>
    <row r="59" spans="2:14" x14ac:dyDescent="0.25">
      <c r="K59" s="250"/>
    </row>
    <row r="60" spans="2:14" x14ac:dyDescent="0.25">
      <c r="F60">
        <f t="shared" ref="F60:L60" si="9">SUM(F9:F11,F13:F15,F17:F19,F21:F23,F25:F27,F29:F31,F33:F35,F37:F39,F41:F43,F45:F47)</f>
        <v>67</v>
      </c>
      <c r="G60">
        <f t="shared" si="9"/>
        <v>110</v>
      </c>
      <c r="H60">
        <f t="shared" si="9"/>
        <v>145</v>
      </c>
      <c r="I60">
        <f t="shared" si="9"/>
        <v>227</v>
      </c>
      <c r="J60">
        <f t="shared" si="9"/>
        <v>230</v>
      </c>
      <c r="K60">
        <f t="shared" si="9"/>
        <v>234</v>
      </c>
      <c r="L60">
        <f t="shared" si="9"/>
        <v>246</v>
      </c>
    </row>
    <row r="62" spans="2:14" x14ac:dyDescent="0.25">
      <c r="G62">
        <v>128</v>
      </c>
      <c r="H62" t="s">
        <v>138</v>
      </c>
      <c r="I62">
        <f>L60/2</f>
        <v>123</v>
      </c>
    </row>
  </sheetData>
  <mergeCells count="4">
    <mergeCell ref="J53:J54"/>
    <mergeCell ref="B7:B8"/>
    <mergeCell ref="K53:K59"/>
    <mergeCell ref="B17:B18"/>
  </mergeCells>
  <pageMargins left="0.7" right="0.7" top="0.75" bottom="0.75" header="0.3" footer="0.3"/>
  <pageSetup scale="13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717AC-B1C2-4FAF-8359-D0A812AFBE81}">
  <dimension ref="A1:R48"/>
  <sheetViews>
    <sheetView topLeftCell="A2" zoomScaleNormal="100" workbookViewId="0">
      <selection activeCell="L34" sqref="L34"/>
    </sheetView>
  </sheetViews>
  <sheetFormatPr defaultRowHeight="15" x14ac:dyDescent="0.25"/>
  <cols>
    <col min="1" max="2" width="7.42578125" customWidth="1"/>
    <col min="6" max="11" width="10.7109375" customWidth="1"/>
  </cols>
  <sheetData>
    <row r="1" spans="1:18" ht="15.75" x14ac:dyDescent="0.25">
      <c r="A1" s="128">
        <v>2014</v>
      </c>
      <c r="B1" s="127" t="s">
        <v>153</v>
      </c>
      <c r="C1" s="127"/>
      <c r="D1" s="127"/>
      <c r="F1" s="127"/>
      <c r="G1" s="127"/>
    </row>
    <row r="2" spans="1:18" ht="15.75" x14ac:dyDescent="0.25">
      <c r="A2" s="127"/>
      <c r="B2" s="127" t="s">
        <v>20</v>
      </c>
      <c r="D2" s="127" t="s">
        <v>21</v>
      </c>
      <c r="F2" s="127"/>
      <c r="G2" s="127"/>
    </row>
    <row r="4" spans="1:18" ht="22.9" customHeight="1" x14ac:dyDescent="0.25">
      <c r="B4" s="127" t="s">
        <v>210</v>
      </c>
    </row>
    <row r="5" spans="1:18" x14ac:dyDescent="0.25">
      <c r="B5" s="126"/>
      <c r="C5" t="s">
        <v>209</v>
      </c>
    </row>
    <row r="6" spans="1:18" ht="128.44999999999999" customHeight="1" x14ac:dyDescent="0.25">
      <c r="C6" s="126"/>
      <c r="F6" s="149" t="s">
        <v>208</v>
      </c>
      <c r="G6" s="89" t="s">
        <v>207</v>
      </c>
      <c r="H6" s="89" t="s">
        <v>207</v>
      </c>
    </row>
    <row r="7" spans="1:18" ht="27" customHeight="1" x14ac:dyDescent="0.25">
      <c r="B7" s="247" t="s">
        <v>150</v>
      </c>
      <c r="C7" s="125"/>
      <c r="E7" s="66" t="s">
        <v>32</v>
      </c>
      <c r="F7" s="148">
        <v>41772</v>
      </c>
      <c r="G7" s="123">
        <v>41775</v>
      </c>
      <c r="H7" s="123">
        <v>41780</v>
      </c>
      <c r="J7" s="148">
        <v>41772</v>
      </c>
      <c r="K7" s="148"/>
      <c r="L7" s="123">
        <v>41775</v>
      </c>
      <c r="M7" s="123"/>
      <c r="N7" s="123">
        <v>41780</v>
      </c>
    </row>
    <row r="8" spans="1:18" ht="15.75" thickBot="1" x14ac:dyDescent="0.3">
      <c r="B8" s="248"/>
      <c r="E8" s="66" t="s">
        <v>149</v>
      </c>
      <c r="F8" s="147">
        <v>133</v>
      </c>
      <c r="G8" s="90">
        <v>136</v>
      </c>
      <c r="H8" s="90">
        <v>141</v>
      </c>
      <c r="J8" s="147">
        <v>133</v>
      </c>
      <c r="K8" s="147"/>
      <c r="L8" s="90">
        <v>136</v>
      </c>
      <c r="M8" s="90"/>
      <c r="N8" s="90">
        <v>141</v>
      </c>
      <c r="Q8" s="146">
        <v>0.5</v>
      </c>
    </row>
    <row r="9" spans="1:18" ht="22.15" customHeight="1" x14ac:dyDescent="0.25">
      <c r="B9" s="121">
        <v>41759</v>
      </c>
      <c r="C9" s="111" t="s">
        <v>0</v>
      </c>
      <c r="D9" s="110" t="s">
        <v>5</v>
      </c>
      <c r="E9" s="109" t="s">
        <v>145</v>
      </c>
      <c r="F9" s="139" t="s">
        <v>176</v>
      </c>
      <c r="G9" s="138" t="s">
        <v>175</v>
      </c>
      <c r="H9" s="138" t="s">
        <v>185</v>
      </c>
      <c r="J9" s="131">
        <v>0</v>
      </c>
      <c r="K9">
        <v>5</v>
      </c>
      <c r="L9" s="130">
        <v>4</v>
      </c>
      <c r="M9">
        <v>5</v>
      </c>
      <c r="N9" s="130">
        <v>5</v>
      </c>
      <c r="O9">
        <v>5</v>
      </c>
      <c r="Q9">
        <f t="shared" ref="Q9:Q41" si="0">O9/2</f>
        <v>2.5</v>
      </c>
      <c r="R9">
        <f t="shared" ref="R9:R14" si="1">J$8+(Q9-J9)/(L9-J9)*(L$8-J$8)</f>
        <v>134.875</v>
      </c>
    </row>
    <row r="10" spans="1:18" ht="22.15" customHeight="1" x14ac:dyDescent="0.25">
      <c r="B10" s="97"/>
      <c r="C10" s="106"/>
      <c r="D10" s="105" t="s">
        <v>15</v>
      </c>
      <c r="E10" s="105" t="s">
        <v>143</v>
      </c>
      <c r="F10" s="137" t="s">
        <v>196</v>
      </c>
      <c r="G10" s="136" t="s">
        <v>187</v>
      </c>
      <c r="H10" s="136" t="s">
        <v>185</v>
      </c>
      <c r="J10" s="131">
        <v>2</v>
      </c>
      <c r="K10">
        <v>6</v>
      </c>
      <c r="L10" s="130">
        <v>4</v>
      </c>
      <c r="M10">
        <v>6</v>
      </c>
      <c r="N10" s="130">
        <v>5</v>
      </c>
      <c r="O10">
        <v>5</v>
      </c>
      <c r="Q10">
        <f t="shared" si="0"/>
        <v>2.5</v>
      </c>
      <c r="R10">
        <f t="shared" si="1"/>
        <v>133.75</v>
      </c>
    </row>
    <row r="11" spans="1:18" ht="22.15" customHeight="1" thickBot="1" x14ac:dyDescent="0.3">
      <c r="B11" s="97"/>
      <c r="C11" s="135"/>
      <c r="D11" s="134"/>
      <c r="E11" s="100" t="s">
        <v>142</v>
      </c>
      <c r="F11" s="133" t="s">
        <v>206</v>
      </c>
      <c r="G11" s="132" t="s">
        <v>205</v>
      </c>
      <c r="H11" s="132" t="s">
        <v>198</v>
      </c>
      <c r="J11" s="131">
        <v>3</v>
      </c>
      <c r="K11">
        <v>9</v>
      </c>
      <c r="L11" s="130">
        <v>6</v>
      </c>
      <c r="M11">
        <v>9</v>
      </c>
      <c r="N11" s="130">
        <v>9</v>
      </c>
      <c r="O11">
        <v>9</v>
      </c>
      <c r="Q11">
        <f t="shared" si="0"/>
        <v>4.5</v>
      </c>
      <c r="R11">
        <f t="shared" si="1"/>
        <v>134.5</v>
      </c>
    </row>
    <row r="12" spans="1:18" ht="22.15" customHeight="1" x14ac:dyDescent="0.25">
      <c r="B12" s="112">
        <v>41759</v>
      </c>
      <c r="C12" s="111" t="s">
        <v>0</v>
      </c>
      <c r="D12" s="110" t="s">
        <v>6</v>
      </c>
      <c r="E12" s="109" t="s">
        <v>145</v>
      </c>
      <c r="F12" s="139" t="s">
        <v>192</v>
      </c>
      <c r="G12" s="145" t="s">
        <v>204</v>
      </c>
      <c r="H12" s="144" t="s">
        <v>156</v>
      </c>
      <c r="J12" s="131">
        <v>3</v>
      </c>
      <c r="K12">
        <v>7</v>
      </c>
      <c r="L12" s="141">
        <v>9</v>
      </c>
      <c r="M12">
        <v>12</v>
      </c>
      <c r="N12" s="140">
        <v>7</v>
      </c>
      <c r="O12">
        <v>8</v>
      </c>
      <c r="Q12">
        <f t="shared" si="0"/>
        <v>4</v>
      </c>
      <c r="R12">
        <f t="shared" si="1"/>
        <v>133.5</v>
      </c>
    </row>
    <row r="13" spans="1:18" ht="22.15" customHeight="1" x14ac:dyDescent="0.25">
      <c r="B13" s="97"/>
      <c r="C13" s="106"/>
      <c r="D13" s="105" t="s">
        <v>16</v>
      </c>
      <c r="E13" s="105" t="s">
        <v>143</v>
      </c>
      <c r="F13" s="137" t="s">
        <v>196</v>
      </c>
      <c r="G13" s="143" t="s">
        <v>203</v>
      </c>
      <c r="H13" s="142" t="s">
        <v>181</v>
      </c>
      <c r="J13" s="131">
        <v>2</v>
      </c>
      <c r="K13">
        <v>6</v>
      </c>
      <c r="L13" s="141">
        <v>4</v>
      </c>
      <c r="M13">
        <v>10</v>
      </c>
      <c r="N13" s="140">
        <v>6</v>
      </c>
      <c r="O13">
        <v>6</v>
      </c>
      <c r="Q13">
        <f t="shared" si="0"/>
        <v>3</v>
      </c>
      <c r="R13">
        <f t="shared" si="1"/>
        <v>134.5</v>
      </c>
    </row>
    <row r="14" spans="1:18" ht="22.15" customHeight="1" thickBot="1" x14ac:dyDescent="0.3">
      <c r="B14" s="97"/>
      <c r="C14" s="135"/>
      <c r="D14" s="134"/>
      <c r="E14" s="100" t="s">
        <v>142</v>
      </c>
      <c r="F14" s="133" t="s">
        <v>202</v>
      </c>
      <c r="G14" s="132" t="s">
        <v>175</v>
      </c>
      <c r="H14" s="132" t="s">
        <v>185</v>
      </c>
      <c r="J14" s="131">
        <v>1</v>
      </c>
      <c r="K14">
        <v>5</v>
      </c>
      <c r="L14" s="130">
        <v>4</v>
      </c>
      <c r="M14">
        <v>5</v>
      </c>
      <c r="N14" s="130">
        <v>5</v>
      </c>
      <c r="O14">
        <v>5</v>
      </c>
      <c r="Q14">
        <f t="shared" si="0"/>
        <v>2.5</v>
      </c>
      <c r="R14">
        <f t="shared" si="1"/>
        <v>134.5</v>
      </c>
    </row>
    <row r="15" spans="1:18" ht="22.15" customHeight="1" x14ac:dyDescent="0.25">
      <c r="B15" s="251" t="s">
        <v>146</v>
      </c>
      <c r="C15" s="111" t="s">
        <v>1</v>
      </c>
      <c r="D15" s="110" t="s">
        <v>7</v>
      </c>
      <c r="E15" s="109" t="s">
        <v>145</v>
      </c>
      <c r="F15" s="139" t="s">
        <v>201</v>
      </c>
      <c r="G15" s="138" t="s">
        <v>201</v>
      </c>
      <c r="H15" s="138" t="s">
        <v>198</v>
      </c>
      <c r="J15" s="131">
        <v>3</v>
      </c>
      <c r="K15">
        <v>8</v>
      </c>
      <c r="L15" s="130">
        <v>3</v>
      </c>
      <c r="M15">
        <v>8</v>
      </c>
      <c r="N15" s="130">
        <v>9</v>
      </c>
      <c r="O15">
        <v>9</v>
      </c>
      <c r="Q15">
        <f t="shared" si="0"/>
        <v>4.5</v>
      </c>
      <c r="R15">
        <f>L$8+(Q15-L15)/(N15-L15)*(N$8-L$8)</f>
        <v>137.25</v>
      </c>
    </row>
    <row r="16" spans="1:18" ht="22.15" customHeight="1" x14ac:dyDescent="0.25">
      <c r="B16" s="253"/>
      <c r="C16" s="106"/>
      <c r="D16" s="105" t="s">
        <v>17</v>
      </c>
      <c r="E16" s="105" t="s">
        <v>143</v>
      </c>
      <c r="F16" s="137" t="s">
        <v>200</v>
      </c>
      <c r="G16" s="136" t="s">
        <v>199</v>
      </c>
      <c r="H16" s="136" t="s">
        <v>198</v>
      </c>
      <c r="J16" s="131">
        <v>2</v>
      </c>
      <c r="K16">
        <v>9</v>
      </c>
      <c r="L16" s="130">
        <v>4</v>
      </c>
      <c r="M16">
        <v>9</v>
      </c>
      <c r="N16" s="130">
        <v>9</v>
      </c>
      <c r="O16">
        <v>9</v>
      </c>
      <c r="Q16">
        <f t="shared" si="0"/>
        <v>4.5</v>
      </c>
      <c r="R16">
        <f>L$8+(Q16-L16)/(N16-L16)*(N$8-L$8)</f>
        <v>136.5</v>
      </c>
    </row>
    <row r="17" spans="2:18" ht="22.15" customHeight="1" thickBot="1" x14ac:dyDescent="0.3">
      <c r="C17" s="135"/>
      <c r="D17" s="134"/>
      <c r="E17" s="100" t="s">
        <v>142</v>
      </c>
      <c r="F17" s="133" t="s">
        <v>188</v>
      </c>
      <c r="G17" s="132" t="s">
        <v>182</v>
      </c>
      <c r="H17" s="132" t="s">
        <v>181</v>
      </c>
      <c r="J17" s="131">
        <v>1</v>
      </c>
      <c r="K17">
        <v>6</v>
      </c>
      <c r="L17" s="130">
        <v>0</v>
      </c>
      <c r="M17">
        <v>6</v>
      </c>
      <c r="N17" s="130">
        <v>6</v>
      </c>
      <c r="O17">
        <v>6</v>
      </c>
      <c r="Q17">
        <f t="shared" si="0"/>
        <v>3</v>
      </c>
      <c r="R17">
        <f>L$8+(Q17-L17)/(N17-L17)*(N$8-L$8)</f>
        <v>138.5</v>
      </c>
    </row>
    <row r="18" spans="2:18" ht="22.15" customHeight="1" x14ac:dyDescent="0.25">
      <c r="B18" s="112">
        <v>41759</v>
      </c>
      <c r="C18" s="111" t="s">
        <v>1</v>
      </c>
      <c r="D18" s="110" t="s">
        <v>8</v>
      </c>
      <c r="E18" s="109" t="s">
        <v>145</v>
      </c>
      <c r="F18" s="139" t="s">
        <v>188</v>
      </c>
      <c r="G18" s="138" t="s">
        <v>197</v>
      </c>
      <c r="H18" s="138" t="s">
        <v>181</v>
      </c>
      <c r="J18" s="131">
        <v>1</v>
      </c>
      <c r="K18">
        <v>6</v>
      </c>
      <c r="L18" s="130">
        <v>1</v>
      </c>
      <c r="M18">
        <v>7</v>
      </c>
      <c r="N18" s="130">
        <v>6</v>
      </c>
      <c r="O18">
        <v>6</v>
      </c>
      <c r="Q18">
        <f t="shared" si="0"/>
        <v>3</v>
      </c>
      <c r="R18">
        <f>L$8+(Q18-L18)/(N18-L18)*(N$8-L$8)</f>
        <v>138</v>
      </c>
    </row>
    <row r="19" spans="2:18" ht="22.15" customHeight="1" x14ac:dyDescent="0.25">
      <c r="B19" s="97"/>
      <c r="C19" s="106"/>
      <c r="D19" s="105" t="s">
        <v>18</v>
      </c>
      <c r="E19" s="105" t="s">
        <v>143</v>
      </c>
      <c r="F19" s="137" t="s">
        <v>195</v>
      </c>
      <c r="G19" s="136" t="s">
        <v>190</v>
      </c>
      <c r="H19" s="136" t="s">
        <v>194</v>
      </c>
      <c r="J19" s="131">
        <v>4</v>
      </c>
      <c r="K19">
        <v>7</v>
      </c>
      <c r="L19" s="130">
        <v>5</v>
      </c>
      <c r="M19">
        <v>7</v>
      </c>
      <c r="N19" s="130">
        <v>8</v>
      </c>
      <c r="O19">
        <v>8</v>
      </c>
      <c r="Q19">
        <f t="shared" si="0"/>
        <v>4</v>
      </c>
      <c r="R19">
        <f>J$8+(Q19-J19)/(L19-J19)*(L$8-J$8)</f>
        <v>133</v>
      </c>
    </row>
    <row r="20" spans="2:18" ht="22.15" customHeight="1" thickBot="1" x14ac:dyDescent="0.3">
      <c r="B20" s="97"/>
      <c r="C20" s="135"/>
      <c r="D20" s="134"/>
      <c r="E20" s="100" t="s">
        <v>142</v>
      </c>
      <c r="F20" s="133" t="s">
        <v>196</v>
      </c>
      <c r="G20" s="132" t="s">
        <v>196</v>
      </c>
      <c r="H20" s="132" t="s">
        <v>186</v>
      </c>
      <c r="J20" s="131">
        <v>2</v>
      </c>
      <c r="K20">
        <v>6</v>
      </c>
      <c r="L20" s="130">
        <v>2</v>
      </c>
      <c r="M20">
        <v>6</v>
      </c>
      <c r="N20" s="130">
        <v>6</v>
      </c>
      <c r="O20">
        <v>7</v>
      </c>
      <c r="Q20">
        <f t="shared" si="0"/>
        <v>3.5</v>
      </c>
      <c r="R20">
        <f>L$8+(Q20-L20)/(N20-L20)*(N$8-L$8)</f>
        <v>137.875</v>
      </c>
    </row>
    <row r="21" spans="2:18" ht="22.15" customHeight="1" x14ac:dyDescent="0.25">
      <c r="B21" s="112">
        <v>41760</v>
      </c>
      <c r="C21" s="111" t="s">
        <v>2</v>
      </c>
      <c r="D21" s="110" t="s">
        <v>9</v>
      </c>
      <c r="E21" s="109" t="s">
        <v>145</v>
      </c>
      <c r="F21" s="139" t="s">
        <v>182</v>
      </c>
      <c r="G21" s="138" t="s">
        <v>184</v>
      </c>
      <c r="H21" s="138" t="s">
        <v>189</v>
      </c>
      <c r="J21" s="131">
        <v>0</v>
      </c>
      <c r="K21">
        <v>6</v>
      </c>
      <c r="L21" s="130">
        <v>0</v>
      </c>
      <c r="M21">
        <v>7</v>
      </c>
      <c r="N21" s="130">
        <v>7</v>
      </c>
      <c r="O21">
        <v>7</v>
      </c>
      <c r="Q21">
        <f t="shared" si="0"/>
        <v>3.5</v>
      </c>
      <c r="R21">
        <f>L$8+(Q21-L21)/(N21-L21)*(N$8-L$8)</f>
        <v>138.5</v>
      </c>
    </row>
    <row r="22" spans="2:18" ht="22.15" customHeight="1" x14ac:dyDescent="0.25">
      <c r="B22" s="97"/>
      <c r="C22" s="106"/>
      <c r="D22" s="105" t="s">
        <v>19</v>
      </c>
      <c r="E22" s="105" t="s">
        <v>143</v>
      </c>
      <c r="F22" s="137" t="s">
        <v>193</v>
      </c>
      <c r="G22" s="136" t="s">
        <v>195</v>
      </c>
      <c r="H22" s="136" t="s">
        <v>194</v>
      </c>
      <c r="J22" s="131">
        <v>2</v>
      </c>
      <c r="K22">
        <v>7</v>
      </c>
      <c r="L22" s="130">
        <v>4</v>
      </c>
      <c r="M22">
        <v>7</v>
      </c>
      <c r="N22" s="130">
        <v>8</v>
      </c>
      <c r="O22">
        <v>8</v>
      </c>
      <c r="Q22">
        <f t="shared" si="0"/>
        <v>4</v>
      </c>
      <c r="R22">
        <f>J$8+(Q22-J22)/(L22-J22)*(L$8-J$8)</f>
        <v>136</v>
      </c>
    </row>
    <row r="23" spans="2:18" ht="22.15" customHeight="1" thickBot="1" x14ac:dyDescent="0.3">
      <c r="B23" s="97"/>
      <c r="C23" s="135"/>
      <c r="D23" s="134"/>
      <c r="E23" s="100" t="s">
        <v>142</v>
      </c>
      <c r="F23" s="133" t="s">
        <v>193</v>
      </c>
      <c r="G23" s="132" t="s">
        <v>192</v>
      </c>
      <c r="H23" s="132" t="s">
        <v>191</v>
      </c>
      <c r="J23" s="131">
        <v>2</v>
      </c>
      <c r="K23">
        <v>7</v>
      </c>
      <c r="L23" s="130">
        <v>3</v>
      </c>
      <c r="M23">
        <v>7</v>
      </c>
      <c r="N23" s="130">
        <v>5</v>
      </c>
      <c r="O23">
        <v>8</v>
      </c>
      <c r="Q23">
        <f t="shared" si="0"/>
        <v>4</v>
      </c>
      <c r="R23">
        <f t="shared" ref="R23:R41" si="2">L$8+(Q23-L23)/(N23-L23)*(N$8-L$8)</f>
        <v>138.5</v>
      </c>
    </row>
    <row r="24" spans="2:18" ht="22.15" customHeight="1" x14ac:dyDescent="0.25">
      <c r="B24" s="112">
        <v>41760</v>
      </c>
      <c r="C24" s="111" t="s">
        <v>2</v>
      </c>
      <c r="D24" s="110" t="s">
        <v>10</v>
      </c>
      <c r="E24" s="109" t="s">
        <v>145</v>
      </c>
      <c r="F24" s="139" t="s">
        <v>182</v>
      </c>
      <c r="G24" s="138" t="s">
        <v>182</v>
      </c>
      <c r="H24" s="138" t="s">
        <v>190</v>
      </c>
      <c r="J24" s="131">
        <v>0</v>
      </c>
      <c r="K24">
        <v>6</v>
      </c>
      <c r="L24" s="130">
        <v>0</v>
      </c>
      <c r="M24">
        <v>6</v>
      </c>
      <c r="N24" s="130">
        <v>5</v>
      </c>
      <c r="O24">
        <v>7</v>
      </c>
      <c r="Q24">
        <f t="shared" si="0"/>
        <v>3.5</v>
      </c>
      <c r="R24">
        <f t="shared" si="2"/>
        <v>139.5</v>
      </c>
    </row>
    <row r="25" spans="2:18" ht="22.15" customHeight="1" x14ac:dyDescent="0.25">
      <c r="B25" s="97"/>
      <c r="C25" s="106"/>
      <c r="D25" s="105" t="s">
        <v>15</v>
      </c>
      <c r="E25" s="105" t="s">
        <v>143</v>
      </c>
      <c r="F25" s="137" t="s">
        <v>184</v>
      </c>
      <c r="G25" s="136" t="s">
        <v>184</v>
      </c>
      <c r="H25" s="136" t="s">
        <v>189</v>
      </c>
      <c r="J25" s="131">
        <v>0</v>
      </c>
      <c r="K25">
        <v>7</v>
      </c>
      <c r="L25" s="130">
        <v>0</v>
      </c>
      <c r="M25">
        <v>7</v>
      </c>
      <c r="N25" s="130">
        <v>7</v>
      </c>
      <c r="O25">
        <v>7</v>
      </c>
      <c r="Q25">
        <f t="shared" si="0"/>
        <v>3.5</v>
      </c>
      <c r="R25">
        <f t="shared" si="2"/>
        <v>138.5</v>
      </c>
    </row>
    <row r="26" spans="2:18" ht="22.15" customHeight="1" thickBot="1" x14ac:dyDescent="0.3">
      <c r="B26" s="97"/>
      <c r="C26" s="135"/>
      <c r="D26" s="134"/>
      <c r="E26" s="100" t="s">
        <v>142</v>
      </c>
      <c r="F26" s="133" t="s">
        <v>188</v>
      </c>
      <c r="G26" s="132" t="s">
        <v>188</v>
      </c>
      <c r="H26" s="132" t="s">
        <v>187</v>
      </c>
      <c r="J26" s="131">
        <v>1</v>
      </c>
      <c r="K26">
        <v>6</v>
      </c>
      <c r="L26" s="130">
        <v>1</v>
      </c>
      <c r="M26">
        <v>6</v>
      </c>
      <c r="N26" s="130">
        <v>4</v>
      </c>
      <c r="O26">
        <v>6</v>
      </c>
      <c r="Q26">
        <f t="shared" si="0"/>
        <v>3</v>
      </c>
      <c r="R26">
        <f t="shared" si="2"/>
        <v>139.33333333333334</v>
      </c>
    </row>
    <row r="27" spans="2:18" ht="22.15" customHeight="1" x14ac:dyDescent="0.25">
      <c r="B27" s="112">
        <v>41760</v>
      </c>
      <c r="C27" s="111" t="s">
        <v>3</v>
      </c>
      <c r="D27" s="110" t="s">
        <v>11</v>
      </c>
      <c r="E27" s="109" t="s">
        <v>145</v>
      </c>
      <c r="F27" s="139" t="s">
        <v>184</v>
      </c>
      <c r="G27" s="138" t="s">
        <v>184</v>
      </c>
      <c r="H27" s="138" t="s">
        <v>186</v>
      </c>
      <c r="J27" s="131">
        <v>0</v>
      </c>
      <c r="K27">
        <v>7</v>
      </c>
      <c r="L27" s="130">
        <v>0</v>
      </c>
      <c r="M27">
        <v>7</v>
      </c>
      <c r="N27" s="130">
        <v>6</v>
      </c>
      <c r="O27">
        <v>7</v>
      </c>
      <c r="Q27">
        <f t="shared" si="0"/>
        <v>3.5</v>
      </c>
      <c r="R27">
        <f t="shared" si="2"/>
        <v>138.91666666666666</v>
      </c>
    </row>
    <row r="28" spans="2:18" ht="22.15" customHeight="1" x14ac:dyDescent="0.25">
      <c r="B28" s="97"/>
      <c r="C28" s="106"/>
      <c r="D28" s="105" t="s">
        <v>17</v>
      </c>
      <c r="E28" s="105" t="s">
        <v>143</v>
      </c>
      <c r="F28" s="137" t="s">
        <v>176</v>
      </c>
      <c r="G28" s="136" t="s">
        <v>176</v>
      </c>
      <c r="H28" s="136" t="s">
        <v>185</v>
      </c>
      <c r="J28" s="131">
        <v>0</v>
      </c>
      <c r="K28">
        <v>5</v>
      </c>
      <c r="L28" s="130">
        <v>0</v>
      </c>
      <c r="M28">
        <v>5</v>
      </c>
      <c r="N28" s="130">
        <v>5</v>
      </c>
      <c r="O28">
        <v>5</v>
      </c>
      <c r="Q28">
        <f t="shared" si="0"/>
        <v>2.5</v>
      </c>
      <c r="R28">
        <f t="shared" si="2"/>
        <v>138.5</v>
      </c>
    </row>
    <row r="29" spans="2:18" ht="22.15" customHeight="1" thickBot="1" x14ac:dyDescent="0.3">
      <c r="B29" s="97"/>
      <c r="C29" s="135"/>
      <c r="D29" s="134"/>
      <c r="E29" s="100" t="s">
        <v>142</v>
      </c>
      <c r="F29" s="133" t="s">
        <v>184</v>
      </c>
      <c r="G29" s="132" t="s">
        <v>158</v>
      </c>
      <c r="H29" s="132" t="s">
        <v>183</v>
      </c>
      <c r="J29" s="131">
        <v>0</v>
      </c>
      <c r="K29">
        <v>7</v>
      </c>
      <c r="L29" s="130">
        <v>0</v>
      </c>
      <c r="M29">
        <v>8</v>
      </c>
      <c r="N29" s="130">
        <v>6</v>
      </c>
      <c r="O29">
        <v>8</v>
      </c>
      <c r="Q29">
        <f t="shared" si="0"/>
        <v>4</v>
      </c>
      <c r="R29">
        <f t="shared" si="2"/>
        <v>139.33333333333334</v>
      </c>
    </row>
    <row r="30" spans="2:18" ht="22.15" customHeight="1" x14ac:dyDescent="0.25">
      <c r="B30" s="112">
        <v>41760</v>
      </c>
      <c r="C30" s="111" t="s">
        <v>3</v>
      </c>
      <c r="D30" s="110" t="s">
        <v>12</v>
      </c>
      <c r="E30" s="109" t="s">
        <v>145</v>
      </c>
      <c r="F30" s="139" t="s">
        <v>182</v>
      </c>
      <c r="G30" s="138" t="s">
        <v>182</v>
      </c>
      <c r="H30" s="138" t="s">
        <v>181</v>
      </c>
      <c r="J30" s="131">
        <v>0</v>
      </c>
      <c r="K30">
        <v>6</v>
      </c>
      <c r="L30" s="130">
        <v>0</v>
      </c>
      <c r="M30">
        <v>6</v>
      </c>
      <c r="N30" s="130">
        <v>6</v>
      </c>
      <c r="O30">
        <v>6</v>
      </c>
      <c r="Q30">
        <f t="shared" si="0"/>
        <v>3</v>
      </c>
      <c r="R30">
        <f t="shared" si="2"/>
        <v>138.5</v>
      </c>
    </row>
    <row r="31" spans="2:18" ht="22.15" customHeight="1" x14ac:dyDescent="0.25">
      <c r="B31" s="97"/>
      <c r="C31" s="106"/>
      <c r="D31" s="105" t="s">
        <v>18</v>
      </c>
      <c r="E31" s="105" t="s">
        <v>143</v>
      </c>
      <c r="F31" s="137" t="s">
        <v>180</v>
      </c>
      <c r="G31" s="136" t="s">
        <v>179</v>
      </c>
      <c r="H31" s="136" t="s">
        <v>178</v>
      </c>
      <c r="J31" s="131">
        <v>0</v>
      </c>
      <c r="K31">
        <v>3</v>
      </c>
      <c r="L31" s="130">
        <v>0</v>
      </c>
      <c r="M31">
        <v>4</v>
      </c>
      <c r="N31" s="130">
        <v>3</v>
      </c>
      <c r="O31">
        <v>4</v>
      </c>
      <c r="Q31">
        <f t="shared" si="0"/>
        <v>2</v>
      </c>
      <c r="R31">
        <f t="shared" si="2"/>
        <v>139.33333333333334</v>
      </c>
    </row>
    <row r="32" spans="2:18" ht="22.15" customHeight="1" thickBot="1" x14ac:dyDescent="0.3">
      <c r="B32" s="97"/>
      <c r="C32" s="135"/>
      <c r="D32" s="134"/>
      <c r="E32" s="100" t="s">
        <v>142</v>
      </c>
      <c r="F32" s="133" t="s">
        <v>177</v>
      </c>
      <c r="G32" s="132" t="s">
        <v>176</v>
      </c>
      <c r="H32" s="132" t="s">
        <v>175</v>
      </c>
      <c r="J32" s="131">
        <v>0</v>
      </c>
      <c r="K32">
        <v>2</v>
      </c>
      <c r="L32" s="130">
        <v>0</v>
      </c>
      <c r="M32">
        <v>5</v>
      </c>
      <c r="N32" s="130">
        <v>4</v>
      </c>
      <c r="O32">
        <v>5</v>
      </c>
      <c r="Q32">
        <f t="shared" si="0"/>
        <v>2.5</v>
      </c>
      <c r="R32">
        <f t="shared" si="2"/>
        <v>139.125</v>
      </c>
    </row>
    <row r="33" spans="2:18" ht="22.15" customHeight="1" x14ac:dyDescent="0.25">
      <c r="B33" s="112">
        <v>41760</v>
      </c>
      <c r="C33" s="111" t="s">
        <v>4</v>
      </c>
      <c r="D33" s="110" t="s">
        <v>13</v>
      </c>
      <c r="E33" s="109" t="s">
        <v>145</v>
      </c>
      <c r="F33" s="139" t="s">
        <v>174</v>
      </c>
      <c r="G33" s="138" t="s">
        <v>173</v>
      </c>
      <c r="H33" s="138" t="s">
        <v>172</v>
      </c>
      <c r="J33" s="131">
        <v>0</v>
      </c>
      <c r="K33">
        <v>17</v>
      </c>
      <c r="L33" s="130">
        <v>0</v>
      </c>
      <c r="M33">
        <v>18</v>
      </c>
      <c r="N33" s="130">
        <v>16</v>
      </c>
      <c r="O33">
        <v>18</v>
      </c>
      <c r="Q33">
        <f t="shared" si="0"/>
        <v>9</v>
      </c>
      <c r="R33">
        <f t="shared" si="2"/>
        <v>138.8125</v>
      </c>
    </row>
    <row r="34" spans="2:18" ht="22.15" customHeight="1" x14ac:dyDescent="0.25">
      <c r="B34" s="97"/>
      <c r="C34" s="106"/>
      <c r="D34" s="105" t="s">
        <v>19</v>
      </c>
      <c r="E34" s="105" t="s">
        <v>143</v>
      </c>
      <c r="F34" s="137" t="s">
        <v>164</v>
      </c>
      <c r="G34" s="136" t="s">
        <v>171</v>
      </c>
      <c r="H34" s="136" t="s">
        <v>170</v>
      </c>
      <c r="J34" s="131">
        <v>0</v>
      </c>
      <c r="K34">
        <v>14</v>
      </c>
      <c r="L34" s="130">
        <v>1</v>
      </c>
      <c r="M34">
        <v>14</v>
      </c>
      <c r="N34" s="130">
        <v>14</v>
      </c>
      <c r="O34">
        <v>14</v>
      </c>
      <c r="Q34">
        <f t="shared" si="0"/>
        <v>7</v>
      </c>
      <c r="R34">
        <f t="shared" si="2"/>
        <v>138.30769230769232</v>
      </c>
    </row>
    <row r="35" spans="2:18" ht="22.15" customHeight="1" thickBot="1" x14ac:dyDescent="0.3">
      <c r="B35" s="97"/>
      <c r="C35" s="135"/>
      <c r="D35" s="134"/>
      <c r="E35" s="100" t="s">
        <v>142</v>
      </c>
      <c r="F35" s="133" t="s">
        <v>163</v>
      </c>
      <c r="G35" s="132" t="s">
        <v>166</v>
      </c>
      <c r="H35" s="132" t="s">
        <v>169</v>
      </c>
      <c r="J35" s="131">
        <v>0</v>
      </c>
      <c r="K35">
        <v>15</v>
      </c>
      <c r="L35" s="130">
        <v>0</v>
      </c>
      <c r="M35">
        <v>16</v>
      </c>
      <c r="N35" s="130">
        <v>15</v>
      </c>
      <c r="O35">
        <v>16</v>
      </c>
      <c r="Q35">
        <f t="shared" si="0"/>
        <v>8</v>
      </c>
      <c r="R35">
        <f t="shared" si="2"/>
        <v>138.66666666666666</v>
      </c>
    </row>
    <row r="36" spans="2:18" ht="22.15" customHeight="1" x14ac:dyDescent="0.25">
      <c r="B36" s="112">
        <v>41760</v>
      </c>
      <c r="C36" s="111" t="s">
        <v>4</v>
      </c>
      <c r="D36" s="110" t="s">
        <v>14</v>
      </c>
      <c r="E36" s="109" t="s">
        <v>145</v>
      </c>
      <c r="F36" s="139" t="s">
        <v>168</v>
      </c>
      <c r="G36" s="138" t="s">
        <v>155</v>
      </c>
      <c r="H36" s="138" t="s">
        <v>167</v>
      </c>
      <c r="J36" s="131">
        <v>0</v>
      </c>
      <c r="K36">
        <v>9</v>
      </c>
      <c r="L36" s="130">
        <v>0</v>
      </c>
      <c r="M36">
        <v>12</v>
      </c>
      <c r="N36" s="130">
        <v>6</v>
      </c>
      <c r="O36">
        <v>13</v>
      </c>
      <c r="Q36">
        <f t="shared" si="0"/>
        <v>6.5</v>
      </c>
      <c r="R36">
        <f t="shared" si="2"/>
        <v>141.41666666666666</v>
      </c>
    </row>
    <row r="37" spans="2:18" ht="22.15" customHeight="1" x14ac:dyDescent="0.25">
      <c r="B37" s="97"/>
      <c r="C37" s="106"/>
      <c r="D37" s="105" t="s">
        <v>16</v>
      </c>
      <c r="E37" s="105" t="s">
        <v>143</v>
      </c>
      <c r="F37" s="137" t="s">
        <v>155</v>
      </c>
      <c r="G37" s="136" t="s">
        <v>166</v>
      </c>
      <c r="H37" s="136" t="s">
        <v>165</v>
      </c>
      <c r="J37" s="131">
        <v>0</v>
      </c>
      <c r="K37">
        <v>12</v>
      </c>
      <c r="L37" s="130">
        <v>0</v>
      </c>
      <c r="M37">
        <v>16</v>
      </c>
      <c r="N37" s="130">
        <v>13</v>
      </c>
      <c r="O37">
        <v>17</v>
      </c>
      <c r="Q37">
        <f t="shared" si="0"/>
        <v>8.5</v>
      </c>
      <c r="R37">
        <f t="shared" si="2"/>
        <v>139.26923076923077</v>
      </c>
    </row>
    <row r="38" spans="2:18" ht="22.15" customHeight="1" thickBot="1" x14ac:dyDescent="0.3">
      <c r="B38" s="97"/>
      <c r="C38" s="135"/>
      <c r="D38" s="134"/>
      <c r="E38" s="100" t="s">
        <v>142</v>
      </c>
      <c r="F38" s="133" t="s">
        <v>164</v>
      </c>
      <c r="G38" s="132" t="s">
        <v>163</v>
      </c>
      <c r="H38" s="132" t="s">
        <v>162</v>
      </c>
      <c r="J38" s="131">
        <v>0</v>
      </c>
      <c r="K38">
        <v>14</v>
      </c>
      <c r="L38" s="130">
        <v>0</v>
      </c>
      <c r="M38">
        <v>15</v>
      </c>
      <c r="N38" s="130">
        <v>14</v>
      </c>
      <c r="O38">
        <v>15</v>
      </c>
      <c r="Q38">
        <f t="shared" si="0"/>
        <v>7.5</v>
      </c>
      <c r="R38">
        <f t="shared" si="2"/>
        <v>138.67857142857142</v>
      </c>
    </row>
    <row r="39" spans="2:18" ht="21.6" customHeight="1" x14ac:dyDescent="0.25">
      <c r="B39" s="112">
        <v>41760</v>
      </c>
      <c r="C39" s="111" t="s">
        <v>22</v>
      </c>
      <c r="D39" s="110" t="s">
        <v>23</v>
      </c>
      <c r="E39" s="109" t="s">
        <v>145</v>
      </c>
      <c r="F39" s="139" t="s">
        <v>161</v>
      </c>
      <c r="G39" s="138" t="s">
        <v>160</v>
      </c>
      <c r="H39" s="138" t="s">
        <v>159</v>
      </c>
      <c r="J39" s="131">
        <v>1</v>
      </c>
      <c r="K39">
        <v>10</v>
      </c>
      <c r="L39" s="130">
        <v>0</v>
      </c>
      <c r="M39">
        <v>11</v>
      </c>
      <c r="N39" s="130">
        <v>10</v>
      </c>
      <c r="O39">
        <v>12</v>
      </c>
      <c r="Q39">
        <f t="shared" si="0"/>
        <v>6</v>
      </c>
      <c r="R39">
        <f t="shared" si="2"/>
        <v>139</v>
      </c>
    </row>
    <row r="40" spans="2:18" ht="21.6" customHeight="1" x14ac:dyDescent="0.25">
      <c r="B40" s="102"/>
      <c r="C40" s="106"/>
      <c r="D40" s="105" t="s">
        <v>144</v>
      </c>
      <c r="E40" s="105" t="s">
        <v>143</v>
      </c>
      <c r="F40" s="137" t="s">
        <v>158</v>
      </c>
      <c r="G40" s="136" t="s">
        <v>157</v>
      </c>
      <c r="H40" s="136" t="s">
        <v>156</v>
      </c>
      <c r="J40" s="131">
        <v>0</v>
      </c>
      <c r="K40">
        <v>8</v>
      </c>
      <c r="L40" s="130">
        <v>1</v>
      </c>
      <c r="M40">
        <v>9</v>
      </c>
      <c r="N40" s="130">
        <v>7</v>
      </c>
      <c r="O40">
        <v>8</v>
      </c>
      <c r="Q40">
        <f t="shared" si="0"/>
        <v>4</v>
      </c>
      <c r="R40">
        <f t="shared" si="2"/>
        <v>138.5</v>
      </c>
    </row>
    <row r="41" spans="2:18" ht="21.6" customHeight="1" thickBot="1" x14ac:dyDescent="0.3">
      <c r="B41" s="102"/>
      <c r="C41" s="135"/>
      <c r="D41" s="134"/>
      <c r="E41" s="100" t="s">
        <v>142</v>
      </c>
      <c r="F41" s="133" t="s">
        <v>155</v>
      </c>
      <c r="G41" s="132" t="s">
        <v>155</v>
      </c>
      <c r="H41" s="132" t="s">
        <v>154</v>
      </c>
      <c r="J41" s="131">
        <v>0</v>
      </c>
      <c r="K41">
        <v>12</v>
      </c>
      <c r="L41" s="130">
        <v>0</v>
      </c>
      <c r="M41">
        <v>12</v>
      </c>
      <c r="N41" s="130">
        <v>12</v>
      </c>
      <c r="O41">
        <v>13</v>
      </c>
      <c r="Q41">
        <f t="shared" si="0"/>
        <v>6.5</v>
      </c>
      <c r="R41">
        <f t="shared" si="2"/>
        <v>138.70833333333334</v>
      </c>
    </row>
    <row r="42" spans="2:18" x14ac:dyDescent="0.25">
      <c r="F42" s="245" t="s">
        <v>140</v>
      </c>
      <c r="G42" s="249" t="s">
        <v>139</v>
      </c>
    </row>
    <row r="43" spans="2:18" x14ac:dyDescent="0.25">
      <c r="F43" s="246"/>
      <c r="G43" s="250"/>
      <c r="J43" s="129">
        <f t="shared" ref="J43:O43" si="3">SUM(J9:J41)</f>
        <v>30</v>
      </c>
      <c r="K43" s="129">
        <f t="shared" si="3"/>
        <v>260</v>
      </c>
      <c r="L43" s="129">
        <f t="shared" si="3"/>
        <v>56</v>
      </c>
      <c r="M43" s="129">
        <f t="shared" si="3"/>
        <v>288</v>
      </c>
      <c r="N43" s="129">
        <f t="shared" si="3"/>
        <v>254</v>
      </c>
      <c r="O43" s="129">
        <f t="shared" si="3"/>
        <v>287</v>
      </c>
      <c r="R43">
        <f>AVERAGE(R9:R41)</f>
        <v>137.64094932844932</v>
      </c>
    </row>
    <row r="44" spans="2:18" x14ac:dyDescent="0.25">
      <c r="G44" s="250"/>
    </row>
    <row r="45" spans="2:18" x14ac:dyDescent="0.25">
      <c r="G45" s="250"/>
      <c r="K45" s="129">
        <f>J43/K43*100</f>
        <v>11.538461538461538</v>
      </c>
      <c r="M45" s="129">
        <f>L43/M43*100</f>
        <v>19.444444444444446</v>
      </c>
      <c r="O45" s="129">
        <f>N43/O43*100</f>
        <v>88.501742160278738</v>
      </c>
    </row>
    <row r="46" spans="2:18" x14ac:dyDescent="0.25">
      <c r="G46" s="250"/>
    </row>
    <row r="47" spans="2:18" x14ac:dyDescent="0.25">
      <c r="G47" s="250"/>
    </row>
    <row r="48" spans="2:18" x14ac:dyDescent="0.25">
      <c r="G48" s="250"/>
      <c r="M48" s="129">
        <f>L8+(50-M45)/(O45-M45)*(N8-L8)</f>
        <v>138.2123335669236</v>
      </c>
      <c r="N48" t="s">
        <v>138</v>
      </c>
    </row>
  </sheetData>
  <mergeCells count="4">
    <mergeCell ref="F42:F43"/>
    <mergeCell ref="B15:B16"/>
    <mergeCell ref="B7:B8"/>
    <mergeCell ref="G42:G48"/>
  </mergeCells>
  <pageMargins left="0.7" right="0.7" top="0.75" bottom="0.75" header="0.3" footer="0.3"/>
  <pageSetup scale="13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E277-6C45-4E45-825E-62CE21594488}">
  <dimension ref="A1:K13"/>
  <sheetViews>
    <sheetView workbookViewId="0">
      <selection activeCell="B13" sqref="B13"/>
    </sheetView>
  </sheetViews>
  <sheetFormatPr defaultRowHeight="15" x14ac:dyDescent="0.25"/>
  <sheetData>
    <row r="1" spans="1:11" ht="18.75" x14ac:dyDescent="0.3">
      <c r="A1" s="154">
        <v>2014</v>
      </c>
      <c r="B1" s="153" t="s">
        <v>29</v>
      </c>
      <c r="C1" s="127"/>
      <c r="D1" s="127"/>
      <c r="E1" s="127"/>
      <c r="F1" s="127"/>
    </row>
    <row r="2" spans="1:11" ht="18.75" x14ac:dyDescent="0.3">
      <c r="A2" s="127"/>
      <c r="B2" s="153" t="s">
        <v>20</v>
      </c>
      <c r="C2" s="126"/>
      <c r="D2" s="153" t="s">
        <v>21</v>
      </c>
      <c r="E2" s="127"/>
      <c r="F2" s="127"/>
    </row>
    <row r="3" spans="1:11" ht="18.75" x14ac:dyDescent="0.3">
      <c r="B3" s="153"/>
      <c r="C3" s="126"/>
      <c r="D3" s="126"/>
    </row>
    <row r="4" spans="1:11" ht="18.75" x14ac:dyDescent="0.3">
      <c r="B4" s="153" t="s">
        <v>218</v>
      </c>
      <c r="C4" s="126"/>
      <c r="D4" s="126"/>
      <c r="F4" s="150"/>
    </row>
    <row r="5" spans="1:11" s="150" customFormat="1" ht="38.25" x14ac:dyDescent="0.2">
      <c r="C5" s="152" t="s">
        <v>217</v>
      </c>
      <c r="D5" s="152"/>
      <c r="E5" s="152"/>
      <c r="F5" s="152"/>
      <c r="G5" s="151"/>
      <c r="H5" s="151"/>
      <c r="I5" s="151"/>
      <c r="J5" s="151"/>
      <c r="K5" s="151"/>
    </row>
    <row r="7" spans="1:11" x14ac:dyDescent="0.25">
      <c r="B7" t="s">
        <v>216</v>
      </c>
    </row>
    <row r="8" spans="1:11" x14ac:dyDescent="0.25">
      <c r="B8" t="s">
        <v>215</v>
      </c>
    </row>
    <row r="10" spans="1:11" x14ac:dyDescent="0.25">
      <c r="B10" t="s">
        <v>214</v>
      </c>
    </row>
    <row r="11" spans="1:11" x14ac:dyDescent="0.25">
      <c r="C11" t="s">
        <v>213</v>
      </c>
    </row>
    <row r="12" spans="1:11" x14ac:dyDescent="0.25">
      <c r="B12" t="s">
        <v>212</v>
      </c>
    </row>
    <row r="13" spans="1:11" x14ac:dyDescent="0.25">
      <c r="B13" t="s">
        <v>211</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3497E-7023-4B51-B114-70B9C40A403E}">
  <dimension ref="A1:R199"/>
  <sheetViews>
    <sheetView zoomScale="70" zoomScaleNormal="70" zoomScaleSheetLayoutView="70" workbookViewId="0">
      <selection activeCell="F1" sqref="F1"/>
    </sheetView>
  </sheetViews>
  <sheetFormatPr defaultRowHeight="15" x14ac:dyDescent="0.25"/>
  <cols>
    <col min="1" max="1" width="7.42578125" customWidth="1"/>
    <col min="2" max="3" width="6.7109375" style="126" customWidth="1"/>
    <col min="4" max="4" width="9.140625" style="126" customWidth="1"/>
    <col min="6" max="11" width="15.7109375" customWidth="1"/>
    <col min="13" max="13" width="9.140625" style="66"/>
    <col min="18" max="18" width="9.140625" style="155"/>
  </cols>
  <sheetData>
    <row r="1" spans="1:18" ht="18.75" x14ac:dyDescent="0.3">
      <c r="A1" s="154">
        <v>2014</v>
      </c>
      <c r="B1" s="153" t="s">
        <v>29</v>
      </c>
      <c r="C1" s="127"/>
      <c r="D1" s="127"/>
      <c r="E1" s="127"/>
      <c r="F1" s="127"/>
      <c r="G1" s="127"/>
      <c r="H1" s="127"/>
      <c r="I1" s="127"/>
      <c r="J1" s="127"/>
      <c r="K1" s="127"/>
    </row>
    <row r="2" spans="1:18" ht="18.75" x14ac:dyDescent="0.3">
      <c r="A2" s="127"/>
      <c r="B2" s="153" t="s">
        <v>20</v>
      </c>
      <c r="D2" s="153" t="s">
        <v>21</v>
      </c>
      <c r="E2" s="127"/>
      <c r="F2" s="127"/>
      <c r="G2" s="127"/>
      <c r="H2" s="127"/>
      <c r="J2" s="127"/>
      <c r="K2" s="127"/>
    </row>
    <row r="3" spans="1:18" ht="18.75" x14ac:dyDescent="0.3">
      <c r="B3" s="153"/>
    </row>
    <row r="4" spans="1:18" ht="27" x14ac:dyDescent="0.3">
      <c r="B4" s="153" t="s">
        <v>218</v>
      </c>
      <c r="F4" s="150"/>
      <c r="I4" s="1" t="s">
        <v>30</v>
      </c>
    </row>
    <row r="5" spans="1:18" ht="57.6" customHeight="1" x14ac:dyDescent="0.3">
      <c r="B5" s="153"/>
      <c r="C5" s="205" t="s">
        <v>217</v>
      </c>
      <c r="D5" s="205"/>
      <c r="E5" s="203"/>
      <c r="F5" s="152"/>
      <c r="G5" s="203"/>
      <c r="H5" s="203"/>
      <c r="I5" s="204"/>
      <c r="J5" s="203"/>
      <c r="K5" s="203"/>
      <c r="R5" s="155" t="s">
        <v>238</v>
      </c>
    </row>
    <row r="6" spans="1:18" ht="21" x14ac:dyDescent="0.35">
      <c r="B6" s="127"/>
      <c r="H6" s="202" t="s">
        <v>237</v>
      </c>
      <c r="I6" s="201"/>
      <c r="J6" s="200"/>
    </row>
    <row r="7" spans="1:18" ht="49.9" customHeight="1" thickBot="1" x14ac:dyDescent="0.3">
      <c r="E7" s="200" t="s">
        <v>236</v>
      </c>
      <c r="F7" s="200" t="s">
        <v>24</v>
      </c>
      <c r="G7" s="200" t="s">
        <v>235</v>
      </c>
      <c r="H7" s="200" t="s">
        <v>25</v>
      </c>
      <c r="I7" s="200" t="s">
        <v>26</v>
      </c>
      <c r="J7" s="200" t="s">
        <v>27</v>
      </c>
      <c r="K7" s="200" t="s">
        <v>28</v>
      </c>
      <c r="L7" s="199" t="s">
        <v>234</v>
      </c>
      <c r="M7" s="198"/>
      <c r="N7" s="198"/>
    </row>
    <row r="8" spans="1:18" ht="34.9" customHeight="1" x14ac:dyDescent="0.25">
      <c r="B8" s="195" t="s">
        <v>0</v>
      </c>
      <c r="C8" s="195" t="s">
        <v>5</v>
      </c>
      <c r="D8" s="195" t="s">
        <v>15</v>
      </c>
      <c r="E8" s="194">
        <v>1</v>
      </c>
      <c r="F8" s="193">
        <v>0</v>
      </c>
      <c r="G8" s="254" t="s">
        <v>228</v>
      </c>
      <c r="H8" s="193">
        <v>3</v>
      </c>
      <c r="I8" s="254" t="s">
        <v>228</v>
      </c>
      <c r="J8" s="193">
        <v>0</v>
      </c>
      <c r="K8" s="254" t="s">
        <v>228</v>
      </c>
      <c r="L8" s="178" t="s">
        <v>0</v>
      </c>
      <c r="M8" s="178" t="s">
        <v>5</v>
      </c>
      <c r="N8" s="178" t="s">
        <v>15</v>
      </c>
    </row>
    <row r="9" spans="1:18" ht="33" customHeight="1" x14ac:dyDescent="0.25">
      <c r="B9" s="161"/>
      <c r="C9" s="161"/>
      <c r="D9" s="161"/>
      <c r="E9" s="158">
        <v>2</v>
      </c>
      <c r="F9" s="157">
        <v>0</v>
      </c>
      <c r="G9" s="255"/>
      <c r="H9" s="157">
        <v>8</v>
      </c>
      <c r="I9" s="255"/>
      <c r="J9" s="157">
        <v>1</v>
      </c>
      <c r="K9" s="255"/>
      <c r="L9" s="164" t="s">
        <v>223</v>
      </c>
      <c r="M9" s="163">
        <f>SUM(F10:K26)/COUNT(F10:K26)/1.5</f>
        <v>6.7058823529411766</v>
      </c>
      <c r="N9" s="162"/>
      <c r="P9">
        <f>AVERAGE(F9,H9,J9)</f>
        <v>3</v>
      </c>
    </row>
    <row r="10" spans="1:18" ht="33" customHeight="1" x14ac:dyDescent="0.25">
      <c r="B10" s="188">
        <v>41781</v>
      </c>
      <c r="C10" s="165"/>
      <c r="D10" s="161"/>
      <c r="E10" s="158">
        <v>3</v>
      </c>
      <c r="F10" s="157">
        <v>2</v>
      </c>
      <c r="G10" s="159"/>
      <c r="H10" s="157">
        <v>7</v>
      </c>
      <c r="I10" s="159"/>
      <c r="J10" s="157">
        <v>4</v>
      </c>
      <c r="K10" s="159"/>
      <c r="P10">
        <f>AVERAGE(F10,H10,J10)</f>
        <v>4.333333333333333</v>
      </c>
    </row>
    <row r="11" spans="1:18" ht="33" customHeight="1" x14ac:dyDescent="0.25">
      <c r="B11" s="165"/>
      <c r="C11" s="165"/>
      <c r="D11" s="161"/>
      <c r="E11" s="158">
        <v>4</v>
      </c>
      <c r="F11" s="157">
        <v>13</v>
      </c>
      <c r="G11" s="159"/>
      <c r="H11" s="157">
        <v>18</v>
      </c>
      <c r="I11" s="159"/>
      <c r="J11" s="157">
        <v>11</v>
      </c>
      <c r="K11" s="159"/>
      <c r="P11">
        <f>AVERAGE(F11,H11,J11)</f>
        <v>14</v>
      </c>
    </row>
    <row r="12" spans="1:18" ht="33" customHeight="1" x14ac:dyDescent="0.25">
      <c r="B12" s="161"/>
      <c r="C12" s="161"/>
      <c r="D12" s="161"/>
      <c r="E12" s="158">
        <v>5</v>
      </c>
      <c r="F12" s="159"/>
      <c r="G12" s="157">
        <v>12</v>
      </c>
      <c r="H12" s="159"/>
      <c r="I12" s="157">
        <v>13</v>
      </c>
      <c r="J12" s="159"/>
      <c r="K12" s="157">
        <v>13</v>
      </c>
      <c r="P12">
        <f>AVERAGE(G12,I12,K12)</f>
        <v>12.666666666666666</v>
      </c>
    </row>
    <row r="13" spans="1:18" ht="33" customHeight="1" x14ac:dyDescent="0.25">
      <c r="B13" s="161"/>
      <c r="C13" s="161"/>
      <c r="D13" s="161"/>
      <c r="E13" s="158">
        <v>6</v>
      </c>
      <c r="F13" s="159"/>
      <c r="G13" s="157">
        <v>5</v>
      </c>
      <c r="H13" s="159"/>
      <c r="I13" s="157">
        <v>11</v>
      </c>
      <c r="J13" s="159"/>
      <c r="K13" s="157">
        <v>12</v>
      </c>
      <c r="P13">
        <f>AVERAGE(G13,I13,K13)</f>
        <v>9.3333333333333339</v>
      </c>
    </row>
    <row r="14" spans="1:18" ht="33" customHeight="1" x14ac:dyDescent="0.25">
      <c r="B14" s="161"/>
      <c r="C14" s="161"/>
      <c r="D14" s="161"/>
      <c r="E14" s="158">
        <v>7</v>
      </c>
      <c r="F14" s="159"/>
      <c r="G14" s="157">
        <v>9</v>
      </c>
      <c r="H14" s="159"/>
      <c r="I14" s="157">
        <v>10</v>
      </c>
      <c r="J14" s="159"/>
      <c r="K14" s="157">
        <v>4</v>
      </c>
      <c r="P14">
        <f>AVERAGE(G14,I14,K14)</f>
        <v>7.666666666666667</v>
      </c>
    </row>
    <row r="15" spans="1:18" ht="33" customHeight="1" x14ac:dyDescent="0.25">
      <c r="B15" s="161"/>
      <c r="C15" s="161"/>
      <c r="D15" s="161"/>
      <c r="E15" s="158">
        <v>8</v>
      </c>
      <c r="F15" s="159"/>
      <c r="G15" s="157">
        <v>7</v>
      </c>
      <c r="H15" s="159"/>
      <c r="I15" s="157">
        <v>12</v>
      </c>
      <c r="J15" s="159"/>
      <c r="K15" s="157">
        <v>8</v>
      </c>
      <c r="P15">
        <f>AVERAGE(G15,I15,K15)</f>
        <v>9</v>
      </c>
    </row>
    <row r="16" spans="1:18" ht="33" customHeight="1" x14ac:dyDescent="0.25">
      <c r="B16" s="161"/>
      <c r="C16" s="161"/>
      <c r="D16" s="161"/>
      <c r="E16" s="158">
        <v>9</v>
      </c>
      <c r="F16" s="157">
        <v>11</v>
      </c>
      <c r="G16" s="159"/>
      <c r="H16" s="157">
        <v>12</v>
      </c>
      <c r="I16" s="159"/>
      <c r="J16" s="157">
        <v>15</v>
      </c>
      <c r="K16" s="159"/>
      <c r="P16">
        <f>AVERAGE(F16,H16,J16)</f>
        <v>12.666666666666666</v>
      </c>
    </row>
    <row r="17" spans="2:18" ht="33" customHeight="1" x14ac:dyDescent="0.25">
      <c r="B17" s="161"/>
      <c r="C17" s="161"/>
      <c r="D17" s="161"/>
      <c r="E17" s="158">
        <v>10</v>
      </c>
      <c r="F17" s="157">
        <v>5</v>
      </c>
      <c r="G17" s="159"/>
      <c r="H17" s="157">
        <v>7</v>
      </c>
      <c r="I17" s="159"/>
      <c r="J17" s="157">
        <v>3</v>
      </c>
      <c r="K17" s="159"/>
      <c r="P17">
        <f>AVERAGE(F17,H17,J17)</f>
        <v>5</v>
      </c>
    </row>
    <row r="18" spans="2:18" ht="33" customHeight="1" x14ac:dyDescent="0.25">
      <c r="B18" s="161"/>
      <c r="C18" s="161"/>
      <c r="D18" s="161"/>
      <c r="E18" s="158">
        <v>11</v>
      </c>
      <c r="F18" s="157">
        <v>10</v>
      </c>
      <c r="G18" s="159"/>
      <c r="H18" s="157">
        <v>16</v>
      </c>
      <c r="I18" s="159"/>
      <c r="J18" s="157">
        <v>13</v>
      </c>
      <c r="K18" s="159"/>
      <c r="P18">
        <f>AVERAGE(F18,H18,J18)</f>
        <v>13</v>
      </c>
    </row>
    <row r="19" spans="2:18" ht="33" customHeight="1" x14ac:dyDescent="0.25">
      <c r="B19" s="161"/>
      <c r="C19" s="161"/>
      <c r="D19" s="161"/>
      <c r="E19" s="158">
        <v>12</v>
      </c>
      <c r="F19" s="157">
        <v>12</v>
      </c>
      <c r="G19" s="159"/>
      <c r="H19" s="157">
        <v>18</v>
      </c>
      <c r="I19" s="159"/>
      <c r="J19" s="157">
        <v>10</v>
      </c>
      <c r="K19" s="159"/>
      <c r="P19">
        <f>AVERAGE(F19,H19,J19)</f>
        <v>13.333333333333334</v>
      </c>
    </row>
    <row r="20" spans="2:18" ht="33" customHeight="1" x14ac:dyDescent="0.25">
      <c r="B20" s="161"/>
      <c r="C20" s="161"/>
      <c r="D20" s="161"/>
      <c r="E20" s="158">
        <v>13</v>
      </c>
      <c r="F20" s="160" t="s">
        <v>229</v>
      </c>
      <c r="G20" s="157">
        <v>13</v>
      </c>
      <c r="H20" s="160" t="s">
        <v>229</v>
      </c>
      <c r="I20" s="157">
        <v>17</v>
      </c>
      <c r="J20" s="160" t="s">
        <v>229</v>
      </c>
      <c r="K20" s="157">
        <v>16</v>
      </c>
      <c r="P20">
        <f>AVERAGE(G20,I20,K20)</f>
        <v>15.333333333333334</v>
      </c>
    </row>
    <row r="21" spans="2:18" ht="33" customHeight="1" x14ac:dyDescent="0.25">
      <c r="B21" s="161"/>
      <c r="C21" s="161"/>
      <c r="D21" s="161"/>
      <c r="E21" s="158">
        <v>14</v>
      </c>
      <c r="F21" s="159"/>
      <c r="G21" s="157">
        <v>15</v>
      </c>
      <c r="H21" s="159"/>
      <c r="I21" s="157">
        <v>12</v>
      </c>
      <c r="J21" s="159"/>
      <c r="K21" s="157">
        <v>10</v>
      </c>
      <c r="P21">
        <f>AVERAGE(G21,I21,K21)</f>
        <v>12.333333333333334</v>
      </c>
    </row>
    <row r="22" spans="2:18" ht="33" customHeight="1" x14ac:dyDescent="0.25">
      <c r="B22" s="161"/>
      <c r="C22" s="161"/>
      <c r="D22" s="161"/>
      <c r="E22" s="158">
        <v>15</v>
      </c>
      <c r="F22" s="159"/>
      <c r="G22" s="157">
        <v>10</v>
      </c>
      <c r="H22" s="159"/>
      <c r="I22" s="157">
        <v>4</v>
      </c>
      <c r="J22" s="159"/>
      <c r="K22" s="157">
        <v>5</v>
      </c>
      <c r="P22">
        <f>AVERAGE(G22,I22,K22)</f>
        <v>6.333333333333333</v>
      </c>
    </row>
    <row r="23" spans="2:18" ht="33" customHeight="1" x14ac:dyDescent="0.25">
      <c r="B23" s="161"/>
      <c r="C23" s="161"/>
      <c r="D23" s="161"/>
      <c r="E23" s="158">
        <v>16</v>
      </c>
      <c r="F23" s="159"/>
      <c r="G23" s="157">
        <v>12</v>
      </c>
      <c r="H23" s="159"/>
      <c r="I23" s="157">
        <v>15</v>
      </c>
      <c r="J23" s="159"/>
      <c r="K23" s="157">
        <v>9</v>
      </c>
      <c r="P23">
        <f>AVERAGE(G23,I23,K23)</f>
        <v>12</v>
      </c>
    </row>
    <row r="24" spans="2:18" ht="33" customHeight="1" x14ac:dyDescent="0.25">
      <c r="B24" s="161"/>
      <c r="C24" s="161"/>
      <c r="D24" s="161"/>
      <c r="E24" s="158">
        <v>17</v>
      </c>
      <c r="F24" s="157">
        <v>10</v>
      </c>
      <c r="G24" s="159"/>
      <c r="H24" s="157">
        <v>14</v>
      </c>
      <c r="I24" s="159"/>
      <c r="J24" s="157">
        <v>14</v>
      </c>
      <c r="K24" s="159"/>
      <c r="P24">
        <f>AVERAGE(F24,H24,J24)</f>
        <v>12.666666666666666</v>
      </c>
    </row>
    <row r="25" spans="2:18" ht="33" customHeight="1" x14ac:dyDescent="0.25">
      <c r="B25" s="161"/>
      <c r="C25" s="161"/>
      <c r="D25" s="161"/>
      <c r="E25" s="158">
        <v>18</v>
      </c>
      <c r="F25" s="157">
        <v>0</v>
      </c>
      <c r="G25" s="159"/>
      <c r="H25" s="157">
        <v>7</v>
      </c>
      <c r="I25" s="159"/>
      <c r="J25" s="157">
        <v>0</v>
      </c>
      <c r="K25" s="159"/>
      <c r="P25">
        <f>AVERAGE(F25,H25,J25)</f>
        <v>2.3333333333333335</v>
      </c>
    </row>
    <row r="26" spans="2:18" ht="33" customHeight="1" thickBot="1" x14ac:dyDescent="0.3">
      <c r="B26" s="161"/>
      <c r="C26" s="161"/>
      <c r="D26" s="161"/>
      <c r="E26" s="176">
        <v>19</v>
      </c>
      <c r="F26" s="197">
        <v>7</v>
      </c>
      <c r="G26" s="196"/>
      <c r="H26" s="197">
        <v>11</v>
      </c>
      <c r="I26" s="196"/>
      <c r="J26" s="197">
        <v>9</v>
      </c>
      <c r="K26" s="196"/>
      <c r="P26">
        <f>AVERAGE(F26,H26,J26)</f>
        <v>9</v>
      </c>
      <c r="R26" s="155">
        <f>AVERAGE(P9:P26)/(1.5*1.02)</f>
        <v>6.3180827886710231</v>
      </c>
    </row>
    <row r="27" spans="2:18" ht="33" customHeight="1" x14ac:dyDescent="0.25">
      <c r="B27" s="195" t="s">
        <v>0</v>
      </c>
      <c r="C27" s="195" t="s">
        <v>6</v>
      </c>
      <c r="D27" s="195" t="s">
        <v>16</v>
      </c>
      <c r="E27" s="194">
        <v>20</v>
      </c>
      <c r="F27" s="193">
        <v>11</v>
      </c>
      <c r="G27" s="191"/>
      <c r="H27" s="193">
        <v>12</v>
      </c>
      <c r="I27" s="191"/>
      <c r="J27" s="193">
        <v>19</v>
      </c>
      <c r="K27" s="191"/>
      <c r="L27" s="178" t="s">
        <v>0</v>
      </c>
      <c r="M27" s="178" t="s">
        <v>6</v>
      </c>
      <c r="N27" s="178" t="s">
        <v>16</v>
      </c>
      <c r="P27">
        <f>AVERAGE(F27,H27,J27)</f>
        <v>14</v>
      </c>
    </row>
    <row r="28" spans="2:18" ht="33" customHeight="1" x14ac:dyDescent="0.25">
      <c r="B28" s="188">
        <v>41781</v>
      </c>
      <c r="C28" s="165"/>
      <c r="D28" s="161"/>
      <c r="E28" s="158">
        <v>21</v>
      </c>
      <c r="F28" s="159"/>
      <c r="G28" s="157">
        <v>12</v>
      </c>
      <c r="H28" s="159"/>
      <c r="I28" s="157">
        <v>16</v>
      </c>
      <c r="J28" s="159"/>
      <c r="K28" s="157">
        <v>12</v>
      </c>
      <c r="L28" s="164" t="s">
        <v>223</v>
      </c>
      <c r="M28" s="163">
        <f>SUM(F27:K53)/COUNT(F27:K53)/1.5</f>
        <v>6.9053497942386839</v>
      </c>
      <c r="N28" s="162"/>
      <c r="P28">
        <f>AVERAGE(G28,I28,K28)</f>
        <v>13.333333333333334</v>
      </c>
    </row>
    <row r="29" spans="2:18" ht="33" customHeight="1" x14ac:dyDescent="0.25">
      <c r="B29" s="165"/>
      <c r="C29" s="165"/>
      <c r="D29" s="161"/>
      <c r="E29" s="158">
        <v>22</v>
      </c>
      <c r="F29" s="159"/>
      <c r="G29" s="157">
        <v>12</v>
      </c>
      <c r="H29" s="159"/>
      <c r="I29" s="157">
        <v>11</v>
      </c>
      <c r="J29" s="159"/>
      <c r="K29" s="157">
        <v>5</v>
      </c>
      <c r="P29">
        <f>AVERAGE(G29,I29,K29)</f>
        <v>9.3333333333333339</v>
      </c>
    </row>
    <row r="30" spans="2:18" ht="33" customHeight="1" x14ac:dyDescent="0.25">
      <c r="B30" s="161"/>
      <c r="C30" s="161"/>
      <c r="D30" s="161"/>
      <c r="E30" s="158">
        <v>23</v>
      </c>
      <c r="F30" s="159"/>
      <c r="G30" s="157">
        <v>5</v>
      </c>
      <c r="H30" s="159"/>
      <c r="I30" s="157">
        <v>7</v>
      </c>
      <c r="J30" s="159"/>
      <c r="K30" s="157">
        <v>0</v>
      </c>
      <c r="P30">
        <f>AVERAGE(G30,I30,K30)</f>
        <v>4</v>
      </c>
    </row>
    <row r="31" spans="2:18" ht="33" customHeight="1" x14ac:dyDescent="0.25">
      <c r="B31" s="161"/>
      <c r="C31" s="161"/>
      <c r="D31" s="161"/>
      <c r="E31" s="158">
        <v>24</v>
      </c>
      <c r="F31" s="159"/>
      <c r="G31" s="157">
        <v>13</v>
      </c>
      <c r="H31" s="159"/>
      <c r="I31" s="157">
        <v>13</v>
      </c>
      <c r="J31" s="159"/>
      <c r="K31" s="157">
        <v>11</v>
      </c>
      <c r="P31">
        <f>AVERAGE(G31,I31,K31)</f>
        <v>12.333333333333334</v>
      </c>
    </row>
    <row r="32" spans="2:18" ht="33" customHeight="1" x14ac:dyDescent="0.25">
      <c r="B32" s="161"/>
      <c r="C32" s="161"/>
      <c r="D32" s="161"/>
      <c r="E32" s="158">
        <v>25</v>
      </c>
      <c r="F32" s="157">
        <v>7</v>
      </c>
      <c r="G32" s="159"/>
      <c r="H32" s="157">
        <v>11</v>
      </c>
      <c r="I32" s="159"/>
      <c r="J32" s="157">
        <v>19</v>
      </c>
      <c r="K32" s="159"/>
      <c r="P32">
        <f>AVERAGE(F32,H32,J32)</f>
        <v>12.333333333333334</v>
      </c>
    </row>
    <row r="33" spans="2:16" ht="33" customHeight="1" x14ac:dyDescent="0.25">
      <c r="B33" s="161"/>
      <c r="C33" s="161"/>
      <c r="D33" s="161"/>
      <c r="E33" s="158">
        <v>26</v>
      </c>
      <c r="F33" s="157">
        <v>5</v>
      </c>
      <c r="G33" s="159"/>
      <c r="H33" s="157">
        <v>7</v>
      </c>
      <c r="I33" s="159"/>
      <c r="J33" s="157">
        <v>6</v>
      </c>
      <c r="K33" s="159"/>
      <c r="P33">
        <f>AVERAGE(F33,H33,J33)</f>
        <v>6</v>
      </c>
    </row>
    <row r="34" spans="2:16" ht="33" customHeight="1" x14ac:dyDescent="0.25">
      <c r="B34" s="161"/>
      <c r="C34" s="161"/>
      <c r="D34" s="161"/>
      <c r="E34" s="158">
        <v>27</v>
      </c>
      <c r="F34" s="157">
        <v>10</v>
      </c>
      <c r="G34" s="159"/>
      <c r="H34" s="157">
        <v>11</v>
      </c>
      <c r="I34" s="159"/>
      <c r="J34" s="157">
        <v>5</v>
      </c>
      <c r="K34" s="159"/>
      <c r="P34">
        <f>AVERAGE(F34,H34,J34)</f>
        <v>8.6666666666666661</v>
      </c>
    </row>
    <row r="35" spans="2:16" ht="33" customHeight="1" x14ac:dyDescent="0.25">
      <c r="B35" s="161"/>
      <c r="C35" s="161"/>
      <c r="D35" s="161"/>
      <c r="E35" s="158">
        <v>28</v>
      </c>
      <c r="F35" s="157">
        <v>13</v>
      </c>
      <c r="G35" s="159"/>
      <c r="H35" s="157">
        <v>8</v>
      </c>
      <c r="I35" s="159"/>
      <c r="J35" s="157">
        <v>17</v>
      </c>
      <c r="K35" s="159"/>
      <c r="P35">
        <f>AVERAGE(F35,H35,J35)</f>
        <v>12.666666666666666</v>
      </c>
    </row>
    <row r="36" spans="2:16" ht="33" customHeight="1" x14ac:dyDescent="0.25">
      <c r="B36" s="161"/>
      <c r="C36" s="161"/>
      <c r="D36" s="161"/>
      <c r="E36" s="158">
        <v>29</v>
      </c>
      <c r="F36" s="159"/>
      <c r="G36" s="157">
        <v>11</v>
      </c>
      <c r="H36" s="159"/>
      <c r="I36" s="157">
        <v>19</v>
      </c>
      <c r="J36" s="159"/>
      <c r="K36" s="157">
        <v>13</v>
      </c>
      <c r="P36">
        <f>AVERAGE(G36,I36,K36)</f>
        <v>14.333333333333334</v>
      </c>
    </row>
    <row r="37" spans="2:16" ht="33" customHeight="1" x14ac:dyDescent="0.25">
      <c r="B37" s="161"/>
      <c r="C37" s="161"/>
      <c r="D37" s="161"/>
      <c r="E37" s="158">
        <v>30</v>
      </c>
      <c r="F37" s="159"/>
      <c r="G37" s="157">
        <v>21</v>
      </c>
      <c r="H37" s="159"/>
      <c r="I37" s="157">
        <v>16</v>
      </c>
      <c r="J37" s="159"/>
      <c r="K37" s="157">
        <v>0</v>
      </c>
      <c r="P37">
        <f>AVERAGE(G37,I37,K37)</f>
        <v>12.333333333333334</v>
      </c>
    </row>
    <row r="38" spans="2:16" ht="33" customHeight="1" x14ac:dyDescent="0.25">
      <c r="B38" s="161"/>
      <c r="C38" s="161"/>
      <c r="D38" s="161"/>
      <c r="E38" s="158">
        <v>31</v>
      </c>
      <c r="F38" s="159"/>
      <c r="G38" s="157">
        <v>4</v>
      </c>
      <c r="H38" s="159"/>
      <c r="I38" s="157">
        <v>7</v>
      </c>
      <c r="J38" s="159"/>
      <c r="K38" s="157">
        <v>6</v>
      </c>
      <c r="P38">
        <f>AVERAGE(G38,I38,K38)</f>
        <v>5.666666666666667</v>
      </c>
    </row>
    <row r="39" spans="2:16" ht="33" customHeight="1" x14ac:dyDescent="0.25">
      <c r="B39" s="161"/>
      <c r="C39" s="161"/>
      <c r="D39" s="161"/>
      <c r="E39" s="158">
        <v>32</v>
      </c>
      <c r="F39" s="159"/>
      <c r="G39" s="157">
        <v>11</v>
      </c>
      <c r="H39" s="159"/>
      <c r="I39" s="157">
        <v>11</v>
      </c>
      <c r="J39" s="159"/>
      <c r="K39" s="157">
        <v>9</v>
      </c>
      <c r="P39">
        <f>AVERAGE(G39,I39,K39)</f>
        <v>10.333333333333334</v>
      </c>
    </row>
    <row r="40" spans="2:16" ht="33" customHeight="1" x14ac:dyDescent="0.25">
      <c r="B40" s="161"/>
      <c r="C40" s="161"/>
      <c r="D40" s="161"/>
      <c r="E40" s="158">
        <v>33</v>
      </c>
      <c r="F40" s="157">
        <v>10</v>
      </c>
      <c r="G40" s="159"/>
      <c r="H40" s="157">
        <v>13</v>
      </c>
      <c r="I40" s="159"/>
      <c r="J40" s="157">
        <v>3</v>
      </c>
      <c r="K40" s="159"/>
      <c r="P40">
        <f>AVERAGE(F40,H40,J40)</f>
        <v>8.6666666666666661</v>
      </c>
    </row>
    <row r="41" spans="2:16" ht="33" customHeight="1" x14ac:dyDescent="0.25">
      <c r="B41" s="161"/>
      <c r="C41" s="161"/>
      <c r="D41" s="161"/>
      <c r="E41" s="158">
        <v>34</v>
      </c>
      <c r="F41" s="157">
        <v>2</v>
      </c>
      <c r="G41" s="159"/>
      <c r="H41" s="157">
        <v>6</v>
      </c>
      <c r="I41" s="159"/>
      <c r="J41" s="157">
        <v>0</v>
      </c>
      <c r="K41" s="159"/>
      <c r="P41">
        <f>AVERAGE(F41,H41,J41)</f>
        <v>2.6666666666666665</v>
      </c>
    </row>
    <row r="42" spans="2:16" ht="33" customHeight="1" x14ac:dyDescent="0.25">
      <c r="B42" s="161"/>
      <c r="C42" s="161"/>
      <c r="D42" s="161"/>
      <c r="E42" s="158">
        <v>35</v>
      </c>
      <c r="F42" s="157">
        <v>16</v>
      </c>
      <c r="G42" s="159"/>
      <c r="H42" s="157">
        <v>17</v>
      </c>
      <c r="I42" s="159"/>
      <c r="J42" s="157">
        <v>0</v>
      </c>
      <c r="K42" s="159"/>
      <c r="P42">
        <f>AVERAGE(F42,H42,J42)</f>
        <v>11</v>
      </c>
    </row>
    <row r="43" spans="2:16" ht="33" customHeight="1" x14ac:dyDescent="0.25">
      <c r="B43" s="161"/>
      <c r="C43" s="161"/>
      <c r="D43" s="161"/>
      <c r="E43" s="158">
        <v>36</v>
      </c>
      <c r="F43" s="157">
        <v>19</v>
      </c>
      <c r="G43" s="159"/>
      <c r="H43" s="157">
        <v>18</v>
      </c>
      <c r="I43" s="159"/>
      <c r="J43" s="157">
        <v>0</v>
      </c>
      <c r="K43" s="159"/>
      <c r="P43">
        <f>AVERAGE(F43,H43,J43)</f>
        <v>12.333333333333334</v>
      </c>
    </row>
    <row r="44" spans="2:16" ht="33" customHeight="1" x14ac:dyDescent="0.25">
      <c r="B44" s="161"/>
      <c r="C44" s="161"/>
      <c r="D44" s="161"/>
      <c r="E44" s="158">
        <v>37</v>
      </c>
      <c r="F44" s="159"/>
      <c r="G44" s="157">
        <v>14</v>
      </c>
      <c r="H44" s="159"/>
      <c r="I44" s="157">
        <v>13</v>
      </c>
      <c r="J44" s="159"/>
      <c r="K44" s="157">
        <v>18</v>
      </c>
      <c r="P44">
        <f>AVERAGE(G44,I44,K44)</f>
        <v>15</v>
      </c>
    </row>
    <row r="45" spans="2:16" ht="33" customHeight="1" x14ac:dyDescent="0.25">
      <c r="B45" s="161"/>
      <c r="C45" s="161"/>
      <c r="D45" s="161"/>
      <c r="E45" s="158">
        <v>38</v>
      </c>
      <c r="F45" s="159"/>
      <c r="G45" s="157">
        <v>12</v>
      </c>
      <c r="H45" s="159"/>
      <c r="I45" s="157">
        <v>10</v>
      </c>
      <c r="J45" s="159"/>
      <c r="K45" s="157">
        <v>12</v>
      </c>
      <c r="P45">
        <f>AVERAGE(G45,I45,K45)</f>
        <v>11.333333333333334</v>
      </c>
    </row>
    <row r="46" spans="2:16" ht="33" customHeight="1" x14ac:dyDescent="0.25">
      <c r="B46" s="161"/>
      <c r="C46" s="161"/>
      <c r="D46" s="161"/>
      <c r="E46" s="158">
        <v>39</v>
      </c>
      <c r="F46" s="159"/>
      <c r="G46" s="157">
        <v>11</v>
      </c>
      <c r="H46" s="159"/>
      <c r="I46" s="157">
        <v>4</v>
      </c>
      <c r="J46" s="159"/>
      <c r="K46" s="157">
        <v>12</v>
      </c>
      <c r="P46">
        <f>AVERAGE(G46,I46,K46)</f>
        <v>9</v>
      </c>
    </row>
    <row r="47" spans="2:16" ht="33" customHeight="1" x14ac:dyDescent="0.25">
      <c r="B47" s="161"/>
      <c r="C47" s="161"/>
      <c r="D47" s="161"/>
      <c r="E47" s="158">
        <v>40</v>
      </c>
      <c r="F47" s="159"/>
      <c r="G47" s="157">
        <v>10</v>
      </c>
      <c r="H47" s="159"/>
      <c r="I47" s="157">
        <v>8</v>
      </c>
      <c r="J47" s="159"/>
      <c r="K47" s="157">
        <v>11</v>
      </c>
      <c r="P47">
        <f>AVERAGE(G47,I47,K47)</f>
        <v>9.6666666666666661</v>
      </c>
    </row>
    <row r="48" spans="2:16" ht="33" customHeight="1" x14ac:dyDescent="0.25">
      <c r="B48" s="161"/>
      <c r="C48" s="161"/>
      <c r="D48" s="161"/>
      <c r="E48" s="158">
        <v>41</v>
      </c>
      <c r="F48" s="157">
        <v>10</v>
      </c>
      <c r="G48" s="160" t="s">
        <v>233</v>
      </c>
      <c r="H48" s="157">
        <v>7</v>
      </c>
      <c r="I48" s="160" t="s">
        <v>233</v>
      </c>
      <c r="J48" s="157">
        <v>11</v>
      </c>
      <c r="K48" s="160" t="s">
        <v>233</v>
      </c>
      <c r="P48">
        <f>AVERAGE(F48,H48,J48)</f>
        <v>9.3333333333333339</v>
      </c>
    </row>
    <row r="49" spans="2:18" ht="33" customHeight="1" x14ac:dyDescent="0.25">
      <c r="B49" s="161"/>
      <c r="C49" s="161"/>
      <c r="D49" s="161"/>
      <c r="E49" s="158">
        <v>42</v>
      </c>
      <c r="F49" s="157">
        <v>9</v>
      </c>
      <c r="G49" s="159"/>
      <c r="H49" s="157">
        <v>5</v>
      </c>
      <c r="I49" s="159"/>
      <c r="J49" s="157">
        <v>8</v>
      </c>
      <c r="K49" s="159"/>
      <c r="P49">
        <f>AVERAGE(F49,H49,J49)</f>
        <v>7.333333333333333</v>
      </c>
    </row>
    <row r="50" spans="2:18" ht="33" customHeight="1" x14ac:dyDescent="0.25">
      <c r="B50" s="161"/>
      <c r="C50" s="161"/>
      <c r="D50" s="161"/>
      <c r="E50" s="158">
        <v>43</v>
      </c>
      <c r="F50" s="157">
        <v>10</v>
      </c>
      <c r="G50" s="159"/>
      <c r="H50" s="157">
        <v>7</v>
      </c>
      <c r="I50" s="159"/>
      <c r="J50" s="157">
        <v>11</v>
      </c>
      <c r="K50" s="159"/>
      <c r="P50">
        <f>AVERAGE(F50,H50,J50)</f>
        <v>9.3333333333333339</v>
      </c>
    </row>
    <row r="51" spans="2:18" ht="33" customHeight="1" x14ac:dyDescent="0.25">
      <c r="B51" s="161"/>
      <c r="C51" s="161"/>
      <c r="D51" s="161"/>
      <c r="E51" s="158">
        <v>44</v>
      </c>
      <c r="F51" s="157">
        <v>18</v>
      </c>
      <c r="G51" s="159"/>
      <c r="H51" s="157">
        <v>18</v>
      </c>
      <c r="I51" s="159"/>
      <c r="J51" s="157">
        <v>14</v>
      </c>
      <c r="K51" s="159"/>
      <c r="P51">
        <f>AVERAGE(F51,H51,J51)</f>
        <v>16.666666666666668</v>
      </c>
    </row>
    <row r="52" spans="2:18" ht="33" customHeight="1" x14ac:dyDescent="0.25">
      <c r="B52" s="161"/>
      <c r="C52" s="161"/>
      <c r="D52" s="161"/>
      <c r="E52" s="158">
        <v>45</v>
      </c>
      <c r="F52" s="159"/>
      <c r="G52" s="157">
        <v>15</v>
      </c>
      <c r="H52" s="159"/>
      <c r="I52" s="157">
        <v>16</v>
      </c>
      <c r="J52" s="159"/>
      <c r="K52" s="157">
        <v>10</v>
      </c>
      <c r="P52">
        <f>AVERAGE(G52,I52,K52)</f>
        <v>13.666666666666666</v>
      </c>
    </row>
    <row r="53" spans="2:18" ht="33" customHeight="1" x14ac:dyDescent="0.25">
      <c r="B53" s="161"/>
      <c r="C53" s="161"/>
      <c r="D53" s="161"/>
      <c r="E53" s="158">
        <v>46</v>
      </c>
      <c r="F53" s="159"/>
      <c r="G53" s="157">
        <v>8</v>
      </c>
      <c r="H53" s="159"/>
      <c r="I53" s="157">
        <v>14</v>
      </c>
      <c r="J53" s="159"/>
      <c r="K53" s="157">
        <v>3</v>
      </c>
      <c r="P53">
        <f>AVERAGE(G53,I53,K53)</f>
        <v>8.3333333333333339</v>
      </c>
    </row>
    <row r="54" spans="2:18" ht="33" customHeight="1" x14ac:dyDescent="0.25">
      <c r="B54" s="161"/>
      <c r="C54" s="161"/>
      <c r="D54" s="161"/>
      <c r="E54" s="176">
        <v>47</v>
      </c>
      <c r="F54" s="160" t="s">
        <v>232</v>
      </c>
      <c r="G54" s="157">
        <v>0</v>
      </c>
      <c r="H54" s="160" t="s">
        <v>232</v>
      </c>
      <c r="I54" s="157">
        <v>0</v>
      </c>
      <c r="J54" s="160" t="s">
        <v>232</v>
      </c>
      <c r="K54" s="157">
        <v>0</v>
      </c>
    </row>
    <row r="55" spans="2:18" ht="33" customHeight="1" thickBot="1" x14ac:dyDescent="0.3">
      <c r="B55" s="175"/>
      <c r="C55" s="175"/>
      <c r="D55" s="175"/>
      <c r="E55" s="174">
        <v>48</v>
      </c>
      <c r="F55" s="172" t="s">
        <v>231</v>
      </c>
      <c r="G55" s="173">
        <v>0</v>
      </c>
      <c r="H55" s="172" t="s">
        <v>231</v>
      </c>
      <c r="I55" s="173">
        <v>0</v>
      </c>
      <c r="J55" s="172" t="s">
        <v>231</v>
      </c>
      <c r="K55" s="173">
        <v>0</v>
      </c>
      <c r="R55" s="155">
        <f>AVERAGE(P27:P55)/(1.5*1.016)</f>
        <v>6.7966041281876803</v>
      </c>
    </row>
    <row r="56" spans="2:18" ht="33" customHeight="1" x14ac:dyDescent="0.25">
      <c r="B56" s="171" t="s">
        <v>1</v>
      </c>
      <c r="C56" s="171" t="s">
        <v>7</v>
      </c>
      <c r="D56" s="171" t="s">
        <v>17</v>
      </c>
      <c r="E56" s="170">
        <v>1</v>
      </c>
      <c r="F56" s="169" t="s">
        <v>225</v>
      </c>
      <c r="G56" s="168" t="s">
        <v>230</v>
      </c>
      <c r="H56" s="169" t="s">
        <v>225</v>
      </c>
      <c r="I56" s="168" t="s">
        <v>230</v>
      </c>
      <c r="J56" s="169" t="s">
        <v>225</v>
      </c>
      <c r="K56" s="168" t="s">
        <v>230</v>
      </c>
      <c r="L56" s="167" t="s">
        <v>1</v>
      </c>
      <c r="M56" s="167" t="s">
        <v>7</v>
      </c>
      <c r="N56" s="167" t="s">
        <v>17</v>
      </c>
    </row>
    <row r="57" spans="2:18" ht="33" customHeight="1" x14ac:dyDescent="0.25">
      <c r="B57" s="188">
        <v>41781</v>
      </c>
      <c r="C57" s="165"/>
      <c r="D57" s="161"/>
      <c r="E57" s="158">
        <v>2</v>
      </c>
      <c r="F57" s="157">
        <v>8</v>
      </c>
      <c r="G57" s="159"/>
      <c r="H57" s="157">
        <v>12</v>
      </c>
      <c r="I57" s="159"/>
      <c r="J57" s="157">
        <v>9</v>
      </c>
      <c r="K57" s="159"/>
      <c r="L57" s="164" t="s">
        <v>223</v>
      </c>
      <c r="M57" s="163">
        <f>SUM(F57:K83)/COUNT(F57:K83)/1.5</f>
        <v>6.6337448559670777</v>
      </c>
      <c r="N57" s="162"/>
      <c r="P57">
        <f>AVERAGE(F57,H57,J57)</f>
        <v>9.6666666666666661</v>
      </c>
    </row>
    <row r="58" spans="2:18" ht="33" customHeight="1" x14ac:dyDescent="0.25">
      <c r="B58" s="165"/>
      <c r="C58" s="165"/>
      <c r="D58" s="161"/>
      <c r="E58" s="158">
        <v>3</v>
      </c>
      <c r="F58" s="157">
        <v>6</v>
      </c>
      <c r="G58" s="159"/>
      <c r="H58" s="157">
        <v>9</v>
      </c>
      <c r="I58" s="159"/>
      <c r="J58" s="157">
        <v>6</v>
      </c>
      <c r="K58" s="159"/>
      <c r="P58">
        <f>AVERAGE(F58,H58,J58)</f>
        <v>7</v>
      </c>
    </row>
    <row r="59" spans="2:18" ht="33" customHeight="1" x14ac:dyDescent="0.25">
      <c r="B59" s="161"/>
      <c r="C59" s="161"/>
      <c r="D59" s="161"/>
      <c r="E59" s="158">
        <v>4</v>
      </c>
      <c r="F59" s="157">
        <v>4</v>
      </c>
      <c r="G59" s="159"/>
      <c r="H59" s="157">
        <v>11</v>
      </c>
      <c r="I59" s="159"/>
      <c r="J59" s="157">
        <v>6</v>
      </c>
      <c r="K59" s="159"/>
      <c r="P59">
        <f>AVERAGE(F59,H59,J59)</f>
        <v>7</v>
      </c>
    </row>
    <row r="60" spans="2:18" ht="33" customHeight="1" x14ac:dyDescent="0.25">
      <c r="B60" s="161"/>
      <c r="C60" s="161"/>
      <c r="D60" s="161"/>
      <c r="E60" s="158">
        <v>5</v>
      </c>
      <c r="F60" s="159"/>
      <c r="G60" s="157">
        <v>15</v>
      </c>
      <c r="H60" s="159"/>
      <c r="I60" s="157">
        <v>16</v>
      </c>
      <c r="J60" s="159"/>
      <c r="K60" s="157">
        <v>14</v>
      </c>
      <c r="P60">
        <f>AVERAGE(G60,I60,K60)</f>
        <v>15</v>
      </c>
    </row>
    <row r="61" spans="2:18" ht="33" customHeight="1" x14ac:dyDescent="0.25">
      <c r="B61" s="161"/>
      <c r="C61" s="161"/>
      <c r="D61" s="161"/>
      <c r="E61" s="158">
        <v>6</v>
      </c>
      <c r="F61" s="159"/>
      <c r="G61" s="157">
        <v>17</v>
      </c>
      <c r="H61" s="159"/>
      <c r="I61" s="157">
        <v>16</v>
      </c>
      <c r="J61" s="159"/>
      <c r="K61" s="157">
        <v>18</v>
      </c>
      <c r="P61">
        <f>AVERAGE(G61,I61,K61)</f>
        <v>17</v>
      </c>
    </row>
    <row r="62" spans="2:18" ht="33" customHeight="1" x14ac:dyDescent="0.25">
      <c r="B62" s="161"/>
      <c r="C62" s="161"/>
      <c r="D62" s="161"/>
      <c r="E62" s="158">
        <v>7</v>
      </c>
      <c r="F62" s="159"/>
      <c r="G62" s="157">
        <v>13</v>
      </c>
      <c r="H62" s="159"/>
      <c r="I62" s="157">
        <v>10</v>
      </c>
      <c r="J62" s="159"/>
      <c r="K62" s="157">
        <v>12</v>
      </c>
      <c r="P62">
        <f>AVERAGE(G62,I62,K62)</f>
        <v>11.666666666666666</v>
      </c>
    </row>
    <row r="63" spans="2:18" ht="33" customHeight="1" x14ac:dyDescent="0.25">
      <c r="B63" s="161"/>
      <c r="C63" s="161"/>
      <c r="D63" s="161"/>
      <c r="E63" s="158">
        <v>8</v>
      </c>
      <c r="F63" s="159"/>
      <c r="G63" s="157">
        <v>5</v>
      </c>
      <c r="H63" s="159"/>
      <c r="I63" s="157">
        <v>3</v>
      </c>
      <c r="J63" s="159"/>
      <c r="K63" s="157">
        <v>1</v>
      </c>
      <c r="P63">
        <f>AVERAGE(G63,I63,K63)</f>
        <v>3</v>
      </c>
    </row>
    <row r="64" spans="2:18" ht="33" customHeight="1" x14ac:dyDescent="0.25">
      <c r="B64" s="161"/>
      <c r="C64" s="161"/>
      <c r="D64" s="161"/>
      <c r="E64" s="158">
        <v>9</v>
      </c>
      <c r="F64" s="157">
        <v>13</v>
      </c>
      <c r="G64" s="159"/>
      <c r="H64" s="157">
        <v>9</v>
      </c>
      <c r="I64" s="159"/>
      <c r="J64" s="157">
        <v>13</v>
      </c>
      <c r="K64" s="159"/>
      <c r="P64">
        <f>AVERAGE(F64,H64,J64)</f>
        <v>11.666666666666666</v>
      </c>
    </row>
    <row r="65" spans="2:16" ht="33" customHeight="1" x14ac:dyDescent="0.25">
      <c r="B65" s="161"/>
      <c r="C65" s="161"/>
      <c r="D65" s="161"/>
      <c r="E65" s="158">
        <v>10</v>
      </c>
      <c r="F65" s="157">
        <v>9</v>
      </c>
      <c r="G65" s="159"/>
      <c r="H65" s="157">
        <v>10</v>
      </c>
      <c r="I65" s="159"/>
      <c r="J65" s="157">
        <v>10</v>
      </c>
      <c r="K65" s="159"/>
      <c r="P65">
        <f>AVERAGE(F65,H65,J65)</f>
        <v>9.6666666666666661</v>
      </c>
    </row>
    <row r="66" spans="2:16" ht="33" customHeight="1" x14ac:dyDescent="0.25">
      <c r="B66" s="161"/>
      <c r="C66" s="161"/>
      <c r="D66" s="161"/>
      <c r="E66" s="158">
        <v>11</v>
      </c>
      <c r="F66" s="157">
        <v>7</v>
      </c>
      <c r="G66" s="159"/>
      <c r="H66" s="157">
        <v>7</v>
      </c>
      <c r="I66" s="159"/>
      <c r="J66" s="157">
        <v>3</v>
      </c>
      <c r="K66" s="159"/>
      <c r="P66">
        <f>AVERAGE(F66,H66,J66)</f>
        <v>5.666666666666667</v>
      </c>
    </row>
    <row r="67" spans="2:16" ht="33" customHeight="1" x14ac:dyDescent="0.25">
      <c r="B67" s="161"/>
      <c r="C67" s="161"/>
      <c r="D67" s="161"/>
      <c r="E67" s="158">
        <v>12</v>
      </c>
      <c r="F67" s="157">
        <v>8</v>
      </c>
      <c r="G67" s="159"/>
      <c r="H67" s="157">
        <v>13</v>
      </c>
      <c r="I67" s="159"/>
      <c r="J67" s="157">
        <v>7</v>
      </c>
      <c r="K67" s="159"/>
      <c r="P67">
        <f>AVERAGE(F67,H67,J67)</f>
        <v>9.3333333333333339</v>
      </c>
    </row>
    <row r="68" spans="2:16" ht="33" customHeight="1" x14ac:dyDescent="0.25">
      <c r="B68" s="161"/>
      <c r="C68" s="161"/>
      <c r="D68" s="161"/>
      <c r="E68" s="158">
        <v>13</v>
      </c>
      <c r="F68" s="159"/>
      <c r="G68" s="157">
        <v>20</v>
      </c>
      <c r="H68" s="159"/>
      <c r="I68" s="157">
        <v>24</v>
      </c>
      <c r="J68" s="159"/>
      <c r="K68" s="157">
        <v>13</v>
      </c>
      <c r="P68">
        <f>AVERAGE(G68,I68,K68)</f>
        <v>19</v>
      </c>
    </row>
    <row r="69" spans="2:16" ht="33" customHeight="1" x14ac:dyDescent="0.25">
      <c r="B69" s="161"/>
      <c r="C69" s="161"/>
      <c r="D69" s="161"/>
      <c r="E69" s="158">
        <v>14</v>
      </c>
      <c r="F69" s="159"/>
      <c r="G69" s="157">
        <v>15</v>
      </c>
      <c r="H69" s="159"/>
      <c r="I69" s="157">
        <v>10</v>
      </c>
      <c r="J69" s="159"/>
      <c r="K69" s="157">
        <v>14</v>
      </c>
      <c r="P69">
        <f>AVERAGE(G69,I69,K69)</f>
        <v>13</v>
      </c>
    </row>
    <row r="70" spans="2:16" ht="33" customHeight="1" x14ac:dyDescent="0.25">
      <c r="B70" s="161"/>
      <c r="C70" s="161"/>
      <c r="D70" s="161"/>
      <c r="E70" s="158">
        <v>15</v>
      </c>
      <c r="F70" s="159"/>
      <c r="G70" s="157">
        <v>12</v>
      </c>
      <c r="H70" s="159"/>
      <c r="I70" s="157">
        <v>10</v>
      </c>
      <c r="J70" s="159"/>
      <c r="K70" s="157">
        <v>13</v>
      </c>
      <c r="P70">
        <f>AVERAGE(G70,I70,K70)</f>
        <v>11.666666666666666</v>
      </c>
    </row>
    <row r="71" spans="2:16" ht="33" customHeight="1" x14ac:dyDescent="0.25">
      <c r="B71" s="161"/>
      <c r="C71" s="161"/>
      <c r="D71" s="161"/>
      <c r="E71" s="158">
        <v>16</v>
      </c>
      <c r="F71" s="159"/>
      <c r="G71" s="157">
        <v>11</v>
      </c>
      <c r="H71" s="159"/>
      <c r="I71" s="157">
        <v>9</v>
      </c>
      <c r="J71" s="159"/>
      <c r="K71" s="157">
        <v>8</v>
      </c>
      <c r="P71">
        <f>AVERAGE(G71,I71,K71)</f>
        <v>9.3333333333333339</v>
      </c>
    </row>
    <row r="72" spans="2:16" ht="33" customHeight="1" x14ac:dyDescent="0.25">
      <c r="B72" s="161"/>
      <c r="C72" s="161"/>
      <c r="D72" s="161"/>
      <c r="E72" s="158">
        <v>17</v>
      </c>
      <c r="F72" s="157">
        <v>12</v>
      </c>
      <c r="G72" s="159"/>
      <c r="H72" s="157">
        <v>13</v>
      </c>
      <c r="I72" s="159"/>
      <c r="J72" s="157">
        <v>7</v>
      </c>
      <c r="K72" s="159"/>
      <c r="P72">
        <f>AVERAGE(F72,H72,J72)</f>
        <v>10.666666666666666</v>
      </c>
    </row>
    <row r="73" spans="2:16" ht="33" customHeight="1" x14ac:dyDescent="0.25">
      <c r="B73" s="161"/>
      <c r="C73" s="161"/>
      <c r="D73" s="161"/>
      <c r="E73" s="158">
        <v>18</v>
      </c>
      <c r="F73" s="157">
        <v>7</v>
      </c>
      <c r="G73" s="159"/>
      <c r="H73" s="157">
        <v>13</v>
      </c>
      <c r="I73" s="159"/>
      <c r="J73" s="157">
        <v>11</v>
      </c>
      <c r="K73" s="159"/>
      <c r="P73">
        <f>AVERAGE(F73,H73,J73)</f>
        <v>10.333333333333334</v>
      </c>
    </row>
    <row r="74" spans="2:16" ht="33" customHeight="1" x14ac:dyDescent="0.25">
      <c r="B74" s="161"/>
      <c r="C74" s="161"/>
      <c r="D74" s="161"/>
      <c r="E74" s="158">
        <v>19</v>
      </c>
      <c r="F74" s="157">
        <v>5</v>
      </c>
      <c r="G74" s="159"/>
      <c r="H74" s="157">
        <v>6</v>
      </c>
      <c r="I74" s="159"/>
      <c r="J74" s="157">
        <v>7</v>
      </c>
      <c r="K74" s="159"/>
      <c r="P74">
        <f>AVERAGE(F74,H74,J74)</f>
        <v>6</v>
      </c>
    </row>
    <row r="75" spans="2:16" ht="33" customHeight="1" x14ac:dyDescent="0.25">
      <c r="B75" s="161"/>
      <c r="C75" s="161"/>
      <c r="D75" s="161"/>
      <c r="E75" s="158">
        <v>20</v>
      </c>
      <c r="F75" s="157">
        <v>7</v>
      </c>
      <c r="G75" s="159"/>
      <c r="H75" s="157">
        <v>17</v>
      </c>
      <c r="I75" s="159"/>
      <c r="J75" s="157">
        <v>14</v>
      </c>
      <c r="K75" s="159"/>
      <c r="P75">
        <f>AVERAGE(F75,H75,J75)</f>
        <v>12.666666666666666</v>
      </c>
    </row>
    <row r="76" spans="2:16" ht="33" customHeight="1" x14ac:dyDescent="0.25">
      <c r="B76" s="161"/>
      <c r="C76" s="161"/>
      <c r="D76" s="161"/>
      <c r="E76" s="158">
        <v>21</v>
      </c>
      <c r="F76" s="160" t="s">
        <v>229</v>
      </c>
      <c r="G76" s="157">
        <v>14</v>
      </c>
      <c r="H76" s="160" t="s">
        <v>229</v>
      </c>
      <c r="I76" s="157">
        <v>15</v>
      </c>
      <c r="J76" s="160" t="s">
        <v>229</v>
      </c>
      <c r="K76" s="157">
        <v>15</v>
      </c>
      <c r="P76">
        <f>AVERAGE(G76,I76,K76)</f>
        <v>14.666666666666666</v>
      </c>
    </row>
    <row r="77" spans="2:16" ht="33" customHeight="1" x14ac:dyDescent="0.25">
      <c r="B77" s="161"/>
      <c r="C77" s="161"/>
      <c r="D77" s="161"/>
      <c r="E77" s="158">
        <v>22</v>
      </c>
      <c r="F77" s="159"/>
      <c r="G77" s="157">
        <v>15</v>
      </c>
      <c r="H77" s="159"/>
      <c r="I77" s="157">
        <v>16</v>
      </c>
      <c r="J77" s="159"/>
      <c r="K77" s="157">
        <v>26</v>
      </c>
      <c r="P77">
        <f>AVERAGE(G77,I77,K77)</f>
        <v>19</v>
      </c>
    </row>
    <row r="78" spans="2:16" ht="33" customHeight="1" x14ac:dyDescent="0.25">
      <c r="B78" s="161"/>
      <c r="C78" s="161"/>
      <c r="D78" s="161"/>
      <c r="E78" s="158">
        <v>23</v>
      </c>
      <c r="F78" s="159"/>
      <c r="G78" s="157">
        <v>6</v>
      </c>
      <c r="H78" s="159"/>
      <c r="I78" s="157">
        <v>11</v>
      </c>
      <c r="J78" s="159"/>
      <c r="K78" s="157">
        <v>6</v>
      </c>
      <c r="P78">
        <f>AVERAGE(G78,I78,K78)</f>
        <v>7.666666666666667</v>
      </c>
    </row>
    <row r="79" spans="2:16" ht="33" customHeight="1" x14ac:dyDescent="0.25">
      <c r="B79" s="161"/>
      <c r="C79" s="161"/>
      <c r="D79" s="161"/>
      <c r="E79" s="158">
        <v>24</v>
      </c>
      <c r="F79" s="159"/>
      <c r="G79" s="157">
        <v>4</v>
      </c>
      <c r="H79" s="159"/>
      <c r="I79" s="157">
        <v>6</v>
      </c>
      <c r="J79" s="159"/>
      <c r="K79" s="157">
        <v>0</v>
      </c>
      <c r="P79">
        <f>AVERAGE(G79,I79,K79)</f>
        <v>3.3333333333333335</v>
      </c>
    </row>
    <row r="80" spans="2:16" ht="33" customHeight="1" x14ac:dyDescent="0.25">
      <c r="B80" s="161"/>
      <c r="C80" s="161"/>
      <c r="D80" s="161"/>
      <c r="E80" s="158">
        <v>25</v>
      </c>
      <c r="F80" s="157">
        <v>8</v>
      </c>
      <c r="G80" s="159"/>
      <c r="H80" s="157">
        <v>8</v>
      </c>
      <c r="I80" s="159"/>
      <c r="J80" s="157">
        <v>10</v>
      </c>
      <c r="K80" s="159"/>
      <c r="P80">
        <f>AVERAGE(F80,H80,J80)</f>
        <v>8.6666666666666661</v>
      </c>
    </row>
    <row r="81" spans="2:18" ht="33" customHeight="1" x14ac:dyDescent="0.25">
      <c r="B81" s="161"/>
      <c r="C81" s="161"/>
      <c r="D81" s="161"/>
      <c r="E81" s="158">
        <v>26</v>
      </c>
      <c r="F81" s="157">
        <v>7</v>
      </c>
      <c r="G81" s="159"/>
      <c r="H81" s="157">
        <v>8</v>
      </c>
      <c r="I81" s="159"/>
      <c r="J81" s="157">
        <v>10</v>
      </c>
      <c r="K81" s="159"/>
      <c r="P81">
        <f>AVERAGE(F81,H81,J81)</f>
        <v>8.3333333333333339</v>
      </c>
    </row>
    <row r="82" spans="2:18" ht="33" customHeight="1" x14ac:dyDescent="0.25">
      <c r="B82" s="161"/>
      <c r="C82" s="161"/>
      <c r="D82" s="161"/>
      <c r="E82" s="158">
        <v>27</v>
      </c>
      <c r="F82" s="157">
        <v>0</v>
      </c>
      <c r="G82" s="159"/>
      <c r="H82" s="157">
        <v>3</v>
      </c>
      <c r="I82" s="159"/>
      <c r="J82" s="157">
        <v>2</v>
      </c>
      <c r="K82" s="159"/>
      <c r="P82">
        <f>AVERAGE(F82,H82,J82)</f>
        <v>1.6666666666666667</v>
      </c>
    </row>
    <row r="83" spans="2:18" ht="33" customHeight="1" thickBot="1" x14ac:dyDescent="0.3">
      <c r="B83" s="161"/>
      <c r="C83" s="161"/>
      <c r="D83" s="161"/>
      <c r="E83" s="176">
        <v>28</v>
      </c>
      <c r="F83" s="157">
        <v>6</v>
      </c>
      <c r="G83" s="159"/>
      <c r="H83" s="157">
        <v>4</v>
      </c>
      <c r="I83" s="159"/>
      <c r="J83" s="157">
        <v>8</v>
      </c>
      <c r="K83" s="159"/>
      <c r="P83">
        <f>AVERAGE(F83,H83,J83)</f>
        <v>6</v>
      </c>
      <c r="R83" s="155">
        <f>AVERAGE(P57:P83)/(1.5*1.016)</f>
        <v>6.5292764330384641</v>
      </c>
    </row>
    <row r="84" spans="2:18" ht="33" customHeight="1" thickBot="1" x14ac:dyDescent="0.3">
      <c r="B84" s="192" t="s">
        <v>1</v>
      </c>
      <c r="C84" s="192" t="s">
        <v>8</v>
      </c>
      <c r="D84" s="192" t="s">
        <v>18</v>
      </c>
      <c r="E84" s="186"/>
      <c r="F84" s="185"/>
      <c r="G84" s="184"/>
      <c r="H84" s="184"/>
      <c r="I84" s="184"/>
      <c r="J84" s="184"/>
      <c r="K84" s="184"/>
    </row>
    <row r="85" spans="2:18" ht="33" customHeight="1" thickBot="1" x14ac:dyDescent="0.3">
      <c r="B85" s="183" t="s">
        <v>2</v>
      </c>
      <c r="C85" s="183" t="s">
        <v>9</v>
      </c>
      <c r="D85" s="183" t="s">
        <v>19</v>
      </c>
      <c r="E85" s="182"/>
      <c r="F85" s="181"/>
      <c r="G85" s="180"/>
      <c r="H85" s="180"/>
      <c r="I85" s="180"/>
      <c r="J85" s="180"/>
      <c r="K85" s="180"/>
    </row>
    <row r="86" spans="2:18" ht="33" customHeight="1" x14ac:dyDescent="0.25">
      <c r="B86" s="161" t="s">
        <v>2</v>
      </c>
      <c r="C86" s="161" t="s">
        <v>10</v>
      </c>
      <c r="D86" s="161" t="s">
        <v>15</v>
      </c>
      <c r="E86" s="177">
        <v>28</v>
      </c>
      <c r="F86" s="157">
        <v>12</v>
      </c>
      <c r="G86" s="159"/>
      <c r="H86" s="157">
        <v>8</v>
      </c>
      <c r="I86" s="159"/>
      <c r="J86" s="157">
        <v>6</v>
      </c>
      <c r="K86" s="191"/>
      <c r="L86" s="190" t="s">
        <v>2</v>
      </c>
      <c r="M86" s="190" t="s">
        <v>10</v>
      </c>
      <c r="N86" s="190" t="s">
        <v>15</v>
      </c>
      <c r="P86">
        <f>AVERAGE(F86,H86,J86)</f>
        <v>8.6666666666666661</v>
      </c>
    </row>
    <row r="87" spans="2:18" ht="33" customHeight="1" x14ac:dyDescent="0.25">
      <c r="B87" s="188">
        <v>41781</v>
      </c>
      <c r="C87" s="165"/>
      <c r="D87" s="161"/>
      <c r="E87" s="158">
        <v>29</v>
      </c>
      <c r="F87" s="157">
        <v>14</v>
      </c>
      <c r="G87" s="159"/>
      <c r="H87" s="157">
        <v>7</v>
      </c>
      <c r="I87" s="159"/>
      <c r="J87" s="157">
        <v>12</v>
      </c>
      <c r="K87" s="159"/>
      <c r="L87" s="164" t="s">
        <v>223</v>
      </c>
      <c r="M87" s="163">
        <f>SUM(F86:K110)/COUNT(F86:K110)/1.5</f>
        <v>6.9244444444444442</v>
      </c>
      <c r="N87" s="162"/>
      <c r="P87">
        <f>AVERAGE(F87,H87,J87)</f>
        <v>11</v>
      </c>
    </row>
    <row r="88" spans="2:18" ht="33" customHeight="1" x14ac:dyDescent="0.25">
      <c r="B88" s="165"/>
      <c r="C88" s="165"/>
      <c r="D88" s="161"/>
      <c r="E88" s="158">
        <v>30</v>
      </c>
      <c r="F88" s="157">
        <v>9</v>
      </c>
      <c r="G88" s="159"/>
      <c r="H88" s="157">
        <v>11</v>
      </c>
      <c r="I88" s="159"/>
      <c r="J88" s="157">
        <v>6</v>
      </c>
      <c r="K88" s="159"/>
      <c r="P88">
        <f>AVERAGE(F88,H88,J88)</f>
        <v>8.6666666666666661</v>
      </c>
    </row>
    <row r="89" spans="2:18" ht="33" customHeight="1" x14ac:dyDescent="0.25">
      <c r="B89" s="161"/>
      <c r="C89" s="161"/>
      <c r="D89" s="161"/>
      <c r="E89" s="177">
        <v>31</v>
      </c>
      <c r="F89" s="157">
        <v>10</v>
      </c>
      <c r="G89" s="159"/>
      <c r="H89" s="157">
        <v>15</v>
      </c>
      <c r="I89" s="159"/>
      <c r="J89" s="157">
        <v>11</v>
      </c>
      <c r="K89" s="159"/>
      <c r="P89">
        <f>AVERAGE(F89,H89,J89)</f>
        <v>12</v>
      </c>
    </row>
    <row r="90" spans="2:18" ht="33" customHeight="1" x14ac:dyDescent="0.25">
      <c r="B90" s="161"/>
      <c r="C90" s="161"/>
      <c r="D90" s="161"/>
      <c r="E90" s="158">
        <v>32</v>
      </c>
      <c r="F90" s="159"/>
      <c r="G90" s="157">
        <v>13</v>
      </c>
      <c r="H90" s="159"/>
      <c r="I90" s="157">
        <v>13</v>
      </c>
      <c r="J90" s="159"/>
      <c r="K90" s="157">
        <v>10</v>
      </c>
      <c r="P90">
        <f>AVERAGE(G90,I90,K90)</f>
        <v>12</v>
      </c>
    </row>
    <row r="91" spans="2:18" ht="33" customHeight="1" x14ac:dyDescent="0.25">
      <c r="B91" s="161"/>
      <c r="C91" s="161"/>
      <c r="D91" s="161"/>
      <c r="E91" s="158">
        <v>33</v>
      </c>
      <c r="F91" s="159"/>
      <c r="G91" s="157">
        <v>12</v>
      </c>
      <c r="H91" s="159"/>
      <c r="I91" s="157">
        <v>16</v>
      </c>
      <c r="J91" s="159"/>
      <c r="K91" s="157">
        <v>15</v>
      </c>
      <c r="P91">
        <f>AVERAGE(G91,I91,K91)</f>
        <v>14.333333333333334</v>
      </c>
    </row>
    <row r="92" spans="2:18" ht="33" customHeight="1" x14ac:dyDescent="0.25">
      <c r="B92" s="161"/>
      <c r="C92" s="161"/>
      <c r="D92" s="161"/>
      <c r="E92" s="177">
        <v>34</v>
      </c>
      <c r="F92" s="159"/>
      <c r="G92" s="157">
        <v>11</v>
      </c>
      <c r="H92" s="159"/>
      <c r="I92" s="157">
        <v>12</v>
      </c>
      <c r="J92" s="159"/>
      <c r="K92" s="157">
        <v>3</v>
      </c>
      <c r="P92">
        <f>AVERAGE(G92,I92,K92)</f>
        <v>8.6666666666666661</v>
      </c>
    </row>
    <row r="93" spans="2:18" ht="33" customHeight="1" x14ac:dyDescent="0.25">
      <c r="B93" s="161"/>
      <c r="C93" s="161"/>
      <c r="D93" s="161"/>
      <c r="E93" s="158">
        <v>35</v>
      </c>
      <c r="F93" s="159"/>
      <c r="G93" s="157">
        <v>7</v>
      </c>
      <c r="H93" s="159"/>
      <c r="I93" s="157">
        <v>16</v>
      </c>
      <c r="J93" s="159"/>
      <c r="K93" s="157">
        <v>11</v>
      </c>
      <c r="P93">
        <f>AVERAGE(G93,I93,K93)</f>
        <v>11.333333333333334</v>
      </c>
    </row>
    <row r="94" spans="2:18" ht="33" customHeight="1" x14ac:dyDescent="0.25">
      <c r="B94" s="161"/>
      <c r="C94" s="161"/>
      <c r="D94" s="161"/>
      <c r="E94" s="158">
        <v>36</v>
      </c>
      <c r="F94" s="157">
        <v>9</v>
      </c>
      <c r="G94" s="159"/>
      <c r="H94" s="157">
        <v>10</v>
      </c>
      <c r="I94" s="159"/>
      <c r="J94" s="157">
        <v>6</v>
      </c>
      <c r="K94" s="159"/>
      <c r="P94">
        <f>AVERAGE(F94,H94,J94)</f>
        <v>8.3333333333333339</v>
      </c>
    </row>
    <row r="95" spans="2:18" ht="33" customHeight="1" x14ac:dyDescent="0.25">
      <c r="B95" s="161"/>
      <c r="C95" s="161"/>
      <c r="D95" s="161"/>
      <c r="E95" s="177">
        <v>37</v>
      </c>
      <c r="F95" s="157">
        <v>13</v>
      </c>
      <c r="G95" s="159"/>
      <c r="H95" s="157">
        <v>11</v>
      </c>
      <c r="I95" s="159"/>
      <c r="J95" s="157">
        <v>8</v>
      </c>
      <c r="K95" s="159"/>
      <c r="P95">
        <f>AVERAGE(F95,H95,J95)</f>
        <v>10.666666666666666</v>
      </c>
    </row>
    <row r="96" spans="2:18" ht="33" customHeight="1" x14ac:dyDescent="0.25">
      <c r="B96" s="161"/>
      <c r="C96" s="161"/>
      <c r="D96" s="161"/>
      <c r="E96" s="158">
        <v>38</v>
      </c>
      <c r="F96" s="157">
        <v>9</v>
      </c>
      <c r="G96" s="159"/>
      <c r="H96" s="157">
        <v>6</v>
      </c>
      <c r="I96" s="159"/>
      <c r="J96" s="157">
        <v>9</v>
      </c>
      <c r="K96" s="159"/>
      <c r="P96">
        <f>AVERAGE(F96,H96,J96)</f>
        <v>8</v>
      </c>
    </row>
    <row r="97" spans="2:18" ht="33" customHeight="1" x14ac:dyDescent="0.25">
      <c r="B97" s="161"/>
      <c r="C97" s="161"/>
      <c r="D97" s="161"/>
      <c r="E97" s="158">
        <v>39</v>
      </c>
      <c r="F97" s="157">
        <v>11</v>
      </c>
      <c r="G97" s="159"/>
      <c r="H97" s="157">
        <v>12</v>
      </c>
      <c r="I97" s="159"/>
      <c r="J97" s="157">
        <v>8</v>
      </c>
      <c r="K97" s="159"/>
      <c r="P97">
        <f>AVERAGE(F97,H97,J97)</f>
        <v>10.333333333333334</v>
      </c>
    </row>
    <row r="98" spans="2:18" ht="33" customHeight="1" x14ac:dyDescent="0.25">
      <c r="B98" s="161"/>
      <c r="C98" s="161"/>
      <c r="D98" s="161"/>
      <c r="E98" s="177">
        <v>40</v>
      </c>
      <c r="F98" s="159"/>
      <c r="G98" s="157">
        <v>11</v>
      </c>
      <c r="H98" s="159"/>
      <c r="I98" s="157">
        <v>11</v>
      </c>
      <c r="J98" s="159"/>
      <c r="K98" s="157">
        <v>7</v>
      </c>
      <c r="P98">
        <f>AVERAGE(G98,I98,K98)</f>
        <v>9.6666666666666661</v>
      </c>
    </row>
    <row r="99" spans="2:18" ht="33" customHeight="1" x14ac:dyDescent="0.25">
      <c r="B99" s="161"/>
      <c r="C99" s="161"/>
      <c r="D99" s="161"/>
      <c r="E99" s="158">
        <v>41</v>
      </c>
      <c r="F99" s="159"/>
      <c r="G99" s="157">
        <v>12</v>
      </c>
      <c r="H99" s="159"/>
      <c r="I99" s="157">
        <v>17</v>
      </c>
      <c r="J99" s="159"/>
      <c r="K99" s="157">
        <v>15</v>
      </c>
      <c r="P99">
        <f>AVERAGE(G99,I99,K99)</f>
        <v>14.666666666666666</v>
      </c>
    </row>
    <row r="100" spans="2:18" ht="33" customHeight="1" x14ac:dyDescent="0.25">
      <c r="B100" s="161"/>
      <c r="C100" s="161"/>
      <c r="D100" s="161"/>
      <c r="E100" s="158">
        <v>42</v>
      </c>
      <c r="F100" s="159"/>
      <c r="G100" s="157">
        <v>12</v>
      </c>
      <c r="H100" s="159"/>
      <c r="I100" s="157">
        <v>10</v>
      </c>
      <c r="J100" s="159"/>
      <c r="K100" s="157">
        <v>12</v>
      </c>
      <c r="P100">
        <f>AVERAGE(G100,I100,K100)</f>
        <v>11.333333333333334</v>
      </c>
    </row>
    <row r="101" spans="2:18" ht="33" customHeight="1" x14ac:dyDescent="0.25">
      <c r="B101" s="161"/>
      <c r="C101" s="161"/>
      <c r="D101" s="161"/>
      <c r="E101" s="177">
        <v>43</v>
      </c>
      <c r="F101" s="159"/>
      <c r="G101" s="157">
        <v>7</v>
      </c>
      <c r="H101" s="159"/>
      <c r="I101" s="157">
        <v>10</v>
      </c>
      <c r="J101" s="159"/>
      <c r="K101" s="157">
        <v>10</v>
      </c>
      <c r="P101">
        <f>AVERAGE(G101,I101,K101)</f>
        <v>9</v>
      </c>
    </row>
    <row r="102" spans="2:18" ht="33" customHeight="1" x14ac:dyDescent="0.25">
      <c r="B102" s="161"/>
      <c r="C102" s="161"/>
      <c r="D102" s="161"/>
      <c r="E102" s="158">
        <v>44</v>
      </c>
      <c r="F102" s="157">
        <v>12</v>
      </c>
      <c r="G102" s="159"/>
      <c r="H102" s="157">
        <v>8</v>
      </c>
      <c r="I102" s="159"/>
      <c r="J102" s="157">
        <v>7</v>
      </c>
      <c r="K102" s="159"/>
      <c r="P102">
        <f>AVERAGE(F102,H102,J102)</f>
        <v>9</v>
      </c>
    </row>
    <row r="103" spans="2:18" ht="33" customHeight="1" x14ac:dyDescent="0.25">
      <c r="B103" s="161"/>
      <c r="C103" s="161"/>
      <c r="D103" s="161"/>
      <c r="E103" s="158">
        <v>45</v>
      </c>
      <c r="F103" s="157">
        <v>7</v>
      </c>
      <c r="G103" s="159"/>
      <c r="H103" s="157">
        <v>10</v>
      </c>
      <c r="I103" s="159"/>
      <c r="J103" s="157">
        <v>10</v>
      </c>
      <c r="K103" s="159"/>
      <c r="P103">
        <f>AVERAGE(F103,H103,J103)</f>
        <v>9</v>
      </c>
    </row>
    <row r="104" spans="2:18" ht="33" customHeight="1" x14ac:dyDescent="0.25">
      <c r="B104" s="161"/>
      <c r="C104" s="161"/>
      <c r="D104" s="161"/>
      <c r="E104" s="177">
        <v>46</v>
      </c>
      <c r="F104" s="157">
        <v>10</v>
      </c>
      <c r="G104" s="159"/>
      <c r="H104" s="157">
        <v>9</v>
      </c>
      <c r="I104" s="159"/>
      <c r="J104" s="157">
        <v>10</v>
      </c>
      <c r="K104" s="159"/>
      <c r="P104">
        <f>AVERAGE(F104,H104,J104)</f>
        <v>9.6666666666666661</v>
      </c>
    </row>
    <row r="105" spans="2:18" ht="33" customHeight="1" x14ac:dyDescent="0.25">
      <c r="B105" s="161"/>
      <c r="C105" s="161"/>
      <c r="D105" s="161"/>
      <c r="E105" s="158">
        <v>47</v>
      </c>
      <c r="F105" s="157">
        <v>9</v>
      </c>
      <c r="G105" s="159"/>
      <c r="H105" s="157">
        <v>14</v>
      </c>
      <c r="I105" s="159"/>
      <c r="J105" s="157">
        <v>8</v>
      </c>
      <c r="K105" s="159"/>
      <c r="P105">
        <f>AVERAGE(F105,H105,J105)</f>
        <v>10.333333333333334</v>
      </c>
    </row>
    <row r="106" spans="2:18" ht="33" customHeight="1" x14ac:dyDescent="0.25">
      <c r="B106" s="161"/>
      <c r="C106" s="161"/>
      <c r="D106" s="161"/>
      <c r="E106" s="158">
        <v>48</v>
      </c>
      <c r="F106" s="160" t="s">
        <v>229</v>
      </c>
      <c r="G106" s="157">
        <v>12</v>
      </c>
      <c r="H106" s="160" t="s">
        <v>229</v>
      </c>
      <c r="I106" s="157">
        <v>4</v>
      </c>
      <c r="J106" s="160" t="s">
        <v>229</v>
      </c>
      <c r="K106" s="157">
        <v>11</v>
      </c>
      <c r="P106">
        <f>AVERAGE(G106,I106,K106)</f>
        <v>9</v>
      </c>
    </row>
    <row r="107" spans="2:18" ht="33" customHeight="1" x14ac:dyDescent="0.25">
      <c r="B107" s="161"/>
      <c r="C107" s="161"/>
      <c r="D107" s="161"/>
      <c r="E107" s="177">
        <v>49</v>
      </c>
      <c r="F107" s="159"/>
      <c r="G107" s="157">
        <v>13</v>
      </c>
      <c r="H107" s="159"/>
      <c r="I107" s="157">
        <v>16</v>
      </c>
      <c r="J107" s="159"/>
      <c r="K107" s="157">
        <v>7</v>
      </c>
      <c r="P107">
        <f>AVERAGE(G107,I107,K107)</f>
        <v>12</v>
      </c>
    </row>
    <row r="108" spans="2:18" ht="33" customHeight="1" x14ac:dyDescent="0.25">
      <c r="B108" s="161"/>
      <c r="C108" s="161"/>
      <c r="D108" s="161"/>
      <c r="E108" s="158">
        <v>50</v>
      </c>
      <c r="F108" s="159"/>
      <c r="G108" s="157">
        <v>14</v>
      </c>
      <c r="H108" s="159"/>
      <c r="I108" s="157">
        <v>10</v>
      </c>
      <c r="J108" s="159"/>
      <c r="K108" s="157">
        <v>7</v>
      </c>
      <c r="P108">
        <f>AVERAGE(G108,I108,K108)</f>
        <v>10.333333333333334</v>
      </c>
    </row>
    <row r="109" spans="2:18" ht="33" customHeight="1" x14ac:dyDescent="0.25">
      <c r="B109" s="161"/>
      <c r="C109" s="161"/>
      <c r="D109" s="161"/>
      <c r="E109" s="158">
        <v>51</v>
      </c>
      <c r="F109" s="159"/>
      <c r="G109" s="157">
        <v>14</v>
      </c>
      <c r="H109" s="159"/>
      <c r="I109" s="157">
        <v>10</v>
      </c>
      <c r="J109" s="159"/>
      <c r="K109" s="157">
        <v>11</v>
      </c>
      <c r="P109">
        <f>AVERAGE(G109,I109,K109)</f>
        <v>11.666666666666666</v>
      </c>
    </row>
    <row r="110" spans="2:18" ht="33" customHeight="1" thickBot="1" x14ac:dyDescent="0.3">
      <c r="B110" s="161"/>
      <c r="C110" s="161"/>
      <c r="D110" s="161"/>
      <c r="E110" s="177">
        <v>52</v>
      </c>
      <c r="F110" s="157">
        <v>8</v>
      </c>
      <c r="G110" s="159"/>
      <c r="H110" s="157">
        <v>7</v>
      </c>
      <c r="I110" s="159"/>
      <c r="J110" s="157">
        <v>15</v>
      </c>
      <c r="K110" s="159"/>
      <c r="P110">
        <f>AVERAGE(F110,H110,J110)</f>
        <v>10</v>
      </c>
    </row>
    <row r="111" spans="2:18" ht="33" customHeight="1" x14ac:dyDescent="0.25">
      <c r="B111" s="161"/>
      <c r="C111" s="161"/>
      <c r="D111" s="161"/>
      <c r="E111" s="158">
        <v>53</v>
      </c>
      <c r="F111" s="157">
        <v>0</v>
      </c>
      <c r="G111" s="254" t="s">
        <v>228</v>
      </c>
      <c r="H111" s="157">
        <v>0</v>
      </c>
      <c r="I111" s="254" t="s">
        <v>228</v>
      </c>
      <c r="J111" s="157">
        <v>1</v>
      </c>
      <c r="K111" s="254" t="s">
        <v>228</v>
      </c>
    </row>
    <row r="112" spans="2:18" ht="33" customHeight="1" thickBot="1" x14ac:dyDescent="0.3">
      <c r="B112" s="175"/>
      <c r="C112" s="175"/>
      <c r="D112" s="175"/>
      <c r="E112" s="174">
        <v>54</v>
      </c>
      <c r="F112" s="173">
        <v>0</v>
      </c>
      <c r="G112" s="255"/>
      <c r="H112" s="173">
        <v>0</v>
      </c>
      <c r="I112" s="255"/>
      <c r="J112" s="173">
        <v>0</v>
      </c>
      <c r="K112" s="255"/>
      <c r="R112" s="155">
        <f>AVERAGE(P86:P112)/(1.5*1.016)</f>
        <v>6.8153980752405934</v>
      </c>
    </row>
    <row r="113" spans="2:16" ht="33" customHeight="1" x14ac:dyDescent="0.25">
      <c r="B113" s="171" t="s">
        <v>3</v>
      </c>
      <c r="C113" s="171" t="s">
        <v>11</v>
      </c>
      <c r="D113" s="171" t="s">
        <v>17</v>
      </c>
      <c r="E113" s="170">
        <v>1</v>
      </c>
      <c r="F113" s="189">
        <v>0</v>
      </c>
      <c r="G113" s="168" t="s">
        <v>227</v>
      </c>
      <c r="H113" s="189">
        <v>0</v>
      </c>
      <c r="I113" s="168" t="s">
        <v>227</v>
      </c>
      <c r="J113" s="189">
        <v>0</v>
      </c>
      <c r="K113" s="168" t="s">
        <v>227</v>
      </c>
      <c r="L113" s="167" t="s">
        <v>3</v>
      </c>
      <c r="M113" s="167" t="s">
        <v>11</v>
      </c>
      <c r="N113" s="167" t="s">
        <v>17</v>
      </c>
    </row>
    <row r="114" spans="2:16" ht="33" customHeight="1" x14ac:dyDescent="0.25">
      <c r="B114" s="188">
        <v>41781</v>
      </c>
      <c r="C114" s="161"/>
      <c r="D114" s="161"/>
      <c r="E114" s="158">
        <v>2</v>
      </c>
      <c r="F114" s="157">
        <v>2</v>
      </c>
      <c r="G114" s="160" t="s">
        <v>221</v>
      </c>
      <c r="H114" s="157">
        <v>0</v>
      </c>
      <c r="I114" s="160" t="s">
        <v>221</v>
      </c>
      <c r="J114" s="157">
        <v>3</v>
      </c>
      <c r="K114" s="160" t="s">
        <v>221</v>
      </c>
      <c r="L114" s="164" t="s">
        <v>223</v>
      </c>
      <c r="M114" s="163">
        <f>SUM(F115:K140)/COUNT(F115:K140)/1.5</f>
        <v>6.8119658119658117</v>
      </c>
      <c r="N114" s="162"/>
      <c r="P114">
        <f>AVERAGE(F114,H114,J114)</f>
        <v>1.6666666666666667</v>
      </c>
    </row>
    <row r="115" spans="2:16" ht="33" customHeight="1" x14ac:dyDescent="0.25">
      <c r="B115" s="161"/>
      <c r="C115" s="161"/>
      <c r="D115" s="161"/>
      <c r="E115" s="158">
        <v>3</v>
      </c>
      <c r="F115" s="157">
        <v>13</v>
      </c>
      <c r="G115" s="159"/>
      <c r="H115" s="157">
        <v>13</v>
      </c>
      <c r="I115" s="159"/>
      <c r="J115" s="157">
        <v>10</v>
      </c>
      <c r="K115" s="159"/>
      <c r="P115">
        <f>AVERAGE(F115,H115,J115)</f>
        <v>12</v>
      </c>
    </row>
    <row r="116" spans="2:16" ht="33" customHeight="1" x14ac:dyDescent="0.25">
      <c r="B116" s="161"/>
      <c r="C116" s="161"/>
      <c r="D116" s="161"/>
      <c r="E116" s="158">
        <v>4</v>
      </c>
      <c r="F116" s="157">
        <v>16</v>
      </c>
      <c r="G116" s="159"/>
      <c r="H116" s="157">
        <v>14</v>
      </c>
      <c r="I116" s="159"/>
      <c r="J116" s="157">
        <v>11</v>
      </c>
      <c r="K116" s="159"/>
      <c r="P116">
        <f>AVERAGE(F116,H116,J116)</f>
        <v>13.666666666666666</v>
      </c>
    </row>
    <row r="117" spans="2:16" ht="33" customHeight="1" x14ac:dyDescent="0.25">
      <c r="B117" s="161"/>
      <c r="C117" s="161"/>
      <c r="D117" s="161"/>
      <c r="E117" s="158">
        <v>5</v>
      </c>
      <c r="F117" s="159"/>
      <c r="G117" s="157">
        <v>18</v>
      </c>
      <c r="H117" s="159"/>
      <c r="I117" s="157">
        <v>7</v>
      </c>
      <c r="J117" s="159"/>
      <c r="K117" s="157">
        <v>8</v>
      </c>
      <c r="P117">
        <f>AVERAGE(G117,I117,K117)</f>
        <v>11</v>
      </c>
    </row>
    <row r="118" spans="2:16" ht="33" customHeight="1" x14ac:dyDescent="0.25">
      <c r="B118" s="161"/>
      <c r="C118" s="161"/>
      <c r="D118" s="161"/>
      <c r="E118" s="158">
        <v>6</v>
      </c>
      <c r="F118" s="159"/>
      <c r="G118" s="157">
        <v>14</v>
      </c>
      <c r="H118" s="159"/>
      <c r="I118" s="157">
        <v>13</v>
      </c>
      <c r="J118" s="159"/>
      <c r="K118" s="157">
        <v>9</v>
      </c>
      <c r="P118">
        <f>AVERAGE(G118,I118,K118)</f>
        <v>12</v>
      </c>
    </row>
    <row r="119" spans="2:16" ht="33" customHeight="1" x14ac:dyDescent="0.25">
      <c r="B119" s="161"/>
      <c r="C119" s="161"/>
      <c r="D119" s="161"/>
      <c r="E119" s="158">
        <v>7</v>
      </c>
      <c r="F119" s="159"/>
      <c r="G119" s="157">
        <v>9</v>
      </c>
      <c r="H119" s="159"/>
      <c r="I119" s="157">
        <v>14</v>
      </c>
      <c r="J119" s="159"/>
      <c r="K119" s="157">
        <v>9</v>
      </c>
      <c r="P119">
        <f>AVERAGE(G119,I119,K119)</f>
        <v>10.666666666666666</v>
      </c>
    </row>
    <row r="120" spans="2:16" ht="33" customHeight="1" x14ac:dyDescent="0.25">
      <c r="B120" s="161"/>
      <c r="C120" s="161"/>
      <c r="D120" s="161"/>
      <c r="E120" s="158">
        <v>8</v>
      </c>
      <c r="F120" s="159"/>
      <c r="G120" s="157">
        <v>11</v>
      </c>
      <c r="H120" s="159"/>
      <c r="I120" s="157">
        <v>17</v>
      </c>
      <c r="J120" s="159"/>
      <c r="K120" s="157">
        <v>3</v>
      </c>
      <c r="P120">
        <f>AVERAGE(G120,I120,K120)</f>
        <v>10.333333333333334</v>
      </c>
    </row>
    <row r="121" spans="2:16" ht="33" customHeight="1" x14ac:dyDescent="0.25">
      <c r="B121" s="161"/>
      <c r="C121" s="161"/>
      <c r="D121" s="161"/>
      <c r="E121" s="158">
        <v>9</v>
      </c>
      <c r="F121" s="157">
        <v>16</v>
      </c>
      <c r="G121" s="159"/>
      <c r="H121" s="157">
        <v>19</v>
      </c>
      <c r="I121" s="159"/>
      <c r="J121" s="157">
        <v>8</v>
      </c>
      <c r="K121" s="159"/>
      <c r="P121">
        <f>AVERAGE(F121,H121,J121)</f>
        <v>14.333333333333334</v>
      </c>
    </row>
    <row r="122" spans="2:16" ht="33" customHeight="1" x14ac:dyDescent="0.25">
      <c r="B122" s="161"/>
      <c r="C122" s="161"/>
      <c r="D122" s="161"/>
      <c r="E122" s="158">
        <v>10</v>
      </c>
      <c r="F122" s="157">
        <v>1</v>
      </c>
      <c r="G122" s="159"/>
      <c r="H122" s="157">
        <v>8</v>
      </c>
      <c r="I122" s="159"/>
      <c r="J122" s="157">
        <v>11</v>
      </c>
      <c r="K122" s="159"/>
      <c r="P122">
        <f>AVERAGE(F122,H122,J122)</f>
        <v>6.666666666666667</v>
      </c>
    </row>
    <row r="123" spans="2:16" ht="33" customHeight="1" x14ac:dyDescent="0.25">
      <c r="B123" s="161"/>
      <c r="C123" s="161"/>
      <c r="D123" s="161"/>
      <c r="E123" s="158">
        <v>11</v>
      </c>
      <c r="F123" s="157">
        <v>7</v>
      </c>
      <c r="G123" s="159"/>
      <c r="H123" s="157">
        <v>11</v>
      </c>
      <c r="I123" s="159"/>
      <c r="J123" s="157">
        <v>10</v>
      </c>
      <c r="K123" s="159"/>
      <c r="P123">
        <f>AVERAGE(F123,H123,J123)</f>
        <v>9.3333333333333339</v>
      </c>
    </row>
    <row r="124" spans="2:16" ht="33" customHeight="1" x14ac:dyDescent="0.25">
      <c r="B124" s="161"/>
      <c r="C124" s="161"/>
      <c r="D124" s="161"/>
      <c r="E124" s="158">
        <v>12</v>
      </c>
      <c r="F124" s="157">
        <v>8</v>
      </c>
      <c r="G124" s="159"/>
      <c r="H124" s="157">
        <v>18</v>
      </c>
      <c r="I124" s="159"/>
      <c r="J124" s="157">
        <v>13</v>
      </c>
      <c r="K124" s="159"/>
      <c r="P124">
        <f>AVERAGE(F124,H124,J124)</f>
        <v>13</v>
      </c>
    </row>
    <row r="125" spans="2:16" ht="33" customHeight="1" x14ac:dyDescent="0.25">
      <c r="B125" s="161"/>
      <c r="C125" s="161"/>
      <c r="D125" s="161"/>
      <c r="E125" s="158">
        <v>13</v>
      </c>
      <c r="F125" s="159"/>
      <c r="G125" s="157">
        <v>12</v>
      </c>
      <c r="H125" s="159"/>
      <c r="I125" s="157">
        <v>9</v>
      </c>
      <c r="J125" s="159"/>
      <c r="K125" s="157">
        <v>9</v>
      </c>
      <c r="P125">
        <f>AVERAGE(G125,I125,K125)</f>
        <v>10</v>
      </c>
    </row>
    <row r="126" spans="2:16" ht="33" customHeight="1" x14ac:dyDescent="0.25">
      <c r="B126" s="161"/>
      <c r="C126" s="161"/>
      <c r="D126" s="161"/>
      <c r="E126" s="158">
        <v>14</v>
      </c>
      <c r="F126" s="159"/>
      <c r="G126" s="157">
        <v>8</v>
      </c>
      <c r="H126" s="159"/>
      <c r="I126" s="157">
        <v>10</v>
      </c>
      <c r="J126" s="159"/>
      <c r="K126" s="157">
        <v>8</v>
      </c>
      <c r="P126">
        <f>AVERAGE(G126,I126,K126)</f>
        <v>8.6666666666666661</v>
      </c>
    </row>
    <row r="127" spans="2:16" ht="33" customHeight="1" x14ac:dyDescent="0.25">
      <c r="B127" s="161"/>
      <c r="C127" s="161"/>
      <c r="D127" s="161"/>
      <c r="E127" s="158">
        <v>15</v>
      </c>
      <c r="F127" s="159"/>
      <c r="G127" s="157">
        <v>5</v>
      </c>
      <c r="H127" s="159"/>
      <c r="I127" s="157">
        <v>10</v>
      </c>
      <c r="J127" s="159"/>
      <c r="K127" s="157">
        <v>8</v>
      </c>
      <c r="P127">
        <f>AVERAGE(G127,I127,K127)</f>
        <v>7.666666666666667</v>
      </c>
    </row>
    <row r="128" spans="2:16" ht="33" customHeight="1" x14ac:dyDescent="0.25">
      <c r="B128" s="161"/>
      <c r="C128" s="161"/>
      <c r="D128" s="161"/>
      <c r="E128" s="158">
        <v>16</v>
      </c>
      <c r="F128" s="159"/>
      <c r="G128" s="157">
        <v>8</v>
      </c>
      <c r="H128" s="159"/>
      <c r="I128" s="157">
        <v>13</v>
      </c>
      <c r="J128" s="159"/>
      <c r="K128" s="157">
        <v>6</v>
      </c>
      <c r="P128">
        <f>AVERAGE(G128,I128,K128)</f>
        <v>9</v>
      </c>
    </row>
    <row r="129" spans="2:18" ht="33" customHeight="1" x14ac:dyDescent="0.25">
      <c r="B129" s="161"/>
      <c r="C129" s="161"/>
      <c r="D129" s="161"/>
      <c r="E129" s="158">
        <v>17</v>
      </c>
      <c r="F129" s="157">
        <v>10</v>
      </c>
      <c r="G129" s="159"/>
      <c r="H129" s="157">
        <v>10</v>
      </c>
      <c r="I129" s="159"/>
      <c r="J129" s="157">
        <v>7</v>
      </c>
      <c r="K129" s="159"/>
      <c r="P129">
        <f>AVERAGE(F129,H129,J129)</f>
        <v>9</v>
      </c>
    </row>
    <row r="130" spans="2:18" ht="33" customHeight="1" x14ac:dyDescent="0.25">
      <c r="B130" s="161"/>
      <c r="C130" s="161"/>
      <c r="D130" s="161"/>
      <c r="E130" s="158">
        <v>18</v>
      </c>
      <c r="F130" s="157">
        <v>13</v>
      </c>
      <c r="G130" s="159"/>
      <c r="H130" s="157">
        <v>5</v>
      </c>
      <c r="I130" s="159"/>
      <c r="J130" s="157">
        <v>11</v>
      </c>
      <c r="K130" s="159"/>
      <c r="P130">
        <f>AVERAGE(F130,H130,J130)</f>
        <v>9.6666666666666661</v>
      </c>
    </row>
    <row r="131" spans="2:18" ht="33" customHeight="1" x14ac:dyDescent="0.25">
      <c r="B131" s="161"/>
      <c r="C131" s="161"/>
      <c r="D131" s="161"/>
      <c r="E131" s="158">
        <v>19</v>
      </c>
      <c r="F131" s="157">
        <v>12</v>
      </c>
      <c r="G131" s="159"/>
      <c r="H131" s="157">
        <v>12</v>
      </c>
      <c r="I131" s="159"/>
      <c r="J131" s="157">
        <v>10</v>
      </c>
      <c r="K131" s="159"/>
      <c r="P131">
        <f>AVERAGE(F131,H131,J131)</f>
        <v>11.333333333333334</v>
      </c>
    </row>
    <row r="132" spans="2:18" ht="33" customHeight="1" x14ac:dyDescent="0.25">
      <c r="B132" s="161"/>
      <c r="C132" s="161"/>
      <c r="D132" s="161"/>
      <c r="E132" s="158">
        <v>20</v>
      </c>
      <c r="F132" s="157">
        <v>12</v>
      </c>
      <c r="G132" s="160" t="s">
        <v>226</v>
      </c>
      <c r="H132" s="157">
        <v>12</v>
      </c>
      <c r="I132" s="160"/>
      <c r="J132" s="157">
        <v>13</v>
      </c>
      <c r="K132" s="160" t="s">
        <v>226</v>
      </c>
      <c r="P132">
        <f>AVERAGE(F132,H132,J132)</f>
        <v>12.333333333333334</v>
      </c>
    </row>
    <row r="133" spans="2:18" ht="33" customHeight="1" x14ac:dyDescent="0.25">
      <c r="B133" s="161"/>
      <c r="C133" s="161"/>
      <c r="D133" s="161"/>
      <c r="E133" s="158">
        <v>21</v>
      </c>
      <c r="F133" s="159"/>
      <c r="G133" s="157">
        <v>14</v>
      </c>
      <c r="H133" s="159"/>
      <c r="I133" s="157">
        <v>9</v>
      </c>
      <c r="J133" s="159"/>
      <c r="K133" s="157">
        <v>8</v>
      </c>
      <c r="P133">
        <f>AVERAGE(G133,I133,K133)</f>
        <v>10.333333333333334</v>
      </c>
    </row>
    <row r="134" spans="2:18" ht="33" customHeight="1" x14ac:dyDescent="0.25">
      <c r="B134" s="161"/>
      <c r="C134" s="161"/>
      <c r="D134" s="161"/>
      <c r="E134" s="158">
        <v>22</v>
      </c>
      <c r="F134" s="159"/>
      <c r="G134" s="157">
        <v>8</v>
      </c>
      <c r="H134" s="159"/>
      <c r="I134" s="157">
        <v>14</v>
      </c>
      <c r="J134" s="159"/>
      <c r="K134" s="157">
        <v>11</v>
      </c>
      <c r="P134">
        <f>AVERAGE(G134,I134,K134)</f>
        <v>11</v>
      </c>
    </row>
    <row r="135" spans="2:18" ht="33" customHeight="1" x14ac:dyDescent="0.25">
      <c r="B135" s="161"/>
      <c r="C135" s="161"/>
      <c r="D135" s="161"/>
      <c r="E135" s="158">
        <v>23</v>
      </c>
      <c r="F135" s="159"/>
      <c r="G135" s="157">
        <v>5</v>
      </c>
      <c r="H135" s="159"/>
      <c r="I135" s="157">
        <v>11</v>
      </c>
      <c r="J135" s="159"/>
      <c r="K135" s="157">
        <v>15</v>
      </c>
      <c r="P135">
        <f>AVERAGE(G135,I135,K135)</f>
        <v>10.333333333333334</v>
      </c>
    </row>
    <row r="136" spans="2:18" ht="33" customHeight="1" x14ac:dyDescent="0.25">
      <c r="B136" s="161"/>
      <c r="C136" s="161"/>
      <c r="D136" s="161"/>
      <c r="E136" s="158">
        <v>24</v>
      </c>
      <c r="F136" s="159"/>
      <c r="G136" s="157">
        <v>12</v>
      </c>
      <c r="H136" s="159"/>
      <c r="I136" s="157">
        <v>4</v>
      </c>
      <c r="J136" s="159"/>
      <c r="K136" s="157">
        <v>8</v>
      </c>
      <c r="P136">
        <f>AVERAGE(G136,I136,K136)</f>
        <v>8</v>
      </c>
    </row>
    <row r="137" spans="2:18" ht="33" customHeight="1" x14ac:dyDescent="0.25">
      <c r="B137" s="161"/>
      <c r="C137" s="161"/>
      <c r="D137" s="161"/>
      <c r="E137" s="158">
        <v>25</v>
      </c>
      <c r="F137" s="157">
        <v>12</v>
      </c>
      <c r="G137" s="159"/>
      <c r="H137" s="157">
        <v>7</v>
      </c>
      <c r="I137" s="159"/>
      <c r="J137" s="157">
        <v>6</v>
      </c>
      <c r="K137" s="159"/>
      <c r="P137">
        <f>AVERAGE(F137,H137,J137)</f>
        <v>8.3333333333333339</v>
      </c>
    </row>
    <row r="138" spans="2:18" ht="33" customHeight="1" x14ac:dyDescent="0.25">
      <c r="B138" s="161"/>
      <c r="C138" s="161"/>
      <c r="D138" s="161"/>
      <c r="E138" s="158">
        <v>26</v>
      </c>
      <c r="F138" s="157">
        <v>6</v>
      </c>
      <c r="G138" s="159"/>
      <c r="H138" s="157">
        <v>12</v>
      </c>
      <c r="I138" s="159"/>
      <c r="J138" s="157">
        <v>5</v>
      </c>
      <c r="K138" s="159"/>
      <c r="P138">
        <f>AVERAGE(F138,H138,J138)</f>
        <v>7.666666666666667</v>
      </c>
    </row>
    <row r="139" spans="2:18" ht="33" customHeight="1" x14ac:dyDescent="0.25">
      <c r="B139" s="161"/>
      <c r="C139" s="161"/>
      <c r="D139" s="161"/>
      <c r="E139" s="158">
        <v>27</v>
      </c>
      <c r="F139" s="157">
        <v>7</v>
      </c>
      <c r="G139" s="159"/>
      <c r="H139" s="157">
        <v>8</v>
      </c>
      <c r="I139" s="159"/>
      <c r="J139" s="157">
        <v>12</v>
      </c>
      <c r="K139" s="159"/>
      <c r="P139">
        <f>AVERAGE(F139,H139,J139)</f>
        <v>9</v>
      </c>
    </row>
    <row r="140" spans="2:18" ht="33" customHeight="1" thickBot="1" x14ac:dyDescent="0.3">
      <c r="B140" s="161"/>
      <c r="C140" s="161"/>
      <c r="D140" s="161"/>
      <c r="E140" s="176">
        <v>28</v>
      </c>
      <c r="F140" s="157">
        <v>10</v>
      </c>
      <c r="G140" s="159"/>
      <c r="H140" s="157">
        <v>13</v>
      </c>
      <c r="I140" s="159"/>
      <c r="J140" s="157">
        <v>8</v>
      </c>
      <c r="K140" s="159"/>
      <c r="P140">
        <f>AVERAGE(F140,H140,J140)</f>
        <v>10.333333333333334</v>
      </c>
      <c r="R140" s="155">
        <f>AVERAGE(P114:P140)/(1.5*1.016)</f>
        <v>6.4968730760506785</v>
      </c>
    </row>
    <row r="141" spans="2:18" ht="33" customHeight="1" thickBot="1" x14ac:dyDescent="0.3">
      <c r="B141" s="187" t="s">
        <v>3</v>
      </c>
      <c r="C141" s="187" t="s">
        <v>12</v>
      </c>
      <c r="D141" s="187" t="s">
        <v>18</v>
      </c>
      <c r="E141" s="186"/>
      <c r="F141" s="185"/>
      <c r="G141" s="184"/>
      <c r="H141" s="184"/>
      <c r="I141" s="184"/>
      <c r="J141" s="184"/>
      <c r="K141" s="184"/>
    </row>
    <row r="142" spans="2:18" ht="33" customHeight="1" thickBot="1" x14ac:dyDescent="0.3">
      <c r="B142" s="183" t="s">
        <v>4</v>
      </c>
      <c r="C142" s="183" t="s">
        <v>13</v>
      </c>
      <c r="D142" s="183" t="s">
        <v>19</v>
      </c>
      <c r="E142" s="182"/>
      <c r="F142" s="181"/>
      <c r="G142" s="180"/>
      <c r="H142" s="180"/>
      <c r="I142" s="180"/>
      <c r="J142" s="180"/>
      <c r="K142" s="180"/>
    </row>
    <row r="143" spans="2:18" ht="33" customHeight="1" x14ac:dyDescent="0.25">
      <c r="B143" s="161" t="s">
        <v>4</v>
      </c>
      <c r="C143" s="161" t="s">
        <v>14</v>
      </c>
      <c r="D143" s="161" t="s">
        <v>16</v>
      </c>
      <c r="E143" s="177">
        <v>29</v>
      </c>
      <c r="F143" s="157">
        <v>12</v>
      </c>
      <c r="G143" s="159"/>
      <c r="H143" s="157">
        <v>18</v>
      </c>
      <c r="I143" s="159"/>
      <c r="J143" s="157">
        <v>15</v>
      </c>
      <c r="K143" s="159"/>
      <c r="L143" s="179" t="s">
        <v>4</v>
      </c>
      <c r="M143" s="178" t="s">
        <v>14</v>
      </c>
      <c r="N143" s="178" t="s">
        <v>16</v>
      </c>
      <c r="P143">
        <f>AVERAGE(F143,H143,J143)</f>
        <v>15</v>
      </c>
    </row>
    <row r="144" spans="2:18" ht="33" customHeight="1" x14ac:dyDescent="0.25">
      <c r="B144" s="161"/>
      <c r="C144" s="161"/>
      <c r="D144" s="161"/>
      <c r="E144" s="158">
        <v>30</v>
      </c>
      <c r="F144" s="157">
        <v>24</v>
      </c>
      <c r="G144" s="159"/>
      <c r="H144" s="157">
        <v>13</v>
      </c>
      <c r="I144" s="159"/>
      <c r="J144" s="157">
        <v>18</v>
      </c>
      <c r="K144" s="159"/>
      <c r="L144" s="164" t="s">
        <v>223</v>
      </c>
      <c r="M144" s="163">
        <f>SUM(F143:K169)/COUNT(F143:K169)/1.5</f>
        <v>11.588477366255143</v>
      </c>
      <c r="N144" s="162"/>
      <c r="P144">
        <f>AVERAGE(F144,H144,J144)</f>
        <v>18.333333333333332</v>
      </c>
    </row>
    <row r="145" spans="2:16" ht="33" customHeight="1" x14ac:dyDescent="0.25">
      <c r="B145" s="161"/>
      <c r="C145" s="161"/>
      <c r="D145" s="161"/>
      <c r="E145" s="158">
        <v>31</v>
      </c>
      <c r="F145" s="157">
        <v>7</v>
      </c>
      <c r="G145" s="159"/>
      <c r="H145" s="157">
        <v>15</v>
      </c>
      <c r="I145" s="159"/>
      <c r="J145" s="157">
        <v>12</v>
      </c>
      <c r="K145" s="159"/>
      <c r="P145">
        <f>AVERAGE(F145,H145,J145)</f>
        <v>11.333333333333334</v>
      </c>
    </row>
    <row r="146" spans="2:16" ht="33" customHeight="1" x14ac:dyDescent="0.25">
      <c r="B146" s="161"/>
      <c r="C146" s="161"/>
      <c r="D146" s="161"/>
      <c r="E146" s="177">
        <v>32</v>
      </c>
      <c r="F146" s="157">
        <v>22</v>
      </c>
      <c r="G146" s="159"/>
      <c r="H146" s="157">
        <v>26</v>
      </c>
      <c r="I146" s="159"/>
      <c r="J146" s="157">
        <v>21</v>
      </c>
      <c r="K146" s="159"/>
      <c r="P146">
        <f>AVERAGE(F146,H146,J146)</f>
        <v>23</v>
      </c>
    </row>
    <row r="147" spans="2:16" ht="33" customHeight="1" x14ac:dyDescent="0.25">
      <c r="B147" s="161"/>
      <c r="C147" s="161"/>
      <c r="D147" s="161"/>
      <c r="E147" s="158">
        <v>33</v>
      </c>
      <c r="F147" s="159"/>
      <c r="G147" s="157">
        <v>22</v>
      </c>
      <c r="H147" s="159"/>
      <c r="I147" s="157">
        <v>22</v>
      </c>
      <c r="J147" s="159"/>
      <c r="K147" s="157">
        <v>19</v>
      </c>
      <c r="P147">
        <f>AVERAGE(G147,I147,K147)</f>
        <v>21</v>
      </c>
    </row>
    <row r="148" spans="2:16" ht="33" customHeight="1" x14ac:dyDescent="0.25">
      <c r="B148" s="161"/>
      <c r="C148" s="161"/>
      <c r="D148" s="161"/>
      <c r="E148" s="158">
        <v>34</v>
      </c>
      <c r="F148" s="159"/>
      <c r="G148" s="157">
        <v>17</v>
      </c>
      <c r="H148" s="159"/>
      <c r="I148" s="157">
        <v>21</v>
      </c>
      <c r="J148" s="159"/>
      <c r="K148" s="157">
        <v>20</v>
      </c>
      <c r="P148">
        <f>AVERAGE(G148,I148,K148)</f>
        <v>19.333333333333332</v>
      </c>
    </row>
    <row r="149" spans="2:16" ht="33" customHeight="1" x14ac:dyDescent="0.25">
      <c r="B149" s="161"/>
      <c r="C149" s="161"/>
      <c r="D149" s="161"/>
      <c r="E149" s="177">
        <v>35</v>
      </c>
      <c r="F149" s="159"/>
      <c r="G149" s="157">
        <v>18</v>
      </c>
      <c r="H149" s="159"/>
      <c r="I149" s="157">
        <v>21</v>
      </c>
      <c r="J149" s="159"/>
      <c r="K149" s="157">
        <v>3</v>
      </c>
      <c r="P149">
        <f>AVERAGE(G149,I149,K149)</f>
        <v>14</v>
      </c>
    </row>
    <row r="150" spans="2:16" ht="33" customHeight="1" x14ac:dyDescent="0.25">
      <c r="B150" s="161"/>
      <c r="C150" s="161"/>
      <c r="D150" s="161"/>
      <c r="E150" s="158">
        <v>36</v>
      </c>
      <c r="F150" s="159"/>
      <c r="G150" s="157">
        <v>12</v>
      </c>
      <c r="H150" s="159"/>
      <c r="I150" s="157">
        <v>21</v>
      </c>
      <c r="J150" s="159"/>
      <c r="K150" s="157">
        <v>11</v>
      </c>
      <c r="P150">
        <f>AVERAGE(G150,I150,K150)</f>
        <v>14.666666666666666</v>
      </c>
    </row>
    <row r="151" spans="2:16" ht="33" customHeight="1" x14ac:dyDescent="0.25">
      <c r="B151" s="161"/>
      <c r="C151" s="161"/>
      <c r="D151" s="161"/>
      <c r="E151" s="158">
        <v>37</v>
      </c>
      <c r="F151" s="157">
        <v>20</v>
      </c>
      <c r="G151" s="159"/>
      <c r="H151" s="157">
        <v>20</v>
      </c>
      <c r="I151" s="159"/>
      <c r="J151" s="157">
        <v>18</v>
      </c>
      <c r="K151" s="159"/>
      <c r="P151">
        <f>AVERAGE(F151,H151,J151)</f>
        <v>19.333333333333332</v>
      </c>
    </row>
    <row r="152" spans="2:16" ht="33" customHeight="1" x14ac:dyDescent="0.25">
      <c r="B152" s="161"/>
      <c r="C152" s="161"/>
      <c r="D152" s="161"/>
      <c r="E152" s="177">
        <v>38</v>
      </c>
      <c r="F152" s="157">
        <v>23</v>
      </c>
      <c r="G152" s="159"/>
      <c r="H152" s="157">
        <v>17</v>
      </c>
      <c r="I152" s="159"/>
      <c r="J152" s="157">
        <v>15</v>
      </c>
      <c r="K152" s="159"/>
      <c r="P152">
        <f>AVERAGE(F152,H152,J152)</f>
        <v>18.333333333333332</v>
      </c>
    </row>
    <row r="153" spans="2:16" ht="33" customHeight="1" x14ac:dyDescent="0.25">
      <c r="B153" s="161"/>
      <c r="C153" s="161"/>
      <c r="D153" s="161"/>
      <c r="E153" s="158">
        <v>39</v>
      </c>
      <c r="F153" s="157">
        <v>15</v>
      </c>
      <c r="G153" s="159"/>
      <c r="H153" s="157">
        <v>17</v>
      </c>
      <c r="I153" s="159"/>
      <c r="J153" s="157">
        <v>12</v>
      </c>
      <c r="K153" s="159"/>
      <c r="P153">
        <f>AVERAGE(F153,H153,J153)</f>
        <v>14.666666666666666</v>
      </c>
    </row>
    <row r="154" spans="2:16" ht="33" customHeight="1" x14ac:dyDescent="0.25">
      <c r="B154" s="161"/>
      <c r="C154" s="161"/>
      <c r="D154" s="161"/>
      <c r="E154" s="158">
        <v>40</v>
      </c>
      <c r="F154" s="157">
        <v>19</v>
      </c>
      <c r="G154" s="159"/>
      <c r="H154" s="157">
        <v>19</v>
      </c>
      <c r="I154" s="159"/>
      <c r="J154" s="157">
        <v>19</v>
      </c>
      <c r="K154" s="159"/>
      <c r="P154">
        <f>AVERAGE(F154,H154,J154)</f>
        <v>19</v>
      </c>
    </row>
    <row r="155" spans="2:16" ht="33" customHeight="1" x14ac:dyDescent="0.25">
      <c r="B155" s="161"/>
      <c r="C155" s="161"/>
      <c r="D155" s="161"/>
      <c r="E155" s="177">
        <v>41</v>
      </c>
      <c r="F155" s="159"/>
      <c r="G155" s="157">
        <v>16</v>
      </c>
      <c r="H155" s="159"/>
      <c r="I155" s="157">
        <v>14</v>
      </c>
      <c r="J155" s="159"/>
      <c r="K155" s="157">
        <v>21</v>
      </c>
      <c r="P155">
        <f>AVERAGE(G155,I155,K155)</f>
        <v>17</v>
      </c>
    </row>
    <row r="156" spans="2:16" ht="33" customHeight="1" x14ac:dyDescent="0.25">
      <c r="B156" s="161"/>
      <c r="C156" s="161"/>
      <c r="D156" s="161"/>
      <c r="E156" s="158">
        <v>42</v>
      </c>
      <c r="F156" s="159"/>
      <c r="G156" s="157">
        <v>15</v>
      </c>
      <c r="H156" s="159"/>
      <c r="I156" s="157">
        <v>17</v>
      </c>
      <c r="J156" s="159"/>
      <c r="K156" s="157">
        <v>12</v>
      </c>
      <c r="P156">
        <f>AVERAGE(G156,I156,K156)</f>
        <v>14.666666666666666</v>
      </c>
    </row>
    <row r="157" spans="2:16" ht="33" customHeight="1" x14ac:dyDescent="0.25">
      <c r="B157" s="161"/>
      <c r="C157" s="161"/>
      <c r="D157" s="161"/>
      <c r="E157" s="158">
        <v>43</v>
      </c>
      <c r="F157" s="159"/>
      <c r="G157" s="157">
        <v>15</v>
      </c>
      <c r="H157" s="159"/>
      <c r="I157" s="157">
        <v>24</v>
      </c>
      <c r="J157" s="159"/>
      <c r="K157" s="157">
        <v>15</v>
      </c>
      <c r="P157">
        <f>AVERAGE(G157,I157,K157)</f>
        <v>18</v>
      </c>
    </row>
    <row r="158" spans="2:16" ht="33" customHeight="1" x14ac:dyDescent="0.25">
      <c r="B158" s="161"/>
      <c r="C158" s="161"/>
      <c r="D158" s="161"/>
      <c r="E158" s="177">
        <v>44</v>
      </c>
      <c r="F158" s="159"/>
      <c r="G158" s="157">
        <v>15</v>
      </c>
      <c r="H158" s="159"/>
      <c r="I158" s="157">
        <v>14</v>
      </c>
      <c r="J158" s="159"/>
      <c r="K158" s="157">
        <v>16</v>
      </c>
      <c r="P158">
        <f>AVERAGE(G158,I158,K158)</f>
        <v>15</v>
      </c>
    </row>
    <row r="159" spans="2:16" ht="33" customHeight="1" x14ac:dyDescent="0.25">
      <c r="B159" s="161"/>
      <c r="C159" s="161"/>
      <c r="D159" s="161"/>
      <c r="E159" s="158">
        <v>45</v>
      </c>
      <c r="F159" s="157">
        <v>20</v>
      </c>
      <c r="G159" s="159"/>
      <c r="H159" s="157">
        <v>20</v>
      </c>
      <c r="I159" s="159"/>
      <c r="J159" s="157">
        <v>22</v>
      </c>
      <c r="K159" s="159"/>
      <c r="P159">
        <f>AVERAGE(F159,H159,J159)</f>
        <v>20.666666666666668</v>
      </c>
    </row>
    <row r="160" spans="2:16" ht="33" customHeight="1" x14ac:dyDescent="0.25">
      <c r="B160" s="161"/>
      <c r="C160" s="161"/>
      <c r="D160" s="161"/>
      <c r="E160" s="158">
        <v>46</v>
      </c>
      <c r="F160" s="157">
        <v>22</v>
      </c>
      <c r="G160" s="159"/>
      <c r="H160" s="157">
        <v>12</v>
      </c>
      <c r="I160" s="159"/>
      <c r="J160" s="157">
        <v>16</v>
      </c>
      <c r="K160" s="159"/>
      <c r="P160">
        <f>AVERAGE(F160,H160,J160)</f>
        <v>16.666666666666668</v>
      </c>
    </row>
    <row r="161" spans="2:18" ht="33" customHeight="1" x14ac:dyDescent="0.25">
      <c r="B161" s="161"/>
      <c r="C161" s="161"/>
      <c r="D161" s="161"/>
      <c r="E161" s="177">
        <v>47</v>
      </c>
      <c r="F161" s="157">
        <v>15</v>
      </c>
      <c r="G161" s="159"/>
      <c r="H161" s="157">
        <v>16</v>
      </c>
      <c r="I161" s="159"/>
      <c r="J161" s="157">
        <v>14</v>
      </c>
      <c r="K161" s="159"/>
      <c r="P161">
        <f>AVERAGE(F161,H161,J161)</f>
        <v>15</v>
      </c>
    </row>
    <row r="162" spans="2:18" ht="33" customHeight="1" x14ac:dyDescent="0.25">
      <c r="B162" s="161"/>
      <c r="C162" s="161"/>
      <c r="D162" s="161"/>
      <c r="E162" s="158">
        <v>48</v>
      </c>
      <c r="F162" s="157">
        <v>23</v>
      </c>
      <c r="G162" s="159"/>
      <c r="H162" s="157">
        <v>17</v>
      </c>
      <c r="I162" s="159"/>
      <c r="J162" s="157">
        <v>18</v>
      </c>
      <c r="K162" s="159"/>
      <c r="P162">
        <f>AVERAGE(F162,H162,J162)</f>
        <v>19.333333333333332</v>
      </c>
    </row>
    <row r="163" spans="2:18" ht="33" customHeight="1" x14ac:dyDescent="0.25">
      <c r="B163" s="161"/>
      <c r="C163" s="161"/>
      <c r="D163" s="161"/>
      <c r="E163" s="158">
        <v>49</v>
      </c>
      <c r="F163" s="160" t="s">
        <v>222</v>
      </c>
      <c r="G163" s="157">
        <v>15</v>
      </c>
      <c r="H163" s="160" t="s">
        <v>222</v>
      </c>
      <c r="I163" s="157">
        <v>27</v>
      </c>
      <c r="J163" s="160" t="s">
        <v>222</v>
      </c>
      <c r="K163" s="157">
        <v>15</v>
      </c>
      <c r="P163">
        <f>AVERAGE(G163,I163,K163)</f>
        <v>19</v>
      </c>
    </row>
    <row r="164" spans="2:18" ht="33" customHeight="1" x14ac:dyDescent="0.25">
      <c r="B164" s="161"/>
      <c r="C164" s="161"/>
      <c r="D164" s="161"/>
      <c r="E164" s="177">
        <v>50</v>
      </c>
      <c r="F164" s="159"/>
      <c r="G164" s="157">
        <v>26</v>
      </c>
      <c r="H164" s="159"/>
      <c r="I164" s="157">
        <v>18</v>
      </c>
      <c r="J164" s="159"/>
      <c r="K164" s="157">
        <v>19</v>
      </c>
      <c r="P164">
        <f>AVERAGE(G164,I164,K164)</f>
        <v>21</v>
      </c>
    </row>
    <row r="165" spans="2:18" ht="33" customHeight="1" x14ac:dyDescent="0.25">
      <c r="B165" s="161"/>
      <c r="C165" s="161"/>
      <c r="D165" s="161"/>
      <c r="E165" s="158">
        <v>51</v>
      </c>
      <c r="F165" s="159"/>
      <c r="G165" s="157">
        <v>14</v>
      </c>
      <c r="H165" s="159"/>
      <c r="I165" s="157">
        <v>24</v>
      </c>
      <c r="J165" s="159"/>
      <c r="K165" s="157">
        <v>15</v>
      </c>
      <c r="P165">
        <f>AVERAGE(G165,I165,K165)</f>
        <v>17.666666666666668</v>
      </c>
    </row>
    <row r="166" spans="2:18" ht="33" customHeight="1" x14ac:dyDescent="0.25">
      <c r="B166" s="161"/>
      <c r="C166" s="161"/>
      <c r="D166" s="161"/>
      <c r="E166" s="158">
        <v>52</v>
      </c>
      <c r="F166" s="159"/>
      <c r="G166" s="157">
        <v>15</v>
      </c>
      <c r="H166" s="159"/>
      <c r="I166" s="157">
        <v>23</v>
      </c>
      <c r="J166" s="159"/>
      <c r="K166" s="157">
        <v>19</v>
      </c>
      <c r="P166">
        <f>AVERAGE(G166,I166,K166)</f>
        <v>19</v>
      </c>
    </row>
    <row r="167" spans="2:18" ht="33" customHeight="1" x14ac:dyDescent="0.25">
      <c r="B167" s="161"/>
      <c r="C167" s="161"/>
      <c r="D167" s="161"/>
      <c r="E167" s="177">
        <v>53</v>
      </c>
      <c r="F167" s="157">
        <v>19</v>
      </c>
      <c r="G167" s="159"/>
      <c r="H167" s="157">
        <v>16</v>
      </c>
      <c r="I167" s="159"/>
      <c r="J167" s="157">
        <v>21</v>
      </c>
      <c r="K167" s="159"/>
      <c r="P167">
        <f>AVERAGE(F167,H167,J167)</f>
        <v>18.666666666666668</v>
      </c>
    </row>
    <row r="168" spans="2:18" ht="33" customHeight="1" x14ac:dyDescent="0.25">
      <c r="B168" s="161"/>
      <c r="C168" s="161"/>
      <c r="D168" s="161"/>
      <c r="E168" s="158">
        <v>54</v>
      </c>
      <c r="F168" s="157">
        <v>19</v>
      </c>
      <c r="G168" s="159"/>
      <c r="H168" s="157">
        <v>19</v>
      </c>
      <c r="I168" s="159"/>
      <c r="J168" s="157">
        <v>14</v>
      </c>
      <c r="K168" s="159"/>
      <c r="P168">
        <f>AVERAGE(F168,H168,J168)</f>
        <v>17.333333333333332</v>
      </c>
    </row>
    <row r="169" spans="2:18" ht="33" customHeight="1" x14ac:dyDescent="0.25">
      <c r="B169" s="161"/>
      <c r="C169" s="161"/>
      <c r="D169" s="161"/>
      <c r="E169" s="176">
        <v>55</v>
      </c>
      <c r="F169" s="157">
        <v>9</v>
      </c>
      <c r="G169" s="159"/>
      <c r="H169" s="157">
        <v>16</v>
      </c>
      <c r="I169" s="159"/>
      <c r="J169" s="157">
        <v>12</v>
      </c>
      <c r="K169" s="159"/>
      <c r="P169">
        <f>AVERAGE(F169,H169,J169)</f>
        <v>12.333333333333334</v>
      </c>
    </row>
    <row r="170" spans="2:18" ht="33" customHeight="1" thickBot="1" x14ac:dyDescent="0.3">
      <c r="B170" s="175"/>
      <c r="C170" s="175"/>
      <c r="D170" s="175"/>
      <c r="E170" s="174">
        <v>56</v>
      </c>
      <c r="F170" s="173">
        <v>0</v>
      </c>
      <c r="G170" s="172"/>
      <c r="H170" s="173">
        <v>0</v>
      </c>
      <c r="I170" s="172"/>
      <c r="J170" s="173">
        <v>0</v>
      </c>
      <c r="K170" s="172"/>
      <c r="R170" s="155">
        <f>AVERAGE(P143:P170)/(1.5*1.016)</f>
        <v>11.405981659699943</v>
      </c>
    </row>
    <row r="171" spans="2:18" ht="33" customHeight="1" x14ac:dyDescent="0.25">
      <c r="B171" s="171" t="s">
        <v>22</v>
      </c>
      <c r="C171" s="171" t="s">
        <v>23</v>
      </c>
      <c r="D171" s="171" t="s">
        <v>17</v>
      </c>
      <c r="E171" s="170">
        <v>1</v>
      </c>
      <c r="F171" s="169" t="s">
        <v>225</v>
      </c>
      <c r="G171" s="168" t="s">
        <v>224</v>
      </c>
      <c r="H171" s="169" t="s">
        <v>225</v>
      </c>
      <c r="I171" s="168" t="s">
        <v>224</v>
      </c>
      <c r="J171" s="169" t="s">
        <v>225</v>
      </c>
      <c r="K171" s="168" t="s">
        <v>224</v>
      </c>
      <c r="L171" s="167" t="s">
        <v>22</v>
      </c>
      <c r="M171" s="167" t="s">
        <v>23</v>
      </c>
      <c r="N171" s="167" t="s">
        <v>17</v>
      </c>
    </row>
    <row r="172" spans="2:18" ht="33" customHeight="1" x14ac:dyDescent="0.25">
      <c r="B172" s="166">
        <v>41780</v>
      </c>
      <c r="C172" s="165"/>
      <c r="D172" s="161"/>
      <c r="E172" s="158">
        <v>2</v>
      </c>
      <c r="F172" s="157">
        <v>0</v>
      </c>
      <c r="G172" s="159"/>
      <c r="H172" s="157">
        <v>0</v>
      </c>
      <c r="I172" s="159"/>
      <c r="J172" s="157">
        <v>0</v>
      </c>
      <c r="K172" s="159"/>
      <c r="L172" s="164" t="s">
        <v>223</v>
      </c>
      <c r="M172" s="163">
        <f>SUM(F173:K196)/COUNT(F173:K196)/1.5</f>
        <v>10.888888888888888</v>
      </c>
      <c r="N172" s="162"/>
    </row>
    <row r="173" spans="2:18" ht="33" customHeight="1" x14ac:dyDescent="0.25">
      <c r="B173" s="161"/>
      <c r="C173" s="161"/>
      <c r="D173" s="161"/>
      <c r="E173" s="158">
        <v>3</v>
      </c>
      <c r="F173" s="157">
        <v>20</v>
      </c>
      <c r="G173" s="159"/>
      <c r="H173" s="157">
        <v>16</v>
      </c>
      <c r="I173" s="159"/>
      <c r="J173" s="157">
        <v>5</v>
      </c>
      <c r="K173" s="159"/>
      <c r="P173">
        <f>AVERAGE(F173,H173,J173)</f>
        <v>13.666666666666666</v>
      </c>
    </row>
    <row r="174" spans="2:18" ht="33" customHeight="1" x14ac:dyDescent="0.25">
      <c r="B174" s="161"/>
      <c r="C174" s="161"/>
      <c r="D174" s="161"/>
      <c r="E174" s="158">
        <v>4</v>
      </c>
      <c r="F174" s="157">
        <v>17</v>
      </c>
      <c r="G174" s="159"/>
      <c r="H174" s="157">
        <v>16</v>
      </c>
      <c r="I174" s="159"/>
      <c r="J174" s="157">
        <v>17</v>
      </c>
      <c r="K174" s="159"/>
      <c r="P174">
        <f>AVERAGE(F174,H174,J174)</f>
        <v>16.666666666666668</v>
      </c>
    </row>
    <row r="175" spans="2:18" ht="33" customHeight="1" x14ac:dyDescent="0.25">
      <c r="B175" s="161"/>
      <c r="C175" s="161"/>
      <c r="D175" s="161"/>
      <c r="E175" s="158">
        <v>5</v>
      </c>
      <c r="F175" s="159"/>
      <c r="G175" s="157">
        <v>15</v>
      </c>
      <c r="H175" s="159"/>
      <c r="I175" s="157">
        <v>18</v>
      </c>
      <c r="J175" s="159"/>
      <c r="K175" s="157">
        <v>15</v>
      </c>
      <c r="P175">
        <f>AVERAGE(G175,I175,K175)</f>
        <v>16</v>
      </c>
    </row>
    <row r="176" spans="2:18" ht="33" customHeight="1" x14ac:dyDescent="0.25">
      <c r="B176" s="161"/>
      <c r="C176" s="161"/>
      <c r="D176" s="161"/>
      <c r="E176" s="158">
        <v>6</v>
      </c>
      <c r="F176" s="159"/>
      <c r="G176" s="157">
        <v>18</v>
      </c>
      <c r="H176" s="159"/>
      <c r="I176" s="157">
        <v>31</v>
      </c>
      <c r="J176" s="159"/>
      <c r="K176" s="157">
        <v>11</v>
      </c>
      <c r="P176">
        <f>AVERAGE(G176,I176,K176)</f>
        <v>20</v>
      </c>
    </row>
    <row r="177" spans="2:16" ht="33" customHeight="1" x14ac:dyDescent="0.25">
      <c r="B177" s="161"/>
      <c r="C177" s="161"/>
      <c r="D177" s="161"/>
      <c r="E177" s="158">
        <v>7</v>
      </c>
      <c r="F177" s="159"/>
      <c r="G177" s="157">
        <v>18</v>
      </c>
      <c r="H177" s="159"/>
      <c r="I177" s="157">
        <v>20</v>
      </c>
      <c r="J177" s="159"/>
      <c r="K177" s="157">
        <v>1</v>
      </c>
      <c r="P177">
        <f>AVERAGE(G177,I177,K177)</f>
        <v>13</v>
      </c>
    </row>
    <row r="178" spans="2:16" ht="33" customHeight="1" x14ac:dyDescent="0.25">
      <c r="B178" s="161"/>
      <c r="C178" s="161"/>
      <c r="D178" s="161"/>
      <c r="E178" s="158">
        <v>8</v>
      </c>
      <c r="F178" s="159"/>
      <c r="G178" s="157">
        <v>13</v>
      </c>
      <c r="H178" s="159"/>
      <c r="I178" s="157">
        <v>15</v>
      </c>
      <c r="J178" s="159"/>
      <c r="K178" s="157">
        <v>10</v>
      </c>
      <c r="P178">
        <f>AVERAGE(G178,I178,K178)</f>
        <v>12.666666666666666</v>
      </c>
    </row>
    <row r="179" spans="2:16" ht="33" customHeight="1" x14ac:dyDescent="0.25">
      <c r="B179" s="161"/>
      <c r="C179" s="161"/>
      <c r="D179" s="161"/>
      <c r="E179" s="158">
        <v>9</v>
      </c>
      <c r="F179" s="157">
        <v>19</v>
      </c>
      <c r="G179" s="159"/>
      <c r="H179" s="157">
        <v>21</v>
      </c>
      <c r="I179" s="159"/>
      <c r="J179" s="157">
        <v>20</v>
      </c>
      <c r="K179" s="159"/>
      <c r="P179">
        <f>AVERAGE(F179,H179,J179)</f>
        <v>20</v>
      </c>
    </row>
    <row r="180" spans="2:16" ht="33" customHeight="1" x14ac:dyDescent="0.25">
      <c r="B180" s="161"/>
      <c r="C180" s="161"/>
      <c r="D180" s="161"/>
      <c r="E180" s="158">
        <v>10</v>
      </c>
      <c r="F180" s="157">
        <v>17</v>
      </c>
      <c r="G180" s="159"/>
      <c r="H180" s="157">
        <v>16</v>
      </c>
      <c r="I180" s="159"/>
      <c r="J180" s="157">
        <v>19</v>
      </c>
      <c r="K180" s="159"/>
      <c r="P180">
        <f>AVERAGE(F180,H180,J180)</f>
        <v>17.333333333333332</v>
      </c>
    </row>
    <row r="181" spans="2:16" ht="33" customHeight="1" x14ac:dyDescent="0.25">
      <c r="B181" s="161"/>
      <c r="C181" s="161"/>
      <c r="D181" s="161"/>
      <c r="E181" s="158">
        <v>11</v>
      </c>
      <c r="F181" s="157">
        <v>19</v>
      </c>
      <c r="G181" s="159"/>
      <c r="H181" s="157">
        <v>16</v>
      </c>
      <c r="I181" s="159"/>
      <c r="J181" s="157">
        <v>16</v>
      </c>
      <c r="K181" s="159"/>
      <c r="P181">
        <f>AVERAGE(F181,H181,J181)</f>
        <v>17</v>
      </c>
    </row>
    <row r="182" spans="2:16" ht="33" customHeight="1" x14ac:dyDescent="0.25">
      <c r="B182" s="161"/>
      <c r="C182" s="161"/>
      <c r="D182" s="161"/>
      <c r="E182" s="158">
        <v>12</v>
      </c>
      <c r="F182" s="157">
        <v>15</v>
      </c>
      <c r="G182" s="159"/>
      <c r="H182" s="157">
        <v>20</v>
      </c>
      <c r="I182" s="159"/>
      <c r="J182" s="157">
        <v>13</v>
      </c>
      <c r="K182" s="159"/>
      <c r="P182">
        <f>AVERAGE(F182,H182,J182)</f>
        <v>16</v>
      </c>
    </row>
    <row r="183" spans="2:16" ht="33" customHeight="1" x14ac:dyDescent="0.25">
      <c r="B183" s="161"/>
      <c r="C183" s="161"/>
      <c r="D183" s="161"/>
      <c r="E183" s="158">
        <v>13</v>
      </c>
      <c r="F183" s="159"/>
      <c r="G183" s="157">
        <v>19</v>
      </c>
      <c r="H183" s="159"/>
      <c r="I183" s="157">
        <v>19</v>
      </c>
      <c r="J183" s="159"/>
      <c r="K183" s="157">
        <v>15</v>
      </c>
      <c r="P183">
        <f>AVERAGE(G183,I183,K183)</f>
        <v>17.666666666666668</v>
      </c>
    </row>
    <row r="184" spans="2:16" ht="33" customHeight="1" x14ac:dyDescent="0.25">
      <c r="B184" s="161"/>
      <c r="C184" s="161"/>
      <c r="D184" s="161"/>
      <c r="E184" s="158">
        <v>14</v>
      </c>
      <c r="F184" s="159"/>
      <c r="G184" s="157">
        <v>24</v>
      </c>
      <c r="H184" s="159"/>
      <c r="I184" s="157">
        <v>22</v>
      </c>
      <c r="J184" s="159"/>
      <c r="K184" s="157">
        <v>15</v>
      </c>
      <c r="P184">
        <f>AVERAGE(G184,I184,K184)</f>
        <v>20.333333333333332</v>
      </c>
    </row>
    <row r="185" spans="2:16" ht="33" customHeight="1" x14ac:dyDescent="0.25">
      <c r="B185" s="161"/>
      <c r="C185" s="161"/>
      <c r="D185" s="161"/>
      <c r="E185" s="158">
        <v>15</v>
      </c>
      <c r="F185" s="159"/>
      <c r="G185" s="157">
        <v>21</v>
      </c>
      <c r="H185" s="159"/>
      <c r="I185" s="157">
        <v>26</v>
      </c>
      <c r="J185" s="159"/>
      <c r="K185" s="157">
        <v>23</v>
      </c>
      <c r="P185">
        <f>AVERAGE(G185,I185,K185)</f>
        <v>23.333333333333332</v>
      </c>
    </row>
    <row r="186" spans="2:16" ht="33" customHeight="1" x14ac:dyDescent="0.25">
      <c r="B186" s="161"/>
      <c r="C186" s="161"/>
      <c r="D186" s="161"/>
      <c r="E186" s="158">
        <v>16</v>
      </c>
      <c r="F186" s="159"/>
      <c r="G186" s="157">
        <v>23</v>
      </c>
      <c r="H186" s="159"/>
      <c r="I186" s="157">
        <v>19</v>
      </c>
      <c r="J186" s="159"/>
      <c r="K186" s="157">
        <v>14</v>
      </c>
      <c r="P186">
        <f>AVERAGE(G186,I186,K186)</f>
        <v>18.666666666666668</v>
      </c>
    </row>
    <row r="187" spans="2:16" ht="33" customHeight="1" x14ac:dyDescent="0.25">
      <c r="B187" s="161"/>
      <c r="C187" s="161"/>
      <c r="D187" s="161"/>
      <c r="E187" s="158">
        <v>17</v>
      </c>
      <c r="F187" s="157">
        <v>18</v>
      </c>
      <c r="G187" s="159"/>
      <c r="H187" s="157">
        <v>22</v>
      </c>
      <c r="I187" s="159"/>
      <c r="J187" s="157">
        <v>23</v>
      </c>
      <c r="K187" s="159"/>
      <c r="P187">
        <f>AVERAGE(F187,H187,J187)</f>
        <v>21</v>
      </c>
    </row>
    <row r="188" spans="2:16" ht="33" customHeight="1" x14ac:dyDescent="0.25">
      <c r="B188" s="161"/>
      <c r="C188" s="161"/>
      <c r="D188" s="161"/>
      <c r="E188" s="158">
        <v>18</v>
      </c>
      <c r="F188" s="157">
        <v>28</v>
      </c>
      <c r="G188" s="159"/>
      <c r="H188" s="157">
        <v>16</v>
      </c>
      <c r="I188" s="159"/>
      <c r="J188" s="157">
        <v>17</v>
      </c>
      <c r="K188" s="159"/>
      <c r="P188">
        <f>AVERAGE(F188,H188,J188)</f>
        <v>20.333333333333332</v>
      </c>
    </row>
    <row r="189" spans="2:16" ht="33" customHeight="1" x14ac:dyDescent="0.25">
      <c r="B189" s="161"/>
      <c r="C189" s="161"/>
      <c r="D189" s="161"/>
      <c r="E189" s="158">
        <v>19</v>
      </c>
      <c r="F189" s="157">
        <v>15</v>
      </c>
      <c r="G189" s="159"/>
      <c r="H189" s="157">
        <v>17</v>
      </c>
      <c r="I189" s="159"/>
      <c r="J189" s="157">
        <v>19</v>
      </c>
      <c r="K189" s="159"/>
      <c r="P189">
        <f>AVERAGE(F189,H189,J189)</f>
        <v>17</v>
      </c>
    </row>
    <row r="190" spans="2:16" ht="33" customHeight="1" x14ac:dyDescent="0.25">
      <c r="B190" s="161"/>
      <c r="C190" s="161"/>
      <c r="D190" s="161"/>
      <c r="E190" s="158">
        <v>20</v>
      </c>
      <c r="F190" s="157">
        <v>17</v>
      </c>
      <c r="G190" s="159"/>
      <c r="H190" s="157">
        <v>23</v>
      </c>
      <c r="I190" s="159"/>
      <c r="J190" s="157">
        <v>18</v>
      </c>
      <c r="K190" s="159"/>
      <c r="P190">
        <f>AVERAGE(F190,H190,J190)</f>
        <v>19.333333333333332</v>
      </c>
    </row>
    <row r="191" spans="2:16" ht="33" customHeight="1" x14ac:dyDescent="0.25">
      <c r="B191" s="161"/>
      <c r="C191" s="161"/>
      <c r="D191" s="161"/>
      <c r="E191" s="158">
        <v>21</v>
      </c>
      <c r="F191" s="160" t="s">
        <v>222</v>
      </c>
      <c r="G191" s="157">
        <v>20</v>
      </c>
      <c r="H191" s="160" t="s">
        <v>222</v>
      </c>
      <c r="I191" s="157">
        <v>18</v>
      </c>
      <c r="J191" s="160" t="s">
        <v>222</v>
      </c>
      <c r="K191" s="157">
        <v>15</v>
      </c>
      <c r="P191">
        <f>AVERAGE(G191,I191,K191)</f>
        <v>17.666666666666668</v>
      </c>
    </row>
    <row r="192" spans="2:16" ht="33" customHeight="1" x14ac:dyDescent="0.25">
      <c r="B192" s="161"/>
      <c r="C192" s="161"/>
      <c r="D192" s="161"/>
      <c r="E192" s="158">
        <v>22</v>
      </c>
      <c r="F192" s="159"/>
      <c r="G192" s="157">
        <v>11</v>
      </c>
      <c r="H192" s="159"/>
      <c r="I192" s="157">
        <v>11</v>
      </c>
      <c r="J192" s="159"/>
      <c r="K192" s="157">
        <v>8</v>
      </c>
      <c r="P192">
        <f>AVERAGE(G192,I192,K192)</f>
        <v>10</v>
      </c>
    </row>
    <row r="193" spans="2:18" ht="33" customHeight="1" x14ac:dyDescent="0.25">
      <c r="B193" s="161"/>
      <c r="C193" s="161"/>
      <c r="D193" s="161"/>
      <c r="E193" s="158">
        <v>23</v>
      </c>
      <c r="F193" s="159"/>
      <c r="G193" s="157">
        <v>11</v>
      </c>
      <c r="H193" s="159"/>
      <c r="I193" s="157">
        <v>9</v>
      </c>
      <c r="J193" s="159"/>
      <c r="K193" s="157">
        <v>3</v>
      </c>
      <c r="P193">
        <f>AVERAGE(G193,I193,K193)</f>
        <v>7.666666666666667</v>
      </c>
    </row>
    <row r="194" spans="2:18" ht="33" customHeight="1" x14ac:dyDescent="0.25">
      <c r="B194" s="161"/>
      <c r="C194" s="161"/>
      <c r="D194" s="161"/>
      <c r="E194" s="158">
        <v>24</v>
      </c>
      <c r="F194" s="159"/>
      <c r="G194" s="157">
        <v>6</v>
      </c>
      <c r="H194" s="159"/>
      <c r="I194" s="157">
        <v>7</v>
      </c>
      <c r="J194" s="159"/>
      <c r="K194" s="157">
        <v>11</v>
      </c>
      <c r="P194">
        <f>AVERAGE(G194,I194,K194)</f>
        <v>8</v>
      </c>
    </row>
    <row r="195" spans="2:18" ht="33" customHeight="1" x14ac:dyDescent="0.25">
      <c r="E195" s="158">
        <v>25</v>
      </c>
      <c r="F195" s="157">
        <v>20</v>
      </c>
      <c r="G195" s="159"/>
      <c r="H195" s="157">
        <v>17</v>
      </c>
      <c r="I195" s="159"/>
      <c r="J195" s="157">
        <v>21</v>
      </c>
      <c r="K195" s="159"/>
      <c r="P195">
        <f>AVERAGE(F195,H195,J195)</f>
        <v>19.333333333333332</v>
      </c>
    </row>
    <row r="196" spans="2:18" ht="33" customHeight="1" x14ac:dyDescent="0.25">
      <c r="E196" s="158">
        <v>26</v>
      </c>
      <c r="F196" s="157">
        <v>7</v>
      </c>
      <c r="G196" s="159"/>
      <c r="H196" s="157">
        <v>15</v>
      </c>
      <c r="I196" s="159"/>
      <c r="J196" s="157">
        <v>6</v>
      </c>
      <c r="K196" s="159"/>
      <c r="P196">
        <f>AVERAGE(F196,H196,J196)</f>
        <v>9.3333333333333339</v>
      </c>
      <c r="R196" s="155">
        <f>AVERAGE(P173:P197)/(1.5*1.016)</f>
        <v>10.717410323709535</v>
      </c>
    </row>
    <row r="197" spans="2:18" ht="33" customHeight="1" x14ac:dyDescent="0.25">
      <c r="E197" s="158">
        <v>27</v>
      </c>
      <c r="F197" s="157">
        <v>0</v>
      </c>
      <c r="G197" s="160" t="s">
        <v>221</v>
      </c>
      <c r="H197" s="157">
        <v>0</v>
      </c>
      <c r="I197" s="160" t="s">
        <v>221</v>
      </c>
      <c r="J197" s="157">
        <v>0</v>
      </c>
      <c r="K197" s="160" t="s">
        <v>221</v>
      </c>
    </row>
    <row r="198" spans="2:18" ht="33" customHeight="1" x14ac:dyDescent="0.25">
      <c r="E198" s="158">
        <v>28</v>
      </c>
      <c r="F198" s="157">
        <v>0</v>
      </c>
      <c r="G198" s="160" t="s">
        <v>220</v>
      </c>
      <c r="H198" s="157">
        <v>0</v>
      </c>
      <c r="I198" s="159"/>
      <c r="J198" s="157">
        <v>0</v>
      </c>
      <c r="K198" s="159"/>
    </row>
    <row r="199" spans="2:18" ht="33.6" customHeight="1" x14ac:dyDescent="0.25">
      <c r="E199" s="158">
        <v>29</v>
      </c>
      <c r="F199" s="157">
        <v>0</v>
      </c>
      <c r="G199" s="156" t="s">
        <v>219</v>
      </c>
      <c r="H199" s="157">
        <v>0</v>
      </c>
      <c r="I199" s="156" t="s">
        <v>219</v>
      </c>
      <c r="J199" s="157">
        <v>0</v>
      </c>
      <c r="K199" s="156" t="s">
        <v>219</v>
      </c>
    </row>
  </sheetData>
  <mergeCells count="6">
    <mergeCell ref="G8:G9"/>
    <mergeCell ref="I8:I9"/>
    <mergeCell ref="K8:K9"/>
    <mergeCell ref="G111:G112"/>
    <mergeCell ref="I111:I112"/>
    <mergeCell ref="K111:K112"/>
  </mergeCells>
  <pageMargins left="0.7" right="0.7" top="0.75" bottom="0.75" header="0.3" footer="0.3"/>
  <pageSetup scale="68" fitToHeight="7" orientation="portrait" r:id="rId1"/>
  <rowBreaks count="6" manualBreakCount="6">
    <brk id="31" max="10" man="1"/>
    <brk id="55" max="10" man="1"/>
    <brk id="84" max="10" man="1"/>
    <brk id="112" max="10" man="1"/>
    <brk id="141" max="10" man="1"/>
    <brk id="170" max="10"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B769E-0568-4BA0-929B-678C86EC6F09}">
  <dimension ref="A1:V43"/>
  <sheetViews>
    <sheetView workbookViewId="0">
      <selection activeCell="V43" sqref="V2:V43"/>
    </sheetView>
  </sheetViews>
  <sheetFormatPr defaultRowHeight="15" x14ac:dyDescent="0.25"/>
  <sheetData>
    <row r="1" spans="1:22" x14ac:dyDescent="0.25">
      <c r="A1" t="s">
        <v>137</v>
      </c>
      <c r="B1">
        <v>177</v>
      </c>
      <c r="C1">
        <v>177</v>
      </c>
      <c r="D1" t="s">
        <v>263</v>
      </c>
      <c r="F1">
        <v>181</v>
      </c>
      <c r="G1">
        <v>181</v>
      </c>
      <c r="H1" t="s">
        <v>263</v>
      </c>
      <c r="J1">
        <v>183</v>
      </c>
      <c r="K1">
        <v>183</v>
      </c>
      <c r="L1" t="s">
        <v>263</v>
      </c>
      <c r="N1">
        <v>188</v>
      </c>
      <c r="O1">
        <v>188</v>
      </c>
      <c r="P1" t="s">
        <v>263</v>
      </c>
      <c r="R1">
        <v>192</v>
      </c>
      <c r="S1">
        <v>192</v>
      </c>
      <c r="T1" t="s">
        <v>263</v>
      </c>
      <c r="V1" t="s">
        <v>262</v>
      </c>
    </row>
    <row r="2" spans="1:22" x14ac:dyDescent="0.25">
      <c r="A2" t="s">
        <v>130</v>
      </c>
      <c r="B2">
        <v>0</v>
      </c>
      <c r="C2">
        <v>11</v>
      </c>
      <c r="D2" s="155">
        <f>B2/C2*100</f>
        <v>0</v>
      </c>
      <c r="F2">
        <v>2</v>
      </c>
      <c r="G2">
        <v>9</v>
      </c>
      <c r="H2" s="155">
        <f t="shared" ref="H2:H43" si="0">F2/G2*100</f>
        <v>22.222222222222221</v>
      </c>
      <c r="L2" s="155"/>
      <c r="N2">
        <v>5</v>
      </c>
      <c r="O2">
        <v>9</v>
      </c>
      <c r="P2" s="155">
        <f t="shared" ref="P2:P43" si="1">N2/O2*100</f>
        <v>55.555555555555557</v>
      </c>
      <c r="V2" s="225">
        <f>F$1+(50-H2)/(P2-H2)*(N$1-F$1)</f>
        <v>186.83333333333334</v>
      </c>
    </row>
    <row r="3" spans="1:22" x14ac:dyDescent="0.25">
      <c r="A3" t="s">
        <v>129</v>
      </c>
      <c r="B3">
        <v>0</v>
      </c>
      <c r="C3">
        <v>9</v>
      </c>
      <c r="D3" s="155">
        <f>B3/C3*100</f>
        <v>0</v>
      </c>
      <c r="F3">
        <v>0</v>
      </c>
      <c r="G3">
        <v>8</v>
      </c>
      <c r="H3" s="155">
        <f t="shared" si="0"/>
        <v>0</v>
      </c>
      <c r="L3" s="155"/>
      <c r="N3">
        <v>4</v>
      </c>
      <c r="O3">
        <v>8</v>
      </c>
      <c r="P3" s="155">
        <f t="shared" si="1"/>
        <v>50</v>
      </c>
      <c r="V3" s="225">
        <f>F$1+(50-H3)/(P3-H3)*(N$1-F$1)</f>
        <v>188</v>
      </c>
    </row>
    <row r="4" spans="1:22" x14ac:dyDescent="0.25">
      <c r="A4" t="s">
        <v>128</v>
      </c>
      <c r="B4">
        <v>0</v>
      </c>
      <c r="C4">
        <v>6</v>
      </c>
      <c r="D4" s="155">
        <f>B4/C4*100</f>
        <v>0</v>
      </c>
      <c r="F4">
        <v>3</v>
      </c>
      <c r="G4">
        <v>7</v>
      </c>
      <c r="H4" s="155">
        <f t="shared" si="0"/>
        <v>42.857142857142854</v>
      </c>
      <c r="J4">
        <v>2</v>
      </c>
      <c r="K4">
        <v>5</v>
      </c>
      <c r="L4" s="155">
        <f>J4/K4*100</f>
        <v>40</v>
      </c>
      <c r="N4">
        <v>4</v>
      </c>
      <c r="O4">
        <v>7</v>
      </c>
      <c r="P4" s="155">
        <f t="shared" si="1"/>
        <v>57.142857142857139</v>
      </c>
      <c r="V4" s="225">
        <f>J$1+(50-L4)/(P4-L4)*(N$1-J$1)</f>
        <v>185.91666666666666</v>
      </c>
    </row>
    <row r="5" spans="1:22" x14ac:dyDescent="0.25">
      <c r="A5" t="s">
        <v>127</v>
      </c>
      <c r="B5">
        <v>0</v>
      </c>
      <c r="C5">
        <v>4</v>
      </c>
      <c r="D5" s="155">
        <f>B5/C5*100</f>
        <v>0</v>
      </c>
      <c r="F5">
        <v>2</v>
      </c>
      <c r="G5">
        <v>5</v>
      </c>
      <c r="H5" s="155">
        <f t="shared" si="0"/>
        <v>40</v>
      </c>
      <c r="J5">
        <v>1</v>
      </c>
      <c r="K5">
        <v>4</v>
      </c>
      <c r="L5" s="155">
        <f>J5/K5*100</f>
        <v>25</v>
      </c>
      <c r="N5">
        <v>3</v>
      </c>
      <c r="O5">
        <v>5</v>
      </c>
      <c r="P5" s="155">
        <f t="shared" si="1"/>
        <v>60</v>
      </c>
      <c r="V5" s="225">
        <f>J$1+(50-L5)/(P5-L5)*(N$1-J$1)</f>
        <v>186.57142857142858</v>
      </c>
    </row>
    <row r="6" spans="1:22" x14ac:dyDescent="0.25">
      <c r="A6" t="s">
        <v>126</v>
      </c>
      <c r="B6">
        <v>0</v>
      </c>
      <c r="C6">
        <v>7</v>
      </c>
      <c r="D6" s="155">
        <f>B6/C6*100</f>
        <v>0</v>
      </c>
      <c r="F6">
        <v>0</v>
      </c>
      <c r="G6">
        <v>7</v>
      </c>
      <c r="H6" s="155">
        <f t="shared" si="0"/>
        <v>0</v>
      </c>
      <c r="J6">
        <v>2</v>
      </c>
      <c r="K6">
        <v>8</v>
      </c>
      <c r="L6" s="155">
        <f>J6/K6*100</f>
        <v>25</v>
      </c>
      <c r="N6">
        <v>5</v>
      </c>
      <c r="O6">
        <v>8</v>
      </c>
      <c r="P6" s="155">
        <f t="shared" si="1"/>
        <v>62.5</v>
      </c>
      <c r="V6" s="225">
        <f>J$1+(50-L6)/(P6-L6)*(N$1-J$1)</f>
        <v>186.33333333333334</v>
      </c>
    </row>
    <row r="7" spans="1:22" x14ac:dyDescent="0.25">
      <c r="A7" t="s">
        <v>125</v>
      </c>
      <c r="D7" s="155"/>
      <c r="F7">
        <v>1</v>
      </c>
      <c r="G7">
        <v>4</v>
      </c>
      <c r="H7" s="155">
        <f t="shared" si="0"/>
        <v>25</v>
      </c>
      <c r="J7">
        <v>2</v>
      </c>
      <c r="K7">
        <v>6</v>
      </c>
      <c r="L7" s="155">
        <f>J7/K7*100</f>
        <v>33.333333333333329</v>
      </c>
      <c r="N7">
        <v>4</v>
      </c>
      <c r="O7">
        <v>4</v>
      </c>
      <c r="P7" s="155">
        <f t="shared" si="1"/>
        <v>100</v>
      </c>
      <c r="V7" s="225">
        <f>J$1+(50-L7)/(P7-L7)*(N$1-J$1)</f>
        <v>184.25</v>
      </c>
    </row>
    <row r="8" spans="1:22" x14ac:dyDescent="0.25">
      <c r="A8" t="s">
        <v>124</v>
      </c>
      <c r="B8">
        <v>0</v>
      </c>
      <c r="C8">
        <v>4</v>
      </c>
      <c r="D8" s="155">
        <f>B8/C8*100</f>
        <v>0</v>
      </c>
      <c r="F8">
        <v>0</v>
      </c>
      <c r="G8">
        <v>5</v>
      </c>
      <c r="H8" s="155">
        <f t="shared" si="0"/>
        <v>0</v>
      </c>
      <c r="L8" s="155"/>
      <c r="N8">
        <v>2</v>
      </c>
      <c r="O8">
        <v>4</v>
      </c>
      <c r="P8" s="155">
        <f t="shared" si="1"/>
        <v>50</v>
      </c>
      <c r="V8" s="225">
        <f>F$1+(50-H8)/(P8-H8)*(N$1-F$1)</f>
        <v>188</v>
      </c>
    </row>
    <row r="9" spans="1:22" x14ac:dyDescent="0.25">
      <c r="A9" t="s">
        <v>123</v>
      </c>
      <c r="B9">
        <v>0</v>
      </c>
      <c r="C9">
        <v>8</v>
      </c>
      <c r="D9" s="155">
        <f>B9/C9*100</f>
        <v>0</v>
      </c>
      <c r="F9">
        <v>2</v>
      </c>
      <c r="G9">
        <v>7</v>
      </c>
      <c r="H9" s="155">
        <f t="shared" si="0"/>
        <v>28.571428571428569</v>
      </c>
      <c r="L9" s="155"/>
      <c r="N9">
        <v>4</v>
      </c>
      <c r="O9">
        <v>8</v>
      </c>
      <c r="P9" s="155">
        <f t="shared" si="1"/>
        <v>50</v>
      </c>
      <c r="V9" s="225">
        <f>F$1+(50-H9)/(P9-H9)*(N$1-F$1)</f>
        <v>188</v>
      </c>
    </row>
    <row r="10" spans="1:22" x14ac:dyDescent="0.25">
      <c r="A10" t="s">
        <v>122</v>
      </c>
      <c r="B10">
        <v>1</v>
      </c>
      <c r="C10">
        <v>7</v>
      </c>
      <c r="D10" s="155">
        <f>B10/C10*100</f>
        <v>14.285714285714285</v>
      </c>
      <c r="F10">
        <v>1</v>
      </c>
      <c r="G10">
        <v>7</v>
      </c>
      <c r="H10" s="155">
        <f t="shared" si="0"/>
        <v>14.285714285714285</v>
      </c>
      <c r="J10">
        <v>3</v>
      </c>
      <c r="K10">
        <v>6</v>
      </c>
      <c r="L10" s="155">
        <f>J10/K10*100</f>
        <v>50</v>
      </c>
      <c r="N10">
        <v>3</v>
      </c>
      <c r="O10">
        <v>5</v>
      </c>
      <c r="P10" s="155">
        <f t="shared" si="1"/>
        <v>60</v>
      </c>
      <c r="V10" s="225">
        <f>J$1+(50-L10)/(P10-L10)*(N$1-J$1)</f>
        <v>183</v>
      </c>
    </row>
    <row r="11" spans="1:22" x14ac:dyDescent="0.25">
      <c r="A11" t="s">
        <v>121</v>
      </c>
      <c r="B11">
        <v>0</v>
      </c>
      <c r="C11">
        <v>4</v>
      </c>
      <c r="D11" s="155">
        <f>B11/C11*100</f>
        <v>0</v>
      </c>
      <c r="F11">
        <v>1</v>
      </c>
      <c r="G11">
        <v>4</v>
      </c>
      <c r="H11" s="155">
        <f t="shared" si="0"/>
        <v>25</v>
      </c>
      <c r="J11">
        <v>3</v>
      </c>
      <c r="K11">
        <v>6</v>
      </c>
      <c r="L11" s="155">
        <f>J11/K11*100</f>
        <v>50</v>
      </c>
      <c r="N11">
        <v>1</v>
      </c>
      <c r="O11">
        <v>4</v>
      </c>
      <c r="P11" s="155">
        <f t="shared" si="1"/>
        <v>25</v>
      </c>
      <c r="V11" s="225">
        <f>J$1+(50-L11)/(P11-L11)*(N$1-J$1)</f>
        <v>183</v>
      </c>
    </row>
    <row r="12" spans="1:22" x14ac:dyDescent="0.25">
      <c r="A12" t="s">
        <v>120</v>
      </c>
      <c r="B12">
        <v>0</v>
      </c>
      <c r="C12">
        <v>2</v>
      </c>
      <c r="D12" s="155">
        <f>B12/C12*100</f>
        <v>0</v>
      </c>
      <c r="F12">
        <v>0</v>
      </c>
      <c r="G12">
        <v>5</v>
      </c>
      <c r="H12" s="155">
        <f t="shared" si="0"/>
        <v>0</v>
      </c>
      <c r="J12">
        <v>3</v>
      </c>
      <c r="K12">
        <v>7</v>
      </c>
      <c r="L12" s="155">
        <f>J12/K12*100</f>
        <v>42.857142857142854</v>
      </c>
      <c r="N12">
        <v>0</v>
      </c>
      <c r="O12">
        <v>4</v>
      </c>
      <c r="P12" s="155">
        <f t="shared" si="1"/>
        <v>0</v>
      </c>
      <c r="V12" s="225">
        <v>184</v>
      </c>
    </row>
    <row r="13" spans="1:22" x14ac:dyDescent="0.25">
      <c r="A13" t="s">
        <v>119</v>
      </c>
      <c r="D13" s="155"/>
      <c r="F13">
        <v>1</v>
      </c>
      <c r="G13">
        <v>5</v>
      </c>
      <c r="H13" s="155">
        <f t="shared" si="0"/>
        <v>20</v>
      </c>
      <c r="J13">
        <v>1</v>
      </c>
      <c r="K13">
        <v>7</v>
      </c>
      <c r="L13" s="155">
        <f>J13/K13*100</f>
        <v>14.285714285714285</v>
      </c>
      <c r="N13">
        <v>2</v>
      </c>
      <c r="O13">
        <v>6</v>
      </c>
      <c r="P13" s="155">
        <f t="shared" si="1"/>
        <v>33.333333333333329</v>
      </c>
      <c r="V13" s="225">
        <f>J$1+(50-L13)/(P13-L13)*(N$1-J$1)</f>
        <v>192.375</v>
      </c>
    </row>
    <row r="14" spans="1:22" x14ac:dyDescent="0.25">
      <c r="A14" t="s">
        <v>118</v>
      </c>
      <c r="B14">
        <v>1</v>
      </c>
      <c r="C14">
        <v>4</v>
      </c>
      <c r="D14" s="155">
        <f>B14/C14*100</f>
        <v>25</v>
      </c>
      <c r="F14">
        <v>1</v>
      </c>
      <c r="G14">
        <v>4</v>
      </c>
      <c r="H14" s="155">
        <f t="shared" si="0"/>
        <v>25</v>
      </c>
      <c r="L14" s="155"/>
      <c r="N14">
        <v>3</v>
      </c>
      <c r="O14">
        <v>5</v>
      </c>
      <c r="P14" s="155">
        <f t="shared" si="1"/>
        <v>60</v>
      </c>
      <c r="V14" s="225">
        <f>F$1+(50-H14)/(P14-H14)*(N$1-F$1)</f>
        <v>186</v>
      </c>
    </row>
    <row r="15" spans="1:22" x14ac:dyDescent="0.25">
      <c r="A15" t="s">
        <v>117</v>
      </c>
      <c r="B15">
        <v>0</v>
      </c>
      <c r="C15">
        <v>4</v>
      </c>
      <c r="D15" s="155">
        <f>B15/C15*100</f>
        <v>0</v>
      </c>
      <c r="F15">
        <v>2</v>
      </c>
      <c r="G15">
        <v>6</v>
      </c>
      <c r="H15" s="155">
        <f t="shared" si="0"/>
        <v>33.333333333333329</v>
      </c>
      <c r="L15" s="155"/>
      <c r="N15">
        <v>3</v>
      </c>
      <c r="O15">
        <v>7</v>
      </c>
      <c r="P15" s="155">
        <f t="shared" si="1"/>
        <v>42.857142857142854</v>
      </c>
      <c r="V15" s="225">
        <f>F$1+(50-H15)/(P15-H15)*(N$1-F$1)</f>
        <v>193.25</v>
      </c>
    </row>
    <row r="16" spans="1:22" x14ac:dyDescent="0.25">
      <c r="A16" t="s">
        <v>116</v>
      </c>
      <c r="B16">
        <v>1</v>
      </c>
      <c r="C16">
        <v>4</v>
      </c>
      <c r="D16" s="155">
        <f>B16/C16*100</f>
        <v>25</v>
      </c>
      <c r="F16">
        <v>2</v>
      </c>
      <c r="G16">
        <v>5</v>
      </c>
      <c r="H16" s="155">
        <f t="shared" si="0"/>
        <v>40</v>
      </c>
      <c r="J16">
        <v>3</v>
      </c>
      <c r="K16">
        <v>7</v>
      </c>
      <c r="L16" s="155">
        <f>J16/K16*100</f>
        <v>42.857142857142854</v>
      </c>
      <c r="N16">
        <v>4</v>
      </c>
      <c r="O16">
        <v>5</v>
      </c>
      <c r="P16" s="155">
        <f t="shared" si="1"/>
        <v>80</v>
      </c>
      <c r="V16" s="225">
        <f>J$1+(50-L16)/(P16-L16)*(N$1-J$1)</f>
        <v>183.96153846153845</v>
      </c>
    </row>
    <row r="17" spans="1:22" x14ac:dyDescent="0.25">
      <c r="A17" t="s">
        <v>115</v>
      </c>
      <c r="B17">
        <v>1</v>
      </c>
      <c r="C17">
        <v>6</v>
      </c>
      <c r="D17" s="155">
        <f>B17/C17*100</f>
        <v>16.666666666666664</v>
      </c>
      <c r="F17">
        <v>1</v>
      </c>
      <c r="G17">
        <v>5</v>
      </c>
      <c r="H17" s="155">
        <f t="shared" si="0"/>
        <v>20</v>
      </c>
      <c r="J17">
        <v>3</v>
      </c>
      <c r="K17">
        <v>6</v>
      </c>
      <c r="L17" s="155">
        <f>J17/K17*100</f>
        <v>50</v>
      </c>
      <c r="N17">
        <v>2</v>
      </c>
      <c r="O17">
        <v>4</v>
      </c>
      <c r="P17" s="155">
        <f t="shared" si="1"/>
        <v>50</v>
      </c>
      <c r="V17" s="225">
        <v>183</v>
      </c>
    </row>
    <row r="18" spans="1:22" x14ac:dyDescent="0.25">
      <c r="A18" t="s">
        <v>114</v>
      </c>
      <c r="B18">
        <v>1</v>
      </c>
      <c r="C18">
        <v>5</v>
      </c>
      <c r="D18" s="155">
        <f>B18/C18*100</f>
        <v>20</v>
      </c>
      <c r="F18">
        <v>2</v>
      </c>
      <c r="G18">
        <v>5</v>
      </c>
      <c r="H18" s="155">
        <f t="shared" si="0"/>
        <v>40</v>
      </c>
      <c r="J18">
        <v>1</v>
      </c>
      <c r="K18">
        <v>5</v>
      </c>
      <c r="L18" s="155">
        <f>J18/K18*100</f>
        <v>20</v>
      </c>
      <c r="N18">
        <v>4</v>
      </c>
      <c r="O18">
        <v>5</v>
      </c>
      <c r="P18" s="155">
        <f t="shared" si="1"/>
        <v>80</v>
      </c>
      <c r="V18" s="225">
        <f>J$1+(50-L18)/(P18-L18)*(N$1-J$1)</f>
        <v>185.5</v>
      </c>
    </row>
    <row r="19" spans="1:22" x14ac:dyDescent="0.25">
      <c r="A19" t="s">
        <v>113</v>
      </c>
      <c r="D19" s="155"/>
      <c r="F19">
        <v>1</v>
      </c>
      <c r="G19">
        <v>8</v>
      </c>
      <c r="H19" s="155">
        <f t="shared" si="0"/>
        <v>12.5</v>
      </c>
      <c r="J19">
        <v>3</v>
      </c>
      <c r="K19">
        <v>7</v>
      </c>
      <c r="L19" s="155">
        <f>J19/K19*100</f>
        <v>42.857142857142854</v>
      </c>
      <c r="N19">
        <v>6</v>
      </c>
      <c r="O19">
        <v>8</v>
      </c>
      <c r="P19" s="155">
        <f t="shared" si="1"/>
        <v>75</v>
      </c>
      <c r="V19" s="225">
        <f>J$1+(50-L19)/(P19-L19)*(N$1-J$1)</f>
        <v>184.11111111111111</v>
      </c>
    </row>
    <row r="20" spans="1:22" x14ac:dyDescent="0.25">
      <c r="A20" t="s">
        <v>100</v>
      </c>
      <c r="B20">
        <v>0</v>
      </c>
      <c r="C20">
        <v>5</v>
      </c>
      <c r="D20" s="155">
        <f>B20/C20*100</f>
        <v>0</v>
      </c>
      <c r="F20">
        <v>2</v>
      </c>
      <c r="G20">
        <v>7</v>
      </c>
      <c r="H20" s="155">
        <f t="shared" si="0"/>
        <v>28.571428571428569</v>
      </c>
      <c r="L20" s="155"/>
      <c r="N20">
        <v>3</v>
      </c>
      <c r="O20">
        <v>6</v>
      </c>
      <c r="P20" s="155">
        <f t="shared" si="1"/>
        <v>50</v>
      </c>
      <c r="V20" s="225">
        <f>F$1+(50-H20)/(P20-H20)*(N$1-F$1)</f>
        <v>188</v>
      </c>
    </row>
    <row r="21" spans="1:22" x14ac:dyDescent="0.25">
      <c r="A21" t="s">
        <v>99</v>
      </c>
      <c r="B21">
        <v>0</v>
      </c>
      <c r="C21">
        <v>6</v>
      </c>
      <c r="D21" s="155">
        <f>B21/C21*100</f>
        <v>0</v>
      </c>
      <c r="F21">
        <v>1</v>
      </c>
      <c r="G21">
        <v>6</v>
      </c>
      <c r="H21" s="155">
        <f t="shared" si="0"/>
        <v>16.666666666666664</v>
      </c>
      <c r="L21" s="155"/>
      <c r="N21">
        <v>3</v>
      </c>
      <c r="O21">
        <v>6</v>
      </c>
      <c r="P21" s="155">
        <f t="shared" si="1"/>
        <v>50</v>
      </c>
      <c r="V21" s="225">
        <f>F$1+(50-H21)/(P21-H21)*(N$1-F$1)</f>
        <v>188</v>
      </c>
    </row>
    <row r="22" spans="1:22" x14ac:dyDescent="0.25">
      <c r="A22" t="s">
        <v>98</v>
      </c>
      <c r="B22">
        <v>0</v>
      </c>
      <c r="C22">
        <v>6</v>
      </c>
      <c r="D22" s="155">
        <f>B22/C22*100</f>
        <v>0</v>
      </c>
      <c r="F22">
        <v>0</v>
      </c>
      <c r="G22">
        <v>6</v>
      </c>
      <c r="H22" s="155">
        <f t="shared" si="0"/>
        <v>0</v>
      </c>
      <c r="J22">
        <v>2</v>
      </c>
      <c r="K22">
        <v>6</v>
      </c>
      <c r="L22" s="155">
        <f>J22/K22*100</f>
        <v>33.333333333333329</v>
      </c>
      <c r="N22">
        <v>4</v>
      </c>
      <c r="O22">
        <v>5</v>
      </c>
      <c r="P22" s="155">
        <f t="shared" si="1"/>
        <v>80</v>
      </c>
      <c r="V22" s="225">
        <f>J$1+(50-L22)/(P22-L22)*(N$1-J$1)</f>
        <v>184.78571428571428</v>
      </c>
    </row>
    <row r="23" spans="1:22" x14ac:dyDescent="0.25">
      <c r="A23" t="s">
        <v>97</v>
      </c>
      <c r="B23">
        <v>1</v>
      </c>
      <c r="C23">
        <v>8</v>
      </c>
      <c r="D23" s="155">
        <f>B23/C23*100</f>
        <v>12.5</v>
      </c>
      <c r="F23">
        <v>1</v>
      </c>
      <c r="G23">
        <v>7</v>
      </c>
      <c r="H23" s="155">
        <f t="shared" si="0"/>
        <v>14.285714285714285</v>
      </c>
      <c r="J23">
        <v>1</v>
      </c>
      <c r="K23">
        <v>5</v>
      </c>
      <c r="L23" s="155">
        <f>J23/K23*100</f>
        <v>20</v>
      </c>
      <c r="N23">
        <v>2</v>
      </c>
      <c r="O23">
        <v>6</v>
      </c>
      <c r="P23" s="155">
        <f t="shared" si="1"/>
        <v>33.333333333333329</v>
      </c>
      <c r="V23" s="225">
        <f>J$1+(50-L23)/(P23-L23)*(N$1-J$1)</f>
        <v>194.25</v>
      </c>
    </row>
    <row r="24" spans="1:22" x14ac:dyDescent="0.25">
      <c r="A24" t="s">
        <v>96</v>
      </c>
      <c r="B24">
        <v>2</v>
      </c>
      <c r="C24">
        <v>5</v>
      </c>
      <c r="D24" s="155">
        <f>B24/C24*100</f>
        <v>40</v>
      </c>
      <c r="F24">
        <v>0</v>
      </c>
      <c r="G24">
        <v>5</v>
      </c>
      <c r="H24" s="155">
        <f t="shared" si="0"/>
        <v>0</v>
      </c>
      <c r="J24">
        <v>3</v>
      </c>
      <c r="K24">
        <v>6</v>
      </c>
      <c r="L24" s="155">
        <f>J24/K24*100</f>
        <v>50</v>
      </c>
      <c r="N24">
        <v>5</v>
      </c>
      <c r="O24">
        <v>8</v>
      </c>
      <c r="P24" s="155">
        <f t="shared" si="1"/>
        <v>62.5</v>
      </c>
      <c r="V24" s="225">
        <f>J$1+(50-L24)/(P24-L24)*(N$1-J$1)</f>
        <v>183</v>
      </c>
    </row>
    <row r="25" spans="1:22" x14ac:dyDescent="0.25">
      <c r="A25" t="s">
        <v>95</v>
      </c>
      <c r="D25" s="155"/>
      <c r="F25">
        <v>1</v>
      </c>
      <c r="G25">
        <v>5</v>
      </c>
      <c r="H25" s="155">
        <f t="shared" si="0"/>
        <v>20</v>
      </c>
      <c r="J25">
        <v>2</v>
      </c>
      <c r="K25">
        <v>7</v>
      </c>
      <c r="L25" s="155">
        <f>J25/K25*100</f>
        <v>28.571428571428569</v>
      </c>
      <c r="N25">
        <v>1</v>
      </c>
      <c r="O25">
        <v>5</v>
      </c>
      <c r="P25" s="155">
        <f t="shared" si="1"/>
        <v>20</v>
      </c>
      <c r="V25" s="225">
        <f>F$1+(50-H25)/(L25-H25)*(K$1-F$1)</f>
        <v>188</v>
      </c>
    </row>
    <row r="26" spans="1:22" x14ac:dyDescent="0.25">
      <c r="A26" t="s">
        <v>94</v>
      </c>
      <c r="B26">
        <v>0</v>
      </c>
      <c r="C26">
        <v>7</v>
      </c>
      <c r="D26" s="155">
        <f>B26/C26*100</f>
        <v>0</v>
      </c>
      <c r="F26">
        <v>2</v>
      </c>
      <c r="G26">
        <v>7</v>
      </c>
      <c r="H26" s="155">
        <f t="shared" si="0"/>
        <v>28.571428571428569</v>
      </c>
      <c r="L26" s="155"/>
      <c r="N26">
        <v>5</v>
      </c>
      <c r="O26">
        <v>7</v>
      </c>
      <c r="P26" s="155">
        <f t="shared" si="1"/>
        <v>71.428571428571431</v>
      </c>
      <c r="V26" s="225">
        <f>F$1+(50-H26)/(P26-H26)*(N$1-F$1)</f>
        <v>184.5</v>
      </c>
    </row>
    <row r="27" spans="1:22" x14ac:dyDescent="0.25">
      <c r="A27" t="s">
        <v>93</v>
      </c>
      <c r="B27">
        <v>0</v>
      </c>
      <c r="C27">
        <v>5</v>
      </c>
      <c r="D27" s="155">
        <f>B27/C27*100</f>
        <v>0</v>
      </c>
      <c r="F27">
        <v>0</v>
      </c>
      <c r="G27">
        <v>5</v>
      </c>
      <c r="H27" s="155">
        <f t="shared" si="0"/>
        <v>0</v>
      </c>
      <c r="L27" s="155"/>
      <c r="N27">
        <v>1</v>
      </c>
      <c r="O27">
        <v>4</v>
      </c>
      <c r="P27" s="155">
        <f t="shared" si="1"/>
        <v>25</v>
      </c>
      <c r="V27" s="225">
        <f>F$1+(50-H27)/(P27-H27)*(N$1-F$1)</f>
        <v>195</v>
      </c>
    </row>
    <row r="28" spans="1:22" x14ac:dyDescent="0.25">
      <c r="A28" t="s">
        <v>92</v>
      </c>
      <c r="B28">
        <v>0</v>
      </c>
      <c r="C28">
        <v>6</v>
      </c>
      <c r="D28" s="155">
        <f>B28/C28*100</f>
        <v>0</v>
      </c>
      <c r="F28">
        <v>1</v>
      </c>
      <c r="G28">
        <v>6</v>
      </c>
      <c r="H28" s="155">
        <f t="shared" si="0"/>
        <v>16.666666666666664</v>
      </c>
      <c r="J28">
        <v>3</v>
      </c>
      <c r="K28">
        <v>8</v>
      </c>
      <c r="L28" s="155">
        <f>J28/K28*100</f>
        <v>37.5</v>
      </c>
      <c r="N28">
        <v>4</v>
      </c>
      <c r="O28">
        <v>5</v>
      </c>
      <c r="P28" s="155">
        <f t="shared" si="1"/>
        <v>80</v>
      </c>
      <c r="V28" s="225">
        <f>J$1+(50-L28)/(P28-L28)*(N$1-J$1)</f>
        <v>184.47058823529412</v>
      </c>
    </row>
    <row r="29" spans="1:22" x14ac:dyDescent="0.25">
      <c r="A29" t="s">
        <v>91</v>
      </c>
      <c r="B29">
        <v>0</v>
      </c>
      <c r="C29">
        <v>3</v>
      </c>
      <c r="D29" s="155">
        <f>B29/C29*100</f>
        <v>0</v>
      </c>
      <c r="F29">
        <v>1</v>
      </c>
      <c r="G29">
        <v>6</v>
      </c>
      <c r="H29" s="155">
        <f t="shared" si="0"/>
        <v>16.666666666666664</v>
      </c>
      <c r="J29">
        <v>3</v>
      </c>
      <c r="K29">
        <v>7</v>
      </c>
      <c r="L29" s="155">
        <f>J29/K29*100</f>
        <v>42.857142857142854</v>
      </c>
      <c r="N29">
        <v>3</v>
      </c>
      <c r="O29">
        <v>5</v>
      </c>
      <c r="P29" s="155">
        <f t="shared" si="1"/>
        <v>60</v>
      </c>
      <c r="V29" s="225">
        <f>J$1+(50-L29)/(P29-L29)*(N$1-J$1)</f>
        <v>185.08333333333334</v>
      </c>
    </row>
    <row r="30" spans="1:22" x14ac:dyDescent="0.25">
      <c r="A30" t="s">
        <v>90</v>
      </c>
      <c r="B30">
        <v>0</v>
      </c>
      <c r="C30">
        <v>4</v>
      </c>
      <c r="D30" s="155">
        <f>B30/C30*100</f>
        <v>0</v>
      </c>
      <c r="F30">
        <v>0</v>
      </c>
      <c r="G30">
        <v>7</v>
      </c>
      <c r="H30" s="155">
        <f t="shared" si="0"/>
        <v>0</v>
      </c>
      <c r="J30">
        <v>2</v>
      </c>
      <c r="K30">
        <v>8</v>
      </c>
      <c r="L30" s="155">
        <f>J30/K30*100</f>
        <v>25</v>
      </c>
      <c r="N30">
        <v>4</v>
      </c>
      <c r="O30">
        <v>6</v>
      </c>
      <c r="P30" s="155">
        <f t="shared" si="1"/>
        <v>66.666666666666657</v>
      </c>
      <c r="V30" s="225">
        <f>J$1+(50-L30)/(P30-L30)*(N$1-J$1)</f>
        <v>186</v>
      </c>
    </row>
    <row r="31" spans="1:22" x14ac:dyDescent="0.25">
      <c r="A31" t="s">
        <v>89</v>
      </c>
      <c r="D31" s="155"/>
      <c r="F31">
        <v>1</v>
      </c>
      <c r="G31">
        <v>5</v>
      </c>
      <c r="H31" s="155">
        <f t="shared" si="0"/>
        <v>20</v>
      </c>
      <c r="J31">
        <v>2</v>
      </c>
      <c r="K31">
        <v>4</v>
      </c>
      <c r="L31" s="155">
        <f>J31/K31*100</f>
        <v>50</v>
      </c>
      <c r="N31">
        <v>3</v>
      </c>
      <c r="O31">
        <v>4</v>
      </c>
      <c r="P31" s="155">
        <f t="shared" si="1"/>
        <v>75</v>
      </c>
      <c r="V31" s="225">
        <f>J$1+(50-L31)/(P31-L31)*(N$1-J$1)</f>
        <v>183</v>
      </c>
    </row>
    <row r="32" spans="1:22" x14ac:dyDescent="0.25">
      <c r="A32" t="s">
        <v>76</v>
      </c>
      <c r="B32">
        <v>0</v>
      </c>
      <c r="C32">
        <v>9</v>
      </c>
      <c r="D32" s="155">
        <f>B32/C32*100</f>
        <v>0</v>
      </c>
      <c r="F32">
        <v>0</v>
      </c>
      <c r="G32">
        <v>9</v>
      </c>
      <c r="H32" s="155">
        <f t="shared" si="0"/>
        <v>0</v>
      </c>
      <c r="L32" s="155"/>
      <c r="N32">
        <v>5</v>
      </c>
      <c r="O32">
        <v>8</v>
      </c>
      <c r="P32" s="155">
        <f t="shared" si="1"/>
        <v>62.5</v>
      </c>
      <c r="R32">
        <v>5</v>
      </c>
      <c r="S32">
        <v>8</v>
      </c>
      <c r="T32" s="155">
        <f t="shared" ref="T32:T43" si="2">R32/S32*100</f>
        <v>62.5</v>
      </c>
      <c r="V32" s="225">
        <f>F$1+(50-H32)/(P32-H32)*(N$1-F$1)</f>
        <v>186.6</v>
      </c>
    </row>
    <row r="33" spans="1:22" x14ac:dyDescent="0.25">
      <c r="A33" t="s">
        <v>75</v>
      </c>
      <c r="B33">
        <v>0</v>
      </c>
      <c r="C33">
        <v>6</v>
      </c>
      <c r="D33" s="155">
        <f>B33/C33*100</f>
        <v>0</v>
      </c>
      <c r="F33">
        <v>1</v>
      </c>
      <c r="G33">
        <v>6</v>
      </c>
      <c r="H33" s="155">
        <f t="shared" si="0"/>
        <v>16.666666666666664</v>
      </c>
      <c r="J33">
        <v>1</v>
      </c>
      <c r="K33">
        <v>10</v>
      </c>
      <c r="L33" s="155">
        <f>J33/K33*100</f>
        <v>10</v>
      </c>
      <c r="N33">
        <v>2</v>
      </c>
      <c r="O33">
        <v>5</v>
      </c>
      <c r="P33" s="155">
        <f t="shared" si="1"/>
        <v>40</v>
      </c>
      <c r="R33">
        <v>3</v>
      </c>
      <c r="S33">
        <v>6</v>
      </c>
      <c r="T33" s="155">
        <f t="shared" si="2"/>
        <v>50</v>
      </c>
      <c r="V33" s="225">
        <f>N$1+(50-P33)/(T33-P33)*(R$1-N$1)</f>
        <v>192</v>
      </c>
    </row>
    <row r="34" spans="1:22" x14ac:dyDescent="0.25">
      <c r="A34" t="s">
        <v>74</v>
      </c>
      <c r="B34">
        <v>1</v>
      </c>
      <c r="C34">
        <v>9</v>
      </c>
      <c r="D34" s="155">
        <f>B34/C34*100</f>
        <v>11.111111111111111</v>
      </c>
      <c r="F34">
        <v>0</v>
      </c>
      <c r="G34">
        <v>10</v>
      </c>
      <c r="H34" s="155">
        <f t="shared" si="0"/>
        <v>0</v>
      </c>
      <c r="J34">
        <v>0</v>
      </c>
      <c r="K34">
        <v>8</v>
      </c>
      <c r="L34" s="155">
        <f>J34/K34*100</f>
        <v>0</v>
      </c>
      <c r="N34">
        <v>4</v>
      </c>
      <c r="O34">
        <v>9</v>
      </c>
      <c r="P34" s="155">
        <f t="shared" si="1"/>
        <v>44.444444444444443</v>
      </c>
      <c r="R34">
        <v>7</v>
      </c>
      <c r="S34">
        <v>9</v>
      </c>
      <c r="T34" s="155">
        <f t="shared" si="2"/>
        <v>77.777777777777786</v>
      </c>
      <c r="V34" s="225">
        <f>N$1+(50-P34)/(T34-P34)*(R$1-N$1)</f>
        <v>188.66666666666666</v>
      </c>
    </row>
    <row r="35" spans="1:22" x14ac:dyDescent="0.25">
      <c r="A35" t="s">
        <v>73</v>
      </c>
      <c r="B35">
        <v>1</v>
      </c>
      <c r="C35">
        <v>12</v>
      </c>
      <c r="D35" s="155">
        <f>B35/C35*100</f>
        <v>8.3333333333333321</v>
      </c>
      <c r="F35">
        <v>1</v>
      </c>
      <c r="G35">
        <v>11</v>
      </c>
      <c r="H35" s="155">
        <f t="shared" si="0"/>
        <v>9.0909090909090917</v>
      </c>
      <c r="J35">
        <v>4</v>
      </c>
      <c r="K35">
        <v>11</v>
      </c>
      <c r="L35" s="155">
        <f>J35/K35*100</f>
        <v>36.363636363636367</v>
      </c>
      <c r="N35">
        <v>4</v>
      </c>
      <c r="O35">
        <v>9</v>
      </c>
      <c r="P35" s="155">
        <f t="shared" si="1"/>
        <v>44.444444444444443</v>
      </c>
      <c r="R35">
        <v>5</v>
      </c>
      <c r="S35">
        <v>10</v>
      </c>
      <c r="T35" s="155">
        <f t="shared" si="2"/>
        <v>50</v>
      </c>
      <c r="V35" s="225">
        <f>N$1+(50-P35)/(T35-P35)*(R$1-N$1)</f>
        <v>192</v>
      </c>
    </row>
    <row r="36" spans="1:22" x14ac:dyDescent="0.25">
      <c r="A36" t="s">
        <v>72</v>
      </c>
      <c r="B36">
        <v>0</v>
      </c>
      <c r="C36">
        <v>14</v>
      </c>
      <c r="D36" s="155">
        <f>B36/C36*100</f>
        <v>0</v>
      </c>
      <c r="F36">
        <v>0</v>
      </c>
      <c r="G36">
        <v>10</v>
      </c>
      <c r="H36" s="155">
        <f t="shared" si="0"/>
        <v>0</v>
      </c>
      <c r="J36">
        <v>4</v>
      </c>
      <c r="K36">
        <v>10</v>
      </c>
      <c r="L36" s="155">
        <f>J36/K36*100</f>
        <v>40</v>
      </c>
      <c r="N36">
        <v>4</v>
      </c>
      <c r="O36">
        <v>10</v>
      </c>
      <c r="P36" s="155">
        <f t="shared" si="1"/>
        <v>40</v>
      </c>
      <c r="R36">
        <v>6</v>
      </c>
      <c r="S36">
        <v>10</v>
      </c>
      <c r="T36" s="155">
        <f t="shared" si="2"/>
        <v>60</v>
      </c>
      <c r="V36" s="225">
        <f>N$1+(50-P36)/(T36-P36)*(R$1-N$1)</f>
        <v>190</v>
      </c>
    </row>
    <row r="37" spans="1:22" x14ac:dyDescent="0.25">
      <c r="A37" t="s">
        <v>71</v>
      </c>
      <c r="D37" s="155"/>
      <c r="F37">
        <v>0</v>
      </c>
      <c r="G37">
        <v>10</v>
      </c>
      <c r="H37" s="155">
        <f t="shared" si="0"/>
        <v>0</v>
      </c>
      <c r="J37">
        <v>0</v>
      </c>
      <c r="K37">
        <v>6</v>
      </c>
      <c r="L37" s="155">
        <f>J37/K37*100</f>
        <v>0</v>
      </c>
      <c r="N37">
        <v>5</v>
      </c>
      <c r="O37">
        <v>8</v>
      </c>
      <c r="P37" s="155">
        <f t="shared" si="1"/>
        <v>62.5</v>
      </c>
      <c r="R37">
        <v>6</v>
      </c>
      <c r="S37">
        <v>9</v>
      </c>
      <c r="T37" s="155">
        <f t="shared" si="2"/>
        <v>66.666666666666657</v>
      </c>
      <c r="V37" s="225">
        <f>J$1+(50-L37)/(P37-L37)*(N$1-J$1)</f>
        <v>187</v>
      </c>
    </row>
    <row r="38" spans="1:22" x14ac:dyDescent="0.25">
      <c r="A38" t="s">
        <v>70</v>
      </c>
      <c r="B38">
        <v>0</v>
      </c>
      <c r="C38">
        <v>10</v>
      </c>
      <c r="D38" s="155">
        <f>B38/C38*100</f>
        <v>0</v>
      </c>
      <c r="F38">
        <v>0</v>
      </c>
      <c r="G38">
        <v>11</v>
      </c>
      <c r="H38" s="155">
        <f t="shared" si="0"/>
        <v>0</v>
      </c>
      <c r="L38" s="155"/>
      <c r="N38">
        <v>3</v>
      </c>
      <c r="O38">
        <v>9</v>
      </c>
      <c r="P38" s="155">
        <f t="shared" si="1"/>
        <v>33.333333333333329</v>
      </c>
      <c r="R38">
        <v>6</v>
      </c>
      <c r="S38">
        <v>10</v>
      </c>
      <c r="T38" s="155">
        <f t="shared" si="2"/>
        <v>60</v>
      </c>
      <c r="V38" s="225">
        <f t="shared" ref="V38:V43" si="3">N$1+(50-P38)/(T38-P38)*(R$1-N$1)</f>
        <v>190.5</v>
      </c>
    </row>
    <row r="39" spans="1:22" x14ac:dyDescent="0.25">
      <c r="A39" t="s">
        <v>69</v>
      </c>
      <c r="B39">
        <v>1</v>
      </c>
      <c r="C39">
        <v>13</v>
      </c>
      <c r="D39" s="155">
        <f>B39/C39*100</f>
        <v>7.6923076923076925</v>
      </c>
      <c r="F39">
        <v>1</v>
      </c>
      <c r="G39">
        <v>12</v>
      </c>
      <c r="H39" s="155">
        <f t="shared" si="0"/>
        <v>8.3333333333333321</v>
      </c>
      <c r="J39">
        <v>3</v>
      </c>
      <c r="K39">
        <v>10</v>
      </c>
      <c r="L39" s="155">
        <f>J39/K39*100</f>
        <v>30</v>
      </c>
      <c r="N39">
        <v>5</v>
      </c>
      <c r="O39">
        <v>12</v>
      </c>
      <c r="P39" s="155">
        <f t="shared" si="1"/>
        <v>41.666666666666671</v>
      </c>
      <c r="R39">
        <v>6</v>
      </c>
      <c r="S39">
        <v>11</v>
      </c>
      <c r="T39" s="155">
        <f t="shared" si="2"/>
        <v>54.54545454545454</v>
      </c>
      <c r="V39" s="225">
        <f t="shared" si="3"/>
        <v>190.58823529411765</v>
      </c>
    </row>
    <row r="40" spans="1:22" x14ac:dyDescent="0.25">
      <c r="A40" t="s">
        <v>68</v>
      </c>
      <c r="B40">
        <v>0</v>
      </c>
      <c r="C40">
        <v>12</v>
      </c>
      <c r="D40" s="155">
        <f>B40/C40*100</f>
        <v>0</v>
      </c>
      <c r="F40">
        <v>1</v>
      </c>
      <c r="G40">
        <v>11</v>
      </c>
      <c r="H40" s="155">
        <f t="shared" si="0"/>
        <v>9.0909090909090917</v>
      </c>
      <c r="J40">
        <v>3</v>
      </c>
      <c r="K40">
        <v>11</v>
      </c>
      <c r="L40" s="155">
        <f>J40/K40*100</f>
        <v>27.27272727272727</v>
      </c>
      <c r="N40">
        <v>4</v>
      </c>
      <c r="O40">
        <v>11</v>
      </c>
      <c r="P40" s="155">
        <f t="shared" si="1"/>
        <v>36.363636363636367</v>
      </c>
      <c r="R40">
        <v>7</v>
      </c>
      <c r="S40">
        <v>11</v>
      </c>
      <c r="T40" s="155">
        <f t="shared" si="2"/>
        <v>63.636363636363633</v>
      </c>
      <c r="V40" s="225">
        <f t="shared" si="3"/>
        <v>190</v>
      </c>
    </row>
    <row r="41" spans="1:22" x14ac:dyDescent="0.25">
      <c r="A41" t="s">
        <v>67</v>
      </c>
      <c r="B41">
        <v>1</v>
      </c>
      <c r="C41">
        <v>13</v>
      </c>
      <c r="D41" s="155">
        <f>B41/C41*100</f>
        <v>7.6923076923076925</v>
      </c>
      <c r="F41">
        <v>0</v>
      </c>
      <c r="G41">
        <v>12</v>
      </c>
      <c r="H41" s="155">
        <f t="shared" si="0"/>
        <v>0</v>
      </c>
      <c r="J41">
        <v>3</v>
      </c>
      <c r="K41">
        <v>11</v>
      </c>
      <c r="L41" s="155">
        <f>J41/K41*100</f>
        <v>27.27272727272727</v>
      </c>
      <c r="N41">
        <v>3</v>
      </c>
      <c r="O41">
        <v>10</v>
      </c>
      <c r="P41" s="155">
        <f t="shared" si="1"/>
        <v>30</v>
      </c>
      <c r="R41">
        <v>6</v>
      </c>
      <c r="S41">
        <v>11</v>
      </c>
      <c r="T41" s="155">
        <f t="shared" si="2"/>
        <v>54.54545454545454</v>
      </c>
      <c r="V41" s="225">
        <f t="shared" si="3"/>
        <v>191.25925925925927</v>
      </c>
    </row>
    <row r="42" spans="1:22" x14ac:dyDescent="0.25">
      <c r="A42" t="s">
        <v>66</v>
      </c>
      <c r="B42">
        <v>0</v>
      </c>
      <c r="C42">
        <v>14</v>
      </c>
      <c r="D42" s="155">
        <f>B42/C42*100</f>
        <v>0</v>
      </c>
      <c r="F42">
        <v>2</v>
      </c>
      <c r="G42">
        <v>11</v>
      </c>
      <c r="H42" s="155">
        <f t="shared" si="0"/>
        <v>18.181818181818183</v>
      </c>
      <c r="J42">
        <v>2</v>
      </c>
      <c r="K42">
        <v>12</v>
      </c>
      <c r="L42" s="155">
        <f>J42/K42*100</f>
        <v>16.666666666666664</v>
      </c>
      <c r="N42">
        <v>3</v>
      </c>
      <c r="O42">
        <v>12</v>
      </c>
      <c r="P42" s="155">
        <f t="shared" si="1"/>
        <v>25</v>
      </c>
      <c r="R42">
        <v>8</v>
      </c>
      <c r="S42">
        <v>11</v>
      </c>
      <c r="T42" s="155">
        <f t="shared" si="2"/>
        <v>72.727272727272734</v>
      </c>
      <c r="V42" s="225">
        <f t="shared" si="3"/>
        <v>190.0952380952381</v>
      </c>
    </row>
    <row r="43" spans="1:22" x14ac:dyDescent="0.25">
      <c r="A43" t="s">
        <v>65</v>
      </c>
      <c r="F43">
        <v>2</v>
      </c>
      <c r="G43">
        <v>15</v>
      </c>
      <c r="H43" s="155">
        <f t="shared" si="0"/>
        <v>13.333333333333334</v>
      </c>
      <c r="J43">
        <v>1</v>
      </c>
      <c r="K43">
        <v>14</v>
      </c>
      <c r="L43" s="155">
        <f>J43/K43*100</f>
        <v>7.1428571428571423</v>
      </c>
      <c r="N43">
        <v>2</v>
      </c>
      <c r="O43">
        <v>12</v>
      </c>
      <c r="P43" s="155">
        <f t="shared" si="1"/>
        <v>16.666666666666664</v>
      </c>
      <c r="R43">
        <v>8</v>
      </c>
      <c r="S43">
        <v>13</v>
      </c>
      <c r="T43" s="155">
        <f t="shared" si="2"/>
        <v>61.53846153846154</v>
      </c>
      <c r="V43" s="225">
        <f t="shared" si="3"/>
        <v>190.97142857142856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073A-F547-4670-BB80-ED9807984B4B}">
  <sheetPr>
    <pageSetUpPr fitToPage="1"/>
  </sheetPr>
  <dimension ref="A1:X72"/>
  <sheetViews>
    <sheetView zoomScale="70" zoomScaleNormal="70" zoomScaleSheetLayoutView="70" workbookViewId="0"/>
  </sheetViews>
  <sheetFormatPr defaultColWidth="8.85546875" defaultRowHeight="15" x14ac:dyDescent="0.25"/>
  <cols>
    <col min="1" max="1" width="7.42578125" style="87" customWidth="1"/>
    <col min="2" max="3" width="8.140625" style="6" customWidth="1"/>
    <col min="4" max="7" width="12.7109375" style="6" customWidth="1"/>
    <col min="8" max="15" width="12.7109375" style="87" customWidth="1"/>
    <col min="16" max="33" width="9.7109375" style="87" customWidth="1"/>
    <col min="34" max="35" width="8.7109375" style="87" customWidth="1"/>
    <col min="36" max="16384" width="8.85546875" style="87"/>
  </cols>
  <sheetData>
    <row r="1" spans="1:24" ht="18" x14ac:dyDescent="0.25">
      <c r="A1" s="2">
        <v>2014</v>
      </c>
      <c r="B1" s="3" t="s">
        <v>29</v>
      </c>
      <c r="C1" s="3"/>
      <c r="D1" s="4"/>
      <c r="E1" s="4"/>
      <c r="F1" s="4"/>
      <c r="G1" s="4"/>
      <c r="H1" s="4"/>
      <c r="I1" s="4"/>
      <c r="J1" s="4"/>
      <c r="K1" s="4"/>
      <c r="L1" s="4"/>
      <c r="M1" s="4"/>
      <c r="N1" s="4"/>
      <c r="O1" s="4"/>
      <c r="P1" s="4"/>
      <c r="Q1" s="4"/>
      <c r="R1" s="4"/>
      <c r="S1" s="4"/>
      <c r="T1" s="4"/>
      <c r="U1" s="4"/>
      <c r="V1" s="4"/>
      <c r="W1" s="4"/>
    </row>
    <row r="2" spans="1:24" ht="18" x14ac:dyDescent="0.25">
      <c r="A2" s="4"/>
      <c r="B2" s="3" t="s">
        <v>20</v>
      </c>
      <c r="C2" s="3"/>
      <c r="F2" s="3" t="s">
        <v>21</v>
      </c>
      <c r="G2" s="3"/>
      <c r="H2" s="4"/>
      <c r="I2" s="4"/>
      <c r="J2" s="4"/>
      <c r="K2" s="4"/>
      <c r="L2" s="4"/>
      <c r="M2" s="4"/>
      <c r="N2" s="4"/>
      <c r="O2" s="4"/>
      <c r="P2" s="4"/>
      <c r="Q2" s="4"/>
      <c r="R2" s="4"/>
      <c r="U2" s="4"/>
      <c r="V2" s="4"/>
      <c r="W2" s="4"/>
      <c r="X2" s="4"/>
    </row>
    <row r="3" spans="1:24" ht="18" x14ac:dyDescent="0.25">
      <c r="B3" s="3"/>
      <c r="C3" s="3"/>
    </row>
    <row r="4" spans="1:24" ht="27" x14ac:dyDescent="0.25">
      <c r="B4" s="217" t="s">
        <v>269</v>
      </c>
      <c r="C4" s="3"/>
      <c r="E4" s="7"/>
      <c r="F4" s="8" t="s">
        <v>32</v>
      </c>
      <c r="G4" s="234">
        <v>41816</v>
      </c>
      <c r="H4" s="8" t="s">
        <v>33</v>
      </c>
      <c r="I4" s="233" t="s">
        <v>268</v>
      </c>
      <c r="K4" s="1" t="s">
        <v>30</v>
      </c>
    </row>
    <row r="5" spans="1:24" ht="23.25" x14ac:dyDescent="0.25">
      <c r="B5" s="3"/>
      <c r="C5" s="3"/>
      <c r="D5" s="3"/>
      <c r="E5" s="7"/>
      <c r="F5" s="7"/>
      <c r="G5" s="231"/>
      <c r="H5" s="8" t="s">
        <v>34</v>
      </c>
      <c r="I5" s="232" t="s">
        <v>253</v>
      </c>
      <c r="K5" s="11"/>
      <c r="L5" s="11"/>
    </row>
    <row r="6" spans="1:24" ht="42.6" customHeight="1" x14ac:dyDescent="0.25">
      <c r="B6" s="3"/>
      <c r="C6" s="3"/>
      <c r="D6" s="3"/>
      <c r="E6" s="3"/>
      <c r="F6" s="4" t="s">
        <v>267</v>
      </c>
      <c r="G6" s="4"/>
      <c r="H6" s="231"/>
      <c r="I6" s="231"/>
      <c r="J6" s="7"/>
      <c r="K6" s="66"/>
      <c r="L6" s="66"/>
      <c r="M6" s="66"/>
      <c r="N6" s="66"/>
      <c r="P6" s="10"/>
      <c r="S6" s="11"/>
      <c r="T6" s="11"/>
    </row>
    <row r="7" spans="1:24" ht="17.45" customHeight="1" x14ac:dyDescent="0.25">
      <c r="B7" s="3"/>
      <c r="C7" s="3"/>
      <c r="D7" s="3" t="s">
        <v>266</v>
      </c>
      <c r="E7" s="3"/>
      <c r="H7" s="7"/>
      <c r="I7" s="7"/>
      <c r="J7" s="7"/>
      <c r="K7" s="7"/>
      <c r="L7" s="66"/>
      <c r="M7" s="66"/>
      <c r="N7" s="66"/>
      <c r="O7" s="66"/>
      <c r="Q7" s="10"/>
      <c r="T7" s="11"/>
      <c r="U7" s="11"/>
    </row>
    <row r="8" spans="1:24" ht="17.45" customHeight="1" x14ac:dyDescent="0.25">
      <c r="B8" s="3"/>
      <c r="C8" s="3"/>
      <c r="D8" s="3"/>
      <c r="E8" s="3"/>
      <c r="H8" s="7"/>
      <c r="I8" s="7"/>
      <c r="J8" s="7"/>
      <c r="K8" s="7"/>
      <c r="L8" s="66"/>
      <c r="M8" s="66"/>
      <c r="N8" s="66"/>
      <c r="O8" s="66"/>
      <c r="Q8" s="10"/>
      <c r="T8" s="11"/>
      <c r="U8" s="11"/>
    </row>
    <row r="9" spans="1:24" ht="25.15" customHeight="1" x14ac:dyDescent="0.25">
      <c r="D9" s="212" t="s">
        <v>24</v>
      </c>
      <c r="E9" s="222"/>
      <c r="F9" s="212" t="s">
        <v>38</v>
      </c>
      <c r="G9" s="222"/>
      <c r="H9" s="212" t="s">
        <v>25</v>
      </c>
      <c r="I9" s="222"/>
      <c r="J9" s="212" t="s">
        <v>26</v>
      </c>
      <c r="K9" s="222"/>
      <c r="L9" s="212" t="s">
        <v>27</v>
      </c>
      <c r="M9" s="222"/>
      <c r="N9" s="212" t="s">
        <v>28</v>
      </c>
      <c r="O9" s="222"/>
    </row>
    <row r="10" spans="1:24" ht="77.45" customHeight="1" thickBot="1" x14ac:dyDescent="0.3">
      <c r="D10" s="211" t="s">
        <v>265</v>
      </c>
      <c r="E10" s="230" t="s">
        <v>264</v>
      </c>
      <c r="F10" s="211" t="s">
        <v>265</v>
      </c>
      <c r="G10" s="230" t="s">
        <v>264</v>
      </c>
      <c r="H10" s="211" t="s">
        <v>265</v>
      </c>
      <c r="I10" s="230" t="s">
        <v>264</v>
      </c>
      <c r="J10" s="211" t="s">
        <v>265</v>
      </c>
      <c r="K10" s="230" t="s">
        <v>264</v>
      </c>
      <c r="L10" s="211" t="s">
        <v>265</v>
      </c>
      <c r="M10" s="230" t="s">
        <v>264</v>
      </c>
      <c r="N10" s="211" t="s">
        <v>265</v>
      </c>
      <c r="O10" s="230" t="s">
        <v>264</v>
      </c>
    </row>
    <row r="11" spans="1:24" ht="30" customHeight="1" x14ac:dyDescent="0.2">
      <c r="B11" s="15" t="s">
        <v>5</v>
      </c>
      <c r="C11" s="15"/>
      <c r="D11" s="223">
        <v>0</v>
      </c>
      <c r="E11" s="229">
        <v>11</v>
      </c>
      <c r="F11" s="223">
        <v>0</v>
      </c>
      <c r="G11" s="220">
        <v>9</v>
      </c>
      <c r="H11" s="16">
        <v>0</v>
      </c>
      <c r="I11" s="220">
        <v>6</v>
      </c>
      <c r="J11" s="16">
        <v>0</v>
      </c>
      <c r="K11" s="220">
        <v>4</v>
      </c>
      <c r="L11" s="16">
        <v>0</v>
      </c>
      <c r="M11" s="220">
        <v>7</v>
      </c>
      <c r="N11" s="223" t="s">
        <v>225</v>
      </c>
      <c r="O11" s="220" t="s">
        <v>225</v>
      </c>
      <c r="Q11" s="226">
        <f t="shared" ref="Q11:Q17" si="0">SUM(D11,F11,H11,J11,L11,N11)/SUM(E11,G11,I11,K11,M11,O11)*100</f>
        <v>0</v>
      </c>
    </row>
    <row r="12" spans="1:24" ht="30" customHeight="1" x14ac:dyDescent="0.2">
      <c r="B12" s="17" t="s">
        <v>6</v>
      </c>
      <c r="C12" s="17"/>
      <c r="D12" s="228">
        <v>0</v>
      </c>
      <c r="E12" s="227">
        <v>4</v>
      </c>
      <c r="F12" s="18">
        <v>0</v>
      </c>
      <c r="G12" s="219">
        <v>8</v>
      </c>
      <c r="H12" s="18">
        <v>1</v>
      </c>
      <c r="I12" s="219">
        <v>7</v>
      </c>
      <c r="J12" s="18">
        <v>0</v>
      </c>
      <c r="K12" s="219">
        <v>4</v>
      </c>
      <c r="L12" s="18">
        <v>0</v>
      </c>
      <c r="M12" s="219">
        <v>2</v>
      </c>
      <c r="N12" s="18" t="s">
        <v>225</v>
      </c>
      <c r="O12" s="219" t="s">
        <v>225</v>
      </c>
      <c r="Q12" s="226">
        <f t="shared" si="0"/>
        <v>4</v>
      </c>
    </row>
    <row r="13" spans="1:24" ht="30" customHeight="1" x14ac:dyDescent="0.2">
      <c r="B13" s="17" t="s">
        <v>7</v>
      </c>
      <c r="C13" s="17"/>
      <c r="D13" s="228">
        <v>1</v>
      </c>
      <c r="E13" s="227">
        <v>4</v>
      </c>
      <c r="F13" s="18">
        <v>0</v>
      </c>
      <c r="G13" s="219">
        <v>4</v>
      </c>
      <c r="H13" s="18">
        <v>1</v>
      </c>
      <c r="I13" s="219">
        <v>4</v>
      </c>
      <c r="J13" s="18">
        <v>1</v>
      </c>
      <c r="K13" s="219">
        <v>6</v>
      </c>
      <c r="L13" s="18">
        <v>1</v>
      </c>
      <c r="M13" s="219">
        <v>5</v>
      </c>
      <c r="N13" s="18" t="s">
        <v>225</v>
      </c>
      <c r="O13" s="219" t="s">
        <v>225</v>
      </c>
      <c r="Q13" s="226">
        <f t="shared" si="0"/>
        <v>17.391304347826086</v>
      </c>
    </row>
    <row r="14" spans="1:24" ht="30" customHeight="1" x14ac:dyDescent="0.2">
      <c r="B14" s="17" t="s">
        <v>10</v>
      </c>
      <c r="C14" s="17"/>
      <c r="D14" s="228">
        <v>0</v>
      </c>
      <c r="E14" s="227">
        <v>5</v>
      </c>
      <c r="F14" s="18">
        <v>0</v>
      </c>
      <c r="G14" s="219">
        <v>6</v>
      </c>
      <c r="H14" s="18">
        <v>0</v>
      </c>
      <c r="I14" s="219">
        <v>6</v>
      </c>
      <c r="J14" s="18">
        <v>1</v>
      </c>
      <c r="K14" s="219">
        <v>8</v>
      </c>
      <c r="L14" s="18">
        <v>2</v>
      </c>
      <c r="M14" s="219">
        <v>5</v>
      </c>
      <c r="N14" s="18" t="s">
        <v>225</v>
      </c>
      <c r="O14" s="219" t="s">
        <v>225</v>
      </c>
      <c r="Q14" s="226">
        <f t="shared" si="0"/>
        <v>10</v>
      </c>
    </row>
    <row r="15" spans="1:24" ht="30" customHeight="1" x14ac:dyDescent="0.2">
      <c r="B15" s="17" t="s">
        <v>11</v>
      </c>
      <c r="C15" s="17"/>
      <c r="D15" s="228">
        <v>0</v>
      </c>
      <c r="E15" s="227">
        <v>7</v>
      </c>
      <c r="F15" s="18">
        <v>0</v>
      </c>
      <c r="G15" s="219">
        <v>5</v>
      </c>
      <c r="H15" s="18">
        <v>0</v>
      </c>
      <c r="I15" s="219">
        <v>6</v>
      </c>
      <c r="J15" s="18">
        <v>0</v>
      </c>
      <c r="K15" s="219">
        <v>3</v>
      </c>
      <c r="L15" s="18">
        <v>0</v>
      </c>
      <c r="M15" s="219">
        <v>4</v>
      </c>
      <c r="N15" s="18" t="s">
        <v>225</v>
      </c>
      <c r="O15" s="219" t="s">
        <v>225</v>
      </c>
      <c r="Q15" s="226">
        <f t="shared" si="0"/>
        <v>0</v>
      </c>
    </row>
    <row r="16" spans="1:24" ht="30" customHeight="1" x14ac:dyDescent="0.2">
      <c r="B16" s="17" t="s">
        <v>14</v>
      </c>
      <c r="C16" s="17"/>
      <c r="D16" s="228">
        <v>0</v>
      </c>
      <c r="E16" s="227">
        <v>9</v>
      </c>
      <c r="F16" s="18">
        <v>0</v>
      </c>
      <c r="G16" s="219">
        <v>6</v>
      </c>
      <c r="H16" s="18">
        <v>1</v>
      </c>
      <c r="I16" s="219">
        <v>9</v>
      </c>
      <c r="J16" s="18">
        <v>1</v>
      </c>
      <c r="K16" s="219">
        <v>12</v>
      </c>
      <c r="L16" s="18">
        <v>0</v>
      </c>
      <c r="M16" s="219">
        <v>14</v>
      </c>
      <c r="N16" s="18" t="s">
        <v>225</v>
      </c>
      <c r="O16" s="219" t="s">
        <v>225</v>
      </c>
      <c r="Q16" s="226">
        <f t="shared" si="0"/>
        <v>4</v>
      </c>
    </row>
    <row r="17" spans="2:17" ht="30" customHeight="1" x14ac:dyDescent="0.2">
      <c r="B17" s="17" t="s">
        <v>23</v>
      </c>
      <c r="C17" s="17"/>
      <c r="D17" s="228">
        <v>0</v>
      </c>
      <c r="E17" s="227">
        <v>10</v>
      </c>
      <c r="F17" s="18">
        <v>1</v>
      </c>
      <c r="G17" s="219">
        <v>13</v>
      </c>
      <c r="H17" s="18">
        <v>0</v>
      </c>
      <c r="I17" s="219">
        <v>12</v>
      </c>
      <c r="J17" s="18">
        <v>1</v>
      </c>
      <c r="K17" s="219">
        <v>13</v>
      </c>
      <c r="L17" s="18">
        <v>0</v>
      </c>
      <c r="M17" s="219">
        <v>14</v>
      </c>
      <c r="N17" s="18" t="s">
        <v>225</v>
      </c>
      <c r="O17" s="219" t="s">
        <v>225</v>
      </c>
      <c r="Q17" s="226">
        <f t="shared" si="0"/>
        <v>3.225806451612903</v>
      </c>
    </row>
    <row r="18" spans="2:17" x14ac:dyDescent="0.25">
      <c r="L18" s="218"/>
      <c r="M18" s="218"/>
      <c r="N18" s="218"/>
      <c r="O18" s="218"/>
    </row>
    <row r="19" spans="2:17" x14ac:dyDescent="0.25">
      <c r="L19" s="207"/>
      <c r="M19" s="207"/>
      <c r="N19" s="207"/>
      <c r="O19" s="207"/>
    </row>
    <row r="20" spans="2:17" x14ac:dyDescent="0.25">
      <c r="L20" s="207"/>
      <c r="M20" s="207"/>
      <c r="N20" s="207"/>
      <c r="O20" s="207"/>
    </row>
    <row r="21" spans="2:17" x14ac:dyDescent="0.25">
      <c r="L21" s="207"/>
      <c r="M21" s="207"/>
      <c r="N21" s="207"/>
      <c r="O21" s="207"/>
    </row>
    <row r="22" spans="2:17" x14ac:dyDescent="0.25">
      <c r="L22" s="207"/>
      <c r="M22" s="207"/>
      <c r="N22" s="207"/>
      <c r="O22" s="207"/>
    </row>
    <row r="23" spans="2:17" x14ac:dyDescent="0.25">
      <c r="L23" s="207"/>
      <c r="M23" s="207"/>
      <c r="N23" s="207"/>
      <c r="O23" s="207"/>
    </row>
    <row r="24" spans="2:17" x14ac:dyDescent="0.25">
      <c r="L24" s="207"/>
      <c r="M24" s="207"/>
      <c r="N24" s="207"/>
      <c r="O24" s="207"/>
    </row>
    <row r="25" spans="2:17" x14ac:dyDescent="0.25">
      <c r="L25" s="207"/>
      <c r="M25" s="207"/>
      <c r="N25" s="207"/>
      <c r="O25" s="207"/>
    </row>
    <row r="26" spans="2:17" x14ac:dyDescent="0.25">
      <c r="L26" s="207"/>
      <c r="M26" s="207"/>
      <c r="N26" s="207"/>
      <c r="O26" s="207"/>
    </row>
    <row r="27" spans="2:17" x14ac:dyDescent="0.25">
      <c r="L27" s="207"/>
      <c r="M27" s="207"/>
      <c r="N27" s="207"/>
      <c r="O27" s="207"/>
    </row>
    <row r="28" spans="2:17" x14ac:dyDescent="0.25">
      <c r="L28" s="207"/>
      <c r="M28" s="207"/>
      <c r="N28" s="207"/>
      <c r="O28" s="207"/>
    </row>
    <row r="29" spans="2:17" x14ac:dyDescent="0.25">
      <c r="L29" s="207"/>
      <c r="M29" s="207"/>
      <c r="N29" s="207"/>
      <c r="O29" s="207"/>
    </row>
    <row r="30" spans="2:17" x14ac:dyDescent="0.25">
      <c r="L30" s="207"/>
      <c r="M30" s="207"/>
      <c r="N30" s="207"/>
      <c r="O30" s="207"/>
    </row>
    <row r="31" spans="2:17" x14ac:dyDescent="0.25">
      <c r="L31" s="207"/>
      <c r="M31" s="207"/>
      <c r="N31" s="207"/>
      <c r="O31" s="207"/>
    </row>
    <row r="32" spans="2:17" x14ac:dyDescent="0.25">
      <c r="L32" s="207"/>
      <c r="M32" s="207"/>
      <c r="N32" s="207"/>
      <c r="O32" s="207"/>
    </row>
    <row r="33" spans="12:15" x14ac:dyDescent="0.25">
      <c r="L33" s="207"/>
      <c r="M33" s="207"/>
      <c r="N33" s="207"/>
      <c r="O33" s="207"/>
    </row>
    <row r="34" spans="12:15" x14ac:dyDescent="0.25">
      <c r="L34" s="207"/>
      <c r="M34" s="207"/>
      <c r="N34" s="207"/>
      <c r="O34" s="207"/>
    </row>
    <row r="35" spans="12:15" x14ac:dyDescent="0.25">
      <c r="L35" s="207"/>
      <c r="M35" s="207"/>
      <c r="N35" s="207"/>
      <c r="O35" s="207"/>
    </row>
    <row r="36" spans="12:15" x14ac:dyDescent="0.25">
      <c r="L36" s="207"/>
      <c r="M36" s="207"/>
      <c r="N36" s="207"/>
      <c r="O36" s="207"/>
    </row>
    <row r="37" spans="12:15" x14ac:dyDescent="0.25">
      <c r="L37" s="207"/>
      <c r="M37" s="207"/>
      <c r="N37" s="207"/>
      <c r="O37" s="207"/>
    </row>
    <row r="38" spans="12:15" x14ac:dyDescent="0.25">
      <c r="L38" s="207"/>
      <c r="M38" s="207"/>
      <c r="N38" s="207"/>
      <c r="O38" s="207"/>
    </row>
    <row r="39" spans="12:15" x14ac:dyDescent="0.25">
      <c r="L39" s="207"/>
      <c r="M39" s="207"/>
      <c r="N39" s="207"/>
      <c r="O39" s="207"/>
    </row>
    <row r="40" spans="12:15" x14ac:dyDescent="0.25">
      <c r="L40" s="207"/>
      <c r="M40" s="207"/>
      <c r="N40" s="207"/>
      <c r="O40" s="207"/>
    </row>
    <row r="41" spans="12:15" x14ac:dyDescent="0.25">
      <c r="L41" s="207"/>
      <c r="M41" s="207"/>
      <c r="N41" s="207"/>
      <c r="O41" s="207"/>
    </row>
    <row r="42" spans="12:15" x14ac:dyDescent="0.25">
      <c r="L42" s="207"/>
      <c r="M42" s="207"/>
      <c r="N42" s="207"/>
      <c r="O42" s="207"/>
    </row>
    <row r="43" spans="12:15" x14ac:dyDescent="0.25">
      <c r="L43" s="207"/>
      <c r="M43" s="207"/>
      <c r="N43" s="207"/>
      <c r="O43" s="207"/>
    </row>
    <row r="44" spans="12:15" x14ac:dyDescent="0.25">
      <c r="L44" s="207"/>
      <c r="M44" s="207"/>
      <c r="N44" s="207"/>
      <c r="O44" s="207"/>
    </row>
    <row r="45" spans="12:15" x14ac:dyDescent="0.25">
      <c r="L45" s="207"/>
      <c r="M45" s="207"/>
      <c r="N45" s="207"/>
      <c r="O45" s="207"/>
    </row>
    <row r="46" spans="12:15" x14ac:dyDescent="0.25">
      <c r="L46" s="207"/>
      <c r="M46" s="207"/>
      <c r="N46" s="207"/>
      <c r="O46" s="207"/>
    </row>
    <row r="47" spans="12:15" x14ac:dyDescent="0.25">
      <c r="L47" s="207"/>
      <c r="M47" s="207"/>
      <c r="N47" s="207"/>
      <c r="O47" s="207"/>
    </row>
    <row r="48" spans="12:15" x14ac:dyDescent="0.25">
      <c r="L48" s="207"/>
      <c r="M48" s="207"/>
      <c r="N48" s="207"/>
      <c r="O48" s="207"/>
    </row>
    <row r="49" spans="12:15" x14ac:dyDescent="0.25">
      <c r="L49" s="207"/>
      <c r="M49" s="207"/>
      <c r="N49" s="207"/>
      <c r="O49" s="207"/>
    </row>
    <row r="50" spans="12:15" x14ac:dyDescent="0.25">
      <c r="L50" s="207"/>
      <c r="M50" s="207"/>
      <c r="N50" s="207"/>
      <c r="O50" s="207"/>
    </row>
    <row r="51" spans="12:15" x14ac:dyDescent="0.25">
      <c r="L51" s="207"/>
      <c r="M51" s="207"/>
      <c r="N51" s="207"/>
      <c r="O51" s="207"/>
    </row>
    <row r="52" spans="12:15" x14ac:dyDescent="0.25">
      <c r="L52" s="207"/>
      <c r="M52" s="207"/>
      <c r="N52" s="207"/>
      <c r="O52" s="207"/>
    </row>
    <row r="53" spans="12:15" x14ac:dyDescent="0.25">
      <c r="L53" s="207"/>
      <c r="M53" s="207"/>
      <c r="N53" s="207"/>
      <c r="O53" s="207"/>
    </row>
    <row r="54" spans="12:15" x14ac:dyDescent="0.25">
      <c r="L54" s="207"/>
      <c r="M54" s="207"/>
      <c r="N54" s="207"/>
      <c r="O54" s="207"/>
    </row>
    <row r="55" spans="12:15" x14ac:dyDescent="0.25">
      <c r="L55" s="207"/>
      <c r="M55" s="207"/>
      <c r="N55" s="207"/>
      <c r="O55" s="207"/>
    </row>
    <row r="56" spans="12:15" x14ac:dyDescent="0.25">
      <c r="L56" s="207"/>
      <c r="M56" s="207"/>
      <c r="N56" s="207"/>
      <c r="O56" s="207"/>
    </row>
    <row r="57" spans="12:15" x14ac:dyDescent="0.25">
      <c r="L57" s="207"/>
      <c r="M57" s="207"/>
      <c r="N57" s="207"/>
      <c r="O57" s="207"/>
    </row>
    <row r="58" spans="12:15" x14ac:dyDescent="0.25">
      <c r="L58" s="207"/>
      <c r="M58" s="207"/>
      <c r="N58" s="207"/>
      <c r="O58" s="207"/>
    </row>
    <row r="59" spans="12:15" x14ac:dyDescent="0.25">
      <c r="L59" s="207"/>
      <c r="M59" s="207"/>
      <c r="N59" s="207"/>
      <c r="O59" s="207"/>
    </row>
    <row r="60" spans="12:15" x14ac:dyDescent="0.25">
      <c r="L60" s="207"/>
      <c r="M60" s="207"/>
      <c r="N60" s="207"/>
      <c r="O60" s="207"/>
    </row>
    <row r="61" spans="12:15" x14ac:dyDescent="0.25">
      <c r="L61" s="207"/>
      <c r="M61" s="207"/>
      <c r="N61" s="207"/>
      <c r="O61" s="207"/>
    </row>
    <row r="62" spans="12:15" x14ac:dyDescent="0.25">
      <c r="L62" s="207"/>
      <c r="M62" s="207"/>
      <c r="N62" s="207"/>
      <c r="O62" s="207"/>
    </row>
    <row r="63" spans="12:15" x14ac:dyDescent="0.25">
      <c r="L63" s="207"/>
      <c r="M63" s="207"/>
      <c r="N63" s="207"/>
      <c r="O63" s="207"/>
    </row>
    <row r="64" spans="12:15" x14ac:dyDescent="0.25">
      <c r="L64" s="207"/>
      <c r="M64" s="207"/>
      <c r="N64" s="207"/>
      <c r="O64" s="207"/>
    </row>
    <row r="65" spans="12:15" x14ac:dyDescent="0.25">
      <c r="L65" s="207"/>
      <c r="M65" s="207"/>
      <c r="N65" s="207"/>
      <c r="O65" s="207"/>
    </row>
    <row r="66" spans="12:15" x14ac:dyDescent="0.25">
      <c r="L66" s="207"/>
      <c r="M66" s="207"/>
      <c r="N66" s="207"/>
      <c r="O66" s="207"/>
    </row>
    <row r="67" spans="12:15" x14ac:dyDescent="0.25">
      <c r="L67" s="207"/>
      <c r="M67" s="207"/>
      <c r="N67" s="207"/>
      <c r="O67" s="207"/>
    </row>
    <row r="68" spans="12:15" x14ac:dyDescent="0.25">
      <c r="L68" s="207"/>
      <c r="M68" s="207"/>
      <c r="N68" s="207"/>
      <c r="O68" s="207"/>
    </row>
    <row r="69" spans="12:15" x14ac:dyDescent="0.25">
      <c r="L69" s="207"/>
      <c r="M69" s="207"/>
      <c r="N69" s="207"/>
      <c r="O69" s="207"/>
    </row>
    <row r="70" spans="12:15" x14ac:dyDescent="0.25">
      <c r="L70" s="207"/>
      <c r="M70" s="207"/>
      <c r="N70" s="207"/>
      <c r="O70" s="207"/>
    </row>
    <row r="71" spans="12:15" x14ac:dyDescent="0.25">
      <c r="L71" s="207"/>
      <c r="M71" s="207"/>
      <c r="N71" s="207"/>
      <c r="O71" s="207"/>
    </row>
    <row r="72" spans="12:15" x14ac:dyDescent="0.25">
      <c r="L72" s="207"/>
      <c r="M72" s="207"/>
      <c r="N72" s="207"/>
      <c r="O72" s="207"/>
    </row>
  </sheetData>
  <pageMargins left="0.25" right="0.25" top="0.5" bottom="1" header="0.3" footer="0.53"/>
  <pageSetup scale="59" orientation="landscape" r:id="rId1"/>
  <headerFooter>
    <oddFooter>&amp;R&amp;Z&amp;F
&amp;P of &amp;N
smm</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304A1-D029-445A-AA8C-7A3864E6439C}">
  <sheetPr>
    <pageSetUpPr fitToPage="1"/>
  </sheetPr>
  <dimension ref="A1:X72"/>
  <sheetViews>
    <sheetView zoomScale="70" zoomScaleNormal="70" zoomScaleSheetLayoutView="70" workbookViewId="0"/>
  </sheetViews>
  <sheetFormatPr defaultColWidth="8.85546875" defaultRowHeight="15" x14ac:dyDescent="0.25"/>
  <cols>
    <col min="1" max="1" width="7.42578125" style="87" customWidth="1"/>
    <col min="2" max="3" width="8.140625" style="6" customWidth="1"/>
    <col min="4" max="7" width="12.7109375" style="6" customWidth="1"/>
    <col min="8" max="15" width="12.7109375" style="87" customWidth="1"/>
    <col min="16" max="33" width="9.7109375" style="87" customWidth="1"/>
    <col min="34" max="35" width="8.7109375" style="87" customWidth="1"/>
    <col min="36" max="16384" width="8.85546875" style="87"/>
  </cols>
  <sheetData>
    <row r="1" spans="1:24" ht="18" x14ac:dyDescent="0.25">
      <c r="A1" s="2">
        <v>2014</v>
      </c>
      <c r="B1" s="3" t="s">
        <v>29</v>
      </c>
      <c r="C1" s="3"/>
      <c r="D1" s="4"/>
      <c r="E1" s="4"/>
      <c r="F1" s="4"/>
      <c r="G1" s="4"/>
      <c r="H1" s="4"/>
      <c r="I1" s="4"/>
      <c r="J1" s="4"/>
      <c r="K1" s="4"/>
      <c r="L1" s="4"/>
      <c r="M1" s="4"/>
      <c r="N1" s="4"/>
      <c r="O1" s="4"/>
      <c r="P1" s="4"/>
      <c r="Q1" s="4"/>
      <c r="R1" s="4"/>
      <c r="S1" s="4"/>
      <c r="T1" s="4"/>
      <c r="U1" s="4"/>
      <c r="V1" s="4"/>
      <c r="W1" s="4"/>
    </row>
    <row r="2" spans="1:24" ht="18" x14ac:dyDescent="0.25">
      <c r="A2" s="4"/>
      <c r="B2" s="3" t="s">
        <v>20</v>
      </c>
      <c r="C2" s="3"/>
      <c r="F2" s="3" t="s">
        <v>21</v>
      </c>
      <c r="G2" s="3"/>
      <c r="H2" s="4"/>
      <c r="I2" s="4"/>
      <c r="J2" s="4"/>
      <c r="K2" s="4"/>
      <c r="L2" s="4"/>
      <c r="M2" s="4"/>
      <c r="N2" s="4"/>
      <c r="O2" s="4"/>
      <c r="P2" s="4"/>
      <c r="Q2" s="4"/>
      <c r="R2" s="4"/>
      <c r="U2" s="4"/>
      <c r="V2" s="4"/>
      <c r="W2" s="4"/>
      <c r="X2" s="4"/>
    </row>
    <row r="3" spans="1:24" ht="18" x14ac:dyDescent="0.25">
      <c r="B3" s="3"/>
      <c r="C3" s="3"/>
    </row>
    <row r="4" spans="1:24" ht="27" x14ac:dyDescent="0.25">
      <c r="B4" s="217" t="s">
        <v>269</v>
      </c>
      <c r="C4" s="3"/>
      <c r="E4" s="7"/>
      <c r="F4" s="8" t="s">
        <v>32</v>
      </c>
      <c r="G4" s="234">
        <v>41820</v>
      </c>
      <c r="H4" s="8" t="s">
        <v>33</v>
      </c>
      <c r="I4" s="233" t="s">
        <v>270</v>
      </c>
      <c r="K4" s="1" t="s">
        <v>30</v>
      </c>
    </row>
    <row r="5" spans="1:24" ht="23.25" x14ac:dyDescent="0.25">
      <c r="B5" s="3"/>
      <c r="C5" s="3"/>
      <c r="D5" s="3"/>
      <c r="E5" s="7"/>
      <c r="F5" s="7"/>
      <c r="G5" s="231"/>
      <c r="H5" s="8" t="s">
        <v>34</v>
      </c>
      <c r="I5" s="232" t="s">
        <v>253</v>
      </c>
      <c r="K5" s="11"/>
      <c r="L5" s="11"/>
    </row>
    <row r="6" spans="1:24" ht="42.6" customHeight="1" x14ac:dyDescent="0.25">
      <c r="B6" s="3"/>
      <c r="C6" s="3"/>
      <c r="D6" s="3"/>
      <c r="E6" s="3"/>
      <c r="F6" s="4" t="s">
        <v>267</v>
      </c>
      <c r="G6" s="4"/>
      <c r="H6" s="231"/>
      <c r="I6" s="231"/>
      <c r="J6" s="7"/>
      <c r="K6" s="66"/>
      <c r="L6" s="66"/>
      <c r="M6" s="66"/>
      <c r="N6" s="66"/>
      <c r="P6" s="10"/>
      <c r="S6" s="11"/>
      <c r="T6" s="11"/>
    </row>
    <row r="7" spans="1:24" ht="17.45" customHeight="1" x14ac:dyDescent="0.25">
      <c r="B7" s="3"/>
      <c r="C7" s="3"/>
      <c r="D7" s="3" t="s">
        <v>266</v>
      </c>
      <c r="E7" s="3"/>
      <c r="H7" s="7"/>
      <c r="I7" s="7"/>
      <c r="J7" s="7"/>
      <c r="K7" s="7"/>
      <c r="L7" s="66"/>
      <c r="M7" s="66"/>
      <c r="N7" s="66"/>
      <c r="O7" s="66"/>
      <c r="Q7" s="10"/>
      <c r="T7" s="11"/>
      <c r="U7" s="11"/>
    </row>
    <row r="8" spans="1:24" ht="17.45" customHeight="1" x14ac:dyDescent="0.25">
      <c r="B8" s="3"/>
      <c r="C8" s="3"/>
      <c r="D8" s="3"/>
      <c r="E8" s="3"/>
      <c r="H8" s="7"/>
      <c r="I8" s="7"/>
      <c r="J8" s="7"/>
      <c r="K8" s="7"/>
      <c r="L8" s="66"/>
      <c r="M8" s="66"/>
      <c r="N8" s="66"/>
      <c r="O8" s="66"/>
      <c r="Q8" s="10"/>
      <c r="T8" s="11"/>
      <c r="U8" s="11"/>
    </row>
    <row r="9" spans="1:24" ht="25.15" customHeight="1" x14ac:dyDescent="0.25">
      <c r="D9" s="212" t="s">
        <v>24</v>
      </c>
      <c r="E9" s="222"/>
      <c r="F9" s="212" t="s">
        <v>38</v>
      </c>
      <c r="G9" s="222"/>
      <c r="H9" s="212" t="s">
        <v>25</v>
      </c>
      <c r="I9" s="222"/>
      <c r="J9" s="212" t="s">
        <v>26</v>
      </c>
      <c r="K9" s="222"/>
      <c r="L9" s="212" t="s">
        <v>27</v>
      </c>
      <c r="M9" s="222"/>
      <c r="N9" s="212" t="s">
        <v>28</v>
      </c>
      <c r="O9" s="222"/>
    </row>
    <row r="10" spans="1:24" ht="77.45" customHeight="1" thickBot="1" x14ac:dyDescent="0.3">
      <c r="D10" s="211" t="s">
        <v>265</v>
      </c>
      <c r="E10" s="230" t="s">
        <v>264</v>
      </c>
      <c r="F10" s="211" t="s">
        <v>265</v>
      </c>
      <c r="G10" s="230" t="s">
        <v>264</v>
      </c>
      <c r="H10" s="211" t="s">
        <v>265</v>
      </c>
      <c r="I10" s="230" t="s">
        <v>264</v>
      </c>
      <c r="J10" s="211" t="s">
        <v>265</v>
      </c>
      <c r="K10" s="230" t="s">
        <v>264</v>
      </c>
      <c r="L10" s="211" t="s">
        <v>265</v>
      </c>
      <c r="M10" s="230" t="s">
        <v>264</v>
      </c>
      <c r="N10" s="211" t="s">
        <v>265</v>
      </c>
      <c r="O10" s="230" t="s">
        <v>264</v>
      </c>
    </row>
    <row r="11" spans="1:24" ht="30" customHeight="1" x14ac:dyDescent="0.2">
      <c r="B11" s="15" t="s">
        <v>5</v>
      </c>
      <c r="C11" s="15"/>
      <c r="D11" s="223">
        <v>2</v>
      </c>
      <c r="E11" s="229">
        <v>9</v>
      </c>
      <c r="F11" s="223">
        <v>0</v>
      </c>
      <c r="G11" s="220">
        <v>8</v>
      </c>
      <c r="H11" s="16">
        <v>3</v>
      </c>
      <c r="I11" s="220">
        <v>7</v>
      </c>
      <c r="J11" s="16">
        <v>2</v>
      </c>
      <c r="K11" s="220">
        <v>5</v>
      </c>
      <c r="L11" s="16">
        <v>0</v>
      </c>
      <c r="M11" s="220">
        <v>7</v>
      </c>
      <c r="N11" s="16">
        <v>1</v>
      </c>
      <c r="O11" s="220">
        <v>4</v>
      </c>
      <c r="Q11" s="226">
        <f t="shared" ref="Q11:Q17" si="0">SUM(D11,F11,H11,J11,L11,N11)/SUM(E11,G11,I11,K11,M11,O11)*100</f>
        <v>20</v>
      </c>
    </row>
    <row r="12" spans="1:24" ht="30" customHeight="1" x14ac:dyDescent="0.2">
      <c r="B12" s="17" t="s">
        <v>6</v>
      </c>
      <c r="C12" s="17"/>
      <c r="D12" s="228">
        <v>0</v>
      </c>
      <c r="E12" s="227">
        <v>5</v>
      </c>
      <c r="F12" s="18">
        <v>2</v>
      </c>
      <c r="G12" s="219">
        <v>7</v>
      </c>
      <c r="H12" s="18">
        <v>1</v>
      </c>
      <c r="I12" s="219">
        <v>7</v>
      </c>
      <c r="J12" s="18">
        <v>1</v>
      </c>
      <c r="K12" s="219">
        <v>4</v>
      </c>
      <c r="L12" s="18">
        <v>0</v>
      </c>
      <c r="M12" s="219">
        <v>5</v>
      </c>
      <c r="N12" s="18">
        <v>1</v>
      </c>
      <c r="O12" s="219">
        <v>5</v>
      </c>
      <c r="Q12" s="226">
        <f t="shared" si="0"/>
        <v>15.151515151515152</v>
      </c>
    </row>
    <row r="13" spans="1:24" ht="30" customHeight="1" x14ac:dyDescent="0.2">
      <c r="B13" s="17" t="s">
        <v>7</v>
      </c>
      <c r="C13" s="17"/>
      <c r="D13" s="228">
        <v>1</v>
      </c>
      <c r="E13" s="227">
        <v>4</v>
      </c>
      <c r="F13" s="18">
        <v>2</v>
      </c>
      <c r="G13" s="219">
        <v>6</v>
      </c>
      <c r="H13" s="18">
        <v>2</v>
      </c>
      <c r="I13" s="219">
        <v>5</v>
      </c>
      <c r="J13" s="18">
        <v>1</v>
      </c>
      <c r="K13" s="219">
        <v>5</v>
      </c>
      <c r="L13" s="18">
        <v>2</v>
      </c>
      <c r="M13" s="219">
        <v>5</v>
      </c>
      <c r="N13" s="18">
        <v>1</v>
      </c>
      <c r="O13" s="219">
        <v>8</v>
      </c>
      <c r="Q13" s="226">
        <f t="shared" si="0"/>
        <v>27.27272727272727</v>
      </c>
    </row>
    <row r="14" spans="1:24" ht="30" customHeight="1" x14ac:dyDescent="0.2">
      <c r="B14" s="17" t="s">
        <v>10</v>
      </c>
      <c r="C14" s="17"/>
      <c r="D14" s="228">
        <v>2</v>
      </c>
      <c r="E14" s="227">
        <v>7</v>
      </c>
      <c r="F14" s="18">
        <v>1</v>
      </c>
      <c r="G14" s="219">
        <v>6</v>
      </c>
      <c r="H14" s="18">
        <v>0</v>
      </c>
      <c r="I14" s="219">
        <v>6</v>
      </c>
      <c r="J14" s="18">
        <v>1</v>
      </c>
      <c r="K14" s="219">
        <v>7</v>
      </c>
      <c r="L14" s="18">
        <v>0</v>
      </c>
      <c r="M14" s="219">
        <v>5</v>
      </c>
      <c r="N14" s="18">
        <v>1</v>
      </c>
      <c r="O14" s="219">
        <v>5</v>
      </c>
      <c r="Q14" s="226">
        <f t="shared" si="0"/>
        <v>13.888888888888889</v>
      </c>
    </row>
    <row r="15" spans="1:24" ht="30" customHeight="1" x14ac:dyDescent="0.2">
      <c r="B15" s="17" t="s">
        <v>11</v>
      </c>
      <c r="C15" s="17"/>
      <c r="D15" s="228">
        <v>2</v>
      </c>
      <c r="E15" s="227">
        <v>7</v>
      </c>
      <c r="F15" s="18">
        <v>0</v>
      </c>
      <c r="G15" s="219">
        <v>5</v>
      </c>
      <c r="H15" s="18">
        <v>1</v>
      </c>
      <c r="I15" s="219">
        <v>6</v>
      </c>
      <c r="J15" s="18">
        <v>1</v>
      </c>
      <c r="K15" s="219">
        <v>6</v>
      </c>
      <c r="L15" s="18">
        <v>0</v>
      </c>
      <c r="M15" s="219">
        <v>7</v>
      </c>
      <c r="N15" s="18">
        <v>1</v>
      </c>
      <c r="O15" s="219">
        <v>5</v>
      </c>
      <c r="Q15" s="226">
        <f t="shared" si="0"/>
        <v>13.888888888888889</v>
      </c>
    </row>
    <row r="16" spans="1:24" ht="30" customHeight="1" x14ac:dyDescent="0.2">
      <c r="B16" s="17" t="s">
        <v>14</v>
      </c>
      <c r="C16" s="17"/>
      <c r="D16" s="228">
        <v>0</v>
      </c>
      <c r="E16" s="227">
        <v>9</v>
      </c>
      <c r="F16" s="18">
        <v>1</v>
      </c>
      <c r="G16" s="219">
        <v>6</v>
      </c>
      <c r="H16" s="18">
        <v>0</v>
      </c>
      <c r="I16" s="219">
        <v>10</v>
      </c>
      <c r="J16" s="18">
        <v>1</v>
      </c>
      <c r="K16" s="219">
        <v>11</v>
      </c>
      <c r="L16" s="18">
        <v>0</v>
      </c>
      <c r="M16" s="219">
        <v>10</v>
      </c>
      <c r="N16" s="18">
        <v>0</v>
      </c>
      <c r="O16" s="219">
        <v>10</v>
      </c>
      <c r="Q16" s="226">
        <f t="shared" si="0"/>
        <v>3.5714285714285712</v>
      </c>
    </row>
    <row r="17" spans="2:17" ht="30" customHeight="1" x14ac:dyDescent="0.2">
      <c r="B17" s="17" t="s">
        <v>23</v>
      </c>
      <c r="C17" s="17"/>
      <c r="D17" s="228">
        <v>0</v>
      </c>
      <c r="E17" s="227">
        <v>11</v>
      </c>
      <c r="F17" s="18">
        <v>1</v>
      </c>
      <c r="G17" s="219">
        <v>12</v>
      </c>
      <c r="H17" s="18">
        <v>1</v>
      </c>
      <c r="I17" s="219">
        <v>11</v>
      </c>
      <c r="J17" s="18">
        <v>0</v>
      </c>
      <c r="K17" s="219">
        <v>12</v>
      </c>
      <c r="L17" s="18">
        <v>2</v>
      </c>
      <c r="M17" s="219">
        <v>11</v>
      </c>
      <c r="N17" s="18">
        <v>2</v>
      </c>
      <c r="O17" s="219">
        <v>15</v>
      </c>
      <c r="Q17" s="226">
        <f t="shared" si="0"/>
        <v>8.3333333333333321</v>
      </c>
    </row>
    <row r="18" spans="2:17" x14ac:dyDescent="0.25">
      <c r="L18" s="218"/>
      <c r="M18" s="218"/>
      <c r="N18" s="218"/>
      <c r="O18" s="218"/>
    </row>
    <row r="19" spans="2:17" x14ac:dyDescent="0.25">
      <c r="D19" s="6">
        <f t="shared" ref="D19:O19" si="1">SUM(D11:D17)</f>
        <v>7</v>
      </c>
      <c r="E19" s="6">
        <f t="shared" si="1"/>
        <v>52</v>
      </c>
      <c r="F19" s="6">
        <f t="shared" si="1"/>
        <v>7</v>
      </c>
      <c r="G19" s="6">
        <f t="shared" si="1"/>
        <v>50</v>
      </c>
      <c r="H19" s="6">
        <f t="shared" si="1"/>
        <v>8</v>
      </c>
      <c r="I19" s="6">
        <f t="shared" si="1"/>
        <v>52</v>
      </c>
      <c r="J19" s="6">
        <f t="shared" si="1"/>
        <v>7</v>
      </c>
      <c r="K19" s="6">
        <f t="shared" si="1"/>
        <v>50</v>
      </c>
      <c r="L19" s="6">
        <f t="shared" si="1"/>
        <v>4</v>
      </c>
      <c r="M19" s="6">
        <f t="shared" si="1"/>
        <v>50</v>
      </c>
      <c r="N19" s="6">
        <f t="shared" si="1"/>
        <v>7</v>
      </c>
      <c r="O19" s="6">
        <f t="shared" si="1"/>
        <v>52</v>
      </c>
      <c r="P19" s="87" t="s">
        <v>63</v>
      </c>
      <c r="Q19" s="226">
        <f>AVERAGE(Q13,Q15)</f>
        <v>20.58080808080808</v>
      </c>
    </row>
    <row r="20" spans="2:17" x14ac:dyDescent="0.25">
      <c r="L20" s="207"/>
      <c r="M20" s="207"/>
      <c r="N20" s="207"/>
      <c r="O20" s="207"/>
      <c r="P20" s="87" t="s">
        <v>16</v>
      </c>
      <c r="Q20" s="226">
        <f>AVERAGE(Q12,Q16)</f>
        <v>9.3614718614718626</v>
      </c>
    </row>
    <row r="21" spans="2:17" x14ac:dyDescent="0.25">
      <c r="L21" s="207"/>
      <c r="M21" s="207"/>
      <c r="N21" s="207"/>
      <c r="O21" s="207"/>
      <c r="P21" s="87" t="s">
        <v>64</v>
      </c>
      <c r="Q21" s="226">
        <f>AVERAGE(Q11,Q14)</f>
        <v>16.944444444444443</v>
      </c>
    </row>
    <row r="22" spans="2:17" x14ac:dyDescent="0.25">
      <c r="E22" s="6">
        <f>SUM(D19,F19,H19,J19,L19,N19)/SUM(E19,G19,I19,K19,M19,O19)*100</f>
        <v>13.071895424836603</v>
      </c>
      <c r="L22" s="207"/>
      <c r="M22" s="207"/>
      <c r="N22" s="207"/>
      <c r="O22" s="207"/>
    </row>
    <row r="23" spans="2:17" x14ac:dyDescent="0.25">
      <c r="L23" s="207"/>
      <c r="M23" s="207"/>
      <c r="N23" s="207"/>
      <c r="O23" s="207"/>
    </row>
    <row r="24" spans="2:17" x14ac:dyDescent="0.25">
      <c r="L24" s="207"/>
      <c r="M24" s="207"/>
      <c r="N24" s="207"/>
      <c r="O24" s="207"/>
    </row>
    <row r="25" spans="2:17" x14ac:dyDescent="0.25">
      <c r="L25" s="207"/>
      <c r="M25" s="207"/>
      <c r="N25" s="207"/>
      <c r="O25" s="207"/>
    </row>
    <row r="26" spans="2:17" x14ac:dyDescent="0.25">
      <c r="L26" s="207"/>
      <c r="M26" s="207"/>
      <c r="N26" s="207"/>
      <c r="O26" s="207"/>
    </row>
    <row r="27" spans="2:17" x14ac:dyDescent="0.25">
      <c r="L27" s="207"/>
      <c r="M27" s="207"/>
      <c r="N27" s="207"/>
      <c r="O27" s="207"/>
    </row>
    <row r="28" spans="2:17" x14ac:dyDescent="0.25">
      <c r="L28" s="207"/>
      <c r="M28" s="207"/>
      <c r="N28" s="207"/>
      <c r="O28" s="207"/>
    </row>
    <row r="29" spans="2:17" x14ac:dyDescent="0.25">
      <c r="L29" s="207"/>
      <c r="M29" s="207"/>
      <c r="N29" s="207"/>
      <c r="O29" s="207"/>
    </row>
    <row r="30" spans="2:17" x14ac:dyDescent="0.25">
      <c r="L30" s="207"/>
      <c r="M30" s="207"/>
      <c r="N30" s="207"/>
      <c r="O30" s="207"/>
    </row>
    <row r="31" spans="2:17" x14ac:dyDescent="0.25">
      <c r="L31" s="207"/>
      <c r="M31" s="207"/>
      <c r="N31" s="207"/>
      <c r="O31" s="207"/>
    </row>
    <row r="32" spans="2:17" x14ac:dyDescent="0.25">
      <c r="L32" s="207"/>
      <c r="M32" s="207"/>
      <c r="N32" s="207"/>
      <c r="O32" s="207"/>
    </row>
    <row r="33" spans="12:15" x14ac:dyDescent="0.25">
      <c r="L33" s="207"/>
      <c r="M33" s="207"/>
      <c r="N33" s="207"/>
      <c r="O33" s="207"/>
    </row>
    <row r="34" spans="12:15" x14ac:dyDescent="0.25">
      <c r="L34" s="207"/>
      <c r="M34" s="207"/>
      <c r="N34" s="207"/>
      <c r="O34" s="207"/>
    </row>
    <row r="35" spans="12:15" x14ac:dyDescent="0.25">
      <c r="L35" s="207"/>
      <c r="M35" s="207"/>
      <c r="N35" s="207"/>
      <c r="O35" s="207"/>
    </row>
    <row r="36" spans="12:15" x14ac:dyDescent="0.25">
      <c r="L36" s="207"/>
      <c r="M36" s="207"/>
      <c r="N36" s="207"/>
      <c r="O36" s="207"/>
    </row>
    <row r="37" spans="12:15" x14ac:dyDescent="0.25">
      <c r="L37" s="207"/>
      <c r="M37" s="207"/>
      <c r="N37" s="207"/>
      <c r="O37" s="207"/>
    </row>
    <row r="38" spans="12:15" x14ac:dyDescent="0.25">
      <c r="L38" s="207"/>
      <c r="M38" s="207"/>
      <c r="N38" s="207"/>
      <c r="O38" s="207"/>
    </row>
    <row r="39" spans="12:15" x14ac:dyDescent="0.25">
      <c r="L39" s="207"/>
      <c r="M39" s="207"/>
      <c r="N39" s="207"/>
      <c r="O39" s="207"/>
    </row>
    <row r="40" spans="12:15" x14ac:dyDescent="0.25">
      <c r="L40" s="207"/>
      <c r="M40" s="207"/>
      <c r="N40" s="207"/>
      <c r="O40" s="207"/>
    </row>
    <row r="41" spans="12:15" x14ac:dyDescent="0.25">
      <c r="L41" s="207"/>
      <c r="M41" s="207"/>
      <c r="N41" s="207"/>
      <c r="O41" s="207"/>
    </row>
    <row r="42" spans="12:15" x14ac:dyDescent="0.25">
      <c r="L42" s="207"/>
      <c r="M42" s="207"/>
      <c r="N42" s="207"/>
      <c r="O42" s="207"/>
    </row>
    <row r="43" spans="12:15" x14ac:dyDescent="0.25">
      <c r="L43" s="207"/>
      <c r="M43" s="207"/>
      <c r="N43" s="207"/>
      <c r="O43" s="207"/>
    </row>
    <row r="44" spans="12:15" x14ac:dyDescent="0.25">
      <c r="L44" s="207"/>
      <c r="M44" s="207"/>
      <c r="N44" s="207"/>
      <c r="O44" s="207"/>
    </row>
    <row r="45" spans="12:15" x14ac:dyDescent="0.25">
      <c r="L45" s="207"/>
      <c r="M45" s="207"/>
      <c r="N45" s="207"/>
      <c r="O45" s="207"/>
    </row>
    <row r="46" spans="12:15" x14ac:dyDescent="0.25">
      <c r="L46" s="207"/>
      <c r="M46" s="207"/>
      <c r="N46" s="207"/>
      <c r="O46" s="207"/>
    </row>
    <row r="47" spans="12:15" x14ac:dyDescent="0.25">
      <c r="L47" s="207"/>
      <c r="M47" s="207"/>
      <c r="N47" s="207"/>
      <c r="O47" s="207"/>
    </row>
    <row r="48" spans="12:15" x14ac:dyDescent="0.25">
      <c r="L48" s="207"/>
      <c r="M48" s="207"/>
      <c r="N48" s="207"/>
      <c r="O48" s="207"/>
    </row>
    <row r="49" spans="12:15" x14ac:dyDescent="0.25">
      <c r="L49" s="207"/>
      <c r="M49" s="207"/>
      <c r="N49" s="207"/>
      <c r="O49" s="207"/>
    </row>
    <row r="50" spans="12:15" x14ac:dyDescent="0.25">
      <c r="L50" s="207"/>
      <c r="M50" s="207"/>
      <c r="N50" s="207"/>
      <c r="O50" s="207"/>
    </row>
    <row r="51" spans="12:15" x14ac:dyDescent="0.25">
      <c r="L51" s="207"/>
      <c r="M51" s="207"/>
      <c r="N51" s="207"/>
      <c r="O51" s="207"/>
    </row>
    <row r="52" spans="12:15" x14ac:dyDescent="0.25">
      <c r="L52" s="207"/>
      <c r="M52" s="207"/>
      <c r="N52" s="207"/>
      <c r="O52" s="207"/>
    </row>
    <row r="53" spans="12:15" x14ac:dyDescent="0.25">
      <c r="L53" s="207"/>
      <c r="M53" s="207"/>
      <c r="N53" s="207"/>
      <c r="O53" s="207"/>
    </row>
    <row r="54" spans="12:15" x14ac:dyDescent="0.25">
      <c r="L54" s="207"/>
      <c r="M54" s="207"/>
      <c r="N54" s="207"/>
      <c r="O54" s="207"/>
    </row>
    <row r="55" spans="12:15" x14ac:dyDescent="0.25">
      <c r="L55" s="207"/>
      <c r="M55" s="207"/>
      <c r="N55" s="207"/>
      <c r="O55" s="207"/>
    </row>
    <row r="56" spans="12:15" x14ac:dyDescent="0.25">
      <c r="L56" s="207"/>
      <c r="M56" s="207"/>
      <c r="N56" s="207"/>
      <c r="O56" s="207"/>
    </row>
    <row r="57" spans="12:15" x14ac:dyDescent="0.25">
      <c r="L57" s="207"/>
      <c r="M57" s="207"/>
      <c r="N57" s="207"/>
      <c r="O57" s="207"/>
    </row>
    <row r="58" spans="12:15" x14ac:dyDescent="0.25">
      <c r="L58" s="207"/>
      <c r="M58" s="207"/>
      <c r="N58" s="207"/>
      <c r="O58" s="207"/>
    </row>
    <row r="59" spans="12:15" x14ac:dyDescent="0.25">
      <c r="L59" s="207"/>
      <c r="M59" s="207"/>
      <c r="N59" s="207"/>
      <c r="O59" s="207"/>
    </row>
    <row r="60" spans="12:15" x14ac:dyDescent="0.25">
      <c r="L60" s="207"/>
      <c r="M60" s="207"/>
      <c r="N60" s="207"/>
      <c r="O60" s="207"/>
    </row>
    <row r="61" spans="12:15" x14ac:dyDescent="0.25">
      <c r="L61" s="207"/>
      <c r="M61" s="207"/>
      <c r="N61" s="207"/>
      <c r="O61" s="207"/>
    </row>
    <row r="62" spans="12:15" x14ac:dyDescent="0.25">
      <c r="L62" s="207"/>
      <c r="M62" s="207"/>
      <c r="N62" s="207"/>
      <c r="O62" s="207"/>
    </row>
    <row r="63" spans="12:15" x14ac:dyDescent="0.25">
      <c r="L63" s="207"/>
      <c r="M63" s="207"/>
      <c r="N63" s="207"/>
      <c r="O63" s="207"/>
    </row>
    <row r="64" spans="12:15" x14ac:dyDescent="0.25">
      <c r="L64" s="207"/>
      <c r="M64" s="207"/>
      <c r="N64" s="207"/>
      <c r="O64" s="207"/>
    </row>
    <row r="65" spans="12:15" x14ac:dyDescent="0.25">
      <c r="L65" s="207"/>
      <c r="M65" s="207"/>
      <c r="N65" s="207"/>
      <c r="O65" s="207"/>
    </row>
    <row r="66" spans="12:15" x14ac:dyDescent="0.25">
      <c r="L66" s="207"/>
      <c r="M66" s="207"/>
      <c r="N66" s="207"/>
      <c r="O66" s="207"/>
    </row>
    <row r="67" spans="12:15" x14ac:dyDescent="0.25">
      <c r="L67" s="207"/>
      <c r="M67" s="207"/>
      <c r="N67" s="207"/>
      <c r="O67" s="207"/>
    </row>
    <row r="68" spans="12:15" x14ac:dyDescent="0.25">
      <c r="L68" s="207"/>
      <c r="M68" s="207"/>
      <c r="N68" s="207"/>
      <c r="O68" s="207"/>
    </row>
    <row r="69" spans="12:15" x14ac:dyDescent="0.25">
      <c r="L69" s="207"/>
      <c r="M69" s="207"/>
      <c r="N69" s="207"/>
      <c r="O69" s="207"/>
    </row>
    <row r="70" spans="12:15" x14ac:dyDescent="0.25">
      <c r="L70" s="207"/>
      <c r="M70" s="207"/>
      <c r="N70" s="207"/>
      <c r="O70" s="207"/>
    </row>
    <row r="71" spans="12:15" x14ac:dyDescent="0.25">
      <c r="L71" s="207"/>
      <c r="M71" s="207"/>
      <c r="N71" s="207"/>
      <c r="O71" s="207"/>
    </row>
    <row r="72" spans="12:15" x14ac:dyDescent="0.25">
      <c r="L72" s="207"/>
      <c r="M72" s="207"/>
      <c r="N72" s="207"/>
      <c r="O72" s="207"/>
    </row>
  </sheetData>
  <pageMargins left="0.25" right="0.25" top="0.5" bottom="1" header="0.3" footer="0.53"/>
  <pageSetup scale="59" orientation="landscape" r:id="rId1"/>
  <headerFooter>
    <oddFooter>&amp;R&amp;Z&amp;F
&amp;P of &amp;N
smm</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C2AF4-AACA-4C64-91B0-B079A3FF07A4}">
  <sheetPr>
    <pageSetUpPr fitToPage="1"/>
  </sheetPr>
  <dimension ref="A1:X72"/>
  <sheetViews>
    <sheetView zoomScale="70" zoomScaleNormal="70" zoomScaleSheetLayoutView="70" workbookViewId="0"/>
  </sheetViews>
  <sheetFormatPr defaultColWidth="8.85546875" defaultRowHeight="15" x14ac:dyDescent="0.25"/>
  <cols>
    <col min="1" max="1" width="7.42578125" style="87" customWidth="1"/>
    <col min="2" max="3" width="8.140625" style="6" customWidth="1"/>
    <col min="4" max="7" width="12.7109375" style="6" customWidth="1"/>
    <col min="8" max="15" width="12.7109375" style="87" customWidth="1"/>
    <col min="16" max="33" width="9.7109375" style="87" customWidth="1"/>
    <col min="34" max="35" width="8.7109375" style="87" customWidth="1"/>
    <col min="36" max="16384" width="8.85546875" style="87"/>
  </cols>
  <sheetData>
    <row r="1" spans="1:24" ht="18" x14ac:dyDescent="0.25">
      <c r="A1" s="2">
        <v>2014</v>
      </c>
      <c r="B1" s="3" t="s">
        <v>29</v>
      </c>
      <c r="C1" s="3"/>
      <c r="D1" s="4"/>
      <c r="E1" s="4"/>
      <c r="F1" s="4"/>
      <c r="G1" s="4"/>
      <c r="H1" s="4"/>
      <c r="I1" s="4"/>
      <c r="J1" s="4"/>
      <c r="K1" s="4"/>
      <c r="L1" s="4"/>
      <c r="M1" s="4"/>
      <c r="N1" s="4"/>
      <c r="O1" s="4"/>
      <c r="P1" s="4"/>
      <c r="Q1" s="4"/>
      <c r="R1" s="4"/>
      <c r="S1" s="4"/>
      <c r="T1" s="4"/>
      <c r="U1" s="4"/>
      <c r="V1" s="4"/>
      <c r="W1" s="4"/>
    </row>
    <row r="2" spans="1:24" ht="18" x14ac:dyDescent="0.25">
      <c r="A2" s="4"/>
      <c r="B2" s="3" t="s">
        <v>20</v>
      </c>
      <c r="C2" s="3"/>
      <c r="F2" s="3" t="s">
        <v>21</v>
      </c>
      <c r="G2" s="3"/>
      <c r="H2" s="4"/>
      <c r="I2" s="4"/>
      <c r="J2" s="4"/>
      <c r="K2" s="4"/>
      <c r="L2" s="4"/>
      <c r="M2" s="4"/>
      <c r="N2" s="4"/>
      <c r="O2" s="4"/>
      <c r="P2" s="4"/>
      <c r="Q2" s="4"/>
      <c r="R2" s="4"/>
      <c r="U2" s="4"/>
      <c r="V2" s="4"/>
      <c r="W2" s="4"/>
      <c r="X2" s="4"/>
    </row>
    <row r="3" spans="1:24" ht="18" x14ac:dyDescent="0.25">
      <c r="B3" s="3"/>
      <c r="C3" s="3"/>
    </row>
    <row r="4" spans="1:24" ht="27" x14ac:dyDescent="0.25">
      <c r="B4" s="217" t="s">
        <v>269</v>
      </c>
      <c r="C4" s="3"/>
      <c r="E4" s="7"/>
      <c r="F4" s="8" t="s">
        <v>32</v>
      </c>
      <c r="G4" s="234">
        <v>41822</v>
      </c>
      <c r="H4" s="8" t="s">
        <v>33</v>
      </c>
      <c r="I4" s="233" t="s">
        <v>271</v>
      </c>
      <c r="K4" s="1" t="s">
        <v>30</v>
      </c>
    </row>
    <row r="5" spans="1:24" ht="23.25" x14ac:dyDescent="0.25">
      <c r="B5" s="3"/>
      <c r="C5" s="3"/>
      <c r="D5" s="3"/>
      <c r="E5" s="7"/>
      <c r="F5" s="7"/>
      <c r="G5" s="231"/>
      <c r="H5" s="8" t="s">
        <v>34</v>
      </c>
      <c r="I5" s="232" t="s">
        <v>253</v>
      </c>
      <c r="K5" s="11"/>
      <c r="L5" s="11"/>
    </row>
    <row r="6" spans="1:24" ht="42.6" customHeight="1" x14ac:dyDescent="0.25">
      <c r="B6" s="3"/>
      <c r="C6" s="3"/>
      <c r="D6" s="3"/>
      <c r="E6" s="3"/>
      <c r="F6" s="4" t="s">
        <v>267</v>
      </c>
      <c r="G6" s="4"/>
      <c r="H6" s="231"/>
      <c r="I6" s="231"/>
      <c r="J6" s="7"/>
      <c r="K6" s="66"/>
      <c r="L6" s="66"/>
      <c r="M6" s="66"/>
      <c r="N6" s="66"/>
      <c r="P6" s="10"/>
      <c r="S6" s="11"/>
      <c r="T6" s="11"/>
    </row>
    <row r="7" spans="1:24" ht="17.45" customHeight="1" x14ac:dyDescent="0.25">
      <c r="B7" s="3"/>
      <c r="C7" s="3"/>
      <c r="D7" s="3" t="s">
        <v>266</v>
      </c>
      <c r="E7" s="3"/>
      <c r="H7" s="7"/>
      <c r="I7" s="7"/>
      <c r="J7" s="7"/>
      <c r="K7" s="7"/>
      <c r="L7" s="66"/>
      <c r="M7" s="66"/>
      <c r="N7" s="66"/>
      <c r="O7" s="66"/>
      <c r="Q7" s="10"/>
      <c r="T7" s="11"/>
      <c r="U7" s="11"/>
    </row>
    <row r="8" spans="1:24" ht="17.45" customHeight="1" x14ac:dyDescent="0.25">
      <c r="B8" s="3"/>
      <c r="C8" s="3"/>
      <c r="D8" s="3"/>
      <c r="E8" s="3"/>
      <c r="H8" s="7"/>
      <c r="I8" s="7"/>
      <c r="J8" s="7"/>
      <c r="K8" s="7"/>
      <c r="L8" s="66"/>
      <c r="M8" s="66"/>
      <c r="N8" s="66"/>
      <c r="O8" s="66"/>
      <c r="Q8" s="10"/>
      <c r="T8" s="11"/>
      <c r="U8" s="11"/>
    </row>
    <row r="9" spans="1:24" ht="25.15" customHeight="1" x14ac:dyDescent="0.25">
      <c r="D9" s="212" t="s">
        <v>24</v>
      </c>
      <c r="E9" s="222"/>
      <c r="F9" s="212" t="s">
        <v>38</v>
      </c>
      <c r="G9" s="222"/>
      <c r="H9" s="212" t="s">
        <v>25</v>
      </c>
      <c r="I9" s="222"/>
      <c r="J9" s="212" t="s">
        <v>26</v>
      </c>
      <c r="K9" s="222"/>
      <c r="L9" s="212" t="s">
        <v>27</v>
      </c>
      <c r="M9" s="222"/>
      <c r="N9" s="212" t="s">
        <v>28</v>
      </c>
      <c r="O9" s="222"/>
    </row>
    <row r="10" spans="1:24" ht="77.45" customHeight="1" thickBot="1" x14ac:dyDescent="0.3">
      <c r="D10" s="211" t="s">
        <v>265</v>
      </c>
      <c r="E10" s="230" t="s">
        <v>264</v>
      </c>
      <c r="F10" s="211" t="s">
        <v>265</v>
      </c>
      <c r="G10" s="230" t="s">
        <v>264</v>
      </c>
      <c r="H10" s="211" t="s">
        <v>265</v>
      </c>
      <c r="I10" s="230" t="s">
        <v>264</v>
      </c>
      <c r="J10" s="211" t="s">
        <v>265</v>
      </c>
      <c r="K10" s="230" t="s">
        <v>264</v>
      </c>
      <c r="L10" s="211" t="s">
        <v>265</v>
      </c>
      <c r="M10" s="230" t="s">
        <v>264</v>
      </c>
      <c r="N10" s="211" t="s">
        <v>265</v>
      </c>
      <c r="O10" s="230" t="s">
        <v>264</v>
      </c>
    </row>
    <row r="11" spans="1:24" ht="30" customHeight="1" x14ac:dyDescent="0.2">
      <c r="B11" s="15" t="s">
        <v>5</v>
      </c>
      <c r="C11" s="15"/>
      <c r="D11" s="223" t="s">
        <v>225</v>
      </c>
      <c r="E11" s="229" t="s">
        <v>225</v>
      </c>
      <c r="F11" s="223" t="s">
        <v>225</v>
      </c>
      <c r="G11" s="220" t="s">
        <v>225</v>
      </c>
      <c r="H11" s="16">
        <v>2</v>
      </c>
      <c r="I11" s="220">
        <v>5</v>
      </c>
      <c r="J11" s="16">
        <v>1</v>
      </c>
      <c r="K11" s="220">
        <v>4</v>
      </c>
      <c r="L11" s="16">
        <v>2</v>
      </c>
      <c r="M11" s="220">
        <v>8</v>
      </c>
      <c r="N11" s="16">
        <v>2</v>
      </c>
      <c r="O11" s="220">
        <v>6</v>
      </c>
      <c r="Q11" s="226">
        <f t="shared" ref="Q11:Q17" si="0">SUM(D11,F11,H11,J11,L11,N11)/SUM(E11,G11,I11,K11,M11,O11)*100</f>
        <v>30.434782608695656</v>
      </c>
    </row>
    <row r="12" spans="1:24" ht="30" customHeight="1" x14ac:dyDescent="0.2">
      <c r="B12" s="17" t="s">
        <v>6</v>
      </c>
      <c r="C12" s="17"/>
      <c r="D12" s="228" t="s">
        <v>225</v>
      </c>
      <c r="E12" s="227" t="s">
        <v>225</v>
      </c>
      <c r="F12" s="18" t="s">
        <v>225</v>
      </c>
      <c r="G12" s="219" t="s">
        <v>225</v>
      </c>
      <c r="H12" s="18">
        <v>3</v>
      </c>
      <c r="I12" s="219">
        <v>6</v>
      </c>
      <c r="J12" s="18">
        <v>3</v>
      </c>
      <c r="K12" s="219">
        <v>6</v>
      </c>
      <c r="L12" s="18">
        <v>3</v>
      </c>
      <c r="M12" s="219">
        <v>7</v>
      </c>
      <c r="N12" s="18">
        <v>1</v>
      </c>
      <c r="O12" s="219">
        <v>7</v>
      </c>
      <c r="Q12" s="226">
        <f t="shared" si="0"/>
        <v>38.461538461538467</v>
      </c>
    </row>
    <row r="13" spans="1:24" ht="30" customHeight="1" x14ac:dyDescent="0.2">
      <c r="B13" s="17" t="s">
        <v>7</v>
      </c>
      <c r="C13" s="17"/>
      <c r="D13" s="228" t="s">
        <v>225</v>
      </c>
      <c r="E13" s="227" t="s">
        <v>225</v>
      </c>
      <c r="F13" s="18" t="s">
        <v>225</v>
      </c>
      <c r="G13" s="219" t="s">
        <v>225</v>
      </c>
      <c r="H13" s="18">
        <v>3</v>
      </c>
      <c r="I13" s="219">
        <v>7</v>
      </c>
      <c r="J13" s="18">
        <v>3</v>
      </c>
      <c r="K13" s="219">
        <v>6</v>
      </c>
      <c r="L13" s="18">
        <v>1</v>
      </c>
      <c r="M13" s="219">
        <v>5</v>
      </c>
      <c r="N13" s="18">
        <v>3</v>
      </c>
      <c r="O13" s="219">
        <v>7</v>
      </c>
      <c r="Q13" s="226">
        <f t="shared" si="0"/>
        <v>40</v>
      </c>
    </row>
    <row r="14" spans="1:24" ht="30" customHeight="1" x14ac:dyDescent="0.2">
      <c r="B14" s="17" t="s">
        <v>10</v>
      </c>
      <c r="C14" s="17"/>
      <c r="D14" s="228" t="s">
        <v>225</v>
      </c>
      <c r="E14" s="227" t="s">
        <v>225</v>
      </c>
      <c r="F14" s="18" t="s">
        <v>225</v>
      </c>
      <c r="G14" s="219" t="s">
        <v>225</v>
      </c>
      <c r="H14" s="18">
        <v>2</v>
      </c>
      <c r="I14" s="219">
        <v>6</v>
      </c>
      <c r="J14" s="18">
        <v>1</v>
      </c>
      <c r="K14" s="219">
        <v>5</v>
      </c>
      <c r="L14" s="18">
        <v>3</v>
      </c>
      <c r="M14" s="219">
        <v>6</v>
      </c>
      <c r="N14" s="18">
        <v>2</v>
      </c>
      <c r="O14" s="219">
        <v>7</v>
      </c>
      <c r="Q14" s="226">
        <f t="shared" si="0"/>
        <v>33.333333333333329</v>
      </c>
    </row>
    <row r="15" spans="1:24" ht="30" customHeight="1" x14ac:dyDescent="0.2">
      <c r="B15" s="17" t="s">
        <v>11</v>
      </c>
      <c r="C15" s="17"/>
      <c r="D15" s="228" t="s">
        <v>225</v>
      </c>
      <c r="E15" s="227" t="s">
        <v>225</v>
      </c>
      <c r="F15" s="18" t="s">
        <v>225</v>
      </c>
      <c r="G15" s="219" t="s">
        <v>225</v>
      </c>
      <c r="H15" s="18">
        <v>3</v>
      </c>
      <c r="I15" s="219">
        <v>8</v>
      </c>
      <c r="J15" s="18">
        <v>3</v>
      </c>
      <c r="K15" s="219">
        <v>7</v>
      </c>
      <c r="L15" s="18">
        <v>2</v>
      </c>
      <c r="M15" s="219">
        <v>8</v>
      </c>
      <c r="N15" s="18">
        <v>2</v>
      </c>
      <c r="O15" s="219">
        <v>4</v>
      </c>
      <c r="Q15" s="226">
        <f t="shared" si="0"/>
        <v>37.037037037037038</v>
      </c>
    </row>
    <row r="16" spans="1:24" ht="30" customHeight="1" x14ac:dyDescent="0.2">
      <c r="B16" s="17" t="s">
        <v>14</v>
      </c>
      <c r="C16" s="17"/>
      <c r="D16" s="228" t="s">
        <v>225</v>
      </c>
      <c r="E16" s="227" t="s">
        <v>225</v>
      </c>
      <c r="F16" s="18">
        <v>1</v>
      </c>
      <c r="G16" s="219">
        <v>10</v>
      </c>
      <c r="H16" s="18">
        <v>0</v>
      </c>
      <c r="I16" s="219">
        <v>8</v>
      </c>
      <c r="J16" s="18">
        <v>4</v>
      </c>
      <c r="K16" s="219">
        <v>11</v>
      </c>
      <c r="L16" s="18">
        <v>4</v>
      </c>
      <c r="M16" s="219">
        <v>10</v>
      </c>
      <c r="N16" s="18">
        <v>0</v>
      </c>
      <c r="O16" s="219">
        <v>6</v>
      </c>
      <c r="Q16" s="226">
        <f t="shared" si="0"/>
        <v>20</v>
      </c>
    </row>
    <row r="17" spans="2:17" ht="30" customHeight="1" x14ac:dyDescent="0.2">
      <c r="B17" s="17" t="s">
        <v>23</v>
      </c>
      <c r="C17" s="17"/>
      <c r="D17" s="228" t="s">
        <v>225</v>
      </c>
      <c r="E17" s="227" t="s">
        <v>225</v>
      </c>
      <c r="F17" s="18">
        <v>3</v>
      </c>
      <c r="G17" s="219">
        <v>10</v>
      </c>
      <c r="H17" s="18">
        <v>3</v>
      </c>
      <c r="I17" s="219">
        <v>11</v>
      </c>
      <c r="J17" s="18">
        <v>3</v>
      </c>
      <c r="K17" s="219">
        <v>11</v>
      </c>
      <c r="L17" s="18">
        <v>2</v>
      </c>
      <c r="M17" s="219">
        <v>12</v>
      </c>
      <c r="N17" s="18">
        <v>1</v>
      </c>
      <c r="O17" s="219">
        <v>14</v>
      </c>
      <c r="Q17" s="226">
        <f t="shared" si="0"/>
        <v>20.689655172413794</v>
      </c>
    </row>
    <row r="18" spans="2:17" x14ac:dyDescent="0.25">
      <c r="L18" s="218"/>
      <c r="M18" s="218"/>
      <c r="N18" s="218"/>
      <c r="O18" s="218"/>
    </row>
    <row r="19" spans="2:17" x14ac:dyDescent="0.25">
      <c r="D19" s="6">
        <f t="shared" ref="D19:O19" si="1">SUM(D7:D17)</f>
        <v>0</v>
      </c>
      <c r="E19" s="6">
        <f t="shared" si="1"/>
        <v>0</v>
      </c>
      <c r="F19" s="6">
        <f t="shared" si="1"/>
        <v>4</v>
      </c>
      <c r="G19" s="6">
        <f t="shared" si="1"/>
        <v>20</v>
      </c>
      <c r="H19" s="6">
        <f t="shared" si="1"/>
        <v>16</v>
      </c>
      <c r="I19" s="6">
        <f t="shared" si="1"/>
        <v>51</v>
      </c>
      <c r="J19" s="6">
        <f t="shared" si="1"/>
        <v>18</v>
      </c>
      <c r="K19" s="6">
        <f t="shared" si="1"/>
        <v>50</v>
      </c>
      <c r="L19" s="6">
        <f t="shared" si="1"/>
        <v>17</v>
      </c>
      <c r="M19" s="6">
        <f t="shared" si="1"/>
        <v>56</v>
      </c>
      <c r="N19" s="6">
        <f t="shared" si="1"/>
        <v>11</v>
      </c>
      <c r="O19" s="6">
        <f t="shared" si="1"/>
        <v>51</v>
      </c>
      <c r="P19" s="87" t="s">
        <v>63</v>
      </c>
      <c r="Q19" s="226">
        <f>AVERAGE(Q13,Q15)</f>
        <v>38.518518518518519</v>
      </c>
    </row>
    <row r="20" spans="2:17" x14ac:dyDescent="0.25">
      <c r="L20" s="207"/>
      <c r="M20" s="207"/>
      <c r="N20" s="207"/>
      <c r="O20" s="207"/>
      <c r="P20" s="87" t="s">
        <v>16</v>
      </c>
      <c r="Q20" s="226">
        <f>AVERAGE(Q12,Q16)</f>
        <v>29.230769230769234</v>
      </c>
    </row>
    <row r="21" spans="2:17" x14ac:dyDescent="0.25">
      <c r="E21" s="6" t="e">
        <f>D19/E19*100</f>
        <v>#DIV/0!</v>
      </c>
      <c r="G21" s="6">
        <f>F19/G19*100</f>
        <v>20</v>
      </c>
      <c r="I21" s="6">
        <f>H19/I19*100</f>
        <v>31.372549019607842</v>
      </c>
      <c r="K21" s="6">
        <f>J19/K19*100</f>
        <v>36</v>
      </c>
      <c r="L21" s="207"/>
      <c r="M21" s="6">
        <f>L19/M19*100</f>
        <v>30.357142857142854</v>
      </c>
      <c r="N21" s="207"/>
      <c r="O21" s="6">
        <f>N19/O19*100</f>
        <v>21.568627450980394</v>
      </c>
      <c r="P21" s="87" t="s">
        <v>64</v>
      </c>
      <c r="Q21" s="226">
        <f>AVERAGE(Q11,Q14)</f>
        <v>31.884057971014492</v>
      </c>
    </row>
    <row r="22" spans="2:17" x14ac:dyDescent="0.25">
      <c r="L22" s="207"/>
      <c r="M22" s="207"/>
      <c r="N22" s="207"/>
      <c r="O22" s="207"/>
    </row>
    <row r="23" spans="2:17" x14ac:dyDescent="0.25">
      <c r="L23" s="207"/>
      <c r="M23" s="207"/>
      <c r="N23" s="207"/>
      <c r="O23" s="207"/>
    </row>
    <row r="24" spans="2:17" x14ac:dyDescent="0.25">
      <c r="E24" s="6">
        <f>SUM(D19,F19,H19,J19,L19,N19)/SUM(E19,G19,I19,K19,M19,O19)*100</f>
        <v>28.947368421052634</v>
      </c>
      <c r="L24" s="207"/>
      <c r="M24" s="207"/>
      <c r="N24" s="207"/>
      <c r="O24" s="207"/>
    </row>
    <row r="25" spans="2:17" x14ac:dyDescent="0.25">
      <c r="L25" s="207"/>
      <c r="M25" s="207"/>
      <c r="N25" s="207"/>
      <c r="O25" s="207"/>
    </row>
    <row r="26" spans="2:17" x14ac:dyDescent="0.25">
      <c r="L26" s="207"/>
      <c r="M26" s="207"/>
      <c r="N26" s="207"/>
      <c r="O26" s="207"/>
    </row>
    <row r="27" spans="2:17" x14ac:dyDescent="0.25">
      <c r="L27" s="207"/>
      <c r="M27" s="207"/>
      <c r="N27" s="207"/>
      <c r="O27" s="207"/>
    </row>
    <row r="28" spans="2:17" x14ac:dyDescent="0.25">
      <c r="L28" s="207"/>
      <c r="M28" s="207"/>
      <c r="N28" s="207"/>
      <c r="O28" s="207"/>
    </row>
    <row r="29" spans="2:17" x14ac:dyDescent="0.25">
      <c r="L29" s="207"/>
      <c r="M29" s="207"/>
      <c r="N29" s="207"/>
      <c r="O29" s="207"/>
    </row>
    <row r="30" spans="2:17" x14ac:dyDescent="0.25">
      <c r="L30" s="207"/>
      <c r="M30" s="207"/>
      <c r="N30" s="207"/>
      <c r="O30" s="207"/>
    </row>
    <row r="31" spans="2:17" x14ac:dyDescent="0.25">
      <c r="L31" s="207"/>
      <c r="M31" s="207"/>
      <c r="N31" s="207"/>
      <c r="O31" s="207"/>
    </row>
    <row r="32" spans="2:17" x14ac:dyDescent="0.25">
      <c r="L32" s="207"/>
      <c r="M32" s="207"/>
      <c r="N32" s="207"/>
      <c r="O32" s="207"/>
    </row>
    <row r="33" spans="12:15" x14ac:dyDescent="0.25">
      <c r="L33" s="207"/>
      <c r="M33" s="207"/>
      <c r="N33" s="207"/>
      <c r="O33" s="207"/>
    </row>
    <row r="34" spans="12:15" x14ac:dyDescent="0.25">
      <c r="L34" s="207"/>
      <c r="M34" s="207"/>
      <c r="N34" s="207"/>
      <c r="O34" s="207"/>
    </row>
    <row r="35" spans="12:15" x14ac:dyDescent="0.25">
      <c r="L35" s="207"/>
      <c r="M35" s="207"/>
      <c r="N35" s="207"/>
      <c r="O35" s="207"/>
    </row>
    <row r="36" spans="12:15" x14ac:dyDescent="0.25">
      <c r="L36" s="207"/>
      <c r="M36" s="207"/>
      <c r="N36" s="207"/>
      <c r="O36" s="207"/>
    </row>
    <row r="37" spans="12:15" x14ac:dyDescent="0.25">
      <c r="L37" s="207"/>
      <c r="M37" s="207"/>
      <c r="N37" s="207"/>
      <c r="O37" s="207"/>
    </row>
    <row r="38" spans="12:15" x14ac:dyDescent="0.25">
      <c r="L38" s="207"/>
      <c r="M38" s="207"/>
      <c r="N38" s="207"/>
      <c r="O38" s="207"/>
    </row>
    <row r="39" spans="12:15" x14ac:dyDescent="0.25">
      <c r="L39" s="207"/>
      <c r="M39" s="207"/>
      <c r="N39" s="207"/>
      <c r="O39" s="207"/>
    </row>
    <row r="40" spans="12:15" x14ac:dyDescent="0.25">
      <c r="L40" s="207"/>
      <c r="M40" s="207"/>
      <c r="N40" s="207"/>
      <c r="O40" s="207"/>
    </row>
    <row r="41" spans="12:15" x14ac:dyDescent="0.25">
      <c r="L41" s="207"/>
      <c r="M41" s="207"/>
      <c r="N41" s="207"/>
      <c r="O41" s="207"/>
    </row>
    <row r="42" spans="12:15" x14ac:dyDescent="0.25">
      <c r="L42" s="207"/>
      <c r="M42" s="207"/>
      <c r="N42" s="207"/>
      <c r="O42" s="207"/>
    </row>
    <row r="43" spans="12:15" x14ac:dyDescent="0.25">
      <c r="L43" s="207"/>
      <c r="M43" s="207"/>
      <c r="N43" s="207"/>
      <c r="O43" s="207"/>
    </row>
    <row r="44" spans="12:15" x14ac:dyDescent="0.25">
      <c r="L44" s="207"/>
      <c r="M44" s="207"/>
      <c r="N44" s="207"/>
      <c r="O44" s="207"/>
    </row>
    <row r="45" spans="12:15" x14ac:dyDescent="0.25">
      <c r="L45" s="207"/>
      <c r="M45" s="207"/>
      <c r="N45" s="207"/>
      <c r="O45" s="207"/>
    </row>
    <row r="46" spans="12:15" x14ac:dyDescent="0.25">
      <c r="L46" s="207"/>
      <c r="M46" s="207"/>
      <c r="N46" s="207"/>
      <c r="O46" s="207"/>
    </row>
    <row r="47" spans="12:15" x14ac:dyDescent="0.25">
      <c r="L47" s="207"/>
      <c r="M47" s="207"/>
      <c r="N47" s="207"/>
      <c r="O47" s="207"/>
    </row>
    <row r="48" spans="12:15" x14ac:dyDescent="0.25">
      <c r="L48" s="207"/>
      <c r="M48" s="207"/>
      <c r="N48" s="207"/>
      <c r="O48" s="207"/>
    </row>
    <row r="49" spans="12:15" x14ac:dyDescent="0.25">
      <c r="L49" s="207"/>
      <c r="M49" s="207"/>
      <c r="N49" s="207"/>
      <c r="O49" s="207"/>
    </row>
    <row r="50" spans="12:15" x14ac:dyDescent="0.25">
      <c r="L50" s="207"/>
      <c r="M50" s="207"/>
      <c r="N50" s="207"/>
      <c r="O50" s="207"/>
    </row>
    <row r="51" spans="12:15" x14ac:dyDescent="0.25">
      <c r="L51" s="207"/>
      <c r="M51" s="207"/>
      <c r="N51" s="207"/>
      <c r="O51" s="207"/>
    </row>
    <row r="52" spans="12:15" x14ac:dyDescent="0.25">
      <c r="L52" s="207"/>
      <c r="M52" s="207"/>
      <c r="N52" s="207"/>
      <c r="O52" s="207"/>
    </row>
    <row r="53" spans="12:15" x14ac:dyDescent="0.25">
      <c r="L53" s="207"/>
      <c r="M53" s="207"/>
      <c r="N53" s="207"/>
      <c r="O53" s="207"/>
    </row>
    <row r="54" spans="12:15" x14ac:dyDescent="0.25">
      <c r="L54" s="207"/>
      <c r="M54" s="207"/>
      <c r="N54" s="207"/>
      <c r="O54" s="207"/>
    </row>
    <row r="55" spans="12:15" x14ac:dyDescent="0.25">
      <c r="L55" s="207"/>
      <c r="M55" s="207"/>
      <c r="N55" s="207"/>
      <c r="O55" s="207"/>
    </row>
    <row r="56" spans="12:15" x14ac:dyDescent="0.25">
      <c r="L56" s="207"/>
      <c r="M56" s="207"/>
      <c r="N56" s="207"/>
      <c r="O56" s="207"/>
    </row>
    <row r="57" spans="12:15" x14ac:dyDescent="0.25">
      <c r="L57" s="207"/>
      <c r="M57" s="207"/>
      <c r="N57" s="207"/>
      <c r="O57" s="207"/>
    </row>
    <row r="58" spans="12:15" x14ac:dyDescent="0.25">
      <c r="L58" s="207"/>
      <c r="M58" s="207"/>
      <c r="N58" s="207"/>
      <c r="O58" s="207"/>
    </row>
    <row r="59" spans="12:15" x14ac:dyDescent="0.25">
      <c r="L59" s="207"/>
      <c r="M59" s="207"/>
      <c r="N59" s="207"/>
      <c r="O59" s="207"/>
    </row>
    <row r="60" spans="12:15" x14ac:dyDescent="0.25">
      <c r="L60" s="207"/>
      <c r="M60" s="207"/>
      <c r="N60" s="207"/>
      <c r="O60" s="207"/>
    </row>
    <row r="61" spans="12:15" x14ac:dyDescent="0.25">
      <c r="L61" s="207"/>
      <c r="M61" s="207"/>
      <c r="N61" s="207"/>
      <c r="O61" s="207"/>
    </row>
    <row r="62" spans="12:15" x14ac:dyDescent="0.25">
      <c r="L62" s="207"/>
      <c r="M62" s="207"/>
      <c r="N62" s="207"/>
      <c r="O62" s="207"/>
    </row>
    <row r="63" spans="12:15" x14ac:dyDescent="0.25">
      <c r="L63" s="207"/>
      <c r="M63" s="207"/>
      <c r="N63" s="207"/>
      <c r="O63" s="207"/>
    </row>
    <row r="64" spans="12:15" x14ac:dyDescent="0.25">
      <c r="L64" s="207"/>
      <c r="M64" s="207"/>
      <c r="N64" s="207"/>
      <c r="O64" s="207"/>
    </row>
    <row r="65" spans="12:15" x14ac:dyDescent="0.25">
      <c r="L65" s="207"/>
      <c r="M65" s="207"/>
      <c r="N65" s="207"/>
      <c r="O65" s="207"/>
    </row>
    <row r="66" spans="12:15" x14ac:dyDescent="0.25">
      <c r="L66" s="207"/>
      <c r="M66" s="207"/>
      <c r="N66" s="207"/>
      <c r="O66" s="207"/>
    </row>
    <row r="67" spans="12:15" x14ac:dyDescent="0.25">
      <c r="L67" s="207"/>
      <c r="M67" s="207"/>
      <c r="N67" s="207"/>
      <c r="O67" s="207"/>
    </row>
    <row r="68" spans="12:15" x14ac:dyDescent="0.25">
      <c r="L68" s="207"/>
      <c r="M68" s="207"/>
      <c r="N68" s="207"/>
      <c r="O68" s="207"/>
    </row>
    <row r="69" spans="12:15" x14ac:dyDescent="0.25">
      <c r="L69" s="207"/>
      <c r="M69" s="207"/>
      <c r="N69" s="207"/>
      <c r="O69" s="207"/>
    </row>
    <row r="70" spans="12:15" x14ac:dyDescent="0.25">
      <c r="L70" s="207"/>
      <c r="M70" s="207"/>
      <c r="N70" s="207"/>
      <c r="O70" s="207"/>
    </row>
    <row r="71" spans="12:15" x14ac:dyDescent="0.25">
      <c r="L71" s="207"/>
      <c r="M71" s="207"/>
      <c r="N71" s="207"/>
      <c r="O71" s="207"/>
    </row>
    <row r="72" spans="12:15" x14ac:dyDescent="0.25">
      <c r="L72" s="207"/>
      <c r="M72" s="207"/>
      <c r="N72" s="207"/>
      <c r="O72" s="207"/>
    </row>
  </sheetData>
  <pageMargins left="0.25" right="0.25" top="0.5" bottom="1" header="0.3" footer="0.53"/>
  <pageSetup scale="59" orientation="landscape" r:id="rId1"/>
  <headerFooter>
    <oddFooter>&amp;R&amp;Z&amp;F
&amp;P of &amp;N
smm</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0E92C-7C83-4545-A58B-DC50EED7CE84}">
  <sheetPr>
    <pageSetUpPr fitToPage="1"/>
  </sheetPr>
  <dimension ref="A1:X76"/>
  <sheetViews>
    <sheetView zoomScale="70" zoomScaleNormal="70" zoomScaleSheetLayoutView="70" workbookViewId="0"/>
  </sheetViews>
  <sheetFormatPr defaultColWidth="8.85546875" defaultRowHeight="15" x14ac:dyDescent="0.25"/>
  <cols>
    <col min="1" max="1" width="7.42578125" style="87" customWidth="1"/>
    <col min="2" max="3" width="8.140625" style="6" customWidth="1"/>
    <col min="4" max="7" width="12.85546875" style="6" customWidth="1"/>
    <col min="8" max="15" width="12.85546875" style="87" customWidth="1"/>
    <col min="16" max="33" width="9.7109375" style="87" customWidth="1"/>
    <col min="34" max="35" width="8.7109375" style="87" customWidth="1"/>
    <col min="36" max="16384" width="8.85546875" style="87"/>
  </cols>
  <sheetData>
    <row r="1" spans="1:24" ht="18" x14ac:dyDescent="0.25">
      <c r="A1" s="2">
        <v>2014</v>
      </c>
      <c r="B1" s="3" t="s">
        <v>29</v>
      </c>
      <c r="C1" s="3"/>
      <c r="D1" s="4"/>
      <c r="E1" s="4"/>
      <c r="F1" s="4"/>
      <c r="G1" s="4"/>
      <c r="H1" s="4"/>
      <c r="I1" s="4"/>
      <c r="J1" s="4"/>
      <c r="K1" s="4"/>
      <c r="L1" s="4"/>
      <c r="M1" s="4"/>
      <c r="N1" s="4"/>
      <c r="O1" s="4"/>
      <c r="P1" s="4"/>
      <c r="Q1" s="4"/>
      <c r="R1" s="4"/>
      <c r="S1" s="4"/>
      <c r="T1" s="4"/>
      <c r="U1" s="4"/>
      <c r="V1" s="4"/>
      <c r="W1" s="4"/>
    </row>
    <row r="2" spans="1:24" ht="18" x14ac:dyDescent="0.25">
      <c r="A2" s="4"/>
      <c r="B2" s="3" t="s">
        <v>20</v>
      </c>
      <c r="C2" s="3"/>
      <c r="F2" s="3" t="s">
        <v>21</v>
      </c>
      <c r="G2" s="3"/>
      <c r="H2" s="4"/>
      <c r="I2" s="4"/>
      <c r="J2" s="4"/>
      <c r="K2" s="4"/>
      <c r="L2" s="4"/>
      <c r="M2" s="4"/>
      <c r="N2" s="4"/>
      <c r="O2" s="4"/>
      <c r="P2" s="4"/>
      <c r="Q2" s="4"/>
      <c r="R2" s="4"/>
      <c r="U2" s="4"/>
      <c r="V2" s="4"/>
      <c r="W2" s="4"/>
      <c r="X2" s="4"/>
    </row>
    <row r="3" spans="1:24" ht="18" x14ac:dyDescent="0.25">
      <c r="B3" s="3"/>
      <c r="C3" s="3"/>
    </row>
    <row r="4" spans="1:24" ht="27" x14ac:dyDescent="0.25">
      <c r="B4" s="217" t="s">
        <v>269</v>
      </c>
      <c r="C4" s="3"/>
      <c r="E4" s="7"/>
      <c r="F4" s="8" t="s">
        <v>32</v>
      </c>
      <c r="G4" s="216">
        <v>41827</v>
      </c>
      <c r="H4" s="10" t="s">
        <v>33</v>
      </c>
      <c r="I4" s="215" t="s">
        <v>272</v>
      </c>
      <c r="K4" s="1" t="s">
        <v>30</v>
      </c>
    </row>
    <row r="5" spans="1:24" ht="23.25" x14ac:dyDescent="0.25">
      <c r="B5" s="3"/>
      <c r="C5" s="3"/>
      <c r="D5" s="3"/>
      <c r="E5" s="7"/>
      <c r="F5" s="7"/>
      <c r="G5" s="87"/>
      <c r="H5" s="10" t="s">
        <v>34</v>
      </c>
      <c r="I5" s="214" t="s">
        <v>253</v>
      </c>
      <c r="K5" s="11"/>
      <c r="L5" s="11"/>
    </row>
    <row r="6" spans="1:24" ht="17.45" customHeight="1" x14ac:dyDescent="0.25">
      <c r="B6" s="3"/>
      <c r="C6" s="3"/>
      <c r="D6" s="3"/>
      <c r="E6" s="3"/>
      <c r="H6" s="7"/>
      <c r="I6" s="7"/>
      <c r="J6" s="7"/>
      <c r="K6" s="66"/>
      <c r="L6" s="66"/>
      <c r="M6" s="66"/>
      <c r="N6" s="66"/>
      <c r="P6" s="10"/>
      <c r="S6" s="11"/>
      <c r="T6" s="11"/>
    </row>
    <row r="7" spans="1:24" ht="17.45" customHeight="1" x14ac:dyDescent="0.25">
      <c r="B7" s="3"/>
      <c r="C7" s="3"/>
      <c r="D7" s="3" t="s">
        <v>266</v>
      </c>
      <c r="E7" s="3"/>
      <c r="H7" s="7"/>
      <c r="I7" s="7"/>
      <c r="J7" s="7"/>
      <c r="K7" s="7"/>
      <c r="L7" s="66"/>
      <c r="M7" s="66"/>
      <c r="N7" s="66"/>
      <c r="O7" s="66"/>
      <c r="Q7" s="10"/>
      <c r="T7" s="11"/>
      <c r="U7" s="11"/>
    </row>
    <row r="8" spans="1:24" ht="17.45" customHeight="1" x14ac:dyDescent="0.25">
      <c r="B8" s="3"/>
      <c r="C8" s="3"/>
      <c r="D8" s="3"/>
      <c r="E8" s="3"/>
      <c r="H8" s="7"/>
      <c r="I8" s="7"/>
      <c r="J8" s="7"/>
      <c r="K8" s="7"/>
      <c r="L8" s="66"/>
      <c r="M8" s="66"/>
      <c r="N8" s="66"/>
      <c r="O8" s="66"/>
      <c r="Q8" s="10"/>
      <c r="T8" s="11"/>
      <c r="U8" s="11"/>
    </row>
    <row r="9" spans="1:24" ht="25.15" customHeight="1" x14ac:dyDescent="0.25">
      <c r="D9" s="212" t="s">
        <v>24</v>
      </c>
      <c r="E9" s="222"/>
      <c r="F9" s="212" t="s">
        <v>38</v>
      </c>
      <c r="G9" s="222"/>
      <c r="H9" s="212" t="s">
        <v>25</v>
      </c>
      <c r="I9" s="222"/>
      <c r="J9" s="212" t="s">
        <v>26</v>
      </c>
      <c r="K9" s="222"/>
      <c r="L9" s="212" t="s">
        <v>27</v>
      </c>
      <c r="M9" s="222"/>
      <c r="N9" s="212" t="s">
        <v>28</v>
      </c>
      <c r="O9" s="222"/>
    </row>
    <row r="10" spans="1:24" ht="77.45" customHeight="1" thickBot="1" x14ac:dyDescent="0.3">
      <c r="D10" s="211" t="s">
        <v>265</v>
      </c>
      <c r="E10" s="230" t="s">
        <v>264</v>
      </c>
      <c r="F10" s="211" t="s">
        <v>265</v>
      </c>
      <c r="G10" s="230" t="s">
        <v>264</v>
      </c>
      <c r="H10" s="211" t="s">
        <v>265</v>
      </c>
      <c r="I10" s="230" t="s">
        <v>264</v>
      </c>
      <c r="J10" s="211" t="s">
        <v>265</v>
      </c>
      <c r="K10" s="230" t="s">
        <v>264</v>
      </c>
      <c r="L10" s="211" t="s">
        <v>265</v>
      </c>
      <c r="M10" s="230" t="s">
        <v>264</v>
      </c>
      <c r="N10" s="211" t="s">
        <v>265</v>
      </c>
      <c r="O10" s="230" t="s">
        <v>264</v>
      </c>
    </row>
    <row r="11" spans="1:24" ht="30" customHeight="1" x14ac:dyDescent="0.2">
      <c r="B11" s="15" t="s">
        <v>5</v>
      </c>
      <c r="C11" s="15"/>
      <c r="D11" s="16">
        <v>5</v>
      </c>
      <c r="E11" s="220">
        <v>9</v>
      </c>
      <c r="F11" s="16">
        <v>4</v>
      </c>
      <c r="G11" s="220">
        <v>8</v>
      </c>
      <c r="H11" s="16">
        <v>4</v>
      </c>
      <c r="I11" s="220">
        <v>7</v>
      </c>
      <c r="J11" s="16">
        <v>3</v>
      </c>
      <c r="K11" s="220">
        <v>5</v>
      </c>
      <c r="L11" s="16">
        <v>5</v>
      </c>
      <c r="M11" s="220">
        <v>8</v>
      </c>
      <c r="N11" s="16">
        <v>4</v>
      </c>
      <c r="O11" s="220">
        <v>4</v>
      </c>
      <c r="Q11" s="226">
        <f t="shared" ref="Q11:Q21" si="0">SUM(D11,F11,H11,J11,L11,N11)/SUM(E11,G11,I11,K11,M11,O11)*100</f>
        <v>60.975609756097562</v>
      </c>
    </row>
    <row r="12" spans="1:24" ht="30" customHeight="1" x14ac:dyDescent="0.2">
      <c r="B12" s="17" t="s">
        <v>6</v>
      </c>
      <c r="C12" s="17"/>
      <c r="D12" s="18">
        <v>2</v>
      </c>
      <c r="E12" s="219">
        <v>4</v>
      </c>
      <c r="F12" s="18">
        <v>4</v>
      </c>
      <c r="G12" s="219">
        <v>8</v>
      </c>
      <c r="H12" s="18">
        <v>3</v>
      </c>
      <c r="I12" s="219">
        <v>5</v>
      </c>
      <c r="J12" s="18">
        <v>1</v>
      </c>
      <c r="K12" s="219">
        <v>4</v>
      </c>
      <c r="L12" s="18">
        <v>0</v>
      </c>
      <c r="M12" s="219">
        <v>4</v>
      </c>
      <c r="N12" s="18">
        <v>2</v>
      </c>
      <c r="O12" s="219">
        <v>6</v>
      </c>
      <c r="Q12" s="226">
        <f t="shared" si="0"/>
        <v>38.70967741935484</v>
      </c>
    </row>
    <row r="13" spans="1:24" ht="30" customHeight="1" x14ac:dyDescent="0.2">
      <c r="B13" s="17" t="s">
        <v>7</v>
      </c>
      <c r="C13" s="17"/>
      <c r="D13" s="18">
        <v>3</v>
      </c>
      <c r="E13" s="219">
        <v>5</v>
      </c>
      <c r="F13" s="18">
        <v>3</v>
      </c>
      <c r="G13" s="219">
        <v>7</v>
      </c>
      <c r="H13" s="18">
        <v>4</v>
      </c>
      <c r="I13" s="219">
        <v>5</v>
      </c>
      <c r="J13" s="18">
        <v>2</v>
      </c>
      <c r="K13" s="219">
        <v>4</v>
      </c>
      <c r="L13" s="18">
        <v>4</v>
      </c>
      <c r="M13" s="219">
        <v>5</v>
      </c>
      <c r="N13" s="18">
        <v>6</v>
      </c>
      <c r="O13" s="219">
        <v>8</v>
      </c>
      <c r="Q13" s="226">
        <f t="shared" si="0"/>
        <v>64.705882352941174</v>
      </c>
    </row>
    <row r="14" spans="1:24" ht="30" hidden="1" customHeight="1" x14ac:dyDescent="0.2">
      <c r="B14" s="19" t="s">
        <v>8</v>
      </c>
      <c r="C14" s="19"/>
      <c r="D14" s="18"/>
      <c r="E14" s="219"/>
      <c r="F14" s="18"/>
      <c r="G14" s="219"/>
      <c r="H14" s="18"/>
      <c r="I14" s="219"/>
      <c r="J14" s="18"/>
      <c r="K14" s="219"/>
      <c r="L14" s="18"/>
      <c r="M14" s="219"/>
      <c r="N14" s="18"/>
      <c r="O14" s="219"/>
      <c r="Q14" s="226" t="e">
        <f t="shared" si="0"/>
        <v>#DIV/0!</v>
      </c>
    </row>
    <row r="15" spans="1:24" ht="30" hidden="1" customHeight="1" x14ac:dyDescent="0.2">
      <c r="B15" s="19" t="s">
        <v>9</v>
      </c>
      <c r="C15" s="19"/>
      <c r="D15" s="18"/>
      <c r="E15" s="219"/>
      <c r="F15" s="18"/>
      <c r="G15" s="219"/>
      <c r="H15" s="18"/>
      <c r="I15" s="219"/>
      <c r="J15" s="18"/>
      <c r="K15" s="219"/>
      <c r="L15" s="18"/>
      <c r="M15" s="219"/>
      <c r="N15" s="18"/>
      <c r="O15" s="219"/>
      <c r="Q15" s="226" t="e">
        <f t="shared" si="0"/>
        <v>#DIV/0!</v>
      </c>
    </row>
    <row r="16" spans="1:24" ht="30" customHeight="1" x14ac:dyDescent="0.2">
      <c r="B16" s="17" t="s">
        <v>10</v>
      </c>
      <c r="C16" s="17"/>
      <c r="D16" s="18">
        <v>3</v>
      </c>
      <c r="E16" s="219">
        <v>6</v>
      </c>
      <c r="F16" s="18">
        <v>3</v>
      </c>
      <c r="G16" s="219">
        <v>6</v>
      </c>
      <c r="H16" s="18">
        <v>4</v>
      </c>
      <c r="I16" s="219">
        <v>5</v>
      </c>
      <c r="J16" s="18">
        <v>2</v>
      </c>
      <c r="K16" s="219">
        <v>6</v>
      </c>
      <c r="L16" s="18">
        <v>5</v>
      </c>
      <c r="M16" s="219">
        <v>8</v>
      </c>
      <c r="N16" s="18">
        <v>1</v>
      </c>
      <c r="O16" s="219">
        <v>5</v>
      </c>
      <c r="Q16" s="226">
        <f t="shared" si="0"/>
        <v>50</v>
      </c>
    </row>
    <row r="17" spans="2:17" ht="30" customHeight="1" x14ac:dyDescent="0.2">
      <c r="B17" s="17" t="s">
        <v>11</v>
      </c>
      <c r="C17" s="17"/>
      <c r="D17" s="18">
        <v>5</v>
      </c>
      <c r="E17" s="219">
        <v>7</v>
      </c>
      <c r="F17" s="18">
        <v>1</v>
      </c>
      <c r="G17" s="219">
        <v>4</v>
      </c>
      <c r="H17" s="18">
        <v>4</v>
      </c>
      <c r="I17" s="219">
        <v>5</v>
      </c>
      <c r="J17" s="18">
        <v>3</v>
      </c>
      <c r="K17" s="219">
        <v>5</v>
      </c>
      <c r="L17" s="18">
        <v>4</v>
      </c>
      <c r="M17" s="219">
        <v>6</v>
      </c>
      <c r="N17" s="18">
        <v>3</v>
      </c>
      <c r="O17" s="219">
        <v>4</v>
      </c>
      <c r="Q17" s="226">
        <f t="shared" si="0"/>
        <v>64.516129032258064</v>
      </c>
    </row>
    <row r="18" spans="2:17" ht="30" hidden="1" customHeight="1" x14ac:dyDescent="0.2">
      <c r="B18" s="19" t="s">
        <v>12</v>
      </c>
      <c r="C18" s="19"/>
      <c r="D18" s="18"/>
      <c r="E18" s="219"/>
      <c r="F18" s="18"/>
      <c r="G18" s="219"/>
      <c r="H18" s="18"/>
      <c r="I18" s="219"/>
      <c r="J18" s="18"/>
      <c r="K18" s="219"/>
      <c r="L18" s="18"/>
      <c r="M18" s="219"/>
      <c r="N18" s="18"/>
      <c r="O18" s="219"/>
      <c r="Q18" s="226" t="e">
        <f t="shared" si="0"/>
        <v>#DIV/0!</v>
      </c>
    </row>
    <row r="19" spans="2:17" ht="30" hidden="1" customHeight="1" x14ac:dyDescent="0.2">
      <c r="B19" s="19" t="s">
        <v>13</v>
      </c>
      <c r="C19" s="19"/>
      <c r="D19" s="18"/>
      <c r="E19" s="219"/>
      <c r="F19" s="18"/>
      <c r="G19" s="219"/>
      <c r="H19" s="18"/>
      <c r="I19" s="219"/>
      <c r="J19" s="18"/>
      <c r="K19" s="219"/>
      <c r="L19" s="18"/>
      <c r="M19" s="219"/>
      <c r="N19" s="18"/>
      <c r="O19" s="219"/>
      <c r="Q19" s="226" t="e">
        <f t="shared" si="0"/>
        <v>#DIV/0!</v>
      </c>
    </row>
    <row r="20" spans="2:17" ht="30" customHeight="1" x14ac:dyDescent="0.2">
      <c r="B20" s="17" t="s">
        <v>14</v>
      </c>
      <c r="C20" s="17"/>
      <c r="D20" s="18">
        <v>5</v>
      </c>
      <c r="E20" s="219">
        <v>8</v>
      </c>
      <c r="F20" s="18">
        <v>2</v>
      </c>
      <c r="G20" s="219">
        <v>5</v>
      </c>
      <c r="H20" s="18">
        <v>4</v>
      </c>
      <c r="I20" s="219">
        <v>9</v>
      </c>
      <c r="J20" s="18">
        <v>4</v>
      </c>
      <c r="K20" s="219">
        <v>9</v>
      </c>
      <c r="L20" s="18">
        <v>4</v>
      </c>
      <c r="M20" s="219">
        <v>10</v>
      </c>
      <c r="N20" s="18">
        <v>5</v>
      </c>
      <c r="O20" s="219">
        <v>8</v>
      </c>
      <c r="Q20" s="226">
        <f t="shared" si="0"/>
        <v>48.979591836734691</v>
      </c>
    </row>
    <row r="21" spans="2:17" ht="30" customHeight="1" x14ac:dyDescent="0.2">
      <c r="B21" s="17" t="s">
        <v>23</v>
      </c>
      <c r="C21" s="17"/>
      <c r="D21" s="18">
        <v>3</v>
      </c>
      <c r="E21" s="219">
        <v>9</v>
      </c>
      <c r="F21" s="18">
        <v>5</v>
      </c>
      <c r="G21" s="219">
        <v>12</v>
      </c>
      <c r="H21" s="18">
        <v>4</v>
      </c>
      <c r="I21" s="219">
        <v>11</v>
      </c>
      <c r="J21" s="18">
        <v>3</v>
      </c>
      <c r="K21" s="219">
        <v>10</v>
      </c>
      <c r="L21" s="18">
        <v>3</v>
      </c>
      <c r="M21" s="219">
        <v>12</v>
      </c>
      <c r="N21" s="18">
        <v>2</v>
      </c>
      <c r="O21" s="219">
        <v>12</v>
      </c>
      <c r="Q21" s="226">
        <f t="shared" si="0"/>
        <v>30.303030303030305</v>
      </c>
    </row>
    <row r="22" spans="2:17" x14ac:dyDescent="0.25">
      <c r="L22" s="218"/>
      <c r="M22" s="218"/>
      <c r="N22" s="218"/>
      <c r="O22" s="218"/>
    </row>
    <row r="23" spans="2:17" x14ac:dyDescent="0.25">
      <c r="D23" s="6">
        <f t="shared" ref="D23:O23" si="1">SUM(D11:D21)</f>
        <v>26</v>
      </c>
      <c r="E23" s="6">
        <f t="shared" si="1"/>
        <v>48</v>
      </c>
      <c r="F23" s="6">
        <f t="shared" si="1"/>
        <v>22</v>
      </c>
      <c r="G23" s="6">
        <f t="shared" si="1"/>
        <v>50</v>
      </c>
      <c r="H23" s="6">
        <f t="shared" si="1"/>
        <v>27</v>
      </c>
      <c r="I23" s="6">
        <f t="shared" si="1"/>
        <v>47</v>
      </c>
      <c r="J23" s="6">
        <f t="shared" si="1"/>
        <v>18</v>
      </c>
      <c r="K23" s="6">
        <f t="shared" si="1"/>
        <v>43</v>
      </c>
      <c r="L23" s="6">
        <f t="shared" si="1"/>
        <v>25</v>
      </c>
      <c r="M23" s="6">
        <f t="shared" si="1"/>
        <v>53</v>
      </c>
      <c r="N23" s="6">
        <f t="shared" si="1"/>
        <v>23</v>
      </c>
      <c r="O23" s="6">
        <f t="shared" si="1"/>
        <v>47</v>
      </c>
      <c r="P23" s="87" t="s">
        <v>63</v>
      </c>
      <c r="Q23" s="226">
        <f>AVERAGE(Q13,Q17)</f>
        <v>64.611005692599619</v>
      </c>
    </row>
    <row r="24" spans="2:17" x14ac:dyDescent="0.25">
      <c r="L24" s="207"/>
      <c r="M24" s="207"/>
      <c r="N24" s="207"/>
      <c r="O24" s="207"/>
      <c r="P24" s="87" t="s">
        <v>16</v>
      </c>
      <c r="Q24" s="226">
        <f>AVERAGE(Q12,Q20)</f>
        <v>43.844634628044766</v>
      </c>
    </row>
    <row r="25" spans="2:17" x14ac:dyDescent="0.25">
      <c r="E25" s="6">
        <f>D23/E23*100</f>
        <v>54.166666666666664</v>
      </c>
      <c r="G25" s="6">
        <f>F23/G23*100</f>
        <v>44</v>
      </c>
      <c r="I25" s="6">
        <f>H23/I23*100</f>
        <v>57.446808510638306</v>
      </c>
      <c r="K25" s="6">
        <f>J23/K23*100</f>
        <v>41.860465116279073</v>
      </c>
      <c r="L25" s="207"/>
      <c r="M25" s="6">
        <f>L23/M23*100</f>
        <v>47.169811320754718</v>
      </c>
      <c r="N25" s="207"/>
      <c r="O25" s="6">
        <f>N23/O23*100</f>
        <v>48.936170212765958</v>
      </c>
      <c r="P25" s="87" t="s">
        <v>64</v>
      </c>
      <c r="Q25" s="226">
        <f>AVERAGE(Q11,Q16)</f>
        <v>55.487804878048777</v>
      </c>
    </row>
    <row r="26" spans="2:17" x14ac:dyDescent="0.25">
      <c r="L26" s="207"/>
      <c r="M26" s="207"/>
      <c r="N26" s="207"/>
      <c r="O26" s="207"/>
    </row>
    <row r="27" spans="2:17" x14ac:dyDescent="0.25">
      <c r="L27" s="207"/>
      <c r="M27" s="207"/>
      <c r="N27" s="207"/>
      <c r="O27" s="207"/>
    </row>
    <row r="28" spans="2:17" x14ac:dyDescent="0.25">
      <c r="E28" s="6">
        <f>SUM(D23,F23,H23,J23,L23,N23)/SUM(E23,G23,I23,K23,M23,O23)*100</f>
        <v>48.958333333333329</v>
      </c>
      <c r="L28" s="207"/>
      <c r="M28" s="207"/>
      <c r="N28" s="207"/>
      <c r="O28" s="207"/>
    </row>
    <row r="29" spans="2:17" x14ac:dyDescent="0.25">
      <c r="L29" s="207"/>
      <c r="M29" s="207"/>
      <c r="N29" s="207"/>
      <c r="O29" s="207"/>
    </row>
    <row r="30" spans="2:17" x14ac:dyDescent="0.25">
      <c r="L30" s="207"/>
      <c r="M30" s="207"/>
      <c r="N30" s="207"/>
      <c r="O30" s="207"/>
    </row>
    <row r="31" spans="2:17" x14ac:dyDescent="0.25">
      <c r="L31" s="207"/>
      <c r="M31" s="207"/>
      <c r="N31" s="207"/>
      <c r="O31" s="207"/>
    </row>
    <row r="32" spans="2:17" x14ac:dyDescent="0.25">
      <c r="L32" s="207"/>
      <c r="M32" s="207"/>
      <c r="N32" s="207"/>
      <c r="O32" s="207"/>
    </row>
    <row r="33" spans="12:15" x14ac:dyDescent="0.25">
      <c r="L33" s="207"/>
      <c r="M33" s="207"/>
      <c r="N33" s="207"/>
      <c r="O33" s="207"/>
    </row>
    <row r="34" spans="12:15" x14ac:dyDescent="0.25">
      <c r="L34" s="207"/>
      <c r="M34" s="207"/>
      <c r="N34" s="207"/>
      <c r="O34" s="207"/>
    </row>
    <row r="35" spans="12:15" x14ac:dyDescent="0.25">
      <c r="L35" s="207"/>
      <c r="M35" s="207"/>
      <c r="N35" s="207"/>
      <c r="O35" s="207"/>
    </row>
    <row r="36" spans="12:15" x14ac:dyDescent="0.25">
      <c r="L36" s="207"/>
      <c r="M36" s="207"/>
      <c r="N36" s="207"/>
      <c r="O36" s="207"/>
    </row>
    <row r="37" spans="12:15" x14ac:dyDescent="0.25">
      <c r="L37" s="207"/>
      <c r="M37" s="207"/>
      <c r="N37" s="207"/>
      <c r="O37" s="207"/>
    </row>
    <row r="38" spans="12:15" x14ac:dyDescent="0.25">
      <c r="L38" s="207"/>
      <c r="M38" s="207"/>
      <c r="N38" s="207"/>
      <c r="O38" s="207"/>
    </row>
    <row r="39" spans="12:15" x14ac:dyDescent="0.25">
      <c r="L39" s="207"/>
      <c r="M39" s="207"/>
      <c r="N39" s="207"/>
      <c r="O39" s="207"/>
    </row>
    <row r="40" spans="12:15" x14ac:dyDescent="0.25">
      <c r="L40" s="207"/>
      <c r="M40" s="207"/>
      <c r="N40" s="207"/>
      <c r="O40" s="207"/>
    </row>
    <row r="41" spans="12:15" x14ac:dyDescent="0.25">
      <c r="L41" s="207"/>
      <c r="M41" s="207"/>
      <c r="N41" s="207"/>
      <c r="O41" s="207"/>
    </row>
    <row r="42" spans="12:15" x14ac:dyDescent="0.25">
      <c r="L42" s="207"/>
      <c r="M42" s="207"/>
      <c r="N42" s="207"/>
      <c r="O42" s="207"/>
    </row>
    <row r="43" spans="12:15" x14ac:dyDescent="0.25">
      <c r="L43" s="207"/>
      <c r="M43" s="207"/>
      <c r="N43" s="207"/>
      <c r="O43" s="207"/>
    </row>
    <row r="44" spans="12:15" x14ac:dyDescent="0.25">
      <c r="L44" s="207"/>
      <c r="M44" s="207"/>
      <c r="N44" s="207"/>
      <c r="O44" s="207"/>
    </row>
    <row r="45" spans="12:15" x14ac:dyDescent="0.25">
      <c r="L45" s="207"/>
      <c r="M45" s="207"/>
      <c r="N45" s="207"/>
      <c r="O45" s="207"/>
    </row>
    <row r="46" spans="12:15" x14ac:dyDescent="0.25">
      <c r="L46" s="207"/>
      <c r="M46" s="207"/>
      <c r="N46" s="207"/>
      <c r="O46" s="207"/>
    </row>
    <row r="47" spans="12:15" x14ac:dyDescent="0.25">
      <c r="L47" s="207"/>
      <c r="M47" s="207"/>
      <c r="N47" s="207"/>
      <c r="O47" s="207"/>
    </row>
    <row r="48" spans="12:15" x14ac:dyDescent="0.25">
      <c r="L48" s="207"/>
      <c r="M48" s="207"/>
      <c r="N48" s="207"/>
      <c r="O48" s="207"/>
    </row>
    <row r="49" spans="12:15" x14ac:dyDescent="0.25">
      <c r="L49" s="207"/>
      <c r="M49" s="207"/>
      <c r="N49" s="207"/>
      <c r="O49" s="207"/>
    </row>
    <row r="50" spans="12:15" x14ac:dyDescent="0.25">
      <c r="L50" s="207"/>
      <c r="M50" s="207"/>
      <c r="N50" s="207"/>
      <c r="O50" s="207"/>
    </row>
    <row r="51" spans="12:15" x14ac:dyDescent="0.25">
      <c r="L51" s="207"/>
      <c r="M51" s="207"/>
      <c r="N51" s="207"/>
      <c r="O51" s="207"/>
    </row>
    <row r="52" spans="12:15" x14ac:dyDescent="0.25">
      <c r="L52" s="207"/>
      <c r="M52" s="207"/>
      <c r="N52" s="207"/>
      <c r="O52" s="207"/>
    </row>
    <row r="53" spans="12:15" x14ac:dyDescent="0.25">
      <c r="L53" s="207"/>
      <c r="M53" s="207"/>
      <c r="N53" s="207"/>
      <c r="O53" s="207"/>
    </row>
    <row r="54" spans="12:15" x14ac:dyDescent="0.25">
      <c r="L54" s="207"/>
      <c r="M54" s="207"/>
      <c r="N54" s="207"/>
      <c r="O54" s="207"/>
    </row>
    <row r="55" spans="12:15" x14ac:dyDescent="0.25">
      <c r="L55" s="207"/>
      <c r="M55" s="207"/>
      <c r="N55" s="207"/>
      <c r="O55" s="207"/>
    </row>
    <row r="56" spans="12:15" x14ac:dyDescent="0.25">
      <c r="L56" s="207"/>
      <c r="M56" s="207"/>
      <c r="N56" s="207"/>
      <c r="O56" s="207"/>
    </row>
    <row r="57" spans="12:15" x14ac:dyDescent="0.25">
      <c r="L57" s="207"/>
      <c r="M57" s="207"/>
      <c r="N57" s="207"/>
      <c r="O57" s="207"/>
    </row>
    <row r="58" spans="12:15" x14ac:dyDescent="0.25">
      <c r="L58" s="207"/>
      <c r="M58" s="207"/>
      <c r="N58" s="207"/>
      <c r="O58" s="207"/>
    </row>
    <row r="59" spans="12:15" x14ac:dyDescent="0.25">
      <c r="L59" s="207"/>
      <c r="M59" s="207"/>
      <c r="N59" s="207"/>
      <c r="O59" s="207"/>
    </row>
    <row r="60" spans="12:15" x14ac:dyDescent="0.25">
      <c r="L60" s="207"/>
      <c r="M60" s="207"/>
      <c r="N60" s="207"/>
      <c r="O60" s="207"/>
    </row>
    <row r="61" spans="12:15" x14ac:dyDescent="0.25">
      <c r="L61" s="207"/>
      <c r="M61" s="207"/>
      <c r="N61" s="207"/>
      <c r="O61" s="207"/>
    </row>
    <row r="62" spans="12:15" x14ac:dyDescent="0.25">
      <c r="L62" s="207"/>
      <c r="M62" s="207"/>
      <c r="N62" s="207"/>
      <c r="O62" s="207"/>
    </row>
    <row r="63" spans="12:15" x14ac:dyDescent="0.25">
      <c r="L63" s="207"/>
      <c r="M63" s="207"/>
      <c r="N63" s="207"/>
      <c r="O63" s="207"/>
    </row>
    <row r="64" spans="12:15" x14ac:dyDescent="0.25">
      <c r="L64" s="207"/>
      <c r="M64" s="207"/>
      <c r="N64" s="207"/>
      <c r="O64" s="207"/>
    </row>
    <row r="65" spans="12:15" x14ac:dyDescent="0.25">
      <c r="L65" s="207"/>
      <c r="M65" s="207"/>
      <c r="N65" s="207"/>
      <c r="O65" s="207"/>
    </row>
    <row r="66" spans="12:15" x14ac:dyDescent="0.25">
      <c r="L66" s="207"/>
      <c r="M66" s="207"/>
      <c r="N66" s="207"/>
      <c r="O66" s="207"/>
    </row>
    <row r="67" spans="12:15" x14ac:dyDescent="0.25">
      <c r="L67" s="207"/>
      <c r="M67" s="207"/>
      <c r="N67" s="207"/>
      <c r="O67" s="207"/>
    </row>
    <row r="68" spans="12:15" x14ac:dyDescent="0.25">
      <c r="L68" s="207"/>
      <c r="M68" s="207"/>
      <c r="N68" s="207"/>
      <c r="O68" s="207"/>
    </row>
    <row r="69" spans="12:15" x14ac:dyDescent="0.25">
      <c r="L69" s="207"/>
      <c r="M69" s="207"/>
      <c r="N69" s="207"/>
      <c r="O69" s="207"/>
    </row>
    <row r="70" spans="12:15" x14ac:dyDescent="0.25">
      <c r="L70" s="207"/>
      <c r="M70" s="207"/>
      <c r="N70" s="207"/>
      <c r="O70" s="207"/>
    </row>
    <row r="71" spans="12:15" x14ac:dyDescent="0.25">
      <c r="L71" s="207"/>
      <c r="M71" s="207"/>
      <c r="N71" s="207"/>
      <c r="O71" s="207"/>
    </row>
    <row r="72" spans="12:15" x14ac:dyDescent="0.25">
      <c r="L72" s="207"/>
      <c r="M72" s="207"/>
      <c r="N72" s="207"/>
      <c r="O72" s="207"/>
    </row>
    <row r="73" spans="12:15" x14ac:dyDescent="0.25">
      <c r="L73" s="207"/>
      <c r="M73" s="207"/>
      <c r="N73" s="207"/>
      <c r="O73" s="207"/>
    </row>
    <row r="74" spans="12:15" x14ac:dyDescent="0.25">
      <c r="L74" s="207"/>
      <c r="M74" s="207"/>
      <c r="N74" s="207"/>
      <c r="O74" s="207"/>
    </row>
    <row r="75" spans="12:15" x14ac:dyDescent="0.25">
      <c r="L75" s="207"/>
      <c r="M75" s="207"/>
      <c r="N75" s="207"/>
      <c r="O75" s="207"/>
    </row>
    <row r="76" spans="12:15" x14ac:dyDescent="0.25">
      <c r="L76" s="207"/>
      <c r="M76" s="207"/>
      <c r="N76" s="207"/>
      <c r="O76" s="207"/>
    </row>
  </sheetData>
  <pageMargins left="0.25" right="0.25" top="0.5" bottom="1" header="0.3" footer="0.53"/>
  <pageSetup scale="59" orientation="landscape" r:id="rId1"/>
  <headerFooter>
    <oddFooter>&amp;R&amp;Z&amp;F
&amp;P of &amp;N
smm</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F94EB-2EFC-4971-8EA9-FEA43EB9F693}">
  <sheetPr>
    <pageSetUpPr fitToPage="1"/>
  </sheetPr>
  <dimension ref="A1:X76"/>
  <sheetViews>
    <sheetView topLeftCell="A4" zoomScale="70" zoomScaleNormal="70" zoomScaleSheetLayoutView="70" workbookViewId="0"/>
  </sheetViews>
  <sheetFormatPr defaultColWidth="8.85546875" defaultRowHeight="15" x14ac:dyDescent="0.25"/>
  <cols>
    <col min="1" max="1" width="7.42578125" style="87" customWidth="1"/>
    <col min="2" max="3" width="8.140625" style="6" customWidth="1"/>
    <col min="4" max="7" width="12.85546875" style="6" customWidth="1"/>
    <col min="8" max="15" width="12.85546875" style="87" customWidth="1"/>
    <col min="16" max="33" width="9.7109375" style="87" customWidth="1"/>
    <col min="34" max="35" width="8.7109375" style="87" customWidth="1"/>
    <col min="36" max="16384" width="8.85546875" style="87"/>
  </cols>
  <sheetData>
    <row r="1" spans="1:24" ht="18" x14ac:dyDescent="0.25">
      <c r="A1" s="2">
        <v>2014</v>
      </c>
      <c r="B1" s="3" t="s">
        <v>29</v>
      </c>
      <c r="C1" s="3"/>
      <c r="D1" s="4"/>
      <c r="E1" s="4"/>
      <c r="F1" s="4"/>
      <c r="G1" s="4"/>
      <c r="H1" s="4"/>
      <c r="I1" s="4"/>
      <c r="J1" s="4"/>
      <c r="K1" s="4"/>
      <c r="L1" s="4"/>
      <c r="M1" s="4"/>
      <c r="N1" s="4"/>
      <c r="O1" s="4"/>
      <c r="P1" s="4"/>
      <c r="Q1" s="4"/>
      <c r="R1" s="4"/>
      <c r="S1" s="4"/>
      <c r="T1" s="4"/>
      <c r="U1" s="4"/>
      <c r="V1" s="4"/>
      <c r="W1" s="4"/>
    </row>
    <row r="2" spans="1:24" ht="18" x14ac:dyDescent="0.25">
      <c r="A2" s="4"/>
      <c r="B2" s="3" t="s">
        <v>20</v>
      </c>
      <c r="C2" s="3"/>
      <c r="F2" s="3" t="s">
        <v>21</v>
      </c>
      <c r="G2" s="3"/>
      <c r="H2" s="4"/>
      <c r="I2" s="4"/>
      <c r="J2" s="4"/>
      <c r="K2" s="4"/>
      <c r="L2" s="4"/>
      <c r="M2" s="4"/>
      <c r="N2" s="4"/>
      <c r="O2" s="4"/>
      <c r="P2" s="4"/>
      <c r="Q2" s="4"/>
      <c r="R2" s="4"/>
      <c r="U2" s="4"/>
      <c r="V2" s="4"/>
      <c r="W2" s="4"/>
      <c r="X2" s="4"/>
    </row>
    <row r="3" spans="1:24" ht="18" x14ac:dyDescent="0.25">
      <c r="B3" s="3"/>
      <c r="C3" s="3"/>
    </row>
    <row r="4" spans="1:24" ht="27" x14ac:dyDescent="0.25">
      <c r="B4" s="217" t="s">
        <v>269</v>
      </c>
      <c r="C4" s="3"/>
      <c r="E4" s="7"/>
      <c r="F4" s="8" t="s">
        <v>32</v>
      </c>
      <c r="G4" s="216">
        <v>41831</v>
      </c>
      <c r="H4" s="10" t="s">
        <v>33</v>
      </c>
      <c r="I4" s="215" t="s">
        <v>274</v>
      </c>
      <c r="K4" s="1" t="s">
        <v>30</v>
      </c>
    </row>
    <row r="5" spans="1:24" ht="23.25" x14ac:dyDescent="0.25">
      <c r="B5" s="3"/>
      <c r="C5" s="3"/>
      <c r="D5" s="3"/>
      <c r="E5" s="7"/>
      <c r="F5" s="7"/>
      <c r="G5" s="87"/>
      <c r="H5" s="10" t="s">
        <v>34</v>
      </c>
      <c r="I5" s="214" t="s">
        <v>260</v>
      </c>
      <c r="K5" s="11"/>
      <c r="L5" s="11"/>
    </row>
    <row r="6" spans="1:24" ht="17.45" customHeight="1" x14ac:dyDescent="0.25">
      <c r="B6" s="3"/>
      <c r="C6" s="3"/>
      <c r="D6" s="3"/>
      <c r="E6" s="3"/>
      <c r="G6" s="6" t="s">
        <v>273</v>
      </c>
      <c r="H6" s="7"/>
      <c r="I6" s="7"/>
      <c r="J6" s="7"/>
      <c r="K6" s="66"/>
      <c r="L6" s="66"/>
      <c r="M6" s="66"/>
      <c r="N6" s="66"/>
      <c r="P6" s="10"/>
      <c r="S6" s="11"/>
      <c r="T6" s="11"/>
    </row>
    <row r="7" spans="1:24" ht="17.45" customHeight="1" x14ac:dyDescent="0.25">
      <c r="B7" s="3"/>
      <c r="C7" s="3"/>
      <c r="D7" s="3" t="s">
        <v>266</v>
      </c>
      <c r="E7" s="3"/>
      <c r="H7" s="7"/>
      <c r="I7" s="7"/>
      <c r="J7" s="7"/>
      <c r="K7" s="7"/>
      <c r="L7" s="66"/>
      <c r="M7" s="66"/>
      <c r="N7" s="66"/>
      <c r="O7" s="66"/>
      <c r="Q7" s="10"/>
      <c r="T7" s="11"/>
      <c r="U7" s="11"/>
    </row>
    <row r="8" spans="1:24" ht="17.45" customHeight="1" x14ac:dyDescent="0.25">
      <c r="B8" s="3"/>
      <c r="C8" s="3"/>
      <c r="D8" s="3"/>
      <c r="E8" s="3"/>
      <c r="H8" s="7"/>
      <c r="I8" s="7"/>
      <c r="J8" s="7"/>
      <c r="K8" s="7"/>
      <c r="L8" s="66"/>
      <c r="M8" s="66"/>
      <c r="N8" s="66"/>
      <c r="O8" s="66"/>
      <c r="Q8" s="10"/>
      <c r="T8" s="11"/>
      <c r="U8" s="11"/>
    </row>
    <row r="9" spans="1:24" ht="25.15" customHeight="1" x14ac:dyDescent="0.25">
      <c r="D9" s="212" t="s">
        <v>24</v>
      </c>
      <c r="E9" s="222"/>
      <c r="F9" s="212" t="s">
        <v>38</v>
      </c>
      <c r="G9" s="222"/>
      <c r="H9" s="212" t="s">
        <v>25</v>
      </c>
      <c r="I9" s="222"/>
      <c r="J9" s="212" t="s">
        <v>26</v>
      </c>
      <c r="K9" s="222"/>
      <c r="L9" s="212" t="s">
        <v>27</v>
      </c>
      <c r="M9" s="222"/>
      <c r="N9" s="212" t="s">
        <v>28</v>
      </c>
      <c r="O9" s="222"/>
    </row>
    <row r="10" spans="1:24" ht="77.45" customHeight="1" thickBot="1" x14ac:dyDescent="0.3">
      <c r="D10" s="211" t="s">
        <v>265</v>
      </c>
      <c r="E10" s="230" t="s">
        <v>264</v>
      </c>
      <c r="F10" s="211" t="s">
        <v>265</v>
      </c>
      <c r="G10" s="230" t="s">
        <v>264</v>
      </c>
      <c r="H10" s="211" t="s">
        <v>265</v>
      </c>
      <c r="I10" s="230" t="s">
        <v>264</v>
      </c>
      <c r="J10" s="211" t="s">
        <v>265</v>
      </c>
      <c r="K10" s="230" t="s">
        <v>264</v>
      </c>
      <c r="L10" s="211" t="s">
        <v>265</v>
      </c>
      <c r="M10" s="230" t="s">
        <v>264</v>
      </c>
      <c r="N10" s="211" t="s">
        <v>265</v>
      </c>
      <c r="O10" s="230" t="s">
        <v>264</v>
      </c>
    </row>
    <row r="11" spans="1:24" ht="30" customHeight="1" x14ac:dyDescent="0.2">
      <c r="B11" s="15" t="s">
        <v>5</v>
      </c>
      <c r="C11" s="15"/>
      <c r="D11" s="16"/>
      <c r="E11" s="220"/>
      <c r="F11" s="16"/>
      <c r="G11" s="220"/>
      <c r="H11" s="16"/>
      <c r="I11" s="220"/>
      <c r="J11" s="16"/>
      <c r="K11" s="220"/>
      <c r="L11" s="16"/>
      <c r="M11" s="220"/>
      <c r="N11" s="16"/>
      <c r="O11" s="220"/>
    </row>
    <row r="12" spans="1:24" ht="30" customHeight="1" x14ac:dyDescent="0.2">
      <c r="B12" s="17" t="s">
        <v>6</v>
      </c>
      <c r="C12" s="17"/>
      <c r="D12" s="18"/>
      <c r="E12" s="219"/>
      <c r="F12" s="18"/>
      <c r="G12" s="219"/>
      <c r="H12" s="18"/>
      <c r="I12" s="219"/>
      <c r="J12" s="18"/>
      <c r="K12" s="219"/>
      <c r="L12" s="18"/>
      <c r="M12" s="219"/>
      <c r="N12" s="18"/>
      <c r="O12" s="219"/>
    </row>
    <row r="13" spans="1:24" ht="30" customHeight="1" x14ac:dyDescent="0.2">
      <c r="B13" s="17" t="s">
        <v>7</v>
      </c>
      <c r="C13" s="17"/>
      <c r="D13" s="18"/>
      <c r="E13" s="219"/>
      <c r="F13" s="18"/>
      <c r="G13" s="219"/>
      <c r="H13" s="18"/>
      <c r="I13" s="219"/>
      <c r="J13" s="18"/>
      <c r="K13" s="219"/>
      <c r="L13" s="18"/>
      <c r="M13" s="219"/>
      <c r="N13" s="18"/>
      <c r="O13" s="219"/>
    </row>
    <row r="14" spans="1:24" ht="30" hidden="1" customHeight="1" x14ac:dyDescent="0.2">
      <c r="B14" s="19" t="s">
        <v>8</v>
      </c>
      <c r="C14" s="19"/>
      <c r="D14" s="18"/>
      <c r="E14" s="219"/>
      <c r="F14" s="18"/>
      <c r="G14" s="219"/>
      <c r="H14" s="18"/>
      <c r="I14" s="219"/>
      <c r="J14" s="18"/>
      <c r="K14" s="219"/>
      <c r="L14" s="18"/>
      <c r="M14" s="219"/>
      <c r="N14" s="18"/>
      <c r="O14" s="219"/>
    </row>
    <row r="15" spans="1:24" ht="30" hidden="1" customHeight="1" x14ac:dyDescent="0.2">
      <c r="B15" s="19" t="s">
        <v>9</v>
      </c>
      <c r="C15" s="19"/>
      <c r="D15" s="18"/>
      <c r="E15" s="219"/>
      <c r="F15" s="18"/>
      <c r="G15" s="219"/>
      <c r="H15" s="18"/>
      <c r="I15" s="219"/>
      <c r="J15" s="18"/>
      <c r="K15" s="219"/>
      <c r="L15" s="18"/>
      <c r="M15" s="219"/>
      <c r="N15" s="18"/>
      <c r="O15" s="219"/>
    </row>
    <row r="16" spans="1:24" ht="30" customHeight="1" x14ac:dyDescent="0.2">
      <c r="B16" s="17" t="s">
        <v>10</v>
      </c>
      <c r="C16" s="17"/>
      <c r="D16" s="18"/>
      <c r="E16" s="219"/>
      <c r="F16" s="18"/>
      <c r="G16" s="219"/>
      <c r="H16" s="18"/>
      <c r="I16" s="219"/>
      <c r="J16" s="18"/>
      <c r="K16" s="219"/>
      <c r="L16" s="18"/>
      <c r="M16" s="219"/>
      <c r="N16" s="18"/>
      <c r="O16" s="219"/>
    </row>
    <row r="17" spans="2:17" ht="30" customHeight="1" x14ac:dyDescent="0.2">
      <c r="B17" s="17" t="s">
        <v>11</v>
      </c>
      <c r="C17" s="17"/>
      <c r="D17" s="18"/>
      <c r="E17" s="219"/>
      <c r="F17" s="18"/>
      <c r="G17" s="219"/>
      <c r="H17" s="18"/>
      <c r="I17" s="219"/>
      <c r="J17" s="18"/>
      <c r="K17" s="219"/>
      <c r="L17" s="18"/>
      <c r="M17" s="219"/>
      <c r="N17" s="18"/>
      <c r="O17" s="219"/>
    </row>
    <row r="18" spans="2:17" ht="30" hidden="1" customHeight="1" x14ac:dyDescent="0.2">
      <c r="B18" s="19" t="s">
        <v>12</v>
      </c>
      <c r="C18" s="19"/>
      <c r="D18" s="18"/>
      <c r="E18" s="219"/>
      <c r="F18" s="18"/>
      <c r="G18" s="219"/>
      <c r="H18" s="18"/>
      <c r="I18" s="219"/>
      <c r="J18" s="18"/>
      <c r="K18" s="219"/>
      <c r="L18" s="18"/>
      <c r="M18" s="219"/>
      <c r="N18" s="18"/>
      <c r="O18" s="219"/>
    </row>
    <row r="19" spans="2:17" ht="30" hidden="1" customHeight="1" x14ac:dyDescent="0.2">
      <c r="B19" s="19" t="s">
        <v>13</v>
      </c>
      <c r="C19" s="19"/>
      <c r="D19" s="18"/>
      <c r="E19" s="219"/>
      <c r="F19" s="18"/>
      <c r="G19" s="219"/>
      <c r="H19" s="18"/>
      <c r="I19" s="219"/>
      <c r="J19" s="18"/>
      <c r="K19" s="219"/>
      <c r="L19" s="18"/>
      <c r="M19" s="219"/>
      <c r="N19" s="18"/>
      <c r="O19" s="219"/>
    </row>
    <row r="20" spans="2:17" ht="30" customHeight="1" x14ac:dyDescent="0.2">
      <c r="B20" s="17" t="s">
        <v>14</v>
      </c>
      <c r="C20" s="17"/>
      <c r="D20" s="18">
        <v>5</v>
      </c>
      <c r="E20" s="219">
        <v>8</v>
      </c>
      <c r="F20" s="18">
        <v>3</v>
      </c>
      <c r="G20" s="219">
        <v>6</v>
      </c>
      <c r="H20" s="18">
        <v>7</v>
      </c>
      <c r="I20" s="219">
        <v>9</v>
      </c>
      <c r="J20" s="18">
        <v>5</v>
      </c>
      <c r="K20" s="219">
        <v>10</v>
      </c>
      <c r="L20" s="18">
        <v>6</v>
      </c>
      <c r="M20" s="219">
        <v>10</v>
      </c>
      <c r="N20" s="18">
        <v>6</v>
      </c>
      <c r="O20" s="219">
        <v>9</v>
      </c>
      <c r="Q20" s="226">
        <f>SUM(D20,F20,H20,J20,L20,N20)/SUM(E20,G20,I20,K20,M20,O20)*100</f>
        <v>61.53846153846154</v>
      </c>
    </row>
    <row r="21" spans="2:17" ht="30" customHeight="1" x14ac:dyDescent="0.2">
      <c r="B21" s="17" t="s">
        <v>23</v>
      </c>
      <c r="C21" s="17"/>
      <c r="D21" s="18">
        <v>6</v>
      </c>
      <c r="E21" s="219">
        <v>10</v>
      </c>
      <c r="F21" s="18">
        <v>6</v>
      </c>
      <c r="G21" s="219">
        <v>11</v>
      </c>
      <c r="H21" s="18">
        <v>7</v>
      </c>
      <c r="I21" s="219">
        <v>11</v>
      </c>
      <c r="J21" s="18">
        <v>6</v>
      </c>
      <c r="K21" s="219">
        <v>11</v>
      </c>
      <c r="L21" s="18">
        <v>8</v>
      </c>
      <c r="M21" s="219">
        <v>11</v>
      </c>
      <c r="N21" s="18">
        <v>8</v>
      </c>
      <c r="O21" s="219">
        <v>13</v>
      </c>
      <c r="Q21" s="226">
        <f>SUM(D21,F21,H21,J21,L21,N21)/SUM(E21,G21,I21,K21,M21,O21)*100</f>
        <v>61.194029850746269</v>
      </c>
    </row>
    <row r="22" spans="2:17" x14ac:dyDescent="0.25">
      <c r="L22" s="218"/>
      <c r="M22" s="218"/>
      <c r="N22" s="218"/>
      <c r="O22" s="218"/>
    </row>
    <row r="23" spans="2:17" x14ac:dyDescent="0.25">
      <c r="D23" s="6">
        <f t="shared" ref="D23:O23" si="0">SUM(D20:D21)</f>
        <v>11</v>
      </c>
      <c r="E23" s="6">
        <f t="shared" si="0"/>
        <v>18</v>
      </c>
      <c r="F23" s="6">
        <f t="shared" si="0"/>
        <v>9</v>
      </c>
      <c r="G23" s="6">
        <f t="shared" si="0"/>
        <v>17</v>
      </c>
      <c r="H23" s="6">
        <f t="shared" si="0"/>
        <v>14</v>
      </c>
      <c r="I23" s="6">
        <f t="shared" si="0"/>
        <v>20</v>
      </c>
      <c r="J23" s="6">
        <f t="shared" si="0"/>
        <v>11</v>
      </c>
      <c r="K23" s="6">
        <f t="shared" si="0"/>
        <v>21</v>
      </c>
      <c r="L23" s="6">
        <f t="shared" si="0"/>
        <v>14</v>
      </c>
      <c r="M23" s="6">
        <f t="shared" si="0"/>
        <v>21</v>
      </c>
      <c r="N23" s="6">
        <f t="shared" si="0"/>
        <v>14</v>
      </c>
      <c r="O23" s="6">
        <f t="shared" si="0"/>
        <v>22</v>
      </c>
    </row>
    <row r="24" spans="2:17" x14ac:dyDescent="0.25">
      <c r="L24" s="207"/>
      <c r="M24" s="207"/>
      <c r="N24" s="207"/>
      <c r="O24" s="207"/>
    </row>
    <row r="25" spans="2:17" x14ac:dyDescent="0.25">
      <c r="L25" s="207"/>
      <c r="M25" s="207"/>
      <c r="N25" s="207"/>
      <c r="O25" s="207"/>
    </row>
    <row r="26" spans="2:17" x14ac:dyDescent="0.25">
      <c r="D26" s="6">
        <f>SUM(D23,F23,H23,J23,L23,N23)/SUM(E23,G23,I23,K23,M23,O23)*100</f>
        <v>61.344537815126053</v>
      </c>
      <c r="L26" s="207"/>
      <c r="M26" s="207"/>
      <c r="N26" s="207"/>
      <c r="O26" s="207"/>
    </row>
    <row r="27" spans="2:17" x14ac:dyDescent="0.25">
      <c r="L27" s="207"/>
      <c r="M27" s="207"/>
      <c r="N27" s="207"/>
      <c r="O27" s="207"/>
    </row>
    <row r="28" spans="2:17" x14ac:dyDescent="0.25">
      <c r="L28" s="207"/>
      <c r="M28" s="207"/>
      <c r="N28" s="207"/>
      <c r="O28" s="207"/>
    </row>
    <row r="29" spans="2:17" x14ac:dyDescent="0.25">
      <c r="L29" s="207"/>
      <c r="M29" s="207"/>
      <c r="N29" s="207"/>
      <c r="O29" s="207"/>
    </row>
    <row r="30" spans="2:17" x14ac:dyDescent="0.25">
      <c r="L30" s="207"/>
      <c r="M30" s="207"/>
      <c r="N30" s="207"/>
      <c r="O30" s="207"/>
    </row>
    <row r="31" spans="2:17" x14ac:dyDescent="0.25">
      <c r="L31" s="207"/>
      <c r="M31" s="207"/>
      <c r="N31" s="207"/>
      <c r="O31" s="207"/>
    </row>
    <row r="32" spans="2:17" x14ac:dyDescent="0.25">
      <c r="L32" s="207"/>
      <c r="M32" s="207"/>
      <c r="N32" s="207"/>
      <c r="O32" s="207"/>
    </row>
    <row r="33" spans="12:15" x14ac:dyDescent="0.25">
      <c r="L33" s="207"/>
      <c r="M33" s="207"/>
      <c r="N33" s="207"/>
      <c r="O33" s="207"/>
    </row>
    <row r="34" spans="12:15" x14ac:dyDescent="0.25">
      <c r="L34" s="207"/>
      <c r="M34" s="207"/>
      <c r="N34" s="207"/>
      <c r="O34" s="207"/>
    </row>
    <row r="35" spans="12:15" x14ac:dyDescent="0.25">
      <c r="L35" s="207"/>
      <c r="M35" s="207"/>
      <c r="N35" s="207"/>
      <c r="O35" s="207"/>
    </row>
    <row r="36" spans="12:15" x14ac:dyDescent="0.25">
      <c r="L36" s="207"/>
      <c r="M36" s="207"/>
      <c r="N36" s="207"/>
      <c r="O36" s="207"/>
    </row>
    <row r="37" spans="12:15" x14ac:dyDescent="0.25">
      <c r="L37" s="207"/>
      <c r="M37" s="207"/>
      <c r="N37" s="207"/>
      <c r="O37" s="207"/>
    </row>
    <row r="38" spans="12:15" x14ac:dyDescent="0.25">
      <c r="L38" s="207"/>
      <c r="M38" s="207"/>
      <c r="N38" s="207"/>
      <c r="O38" s="207"/>
    </row>
    <row r="39" spans="12:15" x14ac:dyDescent="0.25">
      <c r="L39" s="207"/>
      <c r="M39" s="207"/>
      <c r="N39" s="207"/>
      <c r="O39" s="207"/>
    </row>
    <row r="40" spans="12:15" x14ac:dyDescent="0.25">
      <c r="L40" s="207"/>
      <c r="M40" s="207"/>
      <c r="N40" s="207"/>
      <c r="O40" s="207"/>
    </row>
    <row r="41" spans="12:15" x14ac:dyDescent="0.25">
      <c r="L41" s="207"/>
      <c r="M41" s="207"/>
      <c r="N41" s="207"/>
      <c r="O41" s="207"/>
    </row>
    <row r="42" spans="12:15" x14ac:dyDescent="0.25">
      <c r="L42" s="207"/>
      <c r="M42" s="207"/>
      <c r="N42" s="207"/>
      <c r="O42" s="207"/>
    </row>
    <row r="43" spans="12:15" x14ac:dyDescent="0.25">
      <c r="L43" s="207"/>
      <c r="M43" s="207"/>
      <c r="N43" s="207"/>
      <c r="O43" s="207"/>
    </row>
    <row r="44" spans="12:15" x14ac:dyDescent="0.25">
      <c r="L44" s="207"/>
      <c r="M44" s="207"/>
      <c r="N44" s="207"/>
      <c r="O44" s="207"/>
    </row>
    <row r="45" spans="12:15" x14ac:dyDescent="0.25">
      <c r="L45" s="207"/>
      <c r="M45" s="207"/>
      <c r="N45" s="207"/>
      <c r="O45" s="207"/>
    </row>
    <row r="46" spans="12:15" x14ac:dyDescent="0.25">
      <c r="L46" s="207"/>
      <c r="M46" s="207"/>
      <c r="N46" s="207"/>
      <c r="O46" s="207"/>
    </row>
    <row r="47" spans="12:15" x14ac:dyDescent="0.25">
      <c r="L47" s="207"/>
      <c r="M47" s="207"/>
      <c r="N47" s="207"/>
      <c r="O47" s="207"/>
    </row>
    <row r="48" spans="12:15" x14ac:dyDescent="0.25">
      <c r="L48" s="207"/>
      <c r="M48" s="207"/>
      <c r="N48" s="207"/>
      <c r="O48" s="207"/>
    </row>
    <row r="49" spans="12:15" x14ac:dyDescent="0.25">
      <c r="L49" s="207"/>
      <c r="M49" s="207"/>
      <c r="N49" s="207"/>
      <c r="O49" s="207"/>
    </row>
    <row r="50" spans="12:15" x14ac:dyDescent="0.25">
      <c r="L50" s="207"/>
      <c r="M50" s="207"/>
      <c r="N50" s="207"/>
      <c r="O50" s="207"/>
    </row>
    <row r="51" spans="12:15" x14ac:dyDescent="0.25">
      <c r="L51" s="207"/>
      <c r="M51" s="207"/>
      <c r="N51" s="207"/>
      <c r="O51" s="207"/>
    </row>
    <row r="52" spans="12:15" x14ac:dyDescent="0.25">
      <c r="L52" s="207"/>
      <c r="M52" s="207"/>
      <c r="N52" s="207"/>
      <c r="O52" s="207"/>
    </row>
    <row r="53" spans="12:15" x14ac:dyDescent="0.25">
      <c r="L53" s="207"/>
      <c r="M53" s="207"/>
      <c r="N53" s="207"/>
      <c r="O53" s="207"/>
    </row>
    <row r="54" spans="12:15" x14ac:dyDescent="0.25">
      <c r="L54" s="207"/>
      <c r="M54" s="207"/>
      <c r="N54" s="207"/>
      <c r="O54" s="207"/>
    </row>
    <row r="55" spans="12:15" x14ac:dyDescent="0.25">
      <c r="L55" s="207"/>
      <c r="M55" s="207"/>
      <c r="N55" s="207"/>
      <c r="O55" s="207"/>
    </row>
    <row r="56" spans="12:15" x14ac:dyDescent="0.25">
      <c r="L56" s="207"/>
      <c r="M56" s="207"/>
      <c r="N56" s="207"/>
      <c r="O56" s="207"/>
    </row>
    <row r="57" spans="12:15" x14ac:dyDescent="0.25">
      <c r="L57" s="207"/>
      <c r="M57" s="207"/>
      <c r="N57" s="207"/>
      <c r="O57" s="207"/>
    </row>
    <row r="58" spans="12:15" x14ac:dyDescent="0.25">
      <c r="L58" s="207"/>
      <c r="M58" s="207"/>
      <c r="N58" s="207"/>
      <c r="O58" s="207"/>
    </row>
    <row r="59" spans="12:15" x14ac:dyDescent="0.25">
      <c r="L59" s="207"/>
      <c r="M59" s="207"/>
      <c r="N59" s="207"/>
      <c r="O59" s="207"/>
    </row>
    <row r="60" spans="12:15" x14ac:dyDescent="0.25">
      <c r="L60" s="207"/>
      <c r="M60" s="207"/>
      <c r="N60" s="207"/>
      <c r="O60" s="207"/>
    </row>
    <row r="61" spans="12:15" x14ac:dyDescent="0.25">
      <c r="L61" s="207"/>
      <c r="M61" s="207"/>
      <c r="N61" s="207"/>
      <c r="O61" s="207"/>
    </row>
    <row r="62" spans="12:15" x14ac:dyDescent="0.25">
      <c r="L62" s="207"/>
      <c r="M62" s="207"/>
      <c r="N62" s="207"/>
      <c r="O62" s="207"/>
    </row>
    <row r="63" spans="12:15" x14ac:dyDescent="0.25">
      <c r="L63" s="207"/>
      <c r="M63" s="207"/>
      <c r="N63" s="207"/>
      <c r="O63" s="207"/>
    </row>
    <row r="64" spans="12:15" x14ac:dyDescent="0.25">
      <c r="L64" s="207"/>
      <c r="M64" s="207"/>
      <c r="N64" s="207"/>
      <c r="O64" s="207"/>
    </row>
    <row r="65" spans="12:15" x14ac:dyDescent="0.25">
      <c r="L65" s="207"/>
      <c r="M65" s="207"/>
      <c r="N65" s="207"/>
      <c r="O65" s="207"/>
    </row>
    <row r="66" spans="12:15" x14ac:dyDescent="0.25">
      <c r="L66" s="207"/>
      <c r="M66" s="207"/>
      <c r="N66" s="207"/>
      <c r="O66" s="207"/>
    </row>
    <row r="67" spans="12:15" x14ac:dyDescent="0.25">
      <c r="L67" s="207"/>
      <c r="M67" s="207"/>
      <c r="N67" s="207"/>
      <c r="O67" s="207"/>
    </row>
    <row r="68" spans="12:15" x14ac:dyDescent="0.25">
      <c r="L68" s="207"/>
      <c r="M68" s="207"/>
      <c r="N68" s="207"/>
      <c r="O68" s="207"/>
    </row>
    <row r="69" spans="12:15" x14ac:dyDescent="0.25">
      <c r="L69" s="207"/>
      <c r="M69" s="207"/>
      <c r="N69" s="207"/>
      <c r="O69" s="207"/>
    </row>
    <row r="70" spans="12:15" x14ac:dyDescent="0.25">
      <c r="L70" s="207"/>
      <c r="M70" s="207"/>
      <c r="N70" s="207"/>
      <c r="O70" s="207"/>
    </row>
    <row r="71" spans="12:15" x14ac:dyDescent="0.25">
      <c r="L71" s="207"/>
      <c r="M71" s="207"/>
      <c r="N71" s="207"/>
      <c r="O71" s="207"/>
    </row>
    <row r="72" spans="12:15" x14ac:dyDescent="0.25">
      <c r="L72" s="207"/>
      <c r="M72" s="207"/>
      <c r="N72" s="207"/>
      <c r="O72" s="207"/>
    </row>
    <row r="73" spans="12:15" x14ac:dyDescent="0.25">
      <c r="L73" s="207"/>
      <c r="M73" s="207"/>
      <c r="N73" s="207"/>
      <c r="O73" s="207"/>
    </row>
    <row r="74" spans="12:15" x14ac:dyDescent="0.25">
      <c r="L74" s="207"/>
      <c r="M74" s="207"/>
      <c r="N74" s="207"/>
      <c r="O74" s="207"/>
    </row>
    <row r="75" spans="12:15" x14ac:dyDescent="0.25">
      <c r="L75" s="207"/>
      <c r="M75" s="207"/>
      <c r="N75" s="207"/>
      <c r="O75" s="207"/>
    </row>
    <row r="76" spans="12:15" x14ac:dyDescent="0.25">
      <c r="L76" s="207"/>
      <c r="M76" s="207"/>
      <c r="N76" s="207"/>
      <c r="O76" s="207"/>
    </row>
  </sheetData>
  <pageMargins left="0.25" right="0.25" top="0.5" bottom="1" header="0.3" footer="0.53"/>
  <pageSetup scale="59" orientation="landscape" r:id="rId1"/>
  <headerFooter>
    <oddFooter>&amp;R&amp;Z&amp;F
&amp;P of &amp;N
smm</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3E3C2-F795-48F4-BDBF-0CA1EA88B1AC}">
  <sheetPr>
    <pageSetUpPr fitToPage="1"/>
  </sheetPr>
  <dimension ref="A1:W76"/>
  <sheetViews>
    <sheetView zoomScale="70" zoomScaleNormal="70" zoomScaleSheetLayoutView="70" workbookViewId="0">
      <selection activeCell="C21" sqref="C21:H21"/>
    </sheetView>
  </sheetViews>
  <sheetFormatPr defaultColWidth="8.85546875" defaultRowHeight="15" x14ac:dyDescent="0.25"/>
  <cols>
    <col min="1" max="1" width="7.42578125" style="87" customWidth="1"/>
    <col min="2" max="2" width="8.140625" style="6" customWidth="1"/>
    <col min="3" max="6" width="11.7109375" style="6" customWidth="1"/>
    <col min="7" max="14" width="11.7109375" style="87" customWidth="1"/>
    <col min="15" max="32" width="9.7109375" style="87" customWidth="1"/>
    <col min="33" max="34" width="8.7109375" style="87" customWidth="1"/>
    <col min="35" max="16384" width="8.85546875" style="87"/>
  </cols>
  <sheetData>
    <row r="1" spans="1:23" ht="18" x14ac:dyDescent="0.25">
      <c r="A1" s="2">
        <v>2014</v>
      </c>
      <c r="B1" s="3" t="s">
        <v>29</v>
      </c>
      <c r="C1" s="4"/>
      <c r="D1" s="4"/>
      <c r="E1" s="4"/>
      <c r="F1" s="4"/>
      <c r="G1" s="4"/>
      <c r="H1" s="4"/>
      <c r="I1" s="4"/>
      <c r="J1" s="4"/>
      <c r="K1" s="4"/>
      <c r="L1" s="4"/>
      <c r="M1" s="4"/>
      <c r="N1" s="4"/>
      <c r="O1" s="4"/>
      <c r="P1" s="4"/>
      <c r="Q1" s="4"/>
      <c r="R1" s="4"/>
      <c r="S1" s="4"/>
      <c r="T1" s="4"/>
      <c r="U1" s="4"/>
      <c r="V1" s="4"/>
    </row>
    <row r="2" spans="1:23" ht="18" x14ac:dyDescent="0.25">
      <c r="A2" s="4"/>
      <c r="B2" s="3" t="s">
        <v>20</v>
      </c>
      <c r="E2" s="3" t="s">
        <v>21</v>
      </c>
      <c r="F2" s="3"/>
      <c r="G2" s="4"/>
      <c r="H2" s="4"/>
      <c r="I2" s="4"/>
      <c r="J2" s="4"/>
      <c r="K2" s="4"/>
      <c r="L2" s="4"/>
      <c r="M2" s="4"/>
      <c r="N2" s="4"/>
      <c r="O2" s="4"/>
      <c r="P2" s="4"/>
      <c r="Q2" s="4"/>
      <c r="T2" s="4"/>
      <c r="U2" s="4"/>
      <c r="V2" s="4"/>
      <c r="W2" s="4"/>
    </row>
    <row r="3" spans="1:23" ht="18" x14ac:dyDescent="0.25">
      <c r="B3" s="3"/>
    </row>
    <row r="4" spans="1:23" ht="27" x14ac:dyDescent="0.25">
      <c r="B4" s="217" t="s">
        <v>255</v>
      </c>
      <c r="D4" s="7"/>
      <c r="J4" s="1" t="s">
        <v>30</v>
      </c>
    </row>
    <row r="5" spans="1:23" ht="10.9" customHeight="1" x14ac:dyDescent="0.25">
      <c r="B5" s="3"/>
      <c r="C5" s="3"/>
      <c r="D5" s="7"/>
      <c r="J5" s="11"/>
      <c r="K5" s="11"/>
    </row>
    <row r="6" spans="1:23" ht="17.45" customHeight="1" x14ac:dyDescent="0.25">
      <c r="B6" s="3"/>
      <c r="C6" s="3"/>
      <c r="D6" s="3"/>
      <c r="E6" s="8" t="s">
        <v>32</v>
      </c>
      <c r="F6" s="216">
        <v>41834</v>
      </c>
      <c r="G6" s="10" t="s">
        <v>33</v>
      </c>
      <c r="H6" s="215" t="s">
        <v>254</v>
      </c>
      <c r="I6" s="7"/>
      <c r="J6" s="66"/>
      <c r="K6" s="66"/>
      <c r="L6" s="66"/>
      <c r="M6" s="66"/>
      <c r="O6" s="10"/>
      <c r="R6" s="11"/>
      <c r="S6" s="11"/>
    </row>
    <row r="7" spans="1:23" ht="17.45" customHeight="1" x14ac:dyDescent="0.25">
      <c r="B7" s="3"/>
      <c r="C7" s="3"/>
      <c r="D7" s="3"/>
      <c r="E7" s="7"/>
      <c r="F7" s="87"/>
      <c r="G7" s="10" t="s">
        <v>34</v>
      </c>
      <c r="H7" s="214" t="s">
        <v>253</v>
      </c>
      <c r="I7" s="7"/>
      <c r="J7" s="7"/>
      <c r="K7" s="66"/>
      <c r="L7" s="66"/>
      <c r="M7" s="66"/>
      <c r="N7" s="66"/>
      <c r="P7" s="10"/>
      <c r="S7" s="11"/>
      <c r="T7" s="11"/>
    </row>
    <row r="8" spans="1:23" ht="17.45" customHeight="1" x14ac:dyDescent="0.25">
      <c r="B8" s="3"/>
      <c r="C8" s="3"/>
      <c r="D8" s="3"/>
      <c r="G8" s="7"/>
      <c r="H8" s="7"/>
      <c r="I8" s="7"/>
      <c r="J8" s="7"/>
      <c r="K8" s="66"/>
      <c r="L8" s="66"/>
      <c r="M8" s="66"/>
      <c r="N8" s="66"/>
      <c r="P8" s="10"/>
      <c r="S8" s="11"/>
      <c r="T8" s="11"/>
    </row>
    <row r="9" spans="1:23" ht="25.15" customHeight="1" x14ac:dyDescent="0.25">
      <c r="C9" s="212" t="s">
        <v>24</v>
      </c>
      <c r="D9" s="212" t="s">
        <v>38</v>
      </c>
      <c r="E9" s="212" t="s">
        <v>25</v>
      </c>
      <c r="F9" s="212" t="s">
        <v>26</v>
      </c>
      <c r="G9" s="212" t="s">
        <v>27</v>
      </c>
      <c r="H9" s="213" t="s">
        <v>28</v>
      </c>
      <c r="I9" s="212"/>
    </row>
    <row r="10" spans="1:23" ht="37.15" customHeight="1" thickBot="1" x14ac:dyDescent="0.3">
      <c r="C10" s="211" t="s">
        <v>252</v>
      </c>
      <c r="D10" s="211" t="s">
        <v>252</v>
      </c>
      <c r="E10" s="211" t="s">
        <v>252</v>
      </c>
      <c r="F10" s="211" t="s">
        <v>252</v>
      </c>
      <c r="G10" s="211" t="s">
        <v>252</v>
      </c>
      <c r="H10" s="211" t="s">
        <v>252</v>
      </c>
      <c r="I10" s="210" t="s">
        <v>251</v>
      </c>
    </row>
    <row r="11" spans="1:23" ht="40.15" customHeight="1" x14ac:dyDescent="0.2">
      <c r="B11" s="15" t="s">
        <v>5</v>
      </c>
      <c r="C11" s="16">
        <v>7</v>
      </c>
      <c r="D11" s="16">
        <v>6</v>
      </c>
      <c r="E11" s="16">
        <v>7</v>
      </c>
      <c r="F11" s="16">
        <v>6</v>
      </c>
      <c r="G11" s="16">
        <v>6</v>
      </c>
      <c r="H11" s="16">
        <v>6</v>
      </c>
      <c r="I11" s="209">
        <f t="shared" ref="I11:I21" si="0">AVERAGE(C11:H11)</f>
        <v>6.333333333333333</v>
      </c>
    </row>
    <row r="12" spans="1:23" ht="40.15" customHeight="1" x14ac:dyDescent="0.2">
      <c r="B12" s="17" t="s">
        <v>6</v>
      </c>
      <c r="C12" s="18">
        <v>7</v>
      </c>
      <c r="D12" s="18">
        <v>7</v>
      </c>
      <c r="E12" s="18">
        <v>8</v>
      </c>
      <c r="F12" s="18">
        <v>7</v>
      </c>
      <c r="G12" s="18">
        <v>8</v>
      </c>
      <c r="H12" s="18">
        <v>6</v>
      </c>
      <c r="I12" s="208">
        <f t="shared" si="0"/>
        <v>7.166666666666667</v>
      </c>
    </row>
    <row r="13" spans="1:23" ht="40.15" customHeight="1" x14ac:dyDescent="0.2">
      <c r="B13" s="17" t="s">
        <v>7</v>
      </c>
      <c r="C13" s="18">
        <v>9</v>
      </c>
      <c r="D13" s="18">
        <v>10</v>
      </c>
      <c r="E13" s="18">
        <v>8</v>
      </c>
      <c r="F13" s="18">
        <v>7</v>
      </c>
      <c r="G13" s="18">
        <v>6</v>
      </c>
      <c r="H13" s="18">
        <v>7</v>
      </c>
      <c r="I13" s="208">
        <f t="shared" si="0"/>
        <v>7.833333333333333</v>
      </c>
    </row>
    <row r="14" spans="1:23" ht="40.15" hidden="1" customHeight="1" x14ac:dyDescent="0.2">
      <c r="B14" s="19" t="s">
        <v>8</v>
      </c>
      <c r="C14" s="18"/>
      <c r="D14" s="18"/>
      <c r="E14" s="18"/>
      <c r="F14" s="18"/>
      <c r="G14" s="18"/>
      <c r="H14" s="18"/>
      <c r="I14" s="208" t="e">
        <f t="shared" si="0"/>
        <v>#DIV/0!</v>
      </c>
    </row>
    <row r="15" spans="1:23" ht="40.15" hidden="1" customHeight="1" x14ac:dyDescent="0.2">
      <c r="B15" s="19" t="s">
        <v>9</v>
      </c>
      <c r="C15" s="18"/>
      <c r="D15" s="18"/>
      <c r="E15" s="18"/>
      <c r="F15" s="18"/>
      <c r="G15" s="18"/>
      <c r="H15" s="18"/>
      <c r="I15" s="208" t="e">
        <f t="shared" si="0"/>
        <v>#DIV/0!</v>
      </c>
    </row>
    <row r="16" spans="1:23" ht="40.15" customHeight="1" x14ac:dyDescent="0.2">
      <c r="B16" s="17" t="s">
        <v>10</v>
      </c>
      <c r="C16" s="18">
        <v>7</v>
      </c>
      <c r="D16" s="18">
        <v>7</v>
      </c>
      <c r="E16" s="18">
        <v>6</v>
      </c>
      <c r="F16" s="18">
        <v>7</v>
      </c>
      <c r="G16" s="18">
        <v>6</v>
      </c>
      <c r="H16" s="18">
        <v>6</v>
      </c>
      <c r="I16" s="208">
        <f t="shared" si="0"/>
        <v>6.5</v>
      </c>
    </row>
    <row r="17" spans="2:14" ht="40.15" customHeight="1" x14ac:dyDescent="0.2">
      <c r="B17" s="17" t="s">
        <v>11</v>
      </c>
      <c r="C17" s="18">
        <v>9</v>
      </c>
      <c r="D17" s="18">
        <v>8</v>
      </c>
      <c r="E17" s="18">
        <v>8</v>
      </c>
      <c r="F17" s="18">
        <v>7</v>
      </c>
      <c r="G17" s="18">
        <v>7</v>
      </c>
      <c r="H17" s="18">
        <v>7</v>
      </c>
      <c r="I17" s="208">
        <f t="shared" si="0"/>
        <v>7.666666666666667</v>
      </c>
    </row>
    <row r="18" spans="2:14" ht="40.15" hidden="1" customHeight="1" x14ac:dyDescent="0.2">
      <c r="B18" s="19" t="s">
        <v>12</v>
      </c>
      <c r="C18" s="18"/>
      <c r="D18" s="18"/>
      <c r="E18" s="18"/>
      <c r="F18" s="18"/>
      <c r="G18" s="18"/>
      <c r="H18" s="18"/>
      <c r="I18" s="208" t="e">
        <f t="shared" si="0"/>
        <v>#DIV/0!</v>
      </c>
    </row>
    <row r="19" spans="2:14" ht="40.15" hidden="1" customHeight="1" x14ac:dyDescent="0.2">
      <c r="B19" s="19" t="s">
        <v>13</v>
      </c>
      <c r="C19" s="18"/>
      <c r="D19" s="18"/>
      <c r="E19" s="18"/>
      <c r="F19" s="18"/>
      <c r="G19" s="18"/>
      <c r="H19" s="18"/>
      <c r="I19" s="208" t="e">
        <f t="shared" si="0"/>
        <v>#DIV/0!</v>
      </c>
    </row>
    <row r="20" spans="2:14" ht="40.15" customHeight="1" x14ac:dyDescent="0.2">
      <c r="B20" s="17" t="s">
        <v>14</v>
      </c>
      <c r="C20" s="18">
        <v>6</v>
      </c>
      <c r="D20" s="18">
        <v>6</v>
      </c>
      <c r="E20" s="18">
        <v>6</v>
      </c>
      <c r="F20" s="18">
        <v>6</v>
      </c>
      <c r="G20" s="18">
        <v>6</v>
      </c>
      <c r="H20" s="18">
        <v>6</v>
      </c>
      <c r="I20" s="208">
        <f t="shared" si="0"/>
        <v>6</v>
      </c>
    </row>
    <row r="21" spans="2:14" ht="40.15" customHeight="1" x14ac:dyDescent="0.2">
      <c r="B21" s="17" t="s">
        <v>23</v>
      </c>
      <c r="C21" s="18">
        <v>7</v>
      </c>
      <c r="D21" s="18">
        <v>7</v>
      </c>
      <c r="E21" s="18">
        <v>7</v>
      </c>
      <c r="F21" s="18">
        <v>7</v>
      </c>
      <c r="G21" s="18">
        <v>6</v>
      </c>
      <c r="H21" s="18">
        <v>8</v>
      </c>
      <c r="I21" s="208">
        <f t="shared" si="0"/>
        <v>7</v>
      </c>
    </row>
    <row r="22" spans="2:14" x14ac:dyDescent="0.25">
      <c r="K22" s="207"/>
      <c r="L22" s="207"/>
      <c r="M22" s="207"/>
      <c r="N22" s="207"/>
    </row>
    <row r="23" spans="2:14" x14ac:dyDescent="0.25">
      <c r="K23" s="207"/>
      <c r="L23" s="207"/>
      <c r="M23" s="207"/>
      <c r="N23" s="207"/>
    </row>
    <row r="24" spans="2:14" x14ac:dyDescent="0.25">
      <c r="K24" s="207"/>
      <c r="L24" s="207"/>
      <c r="M24" s="207"/>
      <c r="N24" s="207"/>
    </row>
    <row r="25" spans="2:14" x14ac:dyDescent="0.25">
      <c r="K25" s="207"/>
      <c r="L25" s="207"/>
      <c r="M25" s="207"/>
      <c r="N25" s="207"/>
    </row>
    <row r="26" spans="2:14" x14ac:dyDescent="0.25">
      <c r="K26" s="207"/>
      <c r="L26" s="207"/>
      <c r="M26" s="207"/>
      <c r="N26" s="207"/>
    </row>
    <row r="27" spans="2:14" x14ac:dyDescent="0.25">
      <c r="K27" s="207"/>
      <c r="L27" s="207"/>
      <c r="M27" s="207"/>
      <c r="N27" s="207"/>
    </row>
    <row r="28" spans="2:14" x14ac:dyDescent="0.25">
      <c r="K28" s="207"/>
      <c r="L28" s="207"/>
      <c r="M28" s="207"/>
      <c r="N28" s="207"/>
    </row>
    <row r="29" spans="2:14" x14ac:dyDescent="0.25">
      <c r="K29" s="207"/>
      <c r="L29" s="207"/>
      <c r="M29" s="207"/>
      <c r="N29" s="207"/>
    </row>
    <row r="30" spans="2:14" x14ac:dyDescent="0.25">
      <c r="K30" s="207"/>
      <c r="L30" s="207"/>
      <c r="M30" s="207"/>
      <c r="N30" s="207"/>
    </row>
    <row r="31" spans="2:14" x14ac:dyDescent="0.25">
      <c r="K31" s="207"/>
      <c r="L31" s="207"/>
      <c r="M31" s="207"/>
      <c r="N31" s="207"/>
    </row>
    <row r="32" spans="2:14" x14ac:dyDescent="0.25">
      <c r="K32" s="207"/>
      <c r="L32" s="207"/>
      <c r="M32" s="207"/>
      <c r="N32" s="207"/>
    </row>
    <row r="33" spans="11:14" x14ac:dyDescent="0.25">
      <c r="K33" s="207"/>
      <c r="L33" s="207"/>
      <c r="M33" s="207"/>
      <c r="N33" s="207"/>
    </row>
    <row r="34" spans="11:14" x14ac:dyDescent="0.25">
      <c r="K34" s="207"/>
      <c r="L34" s="207"/>
      <c r="M34" s="207"/>
      <c r="N34" s="207"/>
    </row>
    <row r="35" spans="11:14" x14ac:dyDescent="0.25">
      <c r="K35" s="207"/>
      <c r="L35" s="207"/>
      <c r="M35" s="207"/>
      <c r="N35" s="207"/>
    </row>
    <row r="36" spans="11:14" x14ac:dyDescent="0.25">
      <c r="K36" s="207"/>
      <c r="L36" s="207"/>
      <c r="M36" s="207"/>
      <c r="N36" s="207"/>
    </row>
    <row r="37" spans="11:14" x14ac:dyDescent="0.25">
      <c r="K37" s="207"/>
      <c r="L37" s="207"/>
      <c r="M37" s="207"/>
      <c r="N37" s="207"/>
    </row>
    <row r="38" spans="11:14" x14ac:dyDescent="0.25">
      <c r="K38" s="207"/>
      <c r="L38" s="207"/>
      <c r="M38" s="207"/>
      <c r="N38" s="207"/>
    </row>
    <row r="39" spans="11:14" x14ac:dyDescent="0.25">
      <c r="K39" s="207"/>
      <c r="L39" s="207"/>
      <c r="M39" s="207"/>
      <c r="N39" s="207"/>
    </row>
    <row r="40" spans="11:14" x14ac:dyDescent="0.25">
      <c r="K40" s="207"/>
      <c r="L40" s="207"/>
      <c r="M40" s="207"/>
      <c r="N40" s="207"/>
    </row>
    <row r="41" spans="11:14" x14ac:dyDescent="0.25">
      <c r="K41" s="207"/>
      <c r="L41" s="207"/>
      <c r="M41" s="207"/>
      <c r="N41" s="207"/>
    </row>
    <row r="42" spans="11:14" x14ac:dyDescent="0.25">
      <c r="K42" s="207"/>
      <c r="L42" s="207"/>
      <c r="M42" s="207"/>
      <c r="N42" s="207"/>
    </row>
    <row r="43" spans="11:14" x14ac:dyDescent="0.25">
      <c r="K43" s="207"/>
      <c r="L43" s="207"/>
      <c r="M43" s="207"/>
      <c r="N43" s="207"/>
    </row>
    <row r="44" spans="11:14" x14ac:dyDescent="0.25">
      <c r="K44" s="207"/>
      <c r="L44" s="207"/>
      <c r="M44" s="207"/>
      <c r="N44" s="207"/>
    </row>
    <row r="45" spans="11:14" x14ac:dyDescent="0.25">
      <c r="K45" s="207"/>
      <c r="L45" s="207"/>
      <c r="M45" s="207"/>
      <c r="N45" s="207"/>
    </row>
    <row r="46" spans="11:14" x14ac:dyDescent="0.25">
      <c r="K46" s="207"/>
      <c r="L46" s="207"/>
      <c r="M46" s="207"/>
      <c r="N46" s="207"/>
    </row>
    <row r="47" spans="11:14" x14ac:dyDescent="0.25">
      <c r="K47" s="207"/>
      <c r="L47" s="207"/>
      <c r="M47" s="207"/>
      <c r="N47" s="207"/>
    </row>
    <row r="48" spans="11:14" x14ac:dyDescent="0.25">
      <c r="K48" s="207"/>
      <c r="L48" s="207"/>
      <c r="M48" s="207"/>
      <c r="N48" s="207"/>
    </row>
    <row r="49" spans="11:14" x14ac:dyDescent="0.25">
      <c r="K49" s="207"/>
      <c r="L49" s="207"/>
      <c r="M49" s="207"/>
      <c r="N49" s="207"/>
    </row>
    <row r="50" spans="11:14" x14ac:dyDescent="0.25">
      <c r="K50" s="207"/>
      <c r="L50" s="207"/>
      <c r="M50" s="207"/>
      <c r="N50" s="207"/>
    </row>
    <row r="51" spans="11:14" x14ac:dyDescent="0.25">
      <c r="K51" s="207"/>
      <c r="L51" s="207"/>
      <c r="M51" s="207"/>
      <c r="N51" s="207"/>
    </row>
    <row r="52" spans="11:14" x14ac:dyDescent="0.25">
      <c r="K52" s="207"/>
      <c r="L52" s="207"/>
      <c r="M52" s="207"/>
      <c r="N52" s="207"/>
    </row>
    <row r="53" spans="11:14" x14ac:dyDescent="0.25">
      <c r="K53" s="207"/>
      <c r="L53" s="207"/>
      <c r="M53" s="207"/>
      <c r="N53" s="207"/>
    </row>
    <row r="54" spans="11:14" x14ac:dyDescent="0.25">
      <c r="K54" s="207"/>
      <c r="L54" s="207"/>
      <c r="M54" s="207"/>
      <c r="N54" s="207"/>
    </row>
    <row r="55" spans="11:14" x14ac:dyDescent="0.25">
      <c r="K55" s="207"/>
      <c r="L55" s="207"/>
      <c r="M55" s="207"/>
      <c r="N55" s="207"/>
    </row>
    <row r="56" spans="11:14" x14ac:dyDescent="0.25">
      <c r="K56" s="207"/>
      <c r="L56" s="207"/>
      <c r="M56" s="207"/>
      <c r="N56" s="207"/>
    </row>
    <row r="57" spans="11:14" x14ac:dyDescent="0.25">
      <c r="K57" s="207"/>
      <c r="L57" s="207"/>
      <c r="M57" s="207"/>
      <c r="N57" s="207"/>
    </row>
    <row r="58" spans="11:14" x14ac:dyDescent="0.25">
      <c r="K58" s="207"/>
      <c r="L58" s="207"/>
      <c r="M58" s="207"/>
      <c r="N58" s="207"/>
    </row>
    <row r="59" spans="11:14" x14ac:dyDescent="0.25">
      <c r="K59" s="207"/>
      <c r="L59" s="207"/>
      <c r="M59" s="207"/>
      <c r="N59" s="207"/>
    </row>
    <row r="60" spans="11:14" x14ac:dyDescent="0.25">
      <c r="K60" s="207"/>
      <c r="L60" s="207"/>
      <c r="M60" s="207"/>
      <c r="N60" s="207"/>
    </row>
    <row r="61" spans="11:14" x14ac:dyDescent="0.25">
      <c r="K61" s="207"/>
      <c r="L61" s="207"/>
      <c r="M61" s="207"/>
      <c r="N61" s="207"/>
    </row>
    <row r="62" spans="11:14" x14ac:dyDescent="0.25">
      <c r="K62" s="207"/>
      <c r="L62" s="207"/>
      <c r="M62" s="207"/>
      <c r="N62" s="207"/>
    </row>
    <row r="63" spans="11:14" x14ac:dyDescent="0.25">
      <c r="K63" s="207"/>
      <c r="L63" s="207"/>
      <c r="M63" s="207"/>
      <c r="N63" s="207"/>
    </row>
    <row r="64" spans="11:14" x14ac:dyDescent="0.25">
      <c r="K64" s="207"/>
      <c r="L64" s="207"/>
      <c r="M64" s="207"/>
      <c r="N64" s="207"/>
    </row>
    <row r="65" spans="11:14" x14ac:dyDescent="0.25">
      <c r="K65" s="207"/>
      <c r="L65" s="207"/>
      <c r="M65" s="207"/>
      <c r="N65" s="207"/>
    </row>
    <row r="66" spans="11:14" x14ac:dyDescent="0.25">
      <c r="K66" s="207"/>
      <c r="L66" s="207"/>
      <c r="M66" s="207"/>
      <c r="N66" s="207"/>
    </row>
    <row r="67" spans="11:14" x14ac:dyDescent="0.25">
      <c r="K67" s="207"/>
      <c r="L67" s="207"/>
      <c r="M67" s="207"/>
      <c r="N67" s="207"/>
    </row>
    <row r="68" spans="11:14" x14ac:dyDescent="0.25">
      <c r="K68" s="207"/>
      <c r="L68" s="207"/>
      <c r="M68" s="207"/>
      <c r="N68" s="207"/>
    </row>
    <row r="69" spans="11:14" x14ac:dyDescent="0.25">
      <c r="K69" s="207"/>
      <c r="L69" s="207"/>
      <c r="M69" s="207"/>
      <c r="N69" s="207"/>
    </row>
    <row r="70" spans="11:14" x14ac:dyDescent="0.25">
      <c r="K70" s="207"/>
      <c r="L70" s="207"/>
      <c r="M70" s="207"/>
      <c r="N70" s="207"/>
    </row>
    <row r="71" spans="11:14" x14ac:dyDescent="0.25">
      <c r="K71" s="207"/>
      <c r="L71" s="207"/>
      <c r="M71" s="207"/>
      <c r="N71" s="207"/>
    </row>
    <row r="72" spans="11:14" x14ac:dyDescent="0.25">
      <c r="K72" s="207"/>
      <c r="L72" s="207"/>
      <c r="M72" s="207"/>
      <c r="N72" s="207"/>
    </row>
    <row r="73" spans="11:14" x14ac:dyDescent="0.25">
      <c r="K73" s="207"/>
      <c r="L73" s="207"/>
      <c r="M73" s="207"/>
      <c r="N73" s="207"/>
    </row>
    <row r="74" spans="11:14" x14ac:dyDescent="0.25">
      <c r="K74" s="207"/>
      <c r="L74" s="207"/>
      <c r="M74" s="207"/>
      <c r="N74" s="207"/>
    </row>
    <row r="75" spans="11:14" x14ac:dyDescent="0.25">
      <c r="K75" s="207"/>
      <c r="L75" s="207"/>
      <c r="M75" s="207"/>
      <c r="N75" s="207"/>
    </row>
    <row r="76" spans="11:14" x14ac:dyDescent="0.25">
      <c r="K76" s="207"/>
      <c r="L76" s="207"/>
      <c r="M76" s="207"/>
      <c r="N76" s="207"/>
    </row>
  </sheetData>
  <pageMargins left="0.25" right="0.25" top="0.5" bottom="1" header="0.3" footer="0.53"/>
  <pageSetup scale="85" orientation="landscape" r:id="rId1"/>
  <headerFooter>
    <oddFooter>&amp;R&amp;Z&amp;F
&amp;P of &amp;N
smm</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348C4-2EC9-4F41-BC8A-5924AD822CA8}">
  <sheetPr>
    <pageSetUpPr fitToPage="1"/>
  </sheetPr>
  <dimension ref="A1:W76"/>
  <sheetViews>
    <sheetView zoomScale="70" zoomScaleNormal="70" zoomScaleSheetLayoutView="70" workbookViewId="0">
      <selection activeCell="C21" sqref="C21:H21"/>
    </sheetView>
  </sheetViews>
  <sheetFormatPr defaultColWidth="8.85546875" defaultRowHeight="15" x14ac:dyDescent="0.25"/>
  <cols>
    <col min="1" max="1" width="7.42578125" style="87" customWidth="1"/>
    <col min="2" max="2" width="8.140625" style="6" customWidth="1"/>
    <col min="3" max="6" width="11.7109375" style="6" customWidth="1"/>
    <col min="7" max="14" width="11.7109375" style="87" customWidth="1"/>
    <col min="15" max="32" width="9.7109375" style="87" customWidth="1"/>
    <col min="33" max="34" width="8.7109375" style="87" customWidth="1"/>
    <col min="35" max="16384" width="8.85546875" style="87"/>
  </cols>
  <sheetData>
    <row r="1" spans="1:23" ht="18" x14ac:dyDescent="0.25">
      <c r="A1" s="2">
        <v>2014</v>
      </c>
      <c r="B1" s="3" t="s">
        <v>29</v>
      </c>
      <c r="C1" s="4"/>
      <c r="D1" s="4"/>
      <c r="E1" s="4"/>
      <c r="F1" s="4"/>
      <c r="G1" s="4"/>
      <c r="H1" s="4"/>
      <c r="I1" s="4"/>
      <c r="J1" s="4"/>
      <c r="K1" s="4"/>
      <c r="L1" s="4"/>
      <c r="M1" s="4"/>
      <c r="N1" s="4"/>
      <c r="O1" s="4"/>
      <c r="P1" s="4"/>
      <c r="Q1" s="4"/>
      <c r="R1" s="4"/>
      <c r="S1" s="4"/>
      <c r="T1" s="4"/>
      <c r="U1" s="4"/>
      <c r="V1" s="4"/>
    </row>
    <row r="2" spans="1:23" ht="18" x14ac:dyDescent="0.25">
      <c r="A2" s="4"/>
      <c r="B2" s="3" t="s">
        <v>20</v>
      </c>
      <c r="E2" s="3" t="s">
        <v>21</v>
      </c>
      <c r="F2" s="3"/>
      <c r="G2" s="4"/>
      <c r="H2" s="4"/>
      <c r="I2" s="4"/>
      <c r="J2" s="4"/>
      <c r="K2" s="4"/>
      <c r="L2" s="4"/>
      <c r="M2" s="4"/>
      <c r="N2" s="4"/>
      <c r="O2" s="4"/>
      <c r="P2" s="4"/>
      <c r="Q2" s="4"/>
      <c r="T2" s="4"/>
      <c r="U2" s="4"/>
      <c r="V2" s="4"/>
      <c r="W2" s="4"/>
    </row>
    <row r="3" spans="1:23" ht="18" x14ac:dyDescent="0.25">
      <c r="B3" s="3"/>
    </row>
    <row r="4" spans="1:23" ht="27" x14ac:dyDescent="0.25">
      <c r="B4" s="217" t="s">
        <v>255</v>
      </c>
      <c r="D4" s="7"/>
      <c r="J4" s="1" t="s">
        <v>30</v>
      </c>
    </row>
    <row r="5" spans="1:23" ht="10.9" customHeight="1" x14ac:dyDescent="0.25">
      <c r="B5" s="3"/>
      <c r="C5" s="3"/>
      <c r="D5" s="7"/>
      <c r="J5" s="11"/>
      <c r="K5" s="11"/>
    </row>
    <row r="6" spans="1:23" ht="17.45" customHeight="1" x14ac:dyDescent="0.25">
      <c r="B6" s="3"/>
      <c r="C6" s="3"/>
      <c r="D6" s="3"/>
      <c r="E6" s="8" t="s">
        <v>32</v>
      </c>
      <c r="F6" s="216">
        <v>41841</v>
      </c>
      <c r="G6" s="10" t="s">
        <v>33</v>
      </c>
      <c r="H6" s="215" t="s">
        <v>256</v>
      </c>
      <c r="I6" s="7"/>
      <c r="J6" s="66"/>
      <c r="K6" s="66"/>
      <c r="L6" s="66"/>
      <c r="M6" s="66"/>
      <c r="O6" s="10"/>
      <c r="R6" s="11"/>
      <c r="S6" s="11"/>
    </row>
    <row r="7" spans="1:23" ht="17.45" customHeight="1" x14ac:dyDescent="0.25">
      <c r="B7" s="3"/>
      <c r="C7" s="3"/>
      <c r="D7" s="3"/>
      <c r="E7" s="7"/>
      <c r="F7" s="87"/>
      <c r="G7" s="10" t="s">
        <v>34</v>
      </c>
      <c r="H7" s="214" t="s">
        <v>253</v>
      </c>
      <c r="I7" s="7"/>
      <c r="J7" s="7"/>
      <c r="K7" s="66"/>
      <c r="L7" s="66"/>
      <c r="M7" s="66"/>
      <c r="N7" s="66"/>
      <c r="P7" s="10"/>
      <c r="S7" s="11"/>
      <c r="T7" s="11"/>
    </row>
    <row r="8" spans="1:23" ht="17.45" customHeight="1" x14ac:dyDescent="0.25">
      <c r="B8" s="3"/>
      <c r="C8" s="3"/>
      <c r="D8" s="3"/>
      <c r="G8" s="7"/>
      <c r="H8" s="7"/>
      <c r="I8" s="7"/>
      <c r="J8" s="7"/>
      <c r="K8" s="66"/>
      <c r="L8" s="66"/>
      <c r="M8" s="66"/>
      <c r="N8" s="66"/>
      <c r="P8" s="10"/>
      <c r="S8" s="11"/>
      <c r="T8" s="11"/>
    </row>
    <row r="9" spans="1:23" ht="25.15" customHeight="1" x14ac:dyDescent="0.25">
      <c r="C9" s="212" t="s">
        <v>24</v>
      </c>
      <c r="D9" s="222"/>
      <c r="E9" s="212" t="s">
        <v>38</v>
      </c>
      <c r="F9" s="222"/>
      <c r="G9" s="212" t="s">
        <v>25</v>
      </c>
      <c r="H9" s="222"/>
      <c r="I9" s="212" t="s">
        <v>26</v>
      </c>
      <c r="J9" s="222"/>
      <c r="K9" s="212" t="s">
        <v>27</v>
      </c>
      <c r="L9" s="222"/>
      <c r="M9" s="212" t="s">
        <v>28</v>
      </c>
      <c r="N9" s="222"/>
    </row>
    <row r="10" spans="1:23" ht="37.15" customHeight="1" thickBot="1" x14ac:dyDescent="0.3">
      <c r="C10" s="211" t="s">
        <v>252</v>
      </c>
      <c r="D10" s="211" t="s">
        <v>252</v>
      </c>
      <c r="E10" s="211" t="s">
        <v>252</v>
      </c>
      <c r="F10" s="211" t="s">
        <v>252</v>
      </c>
      <c r="G10" s="211" t="s">
        <v>252</v>
      </c>
      <c r="H10" s="211" t="s">
        <v>252</v>
      </c>
      <c r="I10" s="211" t="s">
        <v>252</v>
      </c>
      <c r="J10" s="211" t="s">
        <v>252</v>
      </c>
      <c r="K10" s="211" t="s">
        <v>252</v>
      </c>
      <c r="L10" s="211" t="s">
        <v>252</v>
      </c>
      <c r="M10" s="211" t="s">
        <v>252</v>
      </c>
      <c r="N10" s="221" t="s">
        <v>252</v>
      </c>
    </row>
    <row r="11" spans="1:23" ht="40.15" customHeight="1" x14ac:dyDescent="0.2">
      <c r="B11" s="15" t="s">
        <v>5</v>
      </c>
      <c r="C11" s="16">
        <v>4</v>
      </c>
      <c r="D11" s="220">
        <v>4</v>
      </c>
      <c r="E11" s="16">
        <v>4</v>
      </c>
      <c r="F11" s="220">
        <v>5</v>
      </c>
      <c r="G11" s="16">
        <v>4</v>
      </c>
      <c r="H11" s="220">
        <v>4</v>
      </c>
      <c r="I11" s="16">
        <v>5</v>
      </c>
      <c r="J11" s="220">
        <v>4</v>
      </c>
      <c r="K11" s="16">
        <v>4</v>
      </c>
      <c r="L11" s="220">
        <v>4</v>
      </c>
      <c r="M11" s="16">
        <v>4</v>
      </c>
      <c r="N11" s="220">
        <v>8</v>
      </c>
      <c r="P11" s="87">
        <f t="shared" ref="P11:P21" si="0">AVERAGE(C11:D11)</f>
        <v>4</v>
      </c>
      <c r="Q11" s="87">
        <f t="shared" ref="Q11:Q21" si="1">AVERAGE(E11:F11)</f>
        <v>4.5</v>
      </c>
      <c r="R11" s="87">
        <f t="shared" ref="R11:R21" si="2">AVERAGE(G11:H11)</f>
        <v>4</v>
      </c>
      <c r="S11" s="87">
        <f t="shared" ref="S11:S21" si="3">AVERAGE(I11:J11)</f>
        <v>4.5</v>
      </c>
      <c r="T11" s="87">
        <f t="shared" ref="T11:T21" si="4">AVERAGE(K11:L11)</f>
        <v>4</v>
      </c>
      <c r="U11" s="87">
        <f t="shared" ref="U11:U21" si="5">AVERAGE(M11:N11)</f>
        <v>6</v>
      </c>
    </row>
    <row r="12" spans="1:23" ht="40.15" customHeight="1" x14ac:dyDescent="0.2">
      <c r="B12" s="17" t="s">
        <v>6</v>
      </c>
      <c r="C12" s="18">
        <v>5</v>
      </c>
      <c r="D12" s="219">
        <v>6</v>
      </c>
      <c r="E12" s="18">
        <v>6</v>
      </c>
      <c r="F12" s="219">
        <v>7</v>
      </c>
      <c r="G12" s="18">
        <v>6</v>
      </c>
      <c r="H12" s="219">
        <v>5</v>
      </c>
      <c r="I12" s="18">
        <v>6</v>
      </c>
      <c r="J12" s="219">
        <v>5</v>
      </c>
      <c r="K12" s="18">
        <v>6</v>
      </c>
      <c r="L12" s="219">
        <v>6</v>
      </c>
      <c r="M12" s="18">
        <v>5</v>
      </c>
      <c r="N12" s="219">
        <v>5</v>
      </c>
      <c r="P12" s="87">
        <f t="shared" si="0"/>
        <v>5.5</v>
      </c>
      <c r="Q12" s="87">
        <f t="shared" si="1"/>
        <v>6.5</v>
      </c>
      <c r="R12" s="87">
        <f t="shared" si="2"/>
        <v>5.5</v>
      </c>
      <c r="S12" s="87">
        <f t="shared" si="3"/>
        <v>5.5</v>
      </c>
      <c r="T12" s="87">
        <f t="shared" si="4"/>
        <v>6</v>
      </c>
      <c r="U12" s="87">
        <f t="shared" si="5"/>
        <v>5</v>
      </c>
    </row>
    <row r="13" spans="1:23" ht="40.15" customHeight="1" x14ac:dyDescent="0.2">
      <c r="B13" s="17" t="s">
        <v>7</v>
      </c>
      <c r="C13" s="18">
        <v>8</v>
      </c>
      <c r="D13" s="219">
        <v>7</v>
      </c>
      <c r="E13" s="18">
        <v>8</v>
      </c>
      <c r="F13" s="219">
        <v>7</v>
      </c>
      <c r="G13" s="18">
        <v>7</v>
      </c>
      <c r="H13" s="219">
        <v>8</v>
      </c>
      <c r="I13" s="18">
        <v>7</v>
      </c>
      <c r="J13" s="219">
        <v>7</v>
      </c>
      <c r="K13" s="18">
        <v>7</v>
      </c>
      <c r="L13" s="219">
        <v>8</v>
      </c>
      <c r="M13" s="18">
        <v>6</v>
      </c>
      <c r="N13" s="219">
        <v>5</v>
      </c>
      <c r="P13" s="87">
        <f t="shared" si="0"/>
        <v>7.5</v>
      </c>
      <c r="Q13" s="87">
        <f t="shared" si="1"/>
        <v>7.5</v>
      </c>
      <c r="R13" s="87">
        <f t="shared" si="2"/>
        <v>7.5</v>
      </c>
      <c r="S13" s="87">
        <f t="shared" si="3"/>
        <v>7</v>
      </c>
      <c r="T13" s="87">
        <f t="shared" si="4"/>
        <v>7.5</v>
      </c>
      <c r="U13" s="87">
        <f t="shared" si="5"/>
        <v>5.5</v>
      </c>
    </row>
    <row r="14" spans="1:23" ht="40.15" hidden="1" customHeight="1" x14ac:dyDescent="0.2">
      <c r="B14" s="19" t="s">
        <v>8</v>
      </c>
      <c r="C14" s="18"/>
      <c r="D14" s="219"/>
      <c r="E14" s="18"/>
      <c r="F14" s="219"/>
      <c r="G14" s="18"/>
      <c r="H14" s="219"/>
      <c r="I14" s="18"/>
      <c r="J14" s="219"/>
      <c r="K14" s="18"/>
      <c r="L14" s="219"/>
      <c r="M14" s="18"/>
      <c r="N14" s="219"/>
      <c r="P14" s="87" t="e">
        <f t="shared" si="0"/>
        <v>#DIV/0!</v>
      </c>
      <c r="Q14" s="87" t="e">
        <f t="shared" si="1"/>
        <v>#DIV/0!</v>
      </c>
      <c r="R14" s="87" t="e">
        <f t="shared" si="2"/>
        <v>#DIV/0!</v>
      </c>
      <c r="S14" s="87" t="e">
        <f t="shared" si="3"/>
        <v>#DIV/0!</v>
      </c>
      <c r="T14" s="87" t="e">
        <f t="shared" si="4"/>
        <v>#DIV/0!</v>
      </c>
      <c r="U14" s="87" t="e">
        <f t="shared" si="5"/>
        <v>#DIV/0!</v>
      </c>
    </row>
    <row r="15" spans="1:23" ht="40.15" hidden="1" customHeight="1" x14ac:dyDescent="0.2">
      <c r="B15" s="19" t="s">
        <v>9</v>
      </c>
      <c r="C15" s="18"/>
      <c r="D15" s="219"/>
      <c r="E15" s="18"/>
      <c r="F15" s="219"/>
      <c r="G15" s="18"/>
      <c r="H15" s="219"/>
      <c r="I15" s="18"/>
      <c r="J15" s="219"/>
      <c r="K15" s="18"/>
      <c r="L15" s="219"/>
      <c r="M15" s="18"/>
      <c r="N15" s="219"/>
      <c r="P15" s="87" t="e">
        <f t="shared" si="0"/>
        <v>#DIV/0!</v>
      </c>
      <c r="Q15" s="87" t="e">
        <f t="shared" si="1"/>
        <v>#DIV/0!</v>
      </c>
      <c r="R15" s="87" t="e">
        <f t="shared" si="2"/>
        <v>#DIV/0!</v>
      </c>
      <c r="S15" s="87" t="e">
        <f t="shared" si="3"/>
        <v>#DIV/0!</v>
      </c>
      <c r="T15" s="87" t="e">
        <f t="shared" si="4"/>
        <v>#DIV/0!</v>
      </c>
      <c r="U15" s="87" t="e">
        <f t="shared" si="5"/>
        <v>#DIV/0!</v>
      </c>
    </row>
    <row r="16" spans="1:23" ht="40.15" customHeight="1" x14ac:dyDescent="0.2">
      <c r="B16" s="17" t="s">
        <v>10</v>
      </c>
      <c r="C16" s="18">
        <v>5</v>
      </c>
      <c r="D16" s="219">
        <v>5</v>
      </c>
      <c r="E16" s="18">
        <v>4</v>
      </c>
      <c r="F16" s="219">
        <v>4</v>
      </c>
      <c r="G16" s="18">
        <v>5</v>
      </c>
      <c r="H16" s="219">
        <v>4</v>
      </c>
      <c r="I16" s="18">
        <v>4</v>
      </c>
      <c r="J16" s="219">
        <v>4</v>
      </c>
      <c r="K16" s="18">
        <v>5</v>
      </c>
      <c r="L16" s="219">
        <v>4</v>
      </c>
      <c r="M16" s="18">
        <v>4</v>
      </c>
      <c r="N16" s="219">
        <v>4</v>
      </c>
      <c r="P16" s="87">
        <f t="shared" si="0"/>
        <v>5</v>
      </c>
      <c r="Q16" s="87">
        <f t="shared" si="1"/>
        <v>4</v>
      </c>
      <c r="R16" s="87">
        <f t="shared" si="2"/>
        <v>4.5</v>
      </c>
      <c r="S16" s="87">
        <f t="shared" si="3"/>
        <v>4</v>
      </c>
      <c r="T16" s="87">
        <f t="shared" si="4"/>
        <v>4.5</v>
      </c>
      <c r="U16" s="87">
        <f t="shared" si="5"/>
        <v>4</v>
      </c>
    </row>
    <row r="17" spans="2:21" ht="40.15" customHeight="1" x14ac:dyDescent="0.2">
      <c r="B17" s="17" t="s">
        <v>11</v>
      </c>
      <c r="C17" s="18">
        <v>7</v>
      </c>
      <c r="D17" s="219">
        <v>6</v>
      </c>
      <c r="E17" s="18">
        <v>7</v>
      </c>
      <c r="F17" s="219">
        <v>6</v>
      </c>
      <c r="G17" s="18">
        <v>7</v>
      </c>
      <c r="H17" s="219">
        <v>7</v>
      </c>
      <c r="I17" s="18">
        <v>7</v>
      </c>
      <c r="J17" s="219">
        <v>6</v>
      </c>
      <c r="K17" s="18">
        <v>7</v>
      </c>
      <c r="L17" s="219">
        <v>7</v>
      </c>
      <c r="M17" s="18">
        <v>6</v>
      </c>
      <c r="N17" s="219">
        <v>5</v>
      </c>
      <c r="P17" s="87">
        <f t="shared" si="0"/>
        <v>6.5</v>
      </c>
      <c r="Q17" s="87">
        <f t="shared" si="1"/>
        <v>6.5</v>
      </c>
      <c r="R17" s="87">
        <f t="shared" si="2"/>
        <v>7</v>
      </c>
      <c r="S17" s="87">
        <f t="shared" si="3"/>
        <v>6.5</v>
      </c>
      <c r="T17" s="87">
        <f t="shared" si="4"/>
        <v>7</v>
      </c>
      <c r="U17" s="87">
        <f t="shared" si="5"/>
        <v>5.5</v>
      </c>
    </row>
    <row r="18" spans="2:21" ht="40.15" hidden="1" customHeight="1" x14ac:dyDescent="0.2">
      <c r="B18" s="19" t="s">
        <v>12</v>
      </c>
      <c r="C18" s="18"/>
      <c r="D18" s="219"/>
      <c r="E18" s="18"/>
      <c r="F18" s="219"/>
      <c r="G18" s="18"/>
      <c r="H18" s="219"/>
      <c r="I18" s="18"/>
      <c r="J18" s="219"/>
      <c r="K18" s="18"/>
      <c r="L18" s="219"/>
      <c r="M18" s="18"/>
      <c r="N18" s="219"/>
      <c r="P18" s="87" t="e">
        <f t="shared" si="0"/>
        <v>#DIV/0!</v>
      </c>
      <c r="Q18" s="87" t="e">
        <f t="shared" si="1"/>
        <v>#DIV/0!</v>
      </c>
      <c r="R18" s="87" t="e">
        <f t="shared" si="2"/>
        <v>#DIV/0!</v>
      </c>
      <c r="S18" s="87" t="e">
        <f t="shared" si="3"/>
        <v>#DIV/0!</v>
      </c>
      <c r="T18" s="87" t="e">
        <f t="shared" si="4"/>
        <v>#DIV/0!</v>
      </c>
      <c r="U18" s="87" t="e">
        <f t="shared" si="5"/>
        <v>#DIV/0!</v>
      </c>
    </row>
    <row r="19" spans="2:21" ht="40.15" hidden="1" customHeight="1" x14ac:dyDescent="0.2">
      <c r="B19" s="19" t="s">
        <v>13</v>
      </c>
      <c r="C19" s="18"/>
      <c r="D19" s="219"/>
      <c r="E19" s="18"/>
      <c r="F19" s="219"/>
      <c r="G19" s="18"/>
      <c r="H19" s="219"/>
      <c r="I19" s="18"/>
      <c r="J19" s="219"/>
      <c r="K19" s="18"/>
      <c r="L19" s="219"/>
      <c r="M19" s="18"/>
      <c r="N19" s="219"/>
      <c r="P19" s="87" t="e">
        <f t="shared" si="0"/>
        <v>#DIV/0!</v>
      </c>
      <c r="Q19" s="87" t="e">
        <f t="shared" si="1"/>
        <v>#DIV/0!</v>
      </c>
      <c r="R19" s="87" t="e">
        <f t="shared" si="2"/>
        <v>#DIV/0!</v>
      </c>
      <c r="S19" s="87" t="e">
        <f t="shared" si="3"/>
        <v>#DIV/0!</v>
      </c>
      <c r="T19" s="87" t="e">
        <f t="shared" si="4"/>
        <v>#DIV/0!</v>
      </c>
      <c r="U19" s="87" t="e">
        <f t="shared" si="5"/>
        <v>#DIV/0!</v>
      </c>
    </row>
    <row r="20" spans="2:21" ht="40.15" customHeight="1" x14ac:dyDescent="0.2">
      <c r="B20" s="17" t="s">
        <v>14</v>
      </c>
      <c r="C20" s="18">
        <v>4</v>
      </c>
      <c r="D20" s="219">
        <v>4</v>
      </c>
      <c r="E20" s="18">
        <v>4</v>
      </c>
      <c r="F20" s="219">
        <v>4</v>
      </c>
      <c r="G20" s="18">
        <v>5</v>
      </c>
      <c r="H20" s="219">
        <v>4</v>
      </c>
      <c r="I20" s="18">
        <v>5</v>
      </c>
      <c r="J20" s="219">
        <v>4</v>
      </c>
      <c r="K20" s="18">
        <v>4</v>
      </c>
      <c r="L20" s="219">
        <v>4</v>
      </c>
      <c r="M20" s="18">
        <v>4</v>
      </c>
      <c r="N20" s="219">
        <v>4</v>
      </c>
      <c r="P20" s="87">
        <f t="shared" si="0"/>
        <v>4</v>
      </c>
      <c r="Q20" s="87">
        <f t="shared" si="1"/>
        <v>4</v>
      </c>
      <c r="R20" s="87">
        <f t="shared" si="2"/>
        <v>4.5</v>
      </c>
      <c r="S20" s="87">
        <f t="shared" si="3"/>
        <v>4.5</v>
      </c>
      <c r="T20" s="87">
        <f t="shared" si="4"/>
        <v>4</v>
      </c>
      <c r="U20" s="87">
        <f t="shared" si="5"/>
        <v>4</v>
      </c>
    </row>
    <row r="21" spans="2:21" ht="40.15" customHeight="1" x14ac:dyDescent="0.2">
      <c r="B21" s="17" t="s">
        <v>23</v>
      </c>
      <c r="C21" s="18">
        <v>7</v>
      </c>
      <c r="D21" s="219">
        <v>6</v>
      </c>
      <c r="E21" s="18">
        <v>7</v>
      </c>
      <c r="F21" s="219">
        <v>7</v>
      </c>
      <c r="G21" s="18">
        <v>6</v>
      </c>
      <c r="H21" s="219">
        <v>6</v>
      </c>
      <c r="I21" s="18">
        <v>6</v>
      </c>
      <c r="J21" s="219">
        <v>7</v>
      </c>
      <c r="K21" s="18">
        <v>6</v>
      </c>
      <c r="L21" s="219">
        <v>7</v>
      </c>
      <c r="M21" s="18">
        <v>6</v>
      </c>
      <c r="N21" s="219">
        <v>6</v>
      </c>
      <c r="P21" s="87">
        <f t="shared" si="0"/>
        <v>6.5</v>
      </c>
      <c r="Q21" s="87">
        <f t="shared" si="1"/>
        <v>7</v>
      </c>
      <c r="R21" s="87">
        <f t="shared" si="2"/>
        <v>6</v>
      </c>
      <c r="S21" s="87">
        <f t="shared" si="3"/>
        <v>6.5</v>
      </c>
      <c r="T21" s="87">
        <f t="shared" si="4"/>
        <v>6.5</v>
      </c>
      <c r="U21" s="87">
        <f t="shared" si="5"/>
        <v>6</v>
      </c>
    </row>
    <row r="22" spans="2:21" x14ac:dyDescent="0.25">
      <c r="K22" s="218"/>
      <c r="L22" s="218"/>
      <c r="M22" s="218"/>
      <c r="N22" s="218"/>
    </row>
    <row r="23" spans="2:21" x14ac:dyDescent="0.25">
      <c r="K23" s="207"/>
      <c r="L23" s="207"/>
      <c r="M23" s="207"/>
      <c r="N23" s="207"/>
    </row>
    <row r="24" spans="2:21" x14ac:dyDescent="0.25">
      <c r="K24" s="207"/>
      <c r="L24" s="207"/>
      <c r="M24" s="207"/>
      <c r="N24" s="207"/>
    </row>
    <row r="25" spans="2:21" x14ac:dyDescent="0.25">
      <c r="K25" s="207"/>
      <c r="L25" s="207"/>
      <c r="M25" s="207"/>
      <c r="N25" s="207"/>
    </row>
    <row r="26" spans="2:21" x14ac:dyDescent="0.25">
      <c r="K26" s="207"/>
      <c r="L26" s="207"/>
      <c r="M26" s="207"/>
      <c r="N26" s="207"/>
    </row>
    <row r="27" spans="2:21" x14ac:dyDescent="0.25">
      <c r="K27" s="207"/>
      <c r="L27" s="207"/>
      <c r="M27" s="207"/>
      <c r="N27" s="207"/>
    </row>
    <row r="28" spans="2:21" x14ac:dyDescent="0.25">
      <c r="K28" s="207"/>
      <c r="L28" s="207"/>
      <c r="M28" s="207"/>
      <c r="N28" s="207"/>
    </row>
    <row r="29" spans="2:21" x14ac:dyDescent="0.25">
      <c r="K29" s="207"/>
      <c r="L29" s="207"/>
      <c r="M29" s="207"/>
      <c r="N29" s="207"/>
    </row>
    <row r="30" spans="2:21" x14ac:dyDescent="0.25">
      <c r="K30" s="207"/>
      <c r="L30" s="207"/>
      <c r="M30" s="207"/>
      <c r="N30" s="207"/>
    </row>
    <row r="31" spans="2:21" x14ac:dyDescent="0.25">
      <c r="K31" s="207"/>
      <c r="L31" s="207"/>
      <c r="M31" s="207"/>
      <c r="N31" s="207"/>
    </row>
    <row r="32" spans="2:21" x14ac:dyDescent="0.25">
      <c r="K32" s="207"/>
      <c r="L32" s="207"/>
      <c r="M32" s="207"/>
      <c r="N32" s="207"/>
    </row>
    <row r="33" spans="11:14" x14ac:dyDescent="0.25">
      <c r="K33" s="207"/>
      <c r="L33" s="207"/>
      <c r="M33" s="207"/>
      <c r="N33" s="207"/>
    </row>
    <row r="34" spans="11:14" x14ac:dyDescent="0.25">
      <c r="K34" s="207"/>
      <c r="L34" s="207"/>
      <c r="M34" s="207"/>
      <c r="N34" s="207"/>
    </row>
    <row r="35" spans="11:14" x14ac:dyDescent="0.25">
      <c r="K35" s="207"/>
      <c r="L35" s="207"/>
      <c r="M35" s="207"/>
      <c r="N35" s="207"/>
    </row>
    <row r="36" spans="11:14" x14ac:dyDescent="0.25">
      <c r="K36" s="207"/>
      <c r="L36" s="207"/>
      <c r="M36" s="207"/>
      <c r="N36" s="207"/>
    </row>
    <row r="37" spans="11:14" x14ac:dyDescent="0.25">
      <c r="K37" s="207"/>
      <c r="L37" s="207"/>
      <c r="M37" s="207"/>
      <c r="N37" s="207"/>
    </row>
    <row r="38" spans="11:14" x14ac:dyDescent="0.25">
      <c r="K38" s="207"/>
      <c r="L38" s="207"/>
      <c r="M38" s="207"/>
      <c r="N38" s="207"/>
    </row>
    <row r="39" spans="11:14" x14ac:dyDescent="0.25">
      <c r="K39" s="207"/>
      <c r="L39" s="207"/>
      <c r="M39" s="207"/>
      <c r="N39" s="207"/>
    </row>
    <row r="40" spans="11:14" x14ac:dyDescent="0.25">
      <c r="K40" s="207"/>
      <c r="L40" s="207"/>
      <c r="M40" s="207"/>
      <c r="N40" s="207"/>
    </row>
    <row r="41" spans="11:14" x14ac:dyDescent="0.25">
      <c r="K41" s="207"/>
      <c r="L41" s="207"/>
      <c r="M41" s="207"/>
      <c r="N41" s="207"/>
    </row>
    <row r="42" spans="11:14" x14ac:dyDescent="0.25">
      <c r="K42" s="207"/>
      <c r="L42" s="207"/>
      <c r="M42" s="207"/>
      <c r="N42" s="207"/>
    </row>
    <row r="43" spans="11:14" x14ac:dyDescent="0.25">
      <c r="K43" s="207"/>
      <c r="L43" s="207"/>
      <c r="M43" s="207"/>
      <c r="N43" s="207"/>
    </row>
    <row r="44" spans="11:14" x14ac:dyDescent="0.25">
      <c r="K44" s="207"/>
      <c r="L44" s="207"/>
      <c r="M44" s="207"/>
      <c r="N44" s="207"/>
    </row>
    <row r="45" spans="11:14" x14ac:dyDescent="0.25">
      <c r="K45" s="207"/>
      <c r="L45" s="207"/>
      <c r="M45" s="207"/>
      <c r="N45" s="207"/>
    </row>
    <row r="46" spans="11:14" x14ac:dyDescent="0.25">
      <c r="K46" s="207"/>
      <c r="L46" s="207"/>
      <c r="M46" s="207"/>
      <c r="N46" s="207"/>
    </row>
    <row r="47" spans="11:14" x14ac:dyDescent="0.25">
      <c r="K47" s="207"/>
      <c r="L47" s="207"/>
      <c r="M47" s="207"/>
      <c r="N47" s="207"/>
    </row>
    <row r="48" spans="11:14" x14ac:dyDescent="0.25">
      <c r="K48" s="207"/>
      <c r="L48" s="207"/>
      <c r="M48" s="207"/>
      <c r="N48" s="207"/>
    </row>
    <row r="49" spans="11:14" x14ac:dyDescent="0.25">
      <c r="K49" s="207"/>
      <c r="L49" s="207"/>
      <c r="M49" s="207"/>
      <c r="N49" s="207"/>
    </row>
    <row r="50" spans="11:14" x14ac:dyDescent="0.25">
      <c r="K50" s="207"/>
      <c r="L50" s="207"/>
      <c r="M50" s="207"/>
      <c r="N50" s="207"/>
    </row>
    <row r="51" spans="11:14" x14ac:dyDescent="0.25">
      <c r="K51" s="207"/>
      <c r="L51" s="207"/>
      <c r="M51" s="207"/>
      <c r="N51" s="207"/>
    </row>
    <row r="52" spans="11:14" x14ac:dyDescent="0.25">
      <c r="K52" s="207"/>
      <c r="L52" s="207"/>
      <c r="M52" s="207"/>
      <c r="N52" s="207"/>
    </row>
    <row r="53" spans="11:14" x14ac:dyDescent="0.25">
      <c r="K53" s="207"/>
      <c r="L53" s="207"/>
      <c r="M53" s="207"/>
      <c r="N53" s="207"/>
    </row>
    <row r="54" spans="11:14" x14ac:dyDescent="0.25">
      <c r="K54" s="207"/>
      <c r="L54" s="207"/>
      <c r="M54" s="207"/>
      <c r="N54" s="207"/>
    </row>
    <row r="55" spans="11:14" x14ac:dyDescent="0.25">
      <c r="K55" s="207"/>
      <c r="L55" s="207"/>
      <c r="M55" s="207"/>
      <c r="N55" s="207"/>
    </row>
    <row r="56" spans="11:14" x14ac:dyDescent="0.25">
      <c r="K56" s="207"/>
      <c r="L56" s="207"/>
      <c r="M56" s="207"/>
      <c r="N56" s="207"/>
    </row>
    <row r="57" spans="11:14" x14ac:dyDescent="0.25">
      <c r="K57" s="207"/>
      <c r="L57" s="207"/>
      <c r="M57" s="207"/>
      <c r="N57" s="207"/>
    </row>
    <row r="58" spans="11:14" x14ac:dyDescent="0.25">
      <c r="K58" s="207"/>
      <c r="L58" s="207"/>
      <c r="M58" s="207"/>
      <c r="N58" s="207"/>
    </row>
    <row r="59" spans="11:14" x14ac:dyDescent="0.25">
      <c r="K59" s="207"/>
      <c r="L59" s="207"/>
      <c r="M59" s="207"/>
      <c r="N59" s="207"/>
    </row>
    <row r="60" spans="11:14" x14ac:dyDescent="0.25">
      <c r="K60" s="207"/>
      <c r="L60" s="207"/>
      <c r="M60" s="207"/>
      <c r="N60" s="207"/>
    </row>
    <row r="61" spans="11:14" x14ac:dyDescent="0.25">
      <c r="K61" s="207"/>
      <c r="L61" s="207"/>
      <c r="M61" s="207"/>
      <c r="N61" s="207"/>
    </row>
    <row r="62" spans="11:14" x14ac:dyDescent="0.25">
      <c r="K62" s="207"/>
      <c r="L62" s="207"/>
      <c r="M62" s="207"/>
      <c r="N62" s="207"/>
    </row>
    <row r="63" spans="11:14" x14ac:dyDescent="0.25">
      <c r="K63" s="207"/>
      <c r="L63" s="207"/>
      <c r="M63" s="207"/>
      <c r="N63" s="207"/>
    </row>
    <row r="64" spans="11:14" x14ac:dyDescent="0.25">
      <c r="K64" s="207"/>
      <c r="L64" s="207"/>
      <c r="M64" s="207"/>
      <c r="N64" s="207"/>
    </row>
    <row r="65" spans="11:14" x14ac:dyDescent="0.25">
      <c r="K65" s="207"/>
      <c r="L65" s="207"/>
      <c r="M65" s="207"/>
      <c r="N65" s="207"/>
    </row>
    <row r="66" spans="11:14" x14ac:dyDescent="0.25">
      <c r="K66" s="207"/>
      <c r="L66" s="207"/>
      <c r="M66" s="207"/>
      <c r="N66" s="207"/>
    </row>
    <row r="67" spans="11:14" x14ac:dyDescent="0.25">
      <c r="K67" s="207"/>
      <c r="L67" s="207"/>
      <c r="M67" s="207"/>
      <c r="N67" s="207"/>
    </row>
    <row r="68" spans="11:14" x14ac:dyDescent="0.25">
      <c r="K68" s="207"/>
      <c r="L68" s="207"/>
      <c r="M68" s="207"/>
      <c r="N68" s="207"/>
    </row>
    <row r="69" spans="11:14" x14ac:dyDescent="0.25">
      <c r="K69" s="207"/>
      <c r="L69" s="207"/>
      <c r="M69" s="207"/>
      <c r="N69" s="207"/>
    </row>
    <row r="70" spans="11:14" x14ac:dyDescent="0.25">
      <c r="K70" s="207"/>
      <c r="L70" s="207"/>
      <c r="M70" s="207"/>
      <c r="N70" s="207"/>
    </row>
    <row r="71" spans="11:14" x14ac:dyDescent="0.25">
      <c r="K71" s="207"/>
      <c r="L71" s="207"/>
      <c r="M71" s="207"/>
      <c r="N71" s="207"/>
    </row>
    <row r="72" spans="11:14" x14ac:dyDescent="0.25">
      <c r="K72" s="207"/>
      <c r="L72" s="207"/>
      <c r="M72" s="207"/>
      <c r="N72" s="207"/>
    </row>
    <row r="73" spans="11:14" x14ac:dyDescent="0.25">
      <c r="K73" s="207"/>
      <c r="L73" s="207"/>
      <c r="M73" s="207"/>
      <c r="N73" s="207"/>
    </row>
    <row r="74" spans="11:14" x14ac:dyDescent="0.25">
      <c r="K74" s="207"/>
      <c r="L74" s="207"/>
      <c r="M74" s="207"/>
      <c r="N74" s="207"/>
    </row>
    <row r="75" spans="11:14" x14ac:dyDescent="0.25">
      <c r="K75" s="207"/>
      <c r="L75" s="207"/>
      <c r="M75" s="207"/>
      <c r="N75" s="207"/>
    </row>
    <row r="76" spans="11:14" x14ac:dyDescent="0.25">
      <c r="K76" s="207"/>
      <c r="L76" s="207"/>
      <c r="M76" s="207"/>
      <c r="N76" s="207"/>
    </row>
  </sheetData>
  <pageMargins left="0.25" right="0.25" top="0.5" bottom="1" header="0.3" footer="0.53"/>
  <pageSetup scale="85" orientation="landscape" r:id="rId1"/>
  <headerFooter>
    <oddFooter>&amp;R&amp;Z&amp;F
&amp;P of &amp;N
smm</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95E2E-9750-4005-9E69-B9C766F5F6D3}">
  <sheetPr>
    <pageSetUpPr fitToPage="1"/>
  </sheetPr>
  <dimension ref="A1:W76"/>
  <sheetViews>
    <sheetView zoomScale="70" zoomScaleNormal="70" zoomScaleSheetLayoutView="70" workbookViewId="0">
      <selection activeCell="C21" sqref="C21:H21"/>
    </sheetView>
  </sheetViews>
  <sheetFormatPr defaultColWidth="8.85546875" defaultRowHeight="15" x14ac:dyDescent="0.25"/>
  <cols>
    <col min="1" max="1" width="7.42578125" style="87" customWidth="1"/>
    <col min="2" max="2" width="8.140625" style="6" customWidth="1"/>
    <col min="3" max="6" width="11.7109375" style="6" customWidth="1"/>
    <col min="7" max="14" width="11.7109375" style="87" customWidth="1"/>
    <col min="15" max="32" width="9.7109375" style="87" customWidth="1"/>
    <col min="33" max="34" width="8.7109375" style="87" customWidth="1"/>
    <col min="35" max="16384" width="8.85546875" style="87"/>
  </cols>
  <sheetData>
    <row r="1" spans="1:23" ht="18" x14ac:dyDescent="0.25">
      <c r="A1" s="2">
        <v>2014</v>
      </c>
      <c r="B1" s="3" t="s">
        <v>29</v>
      </c>
      <c r="C1" s="4"/>
      <c r="D1" s="4"/>
      <c r="E1" s="4"/>
      <c r="F1" s="4"/>
      <c r="G1" s="4"/>
      <c r="H1" s="4"/>
      <c r="I1" s="4"/>
      <c r="J1" s="4"/>
      <c r="K1" s="4"/>
      <c r="L1" s="4"/>
      <c r="M1" s="4"/>
      <c r="N1" s="4"/>
      <c r="O1" s="4"/>
      <c r="P1" s="4"/>
      <c r="Q1" s="4"/>
      <c r="R1" s="4"/>
      <c r="S1" s="4"/>
      <c r="T1" s="4"/>
      <c r="U1" s="4"/>
      <c r="V1" s="4"/>
    </row>
    <row r="2" spans="1:23" ht="18" x14ac:dyDescent="0.25">
      <c r="A2" s="4"/>
      <c r="B2" s="3" t="s">
        <v>20</v>
      </c>
      <c r="E2" s="3" t="s">
        <v>21</v>
      </c>
      <c r="F2" s="3"/>
      <c r="G2" s="4"/>
      <c r="H2" s="4"/>
      <c r="I2" s="4"/>
      <c r="J2" s="4"/>
      <c r="K2" s="4"/>
      <c r="L2" s="4"/>
      <c r="M2" s="4"/>
      <c r="N2" s="4"/>
      <c r="O2" s="4"/>
      <c r="P2" s="4"/>
      <c r="Q2" s="4"/>
      <c r="T2" s="4"/>
      <c r="U2" s="4"/>
      <c r="V2" s="4"/>
      <c r="W2" s="4"/>
    </row>
    <row r="3" spans="1:23" ht="18" x14ac:dyDescent="0.25">
      <c r="B3" s="3"/>
    </row>
    <row r="4" spans="1:23" ht="27" x14ac:dyDescent="0.25">
      <c r="B4" s="217" t="s">
        <v>255</v>
      </c>
      <c r="D4" s="7"/>
      <c r="J4" s="1" t="s">
        <v>30</v>
      </c>
    </row>
    <row r="5" spans="1:23" ht="10.9" customHeight="1" x14ac:dyDescent="0.25">
      <c r="B5" s="3"/>
      <c r="C5" s="3"/>
      <c r="D5" s="7"/>
      <c r="J5" s="11"/>
      <c r="K5" s="11"/>
    </row>
    <row r="6" spans="1:23" ht="17.45" customHeight="1" x14ac:dyDescent="0.25">
      <c r="B6" s="3"/>
      <c r="C6" s="3"/>
      <c r="D6" s="3"/>
      <c r="E6" s="8" t="s">
        <v>32</v>
      </c>
      <c r="F6" s="216">
        <v>41848</v>
      </c>
      <c r="G6" s="10" t="s">
        <v>33</v>
      </c>
      <c r="H6" s="215" t="s">
        <v>257</v>
      </c>
      <c r="I6" s="7"/>
      <c r="J6" s="66"/>
      <c r="K6" s="66"/>
      <c r="L6" s="66"/>
      <c r="M6" s="66"/>
      <c r="O6" s="10"/>
      <c r="R6" s="11"/>
      <c r="S6" s="11"/>
    </row>
    <row r="7" spans="1:23" ht="17.45" customHeight="1" x14ac:dyDescent="0.25">
      <c r="B7" s="3"/>
      <c r="C7" s="3"/>
      <c r="D7" s="3"/>
      <c r="E7" s="7"/>
      <c r="F7" s="87"/>
      <c r="G7" s="10" t="s">
        <v>34</v>
      </c>
      <c r="H7" s="214" t="s">
        <v>253</v>
      </c>
      <c r="I7" s="7"/>
      <c r="J7" s="7"/>
      <c r="K7" s="66"/>
      <c r="L7" s="66"/>
      <c r="M7" s="66"/>
      <c r="N7" s="66"/>
      <c r="P7" s="10"/>
      <c r="S7" s="11"/>
      <c r="T7" s="11"/>
    </row>
    <row r="8" spans="1:23" ht="17.45" customHeight="1" x14ac:dyDescent="0.25">
      <c r="B8" s="3"/>
      <c r="C8" s="3"/>
      <c r="D8" s="3"/>
      <c r="G8" s="7"/>
      <c r="H8" s="7"/>
      <c r="I8" s="7"/>
      <c r="J8" s="7"/>
      <c r="K8" s="66"/>
      <c r="L8" s="66"/>
      <c r="M8" s="66"/>
      <c r="N8" s="66"/>
      <c r="P8" s="10"/>
      <c r="S8" s="11"/>
      <c r="T8" s="11"/>
    </row>
    <row r="9" spans="1:23" ht="25.15" customHeight="1" x14ac:dyDescent="0.25">
      <c r="C9" s="212" t="s">
        <v>24</v>
      </c>
      <c r="D9" s="222"/>
      <c r="E9" s="212" t="s">
        <v>38</v>
      </c>
      <c r="F9" s="222"/>
      <c r="G9" s="212" t="s">
        <v>25</v>
      </c>
      <c r="H9" s="222"/>
      <c r="I9" s="212" t="s">
        <v>26</v>
      </c>
      <c r="J9" s="222"/>
      <c r="K9" s="212" t="s">
        <v>27</v>
      </c>
      <c r="L9" s="222"/>
      <c r="M9" s="212" t="s">
        <v>28</v>
      </c>
      <c r="N9" s="222"/>
    </row>
    <row r="10" spans="1:23" ht="37.15" customHeight="1" thickBot="1" x14ac:dyDescent="0.3">
      <c r="C10" s="211" t="s">
        <v>252</v>
      </c>
      <c r="D10" s="211" t="s">
        <v>252</v>
      </c>
      <c r="E10" s="211" t="s">
        <v>252</v>
      </c>
      <c r="F10" s="211" t="s">
        <v>252</v>
      </c>
      <c r="G10" s="211" t="s">
        <v>252</v>
      </c>
      <c r="H10" s="211" t="s">
        <v>252</v>
      </c>
      <c r="I10" s="211" t="s">
        <v>252</v>
      </c>
      <c r="J10" s="211" t="s">
        <v>252</v>
      </c>
      <c r="K10" s="211" t="s">
        <v>252</v>
      </c>
      <c r="L10" s="211" t="s">
        <v>252</v>
      </c>
      <c r="M10" s="211" t="s">
        <v>252</v>
      </c>
      <c r="N10" s="221" t="s">
        <v>252</v>
      </c>
    </row>
    <row r="11" spans="1:23" ht="40.15" customHeight="1" x14ac:dyDescent="0.2">
      <c r="B11" s="15" t="s">
        <v>5</v>
      </c>
      <c r="C11" s="16">
        <v>2</v>
      </c>
      <c r="D11" s="220">
        <v>2</v>
      </c>
      <c r="E11" s="16">
        <v>2</v>
      </c>
      <c r="F11" s="220">
        <v>2</v>
      </c>
      <c r="G11" s="16">
        <v>2</v>
      </c>
      <c r="H11" s="220">
        <v>2</v>
      </c>
      <c r="I11" s="16">
        <v>2</v>
      </c>
      <c r="J11" s="220">
        <v>2</v>
      </c>
      <c r="K11" s="16">
        <v>2</v>
      </c>
      <c r="L11" s="220">
        <v>2</v>
      </c>
      <c r="M11" s="16">
        <v>2</v>
      </c>
      <c r="N11" s="220">
        <v>2</v>
      </c>
      <c r="P11" s="87">
        <f t="shared" ref="P11:P21" si="0">AVERAGE(C11:D11)</f>
        <v>2</v>
      </c>
      <c r="Q11" s="87">
        <f t="shared" ref="Q11:Q21" si="1">AVERAGE(E11:F11)</f>
        <v>2</v>
      </c>
      <c r="R11" s="87">
        <f t="shared" ref="R11:R21" si="2">AVERAGE(G11:H11)</f>
        <v>2</v>
      </c>
      <c r="S11" s="87">
        <f t="shared" ref="S11:S21" si="3">AVERAGE(I11:J11)</f>
        <v>2</v>
      </c>
      <c r="T11" s="87">
        <f t="shared" ref="T11:T21" si="4">AVERAGE(K11:L11)</f>
        <v>2</v>
      </c>
      <c r="U11" s="87">
        <f t="shared" ref="U11:U21" si="5">AVERAGE(M11:N11)</f>
        <v>2</v>
      </c>
    </row>
    <row r="12" spans="1:23" ht="40.15" customHeight="1" x14ac:dyDescent="0.2">
      <c r="B12" s="17" t="s">
        <v>6</v>
      </c>
      <c r="C12" s="18">
        <v>3</v>
      </c>
      <c r="D12" s="219">
        <v>3</v>
      </c>
      <c r="E12" s="18">
        <v>4</v>
      </c>
      <c r="F12" s="219">
        <v>4</v>
      </c>
      <c r="G12" s="18">
        <v>5</v>
      </c>
      <c r="H12" s="219">
        <v>4</v>
      </c>
      <c r="I12" s="18">
        <v>4</v>
      </c>
      <c r="J12" s="219">
        <v>3</v>
      </c>
      <c r="K12" s="18">
        <v>3</v>
      </c>
      <c r="L12" s="219">
        <v>3</v>
      </c>
      <c r="M12" s="18">
        <v>3</v>
      </c>
      <c r="N12" s="219">
        <v>3</v>
      </c>
      <c r="P12" s="87">
        <f t="shared" si="0"/>
        <v>3</v>
      </c>
      <c r="Q12" s="87">
        <f t="shared" si="1"/>
        <v>4</v>
      </c>
      <c r="R12" s="87">
        <f t="shared" si="2"/>
        <v>4.5</v>
      </c>
      <c r="S12" s="87">
        <f t="shared" si="3"/>
        <v>3.5</v>
      </c>
      <c r="T12" s="87">
        <f t="shared" si="4"/>
        <v>3</v>
      </c>
      <c r="U12" s="87">
        <f t="shared" si="5"/>
        <v>3</v>
      </c>
    </row>
    <row r="13" spans="1:23" ht="40.15" customHeight="1" x14ac:dyDescent="0.2">
      <c r="B13" s="17" t="s">
        <v>7</v>
      </c>
      <c r="C13" s="18">
        <v>6</v>
      </c>
      <c r="D13" s="219">
        <v>6</v>
      </c>
      <c r="E13" s="18">
        <v>6</v>
      </c>
      <c r="F13" s="219">
        <v>5</v>
      </c>
      <c r="G13" s="18">
        <v>6</v>
      </c>
      <c r="H13" s="219">
        <v>6</v>
      </c>
      <c r="I13" s="18">
        <v>5</v>
      </c>
      <c r="J13" s="219">
        <v>5</v>
      </c>
      <c r="K13" s="18">
        <v>3</v>
      </c>
      <c r="L13" s="219">
        <v>4</v>
      </c>
      <c r="M13" s="18">
        <v>4</v>
      </c>
      <c r="N13" s="219">
        <v>3</v>
      </c>
      <c r="P13" s="87">
        <f t="shared" si="0"/>
        <v>6</v>
      </c>
      <c r="Q13" s="87">
        <f t="shared" si="1"/>
        <v>5.5</v>
      </c>
      <c r="R13" s="87">
        <f t="shared" si="2"/>
        <v>6</v>
      </c>
      <c r="S13" s="87">
        <f t="shared" si="3"/>
        <v>5</v>
      </c>
      <c r="T13" s="87">
        <f t="shared" si="4"/>
        <v>3.5</v>
      </c>
      <c r="U13" s="87">
        <f t="shared" si="5"/>
        <v>3.5</v>
      </c>
    </row>
    <row r="14" spans="1:23" ht="40.15" hidden="1" customHeight="1" x14ac:dyDescent="0.2">
      <c r="B14" s="19" t="s">
        <v>8</v>
      </c>
      <c r="C14" s="18"/>
      <c r="D14" s="219"/>
      <c r="E14" s="18"/>
      <c r="F14" s="219"/>
      <c r="G14" s="18"/>
      <c r="H14" s="219"/>
      <c r="I14" s="18"/>
      <c r="J14" s="219"/>
      <c r="K14" s="18"/>
      <c r="L14" s="219"/>
      <c r="M14" s="18"/>
      <c r="N14" s="219"/>
      <c r="P14" s="87" t="e">
        <f t="shared" si="0"/>
        <v>#DIV/0!</v>
      </c>
      <c r="Q14" s="87" t="e">
        <f t="shared" si="1"/>
        <v>#DIV/0!</v>
      </c>
      <c r="R14" s="87" t="e">
        <f t="shared" si="2"/>
        <v>#DIV/0!</v>
      </c>
      <c r="S14" s="87" t="e">
        <f t="shared" si="3"/>
        <v>#DIV/0!</v>
      </c>
      <c r="T14" s="87" t="e">
        <f t="shared" si="4"/>
        <v>#DIV/0!</v>
      </c>
      <c r="U14" s="87" t="e">
        <f t="shared" si="5"/>
        <v>#DIV/0!</v>
      </c>
    </row>
    <row r="15" spans="1:23" ht="40.15" hidden="1" customHeight="1" x14ac:dyDescent="0.2">
      <c r="B15" s="19" t="s">
        <v>9</v>
      </c>
      <c r="C15" s="18"/>
      <c r="D15" s="219"/>
      <c r="E15" s="18"/>
      <c r="F15" s="219"/>
      <c r="G15" s="18"/>
      <c r="H15" s="219"/>
      <c r="I15" s="18"/>
      <c r="J15" s="219"/>
      <c r="K15" s="18"/>
      <c r="L15" s="219"/>
      <c r="M15" s="18"/>
      <c r="N15" s="219"/>
      <c r="P15" s="87" t="e">
        <f t="shared" si="0"/>
        <v>#DIV/0!</v>
      </c>
      <c r="Q15" s="87" t="e">
        <f t="shared" si="1"/>
        <v>#DIV/0!</v>
      </c>
      <c r="R15" s="87" t="e">
        <f t="shared" si="2"/>
        <v>#DIV/0!</v>
      </c>
      <c r="S15" s="87" t="e">
        <f t="shared" si="3"/>
        <v>#DIV/0!</v>
      </c>
      <c r="T15" s="87" t="e">
        <f t="shared" si="4"/>
        <v>#DIV/0!</v>
      </c>
      <c r="U15" s="87" t="e">
        <f t="shared" si="5"/>
        <v>#DIV/0!</v>
      </c>
    </row>
    <row r="16" spans="1:23" ht="40.15" customHeight="1" x14ac:dyDescent="0.2">
      <c r="B16" s="17" t="s">
        <v>10</v>
      </c>
      <c r="C16" s="18">
        <v>2</v>
      </c>
      <c r="D16" s="219">
        <v>2</v>
      </c>
      <c r="E16" s="18">
        <v>2</v>
      </c>
      <c r="F16" s="219">
        <v>2</v>
      </c>
      <c r="G16" s="18">
        <v>2</v>
      </c>
      <c r="H16" s="219">
        <v>2</v>
      </c>
      <c r="I16" s="18">
        <v>3</v>
      </c>
      <c r="J16" s="219">
        <v>2</v>
      </c>
      <c r="K16" s="18">
        <v>2</v>
      </c>
      <c r="L16" s="219">
        <v>3</v>
      </c>
      <c r="M16" s="18">
        <v>2</v>
      </c>
      <c r="N16" s="219">
        <v>2</v>
      </c>
      <c r="P16" s="87">
        <f t="shared" si="0"/>
        <v>2</v>
      </c>
      <c r="Q16" s="87">
        <f t="shared" si="1"/>
        <v>2</v>
      </c>
      <c r="R16" s="87">
        <f t="shared" si="2"/>
        <v>2</v>
      </c>
      <c r="S16" s="87">
        <f t="shared" si="3"/>
        <v>2.5</v>
      </c>
      <c r="T16" s="87">
        <f t="shared" si="4"/>
        <v>2.5</v>
      </c>
      <c r="U16" s="87">
        <f t="shared" si="5"/>
        <v>2</v>
      </c>
    </row>
    <row r="17" spans="2:21" ht="40.15" customHeight="1" x14ac:dyDescent="0.2">
      <c r="B17" s="17" t="s">
        <v>11</v>
      </c>
      <c r="C17" s="18">
        <v>5</v>
      </c>
      <c r="D17" s="219">
        <v>5</v>
      </c>
      <c r="E17" s="18">
        <v>6</v>
      </c>
      <c r="F17" s="219">
        <v>6</v>
      </c>
      <c r="G17" s="18">
        <v>6</v>
      </c>
      <c r="H17" s="219">
        <v>5</v>
      </c>
      <c r="I17" s="18">
        <v>5</v>
      </c>
      <c r="J17" s="219">
        <v>5</v>
      </c>
      <c r="K17" s="18">
        <v>4</v>
      </c>
      <c r="L17" s="219">
        <v>4</v>
      </c>
      <c r="M17" s="18">
        <v>3</v>
      </c>
      <c r="N17" s="219">
        <v>3</v>
      </c>
      <c r="P17" s="87">
        <f t="shared" si="0"/>
        <v>5</v>
      </c>
      <c r="Q17" s="87">
        <f t="shared" si="1"/>
        <v>6</v>
      </c>
      <c r="R17" s="87">
        <f t="shared" si="2"/>
        <v>5.5</v>
      </c>
      <c r="S17" s="87">
        <f t="shared" si="3"/>
        <v>5</v>
      </c>
      <c r="T17" s="87">
        <f t="shared" si="4"/>
        <v>4</v>
      </c>
      <c r="U17" s="87">
        <f t="shared" si="5"/>
        <v>3</v>
      </c>
    </row>
    <row r="18" spans="2:21" ht="40.15" hidden="1" customHeight="1" x14ac:dyDescent="0.2">
      <c r="B18" s="19" t="s">
        <v>12</v>
      </c>
      <c r="C18" s="18"/>
      <c r="D18" s="219"/>
      <c r="E18" s="18"/>
      <c r="F18" s="219"/>
      <c r="G18" s="18"/>
      <c r="H18" s="219"/>
      <c r="I18" s="18"/>
      <c r="J18" s="219"/>
      <c r="K18" s="18"/>
      <c r="L18" s="219"/>
      <c r="M18" s="18"/>
      <c r="N18" s="219"/>
      <c r="P18" s="87" t="e">
        <f t="shared" si="0"/>
        <v>#DIV/0!</v>
      </c>
      <c r="Q18" s="87" t="e">
        <f t="shared" si="1"/>
        <v>#DIV/0!</v>
      </c>
      <c r="R18" s="87" t="e">
        <f t="shared" si="2"/>
        <v>#DIV/0!</v>
      </c>
      <c r="S18" s="87" t="e">
        <f t="shared" si="3"/>
        <v>#DIV/0!</v>
      </c>
      <c r="T18" s="87" t="e">
        <f t="shared" si="4"/>
        <v>#DIV/0!</v>
      </c>
      <c r="U18" s="87" t="e">
        <f t="shared" si="5"/>
        <v>#DIV/0!</v>
      </c>
    </row>
    <row r="19" spans="2:21" ht="40.15" hidden="1" customHeight="1" x14ac:dyDescent="0.2">
      <c r="B19" s="19" t="s">
        <v>13</v>
      </c>
      <c r="C19" s="18"/>
      <c r="D19" s="219"/>
      <c r="E19" s="18"/>
      <c r="F19" s="219"/>
      <c r="G19" s="18"/>
      <c r="H19" s="219"/>
      <c r="I19" s="18"/>
      <c r="J19" s="219"/>
      <c r="K19" s="18"/>
      <c r="L19" s="219"/>
      <c r="M19" s="18"/>
      <c r="N19" s="219"/>
      <c r="P19" s="87" t="e">
        <f t="shared" si="0"/>
        <v>#DIV/0!</v>
      </c>
      <c r="Q19" s="87" t="e">
        <f t="shared" si="1"/>
        <v>#DIV/0!</v>
      </c>
      <c r="R19" s="87" t="e">
        <f t="shared" si="2"/>
        <v>#DIV/0!</v>
      </c>
      <c r="S19" s="87" t="e">
        <f t="shared" si="3"/>
        <v>#DIV/0!</v>
      </c>
      <c r="T19" s="87" t="e">
        <f t="shared" si="4"/>
        <v>#DIV/0!</v>
      </c>
      <c r="U19" s="87" t="e">
        <f t="shared" si="5"/>
        <v>#DIV/0!</v>
      </c>
    </row>
    <row r="20" spans="2:21" ht="40.15" customHeight="1" x14ac:dyDescent="0.2">
      <c r="B20" s="17" t="s">
        <v>14</v>
      </c>
      <c r="C20" s="18">
        <v>3</v>
      </c>
      <c r="D20" s="219">
        <v>2</v>
      </c>
      <c r="E20" s="18">
        <v>3</v>
      </c>
      <c r="F20" s="219">
        <v>3</v>
      </c>
      <c r="G20" s="18">
        <v>4</v>
      </c>
      <c r="H20" s="219">
        <v>3</v>
      </c>
      <c r="I20" s="18">
        <v>4</v>
      </c>
      <c r="J20" s="219">
        <v>3</v>
      </c>
      <c r="K20" s="18">
        <v>3</v>
      </c>
      <c r="L20" s="219">
        <v>2</v>
      </c>
      <c r="M20" s="18">
        <v>3</v>
      </c>
      <c r="N20" s="219">
        <v>2</v>
      </c>
      <c r="P20" s="87">
        <f t="shared" si="0"/>
        <v>2.5</v>
      </c>
      <c r="Q20" s="87">
        <f t="shared" si="1"/>
        <v>3</v>
      </c>
      <c r="R20" s="87">
        <f t="shared" si="2"/>
        <v>3.5</v>
      </c>
      <c r="S20" s="87">
        <f t="shared" si="3"/>
        <v>3.5</v>
      </c>
      <c r="T20" s="87">
        <f t="shared" si="4"/>
        <v>2.5</v>
      </c>
      <c r="U20" s="87">
        <f t="shared" si="5"/>
        <v>2.5</v>
      </c>
    </row>
    <row r="21" spans="2:21" ht="40.15" customHeight="1" x14ac:dyDescent="0.2">
      <c r="B21" s="17" t="s">
        <v>23</v>
      </c>
      <c r="C21" s="18">
        <v>4</v>
      </c>
      <c r="D21" s="219">
        <v>5</v>
      </c>
      <c r="E21" s="18">
        <v>5</v>
      </c>
      <c r="F21" s="219">
        <v>5</v>
      </c>
      <c r="G21" s="18">
        <v>5</v>
      </c>
      <c r="H21" s="219">
        <v>6</v>
      </c>
      <c r="I21" s="18">
        <v>5</v>
      </c>
      <c r="J21" s="219">
        <v>4</v>
      </c>
      <c r="K21" s="18">
        <v>4</v>
      </c>
      <c r="L21" s="219">
        <v>4</v>
      </c>
      <c r="M21" s="18">
        <v>4</v>
      </c>
      <c r="N21" s="219">
        <v>3</v>
      </c>
      <c r="P21" s="87">
        <f t="shared" si="0"/>
        <v>4.5</v>
      </c>
      <c r="Q21" s="87">
        <f t="shared" si="1"/>
        <v>5</v>
      </c>
      <c r="R21" s="87">
        <f t="shared" si="2"/>
        <v>5.5</v>
      </c>
      <c r="S21" s="87">
        <f t="shared" si="3"/>
        <v>4.5</v>
      </c>
      <c r="T21" s="87">
        <f t="shared" si="4"/>
        <v>4</v>
      </c>
      <c r="U21" s="87">
        <f t="shared" si="5"/>
        <v>3.5</v>
      </c>
    </row>
    <row r="22" spans="2:21" x14ac:dyDescent="0.25">
      <c r="K22" s="218"/>
      <c r="L22" s="218"/>
      <c r="M22" s="218"/>
      <c r="N22" s="218"/>
    </row>
    <row r="23" spans="2:21" x14ac:dyDescent="0.25">
      <c r="K23" s="207"/>
      <c r="L23" s="207"/>
      <c r="M23" s="207"/>
      <c r="N23" s="207"/>
    </row>
    <row r="24" spans="2:21" x14ac:dyDescent="0.25">
      <c r="K24" s="207"/>
      <c r="L24" s="207"/>
      <c r="M24" s="207"/>
      <c r="N24" s="207"/>
    </row>
    <row r="25" spans="2:21" x14ac:dyDescent="0.25">
      <c r="K25" s="207"/>
      <c r="L25" s="207"/>
      <c r="M25" s="207"/>
      <c r="N25" s="207"/>
    </row>
    <row r="26" spans="2:21" x14ac:dyDescent="0.25">
      <c r="K26" s="207"/>
      <c r="L26" s="207"/>
      <c r="M26" s="207"/>
      <c r="N26" s="207"/>
    </row>
    <row r="27" spans="2:21" x14ac:dyDescent="0.25">
      <c r="K27" s="207"/>
      <c r="L27" s="207"/>
      <c r="M27" s="207"/>
      <c r="N27" s="207"/>
    </row>
    <row r="28" spans="2:21" x14ac:dyDescent="0.25">
      <c r="K28" s="207"/>
      <c r="L28" s="207"/>
      <c r="M28" s="207"/>
      <c r="N28" s="207"/>
    </row>
    <row r="29" spans="2:21" x14ac:dyDescent="0.25">
      <c r="K29" s="207"/>
      <c r="L29" s="207"/>
      <c r="M29" s="207"/>
      <c r="N29" s="207"/>
    </row>
    <row r="30" spans="2:21" x14ac:dyDescent="0.25">
      <c r="K30" s="207"/>
      <c r="L30" s="207"/>
      <c r="M30" s="207"/>
      <c r="N30" s="207"/>
    </row>
    <row r="31" spans="2:21" x14ac:dyDescent="0.25">
      <c r="K31" s="207"/>
      <c r="L31" s="207"/>
      <c r="M31" s="207"/>
      <c r="N31" s="207"/>
    </row>
    <row r="32" spans="2:21" x14ac:dyDescent="0.25">
      <c r="K32" s="207"/>
      <c r="L32" s="207"/>
      <c r="M32" s="207"/>
      <c r="N32" s="207"/>
    </row>
    <row r="33" spans="11:14" x14ac:dyDescent="0.25">
      <c r="K33" s="207"/>
      <c r="L33" s="207"/>
      <c r="M33" s="207"/>
      <c r="N33" s="207"/>
    </row>
    <row r="34" spans="11:14" x14ac:dyDescent="0.25">
      <c r="K34" s="207"/>
      <c r="L34" s="207"/>
      <c r="M34" s="207"/>
      <c r="N34" s="207"/>
    </row>
    <row r="35" spans="11:14" x14ac:dyDescent="0.25">
      <c r="K35" s="207"/>
      <c r="L35" s="207"/>
      <c r="M35" s="207"/>
      <c r="N35" s="207"/>
    </row>
    <row r="36" spans="11:14" x14ac:dyDescent="0.25">
      <c r="K36" s="207"/>
      <c r="L36" s="207"/>
      <c r="M36" s="207"/>
      <c r="N36" s="207"/>
    </row>
    <row r="37" spans="11:14" x14ac:dyDescent="0.25">
      <c r="K37" s="207"/>
      <c r="L37" s="207"/>
      <c r="M37" s="207"/>
      <c r="N37" s="207"/>
    </row>
    <row r="38" spans="11:14" x14ac:dyDescent="0.25">
      <c r="K38" s="207"/>
      <c r="L38" s="207"/>
      <c r="M38" s="207"/>
      <c r="N38" s="207"/>
    </row>
    <row r="39" spans="11:14" x14ac:dyDescent="0.25">
      <c r="K39" s="207"/>
      <c r="L39" s="207"/>
      <c r="M39" s="207"/>
      <c r="N39" s="207"/>
    </row>
    <row r="40" spans="11:14" x14ac:dyDescent="0.25">
      <c r="K40" s="207"/>
      <c r="L40" s="207"/>
      <c r="M40" s="207"/>
      <c r="N40" s="207"/>
    </row>
    <row r="41" spans="11:14" x14ac:dyDescent="0.25">
      <c r="K41" s="207"/>
      <c r="L41" s="207"/>
      <c r="M41" s="207"/>
      <c r="N41" s="207"/>
    </row>
    <row r="42" spans="11:14" x14ac:dyDescent="0.25">
      <c r="K42" s="207"/>
      <c r="L42" s="207"/>
      <c r="M42" s="207"/>
      <c r="N42" s="207"/>
    </row>
    <row r="43" spans="11:14" x14ac:dyDescent="0.25">
      <c r="K43" s="207"/>
      <c r="L43" s="207"/>
      <c r="M43" s="207"/>
      <c r="N43" s="207"/>
    </row>
    <row r="44" spans="11:14" x14ac:dyDescent="0.25">
      <c r="K44" s="207"/>
      <c r="L44" s="207"/>
      <c r="M44" s="207"/>
      <c r="N44" s="207"/>
    </row>
    <row r="45" spans="11:14" x14ac:dyDescent="0.25">
      <c r="K45" s="207"/>
      <c r="L45" s="207"/>
      <c r="M45" s="207"/>
      <c r="N45" s="207"/>
    </row>
    <row r="46" spans="11:14" x14ac:dyDescent="0.25">
      <c r="K46" s="207"/>
      <c r="L46" s="207"/>
      <c r="M46" s="207"/>
      <c r="N46" s="207"/>
    </row>
    <row r="47" spans="11:14" x14ac:dyDescent="0.25">
      <c r="K47" s="207"/>
      <c r="L47" s="207"/>
      <c r="M47" s="207"/>
      <c r="N47" s="207"/>
    </row>
    <row r="48" spans="11:14" x14ac:dyDescent="0.25">
      <c r="K48" s="207"/>
      <c r="L48" s="207"/>
      <c r="M48" s="207"/>
      <c r="N48" s="207"/>
    </row>
    <row r="49" spans="11:14" x14ac:dyDescent="0.25">
      <c r="K49" s="207"/>
      <c r="L49" s="207"/>
      <c r="M49" s="207"/>
      <c r="N49" s="207"/>
    </row>
    <row r="50" spans="11:14" x14ac:dyDescent="0.25">
      <c r="K50" s="207"/>
      <c r="L50" s="207"/>
      <c r="M50" s="207"/>
      <c r="N50" s="207"/>
    </row>
    <row r="51" spans="11:14" x14ac:dyDescent="0.25">
      <c r="K51" s="207"/>
      <c r="L51" s="207"/>
      <c r="M51" s="207"/>
      <c r="N51" s="207"/>
    </row>
    <row r="52" spans="11:14" x14ac:dyDescent="0.25">
      <c r="K52" s="207"/>
      <c r="L52" s="207"/>
      <c r="M52" s="207"/>
      <c r="N52" s="207"/>
    </row>
    <row r="53" spans="11:14" x14ac:dyDescent="0.25">
      <c r="K53" s="207"/>
      <c r="L53" s="207"/>
      <c r="M53" s="207"/>
      <c r="N53" s="207"/>
    </row>
    <row r="54" spans="11:14" x14ac:dyDescent="0.25">
      <c r="K54" s="207"/>
      <c r="L54" s="207"/>
      <c r="M54" s="207"/>
      <c r="N54" s="207"/>
    </row>
    <row r="55" spans="11:14" x14ac:dyDescent="0.25">
      <c r="K55" s="207"/>
      <c r="L55" s="207"/>
      <c r="M55" s="207"/>
      <c r="N55" s="207"/>
    </row>
    <row r="56" spans="11:14" x14ac:dyDescent="0.25">
      <c r="K56" s="207"/>
      <c r="L56" s="207"/>
      <c r="M56" s="207"/>
      <c r="N56" s="207"/>
    </row>
    <row r="57" spans="11:14" x14ac:dyDescent="0.25">
      <c r="K57" s="207"/>
      <c r="L57" s="207"/>
      <c r="M57" s="207"/>
      <c r="N57" s="207"/>
    </row>
    <row r="58" spans="11:14" x14ac:dyDescent="0.25">
      <c r="K58" s="207"/>
      <c r="L58" s="207"/>
      <c r="M58" s="207"/>
      <c r="N58" s="207"/>
    </row>
    <row r="59" spans="11:14" x14ac:dyDescent="0.25">
      <c r="K59" s="207"/>
      <c r="L59" s="207"/>
      <c r="M59" s="207"/>
      <c r="N59" s="207"/>
    </row>
    <row r="60" spans="11:14" x14ac:dyDescent="0.25">
      <c r="K60" s="207"/>
      <c r="L60" s="207"/>
      <c r="M60" s="207"/>
      <c r="N60" s="207"/>
    </row>
    <row r="61" spans="11:14" x14ac:dyDescent="0.25">
      <c r="K61" s="207"/>
      <c r="L61" s="207"/>
      <c r="M61" s="207"/>
      <c r="N61" s="207"/>
    </row>
    <row r="62" spans="11:14" x14ac:dyDescent="0.25">
      <c r="K62" s="207"/>
      <c r="L62" s="207"/>
      <c r="M62" s="207"/>
      <c r="N62" s="207"/>
    </row>
    <row r="63" spans="11:14" x14ac:dyDescent="0.25">
      <c r="K63" s="207"/>
      <c r="L63" s="207"/>
      <c r="M63" s="207"/>
      <c r="N63" s="207"/>
    </row>
    <row r="64" spans="11:14" x14ac:dyDescent="0.25">
      <c r="K64" s="207"/>
      <c r="L64" s="207"/>
      <c r="M64" s="207"/>
      <c r="N64" s="207"/>
    </row>
    <row r="65" spans="11:14" x14ac:dyDescent="0.25">
      <c r="K65" s="207"/>
      <c r="L65" s="207"/>
      <c r="M65" s="207"/>
      <c r="N65" s="207"/>
    </row>
    <row r="66" spans="11:14" x14ac:dyDescent="0.25">
      <c r="K66" s="207"/>
      <c r="L66" s="207"/>
      <c r="M66" s="207"/>
      <c r="N66" s="207"/>
    </row>
    <row r="67" spans="11:14" x14ac:dyDescent="0.25">
      <c r="K67" s="207"/>
      <c r="L67" s="207"/>
      <c r="M67" s="207"/>
      <c r="N67" s="207"/>
    </row>
    <row r="68" spans="11:14" x14ac:dyDescent="0.25">
      <c r="K68" s="207"/>
      <c r="L68" s="207"/>
      <c r="M68" s="207"/>
      <c r="N68" s="207"/>
    </row>
    <row r="69" spans="11:14" x14ac:dyDescent="0.25">
      <c r="K69" s="207"/>
      <c r="L69" s="207"/>
      <c r="M69" s="207"/>
      <c r="N69" s="207"/>
    </row>
    <row r="70" spans="11:14" x14ac:dyDescent="0.25">
      <c r="K70" s="207"/>
      <c r="L70" s="207"/>
      <c r="M70" s="207"/>
      <c r="N70" s="207"/>
    </row>
    <row r="71" spans="11:14" x14ac:dyDescent="0.25">
      <c r="K71" s="207"/>
      <c r="L71" s="207"/>
      <c r="M71" s="207"/>
      <c r="N71" s="207"/>
    </row>
    <row r="72" spans="11:14" x14ac:dyDescent="0.25">
      <c r="K72" s="207"/>
      <c r="L72" s="207"/>
      <c r="M72" s="207"/>
      <c r="N72" s="207"/>
    </row>
    <row r="73" spans="11:14" x14ac:dyDescent="0.25">
      <c r="K73" s="207"/>
      <c r="L73" s="207"/>
      <c r="M73" s="207"/>
      <c r="N73" s="207"/>
    </row>
    <row r="74" spans="11:14" x14ac:dyDescent="0.25">
      <c r="K74" s="207"/>
      <c r="L74" s="207"/>
      <c r="M74" s="207"/>
      <c r="N74" s="207"/>
    </row>
    <row r="75" spans="11:14" x14ac:dyDescent="0.25">
      <c r="K75" s="207"/>
      <c r="L75" s="207"/>
      <c r="M75" s="207"/>
      <c r="N75" s="207"/>
    </row>
    <row r="76" spans="11:14" x14ac:dyDescent="0.25">
      <c r="K76" s="207"/>
      <c r="L76" s="207"/>
      <c r="M76" s="207"/>
      <c r="N76" s="207"/>
    </row>
  </sheetData>
  <pageMargins left="0.25" right="0.25" top="0.5" bottom="1" header="0.3" footer="0.53"/>
  <pageSetup scale="85" orientation="landscape" r:id="rId1"/>
  <headerFooter>
    <oddFooter>&amp;R&amp;Z&amp;F
&amp;P of &amp;N
smm</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7CC73-257B-4845-AD0D-29354C27DAF3}">
  <sheetPr>
    <pageSetUpPr fitToPage="1"/>
  </sheetPr>
  <dimension ref="A1:W76"/>
  <sheetViews>
    <sheetView zoomScale="70" zoomScaleNormal="70" zoomScaleSheetLayoutView="70" workbookViewId="0">
      <selection activeCell="C21" sqref="C21:H21"/>
    </sheetView>
  </sheetViews>
  <sheetFormatPr defaultColWidth="8.85546875" defaultRowHeight="15" x14ac:dyDescent="0.25"/>
  <cols>
    <col min="1" max="1" width="7.42578125" style="87" customWidth="1"/>
    <col min="2" max="2" width="8.140625" style="6" customWidth="1"/>
    <col min="3" max="6" width="11.7109375" style="6" customWidth="1"/>
    <col min="7" max="14" width="11.7109375" style="87" customWidth="1"/>
    <col min="15" max="32" width="9.7109375" style="87" customWidth="1"/>
    <col min="33" max="34" width="8.7109375" style="87" customWidth="1"/>
    <col min="35" max="16384" width="8.85546875" style="87"/>
  </cols>
  <sheetData>
    <row r="1" spans="1:23" ht="18" x14ac:dyDescent="0.25">
      <c r="A1" s="2">
        <v>2014</v>
      </c>
      <c r="B1" s="3" t="s">
        <v>29</v>
      </c>
      <c r="C1" s="4"/>
      <c r="D1" s="4"/>
      <c r="E1" s="4"/>
      <c r="F1" s="4"/>
      <c r="G1" s="4"/>
      <c r="H1" s="4"/>
      <c r="I1" s="4"/>
      <c r="J1" s="4"/>
      <c r="K1" s="4"/>
      <c r="L1" s="4"/>
      <c r="M1" s="4"/>
      <c r="N1" s="4"/>
      <c r="O1" s="4"/>
      <c r="P1" s="4"/>
      <c r="Q1" s="4"/>
      <c r="R1" s="4"/>
      <c r="S1" s="4"/>
      <c r="T1" s="4"/>
      <c r="U1" s="4"/>
      <c r="V1" s="4"/>
    </row>
    <row r="2" spans="1:23" ht="18" x14ac:dyDescent="0.25">
      <c r="A2" s="4"/>
      <c r="B2" s="3" t="s">
        <v>20</v>
      </c>
      <c r="E2" s="3" t="s">
        <v>21</v>
      </c>
      <c r="F2" s="3"/>
      <c r="G2" s="4"/>
      <c r="H2" s="4"/>
      <c r="I2" s="4"/>
      <c r="J2" s="4"/>
      <c r="K2" s="4"/>
      <c r="L2" s="4"/>
      <c r="M2" s="4"/>
      <c r="N2" s="4"/>
      <c r="O2" s="4"/>
      <c r="P2" s="4"/>
      <c r="Q2" s="4"/>
      <c r="T2" s="4"/>
      <c r="U2" s="4"/>
      <c r="V2" s="4"/>
      <c r="W2" s="4"/>
    </row>
    <row r="3" spans="1:23" ht="18" x14ac:dyDescent="0.25">
      <c r="B3" s="3"/>
    </row>
    <row r="4" spans="1:23" ht="27" x14ac:dyDescent="0.25">
      <c r="B4" s="217" t="s">
        <v>255</v>
      </c>
      <c r="D4" s="7"/>
      <c r="J4" s="1" t="s">
        <v>30</v>
      </c>
    </row>
    <row r="5" spans="1:23" ht="10.9" customHeight="1" x14ac:dyDescent="0.25">
      <c r="B5" s="3"/>
      <c r="C5" s="3"/>
      <c r="D5" s="7"/>
      <c r="J5" s="11"/>
      <c r="K5" s="11"/>
    </row>
    <row r="6" spans="1:23" ht="17.45" customHeight="1" x14ac:dyDescent="0.25">
      <c r="B6" s="3"/>
      <c r="C6" s="3"/>
      <c r="D6" s="3"/>
      <c r="E6" s="8" t="s">
        <v>32</v>
      </c>
      <c r="F6" s="216">
        <v>41855</v>
      </c>
      <c r="G6" s="10" t="s">
        <v>33</v>
      </c>
      <c r="H6" s="215" t="s">
        <v>258</v>
      </c>
      <c r="I6" s="7"/>
      <c r="J6" s="66"/>
      <c r="K6" s="66"/>
      <c r="L6" s="66"/>
      <c r="M6" s="66"/>
      <c r="O6" s="10"/>
      <c r="R6" s="11"/>
      <c r="S6" s="11"/>
    </row>
    <row r="7" spans="1:23" ht="17.45" customHeight="1" x14ac:dyDescent="0.25">
      <c r="B7" s="3"/>
      <c r="C7" s="3"/>
      <c r="D7" s="3"/>
      <c r="E7" s="7"/>
      <c r="F7" s="87"/>
      <c r="G7" s="10" t="s">
        <v>34</v>
      </c>
      <c r="H7" s="214" t="s">
        <v>253</v>
      </c>
      <c r="I7" s="7"/>
      <c r="J7" s="7"/>
      <c r="K7" s="66"/>
      <c r="L7" s="66"/>
      <c r="M7" s="66"/>
      <c r="N7" s="66"/>
      <c r="P7" s="10"/>
      <c r="S7" s="11"/>
      <c r="T7" s="11"/>
    </row>
    <row r="8" spans="1:23" ht="17.45" customHeight="1" x14ac:dyDescent="0.25">
      <c r="B8" s="3"/>
      <c r="C8" s="3"/>
      <c r="D8" s="3"/>
      <c r="G8" s="7"/>
      <c r="H8" s="7"/>
      <c r="I8" s="7"/>
      <c r="J8" s="7"/>
      <c r="K8" s="66"/>
      <c r="L8" s="66"/>
      <c r="M8" s="66"/>
      <c r="N8" s="66"/>
      <c r="P8" s="10"/>
      <c r="S8" s="11"/>
      <c r="T8" s="11"/>
    </row>
    <row r="9" spans="1:23" ht="25.15" customHeight="1" x14ac:dyDescent="0.25">
      <c r="C9" s="212" t="s">
        <v>24</v>
      </c>
      <c r="D9" s="222"/>
      <c r="E9" s="212" t="s">
        <v>38</v>
      </c>
      <c r="F9" s="222"/>
      <c r="G9" s="212" t="s">
        <v>25</v>
      </c>
      <c r="H9" s="222"/>
      <c r="I9" s="212" t="s">
        <v>26</v>
      </c>
      <c r="J9" s="222"/>
      <c r="K9" s="212" t="s">
        <v>27</v>
      </c>
      <c r="L9" s="222"/>
      <c r="M9" s="212" t="s">
        <v>28</v>
      </c>
      <c r="N9" s="222"/>
    </row>
    <row r="10" spans="1:23" ht="37.15" customHeight="1" thickBot="1" x14ac:dyDescent="0.3">
      <c r="C10" s="211" t="s">
        <v>252</v>
      </c>
      <c r="D10" s="211" t="s">
        <v>252</v>
      </c>
      <c r="E10" s="211" t="s">
        <v>252</v>
      </c>
      <c r="F10" s="211" t="s">
        <v>252</v>
      </c>
      <c r="G10" s="211" t="s">
        <v>252</v>
      </c>
      <c r="H10" s="211" t="s">
        <v>252</v>
      </c>
      <c r="I10" s="211" t="s">
        <v>252</v>
      </c>
      <c r="J10" s="211" t="s">
        <v>252</v>
      </c>
      <c r="K10" s="211" t="s">
        <v>252</v>
      </c>
      <c r="L10" s="211" t="s">
        <v>252</v>
      </c>
      <c r="M10" s="211" t="s">
        <v>252</v>
      </c>
      <c r="N10" s="221" t="s">
        <v>252</v>
      </c>
    </row>
    <row r="11" spans="1:23" ht="40.15" customHeight="1" x14ac:dyDescent="0.2">
      <c r="B11" s="15" t="s">
        <v>5</v>
      </c>
      <c r="C11" s="16">
        <v>2</v>
      </c>
      <c r="D11" s="220">
        <v>1</v>
      </c>
      <c r="E11" s="16">
        <v>1</v>
      </c>
      <c r="F11" s="220">
        <v>2</v>
      </c>
      <c r="G11" s="16">
        <v>1</v>
      </c>
      <c r="H11" s="220">
        <v>1</v>
      </c>
      <c r="I11" s="16">
        <v>2</v>
      </c>
      <c r="J11" s="220">
        <v>1</v>
      </c>
      <c r="K11" s="16">
        <v>2</v>
      </c>
      <c r="L11" s="220">
        <v>1</v>
      </c>
      <c r="M11" s="16">
        <v>1</v>
      </c>
      <c r="N11" s="220">
        <v>1</v>
      </c>
      <c r="P11" s="87">
        <f t="shared" ref="P11:P21" si="0">AVERAGE(C11:D11)</f>
        <v>1.5</v>
      </c>
      <c r="Q11" s="87">
        <f t="shared" ref="Q11:Q21" si="1">AVERAGE(E11:F11)</f>
        <v>1.5</v>
      </c>
      <c r="R11" s="87">
        <f t="shared" ref="R11:R21" si="2">AVERAGE(G11:H11)</f>
        <v>1</v>
      </c>
      <c r="S11" s="87">
        <f t="shared" ref="S11:S21" si="3">AVERAGE(I11:J11)</f>
        <v>1.5</v>
      </c>
      <c r="T11" s="87">
        <f t="shared" ref="T11:T21" si="4">AVERAGE(K11:L11)</f>
        <v>1.5</v>
      </c>
      <c r="U11" s="87">
        <f t="shared" ref="U11:U21" si="5">AVERAGE(M11:N11)</f>
        <v>1</v>
      </c>
    </row>
    <row r="12" spans="1:23" ht="40.15" customHeight="1" x14ac:dyDescent="0.2">
      <c r="B12" s="17" t="s">
        <v>6</v>
      </c>
      <c r="C12" s="18">
        <v>2</v>
      </c>
      <c r="D12" s="219">
        <v>3</v>
      </c>
      <c r="E12" s="18">
        <v>3</v>
      </c>
      <c r="F12" s="219">
        <v>2</v>
      </c>
      <c r="G12" s="18">
        <v>3</v>
      </c>
      <c r="H12" s="219">
        <v>2</v>
      </c>
      <c r="I12" s="18">
        <v>2</v>
      </c>
      <c r="J12" s="219">
        <v>2</v>
      </c>
      <c r="K12" s="18">
        <v>2</v>
      </c>
      <c r="L12" s="219">
        <v>1</v>
      </c>
      <c r="M12" s="18">
        <v>2</v>
      </c>
      <c r="N12" s="219">
        <v>2</v>
      </c>
      <c r="P12" s="87">
        <f t="shared" si="0"/>
        <v>2.5</v>
      </c>
      <c r="Q12" s="87">
        <f t="shared" si="1"/>
        <v>2.5</v>
      </c>
      <c r="R12" s="87">
        <f t="shared" si="2"/>
        <v>2.5</v>
      </c>
      <c r="S12" s="87">
        <f t="shared" si="3"/>
        <v>2</v>
      </c>
      <c r="T12" s="87">
        <f t="shared" si="4"/>
        <v>1.5</v>
      </c>
      <c r="U12" s="87">
        <f t="shared" si="5"/>
        <v>2</v>
      </c>
    </row>
    <row r="13" spans="1:23" ht="40.15" customHeight="1" x14ac:dyDescent="0.2">
      <c r="B13" s="17" t="s">
        <v>7</v>
      </c>
      <c r="C13" s="18">
        <v>3</v>
      </c>
      <c r="D13" s="219">
        <v>5</v>
      </c>
      <c r="E13" s="18">
        <v>4</v>
      </c>
      <c r="F13" s="219">
        <v>3</v>
      </c>
      <c r="G13" s="18">
        <v>4</v>
      </c>
      <c r="H13" s="219">
        <v>4</v>
      </c>
      <c r="I13" s="18">
        <v>3</v>
      </c>
      <c r="J13" s="219">
        <v>3</v>
      </c>
      <c r="K13" s="18">
        <v>3</v>
      </c>
      <c r="L13" s="219">
        <v>3</v>
      </c>
      <c r="M13" s="18">
        <v>2</v>
      </c>
      <c r="N13" s="219">
        <v>2</v>
      </c>
      <c r="P13" s="87">
        <f t="shared" si="0"/>
        <v>4</v>
      </c>
      <c r="Q13" s="87">
        <f t="shared" si="1"/>
        <v>3.5</v>
      </c>
      <c r="R13" s="87">
        <f t="shared" si="2"/>
        <v>4</v>
      </c>
      <c r="S13" s="87">
        <f t="shared" si="3"/>
        <v>3</v>
      </c>
      <c r="T13" s="87">
        <f t="shared" si="4"/>
        <v>3</v>
      </c>
      <c r="U13" s="87">
        <f t="shared" si="5"/>
        <v>2</v>
      </c>
    </row>
    <row r="14" spans="1:23" ht="40.15" hidden="1" customHeight="1" x14ac:dyDescent="0.2">
      <c r="B14" s="19" t="s">
        <v>8</v>
      </c>
      <c r="C14" s="18"/>
      <c r="D14" s="219"/>
      <c r="E14" s="18"/>
      <c r="F14" s="219"/>
      <c r="G14" s="18"/>
      <c r="H14" s="219"/>
      <c r="I14" s="18"/>
      <c r="J14" s="219"/>
      <c r="K14" s="18"/>
      <c r="L14" s="219"/>
      <c r="M14" s="18"/>
      <c r="N14" s="219"/>
      <c r="P14" s="87" t="e">
        <f t="shared" si="0"/>
        <v>#DIV/0!</v>
      </c>
      <c r="Q14" s="87" t="e">
        <f t="shared" si="1"/>
        <v>#DIV/0!</v>
      </c>
      <c r="R14" s="87" t="e">
        <f t="shared" si="2"/>
        <v>#DIV/0!</v>
      </c>
      <c r="S14" s="87" t="e">
        <f t="shared" si="3"/>
        <v>#DIV/0!</v>
      </c>
      <c r="T14" s="87" t="e">
        <f t="shared" si="4"/>
        <v>#DIV/0!</v>
      </c>
      <c r="U14" s="87" t="e">
        <f t="shared" si="5"/>
        <v>#DIV/0!</v>
      </c>
    </row>
    <row r="15" spans="1:23" ht="40.15" hidden="1" customHeight="1" x14ac:dyDescent="0.2">
      <c r="B15" s="19" t="s">
        <v>9</v>
      </c>
      <c r="C15" s="18"/>
      <c r="D15" s="219"/>
      <c r="E15" s="18"/>
      <c r="F15" s="219"/>
      <c r="G15" s="18"/>
      <c r="H15" s="219"/>
      <c r="I15" s="18"/>
      <c r="J15" s="219"/>
      <c r="K15" s="18"/>
      <c r="L15" s="219"/>
      <c r="M15" s="18"/>
      <c r="N15" s="219"/>
      <c r="P15" s="87" t="e">
        <f t="shared" si="0"/>
        <v>#DIV/0!</v>
      </c>
      <c r="Q15" s="87" t="e">
        <f t="shared" si="1"/>
        <v>#DIV/0!</v>
      </c>
      <c r="R15" s="87" t="e">
        <f t="shared" si="2"/>
        <v>#DIV/0!</v>
      </c>
      <c r="S15" s="87" t="e">
        <f t="shared" si="3"/>
        <v>#DIV/0!</v>
      </c>
      <c r="T15" s="87" t="e">
        <f t="shared" si="4"/>
        <v>#DIV/0!</v>
      </c>
      <c r="U15" s="87" t="e">
        <f t="shared" si="5"/>
        <v>#DIV/0!</v>
      </c>
    </row>
    <row r="16" spans="1:23" ht="40.15" customHeight="1" x14ac:dyDescent="0.2">
      <c r="B16" s="17" t="s">
        <v>10</v>
      </c>
      <c r="C16" s="18">
        <v>2</v>
      </c>
      <c r="D16" s="219">
        <v>1</v>
      </c>
      <c r="E16" s="18">
        <v>2</v>
      </c>
      <c r="F16" s="219">
        <v>1</v>
      </c>
      <c r="G16" s="18">
        <v>2</v>
      </c>
      <c r="H16" s="219">
        <v>2</v>
      </c>
      <c r="I16" s="18">
        <v>2</v>
      </c>
      <c r="J16" s="219">
        <v>2</v>
      </c>
      <c r="K16" s="18">
        <v>2</v>
      </c>
      <c r="L16" s="219">
        <v>2</v>
      </c>
      <c r="M16" s="18">
        <v>2</v>
      </c>
      <c r="N16" s="219">
        <v>2</v>
      </c>
      <c r="P16" s="87">
        <f t="shared" si="0"/>
        <v>1.5</v>
      </c>
      <c r="Q16" s="87">
        <f t="shared" si="1"/>
        <v>1.5</v>
      </c>
      <c r="R16" s="87">
        <f t="shared" si="2"/>
        <v>2</v>
      </c>
      <c r="S16" s="87">
        <f t="shared" si="3"/>
        <v>2</v>
      </c>
      <c r="T16" s="87">
        <f t="shared" si="4"/>
        <v>2</v>
      </c>
      <c r="U16" s="87">
        <f t="shared" si="5"/>
        <v>2</v>
      </c>
    </row>
    <row r="17" spans="2:21" ht="40.15" customHeight="1" x14ac:dyDescent="0.2">
      <c r="B17" s="17" t="s">
        <v>11</v>
      </c>
      <c r="C17" s="18">
        <v>3</v>
      </c>
      <c r="D17" s="219">
        <v>2</v>
      </c>
      <c r="E17" s="18">
        <v>4</v>
      </c>
      <c r="F17" s="219">
        <v>3</v>
      </c>
      <c r="G17" s="18">
        <v>5</v>
      </c>
      <c r="H17" s="219">
        <v>4</v>
      </c>
      <c r="I17" s="18">
        <v>4</v>
      </c>
      <c r="J17" s="219">
        <v>4</v>
      </c>
      <c r="K17" s="18">
        <v>3</v>
      </c>
      <c r="L17" s="219">
        <v>3</v>
      </c>
      <c r="M17" s="18">
        <v>3</v>
      </c>
      <c r="N17" s="219">
        <v>2</v>
      </c>
      <c r="P17" s="87">
        <f t="shared" si="0"/>
        <v>2.5</v>
      </c>
      <c r="Q17" s="87">
        <f t="shared" si="1"/>
        <v>3.5</v>
      </c>
      <c r="R17" s="87">
        <f t="shared" si="2"/>
        <v>4.5</v>
      </c>
      <c r="S17" s="87">
        <f t="shared" si="3"/>
        <v>4</v>
      </c>
      <c r="T17" s="87">
        <f t="shared" si="4"/>
        <v>3</v>
      </c>
      <c r="U17" s="87">
        <f t="shared" si="5"/>
        <v>2.5</v>
      </c>
    </row>
    <row r="18" spans="2:21" ht="40.15" hidden="1" customHeight="1" x14ac:dyDescent="0.2">
      <c r="B18" s="19" t="s">
        <v>12</v>
      </c>
      <c r="C18" s="18"/>
      <c r="D18" s="219"/>
      <c r="E18" s="18"/>
      <c r="F18" s="219"/>
      <c r="G18" s="18"/>
      <c r="H18" s="219"/>
      <c r="I18" s="18"/>
      <c r="J18" s="219"/>
      <c r="K18" s="18"/>
      <c r="L18" s="219"/>
      <c r="M18" s="18"/>
      <c r="N18" s="219"/>
      <c r="P18" s="87" t="e">
        <f t="shared" si="0"/>
        <v>#DIV/0!</v>
      </c>
      <c r="Q18" s="87" t="e">
        <f t="shared" si="1"/>
        <v>#DIV/0!</v>
      </c>
      <c r="R18" s="87" t="e">
        <f t="shared" si="2"/>
        <v>#DIV/0!</v>
      </c>
      <c r="S18" s="87" t="e">
        <f t="shared" si="3"/>
        <v>#DIV/0!</v>
      </c>
      <c r="T18" s="87" t="e">
        <f t="shared" si="4"/>
        <v>#DIV/0!</v>
      </c>
      <c r="U18" s="87" t="e">
        <f t="shared" si="5"/>
        <v>#DIV/0!</v>
      </c>
    </row>
    <row r="19" spans="2:21" ht="40.15" hidden="1" customHeight="1" x14ac:dyDescent="0.2">
      <c r="B19" s="19" t="s">
        <v>13</v>
      </c>
      <c r="C19" s="18"/>
      <c r="D19" s="219"/>
      <c r="E19" s="18"/>
      <c r="F19" s="219"/>
      <c r="G19" s="18"/>
      <c r="H19" s="219"/>
      <c r="I19" s="18"/>
      <c r="J19" s="219"/>
      <c r="K19" s="18"/>
      <c r="L19" s="219"/>
      <c r="M19" s="18"/>
      <c r="N19" s="219"/>
      <c r="P19" s="87" t="e">
        <f t="shared" si="0"/>
        <v>#DIV/0!</v>
      </c>
      <c r="Q19" s="87" t="e">
        <f t="shared" si="1"/>
        <v>#DIV/0!</v>
      </c>
      <c r="R19" s="87" t="e">
        <f t="shared" si="2"/>
        <v>#DIV/0!</v>
      </c>
      <c r="S19" s="87" t="e">
        <f t="shared" si="3"/>
        <v>#DIV/0!</v>
      </c>
      <c r="T19" s="87" t="e">
        <f t="shared" si="4"/>
        <v>#DIV/0!</v>
      </c>
      <c r="U19" s="87" t="e">
        <f t="shared" si="5"/>
        <v>#DIV/0!</v>
      </c>
    </row>
    <row r="20" spans="2:21" ht="40.15" customHeight="1" x14ac:dyDescent="0.2">
      <c r="B20" s="17" t="s">
        <v>14</v>
      </c>
      <c r="C20" s="18">
        <v>2</v>
      </c>
      <c r="D20" s="219">
        <v>3</v>
      </c>
      <c r="E20" s="18">
        <v>2</v>
      </c>
      <c r="F20" s="219">
        <v>2</v>
      </c>
      <c r="G20" s="18">
        <v>2</v>
      </c>
      <c r="H20" s="219">
        <v>3</v>
      </c>
      <c r="I20" s="18">
        <v>2</v>
      </c>
      <c r="J20" s="219">
        <v>3</v>
      </c>
      <c r="K20" s="18">
        <v>3</v>
      </c>
      <c r="L20" s="219">
        <v>2</v>
      </c>
      <c r="M20" s="18">
        <v>2</v>
      </c>
      <c r="N20" s="219">
        <v>1</v>
      </c>
      <c r="P20" s="87">
        <f t="shared" si="0"/>
        <v>2.5</v>
      </c>
      <c r="Q20" s="87">
        <f t="shared" si="1"/>
        <v>2</v>
      </c>
      <c r="R20" s="87">
        <f t="shared" si="2"/>
        <v>2.5</v>
      </c>
      <c r="S20" s="87">
        <f t="shared" si="3"/>
        <v>2.5</v>
      </c>
      <c r="T20" s="87">
        <f t="shared" si="4"/>
        <v>2.5</v>
      </c>
      <c r="U20" s="87">
        <f t="shared" si="5"/>
        <v>1.5</v>
      </c>
    </row>
    <row r="21" spans="2:21" ht="40.15" customHeight="1" x14ac:dyDescent="0.2">
      <c r="B21" s="17" t="s">
        <v>23</v>
      </c>
      <c r="C21" s="18">
        <v>3</v>
      </c>
      <c r="D21" s="219">
        <v>3</v>
      </c>
      <c r="E21" s="18">
        <v>4</v>
      </c>
      <c r="F21" s="219">
        <v>5</v>
      </c>
      <c r="G21" s="18">
        <v>5</v>
      </c>
      <c r="H21" s="219">
        <v>5</v>
      </c>
      <c r="I21" s="18">
        <v>5</v>
      </c>
      <c r="J21" s="219">
        <v>4</v>
      </c>
      <c r="K21" s="18">
        <v>4</v>
      </c>
      <c r="L21" s="219">
        <v>4</v>
      </c>
      <c r="M21" s="18">
        <v>3</v>
      </c>
      <c r="N21" s="219">
        <v>3</v>
      </c>
      <c r="P21" s="87">
        <f t="shared" si="0"/>
        <v>3</v>
      </c>
      <c r="Q21" s="87">
        <f t="shared" si="1"/>
        <v>4.5</v>
      </c>
      <c r="R21" s="87">
        <f t="shared" si="2"/>
        <v>5</v>
      </c>
      <c r="S21" s="87">
        <f t="shared" si="3"/>
        <v>4.5</v>
      </c>
      <c r="T21" s="87">
        <f t="shared" si="4"/>
        <v>4</v>
      </c>
      <c r="U21" s="87">
        <f t="shared" si="5"/>
        <v>3</v>
      </c>
    </row>
    <row r="22" spans="2:21" x14ac:dyDescent="0.25">
      <c r="K22" s="218"/>
      <c r="L22" s="218"/>
      <c r="M22" s="218"/>
      <c r="N22" s="218"/>
    </row>
    <row r="23" spans="2:21" x14ac:dyDescent="0.25">
      <c r="K23" s="207"/>
      <c r="L23" s="207"/>
      <c r="M23" s="207"/>
      <c r="N23" s="207"/>
    </row>
    <row r="24" spans="2:21" x14ac:dyDescent="0.25">
      <c r="K24" s="207"/>
      <c r="L24" s="207"/>
      <c r="M24" s="207"/>
      <c r="N24" s="207"/>
    </row>
    <row r="25" spans="2:21" x14ac:dyDescent="0.25">
      <c r="K25" s="207"/>
      <c r="L25" s="207"/>
      <c r="M25" s="207"/>
      <c r="N25" s="207"/>
    </row>
    <row r="26" spans="2:21" x14ac:dyDescent="0.25">
      <c r="K26" s="207"/>
      <c r="L26" s="207"/>
      <c r="M26" s="207"/>
      <c r="N26" s="207"/>
    </row>
    <row r="27" spans="2:21" x14ac:dyDescent="0.25">
      <c r="K27" s="207"/>
      <c r="L27" s="207"/>
      <c r="M27" s="207"/>
      <c r="N27" s="207"/>
    </row>
    <row r="28" spans="2:21" x14ac:dyDescent="0.25">
      <c r="K28" s="207"/>
      <c r="L28" s="207"/>
      <c r="M28" s="207"/>
      <c r="N28" s="207"/>
    </row>
    <row r="29" spans="2:21" x14ac:dyDescent="0.25">
      <c r="K29" s="207"/>
      <c r="L29" s="207"/>
      <c r="M29" s="207"/>
      <c r="N29" s="207"/>
    </row>
    <row r="30" spans="2:21" x14ac:dyDescent="0.25">
      <c r="K30" s="207"/>
      <c r="L30" s="207"/>
      <c r="M30" s="207"/>
      <c r="N30" s="207"/>
    </row>
    <row r="31" spans="2:21" x14ac:dyDescent="0.25">
      <c r="K31" s="207"/>
      <c r="L31" s="207"/>
      <c r="M31" s="207"/>
      <c r="N31" s="207"/>
    </row>
    <row r="32" spans="2:21" x14ac:dyDescent="0.25">
      <c r="K32" s="207"/>
      <c r="L32" s="207"/>
      <c r="M32" s="207"/>
      <c r="N32" s="207"/>
    </row>
    <row r="33" spans="11:14" x14ac:dyDescent="0.25">
      <c r="K33" s="207"/>
      <c r="L33" s="207"/>
      <c r="M33" s="207"/>
      <c r="N33" s="207"/>
    </row>
    <row r="34" spans="11:14" x14ac:dyDescent="0.25">
      <c r="K34" s="207"/>
      <c r="L34" s="207"/>
      <c r="M34" s="207"/>
      <c r="N34" s="207"/>
    </row>
    <row r="35" spans="11:14" x14ac:dyDescent="0.25">
      <c r="K35" s="207"/>
      <c r="L35" s="207"/>
      <c r="M35" s="207"/>
      <c r="N35" s="207"/>
    </row>
    <row r="36" spans="11:14" x14ac:dyDescent="0.25">
      <c r="K36" s="207"/>
      <c r="L36" s="207"/>
      <c r="M36" s="207"/>
      <c r="N36" s="207"/>
    </row>
    <row r="37" spans="11:14" x14ac:dyDescent="0.25">
      <c r="K37" s="207"/>
      <c r="L37" s="207"/>
      <c r="M37" s="207"/>
      <c r="N37" s="207"/>
    </row>
    <row r="38" spans="11:14" x14ac:dyDescent="0.25">
      <c r="K38" s="207"/>
      <c r="L38" s="207"/>
      <c r="M38" s="207"/>
      <c r="N38" s="207"/>
    </row>
    <row r="39" spans="11:14" x14ac:dyDescent="0.25">
      <c r="K39" s="207"/>
      <c r="L39" s="207"/>
      <c r="M39" s="207"/>
      <c r="N39" s="207"/>
    </row>
    <row r="40" spans="11:14" x14ac:dyDescent="0.25">
      <c r="K40" s="207"/>
      <c r="L40" s="207"/>
      <c r="M40" s="207"/>
      <c r="N40" s="207"/>
    </row>
    <row r="41" spans="11:14" x14ac:dyDescent="0.25">
      <c r="K41" s="207"/>
      <c r="L41" s="207"/>
      <c r="M41" s="207"/>
      <c r="N41" s="207"/>
    </row>
    <row r="42" spans="11:14" x14ac:dyDescent="0.25">
      <c r="K42" s="207"/>
      <c r="L42" s="207"/>
      <c r="M42" s="207"/>
      <c r="N42" s="207"/>
    </row>
    <row r="43" spans="11:14" x14ac:dyDescent="0.25">
      <c r="K43" s="207"/>
      <c r="L43" s="207"/>
      <c r="M43" s="207"/>
      <c r="N43" s="207"/>
    </row>
    <row r="44" spans="11:14" x14ac:dyDescent="0.25">
      <c r="K44" s="207"/>
      <c r="L44" s="207"/>
      <c r="M44" s="207"/>
      <c r="N44" s="207"/>
    </row>
    <row r="45" spans="11:14" x14ac:dyDescent="0.25">
      <c r="K45" s="207"/>
      <c r="L45" s="207"/>
      <c r="M45" s="207"/>
      <c r="N45" s="207"/>
    </row>
    <row r="46" spans="11:14" x14ac:dyDescent="0.25">
      <c r="K46" s="207"/>
      <c r="L46" s="207"/>
      <c r="M46" s="207"/>
      <c r="N46" s="207"/>
    </row>
    <row r="47" spans="11:14" x14ac:dyDescent="0.25">
      <c r="K47" s="207"/>
      <c r="L47" s="207"/>
      <c r="M47" s="207"/>
      <c r="N47" s="207"/>
    </row>
    <row r="48" spans="11:14" x14ac:dyDescent="0.25">
      <c r="K48" s="207"/>
      <c r="L48" s="207"/>
      <c r="M48" s="207"/>
      <c r="N48" s="207"/>
    </row>
    <row r="49" spans="11:14" x14ac:dyDescent="0.25">
      <c r="K49" s="207"/>
      <c r="L49" s="207"/>
      <c r="M49" s="207"/>
      <c r="N49" s="207"/>
    </row>
    <row r="50" spans="11:14" x14ac:dyDescent="0.25">
      <c r="K50" s="207"/>
      <c r="L50" s="207"/>
      <c r="M50" s="207"/>
      <c r="N50" s="207"/>
    </row>
    <row r="51" spans="11:14" x14ac:dyDescent="0.25">
      <c r="K51" s="207"/>
      <c r="L51" s="207"/>
      <c r="M51" s="207"/>
      <c r="N51" s="207"/>
    </row>
    <row r="52" spans="11:14" x14ac:dyDescent="0.25">
      <c r="K52" s="207"/>
      <c r="L52" s="207"/>
      <c r="M52" s="207"/>
      <c r="N52" s="207"/>
    </row>
    <row r="53" spans="11:14" x14ac:dyDescent="0.25">
      <c r="K53" s="207"/>
      <c r="L53" s="207"/>
      <c r="M53" s="207"/>
      <c r="N53" s="207"/>
    </row>
    <row r="54" spans="11:14" x14ac:dyDescent="0.25">
      <c r="K54" s="207"/>
      <c r="L54" s="207"/>
      <c r="M54" s="207"/>
      <c r="N54" s="207"/>
    </row>
    <row r="55" spans="11:14" x14ac:dyDescent="0.25">
      <c r="K55" s="207"/>
      <c r="L55" s="207"/>
      <c r="M55" s="207"/>
      <c r="N55" s="207"/>
    </row>
    <row r="56" spans="11:14" x14ac:dyDescent="0.25">
      <c r="K56" s="207"/>
      <c r="L56" s="207"/>
      <c r="M56" s="207"/>
      <c r="N56" s="207"/>
    </row>
    <row r="57" spans="11:14" x14ac:dyDescent="0.25">
      <c r="K57" s="207"/>
      <c r="L57" s="207"/>
      <c r="M57" s="207"/>
      <c r="N57" s="207"/>
    </row>
    <row r="58" spans="11:14" x14ac:dyDescent="0.25">
      <c r="K58" s="207"/>
      <c r="L58" s="207"/>
      <c r="M58" s="207"/>
      <c r="N58" s="207"/>
    </row>
    <row r="59" spans="11:14" x14ac:dyDescent="0.25">
      <c r="K59" s="207"/>
      <c r="L59" s="207"/>
      <c r="M59" s="207"/>
      <c r="N59" s="207"/>
    </row>
    <row r="60" spans="11:14" x14ac:dyDescent="0.25">
      <c r="K60" s="207"/>
      <c r="L60" s="207"/>
      <c r="M60" s="207"/>
      <c r="N60" s="207"/>
    </row>
    <row r="61" spans="11:14" x14ac:dyDescent="0.25">
      <c r="K61" s="207"/>
      <c r="L61" s="207"/>
      <c r="M61" s="207"/>
      <c r="N61" s="207"/>
    </row>
    <row r="62" spans="11:14" x14ac:dyDescent="0.25">
      <c r="K62" s="207"/>
      <c r="L62" s="207"/>
      <c r="M62" s="207"/>
      <c r="N62" s="207"/>
    </row>
    <row r="63" spans="11:14" x14ac:dyDescent="0.25">
      <c r="K63" s="207"/>
      <c r="L63" s="207"/>
      <c r="M63" s="207"/>
      <c r="N63" s="207"/>
    </row>
    <row r="64" spans="11:14" x14ac:dyDescent="0.25">
      <c r="K64" s="207"/>
      <c r="L64" s="207"/>
      <c r="M64" s="207"/>
      <c r="N64" s="207"/>
    </row>
    <row r="65" spans="11:14" x14ac:dyDescent="0.25">
      <c r="K65" s="207"/>
      <c r="L65" s="207"/>
      <c r="M65" s="207"/>
      <c r="N65" s="207"/>
    </row>
    <row r="66" spans="11:14" x14ac:dyDescent="0.25">
      <c r="K66" s="207"/>
      <c r="L66" s="207"/>
      <c r="M66" s="207"/>
      <c r="N66" s="207"/>
    </row>
    <row r="67" spans="11:14" x14ac:dyDescent="0.25">
      <c r="K67" s="207"/>
      <c r="L67" s="207"/>
      <c r="M67" s="207"/>
      <c r="N67" s="207"/>
    </row>
    <row r="68" spans="11:14" x14ac:dyDescent="0.25">
      <c r="K68" s="207"/>
      <c r="L68" s="207"/>
      <c r="M68" s="207"/>
      <c r="N68" s="207"/>
    </row>
    <row r="69" spans="11:14" x14ac:dyDescent="0.25">
      <c r="K69" s="207"/>
      <c r="L69" s="207"/>
      <c r="M69" s="207"/>
      <c r="N69" s="207"/>
    </row>
    <row r="70" spans="11:14" x14ac:dyDescent="0.25">
      <c r="K70" s="207"/>
      <c r="L70" s="207"/>
      <c r="M70" s="207"/>
      <c r="N70" s="207"/>
    </row>
    <row r="71" spans="11:14" x14ac:dyDescent="0.25">
      <c r="K71" s="207"/>
      <c r="L71" s="207"/>
      <c r="M71" s="207"/>
      <c r="N71" s="207"/>
    </row>
    <row r="72" spans="11:14" x14ac:dyDescent="0.25">
      <c r="K72" s="207"/>
      <c r="L72" s="207"/>
      <c r="M72" s="207"/>
      <c r="N72" s="207"/>
    </row>
    <row r="73" spans="11:14" x14ac:dyDescent="0.25">
      <c r="K73" s="207"/>
      <c r="L73" s="207"/>
      <c r="M73" s="207"/>
      <c r="N73" s="207"/>
    </row>
    <row r="74" spans="11:14" x14ac:dyDescent="0.25">
      <c r="K74" s="207"/>
      <c r="L74" s="207"/>
      <c r="M74" s="207"/>
      <c r="N74" s="207"/>
    </row>
    <row r="75" spans="11:14" x14ac:dyDescent="0.25">
      <c r="K75" s="207"/>
      <c r="L75" s="207"/>
      <c r="M75" s="207"/>
      <c r="N75" s="207"/>
    </row>
    <row r="76" spans="11:14" x14ac:dyDescent="0.25">
      <c r="K76" s="207"/>
      <c r="L76" s="207"/>
      <c r="M76" s="207"/>
      <c r="N76" s="207"/>
    </row>
  </sheetData>
  <pageMargins left="0.25" right="0.25" top="0.5" bottom="1" header="0.3" footer="0.53"/>
  <pageSetup scale="85" orientation="landscape" r:id="rId1"/>
  <headerFooter>
    <oddFooter>&amp;R&amp;Z&amp;F
&amp;P of &amp;N
smm</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976DB-6E65-483D-9CB3-0F3C89C7703A}">
  <sheetPr>
    <pageSetUpPr fitToPage="1"/>
  </sheetPr>
  <dimension ref="A1:W76"/>
  <sheetViews>
    <sheetView zoomScale="70" zoomScaleNormal="70" zoomScaleSheetLayoutView="70" workbookViewId="0">
      <selection activeCell="C21" sqref="C21:H21"/>
    </sheetView>
  </sheetViews>
  <sheetFormatPr defaultColWidth="8.85546875" defaultRowHeight="15" x14ac:dyDescent="0.25"/>
  <cols>
    <col min="1" max="1" width="7.42578125" style="87" customWidth="1"/>
    <col min="2" max="2" width="8.140625" style="6" customWidth="1"/>
    <col min="3" max="6" width="11.7109375" style="6" customWidth="1"/>
    <col min="7" max="14" width="11.7109375" style="87" customWidth="1"/>
    <col min="15" max="32" width="9.7109375" style="87" customWidth="1"/>
    <col min="33" max="34" width="8.7109375" style="87" customWidth="1"/>
    <col min="35" max="16384" width="8.85546875" style="87"/>
  </cols>
  <sheetData>
    <row r="1" spans="1:23" ht="18" x14ac:dyDescent="0.25">
      <c r="A1" s="2">
        <v>2014</v>
      </c>
      <c r="B1" s="3" t="s">
        <v>29</v>
      </c>
      <c r="C1" s="4"/>
      <c r="D1" s="4"/>
      <c r="E1" s="4"/>
      <c r="F1" s="4"/>
      <c r="G1" s="4"/>
      <c r="H1" s="4"/>
      <c r="I1" s="4"/>
      <c r="J1" s="4"/>
      <c r="K1" s="4"/>
      <c r="L1" s="4"/>
      <c r="M1" s="4"/>
      <c r="N1" s="4"/>
      <c r="O1" s="4"/>
      <c r="P1" s="4"/>
      <c r="Q1" s="4"/>
      <c r="R1" s="4"/>
      <c r="S1" s="4"/>
      <c r="T1" s="4"/>
      <c r="U1" s="4"/>
      <c r="V1" s="4"/>
    </row>
    <row r="2" spans="1:23" ht="18" x14ac:dyDescent="0.25">
      <c r="A2" s="4"/>
      <c r="B2" s="3" t="s">
        <v>20</v>
      </c>
      <c r="E2" s="3" t="s">
        <v>21</v>
      </c>
      <c r="F2" s="3"/>
      <c r="G2" s="4"/>
      <c r="H2" s="4"/>
      <c r="I2" s="4"/>
      <c r="J2" s="4"/>
      <c r="K2" s="4"/>
      <c r="L2" s="4"/>
      <c r="M2" s="4"/>
      <c r="N2" s="4"/>
      <c r="O2" s="4"/>
      <c r="P2" s="4"/>
      <c r="Q2" s="4"/>
      <c r="T2" s="4"/>
      <c r="U2" s="4"/>
      <c r="V2" s="4"/>
      <c r="W2" s="4"/>
    </row>
    <row r="3" spans="1:23" ht="18" x14ac:dyDescent="0.25">
      <c r="B3" s="3"/>
    </row>
    <row r="4" spans="1:23" ht="27" x14ac:dyDescent="0.25">
      <c r="B4" s="217" t="s">
        <v>255</v>
      </c>
      <c r="D4" s="7"/>
      <c r="J4" s="1" t="s">
        <v>30</v>
      </c>
    </row>
    <row r="5" spans="1:23" ht="10.9" customHeight="1" x14ac:dyDescent="0.25">
      <c r="B5" s="3"/>
      <c r="C5" s="3"/>
      <c r="D5" s="7"/>
      <c r="J5" s="11"/>
      <c r="K5" s="11"/>
    </row>
    <row r="6" spans="1:23" ht="17.45" customHeight="1" x14ac:dyDescent="0.25">
      <c r="B6" s="3"/>
      <c r="C6" s="3"/>
      <c r="D6" s="3"/>
      <c r="E6" s="8" t="s">
        <v>32</v>
      </c>
      <c r="F6" s="216">
        <v>41863</v>
      </c>
      <c r="G6" s="10" t="s">
        <v>33</v>
      </c>
      <c r="H6" s="215" t="s">
        <v>261</v>
      </c>
      <c r="I6" s="7"/>
      <c r="J6" s="66"/>
      <c r="K6" s="66"/>
      <c r="L6" s="66"/>
      <c r="M6" s="66"/>
      <c r="O6" s="10"/>
      <c r="R6" s="11"/>
      <c r="S6" s="11"/>
    </row>
    <row r="7" spans="1:23" ht="17.45" customHeight="1" x14ac:dyDescent="0.25">
      <c r="B7" s="3"/>
      <c r="C7" s="3"/>
      <c r="D7" s="3"/>
      <c r="E7" s="7"/>
      <c r="F7" s="87"/>
      <c r="G7" s="10" t="s">
        <v>34</v>
      </c>
      <c r="H7" s="214" t="s">
        <v>260</v>
      </c>
      <c r="I7" s="7"/>
      <c r="J7" s="7"/>
      <c r="K7" s="66"/>
      <c r="L7" s="66"/>
      <c r="M7" s="66"/>
      <c r="N7" s="66"/>
      <c r="P7" s="10"/>
      <c r="S7" s="11"/>
      <c r="T7" s="11"/>
    </row>
    <row r="8" spans="1:23" ht="17.45" customHeight="1" x14ac:dyDescent="0.25">
      <c r="B8" s="3"/>
      <c r="C8" s="224" t="s">
        <v>259</v>
      </c>
      <c r="D8" s="3"/>
      <c r="G8" s="7"/>
      <c r="H8" s="7"/>
      <c r="I8" s="7"/>
      <c r="J8" s="7"/>
      <c r="K8" s="66"/>
      <c r="L8" s="66"/>
      <c r="M8" s="66"/>
      <c r="N8" s="66"/>
      <c r="P8" s="10"/>
      <c r="S8" s="11"/>
      <c r="T8" s="11"/>
    </row>
    <row r="9" spans="1:23" ht="25.15" customHeight="1" x14ac:dyDescent="0.25">
      <c r="C9" s="212" t="s">
        <v>24</v>
      </c>
      <c r="D9" s="222"/>
      <c r="E9" s="212" t="s">
        <v>38</v>
      </c>
      <c r="F9" s="222"/>
      <c r="G9" s="212" t="s">
        <v>25</v>
      </c>
      <c r="H9" s="222"/>
      <c r="I9" s="212" t="s">
        <v>26</v>
      </c>
      <c r="J9" s="222"/>
      <c r="K9" s="212" t="s">
        <v>27</v>
      </c>
      <c r="L9" s="222"/>
      <c r="M9" s="212" t="s">
        <v>28</v>
      </c>
      <c r="N9" s="222"/>
    </row>
    <row r="10" spans="1:23" ht="37.15" customHeight="1" thickBot="1" x14ac:dyDescent="0.3">
      <c r="C10" s="211" t="s">
        <v>252</v>
      </c>
      <c r="D10" s="211" t="s">
        <v>252</v>
      </c>
      <c r="E10" s="211" t="s">
        <v>252</v>
      </c>
      <c r="F10" s="211" t="s">
        <v>252</v>
      </c>
      <c r="G10" s="211" t="s">
        <v>252</v>
      </c>
      <c r="H10" s="211" t="s">
        <v>252</v>
      </c>
      <c r="I10" s="211" t="s">
        <v>252</v>
      </c>
      <c r="J10" s="211" t="s">
        <v>252</v>
      </c>
      <c r="K10" s="211" t="s">
        <v>252</v>
      </c>
      <c r="L10" s="211" t="s">
        <v>252</v>
      </c>
      <c r="M10" s="211" t="s">
        <v>252</v>
      </c>
      <c r="N10" s="221" t="s">
        <v>252</v>
      </c>
    </row>
    <row r="11" spans="1:23" ht="40.15" customHeight="1" x14ac:dyDescent="0.2">
      <c r="B11" s="15" t="s">
        <v>5</v>
      </c>
      <c r="C11" s="223" t="s">
        <v>225</v>
      </c>
      <c r="D11" s="220" t="s">
        <v>225</v>
      </c>
      <c r="E11" s="16" t="s">
        <v>225</v>
      </c>
      <c r="F11" s="220" t="s">
        <v>225</v>
      </c>
      <c r="G11" s="16" t="s">
        <v>225</v>
      </c>
      <c r="H11" s="220" t="s">
        <v>225</v>
      </c>
      <c r="I11" s="16" t="s">
        <v>225</v>
      </c>
      <c r="J11" s="220" t="s">
        <v>225</v>
      </c>
      <c r="K11" s="16" t="s">
        <v>225</v>
      </c>
      <c r="L11" s="220" t="s">
        <v>225</v>
      </c>
      <c r="M11" s="16" t="s">
        <v>225</v>
      </c>
      <c r="N11" s="220" t="s">
        <v>225</v>
      </c>
      <c r="P11" s="87" t="e">
        <f t="shared" ref="P11:P21" si="0">AVERAGE(C11:D11)</f>
        <v>#DIV/0!</v>
      </c>
      <c r="Q11" s="87" t="e">
        <f t="shared" ref="Q11:Q21" si="1">AVERAGE(E11:F11)</f>
        <v>#DIV/0!</v>
      </c>
      <c r="R11" s="87" t="e">
        <f t="shared" ref="R11:R21" si="2">AVERAGE(G11:H11)</f>
        <v>#DIV/0!</v>
      </c>
      <c r="S11" s="87" t="e">
        <f t="shared" ref="S11:S21" si="3">AVERAGE(I11:J11)</f>
        <v>#DIV/0!</v>
      </c>
      <c r="T11" s="87" t="e">
        <f t="shared" ref="T11:T21" si="4">AVERAGE(K11:L11)</f>
        <v>#DIV/0!</v>
      </c>
      <c r="U11" s="87" t="e">
        <f t="shared" ref="U11:U21" si="5">AVERAGE(M11:N11)</f>
        <v>#DIV/0!</v>
      </c>
    </row>
    <row r="12" spans="1:23" ht="40.15" customHeight="1" x14ac:dyDescent="0.2">
      <c r="B12" s="17" t="s">
        <v>6</v>
      </c>
      <c r="C12" s="18" t="s">
        <v>225</v>
      </c>
      <c r="D12" s="219" t="s">
        <v>225</v>
      </c>
      <c r="E12" s="18">
        <v>1</v>
      </c>
      <c r="F12" s="219" t="s">
        <v>225</v>
      </c>
      <c r="G12" s="18" t="s">
        <v>225</v>
      </c>
      <c r="H12" s="219" t="s">
        <v>225</v>
      </c>
      <c r="I12" s="18" t="s">
        <v>225</v>
      </c>
      <c r="J12" s="219" t="s">
        <v>225</v>
      </c>
      <c r="K12" s="18" t="s">
        <v>225</v>
      </c>
      <c r="L12" s="219" t="s">
        <v>225</v>
      </c>
      <c r="M12" s="18" t="s">
        <v>225</v>
      </c>
      <c r="N12" s="219">
        <v>2</v>
      </c>
      <c r="P12" s="87" t="e">
        <f t="shared" si="0"/>
        <v>#DIV/0!</v>
      </c>
      <c r="Q12" s="87">
        <f t="shared" si="1"/>
        <v>1</v>
      </c>
      <c r="R12" s="87" t="e">
        <f t="shared" si="2"/>
        <v>#DIV/0!</v>
      </c>
      <c r="S12" s="87" t="e">
        <f t="shared" si="3"/>
        <v>#DIV/0!</v>
      </c>
      <c r="T12" s="87" t="e">
        <f t="shared" si="4"/>
        <v>#DIV/0!</v>
      </c>
      <c r="U12" s="87">
        <f t="shared" si="5"/>
        <v>2</v>
      </c>
    </row>
    <row r="13" spans="1:23" ht="40.15" customHeight="1" x14ac:dyDescent="0.2">
      <c r="B13" s="17" t="s">
        <v>7</v>
      </c>
      <c r="C13" s="18">
        <v>4</v>
      </c>
      <c r="D13" s="219">
        <v>3</v>
      </c>
      <c r="E13" s="18">
        <v>3</v>
      </c>
      <c r="F13" s="219">
        <v>2</v>
      </c>
      <c r="G13" s="18">
        <v>2</v>
      </c>
      <c r="H13" s="219">
        <v>3</v>
      </c>
      <c r="I13" s="18">
        <v>4</v>
      </c>
      <c r="J13" s="219">
        <v>3</v>
      </c>
      <c r="K13" s="18">
        <v>2</v>
      </c>
      <c r="L13" s="219" t="s">
        <v>225</v>
      </c>
      <c r="M13" s="18">
        <v>1</v>
      </c>
      <c r="N13" s="219" t="s">
        <v>225</v>
      </c>
      <c r="P13" s="87">
        <f t="shared" si="0"/>
        <v>3.5</v>
      </c>
      <c r="Q13" s="87">
        <f t="shared" si="1"/>
        <v>2.5</v>
      </c>
      <c r="R13" s="87">
        <f t="shared" si="2"/>
        <v>2.5</v>
      </c>
      <c r="S13" s="87">
        <f t="shared" si="3"/>
        <v>3.5</v>
      </c>
      <c r="T13" s="87">
        <f t="shared" si="4"/>
        <v>2</v>
      </c>
      <c r="U13" s="87">
        <f t="shared" si="5"/>
        <v>1</v>
      </c>
    </row>
    <row r="14" spans="1:23" ht="40.15" hidden="1" customHeight="1" x14ac:dyDescent="0.2">
      <c r="B14" s="19" t="s">
        <v>8</v>
      </c>
      <c r="C14" s="18"/>
      <c r="D14" s="219"/>
      <c r="E14" s="18"/>
      <c r="F14" s="219"/>
      <c r="G14" s="18"/>
      <c r="H14" s="219"/>
      <c r="I14" s="18"/>
      <c r="J14" s="219"/>
      <c r="K14" s="18"/>
      <c r="L14" s="219"/>
      <c r="M14" s="18"/>
      <c r="N14" s="219"/>
      <c r="P14" s="87" t="e">
        <f t="shared" si="0"/>
        <v>#DIV/0!</v>
      </c>
      <c r="Q14" s="87" t="e">
        <f t="shared" si="1"/>
        <v>#DIV/0!</v>
      </c>
      <c r="R14" s="87" t="e">
        <f t="shared" si="2"/>
        <v>#DIV/0!</v>
      </c>
      <c r="S14" s="87" t="e">
        <f t="shared" si="3"/>
        <v>#DIV/0!</v>
      </c>
      <c r="T14" s="87" t="e">
        <f t="shared" si="4"/>
        <v>#DIV/0!</v>
      </c>
      <c r="U14" s="87" t="e">
        <f t="shared" si="5"/>
        <v>#DIV/0!</v>
      </c>
    </row>
    <row r="15" spans="1:23" ht="40.15" hidden="1" customHeight="1" x14ac:dyDescent="0.2">
      <c r="B15" s="19" t="s">
        <v>9</v>
      </c>
      <c r="C15" s="18"/>
      <c r="D15" s="219"/>
      <c r="E15" s="18"/>
      <c r="F15" s="219"/>
      <c r="G15" s="18"/>
      <c r="H15" s="219"/>
      <c r="I15" s="18"/>
      <c r="J15" s="219"/>
      <c r="K15" s="18"/>
      <c r="L15" s="219"/>
      <c r="M15" s="18"/>
      <c r="N15" s="219"/>
      <c r="P15" s="87" t="e">
        <f t="shared" si="0"/>
        <v>#DIV/0!</v>
      </c>
      <c r="Q15" s="87" t="e">
        <f t="shared" si="1"/>
        <v>#DIV/0!</v>
      </c>
      <c r="R15" s="87" t="e">
        <f t="shared" si="2"/>
        <v>#DIV/0!</v>
      </c>
      <c r="S15" s="87" t="e">
        <f t="shared" si="3"/>
        <v>#DIV/0!</v>
      </c>
      <c r="T15" s="87" t="e">
        <f t="shared" si="4"/>
        <v>#DIV/0!</v>
      </c>
      <c r="U15" s="87" t="e">
        <f t="shared" si="5"/>
        <v>#DIV/0!</v>
      </c>
    </row>
    <row r="16" spans="1:23" ht="40.15" customHeight="1" x14ac:dyDescent="0.2">
      <c r="B16" s="17" t="s">
        <v>10</v>
      </c>
      <c r="C16" s="18" t="s">
        <v>225</v>
      </c>
      <c r="D16" s="219" t="s">
        <v>225</v>
      </c>
      <c r="E16" s="18" t="s">
        <v>225</v>
      </c>
      <c r="F16" s="219" t="s">
        <v>225</v>
      </c>
      <c r="G16" s="18">
        <v>2</v>
      </c>
      <c r="H16" s="219" t="s">
        <v>225</v>
      </c>
      <c r="I16" s="18" t="s">
        <v>225</v>
      </c>
      <c r="J16" s="219" t="s">
        <v>225</v>
      </c>
      <c r="K16" s="18" t="s">
        <v>225</v>
      </c>
      <c r="L16" s="219" t="s">
        <v>225</v>
      </c>
      <c r="M16" s="18" t="s">
        <v>225</v>
      </c>
      <c r="N16" s="219" t="s">
        <v>225</v>
      </c>
      <c r="P16" s="87" t="e">
        <f t="shared" si="0"/>
        <v>#DIV/0!</v>
      </c>
      <c r="Q16" s="87" t="e">
        <f t="shared" si="1"/>
        <v>#DIV/0!</v>
      </c>
      <c r="R16" s="87">
        <f t="shared" si="2"/>
        <v>2</v>
      </c>
      <c r="S16" s="87" t="e">
        <f t="shared" si="3"/>
        <v>#DIV/0!</v>
      </c>
      <c r="T16" s="87" t="e">
        <f t="shared" si="4"/>
        <v>#DIV/0!</v>
      </c>
      <c r="U16" s="87" t="e">
        <f t="shared" si="5"/>
        <v>#DIV/0!</v>
      </c>
    </row>
    <row r="17" spans="2:21" ht="40.15" customHeight="1" x14ac:dyDescent="0.2">
      <c r="B17" s="17" t="s">
        <v>11</v>
      </c>
      <c r="C17" s="18">
        <v>2</v>
      </c>
      <c r="D17" s="219">
        <v>1</v>
      </c>
      <c r="E17" s="18">
        <v>3</v>
      </c>
      <c r="F17" s="219">
        <v>4</v>
      </c>
      <c r="G17" s="18">
        <v>3</v>
      </c>
      <c r="H17" s="219">
        <v>3</v>
      </c>
      <c r="I17" s="18">
        <v>3</v>
      </c>
      <c r="J17" s="219">
        <v>3</v>
      </c>
      <c r="K17" s="18">
        <v>3</v>
      </c>
      <c r="L17" s="219">
        <v>3</v>
      </c>
      <c r="M17" s="18" t="s">
        <v>225</v>
      </c>
      <c r="N17" s="219" t="s">
        <v>225</v>
      </c>
      <c r="P17" s="87">
        <f t="shared" si="0"/>
        <v>1.5</v>
      </c>
      <c r="Q17" s="87">
        <f t="shared" si="1"/>
        <v>3.5</v>
      </c>
      <c r="R17" s="87">
        <f t="shared" si="2"/>
        <v>3</v>
      </c>
      <c r="S17" s="87">
        <f t="shared" si="3"/>
        <v>3</v>
      </c>
      <c r="T17" s="87">
        <f t="shared" si="4"/>
        <v>3</v>
      </c>
      <c r="U17" s="87" t="e">
        <f t="shared" si="5"/>
        <v>#DIV/0!</v>
      </c>
    </row>
    <row r="18" spans="2:21" ht="40.15" hidden="1" customHeight="1" x14ac:dyDescent="0.2">
      <c r="B18" s="19" t="s">
        <v>12</v>
      </c>
      <c r="C18" s="18"/>
      <c r="D18" s="219"/>
      <c r="E18" s="18"/>
      <c r="F18" s="219"/>
      <c r="G18" s="18"/>
      <c r="H18" s="219"/>
      <c r="I18" s="18"/>
      <c r="J18" s="219"/>
      <c r="K18" s="18"/>
      <c r="L18" s="219"/>
      <c r="M18" s="18"/>
      <c r="N18" s="219"/>
      <c r="P18" s="87" t="e">
        <f t="shared" si="0"/>
        <v>#DIV/0!</v>
      </c>
      <c r="Q18" s="87" t="e">
        <f t="shared" si="1"/>
        <v>#DIV/0!</v>
      </c>
      <c r="R18" s="87" t="e">
        <f t="shared" si="2"/>
        <v>#DIV/0!</v>
      </c>
      <c r="S18" s="87" t="e">
        <f t="shared" si="3"/>
        <v>#DIV/0!</v>
      </c>
      <c r="T18" s="87" t="e">
        <f t="shared" si="4"/>
        <v>#DIV/0!</v>
      </c>
      <c r="U18" s="87" t="e">
        <f t="shared" si="5"/>
        <v>#DIV/0!</v>
      </c>
    </row>
    <row r="19" spans="2:21" ht="40.15" hidden="1" customHeight="1" x14ac:dyDescent="0.2">
      <c r="B19" s="19" t="s">
        <v>13</v>
      </c>
      <c r="C19" s="18"/>
      <c r="D19" s="219"/>
      <c r="E19" s="18"/>
      <c r="F19" s="219"/>
      <c r="G19" s="18"/>
      <c r="H19" s="219"/>
      <c r="I19" s="18"/>
      <c r="J19" s="219"/>
      <c r="K19" s="18"/>
      <c r="L19" s="219"/>
      <c r="M19" s="18"/>
      <c r="N19" s="219"/>
      <c r="P19" s="87" t="e">
        <f t="shared" si="0"/>
        <v>#DIV/0!</v>
      </c>
      <c r="Q19" s="87" t="e">
        <f t="shared" si="1"/>
        <v>#DIV/0!</v>
      </c>
      <c r="R19" s="87" t="e">
        <f t="shared" si="2"/>
        <v>#DIV/0!</v>
      </c>
      <c r="S19" s="87" t="e">
        <f t="shared" si="3"/>
        <v>#DIV/0!</v>
      </c>
      <c r="T19" s="87" t="e">
        <f t="shared" si="4"/>
        <v>#DIV/0!</v>
      </c>
      <c r="U19" s="87" t="e">
        <f t="shared" si="5"/>
        <v>#DIV/0!</v>
      </c>
    </row>
    <row r="20" spans="2:21" ht="40.15" customHeight="1" x14ac:dyDescent="0.2">
      <c r="B20" s="17" t="s">
        <v>14</v>
      </c>
      <c r="C20" s="18">
        <v>2</v>
      </c>
      <c r="D20" s="219">
        <v>2</v>
      </c>
      <c r="E20" s="18">
        <v>1</v>
      </c>
      <c r="F20" s="219" t="s">
        <v>225</v>
      </c>
      <c r="G20" s="18">
        <v>3</v>
      </c>
      <c r="H20" s="219">
        <v>2</v>
      </c>
      <c r="I20" s="18">
        <v>2</v>
      </c>
      <c r="J20" s="219" t="s">
        <v>225</v>
      </c>
      <c r="K20" s="18" t="s">
        <v>225</v>
      </c>
      <c r="L20" s="219">
        <v>2</v>
      </c>
      <c r="M20" s="18" t="s">
        <v>225</v>
      </c>
      <c r="N20" s="219">
        <v>2</v>
      </c>
      <c r="P20" s="87">
        <f t="shared" si="0"/>
        <v>2</v>
      </c>
      <c r="Q20" s="87">
        <f t="shared" si="1"/>
        <v>1</v>
      </c>
      <c r="R20" s="87">
        <f t="shared" si="2"/>
        <v>2.5</v>
      </c>
      <c r="S20" s="87">
        <f t="shared" si="3"/>
        <v>2</v>
      </c>
      <c r="T20" s="87">
        <f t="shared" si="4"/>
        <v>2</v>
      </c>
      <c r="U20" s="87">
        <f t="shared" si="5"/>
        <v>2</v>
      </c>
    </row>
    <row r="21" spans="2:21" ht="40.15" customHeight="1" x14ac:dyDescent="0.2">
      <c r="B21" s="17" t="s">
        <v>23</v>
      </c>
      <c r="C21" s="18">
        <v>3</v>
      </c>
      <c r="D21" s="219">
        <v>2</v>
      </c>
      <c r="E21" s="18">
        <v>3</v>
      </c>
      <c r="F21" s="219">
        <v>3</v>
      </c>
      <c r="G21" s="18">
        <v>3</v>
      </c>
      <c r="H21" s="219">
        <v>2</v>
      </c>
      <c r="I21" s="18">
        <v>2</v>
      </c>
      <c r="J21" s="219">
        <v>2</v>
      </c>
      <c r="K21" s="18">
        <v>2</v>
      </c>
      <c r="L21" s="219">
        <v>2</v>
      </c>
      <c r="M21" s="18">
        <v>2</v>
      </c>
      <c r="N21" s="219">
        <v>2</v>
      </c>
      <c r="P21" s="87">
        <f t="shared" si="0"/>
        <v>2.5</v>
      </c>
      <c r="Q21" s="87">
        <f t="shared" si="1"/>
        <v>3</v>
      </c>
      <c r="R21" s="87">
        <f t="shared" si="2"/>
        <v>2.5</v>
      </c>
      <c r="S21" s="87">
        <f t="shared" si="3"/>
        <v>2</v>
      </c>
      <c r="T21" s="87">
        <f t="shared" si="4"/>
        <v>2</v>
      </c>
      <c r="U21" s="87">
        <f t="shared" si="5"/>
        <v>2</v>
      </c>
    </row>
    <row r="22" spans="2:21" x14ac:dyDescent="0.25">
      <c r="K22" s="218"/>
      <c r="L22" s="218"/>
      <c r="M22" s="218"/>
      <c r="N22" s="218"/>
    </row>
    <row r="23" spans="2:21" x14ac:dyDescent="0.25">
      <c r="K23" s="207"/>
      <c r="L23" s="207"/>
      <c r="M23" s="207"/>
      <c r="N23" s="207"/>
    </row>
    <row r="24" spans="2:21" x14ac:dyDescent="0.25">
      <c r="K24" s="207"/>
      <c r="L24" s="207"/>
      <c r="M24" s="207"/>
      <c r="N24" s="207"/>
    </row>
    <row r="25" spans="2:21" x14ac:dyDescent="0.25">
      <c r="K25" s="207"/>
      <c r="L25" s="207"/>
      <c r="M25" s="207"/>
      <c r="N25" s="207"/>
    </row>
    <row r="26" spans="2:21" x14ac:dyDescent="0.25">
      <c r="K26" s="207"/>
      <c r="L26" s="207"/>
      <c r="M26" s="207"/>
      <c r="N26" s="207"/>
    </row>
    <row r="27" spans="2:21" x14ac:dyDescent="0.25">
      <c r="K27" s="207"/>
      <c r="L27" s="207"/>
      <c r="M27" s="207"/>
      <c r="N27" s="207"/>
    </row>
    <row r="28" spans="2:21" x14ac:dyDescent="0.25">
      <c r="K28" s="207"/>
      <c r="L28" s="207"/>
      <c r="M28" s="207"/>
      <c r="N28" s="207"/>
    </row>
    <row r="29" spans="2:21" x14ac:dyDescent="0.25">
      <c r="K29" s="207"/>
      <c r="L29" s="207"/>
      <c r="M29" s="207"/>
      <c r="N29" s="207"/>
    </row>
    <row r="30" spans="2:21" x14ac:dyDescent="0.25">
      <c r="K30" s="207"/>
      <c r="L30" s="207"/>
      <c r="M30" s="207"/>
      <c r="N30" s="207"/>
    </row>
    <row r="31" spans="2:21" x14ac:dyDescent="0.25">
      <c r="K31" s="207"/>
      <c r="L31" s="207"/>
      <c r="M31" s="207"/>
      <c r="N31" s="207"/>
    </row>
    <row r="32" spans="2:21" x14ac:dyDescent="0.25">
      <c r="K32" s="207"/>
      <c r="L32" s="207"/>
      <c r="M32" s="207"/>
      <c r="N32" s="207"/>
    </row>
    <row r="33" spans="11:14" x14ac:dyDescent="0.25">
      <c r="K33" s="207"/>
      <c r="L33" s="207"/>
      <c r="M33" s="207"/>
      <c r="N33" s="207"/>
    </row>
    <row r="34" spans="11:14" x14ac:dyDescent="0.25">
      <c r="K34" s="207"/>
      <c r="L34" s="207"/>
      <c r="M34" s="207"/>
      <c r="N34" s="207"/>
    </row>
    <row r="35" spans="11:14" x14ac:dyDescent="0.25">
      <c r="K35" s="207"/>
      <c r="L35" s="207"/>
      <c r="M35" s="207"/>
      <c r="N35" s="207"/>
    </row>
    <row r="36" spans="11:14" x14ac:dyDescent="0.25">
      <c r="K36" s="207"/>
      <c r="L36" s="207"/>
      <c r="M36" s="207"/>
      <c r="N36" s="207"/>
    </row>
    <row r="37" spans="11:14" x14ac:dyDescent="0.25">
      <c r="K37" s="207"/>
      <c r="L37" s="207"/>
      <c r="M37" s="207"/>
      <c r="N37" s="207"/>
    </row>
    <row r="38" spans="11:14" x14ac:dyDescent="0.25">
      <c r="K38" s="207"/>
      <c r="L38" s="207"/>
      <c r="M38" s="207"/>
      <c r="N38" s="207"/>
    </row>
    <row r="39" spans="11:14" x14ac:dyDescent="0.25">
      <c r="K39" s="207"/>
      <c r="L39" s="207"/>
      <c r="M39" s="207"/>
      <c r="N39" s="207"/>
    </row>
    <row r="40" spans="11:14" x14ac:dyDescent="0.25">
      <c r="K40" s="207"/>
      <c r="L40" s="207"/>
      <c r="M40" s="207"/>
      <c r="N40" s="207"/>
    </row>
    <row r="41" spans="11:14" x14ac:dyDescent="0.25">
      <c r="K41" s="207"/>
      <c r="L41" s="207"/>
      <c r="M41" s="207"/>
      <c r="N41" s="207"/>
    </row>
    <row r="42" spans="11:14" x14ac:dyDescent="0.25">
      <c r="K42" s="207"/>
      <c r="L42" s="207"/>
      <c r="M42" s="207"/>
      <c r="N42" s="207"/>
    </row>
    <row r="43" spans="11:14" x14ac:dyDescent="0.25">
      <c r="K43" s="207"/>
      <c r="L43" s="207"/>
      <c r="M43" s="207"/>
      <c r="N43" s="207"/>
    </row>
    <row r="44" spans="11:14" x14ac:dyDescent="0.25">
      <c r="K44" s="207"/>
      <c r="L44" s="207"/>
      <c r="M44" s="207"/>
      <c r="N44" s="207"/>
    </row>
    <row r="45" spans="11:14" x14ac:dyDescent="0.25">
      <c r="K45" s="207"/>
      <c r="L45" s="207"/>
      <c r="M45" s="207"/>
      <c r="N45" s="207"/>
    </row>
    <row r="46" spans="11:14" x14ac:dyDescent="0.25">
      <c r="K46" s="207"/>
      <c r="L46" s="207"/>
      <c r="M46" s="207"/>
      <c r="N46" s="207"/>
    </row>
    <row r="47" spans="11:14" x14ac:dyDescent="0.25">
      <c r="K47" s="207"/>
      <c r="L47" s="207"/>
      <c r="M47" s="207"/>
      <c r="N47" s="207"/>
    </row>
    <row r="48" spans="11:14" x14ac:dyDescent="0.25">
      <c r="K48" s="207"/>
      <c r="L48" s="207"/>
      <c r="M48" s="207"/>
      <c r="N48" s="207"/>
    </row>
    <row r="49" spans="11:14" x14ac:dyDescent="0.25">
      <c r="K49" s="207"/>
      <c r="L49" s="207"/>
      <c r="M49" s="207"/>
      <c r="N49" s="207"/>
    </row>
    <row r="50" spans="11:14" x14ac:dyDescent="0.25">
      <c r="K50" s="207"/>
      <c r="L50" s="207"/>
      <c r="M50" s="207"/>
      <c r="N50" s="207"/>
    </row>
    <row r="51" spans="11:14" x14ac:dyDescent="0.25">
      <c r="K51" s="207"/>
      <c r="L51" s="207"/>
      <c r="M51" s="207"/>
      <c r="N51" s="207"/>
    </row>
    <row r="52" spans="11:14" x14ac:dyDescent="0.25">
      <c r="K52" s="207"/>
      <c r="L52" s="207"/>
      <c r="M52" s="207"/>
      <c r="N52" s="207"/>
    </row>
    <row r="53" spans="11:14" x14ac:dyDescent="0.25">
      <c r="K53" s="207"/>
      <c r="L53" s="207"/>
      <c r="M53" s="207"/>
      <c r="N53" s="207"/>
    </row>
    <row r="54" spans="11:14" x14ac:dyDescent="0.25">
      <c r="K54" s="207"/>
      <c r="L54" s="207"/>
      <c r="M54" s="207"/>
      <c r="N54" s="207"/>
    </row>
    <row r="55" spans="11:14" x14ac:dyDescent="0.25">
      <c r="K55" s="207"/>
      <c r="L55" s="207"/>
      <c r="M55" s="207"/>
      <c r="N55" s="207"/>
    </row>
    <row r="56" spans="11:14" x14ac:dyDescent="0.25">
      <c r="K56" s="207"/>
      <c r="L56" s="207"/>
      <c r="M56" s="207"/>
      <c r="N56" s="207"/>
    </row>
    <row r="57" spans="11:14" x14ac:dyDescent="0.25">
      <c r="K57" s="207"/>
      <c r="L57" s="207"/>
      <c r="M57" s="207"/>
      <c r="N57" s="207"/>
    </row>
    <row r="58" spans="11:14" x14ac:dyDescent="0.25">
      <c r="K58" s="207"/>
      <c r="L58" s="207"/>
      <c r="M58" s="207"/>
      <c r="N58" s="207"/>
    </row>
    <row r="59" spans="11:14" x14ac:dyDescent="0.25">
      <c r="K59" s="207"/>
      <c r="L59" s="207"/>
      <c r="M59" s="207"/>
      <c r="N59" s="207"/>
    </row>
    <row r="60" spans="11:14" x14ac:dyDescent="0.25">
      <c r="K60" s="207"/>
      <c r="L60" s="207"/>
      <c r="M60" s="207"/>
      <c r="N60" s="207"/>
    </row>
    <row r="61" spans="11:14" x14ac:dyDescent="0.25">
      <c r="K61" s="207"/>
      <c r="L61" s="207"/>
      <c r="M61" s="207"/>
      <c r="N61" s="207"/>
    </row>
    <row r="62" spans="11:14" x14ac:dyDescent="0.25">
      <c r="K62" s="207"/>
      <c r="L62" s="207"/>
      <c r="M62" s="207"/>
      <c r="N62" s="207"/>
    </row>
    <row r="63" spans="11:14" x14ac:dyDescent="0.25">
      <c r="K63" s="207"/>
      <c r="L63" s="207"/>
      <c r="M63" s="207"/>
      <c r="N63" s="207"/>
    </row>
    <row r="64" spans="11:14" x14ac:dyDescent="0.25">
      <c r="K64" s="207"/>
      <c r="L64" s="207"/>
      <c r="M64" s="207"/>
      <c r="N64" s="207"/>
    </row>
    <row r="65" spans="11:14" x14ac:dyDescent="0.25">
      <c r="K65" s="207"/>
      <c r="L65" s="207"/>
      <c r="M65" s="207"/>
      <c r="N65" s="207"/>
    </row>
    <row r="66" spans="11:14" x14ac:dyDescent="0.25">
      <c r="K66" s="207"/>
      <c r="L66" s="207"/>
      <c r="M66" s="207"/>
      <c r="N66" s="207"/>
    </row>
    <row r="67" spans="11:14" x14ac:dyDescent="0.25">
      <c r="K67" s="207"/>
      <c r="L67" s="207"/>
      <c r="M67" s="207"/>
      <c r="N67" s="207"/>
    </row>
    <row r="68" spans="11:14" x14ac:dyDescent="0.25">
      <c r="K68" s="207"/>
      <c r="L68" s="207"/>
      <c r="M68" s="207"/>
      <c r="N68" s="207"/>
    </row>
    <row r="69" spans="11:14" x14ac:dyDescent="0.25">
      <c r="K69" s="207"/>
      <c r="L69" s="207"/>
      <c r="M69" s="207"/>
      <c r="N69" s="207"/>
    </row>
    <row r="70" spans="11:14" x14ac:dyDescent="0.25">
      <c r="K70" s="207"/>
      <c r="L70" s="207"/>
      <c r="M70" s="207"/>
      <c r="N70" s="207"/>
    </row>
    <row r="71" spans="11:14" x14ac:dyDescent="0.25">
      <c r="K71" s="207"/>
      <c r="L71" s="207"/>
      <c r="M71" s="207"/>
      <c r="N71" s="207"/>
    </row>
    <row r="72" spans="11:14" x14ac:dyDescent="0.25">
      <c r="K72" s="207"/>
      <c r="L72" s="207"/>
      <c r="M72" s="207"/>
      <c r="N72" s="207"/>
    </row>
    <row r="73" spans="11:14" x14ac:dyDescent="0.25">
      <c r="K73" s="207"/>
      <c r="L73" s="207"/>
      <c r="M73" s="207"/>
      <c r="N73" s="207"/>
    </row>
    <row r="74" spans="11:14" x14ac:dyDescent="0.25">
      <c r="K74" s="207"/>
      <c r="L74" s="207"/>
      <c r="M74" s="207"/>
      <c r="N74" s="207"/>
    </row>
    <row r="75" spans="11:14" x14ac:dyDescent="0.25">
      <c r="K75" s="207"/>
      <c r="L75" s="207"/>
      <c r="M75" s="207"/>
      <c r="N75" s="207"/>
    </row>
    <row r="76" spans="11:14" x14ac:dyDescent="0.25">
      <c r="K76" s="207"/>
      <c r="L76" s="207"/>
      <c r="M76" s="207"/>
      <c r="N76" s="207"/>
    </row>
  </sheetData>
  <pageMargins left="0.25" right="0.25" top="0.5" bottom="1" header="0.3" footer="0.53"/>
  <pageSetup scale="85" orientation="landscape" r:id="rId1"/>
  <headerFooter>
    <oddFooter>&amp;R&amp;Z&amp;F
&amp;P of &amp;N
smm</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26</vt:i4>
      </vt:variant>
    </vt:vector>
  </HeadingPairs>
  <TitlesOfParts>
    <vt:vector size="50" baseType="lpstr">
      <vt:lpstr>Height</vt:lpstr>
      <vt:lpstr>Width</vt:lpstr>
      <vt:lpstr>LAImeter</vt:lpstr>
      <vt:lpstr>Develop</vt:lpstr>
      <vt:lpstr>PlotDevelop</vt:lpstr>
      <vt:lpstr>Summary-Plant Heights</vt:lpstr>
      <vt:lpstr>Summary-Bed Heights</vt:lpstr>
      <vt:lpstr>Summary-Cover</vt:lpstr>
      <vt:lpstr>Blank</vt:lpstr>
      <vt:lpstr>Emergence</vt:lpstr>
      <vt:lpstr>1stLeaf</vt:lpstr>
      <vt:lpstr>Method</vt:lpstr>
      <vt:lpstr>Density counts</vt:lpstr>
      <vt:lpstr>Flowering</vt:lpstr>
      <vt:lpstr>Flowering2014d177</vt:lpstr>
      <vt:lpstr>Flowering2014d181</vt:lpstr>
      <vt:lpstr>Flowering2014d183</vt:lpstr>
      <vt:lpstr>Flowering2014d188</vt:lpstr>
      <vt:lpstr>Flowering2014d192</vt:lpstr>
      <vt:lpstr>NAWF2014d195</vt:lpstr>
      <vt:lpstr>NAWF2014d202</vt:lpstr>
      <vt:lpstr>NAWF2014d209</vt:lpstr>
      <vt:lpstr>NAWF2014d216</vt:lpstr>
      <vt:lpstr>NAWF2014d224</vt:lpstr>
      <vt:lpstr>'1stLeaf'!Print_Area</vt:lpstr>
      <vt:lpstr>Blank!Print_Area</vt:lpstr>
      <vt:lpstr>'Density counts'!Print_Area</vt:lpstr>
      <vt:lpstr>Emergence!Print_Area</vt:lpstr>
      <vt:lpstr>Flowering2014d177!Print_Area</vt:lpstr>
      <vt:lpstr>Flowering2014d181!Print_Area</vt:lpstr>
      <vt:lpstr>Flowering2014d183!Print_Area</vt:lpstr>
      <vt:lpstr>Flowering2014d188!Print_Area</vt:lpstr>
      <vt:lpstr>Flowering2014d192!Print_Area</vt:lpstr>
      <vt:lpstr>NAWF2014d195!Print_Area</vt:lpstr>
      <vt:lpstr>NAWF2014d202!Print_Area</vt:lpstr>
      <vt:lpstr>NAWF2014d209!Print_Area</vt:lpstr>
      <vt:lpstr>NAWF2014d216!Print_Area</vt:lpstr>
      <vt:lpstr>NAWF2014d224!Print_Area</vt:lpstr>
      <vt:lpstr>Blank!Print_Titles</vt:lpstr>
      <vt:lpstr>'Density counts'!Print_Titles</vt:lpstr>
      <vt:lpstr>Flowering2014d177!Print_Titles</vt:lpstr>
      <vt:lpstr>Flowering2014d181!Print_Titles</vt:lpstr>
      <vt:lpstr>Flowering2014d183!Print_Titles</vt:lpstr>
      <vt:lpstr>Flowering2014d188!Print_Titles</vt:lpstr>
      <vt:lpstr>Flowering2014d192!Print_Titles</vt:lpstr>
      <vt:lpstr>NAWF2014d195!Print_Titles</vt:lpstr>
      <vt:lpstr>NAWF2014d202!Print_Titles</vt:lpstr>
      <vt:lpstr>NAWF2014d209!Print_Titles</vt:lpstr>
      <vt:lpstr>NAWF2014d216!Print_Titles</vt:lpstr>
      <vt:lpstr>NAWF2014d224!Print_Titles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Suzette Maneely</dc:creator>
  <cp:lastModifiedBy>Reviewer</cp:lastModifiedBy>
  <cp:lastPrinted>2014-06-16T17:44:09Z</cp:lastPrinted>
  <dcterms:created xsi:type="dcterms:W3CDTF">2014-05-07T16:16:20Z</dcterms:created>
  <dcterms:modified xsi:type="dcterms:W3CDTF">2026-03-17T19:05:55Z</dcterms:modified>
</cp:coreProperties>
</file>